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rcellalandi/Documents/3 9001 14001 45001/5 SGI/CLIENTI SGI/FIDA EDILE SRL/00 DIRETTRICE DI FIDA EDILE/2026/2 CANTIERI/1 GESTIONE CANTIERI/REVISIONE 14/"/>
    </mc:Choice>
  </mc:AlternateContent>
  <xr:revisionPtr revIDLastSave="0" documentId="13_ncr:1_{97CFAC2C-3806-3541-8B95-630E79C68C43}" xr6:coauthVersionLast="47" xr6:coauthVersionMax="47" xr10:uidLastSave="{00000000-0000-0000-0000-000000000000}"/>
  <bookViews>
    <workbookView xWindow="0" yWindow="600" windowWidth="30720" windowHeight="18600" xr2:uid="{00000000-000D-0000-FFFF-FFFF00000000}"/>
  </bookViews>
  <sheets>
    <sheet name="ANAGRAFICA" sheetId="1" r:id="rId1"/>
    <sheet name="SALDI AL 31.12.2025" sheetId="2" r:id="rId2"/>
    <sheet name="BUDGET COMMESSA" sheetId="3" r:id="rId3"/>
    <sheet name="MOVIMENTI 2026" sheetId="4" r:id="rId4"/>
    <sheet name="COSTI DIRETTI" sheetId="5" r:id="rId5"/>
    <sheet name="CANTIERI" sheetId="6" r:id="rId6"/>
    <sheet name="PARAMETRI" sheetId="7" r:id="rId7"/>
  </sheets>
  <definedNames>
    <definedName name="AnnoGestione">PARAMETRI!$B$11</definedName>
    <definedName name="ListaCommesseDashboard">PARAMETRI!$D$3:$D$303</definedName>
    <definedName name="ListaCommessePregresse">PARAMETRI!$F$4:$F$303</definedName>
    <definedName name="ListaCommessePregresseDashboard">PARAMETRI!$F$3:$F$303</definedName>
    <definedName name="ListaCommesseSelezione">ANAGRAFICA!$Q$6:$Q$305</definedName>
    <definedName name="ListaMesi">PARAMETRI!$G$3:$G$14</definedName>
    <definedName name="ListaTipiMovimento">PARAMETRI!$H$3:$H$9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3" i="7" l="1"/>
  <c r="D303" i="7"/>
  <c r="I302" i="7"/>
  <c r="D302" i="7"/>
  <c r="I301" i="7"/>
  <c r="D301" i="7"/>
  <c r="I300" i="7"/>
  <c r="D300" i="7"/>
  <c r="I299" i="7"/>
  <c r="D299" i="7"/>
  <c r="I298" i="7"/>
  <c r="D298" i="7"/>
  <c r="I297" i="7"/>
  <c r="D297" i="7"/>
  <c r="I296" i="7"/>
  <c r="D296" i="7"/>
  <c r="I295" i="7"/>
  <c r="D295" i="7"/>
  <c r="I294" i="7"/>
  <c r="D294" i="7"/>
  <c r="I293" i="7"/>
  <c r="D293" i="7"/>
  <c r="I292" i="7"/>
  <c r="D292" i="7"/>
  <c r="I291" i="7"/>
  <c r="D291" i="7"/>
  <c r="I290" i="7"/>
  <c r="D290" i="7"/>
  <c r="I289" i="7"/>
  <c r="D289" i="7"/>
  <c r="I288" i="7"/>
  <c r="D288" i="7"/>
  <c r="I287" i="7"/>
  <c r="D287" i="7"/>
  <c r="I286" i="7"/>
  <c r="D286" i="7"/>
  <c r="I285" i="7"/>
  <c r="D285" i="7"/>
  <c r="I284" i="7"/>
  <c r="D284" i="7"/>
  <c r="I283" i="7"/>
  <c r="D283" i="7"/>
  <c r="I282" i="7"/>
  <c r="D282" i="7"/>
  <c r="I281" i="7"/>
  <c r="D281" i="7"/>
  <c r="I280" i="7"/>
  <c r="D280" i="7"/>
  <c r="I279" i="7"/>
  <c r="D279" i="7"/>
  <c r="I278" i="7"/>
  <c r="D278" i="7"/>
  <c r="I277" i="7"/>
  <c r="D277" i="7"/>
  <c r="I276" i="7"/>
  <c r="D276" i="7"/>
  <c r="I275" i="7"/>
  <c r="D275" i="7"/>
  <c r="I274" i="7"/>
  <c r="D274" i="7"/>
  <c r="I273" i="7"/>
  <c r="D273" i="7"/>
  <c r="I272" i="7"/>
  <c r="D272" i="7"/>
  <c r="I271" i="7"/>
  <c r="D271" i="7"/>
  <c r="I270" i="7"/>
  <c r="D270" i="7"/>
  <c r="I269" i="7"/>
  <c r="D269" i="7"/>
  <c r="I268" i="7"/>
  <c r="D268" i="7"/>
  <c r="I267" i="7"/>
  <c r="D267" i="7"/>
  <c r="I266" i="7"/>
  <c r="D266" i="7"/>
  <c r="I265" i="7"/>
  <c r="D265" i="7"/>
  <c r="I264" i="7"/>
  <c r="D264" i="7"/>
  <c r="I263" i="7"/>
  <c r="D263" i="7"/>
  <c r="I262" i="7"/>
  <c r="D262" i="7"/>
  <c r="I261" i="7"/>
  <c r="D261" i="7"/>
  <c r="I260" i="7"/>
  <c r="D260" i="7"/>
  <c r="I259" i="7"/>
  <c r="D259" i="7"/>
  <c r="I258" i="7"/>
  <c r="D258" i="7"/>
  <c r="I257" i="7"/>
  <c r="D257" i="7"/>
  <c r="I256" i="7"/>
  <c r="D256" i="7"/>
  <c r="I255" i="7"/>
  <c r="D255" i="7"/>
  <c r="I254" i="7"/>
  <c r="D254" i="7"/>
  <c r="I253" i="7"/>
  <c r="D253" i="7"/>
  <c r="I252" i="7"/>
  <c r="D252" i="7"/>
  <c r="I251" i="7"/>
  <c r="D251" i="7"/>
  <c r="I250" i="7"/>
  <c r="D250" i="7"/>
  <c r="I249" i="7"/>
  <c r="D249" i="7"/>
  <c r="I248" i="7"/>
  <c r="D248" i="7"/>
  <c r="I247" i="7"/>
  <c r="D247" i="7"/>
  <c r="I246" i="7"/>
  <c r="D246" i="7"/>
  <c r="I245" i="7"/>
  <c r="D245" i="7"/>
  <c r="I244" i="7"/>
  <c r="D244" i="7"/>
  <c r="I243" i="7"/>
  <c r="D243" i="7"/>
  <c r="I242" i="7"/>
  <c r="D242" i="7"/>
  <c r="I241" i="7"/>
  <c r="D241" i="7"/>
  <c r="I240" i="7"/>
  <c r="D240" i="7"/>
  <c r="I239" i="7"/>
  <c r="D239" i="7"/>
  <c r="I238" i="7"/>
  <c r="D238" i="7"/>
  <c r="I237" i="7"/>
  <c r="D237" i="7"/>
  <c r="I236" i="7"/>
  <c r="D236" i="7"/>
  <c r="I235" i="7"/>
  <c r="D235" i="7"/>
  <c r="I234" i="7"/>
  <c r="D234" i="7"/>
  <c r="I233" i="7"/>
  <c r="D233" i="7"/>
  <c r="I232" i="7"/>
  <c r="D232" i="7"/>
  <c r="I231" i="7"/>
  <c r="D231" i="7"/>
  <c r="I230" i="7"/>
  <c r="D230" i="7"/>
  <c r="I229" i="7"/>
  <c r="D229" i="7"/>
  <c r="I228" i="7"/>
  <c r="D228" i="7"/>
  <c r="I227" i="7"/>
  <c r="D227" i="7"/>
  <c r="I226" i="7"/>
  <c r="D226" i="7"/>
  <c r="I225" i="7"/>
  <c r="D225" i="7"/>
  <c r="I224" i="7"/>
  <c r="D224" i="7"/>
  <c r="I223" i="7"/>
  <c r="D223" i="7"/>
  <c r="I222" i="7"/>
  <c r="D222" i="7"/>
  <c r="I221" i="7"/>
  <c r="D221" i="7"/>
  <c r="I220" i="7"/>
  <c r="D220" i="7"/>
  <c r="I219" i="7"/>
  <c r="D219" i="7"/>
  <c r="I218" i="7"/>
  <c r="D218" i="7"/>
  <c r="I217" i="7"/>
  <c r="D217" i="7"/>
  <c r="I216" i="7"/>
  <c r="D216" i="7"/>
  <c r="I215" i="7"/>
  <c r="D215" i="7"/>
  <c r="I214" i="7"/>
  <c r="D214" i="7"/>
  <c r="I213" i="7"/>
  <c r="D213" i="7"/>
  <c r="I212" i="7"/>
  <c r="D212" i="7"/>
  <c r="I211" i="7"/>
  <c r="D211" i="7"/>
  <c r="I210" i="7"/>
  <c r="D210" i="7"/>
  <c r="I209" i="7"/>
  <c r="D209" i="7"/>
  <c r="I208" i="7"/>
  <c r="D208" i="7"/>
  <c r="I207" i="7"/>
  <c r="D207" i="7"/>
  <c r="I206" i="7"/>
  <c r="D206" i="7"/>
  <c r="I205" i="7"/>
  <c r="D205" i="7"/>
  <c r="I204" i="7"/>
  <c r="D204" i="7"/>
  <c r="I203" i="7"/>
  <c r="D203" i="7"/>
  <c r="I202" i="7"/>
  <c r="D202" i="7"/>
  <c r="I201" i="7"/>
  <c r="D201" i="7"/>
  <c r="I200" i="7"/>
  <c r="D200" i="7"/>
  <c r="I199" i="7"/>
  <c r="D199" i="7"/>
  <c r="I198" i="7"/>
  <c r="D198" i="7"/>
  <c r="I197" i="7"/>
  <c r="D197" i="7"/>
  <c r="I196" i="7"/>
  <c r="D196" i="7"/>
  <c r="I195" i="7"/>
  <c r="D195" i="7"/>
  <c r="I194" i="7"/>
  <c r="D194" i="7"/>
  <c r="I193" i="7"/>
  <c r="D193" i="7"/>
  <c r="I192" i="7"/>
  <c r="D192" i="7"/>
  <c r="I191" i="7"/>
  <c r="D191" i="7"/>
  <c r="I190" i="7"/>
  <c r="D190" i="7"/>
  <c r="I189" i="7"/>
  <c r="D189" i="7"/>
  <c r="I188" i="7"/>
  <c r="D188" i="7"/>
  <c r="I187" i="7"/>
  <c r="D187" i="7"/>
  <c r="I186" i="7"/>
  <c r="D186" i="7"/>
  <c r="I185" i="7"/>
  <c r="D185" i="7"/>
  <c r="I184" i="7"/>
  <c r="D184" i="7"/>
  <c r="I183" i="7"/>
  <c r="D183" i="7"/>
  <c r="I182" i="7"/>
  <c r="D182" i="7"/>
  <c r="I181" i="7"/>
  <c r="D181" i="7"/>
  <c r="I180" i="7"/>
  <c r="D180" i="7"/>
  <c r="I179" i="7"/>
  <c r="D179" i="7"/>
  <c r="I178" i="7"/>
  <c r="D178" i="7"/>
  <c r="I177" i="7"/>
  <c r="D177" i="7"/>
  <c r="I176" i="7"/>
  <c r="D176" i="7"/>
  <c r="I175" i="7"/>
  <c r="D175" i="7"/>
  <c r="I174" i="7"/>
  <c r="D174" i="7"/>
  <c r="I173" i="7"/>
  <c r="D173" i="7"/>
  <c r="I172" i="7"/>
  <c r="D172" i="7"/>
  <c r="I171" i="7"/>
  <c r="D171" i="7"/>
  <c r="I170" i="7"/>
  <c r="D170" i="7"/>
  <c r="I169" i="7"/>
  <c r="D169" i="7"/>
  <c r="I168" i="7"/>
  <c r="D168" i="7"/>
  <c r="I167" i="7"/>
  <c r="D167" i="7"/>
  <c r="I166" i="7"/>
  <c r="D166" i="7"/>
  <c r="I165" i="7"/>
  <c r="D165" i="7"/>
  <c r="I164" i="7"/>
  <c r="D164" i="7"/>
  <c r="I163" i="7"/>
  <c r="D163" i="7"/>
  <c r="I162" i="7"/>
  <c r="D162" i="7"/>
  <c r="I161" i="7"/>
  <c r="D161" i="7"/>
  <c r="I160" i="7"/>
  <c r="D160" i="7"/>
  <c r="I159" i="7"/>
  <c r="D159" i="7"/>
  <c r="I158" i="7"/>
  <c r="D158" i="7"/>
  <c r="I157" i="7"/>
  <c r="D157" i="7"/>
  <c r="I156" i="7"/>
  <c r="D156" i="7"/>
  <c r="I155" i="7"/>
  <c r="D155" i="7"/>
  <c r="I154" i="7"/>
  <c r="D154" i="7"/>
  <c r="I153" i="7"/>
  <c r="D153" i="7"/>
  <c r="I152" i="7"/>
  <c r="D152" i="7"/>
  <c r="I151" i="7"/>
  <c r="D151" i="7"/>
  <c r="I150" i="7"/>
  <c r="D150" i="7"/>
  <c r="I149" i="7"/>
  <c r="D149" i="7"/>
  <c r="I148" i="7"/>
  <c r="D148" i="7"/>
  <c r="I147" i="7"/>
  <c r="D147" i="7"/>
  <c r="I146" i="7"/>
  <c r="D146" i="7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I120" i="7"/>
  <c r="D120" i="7"/>
  <c r="I119" i="7"/>
  <c r="D119" i="7"/>
  <c r="I118" i="7"/>
  <c r="D118" i="7"/>
  <c r="I117" i="7"/>
  <c r="D117" i="7"/>
  <c r="I116" i="7"/>
  <c r="D116" i="7"/>
  <c r="I115" i="7"/>
  <c r="D115" i="7"/>
  <c r="I114" i="7"/>
  <c r="D114" i="7"/>
  <c r="I113" i="7"/>
  <c r="D113" i="7"/>
  <c r="I112" i="7"/>
  <c r="D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1" i="7"/>
  <c r="D61" i="7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4" i="7"/>
  <c r="D24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D9" i="7"/>
  <c r="I8" i="7"/>
  <c r="D8" i="7"/>
  <c r="I7" i="7"/>
  <c r="D7" i="7"/>
  <c r="I6" i="7"/>
  <c r="D6" i="7"/>
  <c r="I5" i="7"/>
  <c r="D5" i="7"/>
  <c r="I4" i="7"/>
  <c r="D4" i="7"/>
  <c r="C308" i="6"/>
  <c r="BP308" i="6" s="1"/>
  <c r="C307" i="6"/>
  <c r="A307" i="6" s="1"/>
  <c r="C306" i="6"/>
  <c r="J306" i="6" s="1"/>
  <c r="C305" i="6"/>
  <c r="C304" i="6"/>
  <c r="BV304" i="6" s="1"/>
  <c r="C303" i="6"/>
  <c r="BP303" i="6" s="1"/>
  <c r="C302" i="6"/>
  <c r="BV302" i="6" s="1"/>
  <c r="C301" i="6"/>
  <c r="O301" i="6" s="1"/>
  <c r="C300" i="6"/>
  <c r="C299" i="6"/>
  <c r="I299" i="6" s="1"/>
  <c r="C298" i="6"/>
  <c r="C297" i="6"/>
  <c r="BJ297" i="6" s="1"/>
  <c r="R297" i="6" s="1"/>
  <c r="C296" i="6"/>
  <c r="BB296" i="6" s="1"/>
  <c r="C295" i="6"/>
  <c r="BD295" i="6" s="1"/>
  <c r="C294" i="6"/>
  <c r="C293" i="6"/>
  <c r="C292" i="6"/>
  <c r="BO292" i="6" s="1"/>
  <c r="C291" i="6"/>
  <c r="A291" i="6" s="1"/>
  <c r="BU291" i="6" s="1"/>
  <c r="C290" i="6"/>
  <c r="BJ290" i="6" s="1"/>
  <c r="C289" i="6"/>
  <c r="BH289" i="6" s="1"/>
  <c r="C288" i="6"/>
  <c r="BO288" i="6" s="1"/>
  <c r="BQ288" i="6" s="1"/>
  <c r="C287" i="6"/>
  <c r="BH287" i="6" s="1"/>
  <c r="C286" i="6"/>
  <c r="BK286" i="6" s="1"/>
  <c r="C285" i="6"/>
  <c r="C284" i="6"/>
  <c r="BS284" i="6" s="1"/>
  <c r="C283" i="6"/>
  <c r="A283" i="6" s="1"/>
  <c r="BT283" i="6" s="1"/>
  <c r="C282" i="6"/>
  <c r="BH282" i="6" s="1"/>
  <c r="C281" i="6"/>
  <c r="O281" i="6" s="1"/>
  <c r="C280" i="6"/>
  <c r="BA280" i="6" s="1"/>
  <c r="C279" i="6"/>
  <c r="A279" i="6" s="1"/>
  <c r="C278" i="6"/>
  <c r="BV278" i="6" s="1"/>
  <c r="C277" i="6"/>
  <c r="BA277" i="6" s="1"/>
  <c r="C276" i="6"/>
  <c r="C275" i="6"/>
  <c r="D275" i="6" s="1"/>
  <c r="C274" i="6"/>
  <c r="BP274" i="6" s="1"/>
  <c r="C273" i="6"/>
  <c r="A273" i="6" s="1"/>
  <c r="C272" i="6"/>
  <c r="C271" i="6"/>
  <c r="C270" i="6"/>
  <c r="G270" i="6" s="1"/>
  <c r="C269" i="6"/>
  <c r="B269" i="6" s="1"/>
  <c r="C268" i="6"/>
  <c r="BK268" i="6" s="1"/>
  <c r="C267" i="6"/>
  <c r="C266" i="6"/>
  <c r="K266" i="6" s="1"/>
  <c r="C265" i="6"/>
  <c r="C264" i="6"/>
  <c r="C263" i="6"/>
  <c r="BH263" i="6" s="1"/>
  <c r="C262" i="6"/>
  <c r="BV262" i="6" s="1"/>
  <c r="C261" i="6"/>
  <c r="C260" i="6"/>
  <c r="BC260" i="6" s="1"/>
  <c r="C259" i="6"/>
  <c r="K259" i="6" s="1"/>
  <c r="C258" i="6"/>
  <c r="C257" i="6"/>
  <c r="U257" i="6" s="1"/>
  <c r="C256" i="6"/>
  <c r="C255" i="6"/>
  <c r="C254" i="6"/>
  <c r="A254" i="6" s="1"/>
  <c r="C253" i="6"/>
  <c r="C252" i="6"/>
  <c r="BS252" i="6" s="1"/>
  <c r="C251" i="6"/>
  <c r="F251" i="6" s="1"/>
  <c r="C250" i="6"/>
  <c r="L250" i="6" s="1"/>
  <c r="C249" i="6"/>
  <c r="A249" i="6" s="1"/>
  <c r="BT249" i="6" s="1"/>
  <c r="C248" i="6"/>
  <c r="B248" i="6" s="1"/>
  <c r="C247" i="6"/>
  <c r="J247" i="6" s="1"/>
  <c r="C246" i="6"/>
  <c r="BS246" i="6" s="1"/>
  <c r="C245" i="6"/>
  <c r="BB245" i="6" s="1"/>
  <c r="C244" i="6"/>
  <c r="BK244" i="6" s="1"/>
  <c r="C243" i="6"/>
  <c r="U243" i="6" s="1"/>
  <c r="C242" i="6"/>
  <c r="BS242" i="6" s="1"/>
  <c r="C241" i="6"/>
  <c r="BA241" i="6" s="1"/>
  <c r="C240" i="6"/>
  <c r="C239" i="6"/>
  <c r="H239" i="6" s="1"/>
  <c r="C238" i="6"/>
  <c r="A238" i="6" s="1"/>
  <c r="BU238" i="6" s="1"/>
  <c r="C237" i="6"/>
  <c r="C236" i="6"/>
  <c r="BB236" i="6" s="1"/>
  <c r="C235" i="6"/>
  <c r="BH235" i="6" s="1"/>
  <c r="C234" i="6"/>
  <c r="U234" i="6" s="1"/>
  <c r="C233" i="6"/>
  <c r="C232" i="6"/>
  <c r="G232" i="6" s="1"/>
  <c r="C231" i="6"/>
  <c r="BV231" i="6" s="1"/>
  <c r="C230" i="6"/>
  <c r="C229" i="6"/>
  <c r="B229" i="6" s="1"/>
  <c r="C228" i="6"/>
  <c r="BS228" i="6" s="1"/>
  <c r="C227" i="6"/>
  <c r="C226" i="6"/>
  <c r="BC226" i="6" s="1"/>
  <c r="C225" i="6"/>
  <c r="BO225" i="6" s="1"/>
  <c r="C224" i="6"/>
  <c r="B224" i="6" s="1"/>
  <c r="C223" i="6"/>
  <c r="BO223" i="6" s="1"/>
  <c r="T223" i="6" s="1"/>
  <c r="C222" i="6"/>
  <c r="V222" i="6" s="1"/>
  <c r="C221" i="6"/>
  <c r="K221" i="6" s="1"/>
  <c r="C220" i="6"/>
  <c r="C219" i="6"/>
  <c r="A219" i="6" s="1"/>
  <c r="C218" i="6"/>
  <c r="BV218" i="6" s="1"/>
  <c r="C217" i="6"/>
  <c r="C216" i="6"/>
  <c r="I216" i="6" s="1"/>
  <c r="C215" i="6"/>
  <c r="B215" i="6" s="1"/>
  <c r="C214" i="6"/>
  <c r="B214" i="6" s="1"/>
  <c r="C213" i="6"/>
  <c r="BB213" i="6" s="1"/>
  <c r="C212" i="6"/>
  <c r="A212" i="6" s="1"/>
  <c r="C211" i="6"/>
  <c r="C210" i="6"/>
  <c r="Q210" i="6" s="1"/>
  <c r="C209" i="6"/>
  <c r="BH209" i="6" s="1"/>
  <c r="C208" i="6"/>
  <c r="C207" i="6"/>
  <c r="A207" i="6" s="1"/>
  <c r="C206" i="6"/>
  <c r="BJ206" i="6" s="1"/>
  <c r="BL206" i="6" s="1"/>
  <c r="C205" i="6"/>
  <c r="BS205" i="6" s="1"/>
  <c r="C204" i="6"/>
  <c r="A204" i="6" s="1"/>
  <c r="C203" i="6"/>
  <c r="G203" i="6" s="1"/>
  <c r="C202" i="6"/>
  <c r="B202" i="6" s="1"/>
  <c r="C201" i="6"/>
  <c r="C200" i="6"/>
  <c r="BP200" i="6" s="1"/>
  <c r="C199" i="6"/>
  <c r="C198" i="6"/>
  <c r="BD198" i="6" s="1"/>
  <c r="C197" i="6"/>
  <c r="BK197" i="6" s="1"/>
  <c r="C196" i="6"/>
  <c r="A196" i="6" s="1"/>
  <c r="C195" i="6"/>
  <c r="I195" i="6" s="1"/>
  <c r="C194" i="6"/>
  <c r="E194" i="6" s="1"/>
  <c r="C193" i="6"/>
  <c r="BC193" i="6" s="1"/>
  <c r="C192" i="6"/>
  <c r="C191" i="6"/>
  <c r="B191" i="6" s="1"/>
  <c r="C190" i="6"/>
  <c r="BA190" i="6" s="1"/>
  <c r="C189" i="6"/>
  <c r="U189" i="6" s="1"/>
  <c r="C188" i="6"/>
  <c r="BS188" i="6" s="1"/>
  <c r="C187" i="6"/>
  <c r="C186" i="6"/>
  <c r="C185" i="6"/>
  <c r="A185" i="6" s="1"/>
  <c r="C184" i="6"/>
  <c r="J184" i="6" s="1"/>
  <c r="C183" i="6"/>
  <c r="BH183" i="6" s="1"/>
  <c r="C182" i="6"/>
  <c r="H182" i="6" s="1"/>
  <c r="C181" i="6"/>
  <c r="C180" i="6"/>
  <c r="A180" i="6" s="1"/>
  <c r="BT180" i="6" s="1"/>
  <c r="C179" i="6"/>
  <c r="B179" i="6" s="1"/>
  <c r="C178" i="6"/>
  <c r="B178" i="6" s="1"/>
  <c r="C177" i="6"/>
  <c r="BH177" i="6" s="1"/>
  <c r="C176" i="6"/>
  <c r="C175" i="6"/>
  <c r="BO175" i="6" s="1"/>
  <c r="C174" i="6"/>
  <c r="BP174" i="6" s="1"/>
  <c r="C173" i="6"/>
  <c r="BO173" i="6" s="1"/>
  <c r="C172" i="6"/>
  <c r="C171" i="6"/>
  <c r="C170" i="6"/>
  <c r="A170" i="6" s="1"/>
  <c r="C169" i="6"/>
  <c r="C168" i="6"/>
  <c r="BP168" i="6" s="1"/>
  <c r="C167" i="6"/>
  <c r="BD167" i="6" s="1"/>
  <c r="C166" i="6"/>
  <c r="BC166" i="6" s="1"/>
  <c r="C165" i="6"/>
  <c r="BP165" i="6" s="1"/>
  <c r="C164" i="6"/>
  <c r="C163" i="6"/>
  <c r="A163" i="6" s="1"/>
  <c r="C162" i="6"/>
  <c r="BB162" i="6" s="1"/>
  <c r="C161" i="6"/>
  <c r="BD161" i="6" s="1"/>
  <c r="C160" i="6"/>
  <c r="A160" i="6" s="1"/>
  <c r="BT160" i="6" s="1"/>
  <c r="C159" i="6"/>
  <c r="B159" i="6" s="1"/>
  <c r="C158" i="6"/>
  <c r="A158" i="6" s="1"/>
  <c r="BU158" i="6" s="1"/>
  <c r="C157" i="6"/>
  <c r="BD157" i="6" s="1"/>
  <c r="C156" i="6"/>
  <c r="H156" i="6" s="1"/>
  <c r="C155" i="6"/>
  <c r="C154" i="6"/>
  <c r="B154" i="6" s="1"/>
  <c r="C153" i="6"/>
  <c r="BV153" i="6" s="1"/>
  <c r="C152" i="6"/>
  <c r="BB152" i="6" s="1"/>
  <c r="C151" i="6"/>
  <c r="E151" i="6" s="1"/>
  <c r="C150" i="6"/>
  <c r="K150" i="6" s="1"/>
  <c r="C149" i="6"/>
  <c r="I149" i="6" s="1"/>
  <c r="C148" i="6"/>
  <c r="BP148" i="6" s="1"/>
  <c r="C147" i="6"/>
  <c r="D147" i="6" s="1"/>
  <c r="C146" i="6"/>
  <c r="C145" i="6"/>
  <c r="BV145" i="6" s="1"/>
  <c r="C144" i="6"/>
  <c r="C143" i="6"/>
  <c r="C142" i="6"/>
  <c r="BB142" i="6" s="1"/>
  <c r="C141" i="6"/>
  <c r="G141" i="6" s="1"/>
  <c r="C140" i="6"/>
  <c r="B140" i="6" s="1"/>
  <c r="C139" i="6"/>
  <c r="C138" i="6"/>
  <c r="C137" i="6"/>
  <c r="D137" i="6" s="1"/>
  <c r="C136" i="6"/>
  <c r="C135" i="6"/>
  <c r="BD135" i="6" s="1"/>
  <c r="C134" i="6"/>
  <c r="BJ134" i="6" s="1"/>
  <c r="C133" i="6"/>
  <c r="A133" i="6" s="1"/>
  <c r="C132" i="6"/>
  <c r="C131" i="6"/>
  <c r="BD131" i="6" s="1"/>
  <c r="C130" i="6"/>
  <c r="C129" i="6"/>
  <c r="BH129" i="6" s="1"/>
  <c r="C128" i="6"/>
  <c r="M128" i="6" s="1"/>
  <c r="C127" i="6"/>
  <c r="BD127" i="6" s="1"/>
  <c r="C126" i="6"/>
  <c r="B126" i="6" s="1"/>
  <c r="C125" i="6"/>
  <c r="C124" i="6"/>
  <c r="C123" i="6"/>
  <c r="O123" i="6" s="1"/>
  <c r="C122" i="6"/>
  <c r="BH122" i="6" s="1"/>
  <c r="C121" i="6"/>
  <c r="BJ121" i="6" s="1"/>
  <c r="C120" i="6"/>
  <c r="BO120" i="6" s="1"/>
  <c r="C119" i="6"/>
  <c r="D119" i="6" s="1"/>
  <c r="C118" i="6"/>
  <c r="B118" i="6" s="1"/>
  <c r="C117" i="6"/>
  <c r="B117" i="6" s="1"/>
  <c r="C116" i="6"/>
  <c r="C115" i="6"/>
  <c r="A115" i="6" s="1"/>
  <c r="BT115" i="6" s="1"/>
  <c r="C114" i="6"/>
  <c r="BJ114" i="6" s="1"/>
  <c r="BM114" i="6" s="1"/>
  <c r="C113" i="6"/>
  <c r="BD113" i="6" s="1"/>
  <c r="C112" i="6"/>
  <c r="C111" i="6"/>
  <c r="BH111" i="6" s="1"/>
  <c r="C110" i="6"/>
  <c r="BA110" i="6" s="1"/>
  <c r="C109" i="6"/>
  <c r="C108" i="6"/>
  <c r="BS108" i="6" s="1"/>
  <c r="C107" i="6"/>
  <c r="C106" i="6"/>
  <c r="BP106" i="6" s="1"/>
  <c r="C105" i="6"/>
  <c r="G105" i="6" s="1"/>
  <c r="C104" i="6"/>
  <c r="B104" i="6" s="1"/>
  <c r="C103" i="6"/>
  <c r="U103" i="6" s="1"/>
  <c r="C102" i="6"/>
  <c r="C101" i="6"/>
  <c r="BC101" i="6" s="1"/>
  <c r="C100" i="6"/>
  <c r="B100" i="6" s="1"/>
  <c r="C99" i="6"/>
  <c r="BO99" i="6" s="1"/>
  <c r="C98" i="6"/>
  <c r="M98" i="6" s="1"/>
  <c r="C97" i="6"/>
  <c r="C96" i="6"/>
  <c r="BP96" i="6" s="1"/>
  <c r="C95" i="6"/>
  <c r="BP95" i="6" s="1"/>
  <c r="C94" i="6"/>
  <c r="C93" i="6"/>
  <c r="BO93" i="6" s="1"/>
  <c r="C92" i="6"/>
  <c r="C91" i="6"/>
  <c r="BJ91" i="6" s="1"/>
  <c r="R91" i="6" s="1"/>
  <c r="C90" i="6"/>
  <c r="C89" i="6"/>
  <c r="BK89" i="6" s="1"/>
  <c r="C88" i="6"/>
  <c r="B88" i="6" s="1"/>
  <c r="C87" i="6"/>
  <c r="BJ87" i="6" s="1"/>
  <c r="BL87" i="6" s="1"/>
  <c r="C86" i="6"/>
  <c r="B86" i="6" s="1"/>
  <c r="C85" i="6"/>
  <c r="C84" i="6"/>
  <c r="C83" i="6"/>
  <c r="BK83" i="6" s="1"/>
  <c r="C82" i="6"/>
  <c r="C81" i="6"/>
  <c r="C80" i="6"/>
  <c r="BK80" i="6" s="1"/>
  <c r="C79" i="6"/>
  <c r="U79" i="6" s="1"/>
  <c r="C78" i="6"/>
  <c r="A78" i="6" s="1"/>
  <c r="C77" i="6"/>
  <c r="U77" i="6" s="1"/>
  <c r="C76" i="6"/>
  <c r="BC76" i="6" s="1"/>
  <c r="C75" i="6"/>
  <c r="A75" i="6" s="1"/>
  <c r="C74" i="6"/>
  <c r="BH74" i="6" s="1"/>
  <c r="C73" i="6"/>
  <c r="V73" i="6" s="1"/>
  <c r="C72" i="6"/>
  <c r="BO72" i="6" s="1"/>
  <c r="C71" i="6"/>
  <c r="BP71" i="6" s="1"/>
  <c r="C70" i="6"/>
  <c r="BV70" i="6" s="1"/>
  <c r="C69" i="6"/>
  <c r="C68" i="6"/>
  <c r="D68" i="6" s="1"/>
  <c r="C67" i="6"/>
  <c r="D67" i="6" s="1"/>
  <c r="C66" i="6"/>
  <c r="A66" i="6" s="1"/>
  <c r="C65" i="6"/>
  <c r="B65" i="6" s="1"/>
  <c r="C64" i="6"/>
  <c r="BJ64" i="6" s="1"/>
  <c r="R64" i="6" s="1"/>
  <c r="C63" i="6"/>
  <c r="A63" i="6" s="1"/>
  <c r="BU63" i="6" s="1"/>
  <c r="C62" i="6"/>
  <c r="BC62" i="6" s="1"/>
  <c r="C61" i="6"/>
  <c r="V61" i="6" s="1"/>
  <c r="C60" i="6"/>
  <c r="V60" i="6" s="1"/>
  <c r="C59" i="6"/>
  <c r="C58" i="6"/>
  <c r="C57" i="6"/>
  <c r="C56" i="6"/>
  <c r="BO56" i="6" s="1"/>
  <c r="BR56" i="6" s="1"/>
  <c r="C55" i="6"/>
  <c r="C54" i="6"/>
  <c r="B54" i="6" s="1"/>
  <c r="C53" i="6"/>
  <c r="C52" i="6"/>
  <c r="C51" i="6"/>
  <c r="A51" i="6" s="1"/>
  <c r="BT51" i="6" s="1"/>
  <c r="C50" i="6"/>
  <c r="BC50" i="6" s="1"/>
  <c r="C49" i="6"/>
  <c r="E49" i="6" s="1"/>
  <c r="C48" i="6"/>
  <c r="K48" i="6" s="1"/>
  <c r="C47" i="6"/>
  <c r="BS47" i="6" s="1"/>
  <c r="C46" i="6"/>
  <c r="BO46" i="6" s="1"/>
  <c r="BQ46" i="6" s="1"/>
  <c r="C45" i="6"/>
  <c r="BJ45" i="6" s="1"/>
  <c r="C44" i="6"/>
  <c r="BK44" i="6" s="1"/>
  <c r="C43" i="6"/>
  <c r="BK43" i="6" s="1"/>
  <c r="C42" i="6"/>
  <c r="C41" i="6"/>
  <c r="D41" i="6" s="1"/>
  <c r="C40" i="6"/>
  <c r="BV40" i="6" s="1"/>
  <c r="C39" i="6"/>
  <c r="BO39" i="6" s="1"/>
  <c r="C38" i="6"/>
  <c r="AZ38" i="6" s="1"/>
  <c r="W38" i="6" s="1"/>
  <c r="BE38" i="6" s="1"/>
  <c r="C37" i="6"/>
  <c r="C36" i="6"/>
  <c r="BV36" i="6" s="1"/>
  <c r="C35" i="6"/>
  <c r="V35" i="6" s="1"/>
  <c r="C34" i="6"/>
  <c r="BC34" i="6" s="1"/>
  <c r="C33" i="6"/>
  <c r="BS33" i="6" s="1"/>
  <c r="C32" i="6"/>
  <c r="C31" i="6"/>
  <c r="E31" i="6" s="1"/>
  <c r="C30" i="6"/>
  <c r="BB30" i="6" s="1"/>
  <c r="C29" i="6"/>
  <c r="BA29" i="6" s="1"/>
  <c r="C28" i="6"/>
  <c r="M28" i="6" s="1"/>
  <c r="C27" i="6"/>
  <c r="BA27" i="6" s="1"/>
  <c r="C26" i="6"/>
  <c r="BS26" i="6" s="1"/>
  <c r="C25" i="6"/>
  <c r="V25" i="6" s="1"/>
  <c r="C24" i="6"/>
  <c r="E24" i="6" s="1"/>
  <c r="C23" i="6"/>
  <c r="U23" i="6" s="1"/>
  <c r="C22" i="6"/>
  <c r="BD22" i="6" s="1"/>
  <c r="C21" i="6"/>
  <c r="O21" i="6" s="1"/>
  <c r="C20" i="6"/>
  <c r="C19" i="6"/>
  <c r="BH19" i="6" s="1"/>
  <c r="C18" i="6"/>
  <c r="C17" i="6"/>
  <c r="G17" i="6" s="1"/>
  <c r="C16" i="6"/>
  <c r="BO16" i="6" s="1"/>
  <c r="BQ16" i="6" s="1"/>
  <c r="C15" i="6"/>
  <c r="K15" i="6" s="1"/>
  <c r="AB14" i="6"/>
  <c r="C14" i="6"/>
  <c r="B14" i="6" s="1"/>
  <c r="AB13" i="6"/>
  <c r="C13" i="6"/>
  <c r="M13" i="6" s="1"/>
  <c r="AB12" i="6"/>
  <c r="C12" i="6"/>
  <c r="AB11" i="6"/>
  <c r="C11" i="6"/>
  <c r="AB10" i="6"/>
  <c r="C10" i="6"/>
  <c r="AB9" i="6"/>
  <c r="C9" i="6"/>
  <c r="BJ9" i="6" s="1"/>
  <c r="AB8" i="6"/>
  <c r="AB7" i="6"/>
  <c r="AB6" i="6"/>
  <c r="AB5" i="6"/>
  <c r="P5" i="6"/>
  <c r="M5" i="6"/>
  <c r="AB4" i="6"/>
  <c r="AB3" i="6"/>
  <c r="AC3" i="6" s="1"/>
  <c r="E505" i="5"/>
  <c r="D505" i="5"/>
  <c r="C505" i="5"/>
  <c r="E504" i="5"/>
  <c r="D504" i="5"/>
  <c r="C504" i="5"/>
  <c r="E503" i="5"/>
  <c r="D503" i="5"/>
  <c r="C503" i="5"/>
  <c r="E502" i="5"/>
  <c r="D502" i="5"/>
  <c r="C502" i="5"/>
  <c r="E501" i="5"/>
  <c r="D501" i="5"/>
  <c r="C501" i="5"/>
  <c r="E500" i="5"/>
  <c r="D500" i="5"/>
  <c r="C500" i="5"/>
  <c r="E499" i="5"/>
  <c r="D499" i="5"/>
  <c r="C499" i="5"/>
  <c r="E498" i="5"/>
  <c r="D498" i="5"/>
  <c r="C498" i="5"/>
  <c r="E497" i="5"/>
  <c r="D497" i="5"/>
  <c r="C497" i="5"/>
  <c r="E496" i="5"/>
  <c r="D496" i="5"/>
  <c r="C496" i="5"/>
  <c r="E495" i="5"/>
  <c r="D495" i="5"/>
  <c r="C495" i="5"/>
  <c r="E494" i="5"/>
  <c r="D494" i="5"/>
  <c r="C494" i="5"/>
  <c r="E493" i="5"/>
  <c r="D493" i="5"/>
  <c r="C493" i="5"/>
  <c r="E492" i="5"/>
  <c r="D492" i="5"/>
  <c r="C492" i="5"/>
  <c r="E491" i="5"/>
  <c r="D491" i="5"/>
  <c r="C491" i="5"/>
  <c r="E490" i="5"/>
  <c r="D490" i="5"/>
  <c r="C490" i="5"/>
  <c r="E489" i="5"/>
  <c r="D489" i="5"/>
  <c r="C489" i="5"/>
  <c r="E488" i="5"/>
  <c r="D488" i="5"/>
  <c r="C488" i="5"/>
  <c r="E487" i="5"/>
  <c r="D487" i="5"/>
  <c r="C487" i="5"/>
  <c r="E486" i="5"/>
  <c r="D486" i="5"/>
  <c r="C486" i="5"/>
  <c r="E485" i="5"/>
  <c r="D485" i="5"/>
  <c r="C485" i="5"/>
  <c r="E484" i="5"/>
  <c r="D484" i="5"/>
  <c r="C484" i="5"/>
  <c r="E483" i="5"/>
  <c r="D483" i="5"/>
  <c r="C483" i="5"/>
  <c r="E482" i="5"/>
  <c r="D482" i="5"/>
  <c r="C482" i="5"/>
  <c r="E481" i="5"/>
  <c r="D481" i="5"/>
  <c r="C481" i="5"/>
  <c r="E480" i="5"/>
  <c r="D480" i="5"/>
  <c r="C480" i="5"/>
  <c r="E479" i="5"/>
  <c r="D479" i="5"/>
  <c r="C479" i="5"/>
  <c r="E478" i="5"/>
  <c r="D478" i="5"/>
  <c r="C478" i="5"/>
  <c r="E477" i="5"/>
  <c r="D477" i="5"/>
  <c r="C477" i="5"/>
  <c r="E476" i="5"/>
  <c r="D476" i="5"/>
  <c r="C476" i="5"/>
  <c r="E475" i="5"/>
  <c r="D475" i="5"/>
  <c r="C475" i="5"/>
  <c r="E474" i="5"/>
  <c r="D474" i="5"/>
  <c r="C474" i="5"/>
  <c r="E473" i="5"/>
  <c r="D473" i="5"/>
  <c r="C473" i="5"/>
  <c r="E472" i="5"/>
  <c r="D472" i="5"/>
  <c r="C472" i="5"/>
  <c r="E471" i="5"/>
  <c r="D471" i="5"/>
  <c r="C471" i="5"/>
  <c r="E470" i="5"/>
  <c r="D470" i="5"/>
  <c r="C470" i="5"/>
  <c r="E469" i="5"/>
  <c r="D469" i="5"/>
  <c r="C469" i="5"/>
  <c r="E468" i="5"/>
  <c r="D468" i="5"/>
  <c r="C468" i="5"/>
  <c r="E467" i="5"/>
  <c r="D467" i="5"/>
  <c r="C467" i="5"/>
  <c r="E466" i="5"/>
  <c r="D466" i="5"/>
  <c r="C466" i="5"/>
  <c r="E465" i="5"/>
  <c r="D465" i="5"/>
  <c r="C465" i="5"/>
  <c r="E464" i="5"/>
  <c r="D464" i="5"/>
  <c r="C464" i="5"/>
  <c r="E463" i="5"/>
  <c r="D463" i="5"/>
  <c r="C463" i="5"/>
  <c r="E462" i="5"/>
  <c r="D462" i="5"/>
  <c r="C462" i="5"/>
  <c r="E461" i="5"/>
  <c r="D461" i="5"/>
  <c r="C461" i="5"/>
  <c r="E460" i="5"/>
  <c r="D460" i="5"/>
  <c r="C460" i="5"/>
  <c r="E459" i="5"/>
  <c r="D459" i="5"/>
  <c r="C459" i="5"/>
  <c r="E458" i="5"/>
  <c r="D458" i="5"/>
  <c r="C458" i="5"/>
  <c r="E457" i="5"/>
  <c r="D457" i="5"/>
  <c r="C457" i="5"/>
  <c r="E456" i="5"/>
  <c r="D456" i="5"/>
  <c r="C456" i="5"/>
  <c r="E455" i="5"/>
  <c r="D455" i="5"/>
  <c r="C455" i="5"/>
  <c r="E454" i="5"/>
  <c r="D454" i="5"/>
  <c r="C454" i="5"/>
  <c r="E453" i="5"/>
  <c r="D453" i="5"/>
  <c r="C453" i="5"/>
  <c r="E452" i="5"/>
  <c r="D452" i="5"/>
  <c r="C452" i="5"/>
  <c r="E451" i="5"/>
  <c r="D451" i="5"/>
  <c r="C451" i="5"/>
  <c r="E450" i="5"/>
  <c r="D450" i="5"/>
  <c r="C450" i="5"/>
  <c r="E449" i="5"/>
  <c r="D449" i="5"/>
  <c r="C449" i="5"/>
  <c r="E448" i="5"/>
  <c r="D448" i="5"/>
  <c r="C448" i="5"/>
  <c r="E447" i="5"/>
  <c r="D447" i="5"/>
  <c r="C447" i="5"/>
  <c r="E446" i="5"/>
  <c r="D446" i="5"/>
  <c r="C446" i="5"/>
  <c r="E445" i="5"/>
  <c r="D445" i="5"/>
  <c r="C445" i="5"/>
  <c r="E444" i="5"/>
  <c r="D444" i="5"/>
  <c r="C444" i="5"/>
  <c r="E443" i="5"/>
  <c r="D443" i="5"/>
  <c r="C443" i="5"/>
  <c r="E442" i="5"/>
  <c r="D442" i="5"/>
  <c r="C442" i="5"/>
  <c r="E441" i="5"/>
  <c r="D441" i="5"/>
  <c r="C441" i="5"/>
  <c r="E440" i="5"/>
  <c r="D440" i="5"/>
  <c r="C440" i="5"/>
  <c r="E439" i="5"/>
  <c r="D439" i="5"/>
  <c r="C439" i="5"/>
  <c r="E438" i="5"/>
  <c r="D438" i="5"/>
  <c r="C438" i="5"/>
  <c r="E437" i="5"/>
  <c r="D437" i="5"/>
  <c r="C437" i="5"/>
  <c r="E436" i="5"/>
  <c r="D436" i="5"/>
  <c r="C436" i="5"/>
  <c r="E435" i="5"/>
  <c r="D435" i="5"/>
  <c r="C435" i="5"/>
  <c r="E434" i="5"/>
  <c r="D434" i="5"/>
  <c r="C434" i="5"/>
  <c r="E433" i="5"/>
  <c r="D433" i="5"/>
  <c r="C433" i="5"/>
  <c r="E432" i="5"/>
  <c r="D432" i="5"/>
  <c r="C432" i="5"/>
  <c r="E431" i="5"/>
  <c r="D431" i="5"/>
  <c r="C431" i="5"/>
  <c r="E430" i="5"/>
  <c r="D430" i="5"/>
  <c r="C430" i="5"/>
  <c r="E429" i="5"/>
  <c r="D429" i="5"/>
  <c r="C429" i="5"/>
  <c r="E428" i="5"/>
  <c r="D428" i="5"/>
  <c r="C428" i="5"/>
  <c r="E427" i="5"/>
  <c r="D427" i="5"/>
  <c r="C427" i="5"/>
  <c r="E426" i="5"/>
  <c r="D426" i="5"/>
  <c r="C426" i="5"/>
  <c r="E425" i="5"/>
  <c r="D425" i="5"/>
  <c r="C425" i="5"/>
  <c r="E424" i="5"/>
  <c r="D424" i="5"/>
  <c r="C424" i="5"/>
  <c r="E423" i="5"/>
  <c r="D423" i="5"/>
  <c r="C423" i="5"/>
  <c r="E422" i="5"/>
  <c r="D422" i="5"/>
  <c r="C422" i="5"/>
  <c r="E421" i="5"/>
  <c r="D421" i="5"/>
  <c r="C421" i="5"/>
  <c r="E420" i="5"/>
  <c r="D420" i="5"/>
  <c r="C420" i="5"/>
  <c r="E419" i="5"/>
  <c r="D419" i="5"/>
  <c r="C419" i="5"/>
  <c r="E418" i="5"/>
  <c r="D418" i="5"/>
  <c r="C418" i="5"/>
  <c r="E417" i="5"/>
  <c r="D417" i="5"/>
  <c r="C417" i="5"/>
  <c r="E416" i="5"/>
  <c r="D416" i="5"/>
  <c r="C416" i="5"/>
  <c r="E415" i="5"/>
  <c r="D415" i="5"/>
  <c r="C415" i="5"/>
  <c r="E414" i="5"/>
  <c r="D414" i="5"/>
  <c r="C414" i="5"/>
  <c r="E413" i="5"/>
  <c r="D413" i="5"/>
  <c r="C413" i="5"/>
  <c r="E412" i="5"/>
  <c r="D412" i="5"/>
  <c r="C412" i="5"/>
  <c r="E411" i="5"/>
  <c r="D411" i="5"/>
  <c r="C411" i="5"/>
  <c r="E410" i="5"/>
  <c r="D410" i="5"/>
  <c r="C410" i="5"/>
  <c r="E409" i="5"/>
  <c r="D409" i="5"/>
  <c r="C409" i="5"/>
  <c r="E408" i="5"/>
  <c r="D408" i="5"/>
  <c r="C408" i="5"/>
  <c r="E407" i="5"/>
  <c r="D407" i="5"/>
  <c r="C407" i="5"/>
  <c r="E406" i="5"/>
  <c r="D406" i="5"/>
  <c r="C406" i="5"/>
  <c r="E405" i="5"/>
  <c r="D405" i="5"/>
  <c r="C405" i="5"/>
  <c r="E404" i="5"/>
  <c r="D404" i="5"/>
  <c r="C404" i="5"/>
  <c r="E403" i="5"/>
  <c r="D403" i="5"/>
  <c r="C403" i="5"/>
  <c r="E402" i="5"/>
  <c r="D402" i="5"/>
  <c r="C402" i="5"/>
  <c r="E401" i="5"/>
  <c r="D401" i="5"/>
  <c r="C401" i="5"/>
  <c r="E400" i="5"/>
  <c r="D400" i="5"/>
  <c r="C400" i="5"/>
  <c r="E399" i="5"/>
  <c r="D399" i="5"/>
  <c r="C399" i="5"/>
  <c r="E398" i="5"/>
  <c r="D398" i="5"/>
  <c r="C398" i="5"/>
  <c r="E397" i="5"/>
  <c r="D397" i="5"/>
  <c r="C397" i="5"/>
  <c r="E396" i="5"/>
  <c r="D396" i="5"/>
  <c r="C396" i="5"/>
  <c r="E395" i="5"/>
  <c r="D395" i="5"/>
  <c r="C395" i="5"/>
  <c r="E394" i="5"/>
  <c r="D394" i="5"/>
  <c r="C394" i="5"/>
  <c r="E393" i="5"/>
  <c r="D393" i="5"/>
  <c r="C393" i="5"/>
  <c r="E392" i="5"/>
  <c r="D392" i="5"/>
  <c r="C392" i="5"/>
  <c r="E391" i="5"/>
  <c r="D391" i="5"/>
  <c r="C391" i="5"/>
  <c r="E390" i="5"/>
  <c r="D390" i="5"/>
  <c r="C390" i="5"/>
  <c r="E389" i="5"/>
  <c r="D389" i="5"/>
  <c r="C389" i="5"/>
  <c r="E388" i="5"/>
  <c r="D388" i="5"/>
  <c r="C388" i="5"/>
  <c r="E387" i="5"/>
  <c r="D387" i="5"/>
  <c r="C387" i="5"/>
  <c r="E386" i="5"/>
  <c r="D386" i="5"/>
  <c r="C386" i="5"/>
  <c r="E385" i="5"/>
  <c r="D385" i="5"/>
  <c r="C385" i="5"/>
  <c r="E384" i="5"/>
  <c r="D384" i="5"/>
  <c r="C384" i="5"/>
  <c r="E383" i="5"/>
  <c r="D383" i="5"/>
  <c r="C383" i="5"/>
  <c r="E382" i="5"/>
  <c r="D382" i="5"/>
  <c r="C382" i="5"/>
  <c r="E381" i="5"/>
  <c r="D381" i="5"/>
  <c r="C381" i="5"/>
  <c r="E380" i="5"/>
  <c r="D380" i="5"/>
  <c r="C380" i="5"/>
  <c r="E379" i="5"/>
  <c r="D379" i="5"/>
  <c r="C379" i="5"/>
  <c r="E378" i="5"/>
  <c r="D378" i="5"/>
  <c r="C378" i="5"/>
  <c r="E377" i="5"/>
  <c r="D377" i="5"/>
  <c r="C377" i="5"/>
  <c r="E376" i="5"/>
  <c r="D376" i="5"/>
  <c r="C376" i="5"/>
  <c r="E375" i="5"/>
  <c r="D375" i="5"/>
  <c r="C375" i="5"/>
  <c r="E374" i="5"/>
  <c r="D374" i="5"/>
  <c r="C374" i="5"/>
  <c r="E373" i="5"/>
  <c r="D373" i="5"/>
  <c r="C373" i="5"/>
  <c r="E372" i="5"/>
  <c r="D372" i="5"/>
  <c r="C372" i="5"/>
  <c r="E371" i="5"/>
  <c r="D371" i="5"/>
  <c r="C371" i="5"/>
  <c r="E370" i="5"/>
  <c r="D370" i="5"/>
  <c r="C370" i="5"/>
  <c r="E369" i="5"/>
  <c r="D369" i="5"/>
  <c r="C369" i="5"/>
  <c r="E368" i="5"/>
  <c r="D368" i="5"/>
  <c r="C368" i="5"/>
  <c r="E367" i="5"/>
  <c r="D367" i="5"/>
  <c r="C367" i="5"/>
  <c r="E366" i="5"/>
  <c r="D366" i="5"/>
  <c r="C366" i="5"/>
  <c r="E365" i="5"/>
  <c r="D365" i="5"/>
  <c r="C365" i="5"/>
  <c r="E364" i="5"/>
  <c r="D364" i="5"/>
  <c r="C364" i="5"/>
  <c r="E363" i="5"/>
  <c r="D363" i="5"/>
  <c r="C363" i="5"/>
  <c r="E362" i="5"/>
  <c r="D362" i="5"/>
  <c r="C362" i="5"/>
  <c r="E361" i="5"/>
  <c r="D361" i="5"/>
  <c r="C361" i="5"/>
  <c r="E360" i="5"/>
  <c r="D360" i="5"/>
  <c r="C360" i="5"/>
  <c r="E359" i="5"/>
  <c r="D359" i="5"/>
  <c r="C359" i="5"/>
  <c r="E358" i="5"/>
  <c r="D358" i="5"/>
  <c r="C358" i="5"/>
  <c r="E357" i="5"/>
  <c r="D357" i="5"/>
  <c r="C357" i="5"/>
  <c r="E356" i="5"/>
  <c r="D356" i="5"/>
  <c r="C356" i="5"/>
  <c r="E355" i="5"/>
  <c r="D355" i="5"/>
  <c r="C355" i="5"/>
  <c r="E354" i="5"/>
  <c r="D354" i="5"/>
  <c r="C354" i="5"/>
  <c r="E353" i="5"/>
  <c r="D353" i="5"/>
  <c r="C353" i="5"/>
  <c r="E352" i="5"/>
  <c r="D352" i="5"/>
  <c r="C352" i="5"/>
  <c r="E351" i="5"/>
  <c r="D351" i="5"/>
  <c r="C351" i="5"/>
  <c r="E350" i="5"/>
  <c r="D350" i="5"/>
  <c r="C350" i="5"/>
  <c r="E349" i="5"/>
  <c r="D349" i="5"/>
  <c r="C349" i="5"/>
  <c r="E348" i="5"/>
  <c r="D348" i="5"/>
  <c r="C348" i="5"/>
  <c r="E347" i="5"/>
  <c r="D347" i="5"/>
  <c r="C347" i="5"/>
  <c r="E346" i="5"/>
  <c r="D346" i="5"/>
  <c r="C346" i="5"/>
  <c r="E345" i="5"/>
  <c r="D345" i="5"/>
  <c r="C345" i="5"/>
  <c r="E344" i="5"/>
  <c r="D344" i="5"/>
  <c r="C344" i="5"/>
  <c r="E343" i="5"/>
  <c r="D343" i="5"/>
  <c r="C343" i="5"/>
  <c r="E342" i="5"/>
  <c r="D342" i="5"/>
  <c r="C342" i="5"/>
  <c r="E341" i="5"/>
  <c r="D341" i="5"/>
  <c r="C341" i="5"/>
  <c r="E340" i="5"/>
  <c r="D340" i="5"/>
  <c r="C340" i="5"/>
  <c r="E339" i="5"/>
  <c r="D339" i="5"/>
  <c r="C339" i="5"/>
  <c r="E338" i="5"/>
  <c r="D338" i="5"/>
  <c r="C338" i="5"/>
  <c r="E337" i="5"/>
  <c r="D337" i="5"/>
  <c r="C337" i="5"/>
  <c r="E336" i="5"/>
  <c r="D336" i="5"/>
  <c r="C336" i="5"/>
  <c r="E335" i="5"/>
  <c r="D335" i="5"/>
  <c r="C335" i="5"/>
  <c r="E334" i="5"/>
  <c r="D334" i="5"/>
  <c r="C334" i="5"/>
  <c r="E333" i="5"/>
  <c r="D333" i="5"/>
  <c r="C333" i="5"/>
  <c r="E332" i="5"/>
  <c r="D332" i="5"/>
  <c r="C332" i="5"/>
  <c r="E331" i="5"/>
  <c r="D331" i="5"/>
  <c r="C331" i="5"/>
  <c r="E330" i="5"/>
  <c r="D330" i="5"/>
  <c r="C330" i="5"/>
  <c r="E329" i="5"/>
  <c r="D329" i="5"/>
  <c r="C329" i="5"/>
  <c r="E328" i="5"/>
  <c r="D328" i="5"/>
  <c r="C328" i="5"/>
  <c r="E327" i="5"/>
  <c r="D327" i="5"/>
  <c r="C327" i="5"/>
  <c r="E326" i="5"/>
  <c r="D326" i="5"/>
  <c r="C326" i="5"/>
  <c r="E325" i="5"/>
  <c r="D325" i="5"/>
  <c r="C325" i="5"/>
  <c r="E324" i="5"/>
  <c r="D324" i="5"/>
  <c r="C324" i="5"/>
  <c r="E323" i="5"/>
  <c r="D323" i="5"/>
  <c r="C323" i="5"/>
  <c r="E322" i="5"/>
  <c r="D322" i="5"/>
  <c r="C322" i="5"/>
  <c r="E321" i="5"/>
  <c r="D321" i="5"/>
  <c r="C321" i="5"/>
  <c r="E320" i="5"/>
  <c r="D320" i="5"/>
  <c r="C320" i="5"/>
  <c r="E319" i="5"/>
  <c r="D319" i="5"/>
  <c r="C319" i="5"/>
  <c r="E318" i="5"/>
  <c r="D318" i="5"/>
  <c r="C318" i="5"/>
  <c r="E317" i="5"/>
  <c r="D317" i="5"/>
  <c r="C317" i="5"/>
  <c r="E316" i="5"/>
  <c r="D316" i="5"/>
  <c r="C316" i="5"/>
  <c r="E315" i="5"/>
  <c r="D315" i="5"/>
  <c r="C315" i="5"/>
  <c r="E314" i="5"/>
  <c r="D314" i="5"/>
  <c r="C314" i="5"/>
  <c r="E313" i="5"/>
  <c r="D313" i="5"/>
  <c r="C313" i="5"/>
  <c r="E312" i="5"/>
  <c r="D312" i="5"/>
  <c r="C312" i="5"/>
  <c r="E311" i="5"/>
  <c r="D311" i="5"/>
  <c r="C311" i="5"/>
  <c r="E310" i="5"/>
  <c r="D310" i="5"/>
  <c r="C310" i="5"/>
  <c r="E309" i="5"/>
  <c r="D309" i="5"/>
  <c r="C309" i="5"/>
  <c r="E308" i="5"/>
  <c r="D308" i="5"/>
  <c r="C308" i="5"/>
  <c r="E307" i="5"/>
  <c r="D307" i="5"/>
  <c r="C307" i="5"/>
  <c r="E306" i="5"/>
  <c r="D306" i="5"/>
  <c r="C306" i="5"/>
  <c r="E305" i="5"/>
  <c r="D305" i="5"/>
  <c r="C305" i="5"/>
  <c r="E304" i="5"/>
  <c r="D304" i="5"/>
  <c r="C304" i="5"/>
  <c r="E303" i="5"/>
  <c r="D303" i="5"/>
  <c r="C303" i="5"/>
  <c r="E302" i="5"/>
  <c r="D302" i="5"/>
  <c r="C302" i="5"/>
  <c r="E301" i="5"/>
  <c r="D301" i="5"/>
  <c r="C301" i="5"/>
  <c r="E300" i="5"/>
  <c r="D300" i="5"/>
  <c r="C300" i="5"/>
  <c r="E299" i="5"/>
  <c r="D299" i="5"/>
  <c r="C299" i="5"/>
  <c r="E298" i="5"/>
  <c r="D298" i="5"/>
  <c r="C298" i="5"/>
  <c r="E297" i="5"/>
  <c r="D297" i="5"/>
  <c r="C297" i="5"/>
  <c r="E296" i="5"/>
  <c r="D296" i="5"/>
  <c r="C296" i="5"/>
  <c r="E295" i="5"/>
  <c r="D295" i="5"/>
  <c r="C295" i="5"/>
  <c r="E294" i="5"/>
  <c r="D294" i="5"/>
  <c r="C294" i="5"/>
  <c r="E293" i="5"/>
  <c r="D293" i="5"/>
  <c r="C293" i="5"/>
  <c r="E292" i="5"/>
  <c r="D292" i="5"/>
  <c r="C292" i="5"/>
  <c r="E291" i="5"/>
  <c r="D291" i="5"/>
  <c r="C291" i="5"/>
  <c r="E290" i="5"/>
  <c r="D290" i="5"/>
  <c r="C290" i="5"/>
  <c r="E289" i="5"/>
  <c r="D289" i="5"/>
  <c r="C289" i="5"/>
  <c r="E288" i="5"/>
  <c r="D288" i="5"/>
  <c r="C288" i="5"/>
  <c r="E287" i="5"/>
  <c r="D287" i="5"/>
  <c r="C287" i="5"/>
  <c r="E286" i="5"/>
  <c r="D286" i="5"/>
  <c r="C286" i="5"/>
  <c r="E285" i="5"/>
  <c r="D285" i="5"/>
  <c r="C285" i="5"/>
  <c r="E284" i="5"/>
  <c r="D284" i="5"/>
  <c r="C284" i="5"/>
  <c r="E283" i="5"/>
  <c r="D283" i="5"/>
  <c r="C283" i="5"/>
  <c r="E282" i="5"/>
  <c r="D282" i="5"/>
  <c r="C282" i="5"/>
  <c r="E281" i="5"/>
  <c r="D281" i="5"/>
  <c r="C281" i="5"/>
  <c r="E280" i="5"/>
  <c r="D280" i="5"/>
  <c r="C280" i="5"/>
  <c r="E279" i="5"/>
  <c r="D279" i="5"/>
  <c r="C279" i="5"/>
  <c r="E278" i="5"/>
  <c r="D278" i="5"/>
  <c r="C278" i="5"/>
  <c r="E277" i="5"/>
  <c r="D277" i="5"/>
  <c r="C277" i="5"/>
  <c r="E276" i="5"/>
  <c r="D276" i="5"/>
  <c r="C276" i="5"/>
  <c r="E275" i="5"/>
  <c r="D275" i="5"/>
  <c r="C275" i="5"/>
  <c r="E274" i="5"/>
  <c r="D274" i="5"/>
  <c r="C274" i="5"/>
  <c r="E273" i="5"/>
  <c r="D273" i="5"/>
  <c r="C273" i="5"/>
  <c r="E272" i="5"/>
  <c r="D272" i="5"/>
  <c r="C272" i="5"/>
  <c r="E271" i="5"/>
  <c r="D271" i="5"/>
  <c r="C271" i="5"/>
  <c r="E270" i="5"/>
  <c r="D270" i="5"/>
  <c r="C270" i="5"/>
  <c r="E269" i="5"/>
  <c r="D269" i="5"/>
  <c r="C269" i="5"/>
  <c r="E268" i="5"/>
  <c r="D268" i="5"/>
  <c r="C268" i="5"/>
  <c r="E267" i="5"/>
  <c r="D267" i="5"/>
  <c r="C267" i="5"/>
  <c r="E266" i="5"/>
  <c r="D266" i="5"/>
  <c r="C266" i="5"/>
  <c r="E265" i="5"/>
  <c r="D265" i="5"/>
  <c r="C265" i="5"/>
  <c r="E264" i="5"/>
  <c r="D264" i="5"/>
  <c r="C264" i="5"/>
  <c r="E263" i="5"/>
  <c r="D263" i="5"/>
  <c r="C263" i="5"/>
  <c r="E262" i="5"/>
  <c r="D262" i="5"/>
  <c r="C262" i="5"/>
  <c r="E261" i="5"/>
  <c r="D261" i="5"/>
  <c r="C261" i="5"/>
  <c r="E260" i="5"/>
  <c r="D260" i="5"/>
  <c r="C260" i="5"/>
  <c r="E259" i="5"/>
  <c r="D259" i="5"/>
  <c r="C259" i="5"/>
  <c r="E258" i="5"/>
  <c r="D258" i="5"/>
  <c r="C258" i="5"/>
  <c r="E257" i="5"/>
  <c r="D257" i="5"/>
  <c r="C257" i="5"/>
  <c r="E256" i="5"/>
  <c r="D256" i="5"/>
  <c r="C256" i="5"/>
  <c r="E255" i="5"/>
  <c r="D255" i="5"/>
  <c r="C255" i="5"/>
  <c r="E254" i="5"/>
  <c r="D254" i="5"/>
  <c r="C254" i="5"/>
  <c r="E253" i="5"/>
  <c r="D253" i="5"/>
  <c r="C253" i="5"/>
  <c r="E252" i="5"/>
  <c r="D252" i="5"/>
  <c r="C252" i="5"/>
  <c r="E251" i="5"/>
  <c r="D251" i="5"/>
  <c r="C251" i="5"/>
  <c r="E250" i="5"/>
  <c r="D250" i="5"/>
  <c r="C250" i="5"/>
  <c r="E249" i="5"/>
  <c r="D249" i="5"/>
  <c r="C249" i="5"/>
  <c r="E248" i="5"/>
  <c r="D248" i="5"/>
  <c r="C248" i="5"/>
  <c r="E247" i="5"/>
  <c r="D247" i="5"/>
  <c r="C247" i="5"/>
  <c r="E246" i="5"/>
  <c r="D246" i="5"/>
  <c r="C246" i="5"/>
  <c r="E245" i="5"/>
  <c r="D245" i="5"/>
  <c r="C245" i="5"/>
  <c r="E244" i="5"/>
  <c r="D244" i="5"/>
  <c r="C244" i="5"/>
  <c r="E243" i="5"/>
  <c r="D243" i="5"/>
  <c r="C243" i="5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C238" i="5"/>
  <c r="E237" i="5"/>
  <c r="D237" i="5"/>
  <c r="C237" i="5"/>
  <c r="E236" i="5"/>
  <c r="D236" i="5"/>
  <c r="C236" i="5"/>
  <c r="E235" i="5"/>
  <c r="D235" i="5"/>
  <c r="C235" i="5"/>
  <c r="E234" i="5"/>
  <c r="D234" i="5"/>
  <c r="C234" i="5"/>
  <c r="E233" i="5"/>
  <c r="D233" i="5"/>
  <c r="C233" i="5"/>
  <c r="E232" i="5"/>
  <c r="D232" i="5"/>
  <c r="C232" i="5"/>
  <c r="E231" i="5"/>
  <c r="D231" i="5"/>
  <c r="C231" i="5"/>
  <c r="E230" i="5"/>
  <c r="D230" i="5"/>
  <c r="C230" i="5"/>
  <c r="E229" i="5"/>
  <c r="D229" i="5"/>
  <c r="C229" i="5"/>
  <c r="E228" i="5"/>
  <c r="D228" i="5"/>
  <c r="C228" i="5"/>
  <c r="E227" i="5"/>
  <c r="D227" i="5"/>
  <c r="C227" i="5"/>
  <c r="E226" i="5"/>
  <c r="D226" i="5"/>
  <c r="C226" i="5"/>
  <c r="E225" i="5"/>
  <c r="D225" i="5"/>
  <c r="C225" i="5"/>
  <c r="E224" i="5"/>
  <c r="D224" i="5"/>
  <c r="C224" i="5"/>
  <c r="E223" i="5"/>
  <c r="D223" i="5"/>
  <c r="C223" i="5"/>
  <c r="E222" i="5"/>
  <c r="D222" i="5"/>
  <c r="C222" i="5"/>
  <c r="E221" i="5"/>
  <c r="D221" i="5"/>
  <c r="C221" i="5"/>
  <c r="E220" i="5"/>
  <c r="D220" i="5"/>
  <c r="C220" i="5"/>
  <c r="E219" i="5"/>
  <c r="D219" i="5"/>
  <c r="C219" i="5"/>
  <c r="E218" i="5"/>
  <c r="D218" i="5"/>
  <c r="C218" i="5"/>
  <c r="E217" i="5"/>
  <c r="D217" i="5"/>
  <c r="C217" i="5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E207" i="5"/>
  <c r="D207" i="5"/>
  <c r="C207" i="5"/>
  <c r="E206" i="5"/>
  <c r="D206" i="5"/>
  <c r="C206" i="5"/>
  <c r="E205" i="5"/>
  <c r="D205" i="5"/>
  <c r="C205" i="5"/>
  <c r="E204" i="5"/>
  <c r="D204" i="5"/>
  <c r="C204" i="5"/>
  <c r="E203" i="5"/>
  <c r="D203" i="5"/>
  <c r="C203" i="5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C198" i="5"/>
  <c r="E197" i="5"/>
  <c r="D197" i="5"/>
  <c r="C197" i="5"/>
  <c r="E196" i="5"/>
  <c r="D196" i="5"/>
  <c r="C196" i="5"/>
  <c r="E195" i="5"/>
  <c r="D195" i="5"/>
  <c r="C195" i="5"/>
  <c r="E194" i="5"/>
  <c r="D194" i="5"/>
  <c r="C194" i="5"/>
  <c r="E193" i="5"/>
  <c r="D193" i="5"/>
  <c r="C193" i="5"/>
  <c r="E192" i="5"/>
  <c r="D192" i="5"/>
  <c r="C192" i="5"/>
  <c r="E191" i="5"/>
  <c r="D191" i="5"/>
  <c r="C191" i="5"/>
  <c r="E190" i="5"/>
  <c r="D190" i="5"/>
  <c r="C190" i="5"/>
  <c r="E189" i="5"/>
  <c r="D189" i="5"/>
  <c r="C189" i="5"/>
  <c r="E188" i="5"/>
  <c r="D188" i="5"/>
  <c r="C188" i="5"/>
  <c r="E187" i="5"/>
  <c r="D187" i="5"/>
  <c r="C187" i="5"/>
  <c r="E186" i="5"/>
  <c r="D186" i="5"/>
  <c r="C186" i="5"/>
  <c r="E185" i="5"/>
  <c r="D185" i="5"/>
  <c r="C185" i="5"/>
  <c r="E184" i="5"/>
  <c r="D184" i="5"/>
  <c r="C184" i="5"/>
  <c r="E183" i="5"/>
  <c r="D183" i="5"/>
  <c r="C183" i="5"/>
  <c r="E182" i="5"/>
  <c r="D182" i="5"/>
  <c r="C182" i="5"/>
  <c r="E181" i="5"/>
  <c r="D181" i="5"/>
  <c r="C181" i="5"/>
  <c r="E180" i="5"/>
  <c r="D180" i="5"/>
  <c r="C180" i="5"/>
  <c r="E179" i="5"/>
  <c r="D179" i="5"/>
  <c r="C179" i="5"/>
  <c r="E178" i="5"/>
  <c r="D178" i="5"/>
  <c r="C178" i="5"/>
  <c r="E177" i="5"/>
  <c r="D177" i="5"/>
  <c r="C177" i="5"/>
  <c r="E176" i="5"/>
  <c r="D176" i="5"/>
  <c r="C176" i="5"/>
  <c r="E175" i="5"/>
  <c r="D175" i="5"/>
  <c r="C175" i="5"/>
  <c r="E174" i="5"/>
  <c r="D174" i="5"/>
  <c r="C174" i="5"/>
  <c r="E173" i="5"/>
  <c r="D173" i="5"/>
  <c r="C173" i="5"/>
  <c r="E172" i="5"/>
  <c r="D172" i="5"/>
  <c r="C172" i="5"/>
  <c r="E171" i="5"/>
  <c r="D171" i="5"/>
  <c r="C171" i="5"/>
  <c r="E170" i="5"/>
  <c r="D170" i="5"/>
  <c r="C170" i="5"/>
  <c r="E169" i="5"/>
  <c r="D169" i="5"/>
  <c r="C169" i="5"/>
  <c r="E168" i="5"/>
  <c r="D168" i="5"/>
  <c r="C168" i="5"/>
  <c r="E167" i="5"/>
  <c r="D167" i="5"/>
  <c r="C167" i="5"/>
  <c r="E166" i="5"/>
  <c r="D166" i="5"/>
  <c r="C166" i="5"/>
  <c r="E165" i="5"/>
  <c r="D165" i="5"/>
  <c r="C165" i="5"/>
  <c r="E164" i="5"/>
  <c r="D164" i="5"/>
  <c r="C164" i="5"/>
  <c r="E163" i="5"/>
  <c r="D163" i="5"/>
  <c r="C163" i="5"/>
  <c r="E162" i="5"/>
  <c r="D162" i="5"/>
  <c r="C162" i="5"/>
  <c r="E161" i="5"/>
  <c r="D161" i="5"/>
  <c r="C161" i="5"/>
  <c r="E160" i="5"/>
  <c r="D160" i="5"/>
  <c r="C160" i="5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E154" i="5"/>
  <c r="D154" i="5"/>
  <c r="C154" i="5"/>
  <c r="E153" i="5"/>
  <c r="D153" i="5"/>
  <c r="C153" i="5"/>
  <c r="E152" i="5"/>
  <c r="D152" i="5"/>
  <c r="C152" i="5"/>
  <c r="E151" i="5"/>
  <c r="D151" i="5"/>
  <c r="C151" i="5"/>
  <c r="E150" i="5"/>
  <c r="D150" i="5"/>
  <c r="C150" i="5"/>
  <c r="E149" i="5"/>
  <c r="D149" i="5"/>
  <c r="C149" i="5"/>
  <c r="E148" i="5"/>
  <c r="D148" i="5"/>
  <c r="C148" i="5"/>
  <c r="E147" i="5"/>
  <c r="D147" i="5"/>
  <c r="C147" i="5"/>
  <c r="E146" i="5"/>
  <c r="D146" i="5"/>
  <c r="C146" i="5"/>
  <c r="E145" i="5"/>
  <c r="D145" i="5"/>
  <c r="C145" i="5"/>
  <c r="E144" i="5"/>
  <c r="D144" i="5"/>
  <c r="C144" i="5"/>
  <c r="E143" i="5"/>
  <c r="D143" i="5"/>
  <c r="C143" i="5"/>
  <c r="E142" i="5"/>
  <c r="D142" i="5"/>
  <c r="C142" i="5"/>
  <c r="E141" i="5"/>
  <c r="D141" i="5"/>
  <c r="C141" i="5"/>
  <c r="E140" i="5"/>
  <c r="D140" i="5"/>
  <c r="C140" i="5"/>
  <c r="E139" i="5"/>
  <c r="D139" i="5"/>
  <c r="C139" i="5"/>
  <c r="E138" i="5"/>
  <c r="D138" i="5"/>
  <c r="C138" i="5"/>
  <c r="E137" i="5"/>
  <c r="D137" i="5"/>
  <c r="C137" i="5"/>
  <c r="E136" i="5"/>
  <c r="D136" i="5"/>
  <c r="C136" i="5"/>
  <c r="E135" i="5"/>
  <c r="D135" i="5"/>
  <c r="C135" i="5"/>
  <c r="E134" i="5"/>
  <c r="D134" i="5"/>
  <c r="C134" i="5"/>
  <c r="E133" i="5"/>
  <c r="D133" i="5"/>
  <c r="C133" i="5"/>
  <c r="E132" i="5"/>
  <c r="D132" i="5"/>
  <c r="C132" i="5"/>
  <c r="E131" i="5"/>
  <c r="D131" i="5"/>
  <c r="C131" i="5"/>
  <c r="E130" i="5"/>
  <c r="D130" i="5"/>
  <c r="C130" i="5"/>
  <c r="E129" i="5"/>
  <c r="D129" i="5"/>
  <c r="C129" i="5"/>
  <c r="E128" i="5"/>
  <c r="D128" i="5"/>
  <c r="C128" i="5"/>
  <c r="E127" i="5"/>
  <c r="D127" i="5"/>
  <c r="C127" i="5"/>
  <c r="E126" i="5"/>
  <c r="D126" i="5"/>
  <c r="C126" i="5"/>
  <c r="E125" i="5"/>
  <c r="D125" i="5"/>
  <c r="C125" i="5"/>
  <c r="E124" i="5"/>
  <c r="D124" i="5"/>
  <c r="C124" i="5"/>
  <c r="E123" i="5"/>
  <c r="D123" i="5"/>
  <c r="C123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E117" i="5"/>
  <c r="D117" i="5"/>
  <c r="C117" i="5"/>
  <c r="E116" i="5"/>
  <c r="D116" i="5"/>
  <c r="C116" i="5"/>
  <c r="E115" i="5"/>
  <c r="D115" i="5"/>
  <c r="C115" i="5"/>
  <c r="E114" i="5"/>
  <c r="D114" i="5"/>
  <c r="C114" i="5"/>
  <c r="E113" i="5"/>
  <c r="D113" i="5"/>
  <c r="C113" i="5"/>
  <c r="E112" i="5"/>
  <c r="D112" i="5"/>
  <c r="C112" i="5"/>
  <c r="E111" i="5"/>
  <c r="D111" i="5"/>
  <c r="C111" i="5"/>
  <c r="E110" i="5"/>
  <c r="D110" i="5"/>
  <c r="C110" i="5"/>
  <c r="E109" i="5"/>
  <c r="D109" i="5"/>
  <c r="C109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3" i="5"/>
  <c r="D103" i="5"/>
  <c r="C103" i="5"/>
  <c r="E102" i="5"/>
  <c r="D102" i="5"/>
  <c r="C102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E96" i="5"/>
  <c r="D96" i="5"/>
  <c r="C96" i="5"/>
  <c r="E95" i="5"/>
  <c r="D95" i="5"/>
  <c r="C95" i="5"/>
  <c r="E94" i="5"/>
  <c r="D94" i="5"/>
  <c r="C94" i="5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J3" i="5"/>
  <c r="H3" i="5"/>
  <c r="D4206" i="4"/>
  <c r="C4206" i="4"/>
  <c r="B4206" i="4"/>
  <c r="M4206" i="4" s="1"/>
  <c r="D4205" i="4"/>
  <c r="C4205" i="4"/>
  <c r="B4205" i="4"/>
  <c r="M4205" i="4" s="1"/>
  <c r="D4204" i="4"/>
  <c r="C4204" i="4"/>
  <c r="B4204" i="4"/>
  <c r="M4204" i="4" s="1"/>
  <c r="D4203" i="4"/>
  <c r="C4203" i="4"/>
  <c r="B4203" i="4"/>
  <c r="M4203" i="4" s="1"/>
  <c r="D4202" i="4"/>
  <c r="C4202" i="4"/>
  <c r="B4202" i="4"/>
  <c r="M4202" i="4" s="1"/>
  <c r="D4201" i="4"/>
  <c r="C4201" i="4"/>
  <c r="B4201" i="4"/>
  <c r="M4201" i="4" s="1"/>
  <c r="D4200" i="4"/>
  <c r="C4200" i="4"/>
  <c r="B4200" i="4"/>
  <c r="M4200" i="4" s="1"/>
  <c r="D4199" i="4"/>
  <c r="C4199" i="4"/>
  <c r="B4199" i="4"/>
  <c r="M4199" i="4" s="1"/>
  <c r="D4198" i="4"/>
  <c r="C4198" i="4"/>
  <c r="B4198" i="4"/>
  <c r="M4198" i="4" s="1"/>
  <c r="D4197" i="4"/>
  <c r="C4197" i="4"/>
  <c r="B4197" i="4"/>
  <c r="M4197" i="4" s="1"/>
  <c r="D4196" i="4"/>
  <c r="C4196" i="4"/>
  <c r="B4196" i="4"/>
  <c r="M4196" i="4" s="1"/>
  <c r="D4195" i="4"/>
  <c r="C4195" i="4"/>
  <c r="B4195" i="4"/>
  <c r="M4195" i="4" s="1"/>
  <c r="D4194" i="4"/>
  <c r="C4194" i="4"/>
  <c r="B4194" i="4"/>
  <c r="M4194" i="4" s="1"/>
  <c r="D4193" i="4"/>
  <c r="C4193" i="4"/>
  <c r="B4193" i="4"/>
  <c r="M4193" i="4" s="1"/>
  <c r="D4192" i="4"/>
  <c r="C4192" i="4"/>
  <c r="B4192" i="4"/>
  <c r="M4192" i="4" s="1"/>
  <c r="D4191" i="4"/>
  <c r="C4191" i="4"/>
  <c r="B4191" i="4"/>
  <c r="M4191" i="4" s="1"/>
  <c r="D4190" i="4"/>
  <c r="C4190" i="4"/>
  <c r="B4190" i="4"/>
  <c r="M4190" i="4" s="1"/>
  <c r="D4189" i="4"/>
  <c r="C4189" i="4"/>
  <c r="B4189" i="4"/>
  <c r="M4189" i="4" s="1"/>
  <c r="D4188" i="4"/>
  <c r="C4188" i="4"/>
  <c r="B4188" i="4"/>
  <c r="M4188" i="4" s="1"/>
  <c r="D4187" i="4"/>
  <c r="C4187" i="4"/>
  <c r="B4187" i="4"/>
  <c r="M4187" i="4" s="1"/>
  <c r="D4186" i="4"/>
  <c r="C4186" i="4"/>
  <c r="B4186" i="4"/>
  <c r="M4186" i="4" s="1"/>
  <c r="D4185" i="4"/>
  <c r="C4185" i="4"/>
  <c r="B4185" i="4"/>
  <c r="M4185" i="4" s="1"/>
  <c r="D4184" i="4"/>
  <c r="C4184" i="4"/>
  <c r="B4184" i="4"/>
  <c r="M4184" i="4" s="1"/>
  <c r="D4183" i="4"/>
  <c r="C4183" i="4"/>
  <c r="B4183" i="4"/>
  <c r="M4183" i="4" s="1"/>
  <c r="D4182" i="4"/>
  <c r="C4182" i="4"/>
  <c r="B4182" i="4"/>
  <c r="M4182" i="4" s="1"/>
  <c r="D4181" i="4"/>
  <c r="C4181" i="4"/>
  <c r="B4181" i="4"/>
  <c r="M4181" i="4" s="1"/>
  <c r="D4180" i="4"/>
  <c r="C4180" i="4"/>
  <c r="B4180" i="4"/>
  <c r="M4180" i="4" s="1"/>
  <c r="D4179" i="4"/>
  <c r="C4179" i="4"/>
  <c r="B4179" i="4"/>
  <c r="M4179" i="4" s="1"/>
  <c r="D4178" i="4"/>
  <c r="C4178" i="4"/>
  <c r="B4178" i="4"/>
  <c r="M4178" i="4" s="1"/>
  <c r="D4177" i="4"/>
  <c r="C4177" i="4"/>
  <c r="B4177" i="4"/>
  <c r="M4177" i="4" s="1"/>
  <c r="D4176" i="4"/>
  <c r="C4176" i="4"/>
  <c r="B4176" i="4"/>
  <c r="M4176" i="4" s="1"/>
  <c r="D4175" i="4"/>
  <c r="C4175" i="4"/>
  <c r="B4175" i="4"/>
  <c r="M4175" i="4" s="1"/>
  <c r="D4174" i="4"/>
  <c r="C4174" i="4"/>
  <c r="B4174" i="4"/>
  <c r="M4174" i="4" s="1"/>
  <c r="D4173" i="4"/>
  <c r="C4173" i="4"/>
  <c r="B4173" i="4"/>
  <c r="M4173" i="4" s="1"/>
  <c r="D4172" i="4"/>
  <c r="C4172" i="4"/>
  <c r="B4172" i="4"/>
  <c r="M4172" i="4" s="1"/>
  <c r="D4171" i="4"/>
  <c r="C4171" i="4"/>
  <c r="B4171" i="4"/>
  <c r="M4171" i="4" s="1"/>
  <c r="D4170" i="4"/>
  <c r="C4170" i="4"/>
  <c r="B4170" i="4"/>
  <c r="M4170" i="4" s="1"/>
  <c r="D4169" i="4"/>
  <c r="C4169" i="4"/>
  <c r="B4169" i="4"/>
  <c r="M4169" i="4" s="1"/>
  <c r="D4168" i="4"/>
  <c r="C4168" i="4"/>
  <c r="B4168" i="4"/>
  <c r="M4168" i="4" s="1"/>
  <c r="D4167" i="4"/>
  <c r="C4167" i="4"/>
  <c r="B4167" i="4"/>
  <c r="M4167" i="4" s="1"/>
  <c r="D4166" i="4"/>
  <c r="C4166" i="4"/>
  <c r="B4166" i="4"/>
  <c r="M4166" i="4" s="1"/>
  <c r="D4165" i="4"/>
  <c r="C4165" i="4"/>
  <c r="B4165" i="4"/>
  <c r="M4165" i="4" s="1"/>
  <c r="D4164" i="4"/>
  <c r="C4164" i="4"/>
  <c r="B4164" i="4"/>
  <c r="M4164" i="4" s="1"/>
  <c r="D4163" i="4"/>
  <c r="C4163" i="4"/>
  <c r="B4163" i="4"/>
  <c r="M4163" i="4" s="1"/>
  <c r="D4162" i="4"/>
  <c r="C4162" i="4"/>
  <c r="B4162" i="4"/>
  <c r="M4162" i="4" s="1"/>
  <c r="D4161" i="4"/>
  <c r="C4161" i="4"/>
  <c r="B4161" i="4"/>
  <c r="M4161" i="4" s="1"/>
  <c r="D4160" i="4"/>
  <c r="C4160" i="4"/>
  <c r="B4160" i="4"/>
  <c r="M4160" i="4" s="1"/>
  <c r="D4159" i="4"/>
  <c r="C4159" i="4"/>
  <c r="B4159" i="4"/>
  <c r="M4159" i="4" s="1"/>
  <c r="D4158" i="4"/>
  <c r="C4158" i="4"/>
  <c r="B4158" i="4"/>
  <c r="M4158" i="4" s="1"/>
  <c r="D4157" i="4"/>
  <c r="C4157" i="4"/>
  <c r="B4157" i="4"/>
  <c r="M4157" i="4" s="1"/>
  <c r="D4156" i="4"/>
  <c r="C4156" i="4"/>
  <c r="B4156" i="4"/>
  <c r="M4156" i="4" s="1"/>
  <c r="D4155" i="4"/>
  <c r="C4155" i="4"/>
  <c r="B4155" i="4"/>
  <c r="M4155" i="4" s="1"/>
  <c r="D4154" i="4"/>
  <c r="C4154" i="4"/>
  <c r="B4154" i="4"/>
  <c r="M4154" i="4" s="1"/>
  <c r="D4153" i="4"/>
  <c r="C4153" i="4"/>
  <c r="B4153" i="4"/>
  <c r="M4153" i="4" s="1"/>
  <c r="D4152" i="4"/>
  <c r="C4152" i="4"/>
  <c r="B4152" i="4"/>
  <c r="M4152" i="4" s="1"/>
  <c r="D4151" i="4"/>
  <c r="C4151" i="4"/>
  <c r="B4151" i="4"/>
  <c r="M4151" i="4" s="1"/>
  <c r="D4150" i="4"/>
  <c r="C4150" i="4"/>
  <c r="B4150" i="4"/>
  <c r="M4150" i="4" s="1"/>
  <c r="D4149" i="4"/>
  <c r="C4149" i="4"/>
  <c r="B4149" i="4"/>
  <c r="M4149" i="4" s="1"/>
  <c r="D4148" i="4"/>
  <c r="C4148" i="4"/>
  <c r="B4148" i="4"/>
  <c r="M4148" i="4" s="1"/>
  <c r="D4147" i="4"/>
  <c r="C4147" i="4"/>
  <c r="B4147" i="4"/>
  <c r="M4147" i="4" s="1"/>
  <c r="D4146" i="4"/>
  <c r="C4146" i="4"/>
  <c r="B4146" i="4"/>
  <c r="M4146" i="4" s="1"/>
  <c r="D4145" i="4"/>
  <c r="C4145" i="4"/>
  <c r="B4145" i="4"/>
  <c r="M4145" i="4" s="1"/>
  <c r="D4144" i="4"/>
  <c r="C4144" i="4"/>
  <c r="B4144" i="4"/>
  <c r="M4144" i="4" s="1"/>
  <c r="D4143" i="4"/>
  <c r="C4143" i="4"/>
  <c r="B4143" i="4"/>
  <c r="M4143" i="4" s="1"/>
  <c r="D4142" i="4"/>
  <c r="C4142" i="4"/>
  <c r="B4142" i="4"/>
  <c r="M4142" i="4" s="1"/>
  <c r="D4141" i="4"/>
  <c r="C4141" i="4"/>
  <c r="B4141" i="4"/>
  <c r="M4141" i="4" s="1"/>
  <c r="D4140" i="4"/>
  <c r="C4140" i="4"/>
  <c r="B4140" i="4"/>
  <c r="M4140" i="4" s="1"/>
  <c r="D4139" i="4"/>
  <c r="C4139" i="4"/>
  <c r="B4139" i="4"/>
  <c r="M4139" i="4" s="1"/>
  <c r="D4138" i="4"/>
  <c r="C4138" i="4"/>
  <c r="B4138" i="4"/>
  <c r="M4138" i="4" s="1"/>
  <c r="D4137" i="4"/>
  <c r="C4137" i="4"/>
  <c r="B4137" i="4"/>
  <c r="M4137" i="4" s="1"/>
  <c r="D4136" i="4"/>
  <c r="C4136" i="4"/>
  <c r="B4136" i="4"/>
  <c r="M4136" i="4" s="1"/>
  <c r="D4135" i="4"/>
  <c r="C4135" i="4"/>
  <c r="B4135" i="4"/>
  <c r="M4135" i="4" s="1"/>
  <c r="D4134" i="4"/>
  <c r="C4134" i="4"/>
  <c r="B4134" i="4"/>
  <c r="M4134" i="4" s="1"/>
  <c r="D4133" i="4"/>
  <c r="C4133" i="4"/>
  <c r="B4133" i="4"/>
  <c r="M4133" i="4" s="1"/>
  <c r="D4132" i="4"/>
  <c r="C4132" i="4"/>
  <c r="B4132" i="4"/>
  <c r="M4132" i="4" s="1"/>
  <c r="D4131" i="4"/>
  <c r="C4131" i="4"/>
  <c r="B4131" i="4"/>
  <c r="M4131" i="4" s="1"/>
  <c r="D4130" i="4"/>
  <c r="C4130" i="4"/>
  <c r="B4130" i="4"/>
  <c r="M4130" i="4" s="1"/>
  <c r="D4129" i="4"/>
  <c r="C4129" i="4"/>
  <c r="B4129" i="4"/>
  <c r="M4129" i="4" s="1"/>
  <c r="D4128" i="4"/>
  <c r="C4128" i="4"/>
  <c r="B4128" i="4"/>
  <c r="M4128" i="4" s="1"/>
  <c r="D4127" i="4"/>
  <c r="C4127" i="4"/>
  <c r="B4127" i="4"/>
  <c r="M4127" i="4" s="1"/>
  <c r="D4126" i="4"/>
  <c r="C4126" i="4"/>
  <c r="B4126" i="4"/>
  <c r="M4126" i="4" s="1"/>
  <c r="D4125" i="4"/>
  <c r="C4125" i="4"/>
  <c r="B4125" i="4"/>
  <c r="M4125" i="4" s="1"/>
  <c r="D4124" i="4"/>
  <c r="C4124" i="4"/>
  <c r="B4124" i="4"/>
  <c r="M4124" i="4" s="1"/>
  <c r="D4123" i="4"/>
  <c r="C4123" i="4"/>
  <c r="B4123" i="4"/>
  <c r="M4123" i="4" s="1"/>
  <c r="D4122" i="4"/>
  <c r="C4122" i="4"/>
  <c r="B4122" i="4"/>
  <c r="M4122" i="4" s="1"/>
  <c r="D4121" i="4"/>
  <c r="C4121" i="4"/>
  <c r="B4121" i="4"/>
  <c r="M4121" i="4" s="1"/>
  <c r="D4120" i="4"/>
  <c r="C4120" i="4"/>
  <c r="B4120" i="4"/>
  <c r="M4120" i="4" s="1"/>
  <c r="D4119" i="4"/>
  <c r="C4119" i="4"/>
  <c r="B4119" i="4"/>
  <c r="M4119" i="4" s="1"/>
  <c r="D4118" i="4"/>
  <c r="C4118" i="4"/>
  <c r="B4118" i="4"/>
  <c r="M4118" i="4" s="1"/>
  <c r="D4117" i="4"/>
  <c r="C4117" i="4"/>
  <c r="B4117" i="4"/>
  <c r="M4117" i="4" s="1"/>
  <c r="D4116" i="4"/>
  <c r="C4116" i="4"/>
  <c r="B4116" i="4"/>
  <c r="M4116" i="4" s="1"/>
  <c r="D4115" i="4"/>
  <c r="C4115" i="4"/>
  <c r="B4115" i="4"/>
  <c r="M4115" i="4" s="1"/>
  <c r="D4114" i="4"/>
  <c r="C4114" i="4"/>
  <c r="B4114" i="4"/>
  <c r="M4114" i="4" s="1"/>
  <c r="D4113" i="4"/>
  <c r="C4113" i="4"/>
  <c r="B4113" i="4"/>
  <c r="M4113" i="4" s="1"/>
  <c r="D4112" i="4"/>
  <c r="C4112" i="4"/>
  <c r="B4112" i="4"/>
  <c r="M4112" i="4" s="1"/>
  <c r="D4111" i="4"/>
  <c r="C4111" i="4"/>
  <c r="B4111" i="4"/>
  <c r="M4111" i="4" s="1"/>
  <c r="D4110" i="4"/>
  <c r="C4110" i="4"/>
  <c r="B4110" i="4"/>
  <c r="M4110" i="4" s="1"/>
  <c r="D4109" i="4"/>
  <c r="C4109" i="4"/>
  <c r="B4109" i="4"/>
  <c r="M4109" i="4" s="1"/>
  <c r="D4108" i="4"/>
  <c r="C4108" i="4"/>
  <c r="B4108" i="4"/>
  <c r="M4108" i="4" s="1"/>
  <c r="D4107" i="4"/>
  <c r="C4107" i="4"/>
  <c r="B4107" i="4"/>
  <c r="M4107" i="4" s="1"/>
  <c r="D4106" i="4"/>
  <c r="C4106" i="4"/>
  <c r="B4106" i="4"/>
  <c r="M4106" i="4" s="1"/>
  <c r="D4105" i="4"/>
  <c r="C4105" i="4"/>
  <c r="B4105" i="4"/>
  <c r="M4105" i="4" s="1"/>
  <c r="D4104" i="4"/>
  <c r="C4104" i="4"/>
  <c r="B4104" i="4"/>
  <c r="M4104" i="4" s="1"/>
  <c r="D4103" i="4"/>
  <c r="C4103" i="4"/>
  <c r="B4103" i="4"/>
  <c r="M4103" i="4" s="1"/>
  <c r="D4102" i="4"/>
  <c r="C4102" i="4"/>
  <c r="B4102" i="4"/>
  <c r="M4102" i="4" s="1"/>
  <c r="D4101" i="4"/>
  <c r="C4101" i="4"/>
  <c r="B4101" i="4"/>
  <c r="M4101" i="4" s="1"/>
  <c r="D4100" i="4"/>
  <c r="C4100" i="4"/>
  <c r="B4100" i="4"/>
  <c r="M4100" i="4" s="1"/>
  <c r="D4099" i="4"/>
  <c r="C4099" i="4"/>
  <c r="B4099" i="4"/>
  <c r="M4099" i="4" s="1"/>
  <c r="D4098" i="4"/>
  <c r="C4098" i="4"/>
  <c r="B4098" i="4"/>
  <c r="M4098" i="4" s="1"/>
  <c r="D4097" i="4"/>
  <c r="C4097" i="4"/>
  <c r="B4097" i="4"/>
  <c r="M4097" i="4" s="1"/>
  <c r="D4096" i="4"/>
  <c r="C4096" i="4"/>
  <c r="B4096" i="4"/>
  <c r="M4096" i="4" s="1"/>
  <c r="D4095" i="4"/>
  <c r="C4095" i="4"/>
  <c r="B4095" i="4"/>
  <c r="M4095" i="4" s="1"/>
  <c r="D4094" i="4"/>
  <c r="C4094" i="4"/>
  <c r="B4094" i="4"/>
  <c r="M4094" i="4" s="1"/>
  <c r="D4093" i="4"/>
  <c r="C4093" i="4"/>
  <c r="B4093" i="4"/>
  <c r="M4093" i="4" s="1"/>
  <c r="D4092" i="4"/>
  <c r="C4092" i="4"/>
  <c r="B4092" i="4"/>
  <c r="M4092" i="4" s="1"/>
  <c r="D4091" i="4"/>
  <c r="C4091" i="4"/>
  <c r="B4091" i="4"/>
  <c r="M4091" i="4" s="1"/>
  <c r="D4090" i="4"/>
  <c r="C4090" i="4"/>
  <c r="B4090" i="4"/>
  <c r="M4090" i="4" s="1"/>
  <c r="D4089" i="4"/>
  <c r="C4089" i="4"/>
  <c r="B4089" i="4"/>
  <c r="M4089" i="4" s="1"/>
  <c r="D4088" i="4"/>
  <c r="C4088" i="4"/>
  <c r="B4088" i="4"/>
  <c r="M4088" i="4" s="1"/>
  <c r="D4087" i="4"/>
  <c r="C4087" i="4"/>
  <c r="B4087" i="4"/>
  <c r="M4087" i="4" s="1"/>
  <c r="D4086" i="4"/>
  <c r="C4086" i="4"/>
  <c r="B4086" i="4"/>
  <c r="M4086" i="4" s="1"/>
  <c r="D4085" i="4"/>
  <c r="C4085" i="4"/>
  <c r="B4085" i="4"/>
  <c r="M4085" i="4" s="1"/>
  <c r="D4084" i="4"/>
  <c r="C4084" i="4"/>
  <c r="B4084" i="4"/>
  <c r="M4084" i="4" s="1"/>
  <c r="D4083" i="4"/>
  <c r="C4083" i="4"/>
  <c r="B4083" i="4"/>
  <c r="M4083" i="4" s="1"/>
  <c r="D4082" i="4"/>
  <c r="C4082" i="4"/>
  <c r="B4082" i="4"/>
  <c r="M4082" i="4" s="1"/>
  <c r="D4081" i="4"/>
  <c r="C4081" i="4"/>
  <c r="B4081" i="4"/>
  <c r="M4081" i="4" s="1"/>
  <c r="D4080" i="4"/>
  <c r="C4080" i="4"/>
  <c r="B4080" i="4"/>
  <c r="M4080" i="4" s="1"/>
  <c r="D4079" i="4"/>
  <c r="C4079" i="4"/>
  <c r="B4079" i="4"/>
  <c r="M4079" i="4" s="1"/>
  <c r="D4078" i="4"/>
  <c r="C4078" i="4"/>
  <c r="B4078" i="4"/>
  <c r="M4078" i="4" s="1"/>
  <c r="D4077" i="4"/>
  <c r="C4077" i="4"/>
  <c r="B4077" i="4"/>
  <c r="M4077" i="4" s="1"/>
  <c r="D4076" i="4"/>
  <c r="C4076" i="4"/>
  <c r="B4076" i="4"/>
  <c r="M4076" i="4" s="1"/>
  <c r="D4075" i="4"/>
  <c r="C4075" i="4"/>
  <c r="B4075" i="4"/>
  <c r="M4075" i="4" s="1"/>
  <c r="D4074" i="4"/>
  <c r="C4074" i="4"/>
  <c r="B4074" i="4"/>
  <c r="M4074" i="4" s="1"/>
  <c r="D4073" i="4"/>
  <c r="C4073" i="4"/>
  <c r="B4073" i="4"/>
  <c r="M4073" i="4" s="1"/>
  <c r="D4072" i="4"/>
  <c r="C4072" i="4"/>
  <c r="B4072" i="4"/>
  <c r="M4072" i="4" s="1"/>
  <c r="D4071" i="4"/>
  <c r="C4071" i="4"/>
  <c r="B4071" i="4"/>
  <c r="M4071" i="4" s="1"/>
  <c r="D4070" i="4"/>
  <c r="C4070" i="4"/>
  <c r="B4070" i="4"/>
  <c r="M4070" i="4" s="1"/>
  <c r="D4069" i="4"/>
  <c r="C4069" i="4"/>
  <c r="B4069" i="4"/>
  <c r="M4069" i="4" s="1"/>
  <c r="D4068" i="4"/>
  <c r="C4068" i="4"/>
  <c r="B4068" i="4"/>
  <c r="M4068" i="4" s="1"/>
  <c r="D4067" i="4"/>
  <c r="C4067" i="4"/>
  <c r="B4067" i="4"/>
  <c r="M4067" i="4" s="1"/>
  <c r="D4066" i="4"/>
  <c r="C4066" i="4"/>
  <c r="B4066" i="4"/>
  <c r="M4066" i="4" s="1"/>
  <c r="D4065" i="4"/>
  <c r="C4065" i="4"/>
  <c r="B4065" i="4"/>
  <c r="M4065" i="4" s="1"/>
  <c r="D4064" i="4"/>
  <c r="C4064" i="4"/>
  <c r="B4064" i="4"/>
  <c r="M4064" i="4" s="1"/>
  <c r="D4063" i="4"/>
  <c r="C4063" i="4"/>
  <c r="B4063" i="4"/>
  <c r="M4063" i="4" s="1"/>
  <c r="D4062" i="4"/>
  <c r="C4062" i="4"/>
  <c r="B4062" i="4"/>
  <c r="M4062" i="4" s="1"/>
  <c r="D4061" i="4"/>
  <c r="C4061" i="4"/>
  <c r="B4061" i="4"/>
  <c r="M4061" i="4" s="1"/>
  <c r="D4060" i="4"/>
  <c r="C4060" i="4"/>
  <c r="B4060" i="4"/>
  <c r="M4060" i="4" s="1"/>
  <c r="D4059" i="4"/>
  <c r="C4059" i="4"/>
  <c r="B4059" i="4"/>
  <c r="M4059" i="4" s="1"/>
  <c r="D4058" i="4"/>
  <c r="C4058" i="4"/>
  <c r="B4058" i="4"/>
  <c r="M4058" i="4" s="1"/>
  <c r="D4057" i="4"/>
  <c r="C4057" i="4"/>
  <c r="B4057" i="4"/>
  <c r="M4057" i="4" s="1"/>
  <c r="D4056" i="4"/>
  <c r="C4056" i="4"/>
  <c r="B4056" i="4"/>
  <c r="M4056" i="4" s="1"/>
  <c r="D4055" i="4"/>
  <c r="C4055" i="4"/>
  <c r="B4055" i="4"/>
  <c r="M4055" i="4" s="1"/>
  <c r="D4054" i="4"/>
  <c r="C4054" i="4"/>
  <c r="B4054" i="4"/>
  <c r="M4054" i="4" s="1"/>
  <c r="D4053" i="4"/>
  <c r="C4053" i="4"/>
  <c r="B4053" i="4"/>
  <c r="M4053" i="4" s="1"/>
  <c r="D4052" i="4"/>
  <c r="C4052" i="4"/>
  <c r="B4052" i="4"/>
  <c r="M4052" i="4" s="1"/>
  <c r="D4051" i="4"/>
  <c r="C4051" i="4"/>
  <c r="B4051" i="4"/>
  <c r="M4051" i="4" s="1"/>
  <c r="D4050" i="4"/>
  <c r="C4050" i="4"/>
  <c r="B4050" i="4"/>
  <c r="M4050" i="4" s="1"/>
  <c r="D4049" i="4"/>
  <c r="C4049" i="4"/>
  <c r="B4049" i="4"/>
  <c r="M4049" i="4" s="1"/>
  <c r="D4048" i="4"/>
  <c r="C4048" i="4"/>
  <c r="B4048" i="4"/>
  <c r="M4048" i="4" s="1"/>
  <c r="D4047" i="4"/>
  <c r="C4047" i="4"/>
  <c r="B4047" i="4"/>
  <c r="M4047" i="4" s="1"/>
  <c r="D4046" i="4"/>
  <c r="C4046" i="4"/>
  <c r="B4046" i="4"/>
  <c r="M4046" i="4" s="1"/>
  <c r="D4045" i="4"/>
  <c r="C4045" i="4"/>
  <c r="B4045" i="4"/>
  <c r="M4045" i="4" s="1"/>
  <c r="D4044" i="4"/>
  <c r="C4044" i="4"/>
  <c r="B4044" i="4"/>
  <c r="M4044" i="4" s="1"/>
  <c r="D4043" i="4"/>
  <c r="C4043" i="4"/>
  <c r="B4043" i="4"/>
  <c r="M4043" i="4" s="1"/>
  <c r="D4042" i="4"/>
  <c r="C4042" i="4"/>
  <c r="B4042" i="4"/>
  <c r="M4042" i="4" s="1"/>
  <c r="D4041" i="4"/>
  <c r="C4041" i="4"/>
  <c r="B4041" i="4"/>
  <c r="M4041" i="4" s="1"/>
  <c r="D4040" i="4"/>
  <c r="C4040" i="4"/>
  <c r="B4040" i="4"/>
  <c r="M4040" i="4" s="1"/>
  <c r="D4039" i="4"/>
  <c r="C4039" i="4"/>
  <c r="B4039" i="4"/>
  <c r="M4039" i="4" s="1"/>
  <c r="D4038" i="4"/>
  <c r="C4038" i="4"/>
  <c r="B4038" i="4"/>
  <c r="M4038" i="4" s="1"/>
  <c r="D4037" i="4"/>
  <c r="C4037" i="4"/>
  <c r="B4037" i="4"/>
  <c r="M4037" i="4" s="1"/>
  <c r="D4036" i="4"/>
  <c r="C4036" i="4"/>
  <c r="B4036" i="4"/>
  <c r="M4036" i="4" s="1"/>
  <c r="D4035" i="4"/>
  <c r="C4035" i="4"/>
  <c r="B4035" i="4"/>
  <c r="M4035" i="4" s="1"/>
  <c r="D4034" i="4"/>
  <c r="C4034" i="4"/>
  <c r="B4034" i="4"/>
  <c r="M4034" i="4" s="1"/>
  <c r="D4033" i="4"/>
  <c r="C4033" i="4"/>
  <c r="B4033" i="4"/>
  <c r="M4033" i="4" s="1"/>
  <c r="D4032" i="4"/>
  <c r="C4032" i="4"/>
  <c r="B4032" i="4"/>
  <c r="M4032" i="4" s="1"/>
  <c r="D4031" i="4"/>
  <c r="C4031" i="4"/>
  <c r="B4031" i="4"/>
  <c r="M4031" i="4" s="1"/>
  <c r="D4030" i="4"/>
  <c r="C4030" i="4"/>
  <c r="B4030" i="4"/>
  <c r="M4030" i="4" s="1"/>
  <c r="D4029" i="4"/>
  <c r="C4029" i="4"/>
  <c r="B4029" i="4"/>
  <c r="M4029" i="4" s="1"/>
  <c r="D4028" i="4"/>
  <c r="C4028" i="4"/>
  <c r="B4028" i="4"/>
  <c r="M4028" i="4" s="1"/>
  <c r="D4027" i="4"/>
  <c r="C4027" i="4"/>
  <c r="B4027" i="4"/>
  <c r="M4027" i="4" s="1"/>
  <c r="D4026" i="4"/>
  <c r="C4026" i="4"/>
  <c r="B4026" i="4"/>
  <c r="M4026" i="4" s="1"/>
  <c r="D4025" i="4"/>
  <c r="C4025" i="4"/>
  <c r="B4025" i="4"/>
  <c r="M4025" i="4" s="1"/>
  <c r="D4024" i="4"/>
  <c r="C4024" i="4"/>
  <c r="B4024" i="4"/>
  <c r="M4024" i="4" s="1"/>
  <c r="D4023" i="4"/>
  <c r="C4023" i="4"/>
  <c r="B4023" i="4"/>
  <c r="M4023" i="4" s="1"/>
  <c r="D4022" i="4"/>
  <c r="C4022" i="4"/>
  <c r="B4022" i="4"/>
  <c r="M4022" i="4" s="1"/>
  <c r="D4021" i="4"/>
  <c r="C4021" i="4"/>
  <c r="B4021" i="4"/>
  <c r="M4021" i="4" s="1"/>
  <c r="D4020" i="4"/>
  <c r="C4020" i="4"/>
  <c r="B4020" i="4"/>
  <c r="M4020" i="4" s="1"/>
  <c r="D4019" i="4"/>
  <c r="C4019" i="4"/>
  <c r="B4019" i="4"/>
  <c r="M4019" i="4" s="1"/>
  <c r="D4018" i="4"/>
  <c r="C4018" i="4"/>
  <c r="B4018" i="4"/>
  <c r="M4018" i="4" s="1"/>
  <c r="D4017" i="4"/>
  <c r="C4017" i="4"/>
  <c r="B4017" i="4"/>
  <c r="M4017" i="4" s="1"/>
  <c r="D4016" i="4"/>
  <c r="C4016" i="4"/>
  <c r="B4016" i="4"/>
  <c r="M4016" i="4" s="1"/>
  <c r="D4015" i="4"/>
  <c r="C4015" i="4"/>
  <c r="B4015" i="4"/>
  <c r="M4015" i="4" s="1"/>
  <c r="D4014" i="4"/>
  <c r="C4014" i="4"/>
  <c r="B4014" i="4"/>
  <c r="M4014" i="4" s="1"/>
  <c r="D4013" i="4"/>
  <c r="C4013" i="4"/>
  <c r="B4013" i="4"/>
  <c r="M4013" i="4" s="1"/>
  <c r="D4012" i="4"/>
  <c r="C4012" i="4"/>
  <c r="B4012" i="4"/>
  <c r="M4012" i="4" s="1"/>
  <c r="D4011" i="4"/>
  <c r="C4011" i="4"/>
  <c r="B4011" i="4"/>
  <c r="M4011" i="4" s="1"/>
  <c r="D4010" i="4"/>
  <c r="C4010" i="4"/>
  <c r="B4010" i="4"/>
  <c r="M4010" i="4" s="1"/>
  <c r="D4009" i="4"/>
  <c r="C4009" i="4"/>
  <c r="B4009" i="4"/>
  <c r="M4009" i="4" s="1"/>
  <c r="D4008" i="4"/>
  <c r="C4008" i="4"/>
  <c r="B4008" i="4"/>
  <c r="M4008" i="4" s="1"/>
  <c r="D4007" i="4"/>
  <c r="C4007" i="4"/>
  <c r="B4007" i="4"/>
  <c r="M4007" i="4" s="1"/>
  <c r="D4006" i="4"/>
  <c r="C4006" i="4"/>
  <c r="B4006" i="4"/>
  <c r="M4006" i="4" s="1"/>
  <c r="D4005" i="4"/>
  <c r="C4005" i="4"/>
  <c r="B4005" i="4"/>
  <c r="M4005" i="4" s="1"/>
  <c r="D4004" i="4"/>
  <c r="C4004" i="4"/>
  <c r="B4004" i="4"/>
  <c r="M4004" i="4" s="1"/>
  <c r="D4003" i="4"/>
  <c r="C4003" i="4"/>
  <c r="B4003" i="4"/>
  <c r="M4003" i="4" s="1"/>
  <c r="D4002" i="4"/>
  <c r="C4002" i="4"/>
  <c r="B4002" i="4"/>
  <c r="M4002" i="4" s="1"/>
  <c r="D4001" i="4"/>
  <c r="C4001" i="4"/>
  <c r="B4001" i="4"/>
  <c r="M4001" i="4" s="1"/>
  <c r="D4000" i="4"/>
  <c r="C4000" i="4"/>
  <c r="B4000" i="4"/>
  <c r="M4000" i="4" s="1"/>
  <c r="D3999" i="4"/>
  <c r="C3999" i="4"/>
  <c r="B3999" i="4"/>
  <c r="M3999" i="4" s="1"/>
  <c r="D3998" i="4"/>
  <c r="C3998" i="4"/>
  <c r="B3998" i="4"/>
  <c r="M3998" i="4" s="1"/>
  <c r="D3997" i="4"/>
  <c r="C3997" i="4"/>
  <c r="B3997" i="4"/>
  <c r="M3997" i="4" s="1"/>
  <c r="D3996" i="4"/>
  <c r="C3996" i="4"/>
  <c r="B3996" i="4"/>
  <c r="M3996" i="4" s="1"/>
  <c r="D3995" i="4"/>
  <c r="C3995" i="4"/>
  <c r="B3995" i="4"/>
  <c r="M3995" i="4" s="1"/>
  <c r="D3994" i="4"/>
  <c r="C3994" i="4"/>
  <c r="B3994" i="4"/>
  <c r="M3994" i="4" s="1"/>
  <c r="D3993" i="4"/>
  <c r="C3993" i="4"/>
  <c r="B3993" i="4"/>
  <c r="M3993" i="4" s="1"/>
  <c r="D3992" i="4"/>
  <c r="C3992" i="4"/>
  <c r="B3992" i="4"/>
  <c r="M3992" i="4" s="1"/>
  <c r="D3991" i="4"/>
  <c r="C3991" i="4"/>
  <c r="B3991" i="4"/>
  <c r="M3991" i="4" s="1"/>
  <c r="D3990" i="4"/>
  <c r="C3990" i="4"/>
  <c r="B3990" i="4"/>
  <c r="M3990" i="4" s="1"/>
  <c r="D3989" i="4"/>
  <c r="C3989" i="4"/>
  <c r="B3989" i="4"/>
  <c r="M3989" i="4" s="1"/>
  <c r="D3988" i="4"/>
  <c r="C3988" i="4"/>
  <c r="B3988" i="4"/>
  <c r="M3988" i="4" s="1"/>
  <c r="D3987" i="4"/>
  <c r="C3987" i="4"/>
  <c r="B3987" i="4"/>
  <c r="M3987" i="4" s="1"/>
  <c r="D3986" i="4"/>
  <c r="C3986" i="4"/>
  <c r="B3986" i="4"/>
  <c r="M3986" i="4" s="1"/>
  <c r="D3985" i="4"/>
  <c r="C3985" i="4"/>
  <c r="B3985" i="4"/>
  <c r="M3985" i="4" s="1"/>
  <c r="D3984" i="4"/>
  <c r="C3984" i="4"/>
  <c r="B3984" i="4"/>
  <c r="M3984" i="4" s="1"/>
  <c r="D3983" i="4"/>
  <c r="C3983" i="4"/>
  <c r="B3983" i="4"/>
  <c r="M3983" i="4" s="1"/>
  <c r="D3982" i="4"/>
  <c r="C3982" i="4"/>
  <c r="B3982" i="4"/>
  <c r="M3982" i="4" s="1"/>
  <c r="D3981" i="4"/>
  <c r="C3981" i="4"/>
  <c r="B3981" i="4"/>
  <c r="M3981" i="4" s="1"/>
  <c r="D3980" i="4"/>
  <c r="C3980" i="4"/>
  <c r="B3980" i="4"/>
  <c r="M3980" i="4" s="1"/>
  <c r="D3979" i="4"/>
  <c r="C3979" i="4"/>
  <c r="B3979" i="4"/>
  <c r="M3979" i="4" s="1"/>
  <c r="D3978" i="4"/>
  <c r="C3978" i="4"/>
  <c r="B3978" i="4"/>
  <c r="M3978" i="4" s="1"/>
  <c r="D3977" i="4"/>
  <c r="C3977" i="4"/>
  <c r="B3977" i="4"/>
  <c r="M3977" i="4" s="1"/>
  <c r="D3976" i="4"/>
  <c r="C3976" i="4"/>
  <c r="B3976" i="4"/>
  <c r="M3976" i="4" s="1"/>
  <c r="D3975" i="4"/>
  <c r="C3975" i="4"/>
  <c r="B3975" i="4"/>
  <c r="M3975" i="4" s="1"/>
  <c r="D3974" i="4"/>
  <c r="C3974" i="4"/>
  <c r="B3974" i="4"/>
  <c r="M3974" i="4" s="1"/>
  <c r="D3973" i="4"/>
  <c r="C3973" i="4"/>
  <c r="B3973" i="4"/>
  <c r="M3973" i="4" s="1"/>
  <c r="D3972" i="4"/>
  <c r="C3972" i="4"/>
  <c r="B3972" i="4"/>
  <c r="M3972" i="4" s="1"/>
  <c r="D3971" i="4"/>
  <c r="C3971" i="4"/>
  <c r="B3971" i="4"/>
  <c r="M3971" i="4" s="1"/>
  <c r="D3970" i="4"/>
  <c r="C3970" i="4"/>
  <c r="B3970" i="4"/>
  <c r="M3970" i="4" s="1"/>
  <c r="D3969" i="4"/>
  <c r="C3969" i="4"/>
  <c r="B3969" i="4"/>
  <c r="M3969" i="4" s="1"/>
  <c r="D3968" i="4"/>
  <c r="C3968" i="4"/>
  <c r="B3968" i="4"/>
  <c r="M3968" i="4" s="1"/>
  <c r="D3967" i="4"/>
  <c r="C3967" i="4"/>
  <c r="B3967" i="4"/>
  <c r="M3967" i="4" s="1"/>
  <c r="D3966" i="4"/>
  <c r="C3966" i="4"/>
  <c r="B3966" i="4"/>
  <c r="M3966" i="4" s="1"/>
  <c r="D3965" i="4"/>
  <c r="C3965" i="4"/>
  <c r="B3965" i="4"/>
  <c r="M3965" i="4" s="1"/>
  <c r="D3964" i="4"/>
  <c r="C3964" i="4"/>
  <c r="B3964" i="4"/>
  <c r="M3964" i="4" s="1"/>
  <c r="D3963" i="4"/>
  <c r="C3963" i="4"/>
  <c r="B3963" i="4"/>
  <c r="M3963" i="4" s="1"/>
  <c r="D3962" i="4"/>
  <c r="C3962" i="4"/>
  <c r="B3962" i="4"/>
  <c r="M3962" i="4" s="1"/>
  <c r="D3961" i="4"/>
  <c r="C3961" i="4"/>
  <c r="B3961" i="4"/>
  <c r="M3961" i="4" s="1"/>
  <c r="D3960" i="4"/>
  <c r="C3960" i="4"/>
  <c r="B3960" i="4"/>
  <c r="M3960" i="4" s="1"/>
  <c r="D3959" i="4"/>
  <c r="C3959" i="4"/>
  <c r="B3959" i="4"/>
  <c r="M3959" i="4" s="1"/>
  <c r="D3958" i="4"/>
  <c r="C3958" i="4"/>
  <c r="B3958" i="4"/>
  <c r="M3958" i="4" s="1"/>
  <c r="D3957" i="4"/>
  <c r="C3957" i="4"/>
  <c r="B3957" i="4"/>
  <c r="M3957" i="4" s="1"/>
  <c r="D3956" i="4"/>
  <c r="C3956" i="4"/>
  <c r="B3956" i="4"/>
  <c r="M3956" i="4" s="1"/>
  <c r="D3955" i="4"/>
  <c r="C3955" i="4"/>
  <c r="B3955" i="4"/>
  <c r="M3955" i="4" s="1"/>
  <c r="D3954" i="4"/>
  <c r="C3954" i="4"/>
  <c r="B3954" i="4"/>
  <c r="M3954" i="4" s="1"/>
  <c r="D3953" i="4"/>
  <c r="C3953" i="4"/>
  <c r="B3953" i="4"/>
  <c r="M3953" i="4" s="1"/>
  <c r="D3952" i="4"/>
  <c r="C3952" i="4"/>
  <c r="B3952" i="4"/>
  <c r="M3952" i="4" s="1"/>
  <c r="D3951" i="4"/>
  <c r="C3951" i="4"/>
  <c r="B3951" i="4"/>
  <c r="M3951" i="4" s="1"/>
  <c r="D3950" i="4"/>
  <c r="C3950" i="4"/>
  <c r="B3950" i="4"/>
  <c r="M3950" i="4" s="1"/>
  <c r="D3949" i="4"/>
  <c r="C3949" i="4"/>
  <c r="B3949" i="4"/>
  <c r="M3949" i="4" s="1"/>
  <c r="D3948" i="4"/>
  <c r="C3948" i="4"/>
  <c r="B3948" i="4"/>
  <c r="M3948" i="4" s="1"/>
  <c r="D3947" i="4"/>
  <c r="C3947" i="4"/>
  <c r="B3947" i="4"/>
  <c r="M3947" i="4" s="1"/>
  <c r="D3946" i="4"/>
  <c r="C3946" i="4"/>
  <c r="B3946" i="4"/>
  <c r="M3946" i="4" s="1"/>
  <c r="D3945" i="4"/>
  <c r="C3945" i="4"/>
  <c r="B3945" i="4"/>
  <c r="M3945" i="4" s="1"/>
  <c r="D3944" i="4"/>
  <c r="C3944" i="4"/>
  <c r="B3944" i="4"/>
  <c r="M3944" i="4" s="1"/>
  <c r="D3943" i="4"/>
  <c r="C3943" i="4"/>
  <c r="B3943" i="4"/>
  <c r="M3943" i="4" s="1"/>
  <c r="D3942" i="4"/>
  <c r="C3942" i="4"/>
  <c r="B3942" i="4"/>
  <c r="M3942" i="4" s="1"/>
  <c r="D3941" i="4"/>
  <c r="C3941" i="4"/>
  <c r="B3941" i="4"/>
  <c r="M3941" i="4" s="1"/>
  <c r="D3940" i="4"/>
  <c r="C3940" i="4"/>
  <c r="B3940" i="4"/>
  <c r="M3940" i="4" s="1"/>
  <c r="D3939" i="4"/>
  <c r="C3939" i="4"/>
  <c r="B3939" i="4"/>
  <c r="M3939" i="4" s="1"/>
  <c r="D3938" i="4"/>
  <c r="C3938" i="4"/>
  <c r="B3938" i="4"/>
  <c r="M3938" i="4" s="1"/>
  <c r="D3937" i="4"/>
  <c r="C3937" i="4"/>
  <c r="B3937" i="4"/>
  <c r="M3937" i="4" s="1"/>
  <c r="D3936" i="4"/>
  <c r="C3936" i="4"/>
  <c r="B3936" i="4"/>
  <c r="M3936" i="4" s="1"/>
  <c r="D3935" i="4"/>
  <c r="C3935" i="4"/>
  <c r="B3935" i="4"/>
  <c r="M3935" i="4" s="1"/>
  <c r="D3934" i="4"/>
  <c r="C3934" i="4"/>
  <c r="B3934" i="4"/>
  <c r="M3934" i="4" s="1"/>
  <c r="D3933" i="4"/>
  <c r="C3933" i="4"/>
  <c r="B3933" i="4"/>
  <c r="M3933" i="4" s="1"/>
  <c r="D3932" i="4"/>
  <c r="C3932" i="4"/>
  <c r="B3932" i="4"/>
  <c r="M3932" i="4" s="1"/>
  <c r="D3931" i="4"/>
  <c r="C3931" i="4"/>
  <c r="B3931" i="4"/>
  <c r="M3931" i="4" s="1"/>
  <c r="D3930" i="4"/>
  <c r="C3930" i="4"/>
  <c r="B3930" i="4"/>
  <c r="M3930" i="4" s="1"/>
  <c r="D3929" i="4"/>
  <c r="C3929" i="4"/>
  <c r="B3929" i="4"/>
  <c r="M3929" i="4" s="1"/>
  <c r="D3928" i="4"/>
  <c r="C3928" i="4"/>
  <c r="B3928" i="4"/>
  <c r="M3928" i="4" s="1"/>
  <c r="D3927" i="4"/>
  <c r="C3927" i="4"/>
  <c r="B3927" i="4"/>
  <c r="M3927" i="4" s="1"/>
  <c r="D3926" i="4"/>
  <c r="C3926" i="4"/>
  <c r="B3926" i="4"/>
  <c r="M3926" i="4" s="1"/>
  <c r="D3925" i="4"/>
  <c r="C3925" i="4"/>
  <c r="B3925" i="4"/>
  <c r="M3925" i="4" s="1"/>
  <c r="D3924" i="4"/>
  <c r="C3924" i="4"/>
  <c r="B3924" i="4"/>
  <c r="M3924" i="4" s="1"/>
  <c r="D3923" i="4"/>
  <c r="C3923" i="4"/>
  <c r="B3923" i="4"/>
  <c r="M3923" i="4" s="1"/>
  <c r="D3922" i="4"/>
  <c r="C3922" i="4"/>
  <c r="B3922" i="4"/>
  <c r="M3922" i="4" s="1"/>
  <c r="D3921" i="4"/>
  <c r="C3921" i="4"/>
  <c r="B3921" i="4"/>
  <c r="M3921" i="4" s="1"/>
  <c r="D3920" i="4"/>
  <c r="C3920" i="4"/>
  <c r="B3920" i="4"/>
  <c r="M3920" i="4" s="1"/>
  <c r="D3919" i="4"/>
  <c r="C3919" i="4"/>
  <c r="B3919" i="4"/>
  <c r="M3919" i="4" s="1"/>
  <c r="D3918" i="4"/>
  <c r="C3918" i="4"/>
  <c r="B3918" i="4"/>
  <c r="M3918" i="4" s="1"/>
  <c r="D3917" i="4"/>
  <c r="C3917" i="4"/>
  <c r="B3917" i="4"/>
  <c r="M3917" i="4" s="1"/>
  <c r="D3916" i="4"/>
  <c r="C3916" i="4"/>
  <c r="B3916" i="4"/>
  <c r="M3916" i="4" s="1"/>
  <c r="D3915" i="4"/>
  <c r="C3915" i="4"/>
  <c r="B3915" i="4"/>
  <c r="M3915" i="4" s="1"/>
  <c r="D3914" i="4"/>
  <c r="C3914" i="4"/>
  <c r="B3914" i="4"/>
  <c r="M3914" i="4" s="1"/>
  <c r="D3913" i="4"/>
  <c r="C3913" i="4"/>
  <c r="B3913" i="4"/>
  <c r="M3913" i="4" s="1"/>
  <c r="D3912" i="4"/>
  <c r="C3912" i="4"/>
  <c r="B3912" i="4"/>
  <c r="M3912" i="4" s="1"/>
  <c r="D3911" i="4"/>
  <c r="C3911" i="4"/>
  <c r="B3911" i="4"/>
  <c r="M3911" i="4" s="1"/>
  <c r="D3910" i="4"/>
  <c r="C3910" i="4"/>
  <c r="B3910" i="4"/>
  <c r="M3910" i="4" s="1"/>
  <c r="D3909" i="4"/>
  <c r="C3909" i="4"/>
  <c r="B3909" i="4"/>
  <c r="M3909" i="4" s="1"/>
  <c r="D3908" i="4"/>
  <c r="C3908" i="4"/>
  <c r="B3908" i="4"/>
  <c r="M3908" i="4" s="1"/>
  <c r="D3907" i="4"/>
  <c r="C3907" i="4"/>
  <c r="B3907" i="4"/>
  <c r="M3907" i="4" s="1"/>
  <c r="D3906" i="4"/>
  <c r="C3906" i="4"/>
  <c r="B3906" i="4"/>
  <c r="M3906" i="4" s="1"/>
  <c r="D3905" i="4"/>
  <c r="C3905" i="4"/>
  <c r="B3905" i="4"/>
  <c r="M3905" i="4" s="1"/>
  <c r="D3904" i="4"/>
  <c r="C3904" i="4"/>
  <c r="B3904" i="4"/>
  <c r="M3904" i="4" s="1"/>
  <c r="D3903" i="4"/>
  <c r="C3903" i="4"/>
  <c r="B3903" i="4"/>
  <c r="M3903" i="4" s="1"/>
  <c r="D3902" i="4"/>
  <c r="C3902" i="4"/>
  <c r="B3902" i="4"/>
  <c r="M3902" i="4" s="1"/>
  <c r="D3901" i="4"/>
  <c r="C3901" i="4"/>
  <c r="B3901" i="4"/>
  <c r="M3901" i="4" s="1"/>
  <c r="D3900" i="4"/>
  <c r="C3900" i="4"/>
  <c r="B3900" i="4"/>
  <c r="M3900" i="4" s="1"/>
  <c r="D3899" i="4"/>
  <c r="C3899" i="4"/>
  <c r="B3899" i="4"/>
  <c r="M3899" i="4" s="1"/>
  <c r="D3898" i="4"/>
  <c r="C3898" i="4"/>
  <c r="B3898" i="4"/>
  <c r="M3898" i="4" s="1"/>
  <c r="D3897" i="4"/>
  <c r="C3897" i="4"/>
  <c r="B3897" i="4"/>
  <c r="M3897" i="4" s="1"/>
  <c r="D3896" i="4"/>
  <c r="C3896" i="4"/>
  <c r="B3896" i="4"/>
  <c r="M3896" i="4" s="1"/>
  <c r="D3895" i="4"/>
  <c r="C3895" i="4"/>
  <c r="B3895" i="4"/>
  <c r="M3895" i="4" s="1"/>
  <c r="D3894" i="4"/>
  <c r="C3894" i="4"/>
  <c r="B3894" i="4"/>
  <c r="M3894" i="4" s="1"/>
  <c r="D3893" i="4"/>
  <c r="C3893" i="4"/>
  <c r="B3893" i="4"/>
  <c r="M3893" i="4" s="1"/>
  <c r="D3892" i="4"/>
  <c r="C3892" i="4"/>
  <c r="B3892" i="4"/>
  <c r="M3892" i="4" s="1"/>
  <c r="D3891" i="4"/>
  <c r="C3891" i="4"/>
  <c r="B3891" i="4"/>
  <c r="M3891" i="4" s="1"/>
  <c r="D3890" i="4"/>
  <c r="C3890" i="4"/>
  <c r="B3890" i="4"/>
  <c r="M3890" i="4" s="1"/>
  <c r="D3889" i="4"/>
  <c r="C3889" i="4"/>
  <c r="B3889" i="4"/>
  <c r="M3889" i="4" s="1"/>
  <c r="D3888" i="4"/>
  <c r="C3888" i="4"/>
  <c r="B3888" i="4"/>
  <c r="M3888" i="4" s="1"/>
  <c r="D3887" i="4"/>
  <c r="C3887" i="4"/>
  <c r="B3887" i="4"/>
  <c r="M3887" i="4" s="1"/>
  <c r="D3886" i="4"/>
  <c r="C3886" i="4"/>
  <c r="B3886" i="4"/>
  <c r="M3886" i="4" s="1"/>
  <c r="D3885" i="4"/>
  <c r="C3885" i="4"/>
  <c r="B3885" i="4"/>
  <c r="M3885" i="4" s="1"/>
  <c r="D3884" i="4"/>
  <c r="C3884" i="4"/>
  <c r="B3884" i="4"/>
  <c r="M3884" i="4" s="1"/>
  <c r="D3883" i="4"/>
  <c r="C3883" i="4"/>
  <c r="B3883" i="4"/>
  <c r="M3883" i="4" s="1"/>
  <c r="D3882" i="4"/>
  <c r="C3882" i="4"/>
  <c r="B3882" i="4"/>
  <c r="M3882" i="4" s="1"/>
  <c r="D3881" i="4"/>
  <c r="C3881" i="4"/>
  <c r="B3881" i="4"/>
  <c r="M3881" i="4" s="1"/>
  <c r="D3880" i="4"/>
  <c r="C3880" i="4"/>
  <c r="B3880" i="4"/>
  <c r="M3880" i="4" s="1"/>
  <c r="D3879" i="4"/>
  <c r="C3879" i="4"/>
  <c r="B3879" i="4"/>
  <c r="M3879" i="4" s="1"/>
  <c r="D3878" i="4"/>
  <c r="C3878" i="4"/>
  <c r="B3878" i="4"/>
  <c r="M3878" i="4" s="1"/>
  <c r="D3877" i="4"/>
  <c r="C3877" i="4"/>
  <c r="B3877" i="4"/>
  <c r="M3877" i="4" s="1"/>
  <c r="D3876" i="4"/>
  <c r="C3876" i="4"/>
  <c r="B3876" i="4"/>
  <c r="M3876" i="4" s="1"/>
  <c r="D3875" i="4"/>
  <c r="C3875" i="4"/>
  <c r="B3875" i="4"/>
  <c r="M3875" i="4" s="1"/>
  <c r="D3874" i="4"/>
  <c r="C3874" i="4"/>
  <c r="B3874" i="4"/>
  <c r="M3874" i="4" s="1"/>
  <c r="D3873" i="4"/>
  <c r="C3873" i="4"/>
  <c r="B3873" i="4"/>
  <c r="M3873" i="4" s="1"/>
  <c r="D3872" i="4"/>
  <c r="C3872" i="4"/>
  <c r="B3872" i="4"/>
  <c r="M3872" i="4" s="1"/>
  <c r="D3871" i="4"/>
  <c r="C3871" i="4"/>
  <c r="B3871" i="4"/>
  <c r="M3871" i="4" s="1"/>
  <c r="D3870" i="4"/>
  <c r="C3870" i="4"/>
  <c r="B3870" i="4"/>
  <c r="M3870" i="4" s="1"/>
  <c r="D3869" i="4"/>
  <c r="C3869" i="4"/>
  <c r="B3869" i="4"/>
  <c r="M3869" i="4" s="1"/>
  <c r="D3868" i="4"/>
  <c r="C3868" i="4"/>
  <c r="B3868" i="4"/>
  <c r="M3868" i="4" s="1"/>
  <c r="D3867" i="4"/>
  <c r="C3867" i="4"/>
  <c r="B3867" i="4"/>
  <c r="M3867" i="4" s="1"/>
  <c r="D3866" i="4"/>
  <c r="C3866" i="4"/>
  <c r="B3866" i="4"/>
  <c r="M3866" i="4" s="1"/>
  <c r="D3865" i="4"/>
  <c r="C3865" i="4"/>
  <c r="B3865" i="4"/>
  <c r="M3865" i="4" s="1"/>
  <c r="D3864" i="4"/>
  <c r="C3864" i="4"/>
  <c r="B3864" i="4"/>
  <c r="M3864" i="4" s="1"/>
  <c r="D3863" i="4"/>
  <c r="C3863" i="4"/>
  <c r="B3863" i="4"/>
  <c r="M3863" i="4" s="1"/>
  <c r="D3862" i="4"/>
  <c r="C3862" i="4"/>
  <c r="B3862" i="4"/>
  <c r="M3862" i="4" s="1"/>
  <c r="D3861" i="4"/>
  <c r="C3861" i="4"/>
  <c r="B3861" i="4"/>
  <c r="M3861" i="4" s="1"/>
  <c r="D3860" i="4"/>
  <c r="C3860" i="4"/>
  <c r="B3860" i="4"/>
  <c r="M3860" i="4" s="1"/>
  <c r="D3859" i="4"/>
  <c r="C3859" i="4"/>
  <c r="B3859" i="4"/>
  <c r="M3859" i="4" s="1"/>
  <c r="D3858" i="4"/>
  <c r="C3858" i="4"/>
  <c r="B3858" i="4"/>
  <c r="M3858" i="4" s="1"/>
  <c r="D3857" i="4"/>
  <c r="C3857" i="4"/>
  <c r="B3857" i="4"/>
  <c r="M3857" i="4" s="1"/>
  <c r="D3856" i="4"/>
  <c r="C3856" i="4"/>
  <c r="B3856" i="4"/>
  <c r="M3856" i="4" s="1"/>
  <c r="D3855" i="4"/>
  <c r="C3855" i="4"/>
  <c r="B3855" i="4"/>
  <c r="M3855" i="4" s="1"/>
  <c r="D3854" i="4"/>
  <c r="C3854" i="4"/>
  <c r="B3854" i="4"/>
  <c r="M3854" i="4" s="1"/>
  <c r="D3853" i="4"/>
  <c r="C3853" i="4"/>
  <c r="B3853" i="4"/>
  <c r="M3853" i="4" s="1"/>
  <c r="D3852" i="4"/>
  <c r="C3852" i="4"/>
  <c r="B3852" i="4"/>
  <c r="M3852" i="4" s="1"/>
  <c r="D3851" i="4"/>
  <c r="C3851" i="4"/>
  <c r="B3851" i="4"/>
  <c r="M3851" i="4" s="1"/>
  <c r="D3850" i="4"/>
  <c r="C3850" i="4"/>
  <c r="B3850" i="4"/>
  <c r="M3850" i="4" s="1"/>
  <c r="D3849" i="4"/>
  <c r="C3849" i="4"/>
  <c r="B3849" i="4"/>
  <c r="M3849" i="4" s="1"/>
  <c r="D3848" i="4"/>
  <c r="C3848" i="4"/>
  <c r="B3848" i="4"/>
  <c r="M3848" i="4" s="1"/>
  <c r="D3847" i="4"/>
  <c r="C3847" i="4"/>
  <c r="B3847" i="4"/>
  <c r="M3847" i="4" s="1"/>
  <c r="D3846" i="4"/>
  <c r="C3846" i="4"/>
  <c r="B3846" i="4"/>
  <c r="M3846" i="4" s="1"/>
  <c r="D3845" i="4"/>
  <c r="C3845" i="4"/>
  <c r="B3845" i="4"/>
  <c r="M3845" i="4" s="1"/>
  <c r="D3844" i="4"/>
  <c r="C3844" i="4"/>
  <c r="B3844" i="4"/>
  <c r="M3844" i="4" s="1"/>
  <c r="D3843" i="4"/>
  <c r="C3843" i="4"/>
  <c r="B3843" i="4"/>
  <c r="M3843" i="4" s="1"/>
  <c r="D3842" i="4"/>
  <c r="C3842" i="4"/>
  <c r="B3842" i="4"/>
  <c r="M3842" i="4" s="1"/>
  <c r="D3841" i="4"/>
  <c r="C3841" i="4"/>
  <c r="B3841" i="4"/>
  <c r="M3841" i="4" s="1"/>
  <c r="D3840" i="4"/>
  <c r="C3840" i="4"/>
  <c r="B3840" i="4"/>
  <c r="M3840" i="4" s="1"/>
  <c r="D3839" i="4"/>
  <c r="C3839" i="4"/>
  <c r="B3839" i="4"/>
  <c r="M3839" i="4" s="1"/>
  <c r="D3838" i="4"/>
  <c r="C3838" i="4"/>
  <c r="B3838" i="4"/>
  <c r="M3838" i="4" s="1"/>
  <c r="D3837" i="4"/>
  <c r="C3837" i="4"/>
  <c r="B3837" i="4"/>
  <c r="M3837" i="4" s="1"/>
  <c r="D3836" i="4"/>
  <c r="C3836" i="4"/>
  <c r="B3836" i="4"/>
  <c r="M3836" i="4" s="1"/>
  <c r="D3835" i="4"/>
  <c r="C3835" i="4"/>
  <c r="B3835" i="4"/>
  <c r="M3835" i="4" s="1"/>
  <c r="D3834" i="4"/>
  <c r="C3834" i="4"/>
  <c r="B3834" i="4"/>
  <c r="M3834" i="4" s="1"/>
  <c r="D3833" i="4"/>
  <c r="C3833" i="4"/>
  <c r="B3833" i="4"/>
  <c r="M3833" i="4" s="1"/>
  <c r="D3832" i="4"/>
  <c r="C3832" i="4"/>
  <c r="B3832" i="4"/>
  <c r="M3832" i="4" s="1"/>
  <c r="D3831" i="4"/>
  <c r="C3831" i="4"/>
  <c r="B3831" i="4"/>
  <c r="M3831" i="4" s="1"/>
  <c r="D3830" i="4"/>
  <c r="C3830" i="4"/>
  <c r="B3830" i="4"/>
  <c r="M3830" i="4" s="1"/>
  <c r="D3829" i="4"/>
  <c r="C3829" i="4"/>
  <c r="B3829" i="4"/>
  <c r="M3829" i="4" s="1"/>
  <c r="D3828" i="4"/>
  <c r="C3828" i="4"/>
  <c r="B3828" i="4"/>
  <c r="M3828" i="4" s="1"/>
  <c r="D3827" i="4"/>
  <c r="C3827" i="4"/>
  <c r="B3827" i="4"/>
  <c r="M3827" i="4" s="1"/>
  <c r="D3826" i="4"/>
  <c r="C3826" i="4"/>
  <c r="B3826" i="4"/>
  <c r="M3826" i="4" s="1"/>
  <c r="D3825" i="4"/>
  <c r="C3825" i="4"/>
  <c r="B3825" i="4"/>
  <c r="M3825" i="4" s="1"/>
  <c r="D3824" i="4"/>
  <c r="C3824" i="4"/>
  <c r="B3824" i="4"/>
  <c r="M3824" i="4" s="1"/>
  <c r="D3823" i="4"/>
  <c r="C3823" i="4"/>
  <c r="B3823" i="4"/>
  <c r="M3823" i="4" s="1"/>
  <c r="D3822" i="4"/>
  <c r="C3822" i="4"/>
  <c r="B3822" i="4"/>
  <c r="M3822" i="4" s="1"/>
  <c r="D3821" i="4"/>
  <c r="C3821" i="4"/>
  <c r="B3821" i="4"/>
  <c r="M3821" i="4" s="1"/>
  <c r="D3820" i="4"/>
  <c r="C3820" i="4"/>
  <c r="B3820" i="4"/>
  <c r="M3820" i="4" s="1"/>
  <c r="D3819" i="4"/>
  <c r="C3819" i="4"/>
  <c r="B3819" i="4"/>
  <c r="M3819" i="4" s="1"/>
  <c r="D3818" i="4"/>
  <c r="C3818" i="4"/>
  <c r="B3818" i="4"/>
  <c r="M3818" i="4" s="1"/>
  <c r="D3817" i="4"/>
  <c r="C3817" i="4"/>
  <c r="B3817" i="4"/>
  <c r="M3817" i="4" s="1"/>
  <c r="D3816" i="4"/>
  <c r="C3816" i="4"/>
  <c r="B3816" i="4"/>
  <c r="M3816" i="4" s="1"/>
  <c r="D3815" i="4"/>
  <c r="C3815" i="4"/>
  <c r="B3815" i="4"/>
  <c r="M3815" i="4" s="1"/>
  <c r="D3814" i="4"/>
  <c r="C3814" i="4"/>
  <c r="B3814" i="4"/>
  <c r="M3814" i="4" s="1"/>
  <c r="D3813" i="4"/>
  <c r="C3813" i="4"/>
  <c r="B3813" i="4"/>
  <c r="M3813" i="4" s="1"/>
  <c r="D3812" i="4"/>
  <c r="C3812" i="4"/>
  <c r="B3812" i="4"/>
  <c r="M3812" i="4" s="1"/>
  <c r="D3811" i="4"/>
  <c r="C3811" i="4"/>
  <c r="B3811" i="4"/>
  <c r="M3811" i="4" s="1"/>
  <c r="D3810" i="4"/>
  <c r="C3810" i="4"/>
  <c r="B3810" i="4"/>
  <c r="M3810" i="4" s="1"/>
  <c r="D3809" i="4"/>
  <c r="C3809" i="4"/>
  <c r="B3809" i="4"/>
  <c r="M3809" i="4" s="1"/>
  <c r="D3808" i="4"/>
  <c r="C3808" i="4"/>
  <c r="B3808" i="4"/>
  <c r="M3808" i="4" s="1"/>
  <c r="D3807" i="4"/>
  <c r="C3807" i="4"/>
  <c r="B3807" i="4"/>
  <c r="M3807" i="4" s="1"/>
  <c r="D3806" i="4"/>
  <c r="C3806" i="4"/>
  <c r="B3806" i="4"/>
  <c r="M3806" i="4" s="1"/>
  <c r="D3805" i="4"/>
  <c r="C3805" i="4"/>
  <c r="B3805" i="4"/>
  <c r="M3805" i="4" s="1"/>
  <c r="D3804" i="4"/>
  <c r="C3804" i="4"/>
  <c r="B3804" i="4"/>
  <c r="M3804" i="4" s="1"/>
  <c r="D3803" i="4"/>
  <c r="C3803" i="4"/>
  <c r="B3803" i="4"/>
  <c r="M3803" i="4" s="1"/>
  <c r="D3802" i="4"/>
  <c r="C3802" i="4"/>
  <c r="B3802" i="4"/>
  <c r="M3802" i="4" s="1"/>
  <c r="D3801" i="4"/>
  <c r="C3801" i="4"/>
  <c r="B3801" i="4"/>
  <c r="M3801" i="4" s="1"/>
  <c r="D3800" i="4"/>
  <c r="C3800" i="4"/>
  <c r="B3800" i="4"/>
  <c r="M3800" i="4" s="1"/>
  <c r="D3799" i="4"/>
  <c r="C3799" i="4"/>
  <c r="B3799" i="4"/>
  <c r="M3799" i="4" s="1"/>
  <c r="D3798" i="4"/>
  <c r="C3798" i="4"/>
  <c r="B3798" i="4"/>
  <c r="M3798" i="4" s="1"/>
  <c r="D3797" i="4"/>
  <c r="C3797" i="4"/>
  <c r="B3797" i="4"/>
  <c r="M3797" i="4" s="1"/>
  <c r="D3796" i="4"/>
  <c r="C3796" i="4"/>
  <c r="B3796" i="4"/>
  <c r="M3796" i="4" s="1"/>
  <c r="D3795" i="4"/>
  <c r="C3795" i="4"/>
  <c r="B3795" i="4"/>
  <c r="M3795" i="4" s="1"/>
  <c r="D3794" i="4"/>
  <c r="C3794" i="4"/>
  <c r="B3794" i="4"/>
  <c r="M3794" i="4" s="1"/>
  <c r="D3793" i="4"/>
  <c r="C3793" i="4"/>
  <c r="B3793" i="4"/>
  <c r="M3793" i="4" s="1"/>
  <c r="D3792" i="4"/>
  <c r="C3792" i="4"/>
  <c r="B3792" i="4"/>
  <c r="M3792" i="4" s="1"/>
  <c r="D3791" i="4"/>
  <c r="C3791" i="4"/>
  <c r="B3791" i="4"/>
  <c r="M3791" i="4" s="1"/>
  <c r="D3790" i="4"/>
  <c r="C3790" i="4"/>
  <c r="B3790" i="4"/>
  <c r="M3790" i="4" s="1"/>
  <c r="D3789" i="4"/>
  <c r="C3789" i="4"/>
  <c r="B3789" i="4"/>
  <c r="M3789" i="4" s="1"/>
  <c r="D3788" i="4"/>
  <c r="C3788" i="4"/>
  <c r="B3788" i="4"/>
  <c r="M3788" i="4" s="1"/>
  <c r="D3787" i="4"/>
  <c r="C3787" i="4"/>
  <c r="B3787" i="4"/>
  <c r="M3787" i="4" s="1"/>
  <c r="D3786" i="4"/>
  <c r="C3786" i="4"/>
  <c r="B3786" i="4"/>
  <c r="M3786" i="4" s="1"/>
  <c r="D3785" i="4"/>
  <c r="C3785" i="4"/>
  <c r="B3785" i="4"/>
  <c r="M3785" i="4" s="1"/>
  <c r="D3784" i="4"/>
  <c r="C3784" i="4"/>
  <c r="B3784" i="4"/>
  <c r="M3784" i="4" s="1"/>
  <c r="D3783" i="4"/>
  <c r="C3783" i="4"/>
  <c r="B3783" i="4"/>
  <c r="M3783" i="4" s="1"/>
  <c r="D3782" i="4"/>
  <c r="C3782" i="4"/>
  <c r="B3782" i="4"/>
  <c r="M3782" i="4" s="1"/>
  <c r="D3781" i="4"/>
  <c r="C3781" i="4"/>
  <c r="B3781" i="4"/>
  <c r="M3781" i="4" s="1"/>
  <c r="D3780" i="4"/>
  <c r="C3780" i="4"/>
  <c r="B3780" i="4"/>
  <c r="M3780" i="4" s="1"/>
  <c r="D3779" i="4"/>
  <c r="C3779" i="4"/>
  <c r="B3779" i="4"/>
  <c r="M3779" i="4" s="1"/>
  <c r="D3778" i="4"/>
  <c r="C3778" i="4"/>
  <c r="B3778" i="4"/>
  <c r="M3778" i="4" s="1"/>
  <c r="D3777" i="4"/>
  <c r="C3777" i="4"/>
  <c r="B3777" i="4"/>
  <c r="M3777" i="4" s="1"/>
  <c r="D3776" i="4"/>
  <c r="C3776" i="4"/>
  <c r="B3776" i="4"/>
  <c r="M3776" i="4" s="1"/>
  <c r="D3775" i="4"/>
  <c r="C3775" i="4"/>
  <c r="B3775" i="4"/>
  <c r="M3775" i="4" s="1"/>
  <c r="D3774" i="4"/>
  <c r="C3774" i="4"/>
  <c r="B3774" i="4"/>
  <c r="M3774" i="4" s="1"/>
  <c r="D3773" i="4"/>
  <c r="C3773" i="4"/>
  <c r="B3773" i="4"/>
  <c r="M3773" i="4" s="1"/>
  <c r="D3772" i="4"/>
  <c r="C3772" i="4"/>
  <c r="B3772" i="4"/>
  <c r="M3772" i="4" s="1"/>
  <c r="D3771" i="4"/>
  <c r="C3771" i="4"/>
  <c r="B3771" i="4"/>
  <c r="M3771" i="4" s="1"/>
  <c r="D3770" i="4"/>
  <c r="C3770" i="4"/>
  <c r="B3770" i="4"/>
  <c r="M3770" i="4" s="1"/>
  <c r="D3769" i="4"/>
  <c r="C3769" i="4"/>
  <c r="B3769" i="4"/>
  <c r="M3769" i="4" s="1"/>
  <c r="D3768" i="4"/>
  <c r="C3768" i="4"/>
  <c r="B3768" i="4"/>
  <c r="M3768" i="4" s="1"/>
  <c r="D3767" i="4"/>
  <c r="C3767" i="4"/>
  <c r="B3767" i="4"/>
  <c r="M3767" i="4" s="1"/>
  <c r="D3766" i="4"/>
  <c r="C3766" i="4"/>
  <c r="B3766" i="4"/>
  <c r="M3766" i="4" s="1"/>
  <c r="D3765" i="4"/>
  <c r="C3765" i="4"/>
  <c r="B3765" i="4"/>
  <c r="M3765" i="4" s="1"/>
  <c r="D3764" i="4"/>
  <c r="C3764" i="4"/>
  <c r="B3764" i="4"/>
  <c r="M3764" i="4" s="1"/>
  <c r="D3763" i="4"/>
  <c r="C3763" i="4"/>
  <c r="B3763" i="4"/>
  <c r="M3763" i="4" s="1"/>
  <c r="D3762" i="4"/>
  <c r="C3762" i="4"/>
  <c r="B3762" i="4"/>
  <c r="M3762" i="4" s="1"/>
  <c r="D3761" i="4"/>
  <c r="C3761" i="4"/>
  <c r="B3761" i="4"/>
  <c r="M3761" i="4" s="1"/>
  <c r="D3760" i="4"/>
  <c r="C3760" i="4"/>
  <c r="B3760" i="4"/>
  <c r="M3760" i="4" s="1"/>
  <c r="D3759" i="4"/>
  <c r="C3759" i="4"/>
  <c r="B3759" i="4"/>
  <c r="M3759" i="4" s="1"/>
  <c r="D3758" i="4"/>
  <c r="C3758" i="4"/>
  <c r="B3758" i="4"/>
  <c r="M3758" i="4" s="1"/>
  <c r="D3757" i="4"/>
  <c r="C3757" i="4"/>
  <c r="B3757" i="4"/>
  <c r="M3757" i="4" s="1"/>
  <c r="D3756" i="4"/>
  <c r="C3756" i="4"/>
  <c r="B3756" i="4"/>
  <c r="M3756" i="4" s="1"/>
  <c r="D3755" i="4"/>
  <c r="C3755" i="4"/>
  <c r="B3755" i="4"/>
  <c r="M3755" i="4" s="1"/>
  <c r="D3754" i="4"/>
  <c r="C3754" i="4"/>
  <c r="B3754" i="4"/>
  <c r="M3754" i="4" s="1"/>
  <c r="D3753" i="4"/>
  <c r="C3753" i="4"/>
  <c r="B3753" i="4"/>
  <c r="M3753" i="4" s="1"/>
  <c r="D3752" i="4"/>
  <c r="C3752" i="4"/>
  <c r="B3752" i="4"/>
  <c r="M3752" i="4" s="1"/>
  <c r="D3751" i="4"/>
  <c r="C3751" i="4"/>
  <c r="B3751" i="4"/>
  <c r="M3751" i="4" s="1"/>
  <c r="D3750" i="4"/>
  <c r="C3750" i="4"/>
  <c r="B3750" i="4"/>
  <c r="M3750" i="4" s="1"/>
  <c r="D3749" i="4"/>
  <c r="C3749" i="4"/>
  <c r="B3749" i="4"/>
  <c r="M3749" i="4" s="1"/>
  <c r="D3748" i="4"/>
  <c r="C3748" i="4"/>
  <c r="B3748" i="4"/>
  <c r="M3748" i="4" s="1"/>
  <c r="D3747" i="4"/>
  <c r="C3747" i="4"/>
  <c r="B3747" i="4"/>
  <c r="M3747" i="4" s="1"/>
  <c r="D3746" i="4"/>
  <c r="C3746" i="4"/>
  <c r="B3746" i="4"/>
  <c r="M3746" i="4" s="1"/>
  <c r="D3745" i="4"/>
  <c r="C3745" i="4"/>
  <c r="B3745" i="4"/>
  <c r="M3745" i="4" s="1"/>
  <c r="D3744" i="4"/>
  <c r="C3744" i="4"/>
  <c r="B3744" i="4"/>
  <c r="M3744" i="4" s="1"/>
  <c r="D3743" i="4"/>
  <c r="C3743" i="4"/>
  <c r="B3743" i="4"/>
  <c r="M3743" i="4" s="1"/>
  <c r="D3742" i="4"/>
  <c r="C3742" i="4"/>
  <c r="B3742" i="4"/>
  <c r="M3742" i="4" s="1"/>
  <c r="D3741" i="4"/>
  <c r="C3741" i="4"/>
  <c r="B3741" i="4"/>
  <c r="M3741" i="4" s="1"/>
  <c r="D3740" i="4"/>
  <c r="C3740" i="4"/>
  <c r="B3740" i="4"/>
  <c r="M3740" i="4" s="1"/>
  <c r="D3739" i="4"/>
  <c r="C3739" i="4"/>
  <c r="B3739" i="4"/>
  <c r="M3739" i="4" s="1"/>
  <c r="D3738" i="4"/>
  <c r="C3738" i="4"/>
  <c r="B3738" i="4"/>
  <c r="M3738" i="4" s="1"/>
  <c r="D3737" i="4"/>
  <c r="C3737" i="4"/>
  <c r="B3737" i="4"/>
  <c r="M3737" i="4" s="1"/>
  <c r="D3736" i="4"/>
  <c r="C3736" i="4"/>
  <c r="B3736" i="4"/>
  <c r="M3736" i="4" s="1"/>
  <c r="D3735" i="4"/>
  <c r="C3735" i="4"/>
  <c r="B3735" i="4"/>
  <c r="M3735" i="4" s="1"/>
  <c r="D3734" i="4"/>
  <c r="C3734" i="4"/>
  <c r="B3734" i="4"/>
  <c r="M3734" i="4" s="1"/>
  <c r="D3733" i="4"/>
  <c r="C3733" i="4"/>
  <c r="B3733" i="4"/>
  <c r="M3733" i="4" s="1"/>
  <c r="D3732" i="4"/>
  <c r="C3732" i="4"/>
  <c r="B3732" i="4"/>
  <c r="M3732" i="4" s="1"/>
  <c r="D3731" i="4"/>
  <c r="C3731" i="4"/>
  <c r="B3731" i="4"/>
  <c r="M3731" i="4" s="1"/>
  <c r="D3730" i="4"/>
  <c r="C3730" i="4"/>
  <c r="B3730" i="4"/>
  <c r="M3730" i="4" s="1"/>
  <c r="D3729" i="4"/>
  <c r="C3729" i="4"/>
  <c r="B3729" i="4"/>
  <c r="M3729" i="4" s="1"/>
  <c r="D3728" i="4"/>
  <c r="C3728" i="4"/>
  <c r="B3728" i="4"/>
  <c r="M3728" i="4" s="1"/>
  <c r="D3727" i="4"/>
  <c r="C3727" i="4"/>
  <c r="B3727" i="4"/>
  <c r="M3727" i="4" s="1"/>
  <c r="D3726" i="4"/>
  <c r="C3726" i="4"/>
  <c r="B3726" i="4"/>
  <c r="M3726" i="4" s="1"/>
  <c r="D3725" i="4"/>
  <c r="C3725" i="4"/>
  <c r="B3725" i="4"/>
  <c r="M3725" i="4" s="1"/>
  <c r="D3724" i="4"/>
  <c r="C3724" i="4"/>
  <c r="B3724" i="4"/>
  <c r="M3724" i="4" s="1"/>
  <c r="D3723" i="4"/>
  <c r="C3723" i="4"/>
  <c r="B3723" i="4"/>
  <c r="M3723" i="4" s="1"/>
  <c r="D3722" i="4"/>
  <c r="C3722" i="4"/>
  <c r="B3722" i="4"/>
  <c r="M3722" i="4" s="1"/>
  <c r="D3721" i="4"/>
  <c r="C3721" i="4"/>
  <c r="B3721" i="4"/>
  <c r="M3721" i="4" s="1"/>
  <c r="D3720" i="4"/>
  <c r="C3720" i="4"/>
  <c r="B3720" i="4"/>
  <c r="M3720" i="4" s="1"/>
  <c r="D3719" i="4"/>
  <c r="C3719" i="4"/>
  <c r="B3719" i="4"/>
  <c r="M3719" i="4" s="1"/>
  <c r="D3718" i="4"/>
  <c r="C3718" i="4"/>
  <c r="B3718" i="4"/>
  <c r="M3718" i="4" s="1"/>
  <c r="D3717" i="4"/>
  <c r="C3717" i="4"/>
  <c r="B3717" i="4"/>
  <c r="M3717" i="4" s="1"/>
  <c r="D3716" i="4"/>
  <c r="C3716" i="4"/>
  <c r="B3716" i="4"/>
  <c r="M3716" i="4" s="1"/>
  <c r="D3715" i="4"/>
  <c r="C3715" i="4"/>
  <c r="B3715" i="4"/>
  <c r="M3715" i="4" s="1"/>
  <c r="D3714" i="4"/>
  <c r="C3714" i="4"/>
  <c r="B3714" i="4"/>
  <c r="M3714" i="4" s="1"/>
  <c r="D3713" i="4"/>
  <c r="C3713" i="4"/>
  <c r="B3713" i="4"/>
  <c r="M3713" i="4" s="1"/>
  <c r="D3712" i="4"/>
  <c r="C3712" i="4"/>
  <c r="B3712" i="4"/>
  <c r="M3712" i="4" s="1"/>
  <c r="D3711" i="4"/>
  <c r="C3711" i="4"/>
  <c r="B3711" i="4"/>
  <c r="M3711" i="4" s="1"/>
  <c r="D3710" i="4"/>
  <c r="C3710" i="4"/>
  <c r="B3710" i="4"/>
  <c r="M3710" i="4" s="1"/>
  <c r="D3709" i="4"/>
  <c r="C3709" i="4"/>
  <c r="B3709" i="4"/>
  <c r="M3709" i="4" s="1"/>
  <c r="D3708" i="4"/>
  <c r="C3708" i="4"/>
  <c r="B3708" i="4"/>
  <c r="M3708" i="4" s="1"/>
  <c r="D3707" i="4"/>
  <c r="C3707" i="4"/>
  <c r="B3707" i="4"/>
  <c r="M3707" i="4" s="1"/>
  <c r="D3706" i="4"/>
  <c r="C3706" i="4"/>
  <c r="B3706" i="4"/>
  <c r="M3706" i="4" s="1"/>
  <c r="D3705" i="4"/>
  <c r="C3705" i="4"/>
  <c r="B3705" i="4"/>
  <c r="M3705" i="4" s="1"/>
  <c r="D3704" i="4"/>
  <c r="C3704" i="4"/>
  <c r="B3704" i="4"/>
  <c r="M3704" i="4" s="1"/>
  <c r="D3703" i="4"/>
  <c r="C3703" i="4"/>
  <c r="B3703" i="4"/>
  <c r="M3703" i="4" s="1"/>
  <c r="D3702" i="4"/>
  <c r="C3702" i="4"/>
  <c r="B3702" i="4"/>
  <c r="M3702" i="4" s="1"/>
  <c r="D3701" i="4"/>
  <c r="C3701" i="4"/>
  <c r="B3701" i="4"/>
  <c r="M3701" i="4" s="1"/>
  <c r="D3700" i="4"/>
  <c r="C3700" i="4"/>
  <c r="B3700" i="4"/>
  <c r="M3700" i="4" s="1"/>
  <c r="D3699" i="4"/>
  <c r="C3699" i="4"/>
  <c r="B3699" i="4"/>
  <c r="M3699" i="4" s="1"/>
  <c r="D3698" i="4"/>
  <c r="C3698" i="4"/>
  <c r="B3698" i="4"/>
  <c r="M3698" i="4" s="1"/>
  <c r="D3697" i="4"/>
  <c r="C3697" i="4"/>
  <c r="B3697" i="4"/>
  <c r="M3697" i="4" s="1"/>
  <c r="D3696" i="4"/>
  <c r="C3696" i="4"/>
  <c r="B3696" i="4"/>
  <c r="M3696" i="4" s="1"/>
  <c r="D3695" i="4"/>
  <c r="C3695" i="4"/>
  <c r="B3695" i="4"/>
  <c r="M3695" i="4" s="1"/>
  <c r="D3694" i="4"/>
  <c r="C3694" i="4"/>
  <c r="B3694" i="4"/>
  <c r="M3694" i="4" s="1"/>
  <c r="D3693" i="4"/>
  <c r="C3693" i="4"/>
  <c r="B3693" i="4"/>
  <c r="M3693" i="4" s="1"/>
  <c r="D3692" i="4"/>
  <c r="C3692" i="4"/>
  <c r="B3692" i="4"/>
  <c r="M3692" i="4" s="1"/>
  <c r="D3691" i="4"/>
  <c r="C3691" i="4"/>
  <c r="B3691" i="4"/>
  <c r="M3691" i="4" s="1"/>
  <c r="D3690" i="4"/>
  <c r="C3690" i="4"/>
  <c r="B3690" i="4"/>
  <c r="M3690" i="4" s="1"/>
  <c r="D3689" i="4"/>
  <c r="C3689" i="4"/>
  <c r="B3689" i="4"/>
  <c r="M3689" i="4" s="1"/>
  <c r="D3688" i="4"/>
  <c r="C3688" i="4"/>
  <c r="B3688" i="4"/>
  <c r="M3688" i="4" s="1"/>
  <c r="D3687" i="4"/>
  <c r="C3687" i="4"/>
  <c r="B3687" i="4"/>
  <c r="M3687" i="4" s="1"/>
  <c r="D3686" i="4"/>
  <c r="C3686" i="4"/>
  <c r="B3686" i="4"/>
  <c r="M3686" i="4" s="1"/>
  <c r="D3685" i="4"/>
  <c r="C3685" i="4"/>
  <c r="B3685" i="4"/>
  <c r="M3685" i="4" s="1"/>
  <c r="D3684" i="4"/>
  <c r="C3684" i="4"/>
  <c r="B3684" i="4"/>
  <c r="M3684" i="4" s="1"/>
  <c r="D3683" i="4"/>
  <c r="C3683" i="4"/>
  <c r="B3683" i="4"/>
  <c r="M3683" i="4" s="1"/>
  <c r="D3682" i="4"/>
  <c r="C3682" i="4"/>
  <c r="B3682" i="4"/>
  <c r="M3682" i="4" s="1"/>
  <c r="D3681" i="4"/>
  <c r="C3681" i="4"/>
  <c r="B3681" i="4"/>
  <c r="M3681" i="4" s="1"/>
  <c r="D3680" i="4"/>
  <c r="C3680" i="4"/>
  <c r="B3680" i="4"/>
  <c r="M3680" i="4" s="1"/>
  <c r="D3679" i="4"/>
  <c r="C3679" i="4"/>
  <c r="B3679" i="4"/>
  <c r="M3679" i="4" s="1"/>
  <c r="D3678" i="4"/>
  <c r="C3678" i="4"/>
  <c r="B3678" i="4"/>
  <c r="M3678" i="4" s="1"/>
  <c r="D3677" i="4"/>
  <c r="C3677" i="4"/>
  <c r="B3677" i="4"/>
  <c r="M3677" i="4" s="1"/>
  <c r="D3676" i="4"/>
  <c r="C3676" i="4"/>
  <c r="B3676" i="4"/>
  <c r="M3676" i="4" s="1"/>
  <c r="D3675" i="4"/>
  <c r="C3675" i="4"/>
  <c r="B3675" i="4"/>
  <c r="M3675" i="4" s="1"/>
  <c r="D3674" i="4"/>
  <c r="C3674" i="4"/>
  <c r="B3674" i="4"/>
  <c r="M3674" i="4" s="1"/>
  <c r="D3673" i="4"/>
  <c r="C3673" i="4"/>
  <c r="B3673" i="4"/>
  <c r="M3673" i="4" s="1"/>
  <c r="D3672" i="4"/>
  <c r="C3672" i="4"/>
  <c r="B3672" i="4"/>
  <c r="M3672" i="4" s="1"/>
  <c r="D3671" i="4"/>
  <c r="C3671" i="4"/>
  <c r="B3671" i="4"/>
  <c r="M3671" i="4" s="1"/>
  <c r="D3670" i="4"/>
  <c r="C3670" i="4"/>
  <c r="B3670" i="4"/>
  <c r="M3670" i="4" s="1"/>
  <c r="D3669" i="4"/>
  <c r="C3669" i="4"/>
  <c r="B3669" i="4"/>
  <c r="M3669" i="4" s="1"/>
  <c r="D3668" i="4"/>
  <c r="C3668" i="4"/>
  <c r="B3668" i="4"/>
  <c r="M3668" i="4" s="1"/>
  <c r="D3667" i="4"/>
  <c r="C3667" i="4"/>
  <c r="B3667" i="4"/>
  <c r="M3667" i="4" s="1"/>
  <c r="D3666" i="4"/>
  <c r="C3666" i="4"/>
  <c r="B3666" i="4"/>
  <c r="M3666" i="4" s="1"/>
  <c r="D3665" i="4"/>
  <c r="C3665" i="4"/>
  <c r="B3665" i="4"/>
  <c r="M3665" i="4" s="1"/>
  <c r="D3664" i="4"/>
  <c r="C3664" i="4"/>
  <c r="B3664" i="4"/>
  <c r="M3664" i="4" s="1"/>
  <c r="D3663" i="4"/>
  <c r="C3663" i="4"/>
  <c r="B3663" i="4"/>
  <c r="M3663" i="4" s="1"/>
  <c r="D3662" i="4"/>
  <c r="C3662" i="4"/>
  <c r="B3662" i="4"/>
  <c r="M3662" i="4" s="1"/>
  <c r="D3661" i="4"/>
  <c r="C3661" i="4"/>
  <c r="B3661" i="4"/>
  <c r="M3661" i="4" s="1"/>
  <c r="D3660" i="4"/>
  <c r="C3660" i="4"/>
  <c r="B3660" i="4"/>
  <c r="M3660" i="4" s="1"/>
  <c r="D3659" i="4"/>
  <c r="C3659" i="4"/>
  <c r="B3659" i="4"/>
  <c r="M3659" i="4" s="1"/>
  <c r="D3658" i="4"/>
  <c r="C3658" i="4"/>
  <c r="B3658" i="4"/>
  <c r="M3658" i="4" s="1"/>
  <c r="D3657" i="4"/>
  <c r="C3657" i="4"/>
  <c r="B3657" i="4"/>
  <c r="M3657" i="4" s="1"/>
  <c r="D3656" i="4"/>
  <c r="C3656" i="4"/>
  <c r="B3656" i="4"/>
  <c r="M3656" i="4" s="1"/>
  <c r="D3655" i="4"/>
  <c r="C3655" i="4"/>
  <c r="B3655" i="4"/>
  <c r="M3655" i="4" s="1"/>
  <c r="D3654" i="4"/>
  <c r="C3654" i="4"/>
  <c r="B3654" i="4"/>
  <c r="M3654" i="4" s="1"/>
  <c r="D3653" i="4"/>
  <c r="C3653" i="4"/>
  <c r="B3653" i="4"/>
  <c r="M3653" i="4" s="1"/>
  <c r="D3652" i="4"/>
  <c r="C3652" i="4"/>
  <c r="B3652" i="4"/>
  <c r="M3652" i="4" s="1"/>
  <c r="D3651" i="4"/>
  <c r="C3651" i="4"/>
  <c r="B3651" i="4"/>
  <c r="M3651" i="4" s="1"/>
  <c r="D3650" i="4"/>
  <c r="C3650" i="4"/>
  <c r="B3650" i="4"/>
  <c r="M3650" i="4" s="1"/>
  <c r="D3649" i="4"/>
  <c r="C3649" i="4"/>
  <c r="B3649" i="4"/>
  <c r="M3649" i="4" s="1"/>
  <c r="D3648" i="4"/>
  <c r="C3648" i="4"/>
  <c r="B3648" i="4"/>
  <c r="M3648" i="4" s="1"/>
  <c r="D3647" i="4"/>
  <c r="C3647" i="4"/>
  <c r="B3647" i="4"/>
  <c r="M3647" i="4" s="1"/>
  <c r="D3646" i="4"/>
  <c r="C3646" i="4"/>
  <c r="B3646" i="4"/>
  <c r="M3646" i="4" s="1"/>
  <c r="D3645" i="4"/>
  <c r="C3645" i="4"/>
  <c r="B3645" i="4"/>
  <c r="M3645" i="4" s="1"/>
  <c r="D3644" i="4"/>
  <c r="C3644" i="4"/>
  <c r="B3644" i="4"/>
  <c r="M3644" i="4" s="1"/>
  <c r="D3643" i="4"/>
  <c r="C3643" i="4"/>
  <c r="B3643" i="4"/>
  <c r="M3643" i="4" s="1"/>
  <c r="D3642" i="4"/>
  <c r="C3642" i="4"/>
  <c r="B3642" i="4"/>
  <c r="M3642" i="4" s="1"/>
  <c r="D3641" i="4"/>
  <c r="C3641" i="4"/>
  <c r="B3641" i="4"/>
  <c r="M3641" i="4" s="1"/>
  <c r="D3640" i="4"/>
  <c r="C3640" i="4"/>
  <c r="B3640" i="4"/>
  <c r="M3640" i="4" s="1"/>
  <c r="D3639" i="4"/>
  <c r="C3639" i="4"/>
  <c r="B3639" i="4"/>
  <c r="M3639" i="4" s="1"/>
  <c r="D3638" i="4"/>
  <c r="C3638" i="4"/>
  <c r="B3638" i="4"/>
  <c r="M3638" i="4" s="1"/>
  <c r="D3637" i="4"/>
  <c r="C3637" i="4"/>
  <c r="B3637" i="4"/>
  <c r="M3637" i="4" s="1"/>
  <c r="D3636" i="4"/>
  <c r="C3636" i="4"/>
  <c r="B3636" i="4"/>
  <c r="M3636" i="4" s="1"/>
  <c r="D3635" i="4"/>
  <c r="C3635" i="4"/>
  <c r="B3635" i="4"/>
  <c r="M3635" i="4" s="1"/>
  <c r="D3634" i="4"/>
  <c r="C3634" i="4"/>
  <c r="B3634" i="4"/>
  <c r="M3634" i="4" s="1"/>
  <c r="D3633" i="4"/>
  <c r="C3633" i="4"/>
  <c r="B3633" i="4"/>
  <c r="M3633" i="4" s="1"/>
  <c r="D3632" i="4"/>
  <c r="C3632" i="4"/>
  <c r="B3632" i="4"/>
  <c r="M3632" i="4" s="1"/>
  <c r="D3631" i="4"/>
  <c r="C3631" i="4"/>
  <c r="B3631" i="4"/>
  <c r="M3631" i="4" s="1"/>
  <c r="D3630" i="4"/>
  <c r="C3630" i="4"/>
  <c r="B3630" i="4"/>
  <c r="M3630" i="4" s="1"/>
  <c r="D3629" i="4"/>
  <c r="C3629" i="4"/>
  <c r="B3629" i="4"/>
  <c r="M3629" i="4" s="1"/>
  <c r="D3628" i="4"/>
  <c r="C3628" i="4"/>
  <c r="B3628" i="4"/>
  <c r="M3628" i="4" s="1"/>
  <c r="D3627" i="4"/>
  <c r="C3627" i="4"/>
  <c r="B3627" i="4"/>
  <c r="M3627" i="4" s="1"/>
  <c r="D3626" i="4"/>
  <c r="C3626" i="4"/>
  <c r="B3626" i="4"/>
  <c r="M3626" i="4" s="1"/>
  <c r="D3625" i="4"/>
  <c r="C3625" i="4"/>
  <c r="B3625" i="4"/>
  <c r="M3625" i="4" s="1"/>
  <c r="D3624" i="4"/>
  <c r="C3624" i="4"/>
  <c r="B3624" i="4"/>
  <c r="M3624" i="4" s="1"/>
  <c r="D3623" i="4"/>
  <c r="C3623" i="4"/>
  <c r="B3623" i="4"/>
  <c r="M3623" i="4" s="1"/>
  <c r="D3622" i="4"/>
  <c r="C3622" i="4"/>
  <c r="B3622" i="4"/>
  <c r="M3622" i="4" s="1"/>
  <c r="D3621" i="4"/>
  <c r="C3621" i="4"/>
  <c r="B3621" i="4"/>
  <c r="M3621" i="4" s="1"/>
  <c r="D3620" i="4"/>
  <c r="C3620" i="4"/>
  <c r="B3620" i="4"/>
  <c r="M3620" i="4" s="1"/>
  <c r="D3619" i="4"/>
  <c r="C3619" i="4"/>
  <c r="B3619" i="4"/>
  <c r="M3619" i="4" s="1"/>
  <c r="D3618" i="4"/>
  <c r="C3618" i="4"/>
  <c r="B3618" i="4"/>
  <c r="M3618" i="4" s="1"/>
  <c r="D3617" i="4"/>
  <c r="C3617" i="4"/>
  <c r="B3617" i="4"/>
  <c r="M3617" i="4" s="1"/>
  <c r="D3616" i="4"/>
  <c r="C3616" i="4"/>
  <c r="B3616" i="4"/>
  <c r="M3616" i="4" s="1"/>
  <c r="D3615" i="4"/>
  <c r="C3615" i="4"/>
  <c r="B3615" i="4"/>
  <c r="M3615" i="4" s="1"/>
  <c r="D3614" i="4"/>
  <c r="C3614" i="4"/>
  <c r="B3614" i="4"/>
  <c r="M3614" i="4" s="1"/>
  <c r="D3613" i="4"/>
  <c r="C3613" i="4"/>
  <c r="B3613" i="4"/>
  <c r="M3613" i="4" s="1"/>
  <c r="D3612" i="4"/>
  <c r="C3612" i="4"/>
  <c r="B3612" i="4"/>
  <c r="M3612" i="4" s="1"/>
  <c r="D3611" i="4"/>
  <c r="C3611" i="4"/>
  <c r="B3611" i="4"/>
  <c r="M3611" i="4" s="1"/>
  <c r="D3610" i="4"/>
  <c r="C3610" i="4"/>
  <c r="B3610" i="4"/>
  <c r="M3610" i="4" s="1"/>
  <c r="D3609" i="4"/>
  <c r="C3609" i="4"/>
  <c r="B3609" i="4"/>
  <c r="M3609" i="4" s="1"/>
  <c r="D3608" i="4"/>
  <c r="C3608" i="4"/>
  <c r="B3608" i="4"/>
  <c r="M3608" i="4" s="1"/>
  <c r="D3607" i="4"/>
  <c r="C3607" i="4"/>
  <c r="B3607" i="4"/>
  <c r="M3607" i="4" s="1"/>
  <c r="D3606" i="4"/>
  <c r="C3606" i="4"/>
  <c r="B3606" i="4"/>
  <c r="M3606" i="4" s="1"/>
  <c r="D3605" i="4"/>
  <c r="C3605" i="4"/>
  <c r="B3605" i="4"/>
  <c r="M3605" i="4" s="1"/>
  <c r="D3604" i="4"/>
  <c r="C3604" i="4"/>
  <c r="B3604" i="4"/>
  <c r="M3604" i="4" s="1"/>
  <c r="D3603" i="4"/>
  <c r="C3603" i="4"/>
  <c r="B3603" i="4"/>
  <c r="M3603" i="4" s="1"/>
  <c r="D3602" i="4"/>
  <c r="C3602" i="4"/>
  <c r="B3602" i="4"/>
  <c r="M3602" i="4" s="1"/>
  <c r="D3601" i="4"/>
  <c r="C3601" i="4"/>
  <c r="B3601" i="4"/>
  <c r="M3601" i="4" s="1"/>
  <c r="D3600" i="4"/>
  <c r="C3600" i="4"/>
  <c r="B3600" i="4"/>
  <c r="M3600" i="4" s="1"/>
  <c r="D3599" i="4"/>
  <c r="C3599" i="4"/>
  <c r="B3599" i="4"/>
  <c r="M3599" i="4" s="1"/>
  <c r="D3598" i="4"/>
  <c r="C3598" i="4"/>
  <c r="B3598" i="4"/>
  <c r="M3598" i="4" s="1"/>
  <c r="D3597" i="4"/>
  <c r="C3597" i="4"/>
  <c r="B3597" i="4"/>
  <c r="M3597" i="4" s="1"/>
  <c r="D3596" i="4"/>
  <c r="C3596" i="4"/>
  <c r="B3596" i="4"/>
  <c r="M3596" i="4" s="1"/>
  <c r="D3595" i="4"/>
  <c r="C3595" i="4"/>
  <c r="B3595" i="4"/>
  <c r="M3595" i="4" s="1"/>
  <c r="D3594" i="4"/>
  <c r="C3594" i="4"/>
  <c r="B3594" i="4"/>
  <c r="M3594" i="4" s="1"/>
  <c r="D3593" i="4"/>
  <c r="C3593" i="4"/>
  <c r="B3593" i="4"/>
  <c r="M3593" i="4" s="1"/>
  <c r="D3592" i="4"/>
  <c r="C3592" i="4"/>
  <c r="B3592" i="4"/>
  <c r="M3592" i="4" s="1"/>
  <c r="D3591" i="4"/>
  <c r="C3591" i="4"/>
  <c r="B3591" i="4"/>
  <c r="M3591" i="4" s="1"/>
  <c r="D3590" i="4"/>
  <c r="C3590" i="4"/>
  <c r="B3590" i="4"/>
  <c r="M3590" i="4" s="1"/>
  <c r="D3589" i="4"/>
  <c r="C3589" i="4"/>
  <c r="B3589" i="4"/>
  <c r="M3589" i="4" s="1"/>
  <c r="D3588" i="4"/>
  <c r="C3588" i="4"/>
  <c r="B3588" i="4"/>
  <c r="M3588" i="4" s="1"/>
  <c r="D3587" i="4"/>
  <c r="C3587" i="4"/>
  <c r="B3587" i="4"/>
  <c r="M3587" i="4" s="1"/>
  <c r="D3586" i="4"/>
  <c r="C3586" i="4"/>
  <c r="B3586" i="4"/>
  <c r="M3586" i="4" s="1"/>
  <c r="D3585" i="4"/>
  <c r="C3585" i="4"/>
  <c r="B3585" i="4"/>
  <c r="M3585" i="4" s="1"/>
  <c r="D3584" i="4"/>
  <c r="C3584" i="4"/>
  <c r="B3584" i="4"/>
  <c r="M3584" i="4" s="1"/>
  <c r="D3583" i="4"/>
  <c r="C3583" i="4"/>
  <c r="B3583" i="4"/>
  <c r="M3583" i="4" s="1"/>
  <c r="D3582" i="4"/>
  <c r="C3582" i="4"/>
  <c r="B3582" i="4"/>
  <c r="M3582" i="4" s="1"/>
  <c r="D3581" i="4"/>
  <c r="C3581" i="4"/>
  <c r="B3581" i="4"/>
  <c r="M3581" i="4" s="1"/>
  <c r="D3580" i="4"/>
  <c r="C3580" i="4"/>
  <c r="B3580" i="4"/>
  <c r="M3580" i="4" s="1"/>
  <c r="D3579" i="4"/>
  <c r="C3579" i="4"/>
  <c r="B3579" i="4"/>
  <c r="M3579" i="4" s="1"/>
  <c r="D3578" i="4"/>
  <c r="C3578" i="4"/>
  <c r="B3578" i="4"/>
  <c r="M3578" i="4" s="1"/>
  <c r="D3577" i="4"/>
  <c r="C3577" i="4"/>
  <c r="B3577" i="4"/>
  <c r="M3577" i="4" s="1"/>
  <c r="D3576" i="4"/>
  <c r="C3576" i="4"/>
  <c r="B3576" i="4"/>
  <c r="M3576" i="4" s="1"/>
  <c r="D3575" i="4"/>
  <c r="C3575" i="4"/>
  <c r="B3575" i="4"/>
  <c r="M3575" i="4" s="1"/>
  <c r="D3574" i="4"/>
  <c r="C3574" i="4"/>
  <c r="B3574" i="4"/>
  <c r="M3574" i="4" s="1"/>
  <c r="D3573" i="4"/>
  <c r="C3573" i="4"/>
  <c r="B3573" i="4"/>
  <c r="M3573" i="4" s="1"/>
  <c r="D3572" i="4"/>
  <c r="C3572" i="4"/>
  <c r="B3572" i="4"/>
  <c r="M3572" i="4" s="1"/>
  <c r="D3571" i="4"/>
  <c r="C3571" i="4"/>
  <c r="B3571" i="4"/>
  <c r="M3571" i="4" s="1"/>
  <c r="D3570" i="4"/>
  <c r="C3570" i="4"/>
  <c r="B3570" i="4"/>
  <c r="M3570" i="4" s="1"/>
  <c r="D3569" i="4"/>
  <c r="C3569" i="4"/>
  <c r="B3569" i="4"/>
  <c r="M3569" i="4" s="1"/>
  <c r="D3568" i="4"/>
  <c r="C3568" i="4"/>
  <c r="B3568" i="4"/>
  <c r="M3568" i="4" s="1"/>
  <c r="D3567" i="4"/>
  <c r="C3567" i="4"/>
  <c r="B3567" i="4"/>
  <c r="M3567" i="4" s="1"/>
  <c r="D3566" i="4"/>
  <c r="C3566" i="4"/>
  <c r="B3566" i="4"/>
  <c r="M3566" i="4" s="1"/>
  <c r="D3565" i="4"/>
  <c r="C3565" i="4"/>
  <c r="B3565" i="4"/>
  <c r="M3565" i="4" s="1"/>
  <c r="D3564" i="4"/>
  <c r="C3564" i="4"/>
  <c r="B3564" i="4"/>
  <c r="M3564" i="4" s="1"/>
  <c r="D3563" i="4"/>
  <c r="C3563" i="4"/>
  <c r="B3563" i="4"/>
  <c r="M3563" i="4" s="1"/>
  <c r="D3562" i="4"/>
  <c r="C3562" i="4"/>
  <c r="B3562" i="4"/>
  <c r="M3562" i="4" s="1"/>
  <c r="D3561" i="4"/>
  <c r="C3561" i="4"/>
  <c r="B3561" i="4"/>
  <c r="M3561" i="4" s="1"/>
  <c r="D3560" i="4"/>
  <c r="C3560" i="4"/>
  <c r="B3560" i="4"/>
  <c r="M3560" i="4" s="1"/>
  <c r="D3559" i="4"/>
  <c r="C3559" i="4"/>
  <c r="B3559" i="4"/>
  <c r="M3559" i="4" s="1"/>
  <c r="D3558" i="4"/>
  <c r="C3558" i="4"/>
  <c r="B3558" i="4"/>
  <c r="M3558" i="4" s="1"/>
  <c r="D3557" i="4"/>
  <c r="C3557" i="4"/>
  <c r="B3557" i="4"/>
  <c r="M3557" i="4" s="1"/>
  <c r="D3556" i="4"/>
  <c r="C3556" i="4"/>
  <c r="B3556" i="4"/>
  <c r="M3556" i="4" s="1"/>
  <c r="D3555" i="4"/>
  <c r="C3555" i="4"/>
  <c r="B3555" i="4"/>
  <c r="M3555" i="4" s="1"/>
  <c r="D3554" i="4"/>
  <c r="C3554" i="4"/>
  <c r="B3554" i="4"/>
  <c r="M3554" i="4" s="1"/>
  <c r="D3553" i="4"/>
  <c r="C3553" i="4"/>
  <c r="B3553" i="4"/>
  <c r="M3553" i="4" s="1"/>
  <c r="D3552" i="4"/>
  <c r="C3552" i="4"/>
  <c r="B3552" i="4"/>
  <c r="M3552" i="4" s="1"/>
  <c r="D3551" i="4"/>
  <c r="C3551" i="4"/>
  <c r="B3551" i="4"/>
  <c r="M3551" i="4" s="1"/>
  <c r="D3550" i="4"/>
  <c r="C3550" i="4"/>
  <c r="B3550" i="4"/>
  <c r="M3550" i="4" s="1"/>
  <c r="D3549" i="4"/>
  <c r="C3549" i="4"/>
  <c r="B3549" i="4"/>
  <c r="M3549" i="4" s="1"/>
  <c r="D3548" i="4"/>
  <c r="C3548" i="4"/>
  <c r="B3548" i="4"/>
  <c r="M3548" i="4" s="1"/>
  <c r="D3547" i="4"/>
  <c r="C3547" i="4"/>
  <c r="B3547" i="4"/>
  <c r="M3547" i="4" s="1"/>
  <c r="D3546" i="4"/>
  <c r="C3546" i="4"/>
  <c r="B3546" i="4"/>
  <c r="M3546" i="4" s="1"/>
  <c r="D3545" i="4"/>
  <c r="C3545" i="4"/>
  <c r="B3545" i="4"/>
  <c r="M3545" i="4" s="1"/>
  <c r="D3544" i="4"/>
  <c r="C3544" i="4"/>
  <c r="B3544" i="4"/>
  <c r="M3544" i="4" s="1"/>
  <c r="D3543" i="4"/>
  <c r="C3543" i="4"/>
  <c r="B3543" i="4"/>
  <c r="M3543" i="4" s="1"/>
  <c r="D3542" i="4"/>
  <c r="C3542" i="4"/>
  <c r="B3542" i="4"/>
  <c r="M3542" i="4" s="1"/>
  <c r="D3541" i="4"/>
  <c r="C3541" i="4"/>
  <c r="B3541" i="4"/>
  <c r="M3541" i="4" s="1"/>
  <c r="D3540" i="4"/>
  <c r="C3540" i="4"/>
  <c r="B3540" i="4"/>
  <c r="M3540" i="4" s="1"/>
  <c r="D3539" i="4"/>
  <c r="C3539" i="4"/>
  <c r="B3539" i="4"/>
  <c r="M3539" i="4" s="1"/>
  <c r="D3538" i="4"/>
  <c r="C3538" i="4"/>
  <c r="B3538" i="4"/>
  <c r="M3538" i="4" s="1"/>
  <c r="D3537" i="4"/>
  <c r="C3537" i="4"/>
  <c r="B3537" i="4"/>
  <c r="M3537" i="4" s="1"/>
  <c r="D3536" i="4"/>
  <c r="C3536" i="4"/>
  <c r="B3536" i="4"/>
  <c r="M3536" i="4" s="1"/>
  <c r="D3535" i="4"/>
  <c r="C3535" i="4"/>
  <c r="B3535" i="4"/>
  <c r="M3535" i="4" s="1"/>
  <c r="D3534" i="4"/>
  <c r="C3534" i="4"/>
  <c r="B3534" i="4"/>
  <c r="M3534" i="4" s="1"/>
  <c r="D3533" i="4"/>
  <c r="C3533" i="4"/>
  <c r="B3533" i="4"/>
  <c r="M3533" i="4" s="1"/>
  <c r="D3532" i="4"/>
  <c r="C3532" i="4"/>
  <c r="B3532" i="4"/>
  <c r="M3532" i="4" s="1"/>
  <c r="D3531" i="4"/>
  <c r="C3531" i="4"/>
  <c r="B3531" i="4"/>
  <c r="M3531" i="4" s="1"/>
  <c r="D3530" i="4"/>
  <c r="C3530" i="4"/>
  <c r="B3530" i="4"/>
  <c r="M3530" i="4" s="1"/>
  <c r="D3529" i="4"/>
  <c r="C3529" i="4"/>
  <c r="B3529" i="4"/>
  <c r="M3529" i="4" s="1"/>
  <c r="D3528" i="4"/>
  <c r="C3528" i="4"/>
  <c r="B3528" i="4"/>
  <c r="M3528" i="4" s="1"/>
  <c r="D3527" i="4"/>
  <c r="C3527" i="4"/>
  <c r="B3527" i="4"/>
  <c r="M3527" i="4" s="1"/>
  <c r="D3526" i="4"/>
  <c r="C3526" i="4"/>
  <c r="B3526" i="4"/>
  <c r="M3526" i="4" s="1"/>
  <c r="D3525" i="4"/>
  <c r="C3525" i="4"/>
  <c r="B3525" i="4"/>
  <c r="M3525" i="4" s="1"/>
  <c r="D3524" i="4"/>
  <c r="C3524" i="4"/>
  <c r="B3524" i="4"/>
  <c r="M3524" i="4" s="1"/>
  <c r="D3523" i="4"/>
  <c r="C3523" i="4"/>
  <c r="B3523" i="4"/>
  <c r="M3523" i="4" s="1"/>
  <c r="D3522" i="4"/>
  <c r="C3522" i="4"/>
  <c r="B3522" i="4"/>
  <c r="M3522" i="4" s="1"/>
  <c r="D3521" i="4"/>
  <c r="C3521" i="4"/>
  <c r="B3521" i="4"/>
  <c r="M3521" i="4" s="1"/>
  <c r="D3520" i="4"/>
  <c r="C3520" i="4"/>
  <c r="B3520" i="4"/>
  <c r="M3520" i="4" s="1"/>
  <c r="D3519" i="4"/>
  <c r="C3519" i="4"/>
  <c r="B3519" i="4"/>
  <c r="M3519" i="4" s="1"/>
  <c r="D3518" i="4"/>
  <c r="C3518" i="4"/>
  <c r="B3518" i="4"/>
  <c r="M3518" i="4" s="1"/>
  <c r="D3517" i="4"/>
  <c r="C3517" i="4"/>
  <c r="B3517" i="4"/>
  <c r="M3517" i="4" s="1"/>
  <c r="D3516" i="4"/>
  <c r="C3516" i="4"/>
  <c r="B3516" i="4"/>
  <c r="M3516" i="4" s="1"/>
  <c r="D3515" i="4"/>
  <c r="C3515" i="4"/>
  <c r="B3515" i="4"/>
  <c r="M3515" i="4" s="1"/>
  <c r="D3514" i="4"/>
  <c r="C3514" i="4"/>
  <c r="B3514" i="4"/>
  <c r="M3514" i="4" s="1"/>
  <c r="D3513" i="4"/>
  <c r="C3513" i="4"/>
  <c r="B3513" i="4"/>
  <c r="M3513" i="4" s="1"/>
  <c r="D3512" i="4"/>
  <c r="C3512" i="4"/>
  <c r="B3512" i="4"/>
  <c r="M3512" i="4" s="1"/>
  <c r="D3511" i="4"/>
  <c r="C3511" i="4"/>
  <c r="B3511" i="4"/>
  <c r="M3511" i="4" s="1"/>
  <c r="D3510" i="4"/>
  <c r="C3510" i="4"/>
  <c r="B3510" i="4"/>
  <c r="M3510" i="4" s="1"/>
  <c r="D3509" i="4"/>
  <c r="C3509" i="4"/>
  <c r="B3509" i="4"/>
  <c r="M3509" i="4" s="1"/>
  <c r="D3508" i="4"/>
  <c r="C3508" i="4"/>
  <c r="B3508" i="4"/>
  <c r="M3508" i="4" s="1"/>
  <c r="D3507" i="4"/>
  <c r="C3507" i="4"/>
  <c r="B3507" i="4"/>
  <c r="M3507" i="4" s="1"/>
  <c r="D3506" i="4"/>
  <c r="C3506" i="4"/>
  <c r="B3506" i="4"/>
  <c r="M3506" i="4" s="1"/>
  <c r="D3505" i="4"/>
  <c r="C3505" i="4"/>
  <c r="B3505" i="4"/>
  <c r="M3505" i="4" s="1"/>
  <c r="D3504" i="4"/>
  <c r="C3504" i="4"/>
  <c r="B3504" i="4"/>
  <c r="M3504" i="4" s="1"/>
  <c r="D3503" i="4"/>
  <c r="C3503" i="4"/>
  <c r="B3503" i="4"/>
  <c r="M3503" i="4" s="1"/>
  <c r="D3502" i="4"/>
  <c r="C3502" i="4"/>
  <c r="B3502" i="4"/>
  <c r="M3502" i="4" s="1"/>
  <c r="D3501" i="4"/>
  <c r="C3501" i="4"/>
  <c r="B3501" i="4"/>
  <c r="M3501" i="4" s="1"/>
  <c r="D3500" i="4"/>
  <c r="C3500" i="4"/>
  <c r="B3500" i="4"/>
  <c r="M3500" i="4" s="1"/>
  <c r="D3499" i="4"/>
  <c r="C3499" i="4"/>
  <c r="B3499" i="4"/>
  <c r="M3499" i="4" s="1"/>
  <c r="D3498" i="4"/>
  <c r="C3498" i="4"/>
  <c r="B3498" i="4"/>
  <c r="M3498" i="4" s="1"/>
  <c r="D3497" i="4"/>
  <c r="C3497" i="4"/>
  <c r="B3497" i="4"/>
  <c r="M3497" i="4" s="1"/>
  <c r="D3496" i="4"/>
  <c r="C3496" i="4"/>
  <c r="B3496" i="4"/>
  <c r="M3496" i="4" s="1"/>
  <c r="D3495" i="4"/>
  <c r="C3495" i="4"/>
  <c r="B3495" i="4"/>
  <c r="M3495" i="4" s="1"/>
  <c r="D3494" i="4"/>
  <c r="C3494" i="4"/>
  <c r="B3494" i="4"/>
  <c r="M3494" i="4" s="1"/>
  <c r="D3493" i="4"/>
  <c r="C3493" i="4"/>
  <c r="B3493" i="4"/>
  <c r="M3493" i="4" s="1"/>
  <c r="D3492" i="4"/>
  <c r="C3492" i="4"/>
  <c r="B3492" i="4"/>
  <c r="M3492" i="4" s="1"/>
  <c r="D3491" i="4"/>
  <c r="C3491" i="4"/>
  <c r="B3491" i="4"/>
  <c r="M3491" i="4" s="1"/>
  <c r="D3490" i="4"/>
  <c r="C3490" i="4"/>
  <c r="B3490" i="4"/>
  <c r="M3490" i="4" s="1"/>
  <c r="D3489" i="4"/>
  <c r="C3489" i="4"/>
  <c r="B3489" i="4"/>
  <c r="M3489" i="4" s="1"/>
  <c r="D3488" i="4"/>
  <c r="C3488" i="4"/>
  <c r="B3488" i="4"/>
  <c r="M3488" i="4" s="1"/>
  <c r="D3487" i="4"/>
  <c r="C3487" i="4"/>
  <c r="B3487" i="4"/>
  <c r="M3487" i="4" s="1"/>
  <c r="D3486" i="4"/>
  <c r="C3486" i="4"/>
  <c r="B3486" i="4"/>
  <c r="M3486" i="4" s="1"/>
  <c r="D3485" i="4"/>
  <c r="C3485" i="4"/>
  <c r="B3485" i="4"/>
  <c r="M3485" i="4" s="1"/>
  <c r="D3484" i="4"/>
  <c r="C3484" i="4"/>
  <c r="B3484" i="4"/>
  <c r="M3484" i="4" s="1"/>
  <c r="D3483" i="4"/>
  <c r="C3483" i="4"/>
  <c r="B3483" i="4"/>
  <c r="M3483" i="4" s="1"/>
  <c r="D3482" i="4"/>
  <c r="C3482" i="4"/>
  <c r="B3482" i="4"/>
  <c r="M3482" i="4" s="1"/>
  <c r="D3481" i="4"/>
  <c r="C3481" i="4"/>
  <c r="B3481" i="4"/>
  <c r="M3481" i="4" s="1"/>
  <c r="D3480" i="4"/>
  <c r="C3480" i="4"/>
  <c r="B3480" i="4"/>
  <c r="M3480" i="4" s="1"/>
  <c r="D3479" i="4"/>
  <c r="C3479" i="4"/>
  <c r="B3479" i="4"/>
  <c r="M3479" i="4" s="1"/>
  <c r="D3478" i="4"/>
  <c r="C3478" i="4"/>
  <c r="B3478" i="4"/>
  <c r="M3478" i="4" s="1"/>
  <c r="D3477" i="4"/>
  <c r="C3477" i="4"/>
  <c r="B3477" i="4"/>
  <c r="M3477" i="4" s="1"/>
  <c r="D3476" i="4"/>
  <c r="C3476" i="4"/>
  <c r="B3476" i="4"/>
  <c r="M3476" i="4" s="1"/>
  <c r="D3475" i="4"/>
  <c r="C3475" i="4"/>
  <c r="B3475" i="4"/>
  <c r="M3475" i="4" s="1"/>
  <c r="D3474" i="4"/>
  <c r="C3474" i="4"/>
  <c r="B3474" i="4"/>
  <c r="M3474" i="4" s="1"/>
  <c r="D3473" i="4"/>
  <c r="C3473" i="4"/>
  <c r="B3473" i="4"/>
  <c r="M3473" i="4" s="1"/>
  <c r="D3472" i="4"/>
  <c r="C3472" i="4"/>
  <c r="B3472" i="4"/>
  <c r="M3472" i="4" s="1"/>
  <c r="D3471" i="4"/>
  <c r="C3471" i="4"/>
  <c r="B3471" i="4"/>
  <c r="M3471" i="4" s="1"/>
  <c r="D3470" i="4"/>
  <c r="C3470" i="4"/>
  <c r="B3470" i="4"/>
  <c r="M3470" i="4" s="1"/>
  <c r="D3469" i="4"/>
  <c r="C3469" i="4"/>
  <c r="B3469" i="4"/>
  <c r="M3469" i="4" s="1"/>
  <c r="D3468" i="4"/>
  <c r="C3468" i="4"/>
  <c r="B3468" i="4"/>
  <c r="M3468" i="4" s="1"/>
  <c r="D3467" i="4"/>
  <c r="C3467" i="4"/>
  <c r="B3467" i="4"/>
  <c r="M3467" i="4" s="1"/>
  <c r="D3466" i="4"/>
  <c r="C3466" i="4"/>
  <c r="B3466" i="4"/>
  <c r="M3466" i="4" s="1"/>
  <c r="D3465" i="4"/>
  <c r="C3465" i="4"/>
  <c r="B3465" i="4"/>
  <c r="M3465" i="4" s="1"/>
  <c r="D3464" i="4"/>
  <c r="C3464" i="4"/>
  <c r="B3464" i="4"/>
  <c r="M3464" i="4" s="1"/>
  <c r="D3463" i="4"/>
  <c r="C3463" i="4"/>
  <c r="B3463" i="4"/>
  <c r="M3463" i="4" s="1"/>
  <c r="D3462" i="4"/>
  <c r="C3462" i="4"/>
  <c r="B3462" i="4"/>
  <c r="M3462" i="4" s="1"/>
  <c r="D3461" i="4"/>
  <c r="C3461" i="4"/>
  <c r="B3461" i="4"/>
  <c r="M3461" i="4" s="1"/>
  <c r="D3460" i="4"/>
  <c r="C3460" i="4"/>
  <c r="B3460" i="4"/>
  <c r="M3460" i="4" s="1"/>
  <c r="D3459" i="4"/>
  <c r="C3459" i="4"/>
  <c r="B3459" i="4"/>
  <c r="M3459" i="4" s="1"/>
  <c r="D3458" i="4"/>
  <c r="C3458" i="4"/>
  <c r="B3458" i="4"/>
  <c r="M3458" i="4" s="1"/>
  <c r="D3457" i="4"/>
  <c r="C3457" i="4"/>
  <c r="B3457" i="4"/>
  <c r="M3457" i="4" s="1"/>
  <c r="D3456" i="4"/>
  <c r="C3456" i="4"/>
  <c r="B3456" i="4"/>
  <c r="M3456" i="4" s="1"/>
  <c r="D3455" i="4"/>
  <c r="C3455" i="4"/>
  <c r="B3455" i="4"/>
  <c r="M3455" i="4" s="1"/>
  <c r="D3454" i="4"/>
  <c r="C3454" i="4"/>
  <c r="B3454" i="4"/>
  <c r="M3454" i="4" s="1"/>
  <c r="D3453" i="4"/>
  <c r="C3453" i="4"/>
  <c r="B3453" i="4"/>
  <c r="M3453" i="4" s="1"/>
  <c r="D3452" i="4"/>
  <c r="C3452" i="4"/>
  <c r="B3452" i="4"/>
  <c r="M3452" i="4" s="1"/>
  <c r="D3451" i="4"/>
  <c r="C3451" i="4"/>
  <c r="B3451" i="4"/>
  <c r="M3451" i="4" s="1"/>
  <c r="D3450" i="4"/>
  <c r="C3450" i="4"/>
  <c r="B3450" i="4"/>
  <c r="M3450" i="4" s="1"/>
  <c r="D3449" i="4"/>
  <c r="C3449" i="4"/>
  <c r="B3449" i="4"/>
  <c r="M3449" i="4" s="1"/>
  <c r="D3448" i="4"/>
  <c r="C3448" i="4"/>
  <c r="B3448" i="4"/>
  <c r="M3448" i="4" s="1"/>
  <c r="D3447" i="4"/>
  <c r="C3447" i="4"/>
  <c r="B3447" i="4"/>
  <c r="M3447" i="4" s="1"/>
  <c r="D3446" i="4"/>
  <c r="C3446" i="4"/>
  <c r="B3446" i="4"/>
  <c r="M3446" i="4" s="1"/>
  <c r="D3445" i="4"/>
  <c r="C3445" i="4"/>
  <c r="B3445" i="4"/>
  <c r="M3445" i="4" s="1"/>
  <c r="D3444" i="4"/>
  <c r="C3444" i="4"/>
  <c r="B3444" i="4"/>
  <c r="M3444" i="4" s="1"/>
  <c r="D3443" i="4"/>
  <c r="C3443" i="4"/>
  <c r="B3443" i="4"/>
  <c r="M3443" i="4" s="1"/>
  <c r="D3442" i="4"/>
  <c r="C3442" i="4"/>
  <c r="B3442" i="4"/>
  <c r="M3442" i="4" s="1"/>
  <c r="D3441" i="4"/>
  <c r="C3441" i="4"/>
  <c r="B3441" i="4"/>
  <c r="M3441" i="4" s="1"/>
  <c r="D3440" i="4"/>
  <c r="C3440" i="4"/>
  <c r="B3440" i="4"/>
  <c r="M3440" i="4" s="1"/>
  <c r="D3439" i="4"/>
  <c r="C3439" i="4"/>
  <c r="B3439" i="4"/>
  <c r="M3439" i="4" s="1"/>
  <c r="D3438" i="4"/>
  <c r="C3438" i="4"/>
  <c r="B3438" i="4"/>
  <c r="M3438" i="4" s="1"/>
  <c r="D3437" i="4"/>
  <c r="C3437" i="4"/>
  <c r="B3437" i="4"/>
  <c r="M3437" i="4" s="1"/>
  <c r="D3436" i="4"/>
  <c r="C3436" i="4"/>
  <c r="B3436" i="4"/>
  <c r="M3436" i="4" s="1"/>
  <c r="D3435" i="4"/>
  <c r="C3435" i="4"/>
  <c r="B3435" i="4"/>
  <c r="M3435" i="4" s="1"/>
  <c r="D3434" i="4"/>
  <c r="C3434" i="4"/>
  <c r="B3434" i="4"/>
  <c r="M3434" i="4" s="1"/>
  <c r="D3433" i="4"/>
  <c r="C3433" i="4"/>
  <c r="B3433" i="4"/>
  <c r="M3433" i="4" s="1"/>
  <c r="D3432" i="4"/>
  <c r="C3432" i="4"/>
  <c r="B3432" i="4"/>
  <c r="M3432" i="4" s="1"/>
  <c r="D3431" i="4"/>
  <c r="C3431" i="4"/>
  <c r="B3431" i="4"/>
  <c r="M3431" i="4" s="1"/>
  <c r="D3430" i="4"/>
  <c r="C3430" i="4"/>
  <c r="B3430" i="4"/>
  <c r="M3430" i="4" s="1"/>
  <c r="D3429" i="4"/>
  <c r="C3429" i="4"/>
  <c r="B3429" i="4"/>
  <c r="M3429" i="4" s="1"/>
  <c r="D3428" i="4"/>
  <c r="C3428" i="4"/>
  <c r="B3428" i="4"/>
  <c r="M3428" i="4" s="1"/>
  <c r="D3427" i="4"/>
  <c r="C3427" i="4"/>
  <c r="B3427" i="4"/>
  <c r="M3427" i="4" s="1"/>
  <c r="D3426" i="4"/>
  <c r="C3426" i="4"/>
  <c r="B3426" i="4"/>
  <c r="M3426" i="4" s="1"/>
  <c r="D3425" i="4"/>
  <c r="C3425" i="4"/>
  <c r="B3425" i="4"/>
  <c r="M3425" i="4" s="1"/>
  <c r="D3424" i="4"/>
  <c r="C3424" i="4"/>
  <c r="B3424" i="4"/>
  <c r="M3424" i="4" s="1"/>
  <c r="D3423" i="4"/>
  <c r="C3423" i="4"/>
  <c r="B3423" i="4"/>
  <c r="M3423" i="4" s="1"/>
  <c r="D3422" i="4"/>
  <c r="C3422" i="4"/>
  <c r="B3422" i="4"/>
  <c r="M3422" i="4" s="1"/>
  <c r="D3421" i="4"/>
  <c r="C3421" i="4"/>
  <c r="B3421" i="4"/>
  <c r="M3421" i="4" s="1"/>
  <c r="D3420" i="4"/>
  <c r="C3420" i="4"/>
  <c r="B3420" i="4"/>
  <c r="M3420" i="4" s="1"/>
  <c r="D3419" i="4"/>
  <c r="C3419" i="4"/>
  <c r="B3419" i="4"/>
  <c r="M3419" i="4" s="1"/>
  <c r="D3418" i="4"/>
  <c r="C3418" i="4"/>
  <c r="B3418" i="4"/>
  <c r="M3418" i="4" s="1"/>
  <c r="D3417" i="4"/>
  <c r="C3417" i="4"/>
  <c r="B3417" i="4"/>
  <c r="M3417" i="4" s="1"/>
  <c r="D3416" i="4"/>
  <c r="C3416" i="4"/>
  <c r="B3416" i="4"/>
  <c r="M3416" i="4" s="1"/>
  <c r="D3415" i="4"/>
  <c r="C3415" i="4"/>
  <c r="B3415" i="4"/>
  <c r="M3415" i="4" s="1"/>
  <c r="D3414" i="4"/>
  <c r="C3414" i="4"/>
  <c r="B3414" i="4"/>
  <c r="M3414" i="4" s="1"/>
  <c r="D3413" i="4"/>
  <c r="C3413" i="4"/>
  <c r="B3413" i="4"/>
  <c r="M3413" i="4" s="1"/>
  <c r="D3412" i="4"/>
  <c r="C3412" i="4"/>
  <c r="B3412" i="4"/>
  <c r="M3412" i="4" s="1"/>
  <c r="D3411" i="4"/>
  <c r="C3411" i="4"/>
  <c r="B3411" i="4"/>
  <c r="M3411" i="4" s="1"/>
  <c r="D3410" i="4"/>
  <c r="C3410" i="4"/>
  <c r="B3410" i="4"/>
  <c r="M3410" i="4" s="1"/>
  <c r="D3409" i="4"/>
  <c r="C3409" i="4"/>
  <c r="B3409" i="4"/>
  <c r="M3409" i="4" s="1"/>
  <c r="D3408" i="4"/>
  <c r="C3408" i="4"/>
  <c r="B3408" i="4"/>
  <c r="M3408" i="4" s="1"/>
  <c r="D3407" i="4"/>
  <c r="C3407" i="4"/>
  <c r="B3407" i="4"/>
  <c r="M3407" i="4" s="1"/>
  <c r="D3406" i="4"/>
  <c r="C3406" i="4"/>
  <c r="B3406" i="4"/>
  <c r="M3406" i="4" s="1"/>
  <c r="D3405" i="4"/>
  <c r="C3405" i="4"/>
  <c r="B3405" i="4"/>
  <c r="M3405" i="4" s="1"/>
  <c r="D3404" i="4"/>
  <c r="C3404" i="4"/>
  <c r="B3404" i="4"/>
  <c r="M3404" i="4" s="1"/>
  <c r="D3403" i="4"/>
  <c r="C3403" i="4"/>
  <c r="B3403" i="4"/>
  <c r="M3403" i="4" s="1"/>
  <c r="D3402" i="4"/>
  <c r="C3402" i="4"/>
  <c r="B3402" i="4"/>
  <c r="M3402" i="4" s="1"/>
  <c r="D3401" i="4"/>
  <c r="C3401" i="4"/>
  <c r="B3401" i="4"/>
  <c r="M3401" i="4" s="1"/>
  <c r="D3400" i="4"/>
  <c r="C3400" i="4"/>
  <c r="B3400" i="4"/>
  <c r="M3400" i="4" s="1"/>
  <c r="D3399" i="4"/>
  <c r="C3399" i="4"/>
  <c r="B3399" i="4"/>
  <c r="M3399" i="4" s="1"/>
  <c r="D3398" i="4"/>
  <c r="C3398" i="4"/>
  <c r="B3398" i="4"/>
  <c r="M3398" i="4" s="1"/>
  <c r="D3397" i="4"/>
  <c r="C3397" i="4"/>
  <c r="B3397" i="4"/>
  <c r="M3397" i="4" s="1"/>
  <c r="D3396" i="4"/>
  <c r="C3396" i="4"/>
  <c r="B3396" i="4"/>
  <c r="M3396" i="4" s="1"/>
  <c r="D3395" i="4"/>
  <c r="C3395" i="4"/>
  <c r="B3395" i="4"/>
  <c r="M3395" i="4" s="1"/>
  <c r="D3394" i="4"/>
  <c r="C3394" i="4"/>
  <c r="B3394" i="4"/>
  <c r="M3394" i="4" s="1"/>
  <c r="D3393" i="4"/>
  <c r="C3393" i="4"/>
  <c r="B3393" i="4"/>
  <c r="M3393" i="4" s="1"/>
  <c r="D3392" i="4"/>
  <c r="C3392" i="4"/>
  <c r="B3392" i="4"/>
  <c r="M3392" i="4" s="1"/>
  <c r="D3391" i="4"/>
  <c r="C3391" i="4"/>
  <c r="B3391" i="4"/>
  <c r="M3391" i="4" s="1"/>
  <c r="D3390" i="4"/>
  <c r="C3390" i="4"/>
  <c r="B3390" i="4"/>
  <c r="M3390" i="4" s="1"/>
  <c r="D3389" i="4"/>
  <c r="C3389" i="4"/>
  <c r="B3389" i="4"/>
  <c r="M3389" i="4" s="1"/>
  <c r="D3388" i="4"/>
  <c r="C3388" i="4"/>
  <c r="B3388" i="4"/>
  <c r="M3388" i="4" s="1"/>
  <c r="D3387" i="4"/>
  <c r="C3387" i="4"/>
  <c r="B3387" i="4"/>
  <c r="M3387" i="4" s="1"/>
  <c r="D3386" i="4"/>
  <c r="C3386" i="4"/>
  <c r="B3386" i="4"/>
  <c r="M3386" i="4" s="1"/>
  <c r="D3385" i="4"/>
  <c r="C3385" i="4"/>
  <c r="B3385" i="4"/>
  <c r="M3385" i="4" s="1"/>
  <c r="D3384" i="4"/>
  <c r="C3384" i="4"/>
  <c r="B3384" i="4"/>
  <c r="M3384" i="4" s="1"/>
  <c r="D3383" i="4"/>
  <c r="C3383" i="4"/>
  <c r="B3383" i="4"/>
  <c r="M3383" i="4" s="1"/>
  <c r="D3382" i="4"/>
  <c r="C3382" i="4"/>
  <c r="B3382" i="4"/>
  <c r="M3382" i="4" s="1"/>
  <c r="D3381" i="4"/>
  <c r="C3381" i="4"/>
  <c r="B3381" i="4"/>
  <c r="M3381" i="4" s="1"/>
  <c r="D3380" i="4"/>
  <c r="C3380" i="4"/>
  <c r="B3380" i="4"/>
  <c r="M3380" i="4" s="1"/>
  <c r="D3379" i="4"/>
  <c r="C3379" i="4"/>
  <c r="B3379" i="4"/>
  <c r="M3379" i="4" s="1"/>
  <c r="D3378" i="4"/>
  <c r="C3378" i="4"/>
  <c r="B3378" i="4"/>
  <c r="M3378" i="4" s="1"/>
  <c r="D3377" i="4"/>
  <c r="C3377" i="4"/>
  <c r="B3377" i="4"/>
  <c r="M3377" i="4" s="1"/>
  <c r="D3376" i="4"/>
  <c r="C3376" i="4"/>
  <c r="B3376" i="4"/>
  <c r="M3376" i="4" s="1"/>
  <c r="D3375" i="4"/>
  <c r="C3375" i="4"/>
  <c r="B3375" i="4"/>
  <c r="M3375" i="4" s="1"/>
  <c r="D3374" i="4"/>
  <c r="C3374" i="4"/>
  <c r="B3374" i="4"/>
  <c r="M3374" i="4" s="1"/>
  <c r="D3373" i="4"/>
  <c r="C3373" i="4"/>
  <c r="B3373" i="4"/>
  <c r="M3373" i="4" s="1"/>
  <c r="D3372" i="4"/>
  <c r="C3372" i="4"/>
  <c r="B3372" i="4"/>
  <c r="M3372" i="4" s="1"/>
  <c r="D3371" i="4"/>
  <c r="C3371" i="4"/>
  <c r="B3371" i="4"/>
  <c r="M3371" i="4" s="1"/>
  <c r="D3370" i="4"/>
  <c r="C3370" i="4"/>
  <c r="B3370" i="4"/>
  <c r="M3370" i="4" s="1"/>
  <c r="D3369" i="4"/>
  <c r="C3369" i="4"/>
  <c r="B3369" i="4"/>
  <c r="M3369" i="4" s="1"/>
  <c r="D3368" i="4"/>
  <c r="C3368" i="4"/>
  <c r="B3368" i="4"/>
  <c r="M3368" i="4" s="1"/>
  <c r="D3367" i="4"/>
  <c r="C3367" i="4"/>
  <c r="B3367" i="4"/>
  <c r="M3367" i="4" s="1"/>
  <c r="D3366" i="4"/>
  <c r="C3366" i="4"/>
  <c r="B3366" i="4"/>
  <c r="M3366" i="4" s="1"/>
  <c r="D3365" i="4"/>
  <c r="C3365" i="4"/>
  <c r="B3365" i="4"/>
  <c r="M3365" i="4" s="1"/>
  <c r="D3364" i="4"/>
  <c r="C3364" i="4"/>
  <c r="B3364" i="4"/>
  <c r="M3364" i="4" s="1"/>
  <c r="D3363" i="4"/>
  <c r="C3363" i="4"/>
  <c r="B3363" i="4"/>
  <c r="M3363" i="4" s="1"/>
  <c r="D3362" i="4"/>
  <c r="C3362" i="4"/>
  <c r="B3362" i="4"/>
  <c r="M3362" i="4" s="1"/>
  <c r="D3361" i="4"/>
  <c r="C3361" i="4"/>
  <c r="B3361" i="4"/>
  <c r="M3361" i="4" s="1"/>
  <c r="D3360" i="4"/>
  <c r="C3360" i="4"/>
  <c r="B3360" i="4"/>
  <c r="M3360" i="4" s="1"/>
  <c r="D3359" i="4"/>
  <c r="C3359" i="4"/>
  <c r="B3359" i="4"/>
  <c r="M3359" i="4" s="1"/>
  <c r="D3358" i="4"/>
  <c r="C3358" i="4"/>
  <c r="B3358" i="4"/>
  <c r="M3358" i="4" s="1"/>
  <c r="D3357" i="4"/>
  <c r="C3357" i="4"/>
  <c r="B3357" i="4"/>
  <c r="M3357" i="4" s="1"/>
  <c r="D3356" i="4"/>
  <c r="C3356" i="4"/>
  <c r="B3356" i="4"/>
  <c r="M3356" i="4" s="1"/>
  <c r="D3355" i="4"/>
  <c r="C3355" i="4"/>
  <c r="B3355" i="4"/>
  <c r="M3355" i="4" s="1"/>
  <c r="D3354" i="4"/>
  <c r="C3354" i="4"/>
  <c r="B3354" i="4"/>
  <c r="M3354" i="4" s="1"/>
  <c r="D3353" i="4"/>
  <c r="C3353" i="4"/>
  <c r="B3353" i="4"/>
  <c r="M3353" i="4" s="1"/>
  <c r="D3352" i="4"/>
  <c r="C3352" i="4"/>
  <c r="B3352" i="4"/>
  <c r="M3352" i="4" s="1"/>
  <c r="D3351" i="4"/>
  <c r="C3351" i="4"/>
  <c r="B3351" i="4"/>
  <c r="M3351" i="4" s="1"/>
  <c r="D3350" i="4"/>
  <c r="C3350" i="4"/>
  <c r="B3350" i="4"/>
  <c r="M3350" i="4" s="1"/>
  <c r="D3349" i="4"/>
  <c r="C3349" i="4"/>
  <c r="B3349" i="4"/>
  <c r="M3349" i="4" s="1"/>
  <c r="D3348" i="4"/>
  <c r="C3348" i="4"/>
  <c r="B3348" i="4"/>
  <c r="M3348" i="4" s="1"/>
  <c r="D3347" i="4"/>
  <c r="C3347" i="4"/>
  <c r="B3347" i="4"/>
  <c r="M3347" i="4" s="1"/>
  <c r="D3346" i="4"/>
  <c r="C3346" i="4"/>
  <c r="B3346" i="4"/>
  <c r="M3346" i="4" s="1"/>
  <c r="D3345" i="4"/>
  <c r="C3345" i="4"/>
  <c r="B3345" i="4"/>
  <c r="M3345" i="4" s="1"/>
  <c r="D3344" i="4"/>
  <c r="C3344" i="4"/>
  <c r="B3344" i="4"/>
  <c r="M3344" i="4" s="1"/>
  <c r="D3343" i="4"/>
  <c r="C3343" i="4"/>
  <c r="B3343" i="4"/>
  <c r="M3343" i="4" s="1"/>
  <c r="D3342" i="4"/>
  <c r="C3342" i="4"/>
  <c r="B3342" i="4"/>
  <c r="M3342" i="4" s="1"/>
  <c r="D3341" i="4"/>
  <c r="C3341" i="4"/>
  <c r="B3341" i="4"/>
  <c r="M3341" i="4" s="1"/>
  <c r="D3340" i="4"/>
  <c r="C3340" i="4"/>
  <c r="B3340" i="4"/>
  <c r="M3340" i="4" s="1"/>
  <c r="D3339" i="4"/>
  <c r="C3339" i="4"/>
  <c r="B3339" i="4"/>
  <c r="M3339" i="4" s="1"/>
  <c r="D3338" i="4"/>
  <c r="C3338" i="4"/>
  <c r="B3338" i="4"/>
  <c r="M3338" i="4" s="1"/>
  <c r="D3337" i="4"/>
  <c r="C3337" i="4"/>
  <c r="B3337" i="4"/>
  <c r="M3337" i="4" s="1"/>
  <c r="D3336" i="4"/>
  <c r="C3336" i="4"/>
  <c r="B3336" i="4"/>
  <c r="M3336" i="4" s="1"/>
  <c r="D3335" i="4"/>
  <c r="C3335" i="4"/>
  <c r="B3335" i="4"/>
  <c r="M3335" i="4" s="1"/>
  <c r="D3334" i="4"/>
  <c r="C3334" i="4"/>
  <c r="B3334" i="4"/>
  <c r="M3334" i="4" s="1"/>
  <c r="D3333" i="4"/>
  <c r="C3333" i="4"/>
  <c r="B3333" i="4"/>
  <c r="M3333" i="4" s="1"/>
  <c r="D3332" i="4"/>
  <c r="C3332" i="4"/>
  <c r="B3332" i="4"/>
  <c r="M3332" i="4" s="1"/>
  <c r="D3331" i="4"/>
  <c r="C3331" i="4"/>
  <c r="B3331" i="4"/>
  <c r="M3331" i="4" s="1"/>
  <c r="D3330" i="4"/>
  <c r="C3330" i="4"/>
  <c r="B3330" i="4"/>
  <c r="M3330" i="4" s="1"/>
  <c r="D3329" i="4"/>
  <c r="C3329" i="4"/>
  <c r="B3329" i="4"/>
  <c r="M3329" i="4" s="1"/>
  <c r="D3328" i="4"/>
  <c r="C3328" i="4"/>
  <c r="B3328" i="4"/>
  <c r="M3328" i="4" s="1"/>
  <c r="D3327" i="4"/>
  <c r="C3327" i="4"/>
  <c r="B3327" i="4"/>
  <c r="M3327" i="4" s="1"/>
  <c r="D3326" i="4"/>
  <c r="C3326" i="4"/>
  <c r="B3326" i="4"/>
  <c r="M3326" i="4" s="1"/>
  <c r="D3325" i="4"/>
  <c r="C3325" i="4"/>
  <c r="B3325" i="4"/>
  <c r="M3325" i="4" s="1"/>
  <c r="D3324" i="4"/>
  <c r="C3324" i="4"/>
  <c r="B3324" i="4"/>
  <c r="M3324" i="4" s="1"/>
  <c r="D3323" i="4"/>
  <c r="C3323" i="4"/>
  <c r="B3323" i="4"/>
  <c r="M3323" i="4" s="1"/>
  <c r="D3322" i="4"/>
  <c r="C3322" i="4"/>
  <c r="B3322" i="4"/>
  <c r="M3322" i="4" s="1"/>
  <c r="D3321" i="4"/>
  <c r="C3321" i="4"/>
  <c r="B3321" i="4"/>
  <c r="M3321" i="4" s="1"/>
  <c r="D3320" i="4"/>
  <c r="C3320" i="4"/>
  <c r="B3320" i="4"/>
  <c r="M3320" i="4" s="1"/>
  <c r="D3319" i="4"/>
  <c r="C3319" i="4"/>
  <c r="B3319" i="4"/>
  <c r="M3319" i="4" s="1"/>
  <c r="D3318" i="4"/>
  <c r="C3318" i="4"/>
  <c r="B3318" i="4"/>
  <c r="M3318" i="4" s="1"/>
  <c r="D3317" i="4"/>
  <c r="C3317" i="4"/>
  <c r="B3317" i="4"/>
  <c r="M3317" i="4" s="1"/>
  <c r="D3316" i="4"/>
  <c r="C3316" i="4"/>
  <c r="B3316" i="4"/>
  <c r="M3316" i="4" s="1"/>
  <c r="D3315" i="4"/>
  <c r="C3315" i="4"/>
  <c r="B3315" i="4"/>
  <c r="M3315" i="4" s="1"/>
  <c r="D3314" i="4"/>
  <c r="C3314" i="4"/>
  <c r="B3314" i="4"/>
  <c r="M3314" i="4" s="1"/>
  <c r="D3313" i="4"/>
  <c r="C3313" i="4"/>
  <c r="B3313" i="4"/>
  <c r="M3313" i="4" s="1"/>
  <c r="D3312" i="4"/>
  <c r="C3312" i="4"/>
  <c r="B3312" i="4"/>
  <c r="M3312" i="4" s="1"/>
  <c r="D3311" i="4"/>
  <c r="C3311" i="4"/>
  <c r="B3311" i="4"/>
  <c r="M3311" i="4" s="1"/>
  <c r="D3310" i="4"/>
  <c r="C3310" i="4"/>
  <c r="B3310" i="4"/>
  <c r="M3310" i="4" s="1"/>
  <c r="D3309" i="4"/>
  <c r="C3309" i="4"/>
  <c r="B3309" i="4"/>
  <c r="M3309" i="4" s="1"/>
  <c r="D3308" i="4"/>
  <c r="C3308" i="4"/>
  <c r="B3308" i="4"/>
  <c r="M3308" i="4" s="1"/>
  <c r="D3307" i="4"/>
  <c r="C3307" i="4"/>
  <c r="B3307" i="4"/>
  <c r="M3307" i="4" s="1"/>
  <c r="D3306" i="4"/>
  <c r="C3306" i="4"/>
  <c r="B3306" i="4"/>
  <c r="M3306" i="4" s="1"/>
  <c r="D3305" i="4"/>
  <c r="C3305" i="4"/>
  <c r="B3305" i="4"/>
  <c r="M3305" i="4" s="1"/>
  <c r="D3304" i="4"/>
  <c r="C3304" i="4"/>
  <c r="B3304" i="4"/>
  <c r="M3304" i="4" s="1"/>
  <c r="D3303" i="4"/>
  <c r="C3303" i="4"/>
  <c r="B3303" i="4"/>
  <c r="M3303" i="4" s="1"/>
  <c r="D3302" i="4"/>
  <c r="C3302" i="4"/>
  <c r="B3302" i="4"/>
  <c r="M3302" i="4" s="1"/>
  <c r="D3301" i="4"/>
  <c r="C3301" i="4"/>
  <c r="B3301" i="4"/>
  <c r="M3301" i="4" s="1"/>
  <c r="D3300" i="4"/>
  <c r="C3300" i="4"/>
  <c r="B3300" i="4"/>
  <c r="M3300" i="4" s="1"/>
  <c r="D3299" i="4"/>
  <c r="C3299" i="4"/>
  <c r="B3299" i="4"/>
  <c r="M3299" i="4" s="1"/>
  <c r="D3298" i="4"/>
  <c r="C3298" i="4"/>
  <c r="B3298" i="4"/>
  <c r="M3298" i="4" s="1"/>
  <c r="D3297" i="4"/>
  <c r="C3297" i="4"/>
  <c r="B3297" i="4"/>
  <c r="M3297" i="4" s="1"/>
  <c r="D3296" i="4"/>
  <c r="C3296" i="4"/>
  <c r="B3296" i="4"/>
  <c r="M3296" i="4" s="1"/>
  <c r="D3295" i="4"/>
  <c r="C3295" i="4"/>
  <c r="B3295" i="4"/>
  <c r="M3295" i="4" s="1"/>
  <c r="D3294" i="4"/>
  <c r="C3294" i="4"/>
  <c r="B3294" i="4"/>
  <c r="M3294" i="4" s="1"/>
  <c r="D3293" i="4"/>
  <c r="C3293" i="4"/>
  <c r="B3293" i="4"/>
  <c r="M3293" i="4" s="1"/>
  <c r="D3292" i="4"/>
  <c r="C3292" i="4"/>
  <c r="B3292" i="4"/>
  <c r="M3292" i="4" s="1"/>
  <c r="D3291" i="4"/>
  <c r="C3291" i="4"/>
  <c r="B3291" i="4"/>
  <c r="M3291" i="4" s="1"/>
  <c r="D3290" i="4"/>
  <c r="C3290" i="4"/>
  <c r="B3290" i="4"/>
  <c r="M3290" i="4" s="1"/>
  <c r="D3289" i="4"/>
  <c r="C3289" i="4"/>
  <c r="B3289" i="4"/>
  <c r="M3289" i="4" s="1"/>
  <c r="D3288" i="4"/>
  <c r="C3288" i="4"/>
  <c r="B3288" i="4"/>
  <c r="M3288" i="4" s="1"/>
  <c r="D3287" i="4"/>
  <c r="C3287" i="4"/>
  <c r="B3287" i="4"/>
  <c r="M3287" i="4" s="1"/>
  <c r="D3286" i="4"/>
  <c r="C3286" i="4"/>
  <c r="B3286" i="4"/>
  <c r="M3286" i="4" s="1"/>
  <c r="D3285" i="4"/>
  <c r="C3285" i="4"/>
  <c r="B3285" i="4"/>
  <c r="M3285" i="4" s="1"/>
  <c r="D3284" i="4"/>
  <c r="C3284" i="4"/>
  <c r="B3284" i="4"/>
  <c r="M3284" i="4" s="1"/>
  <c r="D3283" i="4"/>
  <c r="C3283" i="4"/>
  <c r="B3283" i="4"/>
  <c r="M3283" i="4" s="1"/>
  <c r="D3282" i="4"/>
  <c r="C3282" i="4"/>
  <c r="B3282" i="4"/>
  <c r="M3282" i="4" s="1"/>
  <c r="D3281" i="4"/>
  <c r="C3281" i="4"/>
  <c r="B3281" i="4"/>
  <c r="M3281" i="4" s="1"/>
  <c r="D3280" i="4"/>
  <c r="C3280" i="4"/>
  <c r="B3280" i="4"/>
  <c r="M3280" i="4" s="1"/>
  <c r="D3279" i="4"/>
  <c r="C3279" i="4"/>
  <c r="B3279" i="4"/>
  <c r="M3279" i="4" s="1"/>
  <c r="D3278" i="4"/>
  <c r="C3278" i="4"/>
  <c r="B3278" i="4"/>
  <c r="M3278" i="4" s="1"/>
  <c r="D3277" i="4"/>
  <c r="C3277" i="4"/>
  <c r="B3277" i="4"/>
  <c r="M3277" i="4" s="1"/>
  <c r="D3276" i="4"/>
  <c r="C3276" i="4"/>
  <c r="B3276" i="4"/>
  <c r="M3276" i="4" s="1"/>
  <c r="D3275" i="4"/>
  <c r="C3275" i="4"/>
  <c r="B3275" i="4"/>
  <c r="M3275" i="4" s="1"/>
  <c r="D3274" i="4"/>
  <c r="C3274" i="4"/>
  <c r="B3274" i="4"/>
  <c r="M3274" i="4" s="1"/>
  <c r="D3273" i="4"/>
  <c r="C3273" i="4"/>
  <c r="B3273" i="4"/>
  <c r="M3273" i="4" s="1"/>
  <c r="D3272" i="4"/>
  <c r="C3272" i="4"/>
  <c r="B3272" i="4"/>
  <c r="M3272" i="4" s="1"/>
  <c r="D3271" i="4"/>
  <c r="C3271" i="4"/>
  <c r="B3271" i="4"/>
  <c r="M3271" i="4" s="1"/>
  <c r="D3270" i="4"/>
  <c r="C3270" i="4"/>
  <c r="B3270" i="4"/>
  <c r="M3270" i="4" s="1"/>
  <c r="D3269" i="4"/>
  <c r="C3269" i="4"/>
  <c r="B3269" i="4"/>
  <c r="M3269" i="4" s="1"/>
  <c r="D3268" i="4"/>
  <c r="C3268" i="4"/>
  <c r="B3268" i="4"/>
  <c r="M3268" i="4" s="1"/>
  <c r="D3267" i="4"/>
  <c r="C3267" i="4"/>
  <c r="B3267" i="4"/>
  <c r="M3267" i="4" s="1"/>
  <c r="D3266" i="4"/>
  <c r="C3266" i="4"/>
  <c r="B3266" i="4"/>
  <c r="M3266" i="4" s="1"/>
  <c r="D3265" i="4"/>
  <c r="C3265" i="4"/>
  <c r="B3265" i="4"/>
  <c r="M3265" i="4" s="1"/>
  <c r="D3264" i="4"/>
  <c r="C3264" i="4"/>
  <c r="B3264" i="4"/>
  <c r="M3264" i="4" s="1"/>
  <c r="D3263" i="4"/>
  <c r="C3263" i="4"/>
  <c r="B3263" i="4"/>
  <c r="M3263" i="4" s="1"/>
  <c r="D3262" i="4"/>
  <c r="C3262" i="4"/>
  <c r="B3262" i="4"/>
  <c r="M3262" i="4" s="1"/>
  <c r="D3261" i="4"/>
  <c r="C3261" i="4"/>
  <c r="B3261" i="4"/>
  <c r="M3261" i="4" s="1"/>
  <c r="D3260" i="4"/>
  <c r="C3260" i="4"/>
  <c r="B3260" i="4"/>
  <c r="M3260" i="4" s="1"/>
  <c r="D3259" i="4"/>
  <c r="C3259" i="4"/>
  <c r="B3259" i="4"/>
  <c r="M3259" i="4" s="1"/>
  <c r="D3258" i="4"/>
  <c r="C3258" i="4"/>
  <c r="B3258" i="4"/>
  <c r="M3258" i="4" s="1"/>
  <c r="D3257" i="4"/>
  <c r="C3257" i="4"/>
  <c r="B3257" i="4"/>
  <c r="M3257" i="4" s="1"/>
  <c r="D3256" i="4"/>
  <c r="C3256" i="4"/>
  <c r="B3256" i="4"/>
  <c r="M3256" i="4" s="1"/>
  <c r="D3255" i="4"/>
  <c r="C3255" i="4"/>
  <c r="B3255" i="4"/>
  <c r="M3255" i="4" s="1"/>
  <c r="D3254" i="4"/>
  <c r="C3254" i="4"/>
  <c r="B3254" i="4"/>
  <c r="M3254" i="4" s="1"/>
  <c r="D3253" i="4"/>
  <c r="C3253" i="4"/>
  <c r="B3253" i="4"/>
  <c r="M3253" i="4" s="1"/>
  <c r="D3252" i="4"/>
  <c r="C3252" i="4"/>
  <c r="B3252" i="4"/>
  <c r="M3252" i="4" s="1"/>
  <c r="D3251" i="4"/>
  <c r="C3251" i="4"/>
  <c r="B3251" i="4"/>
  <c r="M3251" i="4" s="1"/>
  <c r="D3250" i="4"/>
  <c r="C3250" i="4"/>
  <c r="B3250" i="4"/>
  <c r="M3250" i="4" s="1"/>
  <c r="D3249" i="4"/>
  <c r="C3249" i="4"/>
  <c r="B3249" i="4"/>
  <c r="M3249" i="4" s="1"/>
  <c r="D3248" i="4"/>
  <c r="C3248" i="4"/>
  <c r="B3248" i="4"/>
  <c r="M3248" i="4" s="1"/>
  <c r="D3247" i="4"/>
  <c r="C3247" i="4"/>
  <c r="B3247" i="4"/>
  <c r="M3247" i="4" s="1"/>
  <c r="D3246" i="4"/>
  <c r="C3246" i="4"/>
  <c r="B3246" i="4"/>
  <c r="M3246" i="4" s="1"/>
  <c r="D3245" i="4"/>
  <c r="C3245" i="4"/>
  <c r="B3245" i="4"/>
  <c r="M3245" i="4" s="1"/>
  <c r="D3244" i="4"/>
  <c r="C3244" i="4"/>
  <c r="B3244" i="4"/>
  <c r="M3244" i="4" s="1"/>
  <c r="D3243" i="4"/>
  <c r="C3243" i="4"/>
  <c r="B3243" i="4"/>
  <c r="M3243" i="4" s="1"/>
  <c r="D3242" i="4"/>
  <c r="C3242" i="4"/>
  <c r="B3242" i="4"/>
  <c r="M3242" i="4" s="1"/>
  <c r="D3241" i="4"/>
  <c r="C3241" i="4"/>
  <c r="B3241" i="4"/>
  <c r="M3241" i="4" s="1"/>
  <c r="D3240" i="4"/>
  <c r="C3240" i="4"/>
  <c r="B3240" i="4"/>
  <c r="M3240" i="4" s="1"/>
  <c r="D3239" i="4"/>
  <c r="C3239" i="4"/>
  <c r="B3239" i="4"/>
  <c r="M3239" i="4" s="1"/>
  <c r="D3238" i="4"/>
  <c r="C3238" i="4"/>
  <c r="B3238" i="4"/>
  <c r="M3238" i="4" s="1"/>
  <c r="D3237" i="4"/>
  <c r="C3237" i="4"/>
  <c r="B3237" i="4"/>
  <c r="M3237" i="4" s="1"/>
  <c r="D3236" i="4"/>
  <c r="C3236" i="4"/>
  <c r="B3236" i="4"/>
  <c r="M3236" i="4" s="1"/>
  <c r="D3235" i="4"/>
  <c r="C3235" i="4"/>
  <c r="B3235" i="4"/>
  <c r="M3235" i="4" s="1"/>
  <c r="D3234" i="4"/>
  <c r="C3234" i="4"/>
  <c r="B3234" i="4"/>
  <c r="M3234" i="4" s="1"/>
  <c r="D3233" i="4"/>
  <c r="C3233" i="4"/>
  <c r="B3233" i="4"/>
  <c r="M3233" i="4" s="1"/>
  <c r="D3232" i="4"/>
  <c r="C3232" i="4"/>
  <c r="B3232" i="4"/>
  <c r="M3232" i="4" s="1"/>
  <c r="D3231" i="4"/>
  <c r="C3231" i="4"/>
  <c r="B3231" i="4"/>
  <c r="M3231" i="4" s="1"/>
  <c r="D3230" i="4"/>
  <c r="C3230" i="4"/>
  <c r="B3230" i="4"/>
  <c r="M3230" i="4" s="1"/>
  <c r="D3229" i="4"/>
  <c r="C3229" i="4"/>
  <c r="B3229" i="4"/>
  <c r="M3229" i="4" s="1"/>
  <c r="D3228" i="4"/>
  <c r="C3228" i="4"/>
  <c r="B3228" i="4"/>
  <c r="M3228" i="4" s="1"/>
  <c r="D3227" i="4"/>
  <c r="C3227" i="4"/>
  <c r="B3227" i="4"/>
  <c r="M3227" i="4" s="1"/>
  <c r="D3226" i="4"/>
  <c r="C3226" i="4"/>
  <c r="B3226" i="4"/>
  <c r="M3226" i="4" s="1"/>
  <c r="D3225" i="4"/>
  <c r="C3225" i="4"/>
  <c r="B3225" i="4"/>
  <c r="M3225" i="4" s="1"/>
  <c r="D3224" i="4"/>
  <c r="C3224" i="4"/>
  <c r="B3224" i="4"/>
  <c r="M3224" i="4" s="1"/>
  <c r="D3223" i="4"/>
  <c r="C3223" i="4"/>
  <c r="B3223" i="4"/>
  <c r="M3223" i="4" s="1"/>
  <c r="D3222" i="4"/>
  <c r="C3222" i="4"/>
  <c r="B3222" i="4"/>
  <c r="M3222" i="4" s="1"/>
  <c r="D3221" i="4"/>
  <c r="C3221" i="4"/>
  <c r="B3221" i="4"/>
  <c r="M3221" i="4" s="1"/>
  <c r="D3220" i="4"/>
  <c r="C3220" i="4"/>
  <c r="B3220" i="4"/>
  <c r="M3220" i="4" s="1"/>
  <c r="D3219" i="4"/>
  <c r="C3219" i="4"/>
  <c r="B3219" i="4"/>
  <c r="M3219" i="4" s="1"/>
  <c r="D3218" i="4"/>
  <c r="C3218" i="4"/>
  <c r="B3218" i="4"/>
  <c r="M3218" i="4" s="1"/>
  <c r="D3217" i="4"/>
  <c r="C3217" i="4"/>
  <c r="B3217" i="4"/>
  <c r="M3217" i="4" s="1"/>
  <c r="D3216" i="4"/>
  <c r="C3216" i="4"/>
  <c r="B3216" i="4"/>
  <c r="M3216" i="4" s="1"/>
  <c r="D3215" i="4"/>
  <c r="C3215" i="4"/>
  <c r="B3215" i="4"/>
  <c r="M3215" i="4" s="1"/>
  <c r="D3214" i="4"/>
  <c r="C3214" i="4"/>
  <c r="B3214" i="4"/>
  <c r="M3214" i="4" s="1"/>
  <c r="D3213" i="4"/>
  <c r="C3213" i="4"/>
  <c r="B3213" i="4"/>
  <c r="M3213" i="4" s="1"/>
  <c r="D3212" i="4"/>
  <c r="C3212" i="4"/>
  <c r="B3212" i="4"/>
  <c r="M3212" i="4" s="1"/>
  <c r="D3211" i="4"/>
  <c r="C3211" i="4"/>
  <c r="B3211" i="4"/>
  <c r="M3211" i="4" s="1"/>
  <c r="D3210" i="4"/>
  <c r="C3210" i="4"/>
  <c r="B3210" i="4"/>
  <c r="M3210" i="4" s="1"/>
  <c r="D3209" i="4"/>
  <c r="C3209" i="4"/>
  <c r="B3209" i="4"/>
  <c r="M3209" i="4" s="1"/>
  <c r="D3208" i="4"/>
  <c r="C3208" i="4"/>
  <c r="B3208" i="4"/>
  <c r="M3208" i="4" s="1"/>
  <c r="D3207" i="4"/>
  <c r="C3207" i="4"/>
  <c r="B3207" i="4"/>
  <c r="M3207" i="4" s="1"/>
  <c r="D3206" i="4"/>
  <c r="C3206" i="4"/>
  <c r="B3206" i="4"/>
  <c r="M3206" i="4" s="1"/>
  <c r="D3205" i="4"/>
  <c r="C3205" i="4"/>
  <c r="B3205" i="4"/>
  <c r="M3205" i="4" s="1"/>
  <c r="D3204" i="4"/>
  <c r="C3204" i="4"/>
  <c r="B3204" i="4"/>
  <c r="M3204" i="4" s="1"/>
  <c r="D3203" i="4"/>
  <c r="C3203" i="4"/>
  <c r="B3203" i="4"/>
  <c r="M3203" i="4" s="1"/>
  <c r="D3202" i="4"/>
  <c r="C3202" i="4"/>
  <c r="B3202" i="4"/>
  <c r="M3202" i="4" s="1"/>
  <c r="D3201" i="4"/>
  <c r="C3201" i="4"/>
  <c r="B3201" i="4"/>
  <c r="M3201" i="4" s="1"/>
  <c r="D3200" i="4"/>
  <c r="C3200" i="4"/>
  <c r="B3200" i="4"/>
  <c r="M3200" i="4" s="1"/>
  <c r="D3199" i="4"/>
  <c r="C3199" i="4"/>
  <c r="B3199" i="4"/>
  <c r="M3199" i="4" s="1"/>
  <c r="D3198" i="4"/>
  <c r="C3198" i="4"/>
  <c r="B3198" i="4"/>
  <c r="M3198" i="4" s="1"/>
  <c r="D3197" i="4"/>
  <c r="C3197" i="4"/>
  <c r="B3197" i="4"/>
  <c r="M3197" i="4" s="1"/>
  <c r="D3196" i="4"/>
  <c r="C3196" i="4"/>
  <c r="B3196" i="4"/>
  <c r="M3196" i="4" s="1"/>
  <c r="D3195" i="4"/>
  <c r="C3195" i="4"/>
  <c r="B3195" i="4"/>
  <c r="M3195" i="4" s="1"/>
  <c r="D3194" i="4"/>
  <c r="C3194" i="4"/>
  <c r="B3194" i="4"/>
  <c r="M3194" i="4" s="1"/>
  <c r="D3193" i="4"/>
  <c r="C3193" i="4"/>
  <c r="B3193" i="4"/>
  <c r="M3193" i="4" s="1"/>
  <c r="D3192" i="4"/>
  <c r="C3192" i="4"/>
  <c r="B3192" i="4"/>
  <c r="M3192" i="4" s="1"/>
  <c r="D3191" i="4"/>
  <c r="C3191" i="4"/>
  <c r="B3191" i="4"/>
  <c r="M3191" i="4" s="1"/>
  <c r="D3190" i="4"/>
  <c r="C3190" i="4"/>
  <c r="B3190" i="4"/>
  <c r="M3190" i="4" s="1"/>
  <c r="D3189" i="4"/>
  <c r="C3189" i="4"/>
  <c r="B3189" i="4"/>
  <c r="M3189" i="4" s="1"/>
  <c r="D3188" i="4"/>
  <c r="C3188" i="4"/>
  <c r="B3188" i="4"/>
  <c r="M3188" i="4" s="1"/>
  <c r="D3187" i="4"/>
  <c r="C3187" i="4"/>
  <c r="B3187" i="4"/>
  <c r="M3187" i="4" s="1"/>
  <c r="D3186" i="4"/>
  <c r="C3186" i="4"/>
  <c r="B3186" i="4"/>
  <c r="M3186" i="4" s="1"/>
  <c r="D3185" i="4"/>
  <c r="C3185" i="4"/>
  <c r="B3185" i="4"/>
  <c r="M3185" i="4" s="1"/>
  <c r="D3184" i="4"/>
  <c r="C3184" i="4"/>
  <c r="B3184" i="4"/>
  <c r="M3184" i="4" s="1"/>
  <c r="D3183" i="4"/>
  <c r="C3183" i="4"/>
  <c r="B3183" i="4"/>
  <c r="M3183" i="4" s="1"/>
  <c r="D3182" i="4"/>
  <c r="C3182" i="4"/>
  <c r="B3182" i="4"/>
  <c r="M3182" i="4" s="1"/>
  <c r="D3181" i="4"/>
  <c r="C3181" i="4"/>
  <c r="B3181" i="4"/>
  <c r="M3181" i="4" s="1"/>
  <c r="D3180" i="4"/>
  <c r="C3180" i="4"/>
  <c r="B3180" i="4"/>
  <c r="M3180" i="4" s="1"/>
  <c r="D3179" i="4"/>
  <c r="C3179" i="4"/>
  <c r="B3179" i="4"/>
  <c r="M3179" i="4" s="1"/>
  <c r="D3178" i="4"/>
  <c r="C3178" i="4"/>
  <c r="B3178" i="4"/>
  <c r="M3178" i="4" s="1"/>
  <c r="D3177" i="4"/>
  <c r="C3177" i="4"/>
  <c r="B3177" i="4"/>
  <c r="M3177" i="4" s="1"/>
  <c r="D3176" i="4"/>
  <c r="C3176" i="4"/>
  <c r="B3176" i="4"/>
  <c r="M3176" i="4" s="1"/>
  <c r="D3175" i="4"/>
  <c r="C3175" i="4"/>
  <c r="B3175" i="4"/>
  <c r="M3175" i="4" s="1"/>
  <c r="D3174" i="4"/>
  <c r="C3174" i="4"/>
  <c r="B3174" i="4"/>
  <c r="M3174" i="4" s="1"/>
  <c r="D3173" i="4"/>
  <c r="C3173" i="4"/>
  <c r="B3173" i="4"/>
  <c r="M3173" i="4" s="1"/>
  <c r="D3172" i="4"/>
  <c r="C3172" i="4"/>
  <c r="B3172" i="4"/>
  <c r="M3172" i="4" s="1"/>
  <c r="D3171" i="4"/>
  <c r="C3171" i="4"/>
  <c r="B3171" i="4"/>
  <c r="M3171" i="4" s="1"/>
  <c r="D3170" i="4"/>
  <c r="C3170" i="4"/>
  <c r="B3170" i="4"/>
  <c r="M3170" i="4" s="1"/>
  <c r="D3169" i="4"/>
  <c r="C3169" i="4"/>
  <c r="B3169" i="4"/>
  <c r="M3169" i="4" s="1"/>
  <c r="D3168" i="4"/>
  <c r="C3168" i="4"/>
  <c r="B3168" i="4"/>
  <c r="M3168" i="4" s="1"/>
  <c r="D3167" i="4"/>
  <c r="C3167" i="4"/>
  <c r="B3167" i="4"/>
  <c r="M3167" i="4" s="1"/>
  <c r="D3166" i="4"/>
  <c r="C3166" i="4"/>
  <c r="B3166" i="4"/>
  <c r="M3166" i="4" s="1"/>
  <c r="D3165" i="4"/>
  <c r="C3165" i="4"/>
  <c r="B3165" i="4"/>
  <c r="M3165" i="4" s="1"/>
  <c r="D3164" i="4"/>
  <c r="C3164" i="4"/>
  <c r="B3164" i="4"/>
  <c r="M3164" i="4" s="1"/>
  <c r="D3163" i="4"/>
  <c r="C3163" i="4"/>
  <c r="B3163" i="4"/>
  <c r="M3163" i="4" s="1"/>
  <c r="D3162" i="4"/>
  <c r="C3162" i="4"/>
  <c r="B3162" i="4"/>
  <c r="M3162" i="4" s="1"/>
  <c r="D3161" i="4"/>
  <c r="C3161" i="4"/>
  <c r="B3161" i="4"/>
  <c r="M3161" i="4" s="1"/>
  <c r="D3160" i="4"/>
  <c r="C3160" i="4"/>
  <c r="B3160" i="4"/>
  <c r="M3160" i="4" s="1"/>
  <c r="D3159" i="4"/>
  <c r="C3159" i="4"/>
  <c r="B3159" i="4"/>
  <c r="M3159" i="4" s="1"/>
  <c r="D3158" i="4"/>
  <c r="C3158" i="4"/>
  <c r="B3158" i="4"/>
  <c r="M3158" i="4" s="1"/>
  <c r="D3157" i="4"/>
  <c r="C3157" i="4"/>
  <c r="B3157" i="4"/>
  <c r="M3157" i="4" s="1"/>
  <c r="D3156" i="4"/>
  <c r="C3156" i="4"/>
  <c r="B3156" i="4"/>
  <c r="M3156" i="4" s="1"/>
  <c r="D3155" i="4"/>
  <c r="C3155" i="4"/>
  <c r="B3155" i="4"/>
  <c r="M3155" i="4" s="1"/>
  <c r="D3154" i="4"/>
  <c r="C3154" i="4"/>
  <c r="B3154" i="4"/>
  <c r="M3154" i="4" s="1"/>
  <c r="D3153" i="4"/>
  <c r="C3153" i="4"/>
  <c r="B3153" i="4"/>
  <c r="M3153" i="4" s="1"/>
  <c r="D3152" i="4"/>
  <c r="C3152" i="4"/>
  <c r="B3152" i="4"/>
  <c r="M3152" i="4" s="1"/>
  <c r="D3151" i="4"/>
  <c r="C3151" i="4"/>
  <c r="B3151" i="4"/>
  <c r="M3151" i="4" s="1"/>
  <c r="D3150" i="4"/>
  <c r="C3150" i="4"/>
  <c r="B3150" i="4"/>
  <c r="M3150" i="4" s="1"/>
  <c r="D3149" i="4"/>
  <c r="C3149" i="4"/>
  <c r="B3149" i="4"/>
  <c r="M3149" i="4" s="1"/>
  <c r="D3148" i="4"/>
  <c r="C3148" i="4"/>
  <c r="B3148" i="4"/>
  <c r="M3148" i="4" s="1"/>
  <c r="D3147" i="4"/>
  <c r="C3147" i="4"/>
  <c r="B3147" i="4"/>
  <c r="M3147" i="4" s="1"/>
  <c r="D3146" i="4"/>
  <c r="C3146" i="4"/>
  <c r="B3146" i="4"/>
  <c r="M3146" i="4" s="1"/>
  <c r="D3145" i="4"/>
  <c r="C3145" i="4"/>
  <c r="B3145" i="4"/>
  <c r="M3145" i="4" s="1"/>
  <c r="D3144" i="4"/>
  <c r="C3144" i="4"/>
  <c r="B3144" i="4"/>
  <c r="M3144" i="4" s="1"/>
  <c r="D3143" i="4"/>
  <c r="C3143" i="4"/>
  <c r="B3143" i="4"/>
  <c r="M3143" i="4" s="1"/>
  <c r="D3142" i="4"/>
  <c r="C3142" i="4"/>
  <c r="B3142" i="4"/>
  <c r="M3142" i="4" s="1"/>
  <c r="D3141" i="4"/>
  <c r="C3141" i="4"/>
  <c r="B3141" i="4"/>
  <c r="M3141" i="4" s="1"/>
  <c r="D3140" i="4"/>
  <c r="C3140" i="4"/>
  <c r="B3140" i="4"/>
  <c r="M3140" i="4" s="1"/>
  <c r="D3139" i="4"/>
  <c r="C3139" i="4"/>
  <c r="B3139" i="4"/>
  <c r="M3139" i="4" s="1"/>
  <c r="D3138" i="4"/>
  <c r="C3138" i="4"/>
  <c r="B3138" i="4"/>
  <c r="M3138" i="4" s="1"/>
  <c r="D3137" i="4"/>
  <c r="C3137" i="4"/>
  <c r="B3137" i="4"/>
  <c r="M3137" i="4" s="1"/>
  <c r="D3136" i="4"/>
  <c r="C3136" i="4"/>
  <c r="B3136" i="4"/>
  <c r="M3136" i="4" s="1"/>
  <c r="D3135" i="4"/>
  <c r="C3135" i="4"/>
  <c r="B3135" i="4"/>
  <c r="M3135" i="4" s="1"/>
  <c r="D3134" i="4"/>
  <c r="C3134" i="4"/>
  <c r="B3134" i="4"/>
  <c r="M3134" i="4" s="1"/>
  <c r="D3133" i="4"/>
  <c r="C3133" i="4"/>
  <c r="B3133" i="4"/>
  <c r="M3133" i="4" s="1"/>
  <c r="D3132" i="4"/>
  <c r="C3132" i="4"/>
  <c r="B3132" i="4"/>
  <c r="M3132" i="4" s="1"/>
  <c r="D3131" i="4"/>
  <c r="C3131" i="4"/>
  <c r="B3131" i="4"/>
  <c r="M3131" i="4" s="1"/>
  <c r="D3130" i="4"/>
  <c r="C3130" i="4"/>
  <c r="B3130" i="4"/>
  <c r="M3130" i="4" s="1"/>
  <c r="D3129" i="4"/>
  <c r="C3129" i="4"/>
  <c r="B3129" i="4"/>
  <c r="M3129" i="4" s="1"/>
  <c r="D3128" i="4"/>
  <c r="C3128" i="4"/>
  <c r="B3128" i="4"/>
  <c r="M3128" i="4" s="1"/>
  <c r="D3127" i="4"/>
  <c r="C3127" i="4"/>
  <c r="B3127" i="4"/>
  <c r="M3127" i="4" s="1"/>
  <c r="D3126" i="4"/>
  <c r="C3126" i="4"/>
  <c r="B3126" i="4"/>
  <c r="M3126" i="4" s="1"/>
  <c r="D3125" i="4"/>
  <c r="C3125" i="4"/>
  <c r="B3125" i="4"/>
  <c r="M3125" i="4" s="1"/>
  <c r="D3124" i="4"/>
  <c r="C3124" i="4"/>
  <c r="B3124" i="4"/>
  <c r="M3124" i="4" s="1"/>
  <c r="D3123" i="4"/>
  <c r="C3123" i="4"/>
  <c r="B3123" i="4"/>
  <c r="M3123" i="4" s="1"/>
  <c r="D3122" i="4"/>
  <c r="C3122" i="4"/>
  <c r="B3122" i="4"/>
  <c r="M3122" i="4" s="1"/>
  <c r="D3121" i="4"/>
  <c r="C3121" i="4"/>
  <c r="B3121" i="4"/>
  <c r="M3121" i="4" s="1"/>
  <c r="D3120" i="4"/>
  <c r="C3120" i="4"/>
  <c r="B3120" i="4"/>
  <c r="M3120" i="4" s="1"/>
  <c r="D3119" i="4"/>
  <c r="C3119" i="4"/>
  <c r="B3119" i="4"/>
  <c r="M3119" i="4" s="1"/>
  <c r="D3118" i="4"/>
  <c r="C3118" i="4"/>
  <c r="B3118" i="4"/>
  <c r="M3118" i="4" s="1"/>
  <c r="D3117" i="4"/>
  <c r="C3117" i="4"/>
  <c r="B3117" i="4"/>
  <c r="M3117" i="4" s="1"/>
  <c r="D3116" i="4"/>
  <c r="C3116" i="4"/>
  <c r="B3116" i="4"/>
  <c r="M3116" i="4" s="1"/>
  <c r="D3115" i="4"/>
  <c r="C3115" i="4"/>
  <c r="B3115" i="4"/>
  <c r="M3115" i="4" s="1"/>
  <c r="D3114" i="4"/>
  <c r="C3114" i="4"/>
  <c r="B3114" i="4"/>
  <c r="M3114" i="4" s="1"/>
  <c r="D3113" i="4"/>
  <c r="C3113" i="4"/>
  <c r="B3113" i="4"/>
  <c r="M3113" i="4" s="1"/>
  <c r="D3112" i="4"/>
  <c r="C3112" i="4"/>
  <c r="B3112" i="4"/>
  <c r="M3112" i="4" s="1"/>
  <c r="D3111" i="4"/>
  <c r="C3111" i="4"/>
  <c r="B3111" i="4"/>
  <c r="M3111" i="4" s="1"/>
  <c r="D3110" i="4"/>
  <c r="C3110" i="4"/>
  <c r="B3110" i="4"/>
  <c r="M3110" i="4" s="1"/>
  <c r="D3109" i="4"/>
  <c r="C3109" i="4"/>
  <c r="B3109" i="4"/>
  <c r="M3109" i="4" s="1"/>
  <c r="D3108" i="4"/>
  <c r="C3108" i="4"/>
  <c r="B3108" i="4"/>
  <c r="M3108" i="4" s="1"/>
  <c r="D3107" i="4"/>
  <c r="C3107" i="4"/>
  <c r="B3107" i="4"/>
  <c r="M3107" i="4" s="1"/>
  <c r="D3106" i="4"/>
  <c r="C3106" i="4"/>
  <c r="B3106" i="4"/>
  <c r="M3106" i="4" s="1"/>
  <c r="D3105" i="4"/>
  <c r="C3105" i="4"/>
  <c r="B3105" i="4"/>
  <c r="M3105" i="4" s="1"/>
  <c r="D3104" i="4"/>
  <c r="C3104" i="4"/>
  <c r="B3104" i="4"/>
  <c r="M3104" i="4" s="1"/>
  <c r="D3103" i="4"/>
  <c r="C3103" i="4"/>
  <c r="B3103" i="4"/>
  <c r="M3103" i="4" s="1"/>
  <c r="D3102" i="4"/>
  <c r="C3102" i="4"/>
  <c r="B3102" i="4"/>
  <c r="M3102" i="4" s="1"/>
  <c r="D3101" i="4"/>
  <c r="C3101" i="4"/>
  <c r="B3101" i="4"/>
  <c r="M3101" i="4" s="1"/>
  <c r="D3100" i="4"/>
  <c r="C3100" i="4"/>
  <c r="B3100" i="4"/>
  <c r="M3100" i="4" s="1"/>
  <c r="D3099" i="4"/>
  <c r="C3099" i="4"/>
  <c r="B3099" i="4"/>
  <c r="M3099" i="4" s="1"/>
  <c r="D3098" i="4"/>
  <c r="C3098" i="4"/>
  <c r="B3098" i="4"/>
  <c r="M3098" i="4" s="1"/>
  <c r="D3097" i="4"/>
  <c r="C3097" i="4"/>
  <c r="B3097" i="4"/>
  <c r="M3097" i="4" s="1"/>
  <c r="D3096" i="4"/>
  <c r="C3096" i="4"/>
  <c r="B3096" i="4"/>
  <c r="M3096" i="4" s="1"/>
  <c r="D3095" i="4"/>
  <c r="C3095" i="4"/>
  <c r="B3095" i="4"/>
  <c r="M3095" i="4" s="1"/>
  <c r="D3094" i="4"/>
  <c r="C3094" i="4"/>
  <c r="B3094" i="4"/>
  <c r="M3094" i="4" s="1"/>
  <c r="D3093" i="4"/>
  <c r="C3093" i="4"/>
  <c r="B3093" i="4"/>
  <c r="M3093" i="4" s="1"/>
  <c r="D3092" i="4"/>
  <c r="C3092" i="4"/>
  <c r="B3092" i="4"/>
  <c r="M3092" i="4" s="1"/>
  <c r="D3091" i="4"/>
  <c r="C3091" i="4"/>
  <c r="B3091" i="4"/>
  <c r="M3091" i="4" s="1"/>
  <c r="D3090" i="4"/>
  <c r="C3090" i="4"/>
  <c r="B3090" i="4"/>
  <c r="M3090" i="4" s="1"/>
  <c r="D3089" i="4"/>
  <c r="C3089" i="4"/>
  <c r="B3089" i="4"/>
  <c r="M3089" i="4" s="1"/>
  <c r="D3088" i="4"/>
  <c r="C3088" i="4"/>
  <c r="B3088" i="4"/>
  <c r="M3088" i="4" s="1"/>
  <c r="D3087" i="4"/>
  <c r="C3087" i="4"/>
  <c r="B3087" i="4"/>
  <c r="M3087" i="4" s="1"/>
  <c r="D3086" i="4"/>
  <c r="C3086" i="4"/>
  <c r="B3086" i="4"/>
  <c r="M3086" i="4" s="1"/>
  <c r="D3085" i="4"/>
  <c r="C3085" i="4"/>
  <c r="B3085" i="4"/>
  <c r="M3085" i="4" s="1"/>
  <c r="D3084" i="4"/>
  <c r="C3084" i="4"/>
  <c r="B3084" i="4"/>
  <c r="M3084" i="4" s="1"/>
  <c r="D3083" i="4"/>
  <c r="C3083" i="4"/>
  <c r="B3083" i="4"/>
  <c r="M3083" i="4" s="1"/>
  <c r="D3082" i="4"/>
  <c r="C3082" i="4"/>
  <c r="B3082" i="4"/>
  <c r="M3082" i="4" s="1"/>
  <c r="D3081" i="4"/>
  <c r="C3081" i="4"/>
  <c r="B3081" i="4"/>
  <c r="M3081" i="4" s="1"/>
  <c r="D3080" i="4"/>
  <c r="C3080" i="4"/>
  <c r="B3080" i="4"/>
  <c r="M3080" i="4" s="1"/>
  <c r="D3079" i="4"/>
  <c r="C3079" i="4"/>
  <c r="B3079" i="4"/>
  <c r="M3079" i="4" s="1"/>
  <c r="D3078" i="4"/>
  <c r="C3078" i="4"/>
  <c r="B3078" i="4"/>
  <c r="M3078" i="4" s="1"/>
  <c r="D3077" i="4"/>
  <c r="C3077" i="4"/>
  <c r="B3077" i="4"/>
  <c r="M3077" i="4" s="1"/>
  <c r="D3076" i="4"/>
  <c r="C3076" i="4"/>
  <c r="B3076" i="4"/>
  <c r="M3076" i="4" s="1"/>
  <c r="D3075" i="4"/>
  <c r="C3075" i="4"/>
  <c r="B3075" i="4"/>
  <c r="M3075" i="4" s="1"/>
  <c r="D3074" i="4"/>
  <c r="C3074" i="4"/>
  <c r="B3074" i="4"/>
  <c r="M3074" i="4" s="1"/>
  <c r="D3073" i="4"/>
  <c r="C3073" i="4"/>
  <c r="B3073" i="4"/>
  <c r="M3073" i="4" s="1"/>
  <c r="D3072" i="4"/>
  <c r="C3072" i="4"/>
  <c r="B3072" i="4"/>
  <c r="M3072" i="4" s="1"/>
  <c r="D3071" i="4"/>
  <c r="C3071" i="4"/>
  <c r="B3071" i="4"/>
  <c r="M3071" i="4" s="1"/>
  <c r="D3070" i="4"/>
  <c r="C3070" i="4"/>
  <c r="B3070" i="4"/>
  <c r="M3070" i="4" s="1"/>
  <c r="D3069" i="4"/>
  <c r="C3069" i="4"/>
  <c r="B3069" i="4"/>
  <c r="M3069" i="4" s="1"/>
  <c r="D3068" i="4"/>
  <c r="C3068" i="4"/>
  <c r="B3068" i="4"/>
  <c r="M3068" i="4" s="1"/>
  <c r="D3067" i="4"/>
  <c r="C3067" i="4"/>
  <c r="B3067" i="4"/>
  <c r="M3067" i="4" s="1"/>
  <c r="D3066" i="4"/>
  <c r="C3066" i="4"/>
  <c r="B3066" i="4"/>
  <c r="M3066" i="4" s="1"/>
  <c r="D3065" i="4"/>
  <c r="C3065" i="4"/>
  <c r="B3065" i="4"/>
  <c r="M3065" i="4" s="1"/>
  <c r="D3064" i="4"/>
  <c r="C3064" i="4"/>
  <c r="B3064" i="4"/>
  <c r="M3064" i="4" s="1"/>
  <c r="D3063" i="4"/>
  <c r="C3063" i="4"/>
  <c r="B3063" i="4"/>
  <c r="M3063" i="4" s="1"/>
  <c r="D3062" i="4"/>
  <c r="C3062" i="4"/>
  <c r="B3062" i="4"/>
  <c r="M3062" i="4" s="1"/>
  <c r="D3061" i="4"/>
  <c r="C3061" i="4"/>
  <c r="B3061" i="4"/>
  <c r="M3061" i="4" s="1"/>
  <c r="D3060" i="4"/>
  <c r="C3060" i="4"/>
  <c r="B3060" i="4"/>
  <c r="M3060" i="4" s="1"/>
  <c r="D3059" i="4"/>
  <c r="C3059" i="4"/>
  <c r="B3059" i="4"/>
  <c r="M3059" i="4" s="1"/>
  <c r="D3058" i="4"/>
  <c r="C3058" i="4"/>
  <c r="B3058" i="4"/>
  <c r="M3058" i="4" s="1"/>
  <c r="D3057" i="4"/>
  <c r="C3057" i="4"/>
  <c r="B3057" i="4"/>
  <c r="M3057" i="4" s="1"/>
  <c r="D3056" i="4"/>
  <c r="C3056" i="4"/>
  <c r="B3056" i="4"/>
  <c r="M3056" i="4" s="1"/>
  <c r="D3055" i="4"/>
  <c r="C3055" i="4"/>
  <c r="B3055" i="4"/>
  <c r="M3055" i="4" s="1"/>
  <c r="D3054" i="4"/>
  <c r="C3054" i="4"/>
  <c r="B3054" i="4"/>
  <c r="M3054" i="4" s="1"/>
  <c r="D3053" i="4"/>
  <c r="C3053" i="4"/>
  <c r="B3053" i="4"/>
  <c r="M3053" i="4" s="1"/>
  <c r="D3052" i="4"/>
  <c r="C3052" i="4"/>
  <c r="B3052" i="4"/>
  <c r="M3052" i="4" s="1"/>
  <c r="D3051" i="4"/>
  <c r="C3051" i="4"/>
  <c r="B3051" i="4"/>
  <c r="M3051" i="4" s="1"/>
  <c r="D3050" i="4"/>
  <c r="C3050" i="4"/>
  <c r="B3050" i="4"/>
  <c r="M3050" i="4" s="1"/>
  <c r="D3049" i="4"/>
  <c r="C3049" i="4"/>
  <c r="B3049" i="4"/>
  <c r="M3049" i="4" s="1"/>
  <c r="D3048" i="4"/>
  <c r="C3048" i="4"/>
  <c r="B3048" i="4"/>
  <c r="M3048" i="4" s="1"/>
  <c r="D3047" i="4"/>
  <c r="C3047" i="4"/>
  <c r="B3047" i="4"/>
  <c r="M3047" i="4" s="1"/>
  <c r="D3046" i="4"/>
  <c r="C3046" i="4"/>
  <c r="B3046" i="4"/>
  <c r="M3046" i="4" s="1"/>
  <c r="D3045" i="4"/>
  <c r="C3045" i="4"/>
  <c r="B3045" i="4"/>
  <c r="M3045" i="4" s="1"/>
  <c r="D3044" i="4"/>
  <c r="C3044" i="4"/>
  <c r="B3044" i="4"/>
  <c r="M3044" i="4" s="1"/>
  <c r="D3043" i="4"/>
  <c r="C3043" i="4"/>
  <c r="B3043" i="4"/>
  <c r="M3043" i="4" s="1"/>
  <c r="D3042" i="4"/>
  <c r="C3042" i="4"/>
  <c r="B3042" i="4"/>
  <c r="M3042" i="4" s="1"/>
  <c r="D3041" i="4"/>
  <c r="C3041" i="4"/>
  <c r="B3041" i="4"/>
  <c r="M3041" i="4" s="1"/>
  <c r="D3040" i="4"/>
  <c r="C3040" i="4"/>
  <c r="B3040" i="4"/>
  <c r="M3040" i="4" s="1"/>
  <c r="D3039" i="4"/>
  <c r="C3039" i="4"/>
  <c r="B3039" i="4"/>
  <c r="M3039" i="4" s="1"/>
  <c r="D3038" i="4"/>
  <c r="C3038" i="4"/>
  <c r="B3038" i="4"/>
  <c r="M3038" i="4" s="1"/>
  <c r="D3037" i="4"/>
  <c r="C3037" i="4"/>
  <c r="B3037" i="4"/>
  <c r="M3037" i="4" s="1"/>
  <c r="D3036" i="4"/>
  <c r="C3036" i="4"/>
  <c r="B3036" i="4"/>
  <c r="M3036" i="4" s="1"/>
  <c r="D3035" i="4"/>
  <c r="C3035" i="4"/>
  <c r="B3035" i="4"/>
  <c r="M3035" i="4" s="1"/>
  <c r="D3034" i="4"/>
  <c r="C3034" i="4"/>
  <c r="B3034" i="4"/>
  <c r="M3034" i="4" s="1"/>
  <c r="D3033" i="4"/>
  <c r="C3033" i="4"/>
  <c r="B3033" i="4"/>
  <c r="M3033" i="4" s="1"/>
  <c r="D3032" i="4"/>
  <c r="C3032" i="4"/>
  <c r="B3032" i="4"/>
  <c r="M3032" i="4" s="1"/>
  <c r="D3031" i="4"/>
  <c r="C3031" i="4"/>
  <c r="B3031" i="4"/>
  <c r="M3031" i="4" s="1"/>
  <c r="D3030" i="4"/>
  <c r="C3030" i="4"/>
  <c r="B3030" i="4"/>
  <c r="M3030" i="4" s="1"/>
  <c r="D3029" i="4"/>
  <c r="C3029" i="4"/>
  <c r="B3029" i="4"/>
  <c r="M3029" i="4" s="1"/>
  <c r="D3028" i="4"/>
  <c r="C3028" i="4"/>
  <c r="B3028" i="4"/>
  <c r="M3028" i="4" s="1"/>
  <c r="D3027" i="4"/>
  <c r="C3027" i="4"/>
  <c r="B3027" i="4"/>
  <c r="M3027" i="4" s="1"/>
  <c r="D3026" i="4"/>
  <c r="C3026" i="4"/>
  <c r="B3026" i="4"/>
  <c r="M3026" i="4" s="1"/>
  <c r="D3025" i="4"/>
  <c r="C3025" i="4"/>
  <c r="B3025" i="4"/>
  <c r="M3025" i="4" s="1"/>
  <c r="D3024" i="4"/>
  <c r="C3024" i="4"/>
  <c r="B3024" i="4"/>
  <c r="M3024" i="4" s="1"/>
  <c r="D3023" i="4"/>
  <c r="C3023" i="4"/>
  <c r="B3023" i="4"/>
  <c r="M3023" i="4" s="1"/>
  <c r="D3022" i="4"/>
  <c r="C3022" i="4"/>
  <c r="B3022" i="4"/>
  <c r="M3022" i="4" s="1"/>
  <c r="D3021" i="4"/>
  <c r="C3021" i="4"/>
  <c r="B3021" i="4"/>
  <c r="M3021" i="4" s="1"/>
  <c r="D3020" i="4"/>
  <c r="C3020" i="4"/>
  <c r="B3020" i="4"/>
  <c r="M3020" i="4" s="1"/>
  <c r="D3019" i="4"/>
  <c r="C3019" i="4"/>
  <c r="B3019" i="4"/>
  <c r="M3019" i="4" s="1"/>
  <c r="D3018" i="4"/>
  <c r="C3018" i="4"/>
  <c r="B3018" i="4"/>
  <c r="M3018" i="4" s="1"/>
  <c r="D3017" i="4"/>
  <c r="C3017" i="4"/>
  <c r="B3017" i="4"/>
  <c r="M3017" i="4" s="1"/>
  <c r="D3016" i="4"/>
  <c r="C3016" i="4"/>
  <c r="B3016" i="4"/>
  <c r="M3016" i="4" s="1"/>
  <c r="D3015" i="4"/>
  <c r="C3015" i="4"/>
  <c r="B3015" i="4"/>
  <c r="M3015" i="4" s="1"/>
  <c r="D3014" i="4"/>
  <c r="C3014" i="4"/>
  <c r="B3014" i="4"/>
  <c r="M3014" i="4" s="1"/>
  <c r="D3013" i="4"/>
  <c r="C3013" i="4"/>
  <c r="B3013" i="4"/>
  <c r="M3013" i="4" s="1"/>
  <c r="D3012" i="4"/>
  <c r="C3012" i="4"/>
  <c r="B3012" i="4"/>
  <c r="M3012" i="4" s="1"/>
  <c r="D3011" i="4"/>
  <c r="C3011" i="4"/>
  <c r="B3011" i="4"/>
  <c r="M3011" i="4" s="1"/>
  <c r="D3010" i="4"/>
  <c r="C3010" i="4"/>
  <c r="B3010" i="4"/>
  <c r="M3010" i="4" s="1"/>
  <c r="D3009" i="4"/>
  <c r="C3009" i="4"/>
  <c r="B3009" i="4"/>
  <c r="M3009" i="4" s="1"/>
  <c r="D3008" i="4"/>
  <c r="C3008" i="4"/>
  <c r="B3008" i="4"/>
  <c r="M3008" i="4" s="1"/>
  <c r="D3007" i="4"/>
  <c r="C3007" i="4"/>
  <c r="B3007" i="4"/>
  <c r="M3007" i="4" s="1"/>
  <c r="D3006" i="4"/>
  <c r="C3006" i="4"/>
  <c r="B3006" i="4"/>
  <c r="M3006" i="4" s="1"/>
  <c r="D3005" i="4"/>
  <c r="C3005" i="4"/>
  <c r="B3005" i="4"/>
  <c r="M3005" i="4" s="1"/>
  <c r="D3004" i="4"/>
  <c r="C3004" i="4"/>
  <c r="B3004" i="4"/>
  <c r="M3004" i="4" s="1"/>
  <c r="D3003" i="4"/>
  <c r="C3003" i="4"/>
  <c r="B3003" i="4"/>
  <c r="M3003" i="4" s="1"/>
  <c r="D3002" i="4"/>
  <c r="C3002" i="4"/>
  <c r="B3002" i="4"/>
  <c r="M3002" i="4" s="1"/>
  <c r="D3001" i="4"/>
  <c r="C3001" i="4"/>
  <c r="B3001" i="4"/>
  <c r="M3001" i="4" s="1"/>
  <c r="D3000" i="4"/>
  <c r="C3000" i="4"/>
  <c r="B3000" i="4"/>
  <c r="M3000" i="4" s="1"/>
  <c r="D2999" i="4"/>
  <c r="C2999" i="4"/>
  <c r="B2999" i="4"/>
  <c r="M2999" i="4" s="1"/>
  <c r="D2998" i="4"/>
  <c r="C2998" i="4"/>
  <c r="B2998" i="4"/>
  <c r="M2998" i="4" s="1"/>
  <c r="D2997" i="4"/>
  <c r="C2997" i="4"/>
  <c r="B2997" i="4"/>
  <c r="M2997" i="4" s="1"/>
  <c r="D2996" i="4"/>
  <c r="C2996" i="4"/>
  <c r="B2996" i="4"/>
  <c r="M2996" i="4" s="1"/>
  <c r="D2995" i="4"/>
  <c r="C2995" i="4"/>
  <c r="B2995" i="4"/>
  <c r="M2995" i="4" s="1"/>
  <c r="D2994" i="4"/>
  <c r="C2994" i="4"/>
  <c r="B2994" i="4"/>
  <c r="M2994" i="4" s="1"/>
  <c r="D2993" i="4"/>
  <c r="C2993" i="4"/>
  <c r="B2993" i="4"/>
  <c r="M2993" i="4" s="1"/>
  <c r="D2992" i="4"/>
  <c r="C2992" i="4"/>
  <c r="B2992" i="4"/>
  <c r="M2992" i="4" s="1"/>
  <c r="D2991" i="4"/>
  <c r="C2991" i="4"/>
  <c r="B2991" i="4"/>
  <c r="M2991" i="4" s="1"/>
  <c r="D2990" i="4"/>
  <c r="C2990" i="4"/>
  <c r="B2990" i="4"/>
  <c r="M2990" i="4" s="1"/>
  <c r="D2989" i="4"/>
  <c r="C2989" i="4"/>
  <c r="B2989" i="4"/>
  <c r="M2989" i="4" s="1"/>
  <c r="D2988" i="4"/>
  <c r="C2988" i="4"/>
  <c r="B2988" i="4"/>
  <c r="M2988" i="4" s="1"/>
  <c r="D2987" i="4"/>
  <c r="C2987" i="4"/>
  <c r="B2987" i="4"/>
  <c r="M2987" i="4" s="1"/>
  <c r="D2986" i="4"/>
  <c r="C2986" i="4"/>
  <c r="B2986" i="4"/>
  <c r="M2986" i="4" s="1"/>
  <c r="D2985" i="4"/>
  <c r="C2985" i="4"/>
  <c r="B2985" i="4"/>
  <c r="M2985" i="4" s="1"/>
  <c r="D2984" i="4"/>
  <c r="C2984" i="4"/>
  <c r="B2984" i="4"/>
  <c r="M2984" i="4" s="1"/>
  <c r="D2983" i="4"/>
  <c r="C2983" i="4"/>
  <c r="B2983" i="4"/>
  <c r="M2983" i="4" s="1"/>
  <c r="D2982" i="4"/>
  <c r="C2982" i="4"/>
  <c r="B2982" i="4"/>
  <c r="M2982" i="4" s="1"/>
  <c r="D2981" i="4"/>
  <c r="C2981" i="4"/>
  <c r="B2981" i="4"/>
  <c r="M2981" i="4" s="1"/>
  <c r="D2980" i="4"/>
  <c r="C2980" i="4"/>
  <c r="B2980" i="4"/>
  <c r="M2980" i="4" s="1"/>
  <c r="D2979" i="4"/>
  <c r="C2979" i="4"/>
  <c r="B2979" i="4"/>
  <c r="M2979" i="4" s="1"/>
  <c r="D2978" i="4"/>
  <c r="C2978" i="4"/>
  <c r="B2978" i="4"/>
  <c r="M2978" i="4" s="1"/>
  <c r="D2977" i="4"/>
  <c r="C2977" i="4"/>
  <c r="B2977" i="4"/>
  <c r="M2977" i="4" s="1"/>
  <c r="D2976" i="4"/>
  <c r="C2976" i="4"/>
  <c r="B2976" i="4"/>
  <c r="M2976" i="4" s="1"/>
  <c r="D2975" i="4"/>
  <c r="C2975" i="4"/>
  <c r="B2975" i="4"/>
  <c r="M2975" i="4" s="1"/>
  <c r="D2974" i="4"/>
  <c r="C2974" i="4"/>
  <c r="B2974" i="4"/>
  <c r="M2974" i="4" s="1"/>
  <c r="D2973" i="4"/>
  <c r="C2973" i="4"/>
  <c r="B2973" i="4"/>
  <c r="M2973" i="4" s="1"/>
  <c r="D2972" i="4"/>
  <c r="C2972" i="4"/>
  <c r="B2972" i="4"/>
  <c r="M2972" i="4" s="1"/>
  <c r="D2971" i="4"/>
  <c r="C2971" i="4"/>
  <c r="B2971" i="4"/>
  <c r="M2971" i="4" s="1"/>
  <c r="D2970" i="4"/>
  <c r="C2970" i="4"/>
  <c r="B2970" i="4"/>
  <c r="M2970" i="4" s="1"/>
  <c r="D2969" i="4"/>
  <c r="C2969" i="4"/>
  <c r="B2969" i="4"/>
  <c r="M2969" i="4" s="1"/>
  <c r="D2968" i="4"/>
  <c r="C2968" i="4"/>
  <c r="B2968" i="4"/>
  <c r="M2968" i="4" s="1"/>
  <c r="D2967" i="4"/>
  <c r="C2967" i="4"/>
  <c r="B2967" i="4"/>
  <c r="M2967" i="4" s="1"/>
  <c r="D2966" i="4"/>
  <c r="C2966" i="4"/>
  <c r="B2966" i="4"/>
  <c r="M2966" i="4" s="1"/>
  <c r="D2965" i="4"/>
  <c r="C2965" i="4"/>
  <c r="B2965" i="4"/>
  <c r="M2965" i="4" s="1"/>
  <c r="D2964" i="4"/>
  <c r="C2964" i="4"/>
  <c r="B2964" i="4"/>
  <c r="M2964" i="4" s="1"/>
  <c r="D2963" i="4"/>
  <c r="C2963" i="4"/>
  <c r="B2963" i="4"/>
  <c r="M2963" i="4" s="1"/>
  <c r="D2962" i="4"/>
  <c r="C2962" i="4"/>
  <c r="B2962" i="4"/>
  <c r="M2962" i="4" s="1"/>
  <c r="D2961" i="4"/>
  <c r="C2961" i="4"/>
  <c r="B2961" i="4"/>
  <c r="M2961" i="4" s="1"/>
  <c r="D2960" i="4"/>
  <c r="C2960" i="4"/>
  <c r="B2960" i="4"/>
  <c r="M2960" i="4" s="1"/>
  <c r="D2959" i="4"/>
  <c r="C2959" i="4"/>
  <c r="B2959" i="4"/>
  <c r="M2959" i="4" s="1"/>
  <c r="D2958" i="4"/>
  <c r="C2958" i="4"/>
  <c r="B2958" i="4"/>
  <c r="M2958" i="4" s="1"/>
  <c r="D2957" i="4"/>
  <c r="C2957" i="4"/>
  <c r="B2957" i="4"/>
  <c r="M2957" i="4" s="1"/>
  <c r="D2956" i="4"/>
  <c r="C2956" i="4"/>
  <c r="B2956" i="4"/>
  <c r="M2956" i="4" s="1"/>
  <c r="D2955" i="4"/>
  <c r="C2955" i="4"/>
  <c r="B2955" i="4"/>
  <c r="M2955" i="4" s="1"/>
  <c r="D2954" i="4"/>
  <c r="C2954" i="4"/>
  <c r="B2954" i="4"/>
  <c r="M2954" i="4" s="1"/>
  <c r="D2953" i="4"/>
  <c r="C2953" i="4"/>
  <c r="B2953" i="4"/>
  <c r="M2953" i="4" s="1"/>
  <c r="D2952" i="4"/>
  <c r="C2952" i="4"/>
  <c r="B2952" i="4"/>
  <c r="M2952" i="4" s="1"/>
  <c r="D2951" i="4"/>
  <c r="C2951" i="4"/>
  <c r="B2951" i="4"/>
  <c r="M2951" i="4" s="1"/>
  <c r="D2950" i="4"/>
  <c r="C2950" i="4"/>
  <c r="B2950" i="4"/>
  <c r="M2950" i="4" s="1"/>
  <c r="D2949" i="4"/>
  <c r="C2949" i="4"/>
  <c r="B2949" i="4"/>
  <c r="M2949" i="4" s="1"/>
  <c r="D2948" i="4"/>
  <c r="C2948" i="4"/>
  <c r="B2948" i="4"/>
  <c r="M2948" i="4" s="1"/>
  <c r="D2947" i="4"/>
  <c r="C2947" i="4"/>
  <c r="B2947" i="4"/>
  <c r="M2947" i="4" s="1"/>
  <c r="D2946" i="4"/>
  <c r="C2946" i="4"/>
  <c r="B2946" i="4"/>
  <c r="M2946" i="4" s="1"/>
  <c r="D2945" i="4"/>
  <c r="C2945" i="4"/>
  <c r="B2945" i="4"/>
  <c r="M2945" i="4" s="1"/>
  <c r="D2944" i="4"/>
  <c r="C2944" i="4"/>
  <c r="B2944" i="4"/>
  <c r="M2944" i="4" s="1"/>
  <c r="D2943" i="4"/>
  <c r="C2943" i="4"/>
  <c r="B2943" i="4"/>
  <c r="M2943" i="4" s="1"/>
  <c r="D2942" i="4"/>
  <c r="C2942" i="4"/>
  <c r="B2942" i="4"/>
  <c r="M2942" i="4" s="1"/>
  <c r="D2941" i="4"/>
  <c r="C2941" i="4"/>
  <c r="B2941" i="4"/>
  <c r="M2941" i="4" s="1"/>
  <c r="D2940" i="4"/>
  <c r="C2940" i="4"/>
  <c r="B2940" i="4"/>
  <c r="M2940" i="4" s="1"/>
  <c r="D2939" i="4"/>
  <c r="C2939" i="4"/>
  <c r="B2939" i="4"/>
  <c r="M2939" i="4" s="1"/>
  <c r="D2938" i="4"/>
  <c r="C2938" i="4"/>
  <c r="B2938" i="4"/>
  <c r="M2938" i="4" s="1"/>
  <c r="D2937" i="4"/>
  <c r="C2937" i="4"/>
  <c r="B2937" i="4"/>
  <c r="M2937" i="4" s="1"/>
  <c r="D2936" i="4"/>
  <c r="C2936" i="4"/>
  <c r="B2936" i="4"/>
  <c r="M2936" i="4" s="1"/>
  <c r="D2935" i="4"/>
  <c r="C2935" i="4"/>
  <c r="B2935" i="4"/>
  <c r="M2935" i="4" s="1"/>
  <c r="D2934" i="4"/>
  <c r="C2934" i="4"/>
  <c r="B2934" i="4"/>
  <c r="M2934" i="4" s="1"/>
  <c r="D2933" i="4"/>
  <c r="C2933" i="4"/>
  <c r="B2933" i="4"/>
  <c r="M2933" i="4" s="1"/>
  <c r="D2932" i="4"/>
  <c r="C2932" i="4"/>
  <c r="B2932" i="4"/>
  <c r="M2932" i="4" s="1"/>
  <c r="D2931" i="4"/>
  <c r="C2931" i="4"/>
  <c r="B2931" i="4"/>
  <c r="M2931" i="4" s="1"/>
  <c r="D2930" i="4"/>
  <c r="C2930" i="4"/>
  <c r="B2930" i="4"/>
  <c r="M2930" i="4" s="1"/>
  <c r="D2929" i="4"/>
  <c r="C2929" i="4"/>
  <c r="B2929" i="4"/>
  <c r="M2929" i="4" s="1"/>
  <c r="D2928" i="4"/>
  <c r="C2928" i="4"/>
  <c r="B2928" i="4"/>
  <c r="M2928" i="4" s="1"/>
  <c r="D2927" i="4"/>
  <c r="C2927" i="4"/>
  <c r="B2927" i="4"/>
  <c r="M2927" i="4" s="1"/>
  <c r="D2926" i="4"/>
  <c r="C2926" i="4"/>
  <c r="B2926" i="4"/>
  <c r="M2926" i="4" s="1"/>
  <c r="D2925" i="4"/>
  <c r="C2925" i="4"/>
  <c r="B2925" i="4"/>
  <c r="M2925" i="4" s="1"/>
  <c r="D2924" i="4"/>
  <c r="C2924" i="4"/>
  <c r="B2924" i="4"/>
  <c r="M2924" i="4" s="1"/>
  <c r="D2923" i="4"/>
  <c r="C2923" i="4"/>
  <c r="B2923" i="4"/>
  <c r="M2923" i="4" s="1"/>
  <c r="D2922" i="4"/>
  <c r="C2922" i="4"/>
  <c r="B2922" i="4"/>
  <c r="M2922" i="4" s="1"/>
  <c r="D2921" i="4"/>
  <c r="C2921" i="4"/>
  <c r="B2921" i="4"/>
  <c r="M2921" i="4" s="1"/>
  <c r="D2920" i="4"/>
  <c r="C2920" i="4"/>
  <c r="B2920" i="4"/>
  <c r="M2920" i="4" s="1"/>
  <c r="D2919" i="4"/>
  <c r="C2919" i="4"/>
  <c r="B2919" i="4"/>
  <c r="M2919" i="4" s="1"/>
  <c r="D2918" i="4"/>
  <c r="C2918" i="4"/>
  <c r="B2918" i="4"/>
  <c r="M2918" i="4" s="1"/>
  <c r="D2917" i="4"/>
  <c r="C2917" i="4"/>
  <c r="B2917" i="4"/>
  <c r="M2917" i="4" s="1"/>
  <c r="D2916" i="4"/>
  <c r="C2916" i="4"/>
  <c r="B2916" i="4"/>
  <c r="M2916" i="4" s="1"/>
  <c r="D2915" i="4"/>
  <c r="C2915" i="4"/>
  <c r="B2915" i="4"/>
  <c r="M2915" i="4" s="1"/>
  <c r="D2914" i="4"/>
  <c r="C2914" i="4"/>
  <c r="B2914" i="4"/>
  <c r="M2914" i="4" s="1"/>
  <c r="D2913" i="4"/>
  <c r="C2913" i="4"/>
  <c r="B2913" i="4"/>
  <c r="M2913" i="4" s="1"/>
  <c r="D2912" i="4"/>
  <c r="C2912" i="4"/>
  <c r="B2912" i="4"/>
  <c r="M2912" i="4" s="1"/>
  <c r="D2911" i="4"/>
  <c r="C2911" i="4"/>
  <c r="B2911" i="4"/>
  <c r="M2911" i="4" s="1"/>
  <c r="D2910" i="4"/>
  <c r="C2910" i="4"/>
  <c r="B2910" i="4"/>
  <c r="M2910" i="4" s="1"/>
  <c r="D2909" i="4"/>
  <c r="C2909" i="4"/>
  <c r="B2909" i="4"/>
  <c r="M2909" i="4" s="1"/>
  <c r="D2908" i="4"/>
  <c r="C2908" i="4"/>
  <c r="B2908" i="4"/>
  <c r="M2908" i="4" s="1"/>
  <c r="D2907" i="4"/>
  <c r="C2907" i="4"/>
  <c r="B2907" i="4"/>
  <c r="M2907" i="4" s="1"/>
  <c r="D2906" i="4"/>
  <c r="C2906" i="4"/>
  <c r="B2906" i="4"/>
  <c r="M2906" i="4" s="1"/>
  <c r="D2905" i="4"/>
  <c r="C2905" i="4"/>
  <c r="B2905" i="4"/>
  <c r="M2905" i="4" s="1"/>
  <c r="D2904" i="4"/>
  <c r="C2904" i="4"/>
  <c r="B2904" i="4"/>
  <c r="M2904" i="4" s="1"/>
  <c r="D2903" i="4"/>
  <c r="C2903" i="4"/>
  <c r="B2903" i="4"/>
  <c r="M2903" i="4" s="1"/>
  <c r="D2902" i="4"/>
  <c r="C2902" i="4"/>
  <c r="B2902" i="4"/>
  <c r="M2902" i="4" s="1"/>
  <c r="D2901" i="4"/>
  <c r="C2901" i="4"/>
  <c r="B2901" i="4"/>
  <c r="M2901" i="4" s="1"/>
  <c r="D2900" i="4"/>
  <c r="C2900" i="4"/>
  <c r="B2900" i="4"/>
  <c r="M2900" i="4" s="1"/>
  <c r="D2899" i="4"/>
  <c r="C2899" i="4"/>
  <c r="B2899" i="4"/>
  <c r="M2899" i="4" s="1"/>
  <c r="D2898" i="4"/>
  <c r="C2898" i="4"/>
  <c r="B2898" i="4"/>
  <c r="M2898" i="4" s="1"/>
  <c r="D2897" i="4"/>
  <c r="C2897" i="4"/>
  <c r="B2897" i="4"/>
  <c r="M2897" i="4" s="1"/>
  <c r="D2896" i="4"/>
  <c r="C2896" i="4"/>
  <c r="B2896" i="4"/>
  <c r="M2896" i="4" s="1"/>
  <c r="D2895" i="4"/>
  <c r="C2895" i="4"/>
  <c r="B2895" i="4"/>
  <c r="M2895" i="4" s="1"/>
  <c r="D2894" i="4"/>
  <c r="C2894" i="4"/>
  <c r="B2894" i="4"/>
  <c r="M2894" i="4" s="1"/>
  <c r="D2893" i="4"/>
  <c r="C2893" i="4"/>
  <c r="B2893" i="4"/>
  <c r="M2893" i="4" s="1"/>
  <c r="D2892" i="4"/>
  <c r="C2892" i="4"/>
  <c r="B2892" i="4"/>
  <c r="M2892" i="4" s="1"/>
  <c r="D2891" i="4"/>
  <c r="C2891" i="4"/>
  <c r="B2891" i="4"/>
  <c r="M2891" i="4" s="1"/>
  <c r="D2890" i="4"/>
  <c r="C2890" i="4"/>
  <c r="B2890" i="4"/>
  <c r="M2890" i="4" s="1"/>
  <c r="D2889" i="4"/>
  <c r="C2889" i="4"/>
  <c r="B2889" i="4"/>
  <c r="M2889" i="4" s="1"/>
  <c r="D2888" i="4"/>
  <c r="C2888" i="4"/>
  <c r="B2888" i="4"/>
  <c r="M2888" i="4" s="1"/>
  <c r="D2887" i="4"/>
  <c r="C2887" i="4"/>
  <c r="B2887" i="4"/>
  <c r="M2887" i="4" s="1"/>
  <c r="D2886" i="4"/>
  <c r="C2886" i="4"/>
  <c r="B2886" i="4"/>
  <c r="M2886" i="4" s="1"/>
  <c r="D2885" i="4"/>
  <c r="C2885" i="4"/>
  <c r="B2885" i="4"/>
  <c r="M2885" i="4" s="1"/>
  <c r="D2884" i="4"/>
  <c r="C2884" i="4"/>
  <c r="B2884" i="4"/>
  <c r="M2884" i="4" s="1"/>
  <c r="D2883" i="4"/>
  <c r="C2883" i="4"/>
  <c r="B2883" i="4"/>
  <c r="M2883" i="4" s="1"/>
  <c r="D2882" i="4"/>
  <c r="C2882" i="4"/>
  <c r="B2882" i="4"/>
  <c r="M2882" i="4" s="1"/>
  <c r="D2881" i="4"/>
  <c r="C2881" i="4"/>
  <c r="B2881" i="4"/>
  <c r="M2881" i="4" s="1"/>
  <c r="D2880" i="4"/>
  <c r="C2880" i="4"/>
  <c r="B2880" i="4"/>
  <c r="M2880" i="4" s="1"/>
  <c r="D2879" i="4"/>
  <c r="C2879" i="4"/>
  <c r="B2879" i="4"/>
  <c r="M2879" i="4" s="1"/>
  <c r="D2878" i="4"/>
  <c r="C2878" i="4"/>
  <c r="B2878" i="4"/>
  <c r="M2878" i="4" s="1"/>
  <c r="D2877" i="4"/>
  <c r="C2877" i="4"/>
  <c r="B2877" i="4"/>
  <c r="M2877" i="4" s="1"/>
  <c r="D2876" i="4"/>
  <c r="C2876" i="4"/>
  <c r="B2876" i="4"/>
  <c r="M2876" i="4" s="1"/>
  <c r="D2875" i="4"/>
  <c r="C2875" i="4"/>
  <c r="B2875" i="4"/>
  <c r="M2875" i="4" s="1"/>
  <c r="D2874" i="4"/>
  <c r="C2874" i="4"/>
  <c r="B2874" i="4"/>
  <c r="M2874" i="4" s="1"/>
  <c r="D2873" i="4"/>
  <c r="C2873" i="4"/>
  <c r="B2873" i="4"/>
  <c r="M2873" i="4" s="1"/>
  <c r="D2872" i="4"/>
  <c r="C2872" i="4"/>
  <c r="B2872" i="4"/>
  <c r="M2872" i="4" s="1"/>
  <c r="D2871" i="4"/>
  <c r="C2871" i="4"/>
  <c r="B2871" i="4"/>
  <c r="M2871" i="4" s="1"/>
  <c r="D2870" i="4"/>
  <c r="C2870" i="4"/>
  <c r="B2870" i="4"/>
  <c r="M2870" i="4" s="1"/>
  <c r="D2869" i="4"/>
  <c r="C2869" i="4"/>
  <c r="B2869" i="4"/>
  <c r="M2869" i="4" s="1"/>
  <c r="D2868" i="4"/>
  <c r="C2868" i="4"/>
  <c r="B2868" i="4"/>
  <c r="M2868" i="4" s="1"/>
  <c r="D2867" i="4"/>
  <c r="C2867" i="4"/>
  <c r="B2867" i="4"/>
  <c r="M2867" i="4" s="1"/>
  <c r="D2866" i="4"/>
  <c r="C2866" i="4"/>
  <c r="B2866" i="4"/>
  <c r="M2866" i="4" s="1"/>
  <c r="D2865" i="4"/>
  <c r="C2865" i="4"/>
  <c r="B2865" i="4"/>
  <c r="M2865" i="4" s="1"/>
  <c r="D2864" i="4"/>
  <c r="C2864" i="4"/>
  <c r="B2864" i="4"/>
  <c r="M2864" i="4" s="1"/>
  <c r="D2863" i="4"/>
  <c r="C2863" i="4"/>
  <c r="B2863" i="4"/>
  <c r="M2863" i="4" s="1"/>
  <c r="D2862" i="4"/>
  <c r="C2862" i="4"/>
  <c r="B2862" i="4"/>
  <c r="M2862" i="4" s="1"/>
  <c r="D2861" i="4"/>
  <c r="C2861" i="4"/>
  <c r="B2861" i="4"/>
  <c r="M2861" i="4" s="1"/>
  <c r="D2860" i="4"/>
  <c r="C2860" i="4"/>
  <c r="B2860" i="4"/>
  <c r="M2860" i="4" s="1"/>
  <c r="D2859" i="4"/>
  <c r="C2859" i="4"/>
  <c r="B2859" i="4"/>
  <c r="M2859" i="4" s="1"/>
  <c r="D2858" i="4"/>
  <c r="C2858" i="4"/>
  <c r="B2858" i="4"/>
  <c r="M2858" i="4" s="1"/>
  <c r="D2857" i="4"/>
  <c r="C2857" i="4"/>
  <c r="B2857" i="4"/>
  <c r="M2857" i="4" s="1"/>
  <c r="D2856" i="4"/>
  <c r="C2856" i="4"/>
  <c r="B2856" i="4"/>
  <c r="M2856" i="4" s="1"/>
  <c r="D2855" i="4"/>
  <c r="C2855" i="4"/>
  <c r="B2855" i="4"/>
  <c r="M2855" i="4" s="1"/>
  <c r="D2854" i="4"/>
  <c r="C2854" i="4"/>
  <c r="B2854" i="4"/>
  <c r="M2854" i="4" s="1"/>
  <c r="D2853" i="4"/>
  <c r="C2853" i="4"/>
  <c r="B2853" i="4"/>
  <c r="M2853" i="4" s="1"/>
  <c r="D2852" i="4"/>
  <c r="C2852" i="4"/>
  <c r="B2852" i="4"/>
  <c r="M2852" i="4" s="1"/>
  <c r="D2851" i="4"/>
  <c r="C2851" i="4"/>
  <c r="B2851" i="4"/>
  <c r="M2851" i="4" s="1"/>
  <c r="D2850" i="4"/>
  <c r="C2850" i="4"/>
  <c r="B2850" i="4"/>
  <c r="M2850" i="4" s="1"/>
  <c r="D2849" i="4"/>
  <c r="C2849" i="4"/>
  <c r="B2849" i="4"/>
  <c r="M2849" i="4" s="1"/>
  <c r="D2848" i="4"/>
  <c r="C2848" i="4"/>
  <c r="B2848" i="4"/>
  <c r="M2848" i="4" s="1"/>
  <c r="D2847" i="4"/>
  <c r="C2847" i="4"/>
  <c r="B2847" i="4"/>
  <c r="M2847" i="4" s="1"/>
  <c r="D2846" i="4"/>
  <c r="C2846" i="4"/>
  <c r="B2846" i="4"/>
  <c r="M2846" i="4" s="1"/>
  <c r="D2845" i="4"/>
  <c r="C2845" i="4"/>
  <c r="B2845" i="4"/>
  <c r="M2845" i="4" s="1"/>
  <c r="D2844" i="4"/>
  <c r="C2844" i="4"/>
  <c r="B2844" i="4"/>
  <c r="M2844" i="4" s="1"/>
  <c r="D2843" i="4"/>
  <c r="C2843" i="4"/>
  <c r="B2843" i="4"/>
  <c r="M2843" i="4" s="1"/>
  <c r="D2842" i="4"/>
  <c r="C2842" i="4"/>
  <c r="B2842" i="4"/>
  <c r="M2842" i="4" s="1"/>
  <c r="D2841" i="4"/>
  <c r="C2841" i="4"/>
  <c r="B2841" i="4"/>
  <c r="M2841" i="4" s="1"/>
  <c r="D2840" i="4"/>
  <c r="C2840" i="4"/>
  <c r="B2840" i="4"/>
  <c r="M2840" i="4" s="1"/>
  <c r="D2839" i="4"/>
  <c r="C2839" i="4"/>
  <c r="B2839" i="4"/>
  <c r="M2839" i="4" s="1"/>
  <c r="D2838" i="4"/>
  <c r="C2838" i="4"/>
  <c r="B2838" i="4"/>
  <c r="M2838" i="4" s="1"/>
  <c r="D2837" i="4"/>
  <c r="C2837" i="4"/>
  <c r="B2837" i="4"/>
  <c r="M2837" i="4" s="1"/>
  <c r="D2836" i="4"/>
  <c r="C2836" i="4"/>
  <c r="B2836" i="4"/>
  <c r="M2836" i="4" s="1"/>
  <c r="D2835" i="4"/>
  <c r="C2835" i="4"/>
  <c r="B2835" i="4"/>
  <c r="M2835" i="4" s="1"/>
  <c r="D2834" i="4"/>
  <c r="C2834" i="4"/>
  <c r="B2834" i="4"/>
  <c r="M2834" i="4" s="1"/>
  <c r="D2833" i="4"/>
  <c r="C2833" i="4"/>
  <c r="B2833" i="4"/>
  <c r="M2833" i="4" s="1"/>
  <c r="D2832" i="4"/>
  <c r="C2832" i="4"/>
  <c r="B2832" i="4"/>
  <c r="M2832" i="4" s="1"/>
  <c r="D2831" i="4"/>
  <c r="C2831" i="4"/>
  <c r="B2831" i="4"/>
  <c r="M2831" i="4" s="1"/>
  <c r="D2830" i="4"/>
  <c r="C2830" i="4"/>
  <c r="B2830" i="4"/>
  <c r="M2830" i="4" s="1"/>
  <c r="D2829" i="4"/>
  <c r="C2829" i="4"/>
  <c r="B2829" i="4"/>
  <c r="M2829" i="4" s="1"/>
  <c r="D2828" i="4"/>
  <c r="C2828" i="4"/>
  <c r="B2828" i="4"/>
  <c r="M2828" i="4" s="1"/>
  <c r="D2827" i="4"/>
  <c r="C2827" i="4"/>
  <c r="B2827" i="4"/>
  <c r="M2827" i="4" s="1"/>
  <c r="D2826" i="4"/>
  <c r="C2826" i="4"/>
  <c r="B2826" i="4"/>
  <c r="M2826" i="4" s="1"/>
  <c r="D2825" i="4"/>
  <c r="C2825" i="4"/>
  <c r="B2825" i="4"/>
  <c r="M2825" i="4" s="1"/>
  <c r="D2824" i="4"/>
  <c r="C2824" i="4"/>
  <c r="B2824" i="4"/>
  <c r="M2824" i="4" s="1"/>
  <c r="D2823" i="4"/>
  <c r="C2823" i="4"/>
  <c r="B2823" i="4"/>
  <c r="M2823" i="4" s="1"/>
  <c r="D2822" i="4"/>
  <c r="C2822" i="4"/>
  <c r="B2822" i="4"/>
  <c r="M2822" i="4" s="1"/>
  <c r="D2821" i="4"/>
  <c r="C2821" i="4"/>
  <c r="B2821" i="4"/>
  <c r="M2821" i="4" s="1"/>
  <c r="D2820" i="4"/>
  <c r="C2820" i="4"/>
  <c r="B2820" i="4"/>
  <c r="M2820" i="4" s="1"/>
  <c r="D2819" i="4"/>
  <c r="C2819" i="4"/>
  <c r="B2819" i="4"/>
  <c r="M2819" i="4" s="1"/>
  <c r="D2818" i="4"/>
  <c r="C2818" i="4"/>
  <c r="B2818" i="4"/>
  <c r="M2818" i="4" s="1"/>
  <c r="D2817" i="4"/>
  <c r="C2817" i="4"/>
  <c r="B2817" i="4"/>
  <c r="M2817" i="4" s="1"/>
  <c r="D2816" i="4"/>
  <c r="C2816" i="4"/>
  <c r="B2816" i="4"/>
  <c r="M2816" i="4" s="1"/>
  <c r="D2815" i="4"/>
  <c r="C2815" i="4"/>
  <c r="B2815" i="4"/>
  <c r="M2815" i="4" s="1"/>
  <c r="D2814" i="4"/>
  <c r="C2814" i="4"/>
  <c r="B2814" i="4"/>
  <c r="M2814" i="4" s="1"/>
  <c r="D2813" i="4"/>
  <c r="C2813" i="4"/>
  <c r="B2813" i="4"/>
  <c r="M2813" i="4" s="1"/>
  <c r="D2812" i="4"/>
  <c r="C2812" i="4"/>
  <c r="B2812" i="4"/>
  <c r="M2812" i="4" s="1"/>
  <c r="D2811" i="4"/>
  <c r="C2811" i="4"/>
  <c r="B2811" i="4"/>
  <c r="M2811" i="4" s="1"/>
  <c r="D2810" i="4"/>
  <c r="C2810" i="4"/>
  <c r="B2810" i="4"/>
  <c r="M2810" i="4" s="1"/>
  <c r="D2809" i="4"/>
  <c r="C2809" i="4"/>
  <c r="B2809" i="4"/>
  <c r="M2809" i="4" s="1"/>
  <c r="D2808" i="4"/>
  <c r="C2808" i="4"/>
  <c r="B2808" i="4"/>
  <c r="M2808" i="4" s="1"/>
  <c r="D2807" i="4"/>
  <c r="C2807" i="4"/>
  <c r="B2807" i="4"/>
  <c r="M2807" i="4" s="1"/>
  <c r="D2806" i="4"/>
  <c r="C2806" i="4"/>
  <c r="B2806" i="4"/>
  <c r="M2806" i="4" s="1"/>
  <c r="D2805" i="4"/>
  <c r="C2805" i="4"/>
  <c r="B2805" i="4"/>
  <c r="M2805" i="4" s="1"/>
  <c r="D2804" i="4"/>
  <c r="C2804" i="4"/>
  <c r="B2804" i="4"/>
  <c r="M2804" i="4" s="1"/>
  <c r="D2803" i="4"/>
  <c r="C2803" i="4"/>
  <c r="B2803" i="4"/>
  <c r="M2803" i="4" s="1"/>
  <c r="D2802" i="4"/>
  <c r="C2802" i="4"/>
  <c r="B2802" i="4"/>
  <c r="M2802" i="4" s="1"/>
  <c r="D2801" i="4"/>
  <c r="C2801" i="4"/>
  <c r="B2801" i="4"/>
  <c r="M2801" i="4" s="1"/>
  <c r="D2800" i="4"/>
  <c r="C2800" i="4"/>
  <c r="B2800" i="4"/>
  <c r="M2800" i="4" s="1"/>
  <c r="D2799" i="4"/>
  <c r="C2799" i="4"/>
  <c r="B2799" i="4"/>
  <c r="M2799" i="4" s="1"/>
  <c r="D2798" i="4"/>
  <c r="C2798" i="4"/>
  <c r="B2798" i="4"/>
  <c r="M2798" i="4" s="1"/>
  <c r="D2797" i="4"/>
  <c r="C2797" i="4"/>
  <c r="B2797" i="4"/>
  <c r="M2797" i="4" s="1"/>
  <c r="D2796" i="4"/>
  <c r="C2796" i="4"/>
  <c r="B2796" i="4"/>
  <c r="M2796" i="4" s="1"/>
  <c r="D2795" i="4"/>
  <c r="C2795" i="4"/>
  <c r="B2795" i="4"/>
  <c r="M2795" i="4" s="1"/>
  <c r="D2794" i="4"/>
  <c r="C2794" i="4"/>
  <c r="B2794" i="4"/>
  <c r="M2794" i="4" s="1"/>
  <c r="D2793" i="4"/>
  <c r="C2793" i="4"/>
  <c r="B2793" i="4"/>
  <c r="M2793" i="4" s="1"/>
  <c r="D2792" i="4"/>
  <c r="C2792" i="4"/>
  <c r="B2792" i="4"/>
  <c r="M2792" i="4" s="1"/>
  <c r="D2791" i="4"/>
  <c r="C2791" i="4"/>
  <c r="B2791" i="4"/>
  <c r="M2791" i="4" s="1"/>
  <c r="D2790" i="4"/>
  <c r="C2790" i="4"/>
  <c r="B2790" i="4"/>
  <c r="M2790" i="4" s="1"/>
  <c r="D2789" i="4"/>
  <c r="C2789" i="4"/>
  <c r="B2789" i="4"/>
  <c r="M2789" i="4" s="1"/>
  <c r="D2788" i="4"/>
  <c r="C2788" i="4"/>
  <c r="B2788" i="4"/>
  <c r="M2788" i="4" s="1"/>
  <c r="D2787" i="4"/>
  <c r="C2787" i="4"/>
  <c r="B2787" i="4"/>
  <c r="M2787" i="4" s="1"/>
  <c r="D2786" i="4"/>
  <c r="C2786" i="4"/>
  <c r="B2786" i="4"/>
  <c r="M2786" i="4" s="1"/>
  <c r="D2785" i="4"/>
  <c r="C2785" i="4"/>
  <c r="B2785" i="4"/>
  <c r="M2785" i="4" s="1"/>
  <c r="D2784" i="4"/>
  <c r="C2784" i="4"/>
  <c r="B2784" i="4"/>
  <c r="M2784" i="4" s="1"/>
  <c r="D2783" i="4"/>
  <c r="C2783" i="4"/>
  <c r="B2783" i="4"/>
  <c r="M2783" i="4" s="1"/>
  <c r="D2782" i="4"/>
  <c r="C2782" i="4"/>
  <c r="B2782" i="4"/>
  <c r="M2782" i="4" s="1"/>
  <c r="D2781" i="4"/>
  <c r="C2781" i="4"/>
  <c r="B2781" i="4"/>
  <c r="M2781" i="4" s="1"/>
  <c r="D2780" i="4"/>
  <c r="C2780" i="4"/>
  <c r="B2780" i="4"/>
  <c r="M2780" i="4" s="1"/>
  <c r="D2779" i="4"/>
  <c r="C2779" i="4"/>
  <c r="B2779" i="4"/>
  <c r="M2779" i="4" s="1"/>
  <c r="D2778" i="4"/>
  <c r="C2778" i="4"/>
  <c r="B2778" i="4"/>
  <c r="M2778" i="4" s="1"/>
  <c r="D2777" i="4"/>
  <c r="C2777" i="4"/>
  <c r="B2777" i="4"/>
  <c r="M2777" i="4" s="1"/>
  <c r="D2776" i="4"/>
  <c r="C2776" i="4"/>
  <c r="B2776" i="4"/>
  <c r="M2776" i="4" s="1"/>
  <c r="D2775" i="4"/>
  <c r="C2775" i="4"/>
  <c r="B2775" i="4"/>
  <c r="M2775" i="4" s="1"/>
  <c r="D2774" i="4"/>
  <c r="C2774" i="4"/>
  <c r="B2774" i="4"/>
  <c r="M2774" i="4" s="1"/>
  <c r="D2773" i="4"/>
  <c r="C2773" i="4"/>
  <c r="B2773" i="4"/>
  <c r="M2773" i="4" s="1"/>
  <c r="D2772" i="4"/>
  <c r="C2772" i="4"/>
  <c r="B2772" i="4"/>
  <c r="M2772" i="4" s="1"/>
  <c r="D2771" i="4"/>
  <c r="C2771" i="4"/>
  <c r="B2771" i="4"/>
  <c r="M2771" i="4" s="1"/>
  <c r="D2770" i="4"/>
  <c r="C2770" i="4"/>
  <c r="B2770" i="4"/>
  <c r="M2770" i="4" s="1"/>
  <c r="D2769" i="4"/>
  <c r="C2769" i="4"/>
  <c r="B2769" i="4"/>
  <c r="M2769" i="4" s="1"/>
  <c r="D2768" i="4"/>
  <c r="C2768" i="4"/>
  <c r="B2768" i="4"/>
  <c r="M2768" i="4" s="1"/>
  <c r="D2767" i="4"/>
  <c r="C2767" i="4"/>
  <c r="B2767" i="4"/>
  <c r="M2767" i="4" s="1"/>
  <c r="D2766" i="4"/>
  <c r="C2766" i="4"/>
  <c r="B2766" i="4"/>
  <c r="M2766" i="4" s="1"/>
  <c r="D2765" i="4"/>
  <c r="C2765" i="4"/>
  <c r="B2765" i="4"/>
  <c r="M2765" i="4" s="1"/>
  <c r="D2764" i="4"/>
  <c r="C2764" i="4"/>
  <c r="B2764" i="4"/>
  <c r="M2764" i="4" s="1"/>
  <c r="D2763" i="4"/>
  <c r="C2763" i="4"/>
  <c r="B2763" i="4"/>
  <c r="M2763" i="4" s="1"/>
  <c r="D2762" i="4"/>
  <c r="C2762" i="4"/>
  <c r="B2762" i="4"/>
  <c r="M2762" i="4" s="1"/>
  <c r="D2761" i="4"/>
  <c r="C2761" i="4"/>
  <c r="B2761" i="4"/>
  <c r="M2761" i="4" s="1"/>
  <c r="D2760" i="4"/>
  <c r="C2760" i="4"/>
  <c r="B2760" i="4"/>
  <c r="M2760" i="4" s="1"/>
  <c r="D2759" i="4"/>
  <c r="C2759" i="4"/>
  <c r="B2759" i="4"/>
  <c r="M2759" i="4" s="1"/>
  <c r="D2758" i="4"/>
  <c r="C2758" i="4"/>
  <c r="B2758" i="4"/>
  <c r="M2758" i="4" s="1"/>
  <c r="D2757" i="4"/>
  <c r="C2757" i="4"/>
  <c r="B2757" i="4"/>
  <c r="M2757" i="4" s="1"/>
  <c r="D2756" i="4"/>
  <c r="C2756" i="4"/>
  <c r="B2756" i="4"/>
  <c r="M2756" i="4" s="1"/>
  <c r="D2755" i="4"/>
  <c r="C2755" i="4"/>
  <c r="B2755" i="4"/>
  <c r="M2755" i="4" s="1"/>
  <c r="D2754" i="4"/>
  <c r="C2754" i="4"/>
  <c r="B2754" i="4"/>
  <c r="M2754" i="4" s="1"/>
  <c r="D2753" i="4"/>
  <c r="C2753" i="4"/>
  <c r="B2753" i="4"/>
  <c r="M2753" i="4" s="1"/>
  <c r="D2752" i="4"/>
  <c r="C2752" i="4"/>
  <c r="B2752" i="4"/>
  <c r="M2752" i="4" s="1"/>
  <c r="D2751" i="4"/>
  <c r="C2751" i="4"/>
  <c r="B2751" i="4"/>
  <c r="M2751" i="4" s="1"/>
  <c r="D2750" i="4"/>
  <c r="C2750" i="4"/>
  <c r="B2750" i="4"/>
  <c r="M2750" i="4" s="1"/>
  <c r="D2749" i="4"/>
  <c r="C2749" i="4"/>
  <c r="B2749" i="4"/>
  <c r="M2749" i="4" s="1"/>
  <c r="D2748" i="4"/>
  <c r="C2748" i="4"/>
  <c r="B2748" i="4"/>
  <c r="M2748" i="4" s="1"/>
  <c r="D2747" i="4"/>
  <c r="C2747" i="4"/>
  <c r="B2747" i="4"/>
  <c r="M2747" i="4" s="1"/>
  <c r="D2746" i="4"/>
  <c r="C2746" i="4"/>
  <c r="B2746" i="4"/>
  <c r="M2746" i="4" s="1"/>
  <c r="D2745" i="4"/>
  <c r="C2745" i="4"/>
  <c r="B2745" i="4"/>
  <c r="M2745" i="4" s="1"/>
  <c r="D2744" i="4"/>
  <c r="C2744" i="4"/>
  <c r="B2744" i="4"/>
  <c r="M2744" i="4" s="1"/>
  <c r="D2743" i="4"/>
  <c r="C2743" i="4"/>
  <c r="B2743" i="4"/>
  <c r="M2743" i="4" s="1"/>
  <c r="D2742" i="4"/>
  <c r="C2742" i="4"/>
  <c r="B2742" i="4"/>
  <c r="M2742" i="4" s="1"/>
  <c r="D2741" i="4"/>
  <c r="C2741" i="4"/>
  <c r="B2741" i="4"/>
  <c r="M2741" i="4" s="1"/>
  <c r="D2740" i="4"/>
  <c r="C2740" i="4"/>
  <c r="B2740" i="4"/>
  <c r="M2740" i="4" s="1"/>
  <c r="D2739" i="4"/>
  <c r="C2739" i="4"/>
  <c r="B2739" i="4"/>
  <c r="M2739" i="4" s="1"/>
  <c r="D2738" i="4"/>
  <c r="C2738" i="4"/>
  <c r="B2738" i="4"/>
  <c r="M2738" i="4" s="1"/>
  <c r="D2737" i="4"/>
  <c r="C2737" i="4"/>
  <c r="B2737" i="4"/>
  <c r="M2737" i="4" s="1"/>
  <c r="D2736" i="4"/>
  <c r="C2736" i="4"/>
  <c r="B2736" i="4"/>
  <c r="M2736" i="4" s="1"/>
  <c r="D2735" i="4"/>
  <c r="C2735" i="4"/>
  <c r="B2735" i="4"/>
  <c r="M2735" i="4" s="1"/>
  <c r="D2734" i="4"/>
  <c r="C2734" i="4"/>
  <c r="B2734" i="4"/>
  <c r="M2734" i="4" s="1"/>
  <c r="D2733" i="4"/>
  <c r="C2733" i="4"/>
  <c r="B2733" i="4"/>
  <c r="M2733" i="4" s="1"/>
  <c r="D2732" i="4"/>
  <c r="C2732" i="4"/>
  <c r="B2732" i="4"/>
  <c r="M2732" i="4" s="1"/>
  <c r="D2731" i="4"/>
  <c r="C2731" i="4"/>
  <c r="B2731" i="4"/>
  <c r="M2731" i="4" s="1"/>
  <c r="D2730" i="4"/>
  <c r="C2730" i="4"/>
  <c r="B2730" i="4"/>
  <c r="M2730" i="4" s="1"/>
  <c r="D2729" i="4"/>
  <c r="C2729" i="4"/>
  <c r="B2729" i="4"/>
  <c r="M2729" i="4" s="1"/>
  <c r="D2728" i="4"/>
  <c r="C2728" i="4"/>
  <c r="B2728" i="4"/>
  <c r="M2728" i="4" s="1"/>
  <c r="D2727" i="4"/>
  <c r="C2727" i="4"/>
  <c r="B2727" i="4"/>
  <c r="M2727" i="4" s="1"/>
  <c r="D2726" i="4"/>
  <c r="C2726" i="4"/>
  <c r="B2726" i="4"/>
  <c r="M2726" i="4" s="1"/>
  <c r="D2725" i="4"/>
  <c r="C2725" i="4"/>
  <c r="B2725" i="4"/>
  <c r="M2725" i="4" s="1"/>
  <c r="D2724" i="4"/>
  <c r="C2724" i="4"/>
  <c r="B2724" i="4"/>
  <c r="M2724" i="4" s="1"/>
  <c r="D2723" i="4"/>
  <c r="C2723" i="4"/>
  <c r="B2723" i="4"/>
  <c r="M2723" i="4" s="1"/>
  <c r="D2722" i="4"/>
  <c r="C2722" i="4"/>
  <c r="B2722" i="4"/>
  <c r="M2722" i="4" s="1"/>
  <c r="D2721" i="4"/>
  <c r="C2721" i="4"/>
  <c r="B2721" i="4"/>
  <c r="M2721" i="4" s="1"/>
  <c r="D2720" i="4"/>
  <c r="C2720" i="4"/>
  <c r="B2720" i="4"/>
  <c r="M2720" i="4" s="1"/>
  <c r="D2719" i="4"/>
  <c r="C2719" i="4"/>
  <c r="B2719" i="4"/>
  <c r="M2719" i="4" s="1"/>
  <c r="D2718" i="4"/>
  <c r="C2718" i="4"/>
  <c r="B2718" i="4"/>
  <c r="M2718" i="4" s="1"/>
  <c r="D2717" i="4"/>
  <c r="C2717" i="4"/>
  <c r="B2717" i="4"/>
  <c r="M2717" i="4" s="1"/>
  <c r="D2716" i="4"/>
  <c r="C2716" i="4"/>
  <c r="B2716" i="4"/>
  <c r="M2716" i="4" s="1"/>
  <c r="D2715" i="4"/>
  <c r="C2715" i="4"/>
  <c r="B2715" i="4"/>
  <c r="M2715" i="4" s="1"/>
  <c r="D2714" i="4"/>
  <c r="C2714" i="4"/>
  <c r="B2714" i="4"/>
  <c r="M2714" i="4" s="1"/>
  <c r="D2713" i="4"/>
  <c r="C2713" i="4"/>
  <c r="B2713" i="4"/>
  <c r="M2713" i="4" s="1"/>
  <c r="D2712" i="4"/>
  <c r="C2712" i="4"/>
  <c r="B2712" i="4"/>
  <c r="M2712" i="4" s="1"/>
  <c r="D2711" i="4"/>
  <c r="C2711" i="4"/>
  <c r="B2711" i="4"/>
  <c r="M2711" i="4" s="1"/>
  <c r="D2710" i="4"/>
  <c r="C2710" i="4"/>
  <c r="B2710" i="4"/>
  <c r="M2710" i="4" s="1"/>
  <c r="D2709" i="4"/>
  <c r="C2709" i="4"/>
  <c r="B2709" i="4"/>
  <c r="M2709" i="4" s="1"/>
  <c r="D2708" i="4"/>
  <c r="C2708" i="4"/>
  <c r="B2708" i="4"/>
  <c r="M2708" i="4" s="1"/>
  <c r="D2707" i="4"/>
  <c r="C2707" i="4"/>
  <c r="B2707" i="4"/>
  <c r="M2707" i="4" s="1"/>
  <c r="D2706" i="4"/>
  <c r="C2706" i="4"/>
  <c r="B2706" i="4"/>
  <c r="M2706" i="4" s="1"/>
  <c r="D2705" i="4"/>
  <c r="C2705" i="4"/>
  <c r="B2705" i="4"/>
  <c r="M2705" i="4" s="1"/>
  <c r="D2704" i="4"/>
  <c r="C2704" i="4"/>
  <c r="B2704" i="4"/>
  <c r="M2704" i="4" s="1"/>
  <c r="D2703" i="4"/>
  <c r="C2703" i="4"/>
  <c r="B2703" i="4"/>
  <c r="M2703" i="4" s="1"/>
  <c r="D2702" i="4"/>
  <c r="C2702" i="4"/>
  <c r="B2702" i="4"/>
  <c r="M2702" i="4" s="1"/>
  <c r="D2701" i="4"/>
  <c r="C2701" i="4"/>
  <c r="B2701" i="4"/>
  <c r="M2701" i="4" s="1"/>
  <c r="D2700" i="4"/>
  <c r="C2700" i="4"/>
  <c r="B2700" i="4"/>
  <c r="M2700" i="4" s="1"/>
  <c r="D2699" i="4"/>
  <c r="C2699" i="4"/>
  <c r="B2699" i="4"/>
  <c r="M2699" i="4" s="1"/>
  <c r="D2698" i="4"/>
  <c r="C2698" i="4"/>
  <c r="B2698" i="4"/>
  <c r="M2698" i="4" s="1"/>
  <c r="D2697" i="4"/>
  <c r="C2697" i="4"/>
  <c r="B2697" i="4"/>
  <c r="M2697" i="4" s="1"/>
  <c r="D2696" i="4"/>
  <c r="C2696" i="4"/>
  <c r="B2696" i="4"/>
  <c r="M2696" i="4" s="1"/>
  <c r="D2695" i="4"/>
  <c r="C2695" i="4"/>
  <c r="B2695" i="4"/>
  <c r="M2695" i="4" s="1"/>
  <c r="D2694" i="4"/>
  <c r="C2694" i="4"/>
  <c r="B2694" i="4"/>
  <c r="M2694" i="4" s="1"/>
  <c r="D2693" i="4"/>
  <c r="C2693" i="4"/>
  <c r="B2693" i="4"/>
  <c r="M2693" i="4" s="1"/>
  <c r="D2692" i="4"/>
  <c r="C2692" i="4"/>
  <c r="B2692" i="4"/>
  <c r="M2692" i="4" s="1"/>
  <c r="D2691" i="4"/>
  <c r="C2691" i="4"/>
  <c r="B2691" i="4"/>
  <c r="M2691" i="4" s="1"/>
  <c r="D2690" i="4"/>
  <c r="C2690" i="4"/>
  <c r="B2690" i="4"/>
  <c r="M2690" i="4" s="1"/>
  <c r="D2689" i="4"/>
  <c r="C2689" i="4"/>
  <c r="B2689" i="4"/>
  <c r="M2689" i="4" s="1"/>
  <c r="D2688" i="4"/>
  <c r="C2688" i="4"/>
  <c r="B2688" i="4"/>
  <c r="M2688" i="4" s="1"/>
  <c r="D2687" i="4"/>
  <c r="C2687" i="4"/>
  <c r="B2687" i="4"/>
  <c r="M2687" i="4" s="1"/>
  <c r="D2686" i="4"/>
  <c r="C2686" i="4"/>
  <c r="B2686" i="4"/>
  <c r="M2686" i="4" s="1"/>
  <c r="D2685" i="4"/>
  <c r="C2685" i="4"/>
  <c r="B2685" i="4"/>
  <c r="M2685" i="4" s="1"/>
  <c r="D2684" i="4"/>
  <c r="C2684" i="4"/>
  <c r="B2684" i="4"/>
  <c r="M2684" i="4" s="1"/>
  <c r="D2683" i="4"/>
  <c r="C2683" i="4"/>
  <c r="B2683" i="4"/>
  <c r="M2683" i="4" s="1"/>
  <c r="D2682" i="4"/>
  <c r="C2682" i="4"/>
  <c r="B2682" i="4"/>
  <c r="M2682" i="4" s="1"/>
  <c r="D2681" i="4"/>
  <c r="C2681" i="4"/>
  <c r="B2681" i="4"/>
  <c r="M2681" i="4" s="1"/>
  <c r="D2680" i="4"/>
  <c r="C2680" i="4"/>
  <c r="B2680" i="4"/>
  <c r="M2680" i="4" s="1"/>
  <c r="D2679" i="4"/>
  <c r="C2679" i="4"/>
  <c r="B2679" i="4"/>
  <c r="M2679" i="4" s="1"/>
  <c r="D2678" i="4"/>
  <c r="C2678" i="4"/>
  <c r="B2678" i="4"/>
  <c r="M2678" i="4" s="1"/>
  <c r="D2677" i="4"/>
  <c r="C2677" i="4"/>
  <c r="B2677" i="4"/>
  <c r="M2677" i="4" s="1"/>
  <c r="D2676" i="4"/>
  <c r="C2676" i="4"/>
  <c r="B2676" i="4"/>
  <c r="M2676" i="4" s="1"/>
  <c r="D2675" i="4"/>
  <c r="C2675" i="4"/>
  <c r="B2675" i="4"/>
  <c r="M2675" i="4" s="1"/>
  <c r="D2674" i="4"/>
  <c r="C2674" i="4"/>
  <c r="B2674" i="4"/>
  <c r="M2674" i="4" s="1"/>
  <c r="D2673" i="4"/>
  <c r="C2673" i="4"/>
  <c r="B2673" i="4"/>
  <c r="M2673" i="4" s="1"/>
  <c r="D2672" i="4"/>
  <c r="C2672" i="4"/>
  <c r="B2672" i="4"/>
  <c r="M2672" i="4" s="1"/>
  <c r="D2671" i="4"/>
  <c r="C2671" i="4"/>
  <c r="B2671" i="4"/>
  <c r="M2671" i="4" s="1"/>
  <c r="D2670" i="4"/>
  <c r="C2670" i="4"/>
  <c r="B2670" i="4"/>
  <c r="M2670" i="4" s="1"/>
  <c r="D2669" i="4"/>
  <c r="C2669" i="4"/>
  <c r="B2669" i="4"/>
  <c r="M2669" i="4" s="1"/>
  <c r="D2668" i="4"/>
  <c r="C2668" i="4"/>
  <c r="B2668" i="4"/>
  <c r="M2668" i="4" s="1"/>
  <c r="D2667" i="4"/>
  <c r="C2667" i="4"/>
  <c r="B2667" i="4"/>
  <c r="M2667" i="4" s="1"/>
  <c r="D2666" i="4"/>
  <c r="C2666" i="4"/>
  <c r="B2666" i="4"/>
  <c r="M2666" i="4" s="1"/>
  <c r="D2665" i="4"/>
  <c r="C2665" i="4"/>
  <c r="B2665" i="4"/>
  <c r="M2665" i="4" s="1"/>
  <c r="D2664" i="4"/>
  <c r="C2664" i="4"/>
  <c r="B2664" i="4"/>
  <c r="M2664" i="4" s="1"/>
  <c r="D2663" i="4"/>
  <c r="C2663" i="4"/>
  <c r="B2663" i="4"/>
  <c r="M2663" i="4" s="1"/>
  <c r="D2662" i="4"/>
  <c r="C2662" i="4"/>
  <c r="B2662" i="4"/>
  <c r="M2662" i="4" s="1"/>
  <c r="D2661" i="4"/>
  <c r="C2661" i="4"/>
  <c r="B2661" i="4"/>
  <c r="M2661" i="4" s="1"/>
  <c r="D2660" i="4"/>
  <c r="C2660" i="4"/>
  <c r="B2660" i="4"/>
  <c r="M2660" i="4" s="1"/>
  <c r="D2659" i="4"/>
  <c r="C2659" i="4"/>
  <c r="B2659" i="4"/>
  <c r="M2659" i="4" s="1"/>
  <c r="D2658" i="4"/>
  <c r="C2658" i="4"/>
  <c r="B2658" i="4"/>
  <c r="M2658" i="4" s="1"/>
  <c r="D2657" i="4"/>
  <c r="C2657" i="4"/>
  <c r="B2657" i="4"/>
  <c r="M2657" i="4" s="1"/>
  <c r="D2656" i="4"/>
  <c r="C2656" i="4"/>
  <c r="B2656" i="4"/>
  <c r="M2656" i="4" s="1"/>
  <c r="D2655" i="4"/>
  <c r="C2655" i="4"/>
  <c r="B2655" i="4"/>
  <c r="M2655" i="4" s="1"/>
  <c r="D2654" i="4"/>
  <c r="C2654" i="4"/>
  <c r="B2654" i="4"/>
  <c r="M2654" i="4" s="1"/>
  <c r="D2653" i="4"/>
  <c r="C2653" i="4"/>
  <c r="B2653" i="4"/>
  <c r="M2653" i="4" s="1"/>
  <c r="D2652" i="4"/>
  <c r="C2652" i="4"/>
  <c r="B2652" i="4"/>
  <c r="M2652" i="4" s="1"/>
  <c r="D2651" i="4"/>
  <c r="C2651" i="4"/>
  <c r="B2651" i="4"/>
  <c r="M2651" i="4" s="1"/>
  <c r="D2650" i="4"/>
  <c r="C2650" i="4"/>
  <c r="B2650" i="4"/>
  <c r="M2650" i="4" s="1"/>
  <c r="D2649" i="4"/>
  <c r="C2649" i="4"/>
  <c r="B2649" i="4"/>
  <c r="M2649" i="4" s="1"/>
  <c r="D2648" i="4"/>
  <c r="C2648" i="4"/>
  <c r="B2648" i="4"/>
  <c r="M2648" i="4" s="1"/>
  <c r="D2647" i="4"/>
  <c r="C2647" i="4"/>
  <c r="B2647" i="4"/>
  <c r="M2647" i="4" s="1"/>
  <c r="D2646" i="4"/>
  <c r="C2646" i="4"/>
  <c r="B2646" i="4"/>
  <c r="M2646" i="4" s="1"/>
  <c r="D2645" i="4"/>
  <c r="C2645" i="4"/>
  <c r="B2645" i="4"/>
  <c r="M2645" i="4" s="1"/>
  <c r="D2644" i="4"/>
  <c r="C2644" i="4"/>
  <c r="B2644" i="4"/>
  <c r="M2644" i="4" s="1"/>
  <c r="D2643" i="4"/>
  <c r="C2643" i="4"/>
  <c r="B2643" i="4"/>
  <c r="M2643" i="4" s="1"/>
  <c r="D2642" i="4"/>
  <c r="C2642" i="4"/>
  <c r="B2642" i="4"/>
  <c r="M2642" i="4" s="1"/>
  <c r="D2641" i="4"/>
  <c r="C2641" i="4"/>
  <c r="B2641" i="4"/>
  <c r="M2641" i="4" s="1"/>
  <c r="D2640" i="4"/>
  <c r="C2640" i="4"/>
  <c r="B2640" i="4"/>
  <c r="M2640" i="4" s="1"/>
  <c r="D2639" i="4"/>
  <c r="C2639" i="4"/>
  <c r="B2639" i="4"/>
  <c r="M2639" i="4" s="1"/>
  <c r="D2638" i="4"/>
  <c r="C2638" i="4"/>
  <c r="B2638" i="4"/>
  <c r="M2638" i="4" s="1"/>
  <c r="D2637" i="4"/>
  <c r="C2637" i="4"/>
  <c r="B2637" i="4"/>
  <c r="M2637" i="4" s="1"/>
  <c r="D2636" i="4"/>
  <c r="C2636" i="4"/>
  <c r="B2636" i="4"/>
  <c r="M2636" i="4" s="1"/>
  <c r="D2635" i="4"/>
  <c r="C2635" i="4"/>
  <c r="B2635" i="4"/>
  <c r="M2635" i="4" s="1"/>
  <c r="D2634" i="4"/>
  <c r="C2634" i="4"/>
  <c r="B2634" i="4"/>
  <c r="M2634" i="4" s="1"/>
  <c r="D2633" i="4"/>
  <c r="C2633" i="4"/>
  <c r="B2633" i="4"/>
  <c r="M2633" i="4" s="1"/>
  <c r="D2632" i="4"/>
  <c r="C2632" i="4"/>
  <c r="B2632" i="4"/>
  <c r="M2632" i="4" s="1"/>
  <c r="D2631" i="4"/>
  <c r="C2631" i="4"/>
  <c r="B2631" i="4"/>
  <c r="M2631" i="4" s="1"/>
  <c r="D2630" i="4"/>
  <c r="C2630" i="4"/>
  <c r="B2630" i="4"/>
  <c r="M2630" i="4" s="1"/>
  <c r="D2629" i="4"/>
  <c r="C2629" i="4"/>
  <c r="B2629" i="4"/>
  <c r="M2629" i="4" s="1"/>
  <c r="D2628" i="4"/>
  <c r="C2628" i="4"/>
  <c r="B2628" i="4"/>
  <c r="M2628" i="4" s="1"/>
  <c r="D2627" i="4"/>
  <c r="C2627" i="4"/>
  <c r="B2627" i="4"/>
  <c r="M2627" i="4" s="1"/>
  <c r="D2626" i="4"/>
  <c r="C2626" i="4"/>
  <c r="B2626" i="4"/>
  <c r="M2626" i="4" s="1"/>
  <c r="D2625" i="4"/>
  <c r="C2625" i="4"/>
  <c r="B2625" i="4"/>
  <c r="M2625" i="4" s="1"/>
  <c r="D2624" i="4"/>
  <c r="C2624" i="4"/>
  <c r="B2624" i="4"/>
  <c r="M2624" i="4" s="1"/>
  <c r="D2623" i="4"/>
  <c r="C2623" i="4"/>
  <c r="B2623" i="4"/>
  <c r="M2623" i="4" s="1"/>
  <c r="D2622" i="4"/>
  <c r="C2622" i="4"/>
  <c r="B2622" i="4"/>
  <c r="M2622" i="4" s="1"/>
  <c r="D2621" i="4"/>
  <c r="C2621" i="4"/>
  <c r="B2621" i="4"/>
  <c r="M2621" i="4" s="1"/>
  <c r="D2620" i="4"/>
  <c r="C2620" i="4"/>
  <c r="B2620" i="4"/>
  <c r="M2620" i="4" s="1"/>
  <c r="D2619" i="4"/>
  <c r="C2619" i="4"/>
  <c r="B2619" i="4"/>
  <c r="M2619" i="4" s="1"/>
  <c r="D2618" i="4"/>
  <c r="C2618" i="4"/>
  <c r="B2618" i="4"/>
  <c r="M2618" i="4" s="1"/>
  <c r="D2617" i="4"/>
  <c r="C2617" i="4"/>
  <c r="B2617" i="4"/>
  <c r="M2617" i="4" s="1"/>
  <c r="D2616" i="4"/>
  <c r="C2616" i="4"/>
  <c r="B2616" i="4"/>
  <c r="M2616" i="4" s="1"/>
  <c r="D2615" i="4"/>
  <c r="C2615" i="4"/>
  <c r="B2615" i="4"/>
  <c r="M2615" i="4" s="1"/>
  <c r="D2614" i="4"/>
  <c r="C2614" i="4"/>
  <c r="B2614" i="4"/>
  <c r="M2614" i="4" s="1"/>
  <c r="D2613" i="4"/>
  <c r="C2613" i="4"/>
  <c r="B2613" i="4"/>
  <c r="M2613" i="4" s="1"/>
  <c r="D2612" i="4"/>
  <c r="C2612" i="4"/>
  <c r="B2612" i="4"/>
  <c r="M2612" i="4" s="1"/>
  <c r="D2611" i="4"/>
  <c r="C2611" i="4"/>
  <c r="B2611" i="4"/>
  <c r="M2611" i="4" s="1"/>
  <c r="D2610" i="4"/>
  <c r="C2610" i="4"/>
  <c r="B2610" i="4"/>
  <c r="M2610" i="4" s="1"/>
  <c r="D2609" i="4"/>
  <c r="C2609" i="4"/>
  <c r="B2609" i="4"/>
  <c r="M2609" i="4" s="1"/>
  <c r="D2608" i="4"/>
  <c r="C2608" i="4"/>
  <c r="B2608" i="4"/>
  <c r="M2608" i="4" s="1"/>
  <c r="D2607" i="4"/>
  <c r="C2607" i="4"/>
  <c r="B2607" i="4"/>
  <c r="M2607" i="4" s="1"/>
  <c r="D2606" i="4"/>
  <c r="C2606" i="4"/>
  <c r="B2606" i="4"/>
  <c r="M2606" i="4" s="1"/>
  <c r="D2605" i="4"/>
  <c r="C2605" i="4"/>
  <c r="B2605" i="4"/>
  <c r="M2605" i="4" s="1"/>
  <c r="D2604" i="4"/>
  <c r="C2604" i="4"/>
  <c r="B2604" i="4"/>
  <c r="M2604" i="4" s="1"/>
  <c r="D2603" i="4"/>
  <c r="C2603" i="4"/>
  <c r="B2603" i="4"/>
  <c r="M2603" i="4" s="1"/>
  <c r="D2602" i="4"/>
  <c r="C2602" i="4"/>
  <c r="B2602" i="4"/>
  <c r="M2602" i="4" s="1"/>
  <c r="D2601" i="4"/>
  <c r="C2601" i="4"/>
  <c r="B2601" i="4"/>
  <c r="M2601" i="4" s="1"/>
  <c r="D2600" i="4"/>
  <c r="C2600" i="4"/>
  <c r="B2600" i="4"/>
  <c r="M2600" i="4" s="1"/>
  <c r="D2599" i="4"/>
  <c r="C2599" i="4"/>
  <c r="B2599" i="4"/>
  <c r="M2599" i="4" s="1"/>
  <c r="D2598" i="4"/>
  <c r="C2598" i="4"/>
  <c r="B2598" i="4"/>
  <c r="M2598" i="4" s="1"/>
  <c r="D2597" i="4"/>
  <c r="C2597" i="4"/>
  <c r="B2597" i="4"/>
  <c r="M2597" i="4" s="1"/>
  <c r="D2596" i="4"/>
  <c r="C2596" i="4"/>
  <c r="B2596" i="4"/>
  <c r="M2596" i="4" s="1"/>
  <c r="D2595" i="4"/>
  <c r="C2595" i="4"/>
  <c r="B2595" i="4"/>
  <c r="M2595" i="4" s="1"/>
  <c r="D2594" i="4"/>
  <c r="C2594" i="4"/>
  <c r="B2594" i="4"/>
  <c r="M2594" i="4" s="1"/>
  <c r="D2593" i="4"/>
  <c r="C2593" i="4"/>
  <c r="B2593" i="4"/>
  <c r="M2593" i="4" s="1"/>
  <c r="D2592" i="4"/>
  <c r="C2592" i="4"/>
  <c r="B2592" i="4"/>
  <c r="M2592" i="4" s="1"/>
  <c r="D2591" i="4"/>
  <c r="C2591" i="4"/>
  <c r="B2591" i="4"/>
  <c r="M2591" i="4" s="1"/>
  <c r="D2590" i="4"/>
  <c r="C2590" i="4"/>
  <c r="B2590" i="4"/>
  <c r="M2590" i="4" s="1"/>
  <c r="D2589" i="4"/>
  <c r="C2589" i="4"/>
  <c r="B2589" i="4"/>
  <c r="M2589" i="4" s="1"/>
  <c r="D2588" i="4"/>
  <c r="C2588" i="4"/>
  <c r="B2588" i="4"/>
  <c r="M2588" i="4" s="1"/>
  <c r="D2587" i="4"/>
  <c r="C2587" i="4"/>
  <c r="B2587" i="4"/>
  <c r="M2587" i="4" s="1"/>
  <c r="D2586" i="4"/>
  <c r="C2586" i="4"/>
  <c r="B2586" i="4"/>
  <c r="M2586" i="4" s="1"/>
  <c r="D2585" i="4"/>
  <c r="C2585" i="4"/>
  <c r="B2585" i="4"/>
  <c r="M2585" i="4" s="1"/>
  <c r="D2584" i="4"/>
  <c r="C2584" i="4"/>
  <c r="B2584" i="4"/>
  <c r="M2584" i="4" s="1"/>
  <c r="D2583" i="4"/>
  <c r="C2583" i="4"/>
  <c r="B2583" i="4"/>
  <c r="M2583" i="4" s="1"/>
  <c r="D2582" i="4"/>
  <c r="C2582" i="4"/>
  <c r="B2582" i="4"/>
  <c r="M2582" i="4" s="1"/>
  <c r="D2581" i="4"/>
  <c r="C2581" i="4"/>
  <c r="B2581" i="4"/>
  <c r="M2581" i="4" s="1"/>
  <c r="D2580" i="4"/>
  <c r="C2580" i="4"/>
  <c r="B2580" i="4"/>
  <c r="M2580" i="4" s="1"/>
  <c r="D2579" i="4"/>
  <c r="C2579" i="4"/>
  <c r="B2579" i="4"/>
  <c r="M2579" i="4" s="1"/>
  <c r="D2578" i="4"/>
  <c r="C2578" i="4"/>
  <c r="B2578" i="4"/>
  <c r="M2578" i="4" s="1"/>
  <c r="D2577" i="4"/>
  <c r="C2577" i="4"/>
  <c r="B2577" i="4"/>
  <c r="M2577" i="4" s="1"/>
  <c r="D2576" i="4"/>
  <c r="C2576" i="4"/>
  <c r="B2576" i="4"/>
  <c r="M2576" i="4" s="1"/>
  <c r="D2575" i="4"/>
  <c r="C2575" i="4"/>
  <c r="B2575" i="4"/>
  <c r="M2575" i="4" s="1"/>
  <c r="D2574" i="4"/>
  <c r="C2574" i="4"/>
  <c r="B2574" i="4"/>
  <c r="M2574" i="4" s="1"/>
  <c r="D2573" i="4"/>
  <c r="C2573" i="4"/>
  <c r="B2573" i="4"/>
  <c r="M2573" i="4" s="1"/>
  <c r="D2572" i="4"/>
  <c r="C2572" i="4"/>
  <c r="B2572" i="4"/>
  <c r="M2572" i="4" s="1"/>
  <c r="D2571" i="4"/>
  <c r="C2571" i="4"/>
  <c r="B2571" i="4"/>
  <c r="M2571" i="4" s="1"/>
  <c r="D2570" i="4"/>
  <c r="C2570" i="4"/>
  <c r="B2570" i="4"/>
  <c r="M2570" i="4" s="1"/>
  <c r="D2569" i="4"/>
  <c r="C2569" i="4"/>
  <c r="B2569" i="4"/>
  <c r="M2569" i="4" s="1"/>
  <c r="D2568" i="4"/>
  <c r="C2568" i="4"/>
  <c r="B2568" i="4"/>
  <c r="M2568" i="4" s="1"/>
  <c r="D2567" i="4"/>
  <c r="C2567" i="4"/>
  <c r="B2567" i="4"/>
  <c r="M2567" i="4" s="1"/>
  <c r="D2566" i="4"/>
  <c r="C2566" i="4"/>
  <c r="B2566" i="4"/>
  <c r="M2566" i="4" s="1"/>
  <c r="D2565" i="4"/>
  <c r="C2565" i="4"/>
  <c r="B2565" i="4"/>
  <c r="M2565" i="4" s="1"/>
  <c r="D2564" i="4"/>
  <c r="C2564" i="4"/>
  <c r="B2564" i="4"/>
  <c r="M2564" i="4" s="1"/>
  <c r="D2563" i="4"/>
  <c r="C2563" i="4"/>
  <c r="B2563" i="4"/>
  <c r="M2563" i="4" s="1"/>
  <c r="D2562" i="4"/>
  <c r="C2562" i="4"/>
  <c r="B2562" i="4"/>
  <c r="M2562" i="4" s="1"/>
  <c r="D2561" i="4"/>
  <c r="C2561" i="4"/>
  <c r="B2561" i="4"/>
  <c r="M2561" i="4" s="1"/>
  <c r="D2560" i="4"/>
  <c r="C2560" i="4"/>
  <c r="B2560" i="4"/>
  <c r="M2560" i="4" s="1"/>
  <c r="D2559" i="4"/>
  <c r="C2559" i="4"/>
  <c r="B2559" i="4"/>
  <c r="M2559" i="4" s="1"/>
  <c r="D2558" i="4"/>
  <c r="C2558" i="4"/>
  <c r="B2558" i="4"/>
  <c r="M2558" i="4" s="1"/>
  <c r="D2557" i="4"/>
  <c r="C2557" i="4"/>
  <c r="B2557" i="4"/>
  <c r="M2557" i="4" s="1"/>
  <c r="D2556" i="4"/>
  <c r="C2556" i="4"/>
  <c r="B2556" i="4"/>
  <c r="M2556" i="4" s="1"/>
  <c r="D2555" i="4"/>
  <c r="C2555" i="4"/>
  <c r="B2555" i="4"/>
  <c r="M2555" i="4" s="1"/>
  <c r="D2554" i="4"/>
  <c r="C2554" i="4"/>
  <c r="B2554" i="4"/>
  <c r="M2554" i="4" s="1"/>
  <c r="D2553" i="4"/>
  <c r="C2553" i="4"/>
  <c r="B2553" i="4"/>
  <c r="M2553" i="4" s="1"/>
  <c r="D2552" i="4"/>
  <c r="C2552" i="4"/>
  <c r="B2552" i="4"/>
  <c r="M2552" i="4" s="1"/>
  <c r="D2551" i="4"/>
  <c r="C2551" i="4"/>
  <c r="B2551" i="4"/>
  <c r="M2551" i="4" s="1"/>
  <c r="D2550" i="4"/>
  <c r="C2550" i="4"/>
  <c r="B2550" i="4"/>
  <c r="M2550" i="4" s="1"/>
  <c r="D2549" i="4"/>
  <c r="C2549" i="4"/>
  <c r="B2549" i="4"/>
  <c r="M2549" i="4" s="1"/>
  <c r="D2548" i="4"/>
  <c r="C2548" i="4"/>
  <c r="B2548" i="4"/>
  <c r="M2548" i="4" s="1"/>
  <c r="D2547" i="4"/>
  <c r="C2547" i="4"/>
  <c r="B2547" i="4"/>
  <c r="M2547" i="4" s="1"/>
  <c r="D2546" i="4"/>
  <c r="C2546" i="4"/>
  <c r="B2546" i="4"/>
  <c r="M2546" i="4" s="1"/>
  <c r="D2545" i="4"/>
  <c r="C2545" i="4"/>
  <c r="B2545" i="4"/>
  <c r="M2545" i="4" s="1"/>
  <c r="D2544" i="4"/>
  <c r="C2544" i="4"/>
  <c r="B2544" i="4"/>
  <c r="M2544" i="4" s="1"/>
  <c r="D2543" i="4"/>
  <c r="C2543" i="4"/>
  <c r="B2543" i="4"/>
  <c r="M2543" i="4" s="1"/>
  <c r="D2542" i="4"/>
  <c r="C2542" i="4"/>
  <c r="B2542" i="4"/>
  <c r="M2542" i="4" s="1"/>
  <c r="D2541" i="4"/>
  <c r="C2541" i="4"/>
  <c r="B2541" i="4"/>
  <c r="M2541" i="4" s="1"/>
  <c r="D2540" i="4"/>
  <c r="C2540" i="4"/>
  <c r="B2540" i="4"/>
  <c r="M2540" i="4" s="1"/>
  <c r="D2539" i="4"/>
  <c r="C2539" i="4"/>
  <c r="B2539" i="4"/>
  <c r="M2539" i="4" s="1"/>
  <c r="D2538" i="4"/>
  <c r="C2538" i="4"/>
  <c r="B2538" i="4"/>
  <c r="M2538" i="4" s="1"/>
  <c r="D2537" i="4"/>
  <c r="C2537" i="4"/>
  <c r="B2537" i="4"/>
  <c r="M2537" i="4" s="1"/>
  <c r="D2536" i="4"/>
  <c r="C2536" i="4"/>
  <c r="B2536" i="4"/>
  <c r="M2536" i="4" s="1"/>
  <c r="D2535" i="4"/>
  <c r="C2535" i="4"/>
  <c r="B2535" i="4"/>
  <c r="M2535" i="4" s="1"/>
  <c r="D2534" i="4"/>
  <c r="C2534" i="4"/>
  <c r="B2534" i="4"/>
  <c r="M2534" i="4" s="1"/>
  <c r="D2533" i="4"/>
  <c r="C2533" i="4"/>
  <c r="B2533" i="4"/>
  <c r="M2533" i="4" s="1"/>
  <c r="D2532" i="4"/>
  <c r="C2532" i="4"/>
  <c r="B2532" i="4"/>
  <c r="M2532" i="4" s="1"/>
  <c r="D2531" i="4"/>
  <c r="C2531" i="4"/>
  <c r="B2531" i="4"/>
  <c r="M2531" i="4" s="1"/>
  <c r="D2530" i="4"/>
  <c r="C2530" i="4"/>
  <c r="B2530" i="4"/>
  <c r="M2530" i="4" s="1"/>
  <c r="D2529" i="4"/>
  <c r="C2529" i="4"/>
  <c r="B2529" i="4"/>
  <c r="M2529" i="4" s="1"/>
  <c r="D2528" i="4"/>
  <c r="C2528" i="4"/>
  <c r="B2528" i="4"/>
  <c r="M2528" i="4" s="1"/>
  <c r="D2527" i="4"/>
  <c r="C2527" i="4"/>
  <c r="B2527" i="4"/>
  <c r="M2527" i="4" s="1"/>
  <c r="D2526" i="4"/>
  <c r="C2526" i="4"/>
  <c r="B2526" i="4"/>
  <c r="M2526" i="4" s="1"/>
  <c r="D2525" i="4"/>
  <c r="C2525" i="4"/>
  <c r="B2525" i="4"/>
  <c r="M2525" i="4" s="1"/>
  <c r="D2524" i="4"/>
  <c r="C2524" i="4"/>
  <c r="B2524" i="4"/>
  <c r="M2524" i="4" s="1"/>
  <c r="D2523" i="4"/>
  <c r="C2523" i="4"/>
  <c r="B2523" i="4"/>
  <c r="M2523" i="4" s="1"/>
  <c r="D2522" i="4"/>
  <c r="C2522" i="4"/>
  <c r="B2522" i="4"/>
  <c r="M2522" i="4" s="1"/>
  <c r="D2521" i="4"/>
  <c r="C2521" i="4"/>
  <c r="B2521" i="4"/>
  <c r="M2521" i="4" s="1"/>
  <c r="D2520" i="4"/>
  <c r="C2520" i="4"/>
  <c r="B2520" i="4"/>
  <c r="M2520" i="4" s="1"/>
  <c r="D2519" i="4"/>
  <c r="C2519" i="4"/>
  <c r="B2519" i="4"/>
  <c r="M2519" i="4" s="1"/>
  <c r="D2518" i="4"/>
  <c r="C2518" i="4"/>
  <c r="B2518" i="4"/>
  <c r="M2518" i="4" s="1"/>
  <c r="D2517" i="4"/>
  <c r="C2517" i="4"/>
  <c r="B2517" i="4"/>
  <c r="M2517" i="4" s="1"/>
  <c r="D2516" i="4"/>
  <c r="C2516" i="4"/>
  <c r="B2516" i="4"/>
  <c r="M2516" i="4" s="1"/>
  <c r="D2515" i="4"/>
  <c r="C2515" i="4"/>
  <c r="B2515" i="4"/>
  <c r="M2515" i="4" s="1"/>
  <c r="D2514" i="4"/>
  <c r="C2514" i="4"/>
  <c r="B2514" i="4"/>
  <c r="M2514" i="4" s="1"/>
  <c r="D2513" i="4"/>
  <c r="C2513" i="4"/>
  <c r="B2513" i="4"/>
  <c r="M2513" i="4" s="1"/>
  <c r="D2512" i="4"/>
  <c r="C2512" i="4"/>
  <c r="B2512" i="4"/>
  <c r="M2512" i="4" s="1"/>
  <c r="D2511" i="4"/>
  <c r="C2511" i="4"/>
  <c r="B2511" i="4"/>
  <c r="M2511" i="4" s="1"/>
  <c r="D2510" i="4"/>
  <c r="C2510" i="4"/>
  <c r="B2510" i="4"/>
  <c r="M2510" i="4" s="1"/>
  <c r="D2509" i="4"/>
  <c r="C2509" i="4"/>
  <c r="B2509" i="4"/>
  <c r="M2509" i="4" s="1"/>
  <c r="D2508" i="4"/>
  <c r="C2508" i="4"/>
  <c r="B2508" i="4"/>
  <c r="M2508" i="4" s="1"/>
  <c r="D2507" i="4"/>
  <c r="C2507" i="4"/>
  <c r="B2507" i="4"/>
  <c r="M2507" i="4" s="1"/>
  <c r="D2506" i="4"/>
  <c r="C2506" i="4"/>
  <c r="B2506" i="4"/>
  <c r="M2506" i="4" s="1"/>
  <c r="D2505" i="4"/>
  <c r="C2505" i="4"/>
  <c r="B2505" i="4"/>
  <c r="M2505" i="4" s="1"/>
  <c r="D2504" i="4"/>
  <c r="C2504" i="4"/>
  <c r="B2504" i="4"/>
  <c r="M2504" i="4" s="1"/>
  <c r="D2503" i="4"/>
  <c r="C2503" i="4"/>
  <c r="B2503" i="4"/>
  <c r="M2503" i="4" s="1"/>
  <c r="D2502" i="4"/>
  <c r="C2502" i="4"/>
  <c r="B2502" i="4"/>
  <c r="M2502" i="4" s="1"/>
  <c r="D2501" i="4"/>
  <c r="C2501" i="4"/>
  <c r="B2501" i="4"/>
  <c r="M2501" i="4" s="1"/>
  <c r="D2500" i="4"/>
  <c r="C2500" i="4"/>
  <c r="B2500" i="4"/>
  <c r="M2500" i="4" s="1"/>
  <c r="D2499" i="4"/>
  <c r="C2499" i="4"/>
  <c r="B2499" i="4"/>
  <c r="M2499" i="4" s="1"/>
  <c r="D2498" i="4"/>
  <c r="C2498" i="4"/>
  <c r="B2498" i="4"/>
  <c r="M2498" i="4" s="1"/>
  <c r="D2497" i="4"/>
  <c r="C2497" i="4"/>
  <c r="B2497" i="4"/>
  <c r="M2497" i="4" s="1"/>
  <c r="D2496" i="4"/>
  <c r="C2496" i="4"/>
  <c r="B2496" i="4"/>
  <c r="M2496" i="4" s="1"/>
  <c r="D2495" i="4"/>
  <c r="C2495" i="4"/>
  <c r="B2495" i="4"/>
  <c r="M2495" i="4" s="1"/>
  <c r="D2494" i="4"/>
  <c r="C2494" i="4"/>
  <c r="B2494" i="4"/>
  <c r="M2494" i="4" s="1"/>
  <c r="D2493" i="4"/>
  <c r="C2493" i="4"/>
  <c r="B2493" i="4"/>
  <c r="M2493" i="4" s="1"/>
  <c r="D2492" i="4"/>
  <c r="C2492" i="4"/>
  <c r="B2492" i="4"/>
  <c r="M2492" i="4" s="1"/>
  <c r="D2491" i="4"/>
  <c r="C2491" i="4"/>
  <c r="B2491" i="4"/>
  <c r="M2491" i="4" s="1"/>
  <c r="D2490" i="4"/>
  <c r="C2490" i="4"/>
  <c r="B2490" i="4"/>
  <c r="M2490" i="4" s="1"/>
  <c r="D2489" i="4"/>
  <c r="C2489" i="4"/>
  <c r="B2489" i="4"/>
  <c r="M2489" i="4" s="1"/>
  <c r="D2488" i="4"/>
  <c r="C2488" i="4"/>
  <c r="B2488" i="4"/>
  <c r="M2488" i="4" s="1"/>
  <c r="D2487" i="4"/>
  <c r="C2487" i="4"/>
  <c r="B2487" i="4"/>
  <c r="M2487" i="4" s="1"/>
  <c r="D2486" i="4"/>
  <c r="C2486" i="4"/>
  <c r="B2486" i="4"/>
  <c r="M2486" i="4" s="1"/>
  <c r="D2485" i="4"/>
  <c r="C2485" i="4"/>
  <c r="B2485" i="4"/>
  <c r="M2485" i="4" s="1"/>
  <c r="D2484" i="4"/>
  <c r="C2484" i="4"/>
  <c r="B2484" i="4"/>
  <c r="M2484" i="4" s="1"/>
  <c r="D2483" i="4"/>
  <c r="C2483" i="4"/>
  <c r="B2483" i="4"/>
  <c r="M2483" i="4" s="1"/>
  <c r="D2482" i="4"/>
  <c r="C2482" i="4"/>
  <c r="B2482" i="4"/>
  <c r="M2482" i="4" s="1"/>
  <c r="D2481" i="4"/>
  <c r="C2481" i="4"/>
  <c r="B2481" i="4"/>
  <c r="M2481" i="4" s="1"/>
  <c r="D2480" i="4"/>
  <c r="C2480" i="4"/>
  <c r="B2480" i="4"/>
  <c r="M2480" i="4" s="1"/>
  <c r="D2479" i="4"/>
  <c r="C2479" i="4"/>
  <c r="B2479" i="4"/>
  <c r="M2479" i="4" s="1"/>
  <c r="D2478" i="4"/>
  <c r="C2478" i="4"/>
  <c r="B2478" i="4"/>
  <c r="M2478" i="4" s="1"/>
  <c r="D2477" i="4"/>
  <c r="C2477" i="4"/>
  <c r="B2477" i="4"/>
  <c r="M2477" i="4" s="1"/>
  <c r="D2476" i="4"/>
  <c r="C2476" i="4"/>
  <c r="B2476" i="4"/>
  <c r="M2476" i="4" s="1"/>
  <c r="D2475" i="4"/>
  <c r="C2475" i="4"/>
  <c r="B2475" i="4"/>
  <c r="M2475" i="4" s="1"/>
  <c r="D2474" i="4"/>
  <c r="C2474" i="4"/>
  <c r="B2474" i="4"/>
  <c r="M2474" i="4" s="1"/>
  <c r="D2473" i="4"/>
  <c r="C2473" i="4"/>
  <c r="B2473" i="4"/>
  <c r="M2473" i="4" s="1"/>
  <c r="D2472" i="4"/>
  <c r="C2472" i="4"/>
  <c r="B2472" i="4"/>
  <c r="M2472" i="4" s="1"/>
  <c r="D2471" i="4"/>
  <c r="C2471" i="4"/>
  <c r="B2471" i="4"/>
  <c r="M2471" i="4" s="1"/>
  <c r="D2470" i="4"/>
  <c r="C2470" i="4"/>
  <c r="B2470" i="4"/>
  <c r="M2470" i="4" s="1"/>
  <c r="D2469" i="4"/>
  <c r="C2469" i="4"/>
  <c r="B2469" i="4"/>
  <c r="M2469" i="4" s="1"/>
  <c r="D2468" i="4"/>
  <c r="C2468" i="4"/>
  <c r="B2468" i="4"/>
  <c r="M2468" i="4" s="1"/>
  <c r="D2467" i="4"/>
  <c r="C2467" i="4"/>
  <c r="B2467" i="4"/>
  <c r="M2467" i="4" s="1"/>
  <c r="D2466" i="4"/>
  <c r="C2466" i="4"/>
  <c r="B2466" i="4"/>
  <c r="M2466" i="4" s="1"/>
  <c r="D2465" i="4"/>
  <c r="C2465" i="4"/>
  <c r="B2465" i="4"/>
  <c r="M2465" i="4" s="1"/>
  <c r="D2464" i="4"/>
  <c r="C2464" i="4"/>
  <c r="B2464" i="4"/>
  <c r="M2464" i="4" s="1"/>
  <c r="D2463" i="4"/>
  <c r="C2463" i="4"/>
  <c r="B2463" i="4"/>
  <c r="M2463" i="4" s="1"/>
  <c r="D2462" i="4"/>
  <c r="C2462" i="4"/>
  <c r="B2462" i="4"/>
  <c r="M2462" i="4" s="1"/>
  <c r="D2461" i="4"/>
  <c r="C2461" i="4"/>
  <c r="B2461" i="4"/>
  <c r="M2461" i="4" s="1"/>
  <c r="D2460" i="4"/>
  <c r="C2460" i="4"/>
  <c r="B2460" i="4"/>
  <c r="M2460" i="4" s="1"/>
  <c r="D2459" i="4"/>
  <c r="C2459" i="4"/>
  <c r="B2459" i="4"/>
  <c r="M2459" i="4" s="1"/>
  <c r="D2458" i="4"/>
  <c r="C2458" i="4"/>
  <c r="B2458" i="4"/>
  <c r="M2458" i="4" s="1"/>
  <c r="D2457" i="4"/>
  <c r="C2457" i="4"/>
  <c r="B2457" i="4"/>
  <c r="M2457" i="4" s="1"/>
  <c r="D2456" i="4"/>
  <c r="C2456" i="4"/>
  <c r="B2456" i="4"/>
  <c r="M2456" i="4" s="1"/>
  <c r="D2455" i="4"/>
  <c r="C2455" i="4"/>
  <c r="B2455" i="4"/>
  <c r="M2455" i="4" s="1"/>
  <c r="D2454" i="4"/>
  <c r="C2454" i="4"/>
  <c r="B2454" i="4"/>
  <c r="M2454" i="4" s="1"/>
  <c r="D2453" i="4"/>
  <c r="C2453" i="4"/>
  <c r="B2453" i="4"/>
  <c r="M2453" i="4" s="1"/>
  <c r="D2452" i="4"/>
  <c r="C2452" i="4"/>
  <c r="B2452" i="4"/>
  <c r="M2452" i="4" s="1"/>
  <c r="D2451" i="4"/>
  <c r="C2451" i="4"/>
  <c r="B2451" i="4"/>
  <c r="M2451" i="4" s="1"/>
  <c r="D2450" i="4"/>
  <c r="C2450" i="4"/>
  <c r="B2450" i="4"/>
  <c r="M2450" i="4" s="1"/>
  <c r="D2449" i="4"/>
  <c r="C2449" i="4"/>
  <c r="B2449" i="4"/>
  <c r="M2449" i="4" s="1"/>
  <c r="D2448" i="4"/>
  <c r="C2448" i="4"/>
  <c r="B2448" i="4"/>
  <c r="M2448" i="4" s="1"/>
  <c r="D2447" i="4"/>
  <c r="C2447" i="4"/>
  <c r="B2447" i="4"/>
  <c r="M2447" i="4" s="1"/>
  <c r="D2446" i="4"/>
  <c r="C2446" i="4"/>
  <c r="B2446" i="4"/>
  <c r="M2446" i="4" s="1"/>
  <c r="D2445" i="4"/>
  <c r="C2445" i="4"/>
  <c r="B2445" i="4"/>
  <c r="M2445" i="4" s="1"/>
  <c r="D2444" i="4"/>
  <c r="C2444" i="4"/>
  <c r="B2444" i="4"/>
  <c r="M2444" i="4" s="1"/>
  <c r="D2443" i="4"/>
  <c r="C2443" i="4"/>
  <c r="B2443" i="4"/>
  <c r="M2443" i="4" s="1"/>
  <c r="D2442" i="4"/>
  <c r="C2442" i="4"/>
  <c r="B2442" i="4"/>
  <c r="M2442" i="4" s="1"/>
  <c r="D2441" i="4"/>
  <c r="C2441" i="4"/>
  <c r="B2441" i="4"/>
  <c r="M2441" i="4" s="1"/>
  <c r="D2440" i="4"/>
  <c r="C2440" i="4"/>
  <c r="B2440" i="4"/>
  <c r="M2440" i="4" s="1"/>
  <c r="D2439" i="4"/>
  <c r="C2439" i="4"/>
  <c r="B2439" i="4"/>
  <c r="M2439" i="4" s="1"/>
  <c r="D2438" i="4"/>
  <c r="C2438" i="4"/>
  <c r="B2438" i="4"/>
  <c r="M2438" i="4" s="1"/>
  <c r="D2437" i="4"/>
  <c r="C2437" i="4"/>
  <c r="B2437" i="4"/>
  <c r="M2437" i="4" s="1"/>
  <c r="D2436" i="4"/>
  <c r="C2436" i="4"/>
  <c r="B2436" i="4"/>
  <c r="M2436" i="4" s="1"/>
  <c r="D2435" i="4"/>
  <c r="C2435" i="4"/>
  <c r="B2435" i="4"/>
  <c r="M2435" i="4" s="1"/>
  <c r="D2434" i="4"/>
  <c r="C2434" i="4"/>
  <c r="B2434" i="4"/>
  <c r="M2434" i="4" s="1"/>
  <c r="D2433" i="4"/>
  <c r="C2433" i="4"/>
  <c r="B2433" i="4"/>
  <c r="M2433" i="4" s="1"/>
  <c r="D2432" i="4"/>
  <c r="C2432" i="4"/>
  <c r="B2432" i="4"/>
  <c r="M2432" i="4" s="1"/>
  <c r="D2431" i="4"/>
  <c r="C2431" i="4"/>
  <c r="B2431" i="4"/>
  <c r="M2431" i="4" s="1"/>
  <c r="D2430" i="4"/>
  <c r="C2430" i="4"/>
  <c r="B2430" i="4"/>
  <c r="M2430" i="4" s="1"/>
  <c r="D2429" i="4"/>
  <c r="C2429" i="4"/>
  <c r="B2429" i="4"/>
  <c r="M2429" i="4" s="1"/>
  <c r="D2428" i="4"/>
  <c r="C2428" i="4"/>
  <c r="B2428" i="4"/>
  <c r="M2428" i="4" s="1"/>
  <c r="D2427" i="4"/>
  <c r="C2427" i="4"/>
  <c r="B2427" i="4"/>
  <c r="M2427" i="4" s="1"/>
  <c r="D2426" i="4"/>
  <c r="C2426" i="4"/>
  <c r="B2426" i="4"/>
  <c r="M2426" i="4" s="1"/>
  <c r="D2425" i="4"/>
  <c r="C2425" i="4"/>
  <c r="B2425" i="4"/>
  <c r="M2425" i="4" s="1"/>
  <c r="D2424" i="4"/>
  <c r="C2424" i="4"/>
  <c r="B2424" i="4"/>
  <c r="M2424" i="4" s="1"/>
  <c r="D2423" i="4"/>
  <c r="C2423" i="4"/>
  <c r="B2423" i="4"/>
  <c r="M2423" i="4" s="1"/>
  <c r="D2422" i="4"/>
  <c r="C2422" i="4"/>
  <c r="B2422" i="4"/>
  <c r="M2422" i="4" s="1"/>
  <c r="D2421" i="4"/>
  <c r="C2421" i="4"/>
  <c r="B2421" i="4"/>
  <c r="M2421" i="4" s="1"/>
  <c r="D2420" i="4"/>
  <c r="C2420" i="4"/>
  <c r="B2420" i="4"/>
  <c r="M2420" i="4" s="1"/>
  <c r="D2419" i="4"/>
  <c r="C2419" i="4"/>
  <c r="B2419" i="4"/>
  <c r="M2419" i="4" s="1"/>
  <c r="D2418" i="4"/>
  <c r="C2418" i="4"/>
  <c r="B2418" i="4"/>
  <c r="M2418" i="4" s="1"/>
  <c r="D2417" i="4"/>
  <c r="C2417" i="4"/>
  <c r="B2417" i="4"/>
  <c r="M2417" i="4" s="1"/>
  <c r="D2416" i="4"/>
  <c r="C2416" i="4"/>
  <c r="B2416" i="4"/>
  <c r="M2416" i="4" s="1"/>
  <c r="D2415" i="4"/>
  <c r="C2415" i="4"/>
  <c r="B2415" i="4"/>
  <c r="M2415" i="4" s="1"/>
  <c r="D2414" i="4"/>
  <c r="C2414" i="4"/>
  <c r="B2414" i="4"/>
  <c r="M2414" i="4" s="1"/>
  <c r="D2413" i="4"/>
  <c r="C2413" i="4"/>
  <c r="B2413" i="4"/>
  <c r="M2413" i="4" s="1"/>
  <c r="D2412" i="4"/>
  <c r="C2412" i="4"/>
  <c r="B2412" i="4"/>
  <c r="M2412" i="4" s="1"/>
  <c r="D2411" i="4"/>
  <c r="C2411" i="4"/>
  <c r="B2411" i="4"/>
  <c r="M2411" i="4" s="1"/>
  <c r="D2410" i="4"/>
  <c r="C2410" i="4"/>
  <c r="B2410" i="4"/>
  <c r="M2410" i="4" s="1"/>
  <c r="D2409" i="4"/>
  <c r="C2409" i="4"/>
  <c r="B2409" i="4"/>
  <c r="M2409" i="4" s="1"/>
  <c r="D2408" i="4"/>
  <c r="C2408" i="4"/>
  <c r="B2408" i="4"/>
  <c r="M2408" i="4" s="1"/>
  <c r="D2407" i="4"/>
  <c r="C2407" i="4"/>
  <c r="B2407" i="4"/>
  <c r="M2407" i="4" s="1"/>
  <c r="D2406" i="4"/>
  <c r="C2406" i="4"/>
  <c r="B2406" i="4"/>
  <c r="M2406" i="4" s="1"/>
  <c r="D2405" i="4"/>
  <c r="C2405" i="4"/>
  <c r="B2405" i="4"/>
  <c r="M2405" i="4" s="1"/>
  <c r="D2404" i="4"/>
  <c r="C2404" i="4"/>
  <c r="B2404" i="4"/>
  <c r="M2404" i="4" s="1"/>
  <c r="D2403" i="4"/>
  <c r="C2403" i="4"/>
  <c r="B2403" i="4"/>
  <c r="M2403" i="4" s="1"/>
  <c r="D2402" i="4"/>
  <c r="C2402" i="4"/>
  <c r="B2402" i="4"/>
  <c r="M2402" i="4" s="1"/>
  <c r="D2401" i="4"/>
  <c r="C2401" i="4"/>
  <c r="B2401" i="4"/>
  <c r="M2401" i="4" s="1"/>
  <c r="D2400" i="4"/>
  <c r="C2400" i="4"/>
  <c r="B2400" i="4"/>
  <c r="M2400" i="4" s="1"/>
  <c r="D2399" i="4"/>
  <c r="C2399" i="4"/>
  <c r="B2399" i="4"/>
  <c r="M2399" i="4" s="1"/>
  <c r="D2398" i="4"/>
  <c r="C2398" i="4"/>
  <c r="B2398" i="4"/>
  <c r="M2398" i="4" s="1"/>
  <c r="D2397" i="4"/>
  <c r="C2397" i="4"/>
  <c r="B2397" i="4"/>
  <c r="M2397" i="4" s="1"/>
  <c r="D2396" i="4"/>
  <c r="C2396" i="4"/>
  <c r="B2396" i="4"/>
  <c r="M2396" i="4" s="1"/>
  <c r="D2395" i="4"/>
  <c r="C2395" i="4"/>
  <c r="B2395" i="4"/>
  <c r="M2395" i="4" s="1"/>
  <c r="D2394" i="4"/>
  <c r="C2394" i="4"/>
  <c r="B2394" i="4"/>
  <c r="M2394" i="4" s="1"/>
  <c r="D2393" i="4"/>
  <c r="C2393" i="4"/>
  <c r="B2393" i="4"/>
  <c r="M2393" i="4" s="1"/>
  <c r="D2392" i="4"/>
  <c r="C2392" i="4"/>
  <c r="B2392" i="4"/>
  <c r="M2392" i="4" s="1"/>
  <c r="D2391" i="4"/>
  <c r="C2391" i="4"/>
  <c r="B2391" i="4"/>
  <c r="M2391" i="4" s="1"/>
  <c r="D2390" i="4"/>
  <c r="C2390" i="4"/>
  <c r="B2390" i="4"/>
  <c r="M2390" i="4" s="1"/>
  <c r="D2389" i="4"/>
  <c r="C2389" i="4"/>
  <c r="B2389" i="4"/>
  <c r="M2389" i="4" s="1"/>
  <c r="D2388" i="4"/>
  <c r="C2388" i="4"/>
  <c r="B2388" i="4"/>
  <c r="M2388" i="4" s="1"/>
  <c r="D2387" i="4"/>
  <c r="C2387" i="4"/>
  <c r="B2387" i="4"/>
  <c r="M2387" i="4" s="1"/>
  <c r="D2386" i="4"/>
  <c r="C2386" i="4"/>
  <c r="B2386" i="4"/>
  <c r="M2386" i="4" s="1"/>
  <c r="D2385" i="4"/>
  <c r="C2385" i="4"/>
  <c r="B2385" i="4"/>
  <c r="M2385" i="4" s="1"/>
  <c r="D2384" i="4"/>
  <c r="C2384" i="4"/>
  <c r="B2384" i="4"/>
  <c r="M2384" i="4" s="1"/>
  <c r="D2383" i="4"/>
  <c r="C2383" i="4"/>
  <c r="B2383" i="4"/>
  <c r="M2383" i="4" s="1"/>
  <c r="D2382" i="4"/>
  <c r="C2382" i="4"/>
  <c r="B2382" i="4"/>
  <c r="M2382" i="4" s="1"/>
  <c r="D2381" i="4"/>
  <c r="C2381" i="4"/>
  <c r="B2381" i="4"/>
  <c r="M2381" i="4" s="1"/>
  <c r="D2380" i="4"/>
  <c r="C2380" i="4"/>
  <c r="B2380" i="4"/>
  <c r="M2380" i="4" s="1"/>
  <c r="D2379" i="4"/>
  <c r="C2379" i="4"/>
  <c r="B2379" i="4"/>
  <c r="M2379" i="4" s="1"/>
  <c r="D2378" i="4"/>
  <c r="C2378" i="4"/>
  <c r="B2378" i="4"/>
  <c r="M2378" i="4" s="1"/>
  <c r="D2377" i="4"/>
  <c r="C2377" i="4"/>
  <c r="B2377" i="4"/>
  <c r="M2377" i="4" s="1"/>
  <c r="D2376" i="4"/>
  <c r="C2376" i="4"/>
  <c r="B2376" i="4"/>
  <c r="M2376" i="4" s="1"/>
  <c r="D2375" i="4"/>
  <c r="C2375" i="4"/>
  <c r="B2375" i="4"/>
  <c r="M2375" i="4" s="1"/>
  <c r="D2374" i="4"/>
  <c r="C2374" i="4"/>
  <c r="B2374" i="4"/>
  <c r="M2374" i="4" s="1"/>
  <c r="D2373" i="4"/>
  <c r="C2373" i="4"/>
  <c r="B2373" i="4"/>
  <c r="M2373" i="4" s="1"/>
  <c r="D2372" i="4"/>
  <c r="C2372" i="4"/>
  <c r="B2372" i="4"/>
  <c r="M2372" i="4" s="1"/>
  <c r="D2371" i="4"/>
  <c r="C2371" i="4"/>
  <c r="B2371" i="4"/>
  <c r="M2371" i="4" s="1"/>
  <c r="D2370" i="4"/>
  <c r="C2370" i="4"/>
  <c r="B2370" i="4"/>
  <c r="M2370" i="4" s="1"/>
  <c r="D2369" i="4"/>
  <c r="C2369" i="4"/>
  <c r="B2369" i="4"/>
  <c r="M2369" i="4" s="1"/>
  <c r="D2368" i="4"/>
  <c r="C2368" i="4"/>
  <c r="B2368" i="4"/>
  <c r="M2368" i="4" s="1"/>
  <c r="D2367" i="4"/>
  <c r="C2367" i="4"/>
  <c r="B2367" i="4"/>
  <c r="M2367" i="4" s="1"/>
  <c r="D2366" i="4"/>
  <c r="C2366" i="4"/>
  <c r="B2366" i="4"/>
  <c r="M2366" i="4" s="1"/>
  <c r="D2365" i="4"/>
  <c r="C2365" i="4"/>
  <c r="B2365" i="4"/>
  <c r="M2365" i="4" s="1"/>
  <c r="D2364" i="4"/>
  <c r="C2364" i="4"/>
  <c r="B2364" i="4"/>
  <c r="M2364" i="4" s="1"/>
  <c r="D2363" i="4"/>
  <c r="C2363" i="4"/>
  <c r="B2363" i="4"/>
  <c r="M2363" i="4" s="1"/>
  <c r="D2362" i="4"/>
  <c r="C2362" i="4"/>
  <c r="B2362" i="4"/>
  <c r="M2362" i="4" s="1"/>
  <c r="D2361" i="4"/>
  <c r="C2361" i="4"/>
  <c r="B2361" i="4"/>
  <c r="M2361" i="4" s="1"/>
  <c r="D2360" i="4"/>
  <c r="C2360" i="4"/>
  <c r="B2360" i="4"/>
  <c r="M2360" i="4" s="1"/>
  <c r="D2359" i="4"/>
  <c r="C2359" i="4"/>
  <c r="B2359" i="4"/>
  <c r="M2359" i="4" s="1"/>
  <c r="D2358" i="4"/>
  <c r="C2358" i="4"/>
  <c r="B2358" i="4"/>
  <c r="M2358" i="4" s="1"/>
  <c r="D2357" i="4"/>
  <c r="C2357" i="4"/>
  <c r="B2357" i="4"/>
  <c r="M2357" i="4" s="1"/>
  <c r="D2356" i="4"/>
  <c r="C2356" i="4"/>
  <c r="B2356" i="4"/>
  <c r="M2356" i="4" s="1"/>
  <c r="D2355" i="4"/>
  <c r="C2355" i="4"/>
  <c r="B2355" i="4"/>
  <c r="M2355" i="4" s="1"/>
  <c r="D2354" i="4"/>
  <c r="C2354" i="4"/>
  <c r="B2354" i="4"/>
  <c r="M2354" i="4" s="1"/>
  <c r="D2353" i="4"/>
  <c r="C2353" i="4"/>
  <c r="B2353" i="4"/>
  <c r="M2353" i="4" s="1"/>
  <c r="D2352" i="4"/>
  <c r="C2352" i="4"/>
  <c r="B2352" i="4"/>
  <c r="M2352" i="4" s="1"/>
  <c r="D2351" i="4"/>
  <c r="C2351" i="4"/>
  <c r="B2351" i="4"/>
  <c r="M2351" i="4" s="1"/>
  <c r="D2350" i="4"/>
  <c r="C2350" i="4"/>
  <c r="B2350" i="4"/>
  <c r="M2350" i="4" s="1"/>
  <c r="D2349" i="4"/>
  <c r="C2349" i="4"/>
  <c r="B2349" i="4"/>
  <c r="M2349" i="4" s="1"/>
  <c r="D2348" i="4"/>
  <c r="C2348" i="4"/>
  <c r="B2348" i="4"/>
  <c r="M2348" i="4" s="1"/>
  <c r="D2347" i="4"/>
  <c r="C2347" i="4"/>
  <c r="B2347" i="4"/>
  <c r="M2347" i="4" s="1"/>
  <c r="D2346" i="4"/>
  <c r="C2346" i="4"/>
  <c r="B2346" i="4"/>
  <c r="M2346" i="4" s="1"/>
  <c r="D2345" i="4"/>
  <c r="C2345" i="4"/>
  <c r="B2345" i="4"/>
  <c r="M2345" i="4" s="1"/>
  <c r="D2344" i="4"/>
  <c r="C2344" i="4"/>
  <c r="B2344" i="4"/>
  <c r="M2344" i="4" s="1"/>
  <c r="D2343" i="4"/>
  <c r="C2343" i="4"/>
  <c r="B2343" i="4"/>
  <c r="M2343" i="4" s="1"/>
  <c r="D2342" i="4"/>
  <c r="C2342" i="4"/>
  <c r="B2342" i="4"/>
  <c r="M2342" i="4" s="1"/>
  <c r="D2341" i="4"/>
  <c r="C2341" i="4"/>
  <c r="B2341" i="4"/>
  <c r="M2341" i="4" s="1"/>
  <c r="D2340" i="4"/>
  <c r="C2340" i="4"/>
  <c r="B2340" i="4"/>
  <c r="M2340" i="4" s="1"/>
  <c r="D2339" i="4"/>
  <c r="C2339" i="4"/>
  <c r="B2339" i="4"/>
  <c r="M2339" i="4" s="1"/>
  <c r="D2338" i="4"/>
  <c r="C2338" i="4"/>
  <c r="B2338" i="4"/>
  <c r="M2338" i="4" s="1"/>
  <c r="D2337" i="4"/>
  <c r="C2337" i="4"/>
  <c r="B2337" i="4"/>
  <c r="M2337" i="4" s="1"/>
  <c r="D2336" i="4"/>
  <c r="C2336" i="4"/>
  <c r="B2336" i="4"/>
  <c r="M2336" i="4" s="1"/>
  <c r="D2335" i="4"/>
  <c r="C2335" i="4"/>
  <c r="B2335" i="4"/>
  <c r="M2335" i="4" s="1"/>
  <c r="D2334" i="4"/>
  <c r="C2334" i="4"/>
  <c r="B2334" i="4"/>
  <c r="M2334" i="4" s="1"/>
  <c r="D2333" i="4"/>
  <c r="C2333" i="4"/>
  <c r="B2333" i="4"/>
  <c r="M2333" i="4" s="1"/>
  <c r="D2332" i="4"/>
  <c r="C2332" i="4"/>
  <c r="B2332" i="4"/>
  <c r="M2332" i="4" s="1"/>
  <c r="D2331" i="4"/>
  <c r="C2331" i="4"/>
  <c r="B2331" i="4"/>
  <c r="M2331" i="4" s="1"/>
  <c r="D2330" i="4"/>
  <c r="C2330" i="4"/>
  <c r="B2330" i="4"/>
  <c r="M2330" i="4" s="1"/>
  <c r="D2329" i="4"/>
  <c r="C2329" i="4"/>
  <c r="B2329" i="4"/>
  <c r="M2329" i="4" s="1"/>
  <c r="D2328" i="4"/>
  <c r="C2328" i="4"/>
  <c r="B2328" i="4"/>
  <c r="M2328" i="4" s="1"/>
  <c r="D2327" i="4"/>
  <c r="C2327" i="4"/>
  <c r="B2327" i="4"/>
  <c r="M2327" i="4" s="1"/>
  <c r="D2326" i="4"/>
  <c r="C2326" i="4"/>
  <c r="B2326" i="4"/>
  <c r="M2326" i="4" s="1"/>
  <c r="D2325" i="4"/>
  <c r="C2325" i="4"/>
  <c r="B2325" i="4"/>
  <c r="M2325" i="4" s="1"/>
  <c r="D2324" i="4"/>
  <c r="C2324" i="4"/>
  <c r="B2324" i="4"/>
  <c r="M2324" i="4" s="1"/>
  <c r="D2323" i="4"/>
  <c r="C2323" i="4"/>
  <c r="B2323" i="4"/>
  <c r="M2323" i="4" s="1"/>
  <c r="D2322" i="4"/>
  <c r="C2322" i="4"/>
  <c r="B2322" i="4"/>
  <c r="M2322" i="4" s="1"/>
  <c r="D2321" i="4"/>
  <c r="C2321" i="4"/>
  <c r="B2321" i="4"/>
  <c r="M2321" i="4" s="1"/>
  <c r="D2320" i="4"/>
  <c r="C2320" i="4"/>
  <c r="B2320" i="4"/>
  <c r="M2320" i="4" s="1"/>
  <c r="D2319" i="4"/>
  <c r="C2319" i="4"/>
  <c r="B2319" i="4"/>
  <c r="M2319" i="4" s="1"/>
  <c r="D2318" i="4"/>
  <c r="C2318" i="4"/>
  <c r="B2318" i="4"/>
  <c r="M2318" i="4" s="1"/>
  <c r="D2317" i="4"/>
  <c r="C2317" i="4"/>
  <c r="B2317" i="4"/>
  <c r="M2317" i="4" s="1"/>
  <c r="D2316" i="4"/>
  <c r="C2316" i="4"/>
  <c r="B2316" i="4"/>
  <c r="M2316" i="4" s="1"/>
  <c r="D2315" i="4"/>
  <c r="C2315" i="4"/>
  <c r="B2315" i="4"/>
  <c r="M2315" i="4" s="1"/>
  <c r="D2314" i="4"/>
  <c r="C2314" i="4"/>
  <c r="B2314" i="4"/>
  <c r="M2314" i="4" s="1"/>
  <c r="D2313" i="4"/>
  <c r="C2313" i="4"/>
  <c r="B2313" i="4"/>
  <c r="M2313" i="4" s="1"/>
  <c r="D2312" i="4"/>
  <c r="C2312" i="4"/>
  <c r="B2312" i="4"/>
  <c r="M2312" i="4" s="1"/>
  <c r="D2311" i="4"/>
  <c r="C2311" i="4"/>
  <c r="B2311" i="4"/>
  <c r="M2311" i="4" s="1"/>
  <c r="D2310" i="4"/>
  <c r="C2310" i="4"/>
  <c r="B2310" i="4"/>
  <c r="M2310" i="4" s="1"/>
  <c r="D2309" i="4"/>
  <c r="C2309" i="4"/>
  <c r="B2309" i="4"/>
  <c r="M2309" i="4" s="1"/>
  <c r="D2308" i="4"/>
  <c r="C2308" i="4"/>
  <c r="B2308" i="4"/>
  <c r="M2308" i="4" s="1"/>
  <c r="D2307" i="4"/>
  <c r="C2307" i="4"/>
  <c r="B2307" i="4"/>
  <c r="M2307" i="4" s="1"/>
  <c r="D2306" i="4"/>
  <c r="C2306" i="4"/>
  <c r="B2306" i="4"/>
  <c r="M2306" i="4" s="1"/>
  <c r="D2305" i="4"/>
  <c r="C2305" i="4"/>
  <c r="B2305" i="4"/>
  <c r="M2305" i="4" s="1"/>
  <c r="D2304" i="4"/>
  <c r="C2304" i="4"/>
  <c r="B2304" i="4"/>
  <c r="M2304" i="4" s="1"/>
  <c r="D2303" i="4"/>
  <c r="C2303" i="4"/>
  <c r="B2303" i="4"/>
  <c r="M2303" i="4" s="1"/>
  <c r="D2302" i="4"/>
  <c r="C2302" i="4"/>
  <c r="B2302" i="4"/>
  <c r="M2302" i="4" s="1"/>
  <c r="D2301" i="4"/>
  <c r="C2301" i="4"/>
  <c r="B2301" i="4"/>
  <c r="M2301" i="4" s="1"/>
  <c r="D2300" i="4"/>
  <c r="C2300" i="4"/>
  <c r="B2300" i="4"/>
  <c r="M2300" i="4" s="1"/>
  <c r="D2299" i="4"/>
  <c r="C2299" i="4"/>
  <c r="B2299" i="4"/>
  <c r="M2299" i="4" s="1"/>
  <c r="D2298" i="4"/>
  <c r="C2298" i="4"/>
  <c r="B2298" i="4"/>
  <c r="M2298" i="4" s="1"/>
  <c r="D2297" i="4"/>
  <c r="C2297" i="4"/>
  <c r="B2297" i="4"/>
  <c r="M2297" i="4" s="1"/>
  <c r="D2296" i="4"/>
  <c r="C2296" i="4"/>
  <c r="B2296" i="4"/>
  <c r="M2296" i="4" s="1"/>
  <c r="D2295" i="4"/>
  <c r="C2295" i="4"/>
  <c r="B2295" i="4"/>
  <c r="M2295" i="4" s="1"/>
  <c r="D2294" i="4"/>
  <c r="C2294" i="4"/>
  <c r="B2294" i="4"/>
  <c r="M2294" i="4" s="1"/>
  <c r="D2293" i="4"/>
  <c r="C2293" i="4"/>
  <c r="B2293" i="4"/>
  <c r="M2293" i="4" s="1"/>
  <c r="D2292" i="4"/>
  <c r="C2292" i="4"/>
  <c r="B2292" i="4"/>
  <c r="M2292" i="4" s="1"/>
  <c r="D2291" i="4"/>
  <c r="C2291" i="4"/>
  <c r="B2291" i="4"/>
  <c r="M2291" i="4" s="1"/>
  <c r="D2290" i="4"/>
  <c r="C2290" i="4"/>
  <c r="B2290" i="4"/>
  <c r="M2290" i="4" s="1"/>
  <c r="D2289" i="4"/>
  <c r="C2289" i="4"/>
  <c r="B2289" i="4"/>
  <c r="M2289" i="4" s="1"/>
  <c r="D2288" i="4"/>
  <c r="C2288" i="4"/>
  <c r="B2288" i="4"/>
  <c r="M2288" i="4" s="1"/>
  <c r="D2287" i="4"/>
  <c r="C2287" i="4"/>
  <c r="B2287" i="4"/>
  <c r="M2287" i="4" s="1"/>
  <c r="D2286" i="4"/>
  <c r="C2286" i="4"/>
  <c r="B2286" i="4"/>
  <c r="M2286" i="4" s="1"/>
  <c r="D2285" i="4"/>
  <c r="C2285" i="4"/>
  <c r="B2285" i="4"/>
  <c r="M2285" i="4" s="1"/>
  <c r="D2284" i="4"/>
  <c r="C2284" i="4"/>
  <c r="B2284" i="4"/>
  <c r="M2284" i="4" s="1"/>
  <c r="D2283" i="4"/>
  <c r="C2283" i="4"/>
  <c r="B2283" i="4"/>
  <c r="M2283" i="4" s="1"/>
  <c r="D2282" i="4"/>
  <c r="C2282" i="4"/>
  <c r="B2282" i="4"/>
  <c r="M2282" i="4" s="1"/>
  <c r="D2281" i="4"/>
  <c r="C2281" i="4"/>
  <c r="B2281" i="4"/>
  <c r="M2281" i="4" s="1"/>
  <c r="D2280" i="4"/>
  <c r="C2280" i="4"/>
  <c r="B2280" i="4"/>
  <c r="M2280" i="4" s="1"/>
  <c r="D2279" i="4"/>
  <c r="C2279" i="4"/>
  <c r="B2279" i="4"/>
  <c r="M2279" i="4" s="1"/>
  <c r="D2278" i="4"/>
  <c r="C2278" i="4"/>
  <c r="B2278" i="4"/>
  <c r="M2278" i="4" s="1"/>
  <c r="D2277" i="4"/>
  <c r="C2277" i="4"/>
  <c r="B2277" i="4"/>
  <c r="M2277" i="4" s="1"/>
  <c r="D2276" i="4"/>
  <c r="C2276" i="4"/>
  <c r="B2276" i="4"/>
  <c r="M2276" i="4" s="1"/>
  <c r="D2275" i="4"/>
  <c r="C2275" i="4"/>
  <c r="B2275" i="4"/>
  <c r="M2275" i="4" s="1"/>
  <c r="D2274" i="4"/>
  <c r="C2274" i="4"/>
  <c r="B2274" i="4"/>
  <c r="M2274" i="4" s="1"/>
  <c r="D2273" i="4"/>
  <c r="C2273" i="4"/>
  <c r="B2273" i="4"/>
  <c r="M2273" i="4" s="1"/>
  <c r="D2272" i="4"/>
  <c r="C2272" i="4"/>
  <c r="B2272" i="4"/>
  <c r="M2272" i="4" s="1"/>
  <c r="D2271" i="4"/>
  <c r="C2271" i="4"/>
  <c r="B2271" i="4"/>
  <c r="M2271" i="4" s="1"/>
  <c r="D2270" i="4"/>
  <c r="C2270" i="4"/>
  <c r="B2270" i="4"/>
  <c r="M2270" i="4" s="1"/>
  <c r="D2269" i="4"/>
  <c r="C2269" i="4"/>
  <c r="B2269" i="4"/>
  <c r="M2269" i="4" s="1"/>
  <c r="D2268" i="4"/>
  <c r="C2268" i="4"/>
  <c r="B2268" i="4"/>
  <c r="M2268" i="4" s="1"/>
  <c r="D2267" i="4"/>
  <c r="C2267" i="4"/>
  <c r="B2267" i="4"/>
  <c r="M2267" i="4" s="1"/>
  <c r="D2266" i="4"/>
  <c r="C2266" i="4"/>
  <c r="B2266" i="4"/>
  <c r="M2266" i="4" s="1"/>
  <c r="D2265" i="4"/>
  <c r="C2265" i="4"/>
  <c r="B2265" i="4"/>
  <c r="M2265" i="4" s="1"/>
  <c r="D2264" i="4"/>
  <c r="C2264" i="4"/>
  <c r="B2264" i="4"/>
  <c r="M2264" i="4" s="1"/>
  <c r="D2263" i="4"/>
  <c r="C2263" i="4"/>
  <c r="B2263" i="4"/>
  <c r="M2263" i="4" s="1"/>
  <c r="D2262" i="4"/>
  <c r="C2262" i="4"/>
  <c r="B2262" i="4"/>
  <c r="M2262" i="4" s="1"/>
  <c r="D2261" i="4"/>
  <c r="C2261" i="4"/>
  <c r="B2261" i="4"/>
  <c r="M2261" i="4" s="1"/>
  <c r="D2260" i="4"/>
  <c r="C2260" i="4"/>
  <c r="B2260" i="4"/>
  <c r="M2260" i="4" s="1"/>
  <c r="D2259" i="4"/>
  <c r="C2259" i="4"/>
  <c r="B2259" i="4"/>
  <c r="M2259" i="4" s="1"/>
  <c r="D2258" i="4"/>
  <c r="C2258" i="4"/>
  <c r="B2258" i="4"/>
  <c r="M2258" i="4" s="1"/>
  <c r="D2257" i="4"/>
  <c r="C2257" i="4"/>
  <c r="B2257" i="4"/>
  <c r="M2257" i="4" s="1"/>
  <c r="D2256" i="4"/>
  <c r="C2256" i="4"/>
  <c r="B2256" i="4"/>
  <c r="M2256" i="4" s="1"/>
  <c r="D2255" i="4"/>
  <c r="C2255" i="4"/>
  <c r="B2255" i="4"/>
  <c r="M2255" i="4" s="1"/>
  <c r="D2254" i="4"/>
  <c r="C2254" i="4"/>
  <c r="B2254" i="4"/>
  <c r="M2254" i="4" s="1"/>
  <c r="D2253" i="4"/>
  <c r="C2253" i="4"/>
  <c r="B2253" i="4"/>
  <c r="M2253" i="4" s="1"/>
  <c r="D2252" i="4"/>
  <c r="C2252" i="4"/>
  <c r="B2252" i="4"/>
  <c r="M2252" i="4" s="1"/>
  <c r="D2251" i="4"/>
  <c r="C2251" i="4"/>
  <c r="B2251" i="4"/>
  <c r="M2251" i="4" s="1"/>
  <c r="D2250" i="4"/>
  <c r="C2250" i="4"/>
  <c r="B2250" i="4"/>
  <c r="M2250" i="4" s="1"/>
  <c r="D2249" i="4"/>
  <c r="C2249" i="4"/>
  <c r="B2249" i="4"/>
  <c r="M2249" i="4" s="1"/>
  <c r="D2248" i="4"/>
  <c r="C2248" i="4"/>
  <c r="B2248" i="4"/>
  <c r="M2248" i="4" s="1"/>
  <c r="D2247" i="4"/>
  <c r="C2247" i="4"/>
  <c r="B2247" i="4"/>
  <c r="M2247" i="4" s="1"/>
  <c r="D2246" i="4"/>
  <c r="C2246" i="4"/>
  <c r="B2246" i="4"/>
  <c r="M2246" i="4" s="1"/>
  <c r="D2245" i="4"/>
  <c r="C2245" i="4"/>
  <c r="B2245" i="4"/>
  <c r="M2245" i="4" s="1"/>
  <c r="D2244" i="4"/>
  <c r="C2244" i="4"/>
  <c r="B2244" i="4"/>
  <c r="M2244" i="4" s="1"/>
  <c r="D2243" i="4"/>
  <c r="C2243" i="4"/>
  <c r="B2243" i="4"/>
  <c r="M2243" i="4" s="1"/>
  <c r="D2242" i="4"/>
  <c r="C2242" i="4"/>
  <c r="B2242" i="4"/>
  <c r="M2242" i="4" s="1"/>
  <c r="D2241" i="4"/>
  <c r="C2241" i="4"/>
  <c r="B2241" i="4"/>
  <c r="M2241" i="4" s="1"/>
  <c r="D2240" i="4"/>
  <c r="C2240" i="4"/>
  <c r="B2240" i="4"/>
  <c r="M2240" i="4" s="1"/>
  <c r="D2239" i="4"/>
  <c r="C2239" i="4"/>
  <c r="B2239" i="4"/>
  <c r="M2239" i="4" s="1"/>
  <c r="D2238" i="4"/>
  <c r="C2238" i="4"/>
  <c r="B2238" i="4"/>
  <c r="M2238" i="4" s="1"/>
  <c r="D2237" i="4"/>
  <c r="C2237" i="4"/>
  <c r="B2237" i="4"/>
  <c r="M2237" i="4" s="1"/>
  <c r="D2236" i="4"/>
  <c r="C2236" i="4"/>
  <c r="B2236" i="4"/>
  <c r="M2236" i="4" s="1"/>
  <c r="D2235" i="4"/>
  <c r="C2235" i="4"/>
  <c r="B2235" i="4"/>
  <c r="M2235" i="4" s="1"/>
  <c r="D2234" i="4"/>
  <c r="C2234" i="4"/>
  <c r="B2234" i="4"/>
  <c r="M2234" i="4" s="1"/>
  <c r="D2233" i="4"/>
  <c r="C2233" i="4"/>
  <c r="B2233" i="4"/>
  <c r="M2233" i="4" s="1"/>
  <c r="D2232" i="4"/>
  <c r="C2232" i="4"/>
  <c r="B2232" i="4"/>
  <c r="M2232" i="4" s="1"/>
  <c r="D2231" i="4"/>
  <c r="C2231" i="4"/>
  <c r="B2231" i="4"/>
  <c r="M2231" i="4" s="1"/>
  <c r="D2230" i="4"/>
  <c r="C2230" i="4"/>
  <c r="B2230" i="4"/>
  <c r="M2230" i="4" s="1"/>
  <c r="D2229" i="4"/>
  <c r="C2229" i="4"/>
  <c r="B2229" i="4"/>
  <c r="M2229" i="4" s="1"/>
  <c r="D2228" i="4"/>
  <c r="C2228" i="4"/>
  <c r="B2228" i="4"/>
  <c r="M2228" i="4" s="1"/>
  <c r="D2227" i="4"/>
  <c r="C2227" i="4"/>
  <c r="B2227" i="4"/>
  <c r="M2227" i="4" s="1"/>
  <c r="D2226" i="4"/>
  <c r="C2226" i="4"/>
  <c r="B2226" i="4"/>
  <c r="M2226" i="4" s="1"/>
  <c r="D2225" i="4"/>
  <c r="C2225" i="4"/>
  <c r="B2225" i="4"/>
  <c r="M2225" i="4" s="1"/>
  <c r="D2224" i="4"/>
  <c r="C2224" i="4"/>
  <c r="B2224" i="4"/>
  <c r="M2224" i="4" s="1"/>
  <c r="D2223" i="4"/>
  <c r="C2223" i="4"/>
  <c r="B2223" i="4"/>
  <c r="M2223" i="4" s="1"/>
  <c r="D2222" i="4"/>
  <c r="C2222" i="4"/>
  <c r="B2222" i="4"/>
  <c r="M2222" i="4" s="1"/>
  <c r="D2221" i="4"/>
  <c r="C2221" i="4"/>
  <c r="B2221" i="4"/>
  <c r="M2221" i="4" s="1"/>
  <c r="D2220" i="4"/>
  <c r="C2220" i="4"/>
  <c r="B2220" i="4"/>
  <c r="M2220" i="4" s="1"/>
  <c r="D2219" i="4"/>
  <c r="C2219" i="4"/>
  <c r="B2219" i="4"/>
  <c r="M2219" i="4" s="1"/>
  <c r="D2218" i="4"/>
  <c r="C2218" i="4"/>
  <c r="B2218" i="4"/>
  <c r="M2218" i="4" s="1"/>
  <c r="D2217" i="4"/>
  <c r="C2217" i="4"/>
  <c r="B2217" i="4"/>
  <c r="M2217" i="4" s="1"/>
  <c r="D2216" i="4"/>
  <c r="C2216" i="4"/>
  <c r="B2216" i="4"/>
  <c r="M2216" i="4" s="1"/>
  <c r="D2215" i="4"/>
  <c r="C2215" i="4"/>
  <c r="B2215" i="4"/>
  <c r="M2215" i="4" s="1"/>
  <c r="D2214" i="4"/>
  <c r="C2214" i="4"/>
  <c r="B2214" i="4"/>
  <c r="M2214" i="4" s="1"/>
  <c r="D2213" i="4"/>
  <c r="C2213" i="4"/>
  <c r="B2213" i="4"/>
  <c r="M2213" i="4" s="1"/>
  <c r="D2212" i="4"/>
  <c r="C2212" i="4"/>
  <c r="B2212" i="4"/>
  <c r="M2212" i="4" s="1"/>
  <c r="D2211" i="4"/>
  <c r="C2211" i="4"/>
  <c r="B2211" i="4"/>
  <c r="M2211" i="4" s="1"/>
  <c r="D2210" i="4"/>
  <c r="C2210" i="4"/>
  <c r="B2210" i="4"/>
  <c r="M2210" i="4" s="1"/>
  <c r="D2209" i="4"/>
  <c r="C2209" i="4"/>
  <c r="B2209" i="4"/>
  <c r="M2209" i="4" s="1"/>
  <c r="D2208" i="4"/>
  <c r="C2208" i="4"/>
  <c r="B2208" i="4"/>
  <c r="M2208" i="4" s="1"/>
  <c r="D2207" i="4"/>
  <c r="C2207" i="4"/>
  <c r="B2207" i="4"/>
  <c r="M2207" i="4" s="1"/>
  <c r="D2206" i="4"/>
  <c r="C2206" i="4"/>
  <c r="B2206" i="4"/>
  <c r="M2206" i="4" s="1"/>
  <c r="D2205" i="4"/>
  <c r="C2205" i="4"/>
  <c r="B2205" i="4"/>
  <c r="M2205" i="4" s="1"/>
  <c r="D2204" i="4"/>
  <c r="C2204" i="4"/>
  <c r="B2204" i="4"/>
  <c r="M2204" i="4" s="1"/>
  <c r="D2203" i="4"/>
  <c r="C2203" i="4"/>
  <c r="B2203" i="4"/>
  <c r="M2203" i="4" s="1"/>
  <c r="D2202" i="4"/>
  <c r="C2202" i="4"/>
  <c r="B2202" i="4"/>
  <c r="M2202" i="4" s="1"/>
  <c r="D2201" i="4"/>
  <c r="C2201" i="4"/>
  <c r="B2201" i="4"/>
  <c r="M2201" i="4" s="1"/>
  <c r="D2200" i="4"/>
  <c r="C2200" i="4"/>
  <c r="B2200" i="4"/>
  <c r="M2200" i="4" s="1"/>
  <c r="D2199" i="4"/>
  <c r="C2199" i="4"/>
  <c r="B2199" i="4"/>
  <c r="M2199" i="4" s="1"/>
  <c r="D2198" i="4"/>
  <c r="C2198" i="4"/>
  <c r="B2198" i="4"/>
  <c r="M2198" i="4" s="1"/>
  <c r="D2197" i="4"/>
  <c r="C2197" i="4"/>
  <c r="B2197" i="4"/>
  <c r="M2197" i="4" s="1"/>
  <c r="D2196" i="4"/>
  <c r="C2196" i="4"/>
  <c r="B2196" i="4"/>
  <c r="M2196" i="4" s="1"/>
  <c r="D2195" i="4"/>
  <c r="C2195" i="4"/>
  <c r="B2195" i="4"/>
  <c r="M2195" i="4" s="1"/>
  <c r="D2194" i="4"/>
  <c r="C2194" i="4"/>
  <c r="B2194" i="4"/>
  <c r="M2194" i="4" s="1"/>
  <c r="D2193" i="4"/>
  <c r="C2193" i="4"/>
  <c r="B2193" i="4"/>
  <c r="M2193" i="4" s="1"/>
  <c r="D2192" i="4"/>
  <c r="C2192" i="4"/>
  <c r="B2192" i="4"/>
  <c r="M2192" i="4" s="1"/>
  <c r="D2191" i="4"/>
  <c r="C2191" i="4"/>
  <c r="B2191" i="4"/>
  <c r="M2191" i="4" s="1"/>
  <c r="D2190" i="4"/>
  <c r="C2190" i="4"/>
  <c r="B2190" i="4"/>
  <c r="M2190" i="4" s="1"/>
  <c r="D2189" i="4"/>
  <c r="C2189" i="4"/>
  <c r="B2189" i="4"/>
  <c r="M2189" i="4" s="1"/>
  <c r="D2188" i="4"/>
  <c r="C2188" i="4"/>
  <c r="B2188" i="4"/>
  <c r="M2188" i="4" s="1"/>
  <c r="D2187" i="4"/>
  <c r="C2187" i="4"/>
  <c r="B2187" i="4"/>
  <c r="M2187" i="4" s="1"/>
  <c r="D2186" i="4"/>
  <c r="C2186" i="4"/>
  <c r="B2186" i="4"/>
  <c r="M2186" i="4" s="1"/>
  <c r="D2185" i="4"/>
  <c r="C2185" i="4"/>
  <c r="B2185" i="4"/>
  <c r="M2185" i="4" s="1"/>
  <c r="D2184" i="4"/>
  <c r="C2184" i="4"/>
  <c r="B2184" i="4"/>
  <c r="M2184" i="4" s="1"/>
  <c r="D2183" i="4"/>
  <c r="C2183" i="4"/>
  <c r="B2183" i="4"/>
  <c r="M2183" i="4" s="1"/>
  <c r="D2182" i="4"/>
  <c r="C2182" i="4"/>
  <c r="B2182" i="4"/>
  <c r="M2182" i="4" s="1"/>
  <c r="D2181" i="4"/>
  <c r="C2181" i="4"/>
  <c r="B2181" i="4"/>
  <c r="M2181" i="4" s="1"/>
  <c r="D2180" i="4"/>
  <c r="C2180" i="4"/>
  <c r="B2180" i="4"/>
  <c r="M2180" i="4" s="1"/>
  <c r="D2179" i="4"/>
  <c r="C2179" i="4"/>
  <c r="B2179" i="4"/>
  <c r="M2179" i="4" s="1"/>
  <c r="D2178" i="4"/>
  <c r="C2178" i="4"/>
  <c r="B2178" i="4"/>
  <c r="M2178" i="4" s="1"/>
  <c r="D2177" i="4"/>
  <c r="C2177" i="4"/>
  <c r="B2177" i="4"/>
  <c r="M2177" i="4" s="1"/>
  <c r="D2176" i="4"/>
  <c r="C2176" i="4"/>
  <c r="B2176" i="4"/>
  <c r="M2176" i="4" s="1"/>
  <c r="D2175" i="4"/>
  <c r="C2175" i="4"/>
  <c r="B2175" i="4"/>
  <c r="M2175" i="4" s="1"/>
  <c r="D2174" i="4"/>
  <c r="C2174" i="4"/>
  <c r="B2174" i="4"/>
  <c r="M2174" i="4" s="1"/>
  <c r="D2173" i="4"/>
  <c r="C2173" i="4"/>
  <c r="B2173" i="4"/>
  <c r="M2173" i="4" s="1"/>
  <c r="D2172" i="4"/>
  <c r="C2172" i="4"/>
  <c r="B2172" i="4"/>
  <c r="M2172" i="4" s="1"/>
  <c r="D2171" i="4"/>
  <c r="C2171" i="4"/>
  <c r="B2171" i="4"/>
  <c r="M2171" i="4" s="1"/>
  <c r="D2170" i="4"/>
  <c r="C2170" i="4"/>
  <c r="B2170" i="4"/>
  <c r="M2170" i="4" s="1"/>
  <c r="D2169" i="4"/>
  <c r="C2169" i="4"/>
  <c r="B2169" i="4"/>
  <c r="M2169" i="4" s="1"/>
  <c r="D2168" i="4"/>
  <c r="C2168" i="4"/>
  <c r="B2168" i="4"/>
  <c r="M2168" i="4" s="1"/>
  <c r="D2167" i="4"/>
  <c r="C2167" i="4"/>
  <c r="B2167" i="4"/>
  <c r="M2167" i="4" s="1"/>
  <c r="D2166" i="4"/>
  <c r="C2166" i="4"/>
  <c r="B2166" i="4"/>
  <c r="M2166" i="4" s="1"/>
  <c r="D2165" i="4"/>
  <c r="C2165" i="4"/>
  <c r="B2165" i="4"/>
  <c r="M2165" i="4" s="1"/>
  <c r="D2164" i="4"/>
  <c r="C2164" i="4"/>
  <c r="B2164" i="4"/>
  <c r="M2164" i="4" s="1"/>
  <c r="D2163" i="4"/>
  <c r="C2163" i="4"/>
  <c r="B2163" i="4"/>
  <c r="M2163" i="4" s="1"/>
  <c r="D2162" i="4"/>
  <c r="C2162" i="4"/>
  <c r="B2162" i="4"/>
  <c r="M2162" i="4" s="1"/>
  <c r="D2161" i="4"/>
  <c r="C2161" i="4"/>
  <c r="B2161" i="4"/>
  <c r="M2161" i="4" s="1"/>
  <c r="D2160" i="4"/>
  <c r="C2160" i="4"/>
  <c r="B2160" i="4"/>
  <c r="M2160" i="4" s="1"/>
  <c r="D2159" i="4"/>
  <c r="C2159" i="4"/>
  <c r="B2159" i="4"/>
  <c r="M2159" i="4" s="1"/>
  <c r="D2158" i="4"/>
  <c r="C2158" i="4"/>
  <c r="B2158" i="4"/>
  <c r="M2158" i="4" s="1"/>
  <c r="D2157" i="4"/>
  <c r="C2157" i="4"/>
  <c r="B2157" i="4"/>
  <c r="M2157" i="4" s="1"/>
  <c r="D2156" i="4"/>
  <c r="C2156" i="4"/>
  <c r="B2156" i="4"/>
  <c r="M2156" i="4" s="1"/>
  <c r="D2155" i="4"/>
  <c r="C2155" i="4"/>
  <c r="B2155" i="4"/>
  <c r="M2155" i="4" s="1"/>
  <c r="D2154" i="4"/>
  <c r="C2154" i="4"/>
  <c r="B2154" i="4"/>
  <c r="M2154" i="4" s="1"/>
  <c r="D2153" i="4"/>
  <c r="C2153" i="4"/>
  <c r="B2153" i="4"/>
  <c r="M2153" i="4" s="1"/>
  <c r="D2152" i="4"/>
  <c r="C2152" i="4"/>
  <c r="B2152" i="4"/>
  <c r="M2152" i="4" s="1"/>
  <c r="D2151" i="4"/>
  <c r="C2151" i="4"/>
  <c r="B2151" i="4"/>
  <c r="M2151" i="4" s="1"/>
  <c r="D2150" i="4"/>
  <c r="C2150" i="4"/>
  <c r="B2150" i="4"/>
  <c r="M2150" i="4" s="1"/>
  <c r="D2149" i="4"/>
  <c r="C2149" i="4"/>
  <c r="B2149" i="4"/>
  <c r="M2149" i="4" s="1"/>
  <c r="D2148" i="4"/>
  <c r="C2148" i="4"/>
  <c r="B2148" i="4"/>
  <c r="M2148" i="4" s="1"/>
  <c r="D2147" i="4"/>
  <c r="C2147" i="4"/>
  <c r="B2147" i="4"/>
  <c r="M2147" i="4" s="1"/>
  <c r="D2146" i="4"/>
  <c r="C2146" i="4"/>
  <c r="B2146" i="4"/>
  <c r="M2146" i="4" s="1"/>
  <c r="D2145" i="4"/>
  <c r="C2145" i="4"/>
  <c r="B2145" i="4"/>
  <c r="M2145" i="4" s="1"/>
  <c r="D2144" i="4"/>
  <c r="C2144" i="4"/>
  <c r="B2144" i="4"/>
  <c r="M2144" i="4" s="1"/>
  <c r="D2143" i="4"/>
  <c r="C2143" i="4"/>
  <c r="B2143" i="4"/>
  <c r="M2143" i="4" s="1"/>
  <c r="D2142" i="4"/>
  <c r="C2142" i="4"/>
  <c r="B2142" i="4"/>
  <c r="M2142" i="4" s="1"/>
  <c r="D2141" i="4"/>
  <c r="C2141" i="4"/>
  <c r="B2141" i="4"/>
  <c r="M2141" i="4" s="1"/>
  <c r="D2140" i="4"/>
  <c r="C2140" i="4"/>
  <c r="B2140" i="4"/>
  <c r="M2140" i="4" s="1"/>
  <c r="D2139" i="4"/>
  <c r="C2139" i="4"/>
  <c r="B2139" i="4"/>
  <c r="M2139" i="4" s="1"/>
  <c r="D2138" i="4"/>
  <c r="C2138" i="4"/>
  <c r="B2138" i="4"/>
  <c r="M2138" i="4" s="1"/>
  <c r="D2137" i="4"/>
  <c r="C2137" i="4"/>
  <c r="B2137" i="4"/>
  <c r="M2137" i="4" s="1"/>
  <c r="D2136" i="4"/>
  <c r="C2136" i="4"/>
  <c r="B2136" i="4"/>
  <c r="M2136" i="4" s="1"/>
  <c r="D2135" i="4"/>
  <c r="C2135" i="4"/>
  <c r="B2135" i="4"/>
  <c r="M2135" i="4" s="1"/>
  <c r="D2134" i="4"/>
  <c r="C2134" i="4"/>
  <c r="B2134" i="4"/>
  <c r="M2134" i="4" s="1"/>
  <c r="D2133" i="4"/>
  <c r="C2133" i="4"/>
  <c r="B2133" i="4"/>
  <c r="M2133" i="4" s="1"/>
  <c r="D2132" i="4"/>
  <c r="C2132" i="4"/>
  <c r="B2132" i="4"/>
  <c r="M2132" i="4" s="1"/>
  <c r="D2131" i="4"/>
  <c r="C2131" i="4"/>
  <c r="B2131" i="4"/>
  <c r="M2131" i="4" s="1"/>
  <c r="D2130" i="4"/>
  <c r="C2130" i="4"/>
  <c r="B2130" i="4"/>
  <c r="M2130" i="4" s="1"/>
  <c r="D2129" i="4"/>
  <c r="C2129" i="4"/>
  <c r="B2129" i="4"/>
  <c r="M2129" i="4" s="1"/>
  <c r="D2128" i="4"/>
  <c r="C2128" i="4"/>
  <c r="B2128" i="4"/>
  <c r="M2128" i="4" s="1"/>
  <c r="D2127" i="4"/>
  <c r="C2127" i="4"/>
  <c r="B2127" i="4"/>
  <c r="M2127" i="4" s="1"/>
  <c r="D2126" i="4"/>
  <c r="C2126" i="4"/>
  <c r="B2126" i="4"/>
  <c r="M2126" i="4" s="1"/>
  <c r="D2125" i="4"/>
  <c r="C2125" i="4"/>
  <c r="B2125" i="4"/>
  <c r="M2125" i="4" s="1"/>
  <c r="D2124" i="4"/>
  <c r="C2124" i="4"/>
  <c r="B2124" i="4"/>
  <c r="M2124" i="4" s="1"/>
  <c r="D2123" i="4"/>
  <c r="C2123" i="4"/>
  <c r="B2123" i="4"/>
  <c r="M2123" i="4" s="1"/>
  <c r="D2122" i="4"/>
  <c r="C2122" i="4"/>
  <c r="B2122" i="4"/>
  <c r="M2122" i="4" s="1"/>
  <c r="D2121" i="4"/>
  <c r="C2121" i="4"/>
  <c r="B2121" i="4"/>
  <c r="M2121" i="4" s="1"/>
  <c r="D2120" i="4"/>
  <c r="C2120" i="4"/>
  <c r="B2120" i="4"/>
  <c r="M2120" i="4" s="1"/>
  <c r="D2119" i="4"/>
  <c r="C2119" i="4"/>
  <c r="B2119" i="4"/>
  <c r="M2119" i="4" s="1"/>
  <c r="D2118" i="4"/>
  <c r="C2118" i="4"/>
  <c r="B2118" i="4"/>
  <c r="M2118" i="4" s="1"/>
  <c r="D2117" i="4"/>
  <c r="C2117" i="4"/>
  <c r="B2117" i="4"/>
  <c r="M2117" i="4" s="1"/>
  <c r="D2116" i="4"/>
  <c r="C2116" i="4"/>
  <c r="B2116" i="4"/>
  <c r="M2116" i="4" s="1"/>
  <c r="D2115" i="4"/>
  <c r="C2115" i="4"/>
  <c r="B2115" i="4"/>
  <c r="M2115" i="4" s="1"/>
  <c r="D2114" i="4"/>
  <c r="C2114" i="4"/>
  <c r="B2114" i="4"/>
  <c r="M2114" i="4" s="1"/>
  <c r="D2113" i="4"/>
  <c r="C2113" i="4"/>
  <c r="B2113" i="4"/>
  <c r="M2113" i="4" s="1"/>
  <c r="D2112" i="4"/>
  <c r="C2112" i="4"/>
  <c r="B2112" i="4"/>
  <c r="M2112" i="4" s="1"/>
  <c r="D2111" i="4"/>
  <c r="C2111" i="4"/>
  <c r="B2111" i="4"/>
  <c r="M2111" i="4" s="1"/>
  <c r="D2110" i="4"/>
  <c r="C2110" i="4"/>
  <c r="B2110" i="4"/>
  <c r="M2110" i="4" s="1"/>
  <c r="D2109" i="4"/>
  <c r="C2109" i="4"/>
  <c r="B2109" i="4"/>
  <c r="M2109" i="4" s="1"/>
  <c r="D2108" i="4"/>
  <c r="C2108" i="4"/>
  <c r="B2108" i="4"/>
  <c r="M2108" i="4" s="1"/>
  <c r="D2107" i="4"/>
  <c r="C2107" i="4"/>
  <c r="B2107" i="4"/>
  <c r="M2107" i="4" s="1"/>
  <c r="D2106" i="4"/>
  <c r="C2106" i="4"/>
  <c r="B2106" i="4"/>
  <c r="M2106" i="4" s="1"/>
  <c r="D2105" i="4"/>
  <c r="C2105" i="4"/>
  <c r="B2105" i="4"/>
  <c r="M2105" i="4" s="1"/>
  <c r="D2104" i="4"/>
  <c r="C2104" i="4"/>
  <c r="B2104" i="4"/>
  <c r="M2104" i="4" s="1"/>
  <c r="D2103" i="4"/>
  <c r="C2103" i="4"/>
  <c r="B2103" i="4"/>
  <c r="M2103" i="4" s="1"/>
  <c r="D2102" i="4"/>
  <c r="C2102" i="4"/>
  <c r="B2102" i="4"/>
  <c r="M2102" i="4" s="1"/>
  <c r="D2101" i="4"/>
  <c r="C2101" i="4"/>
  <c r="B2101" i="4"/>
  <c r="M2101" i="4" s="1"/>
  <c r="D2100" i="4"/>
  <c r="C2100" i="4"/>
  <c r="B2100" i="4"/>
  <c r="M2100" i="4" s="1"/>
  <c r="D2099" i="4"/>
  <c r="C2099" i="4"/>
  <c r="B2099" i="4"/>
  <c r="M2099" i="4" s="1"/>
  <c r="D2098" i="4"/>
  <c r="C2098" i="4"/>
  <c r="B2098" i="4"/>
  <c r="M2098" i="4" s="1"/>
  <c r="D2097" i="4"/>
  <c r="C2097" i="4"/>
  <c r="B2097" i="4"/>
  <c r="M2097" i="4" s="1"/>
  <c r="D2096" i="4"/>
  <c r="C2096" i="4"/>
  <c r="B2096" i="4"/>
  <c r="M2096" i="4" s="1"/>
  <c r="D2095" i="4"/>
  <c r="C2095" i="4"/>
  <c r="B2095" i="4"/>
  <c r="M2095" i="4" s="1"/>
  <c r="D2094" i="4"/>
  <c r="C2094" i="4"/>
  <c r="B2094" i="4"/>
  <c r="M2094" i="4" s="1"/>
  <c r="D2093" i="4"/>
  <c r="C2093" i="4"/>
  <c r="B2093" i="4"/>
  <c r="M2093" i="4" s="1"/>
  <c r="D2092" i="4"/>
  <c r="C2092" i="4"/>
  <c r="B2092" i="4"/>
  <c r="M2092" i="4" s="1"/>
  <c r="D2091" i="4"/>
  <c r="C2091" i="4"/>
  <c r="B2091" i="4"/>
  <c r="M2091" i="4" s="1"/>
  <c r="D2090" i="4"/>
  <c r="C2090" i="4"/>
  <c r="B2090" i="4"/>
  <c r="M2090" i="4" s="1"/>
  <c r="D2089" i="4"/>
  <c r="C2089" i="4"/>
  <c r="B2089" i="4"/>
  <c r="M2089" i="4" s="1"/>
  <c r="D2088" i="4"/>
  <c r="C2088" i="4"/>
  <c r="B2088" i="4"/>
  <c r="M2088" i="4" s="1"/>
  <c r="D2087" i="4"/>
  <c r="C2087" i="4"/>
  <c r="B2087" i="4"/>
  <c r="M2087" i="4" s="1"/>
  <c r="D2086" i="4"/>
  <c r="C2086" i="4"/>
  <c r="B2086" i="4"/>
  <c r="M2086" i="4" s="1"/>
  <c r="D2085" i="4"/>
  <c r="C2085" i="4"/>
  <c r="B2085" i="4"/>
  <c r="M2085" i="4" s="1"/>
  <c r="D2084" i="4"/>
  <c r="C2084" i="4"/>
  <c r="B2084" i="4"/>
  <c r="M2084" i="4" s="1"/>
  <c r="D2083" i="4"/>
  <c r="C2083" i="4"/>
  <c r="B2083" i="4"/>
  <c r="M2083" i="4" s="1"/>
  <c r="D2082" i="4"/>
  <c r="C2082" i="4"/>
  <c r="B2082" i="4"/>
  <c r="M2082" i="4" s="1"/>
  <c r="D2081" i="4"/>
  <c r="C2081" i="4"/>
  <c r="B2081" i="4"/>
  <c r="M2081" i="4" s="1"/>
  <c r="D2080" i="4"/>
  <c r="C2080" i="4"/>
  <c r="B2080" i="4"/>
  <c r="M2080" i="4" s="1"/>
  <c r="D2079" i="4"/>
  <c r="C2079" i="4"/>
  <c r="B2079" i="4"/>
  <c r="M2079" i="4" s="1"/>
  <c r="D2078" i="4"/>
  <c r="C2078" i="4"/>
  <c r="B2078" i="4"/>
  <c r="M2078" i="4" s="1"/>
  <c r="D2077" i="4"/>
  <c r="C2077" i="4"/>
  <c r="B2077" i="4"/>
  <c r="M2077" i="4" s="1"/>
  <c r="D2076" i="4"/>
  <c r="C2076" i="4"/>
  <c r="B2076" i="4"/>
  <c r="M2076" i="4" s="1"/>
  <c r="D2075" i="4"/>
  <c r="C2075" i="4"/>
  <c r="B2075" i="4"/>
  <c r="M2075" i="4" s="1"/>
  <c r="D2074" i="4"/>
  <c r="C2074" i="4"/>
  <c r="B2074" i="4"/>
  <c r="M2074" i="4" s="1"/>
  <c r="D2073" i="4"/>
  <c r="C2073" i="4"/>
  <c r="B2073" i="4"/>
  <c r="M2073" i="4" s="1"/>
  <c r="D2072" i="4"/>
  <c r="C2072" i="4"/>
  <c r="B2072" i="4"/>
  <c r="M2072" i="4" s="1"/>
  <c r="D2071" i="4"/>
  <c r="C2071" i="4"/>
  <c r="B2071" i="4"/>
  <c r="M2071" i="4" s="1"/>
  <c r="D2070" i="4"/>
  <c r="C2070" i="4"/>
  <c r="B2070" i="4"/>
  <c r="M2070" i="4" s="1"/>
  <c r="D2069" i="4"/>
  <c r="C2069" i="4"/>
  <c r="B2069" i="4"/>
  <c r="M2069" i="4" s="1"/>
  <c r="D2068" i="4"/>
  <c r="C2068" i="4"/>
  <c r="B2068" i="4"/>
  <c r="M2068" i="4" s="1"/>
  <c r="D2067" i="4"/>
  <c r="C2067" i="4"/>
  <c r="B2067" i="4"/>
  <c r="M2067" i="4" s="1"/>
  <c r="D2066" i="4"/>
  <c r="C2066" i="4"/>
  <c r="B2066" i="4"/>
  <c r="M2066" i="4" s="1"/>
  <c r="D2065" i="4"/>
  <c r="C2065" i="4"/>
  <c r="B2065" i="4"/>
  <c r="M2065" i="4" s="1"/>
  <c r="D2064" i="4"/>
  <c r="C2064" i="4"/>
  <c r="B2064" i="4"/>
  <c r="M2064" i="4" s="1"/>
  <c r="D2063" i="4"/>
  <c r="C2063" i="4"/>
  <c r="B2063" i="4"/>
  <c r="M2063" i="4" s="1"/>
  <c r="D2062" i="4"/>
  <c r="C2062" i="4"/>
  <c r="B2062" i="4"/>
  <c r="M2062" i="4" s="1"/>
  <c r="D2061" i="4"/>
  <c r="C2061" i="4"/>
  <c r="B2061" i="4"/>
  <c r="M2061" i="4" s="1"/>
  <c r="D2060" i="4"/>
  <c r="C2060" i="4"/>
  <c r="B2060" i="4"/>
  <c r="M2060" i="4" s="1"/>
  <c r="D2059" i="4"/>
  <c r="C2059" i="4"/>
  <c r="B2059" i="4"/>
  <c r="M2059" i="4" s="1"/>
  <c r="D2058" i="4"/>
  <c r="C2058" i="4"/>
  <c r="B2058" i="4"/>
  <c r="M2058" i="4" s="1"/>
  <c r="D2057" i="4"/>
  <c r="C2057" i="4"/>
  <c r="B2057" i="4"/>
  <c r="M2057" i="4" s="1"/>
  <c r="D2056" i="4"/>
  <c r="C2056" i="4"/>
  <c r="B2056" i="4"/>
  <c r="M2056" i="4" s="1"/>
  <c r="D2055" i="4"/>
  <c r="C2055" i="4"/>
  <c r="B2055" i="4"/>
  <c r="M2055" i="4" s="1"/>
  <c r="D2054" i="4"/>
  <c r="C2054" i="4"/>
  <c r="B2054" i="4"/>
  <c r="M2054" i="4" s="1"/>
  <c r="D2053" i="4"/>
  <c r="C2053" i="4"/>
  <c r="B2053" i="4"/>
  <c r="M2053" i="4" s="1"/>
  <c r="D2052" i="4"/>
  <c r="C2052" i="4"/>
  <c r="B2052" i="4"/>
  <c r="M2052" i="4" s="1"/>
  <c r="D2051" i="4"/>
  <c r="C2051" i="4"/>
  <c r="B2051" i="4"/>
  <c r="M2051" i="4" s="1"/>
  <c r="D2050" i="4"/>
  <c r="C2050" i="4"/>
  <c r="B2050" i="4"/>
  <c r="M2050" i="4" s="1"/>
  <c r="D2049" i="4"/>
  <c r="C2049" i="4"/>
  <c r="B2049" i="4"/>
  <c r="M2049" i="4" s="1"/>
  <c r="D2048" i="4"/>
  <c r="C2048" i="4"/>
  <c r="B2048" i="4"/>
  <c r="M2048" i="4" s="1"/>
  <c r="D2047" i="4"/>
  <c r="C2047" i="4"/>
  <c r="B2047" i="4"/>
  <c r="M2047" i="4" s="1"/>
  <c r="D2046" i="4"/>
  <c r="C2046" i="4"/>
  <c r="B2046" i="4"/>
  <c r="M2046" i="4" s="1"/>
  <c r="D2045" i="4"/>
  <c r="C2045" i="4"/>
  <c r="B2045" i="4"/>
  <c r="M2045" i="4" s="1"/>
  <c r="D2044" i="4"/>
  <c r="C2044" i="4"/>
  <c r="B2044" i="4"/>
  <c r="M2044" i="4" s="1"/>
  <c r="D2043" i="4"/>
  <c r="C2043" i="4"/>
  <c r="B2043" i="4"/>
  <c r="M2043" i="4" s="1"/>
  <c r="D2042" i="4"/>
  <c r="C2042" i="4"/>
  <c r="B2042" i="4"/>
  <c r="M2042" i="4" s="1"/>
  <c r="D2041" i="4"/>
  <c r="C2041" i="4"/>
  <c r="B2041" i="4"/>
  <c r="M2041" i="4" s="1"/>
  <c r="D2040" i="4"/>
  <c r="C2040" i="4"/>
  <c r="B2040" i="4"/>
  <c r="M2040" i="4" s="1"/>
  <c r="D2039" i="4"/>
  <c r="C2039" i="4"/>
  <c r="B2039" i="4"/>
  <c r="M2039" i="4" s="1"/>
  <c r="D2038" i="4"/>
  <c r="C2038" i="4"/>
  <c r="B2038" i="4"/>
  <c r="M2038" i="4" s="1"/>
  <c r="D2037" i="4"/>
  <c r="C2037" i="4"/>
  <c r="B2037" i="4"/>
  <c r="M2037" i="4" s="1"/>
  <c r="D2036" i="4"/>
  <c r="C2036" i="4"/>
  <c r="B2036" i="4"/>
  <c r="M2036" i="4" s="1"/>
  <c r="D2035" i="4"/>
  <c r="C2035" i="4"/>
  <c r="B2035" i="4"/>
  <c r="M2035" i="4" s="1"/>
  <c r="D2034" i="4"/>
  <c r="C2034" i="4"/>
  <c r="B2034" i="4"/>
  <c r="M2034" i="4" s="1"/>
  <c r="D2033" i="4"/>
  <c r="C2033" i="4"/>
  <c r="B2033" i="4"/>
  <c r="M2033" i="4" s="1"/>
  <c r="D2032" i="4"/>
  <c r="C2032" i="4"/>
  <c r="B2032" i="4"/>
  <c r="M2032" i="4" s="1"/>
  <c r="D2031" i="4"/>
  <c r="C2031" i="4"/>
  <c r="B2031" i="4"/>
  <c r="M2031" i="4" s="1"/>
  <c r="D2030" i="4"/>
  <c r="C2030" i="4"/>
  <c r="B2030" i="4"/>
  <c r="M2030" i="4" s="1"/>
  <c r="D2029" i="4"/>
  <c r="C2029" i="4"/>
  <c r="B2029" i="4"/>
  <c r="M2029" i="4" s="1"/>
  <c r="D2028" i="4"/>
  <c r="C2028" i="4"/>
  <c r="B2028" i="4"/>
  <c r="M2028" i="4" s="1"/>
  <c r="D2027" i="4"/>
  <c r="C2027" i="4"/>
  <c r="B2027" i="4"/>
  <c r="M2027" i="4" s="1"/>
  <c r="D2026" i="4"/>
  <c r="C2026" i="4"/>
  <c r="B2026" i="4"/>
  <c r="M2026" i="4" s="1"/>
  <c r="D2025" i="4"/>
  <c r="C2025" i="4"/>
  <c r="B2025" i="4"/>
  <c r="M2025" i="4" s="1"/>
  <c r="D2024" i="4"/>
  <c r="C2024" i="4"/>
  <c r="B2024" i="4"/>
  <c r="M2024" i="4" s="1"/>
  <c r="D2023" i="4"/>
  <c r="C2023" i="4"/>
  <c r="B2023" i="4"/>
  <c r="M2023" i="4" s="1"/>
  <c r="D2022" i="4"/>
  <c r="C2022" i="4"/>
  <c r="B2022" i="4"/>
  <c r="M2022" i="4" s="1"/>
  <c r="D2021" i="4"/>
  <c r="C2021" i="4"/>
  <c r="B2021" i="4"/>
  <c r="M2021" i="4" s="1"/>
  <c r="D2020" i="4"/>
  <c r="C2020" i="4"/>
  <c r="B2020" i="4"/>
  <c r="M2020" i="4" s="1"/>
  <c r="D2019" i="4"/>
  <c r="C2019" i="4"/>
  <c r="B2019" i="4"/>
  <c r="M2019" i="4" s="1"/>
  <c r="D2018" i="4"/>
  <c r="C2018" i="4"/>
  <c r="B2018" i="4"/>
  <c r="M2018" i="4" s="1"/>
  <c r="D2017" i="4"/>
  <c r="C2017" i="4"/>
  <c r="B2017" i="4"/>
  <c r="M2017" i="4" s="1"/>
  <c r="D2016" i="4"/>
  <c r="C2016" i="4"/>
  <c r="B2016" i="4"/>
  <c r="M2016" i="4" s="1"/>
  <c r="D2015" i="4"/>
  <c r="C2015" i="4"/>
  <c r="B2015" i="4"/>
  <c r="M2015" i="4" s="1"/>
  <c r="D2014" i="4"/>
  <c r="C2014" i="4"/>
  <c r="B2014" i="4"/>
  <c r="M2014" i="4" s="1"/>
  <c r="D2013" i="4"/>
  <c r="C2013" i="4"/>
  <c r="B2013" i="4"/>
  <c r="M2013" i="4" s="1"/>
  <c r="D2012" i="4"/>
  <c r="C2012" i="4"/>
  <c r="B2012" i="4"/>
  <c r="M2012" i="4" s="1"/>
  <c r="D2011" i="4"/>
  <c r="C2011" i="4"/>
  <c r="B2011" i="4"/>
  <c r="M2011" i="4" s="1"/>
  <c r="D2010" i="4"/>
  <c r="C2010" i="4"/>
  <c r="B2010" i="4"/>
  <c r="M2010" i="4" s="1"/>
  <c r="D2009" i="4"/>
  <c r="C2009" i="4"/>
  <c r="B2009" i="4"/>
  <c r="M2009" i="4" s="1"/>
  <c r="D2008" i="4"/>
  <c r="C2008" i="4"/>
  <c r="B2008" i="4"/>
  <c r="M2008" i="4" s="1"/>
  <c r="D2007" i="4"/>
  <c r="C2007" i="4"/>
  <c r="B2007" i="4"/>
  <c r="M2007" i="4" s="1"/>
  <c r="D2006" i="4"/>
  <c r="C2006" i="4"/>
  <c r="B2006" i="4"/>
  <c r="M2006" i="4" s="1"/>
  <c r="D2005" i="4"/>
  <c r="C2005" i="4"/>
  <c r="B2005" i="4"/>
  <c r="M2005" i="4" s="1"/>
  <c r="D2004" i="4"/>
  <c r="C2004" i="4"/>
  <c r="B2004" i="4"/>
  <c r="M2004" i="4" s="1"/>
  <c r="D2003" i="4"/>
  <c r="C2003" i="4"/>
  <c r="B2003" i="4"/>
  <c r="M2003" i="4" s="1"/>
  <c r="D2002" i="4"/>
  <c r="C2002" i="4"/>
  <c r="B2002" i="4"/>
  <c r="M2002" i="4" s="1"/>
  <c r="D2001" i="4"/>
  <c r="C2001" i="4"/>
  <c r="B2001" i="4"/>
  <c r="M2001" i="4" s="1"/>
  <c r="D2000" i="4"/>
  <c r="C2000" i="4"/>
  <c r="B2000" i="4"/>
  <c r="M2000" i="4" s="1"/>
  <c r="D1999" i="4"/>
  <c r="C1999" i="4"/>
  <c r="B1999" i="4"/>
  <c r="M1999" i="4" s="1"/>
  <c r="D1998" i="4"/>
  <c r="C1998" i="4"/>
  <c r="B1998" i="4"/>
  <c r="M1998" i="4" s="1"/>
  <c r="D1997" i="4"/>
  <c r="C1997" i="4"/>
  <c r="B1997" i="4"/>
  <c r="M1997" i="4" s="1"/>
  <c r="D1996" i="4"/>
  <c r="C1996" i="4"/>
  <c r="B1996" i="4"/>
  <c r="M1996" i="4" s="1"/>
  <c r="D1995" i="4"/>
  <c r="C1995" i="4"/>
  <c r="B1995" i="4"/>
  <c r="M1995" i="4" s="1"/>
  <c r="D1994" i="4"/>
  <c r="C1994" i="4"/>
  <c r="B1994" i="4"/>
  <c r="M1994" i="4" s="1"/>
  <c r="D1993" i="4"/>
  <c r="C1993" i="4"/>
  <c r="B1993" i="4"/>
  <c r="M1993" i="4" s="1"/>
  <c r="D1992" i="4"/>
  <c r="C1992" i="4"/>
  <c r="B1992" i="4"/>
  <c r="M1992" i="4" s="1"/>
  <c r="D1991" i="4"/>
  <c r="C1991" i="4"/>
  <c r="B1991" i="4"/>
  <c r="M1991" i="4" s="1"/>
  <c r="D1990" i="4"/>
  <c r="C1990" i="4"/>
  <c r="B1990" i="4"/>
  <c r="M1990" i="4" s="1"/>
  <c r="D1989" i="4"/>
  <c r="C1989" i="4"/>
  <c r="B1989" i="4"/>
  <c r="M1989" i="4" s="1"/>
  <c r="D1988" i="4"/>
  <c r="C1988" i="4"/>
  <c r="B1988" i="4"/>
  <c r="M1988" i="4" s="1"/>
  <c r="D1987" i="4"/>
  <c r="C1987" i="4"/>
  <c r="B1987" i="4"/>
  <c r="M1987" i="4" s="1"/>
  <c r="D1986" i="4"/>
  <c r="C1986" i="4"/>
  <c r="B1986" i="4"/>
  <c r="M1986" i="4" s="1"/>
  <c r="D1985" i="4"/>
  <c r="C1985" i="4"/>
  <c r="B1985" i="4"/>
  <c r="M1985" i="4" s="1"/>
  <c r="D1984" i="4"/>
  <c r="C1984" i="4"/>
  <c r="B1984" i="4"/>
  <c r="M1984" i="4" s="1"/>
  <c r="D1983" i="4"/>
  <c r="C1983" i="4"/>
  <c r="B1983" i="4"/>
  <c r="M1983" i="4" s="1"/>
  <c r="D1982" i="4"/>
  <c r="C1982" i="4"/>
  <c r="B1982" i="4"/>
  <c r="M1982" i="4" s="1"/>
  <c r="D1981" i="4"/>
  <c r="C1981" i="4"/>
  <c r="B1981" i="4"/>
  <c r="M1981" i="4" s="1"/>
  <c r="D1980" i="4"/>
  <c r="C1980" i="4"/>
  <c r="B1980" i="4"/>
  <c r="M1980" i="4" s="1"/>
  <c r="D1979" i="4"/>
  <c r="C1979" i="4"/>
  <c r="B1979" i="4"/>
  <c r="M1979" i="4" s="1"/>
  <c r="D1978" i="4"/>
  <c r="C1978" i="4"/>
  <c r="B1978" i="4"/>
  <c r="M1978" i="4" s="1"/>
  <c r="D1977" i="4"/>
  <c r="C1977" i="4"/>
  <c r="B1977" i="4"/>
  <c r="M1977" i="4" s="1"/>
  <c r="D1976" i="4"/>
  <c r="C1976" i="4"/>
  <c r="B1976" i="4"/>
  <c r="M1976" i="4" s="1"/>
  <c r="D1975" i="4"/>
  <c r="C1975" i="4"/>
  <c r="B1975" i="4"/>
  <c r="M1975" i="4" s="1"/>
  <c r="D1974" i="4"/>
  <c r="C1974" i="4"/>
  <c r="B1974" i="4"/>
  <c r="M1974" i="4" s="1"/>
  <c r="D1973" i="4"/>
  <c r="C1973" i="4"/>
  <c r="B1973" i="4"/>
  <c r="M1973" i="4" s="1"/>
  <c r="D1972" i="4"/>
  <c r="C1972" i="4"/>
  <c r="B1972" i="4"/>
  <c r="M1972" i="4" s="1"/>
  <c r="D1971" i="4"/>
  <c r="C1971" i="4"/>
  <c r="B1971" i="4"/>
  <c r="M1971" i="4" s="1"/>
  <c r="D1970" i="4"/>
  <c r="C1970" i="4"/>
  <c r="B1970" i="4"/>
  <c r="M1970" i="4" s="1"/>
  <c r="D1969" i="4"/>
  <c r="C1969" i="4"/>
  <c r="B1969" i="4"/>
  <c r="M1969" i="4" s="1"/>
  <c r="D1968" i="4"/>
  <c r="C1968" i="4"/>
  <c r="B1968" i="4"/>
  <c r="M1968" i="4" s="1"/>
  <c r="D1967" i="4"/>
  <c r="C1967" i="4"/>
  <c r="B1967" i="4"/>
  <c r="M1967" i="4" s="1"/>
  <c r="D1966" i="4"/>
  <c r="C1966" i="4"/>
  <c r="B1966" i="4"/>
  <c r="M1966" i="4" s="1"/>
  <c r="D1965" i="4"/>
  <c r="C1965" i="4"/>
  <c r="B1965" i="4"/>
  <c r="M1965" i="4" s="1"/>
  <c r="D1964" i="4"/>
  <c r="C1964" i="4"/>
  <c r="B1964" i="4"/>
  <c r="M1964" i="4" s="1"/>
  <c r="D1963" i="4"/>
  <c r="C1963" i="4"/>
  <c r="B1963" i="4"/>
  <c r="M1963" i="4" s="1"/>
  <c r="D1962" i="4"/>
  <c r="C1962" i="4"/>
  <c r="B1962" i="4"/>
  <c r="M1962" i="4" s="1"/>
  <c r="D1961" i="4"/>
  <c r="C1961" i="4"/>
  <c r="B1961" i="4"/>
  <c r="M1961" i="4" s="1"/>
  <c r="D1960" i="4"/>
  <c r="C1960" i="4"/>
  <c r="B1960" i="4"/>
  <c r="M1960" i="4" s="1"/>
  <c r="D1959" i="4"/>
  <c r="C1959" i="4"/>
  <c r="B1959" i="4"/>
  <c r="M1959" i="4" s="1"/>
  <c r="D1958" i="4"/>
  <c r="C1958" i="4"/>
  <c r="B1958" i="4"/>
  <c r="M1958" i="4" s="1"/>
  <c r="D1957" i="4"/>
  <c r="C1957" i="4"/>
  <c r="B1957" i="4"/>
  <c r="M1957" i="4" s="1"/>
  <c r="D1956" i="4"/>
  <c r="C1956" i="4"/>
  <c r="B1956" i="4"/>
  <c r="M1956" i="4" s="1"/>
  <c r="D1955" i="4"/>
  <c r="C1955" i="4"/>
  <c r="B1955" i="4"/>
  <c r="M1955" i="4" s="1"/>
  <c r="D1954" i="4"/>
  <c r="C1954" i="4"/>
  <c r="B1954" i="4"/>
  <c r="M1954" i="4" s="1"/>
  <c r="D1953" i="4"/>
  <c r="C1953" i="4"/>
  <c r="B1953" i="4"/>
  <c r="M1953" i="4" s="1"/>
  <c r="D1952" i="4"/>
  <c r="C1952" i="4"/>
  <c r="B1952" i="4"/>
  <c r="M1952" i="4" s="1"/>
  <c r="D1951" i="4"/>
  <c r="C1951" i="4"/>
  <c r="B1951" i="4"/>
  <c r="M1951" i="4" s="1"/>
  <c r="D1950" i="4"/>
  <c r="C1950" i="4"/>
  <c r="B1950" i="4"/>
  <c r="M1950" i="4" s="1"/>
  <c r="D1949" i="4"/>
  <c r="C1949" i="4"/>
  <c r="B1949" i="4"/>
  <c r="M1949" i="4" s="1"/>
  <c r="D1948" i="4"/>
  <c r="C1948" i="4"/>
  <c r="B1948" i="4"/>
  <c r="M1948" i="4" s="1"/>
  <c r="D1947" i="4"/>
  <c r="C1947" i="4"/>
  <c r="B1947" i="4"/>
  <c r="M1947" i="4" s="1"/>
  <c r="D1946" i="4"/>
  <c r="C1946" i="4"/>
  <c r="B1946" i="4"/>
  <c r="M1946" i="4" s="1"/>
  <c r="D1945" i="4"/>
  <c r="C1945" i="4"/>
  <c r="B1945" i="4"/>
  <c r="M1945" i="4" s="1"/>
  <c r="D1944" i="4"/>
  <c r="C1944" i="4"/>
  <c r="B1944" i="4"/>
  <c r="M1944" i="4" s="1"/>
  <c r="D1943" i="4"/>
  <c r="C1943" i="4"/>
  <c r="B1943" i="4"/>
  <c r="M1943" i="4" s="1"/>
  <c r="D1942" i="4"/>
  <c r="C1942" i="4"/>
  <c r="B1942" i="4"/>
  <c r="M1942" i="4" s="1"/>
  <c r="D1941" i="4"/>
  <c r="C1941" i="4"/>
  <c r="B1941" i="4"/>
  <c r="M1941" i="4" s="1"/>
  <c r="D1940" i="4"/>
  <c r="C1940" i="4"/>
  <c r="B1940" i="4"/>
  <c r="M1940" i="4" s="1"/>
  <c r="D1939" i="4"/>
  <c r="C1939" i="4"/>
  <c r="B1939" i="4"/>
  <c r="M1939" i="4" s="1"/>
  <c r="D1938" i="4"/>
  <c r="C1938" i="4"/>
  <c r="B1938" i="4"/>
  <c r="M1938" i="4" s="1"/>
  <c r="D1937" i="4"/>
  <c r="C1937" i="4"/>
  <c r="B1937" i="4"/>
  <c r="M1937" i="4" s="1"/>
  <c r="D1936" i="4"/>
  <c r="C1936" i="4"/>
  <c r="B1936" i="4"/>
  <c r="M1936" i="4" s="1"/>
  <c r="D1935" i="4"/>
  <c r="C1935" i="4"/>
  <c r="B1935" i="4"/>
  <c r="M1935" i="4" s="1"/>
  <c r="D1934" i="4"/>
  <c r="C1934" i="4"/>
  <c r="B1934" i="4"/>
  <c r="M1934" i="4" s="1"/>
  <c r="D1933" i="4"/>
  <c r="C1933" i="4"/>
  <c r="B1933" i="4"/>
  <c r="M1933" i="4" s="1"/>
  <c r="D1932" i="4"/>
  <c r="C1932" i="4"/>
  <c r="B1932" i="4"/>
  <c r="M1932" i="4" s="1"/>
  <c r="D1931" i="4"/>
  <c r="C1931" i="4"/>
  <c r="B1931" i="4"/>
  <c r="M1931" i="4" s="1"/>
  <c r="D1930" i="4"/>
  <c r="C1930" i="4"/>
  <c r="B1930" i="4"/>
  <c r="M1930" i="4" s="1"/>
  <c r="D1929" i="4"/>
  <c r="C1929" i="4"/>
  <c r="B1929" i="4"/>
  <c r="M1929" i="4" s="1"/>
  <c r="D1928" i="4"/>
  <c r="C1928" i="4"/>
  <c r="B1928" i="4"/>
  <c r="M1928" i="4" s="1"/>
  <c r="D1927" i="4"/>
  <c r="C1927" i="4"/>
  <c r="B1927" i="4"/>
  <c r="M1927" i="4" s="1"/>
  <c r="D1926" i="4"/>
  <c r="C1926" i="4"/>
  <c r="B1926" i="4"/>
  <c r="M1926" i="4" s="1"/>
  <c r="D1925" i="4"/>
  <c r="C1925" i="4"/>
  <c r="B1925" i="4"/>
  <c r="M1925" i="4" s="1"/>
  <c r="D1924" i="4"/>
  <c r="C1924" i="4"/>
  <c r="B1924" i="4"/>
  <c r="M1924" i="4" s="1"/>
  <c r="D1923" i="4"/>
  <c r="C1923" i="4"/>
  <c r="B1923" i="4"/>
  <c r="M1923" i="4" s="1"/>
  <c r="D1922" i="4"/>
  <c r="C1922" i="4"/>
  <c r="B1922" i="4"/>
  <c r="M1922" i="4" s="1"/>
  <c r="D1921" i="4"/>
  <c r="C1921" i="4"/>
  <c r="B1921" i="4"/>
  <c r="M1921" i="4" s="1"/>
  <c r="D1920" i="4"/>
  <c r="C1920" i="4"/>
  <c r="B1920" i="4"/>
  <c r="M1920" i="4" s="1"/>
  <c r="D1919" i="4"/>
  <c r="C1919" i="4"/>
  <c r="B1919" i="4"/>
  <c r="M1919" i="4" s="1"/>
  <c r="D1918" i="4"/>
  <c r="C1918" i="4"/>
  <c r="B1918" i="4"/>
  <c r="M1918" i="4" s="1"/>
  <c r="D1917" i="4"/>
  <c r="C1917" i="4"/>
  <c r="B1917" i="4"/>
  <c r="M1917" i="4" s="1"/>
  <c r="D1916" i="4"/>
  <c r="C1916" i="4"/>
  <c r="B1916" i="4"/>
  <c r="M1916" i="4" s="1"/>
  <c r="D1915" i="4"/>
  <c r="C1915" i="4"/>
  <c r="B1915" i="4"/>
  <c r="M1915" i="4" s="1"/>
  <c r="D1914" i="4"/>
  <c r="C1914" i="4"/>
  <c r="B1914" i="4"/>
  <c r="M1914" i="4" s="1"/>
  <c r="D1913" i="4"/>
  <c r="C1913" i="4"/>
  <c r="B1913" i="4"/>
  <c r="M1913" i="4" s="1"/>
  <c r="D1912" i="4"/>
  <c r="C1912" i="4"/>
  <c r="B1912" i="4"/>
  <c r="M1912" i="4" s="1"/>
  <c r="D1911" i="4"/>
  <c r="C1911" i="4"/>
  <c r="B1911" i="4"/>
  <c r="M1911" i="4" s="1"/>
  <c r="D1910" i="4"/>
  <c r="C1910" i="4"/>
  <c r="B1910" i="4"/>
  <c r="M1910" i="4" s="1"/>
  <c r="D1909" i="4"/>
  <c r="C1909" i="4"/>
  <c r="B1909" i="4"/>
  <c r="M1909" i="4" s="1"/>
  <c r="D1908" i="4"/>
  <c r="C1908" i="4"/>
  <c r="B1908" i="4"/>
  <c r="M1908" i="4" s="1"/>
  <c r="D1907" i="4"/>
  <c r="C1907" i="4"/>
  <c r="B1907" i="4"/>
  <c r="M1907" i="4" s="1"/>
  <c r="D1906" i="4"/>
  <c r="C1906" i="4"/>
  <c r="B1906" i="4"/>
  <c r="M1906" i="4" s="1"/>
  <c r="D1905" i="4"/>
  <c r="C1905" i="4"/>
  <c r="B1905" i="4"/>
  <c r="M1905" i="4" s="1"/>
  <c r="D1904" i="4"/>
  <c r="C1904" i="4"/>
  <c r="B1904" i="4"/>
  <c r="M1904" i="4" s="1"/>
  <c r="D1903" i="4"/>
  <c r="C1903" i="4"/>
  <c r="B1903" i="4"/>
  <c r="M1903" i="4" s="1"/>
  <c r="D1902" i="4"/>
  <c r="C1902" i="4"/>
  <c r="B1902" i="4"/>
  <c r="M1902" i="4" s="1"/>
  <c r="D1901" i="4"/>
  <c r="C1901" i="4"/>
  <c r="B1901" i="4"/>
  <c r="M1901" i="4" s="1"/>
  <c r="D1900" i="4"/>
  <c r="C1900" i="4"/>
  <c r="B1900" i="4"/>
  <c r="M1900" i="4" s="1"/>
  <c r="D1899" i="4"/>
  <c r="C1899" i="4"/>
  <c r="B1899" i="4"/>
  <c r="M1899" i="4" s="1"/>
  <c r="D1898" i="4"/>
  <c r="C1898" i="4"/>
  <c r="B1898" i="4"/>
  <c r="M1898" i="4" s="1"/>
  <c r="D1897" i="4"/>
  <c r="C1897" i="4"/>
  <c r="B1897" i="4"/>
  <c r="M1897" i="4" s="1"/>
  <c r="D1896" i="4"/>
  <c r="C1896" i="4"/>
  <c r="B1896" i="4"/>
  <c r="M1896" i="4" s="1"/>
  <c r="D1895" i="4"/>
  <c r="C1895" i="4"/>
  <c r="B1895" i="4"/>
  <c r="M1895" i="4" s="1"/>
  <c r="D1894" i="4"/>
  <c r="C1894" i="4"/>
  <c r="B1894" i="4"/>
  <c r="M1894" i="4" s="1"/>
  <c r="D1893" i="4"/>
  <c r="C1893" i="4"/>
  <c r="B1893" i="4"/>
  <c r="M1893" i="4" s="1"/>
  <c r="D1892" i="4"/>
  <c r="C1892" i="4"/>
  <c r="B1892" i="4"/>
  <c r="M1892" i="4" s="1"/>
  <c r="D1891" i="4"/>
  <c r="C1891" i="4"/>
  <c r="B1891" i="4"/>
  <c r="M1891" i="4" s="1"/>
  <c r="D1890" i="4"/>
  <c r="C1890" i="4"/>
  <c r="B1890" i="4"/>
  <c r="M1890" i="4" s="1"/>
  <c r="D1889" i="4"/>
  <c r="C1889" i="4"/>
  <c r="B1889" i="4"/>
  <c r="M1889" i="4" s="1"/>
  <c r="D1888" i="4"/>
  <c r="C1888" i="4"/>
  <c r="B1888" i="4"/>
  <c r="M1888" i="4" s="1"/>
  <c r="D1887" i="4"/>
  <c r="C1887" i="4"/>
  <c r="B1887" i="4"/>
  <c r="M1887" i="4" s="1"/>
  <c r="D1886" i="4"/>
  <c r="C1886" i="4"/>
  <c r="B1886" i="4"/>
  <c r="M1886" i="4" s="1"/>
  <c r="D1885" i="4"/>
  <c r="C1885" i="4"/>
  <c r="B1885" i="4"/>
  <c r="M1885" i="4" s="1"/>
  <c r="D1884" i="4"/>
  <c r="C1884" i="4"/>
  <c r="B1884" i="4"/>
  <c r="M1884" i="4" s="1"/>
  <c r="D1883" i="4"/>
  <c r="C1883" i="4"/>
  <c r="B1883" i="4"/>
  <c r="M1883" i="4" s="1"/>
  <c r="D1882" i="4"/>
  <c r="C1882" i="4"/>
  <c r="B1882" i="4"/>
  <c r="M1882" i="4" s="1"/>
  <c r="D1881" i="4"/>
  <c r="C1881" i="4"/>
  <c r="B1881" i="4"/>
  <c r="M1881" i="4" s="1"/>
  <c r="D1880" i="4"/>
  <c r="C1880" i="4"/>
  <c r="B1880" i="4"/>
  <c r="M1880" i="4" s="1"/>
  <c r="D1879" i="4"/>
  <c r="C1879" i="4"/>
  <c r="B1879" i="4"/>
  <c r="M1879" i="4" s="1"/>
  <c r="D1878" i="4"/>
  <c r="C1878" i="4"/>
  <c r="B1878" i="4"/>
  <c r="M1878" i="4" s="1"/>
  <c r="D1877" i="4"/>
  <c r="C1877" i="4"/>
  <c r="B1877" i="4"/>
  <c r="M1877" i="4" s="1"/>
  <c r="D1876" i="4"/>
  <c r="C1876" i="4"/>
  <c r="B1876" i="4"/>
  <c r="M1876" i="4" s="1"/>
  <c r="D1875" i="4"/>
  <c r="C1875" i="4"/>
  <c r="B1875" i="4"/>
  <c r="M1875" i="4" s="1"/>
  <c r="D1874" i="4"/>
  <c r="C1874" i="4"/>
  <c r="B1874" i="4"/>
  <c r="M1874" i="4" s="1"/>
  <c r="D1873" i="4"/>
  <c r="C1873" i="4"/>
  <c r="B1873" i="4"/>
  <c r="M1873" i="4" s="1"/>
  <c r="D1872" i="4"/>
  <c r="C1872" i="4"/>
  <c r="B1872" i="4"/>
  <c r="M1872" i="4" s="1"/>
  <c r="D1871" i="4"/>
  <c r="C1871" i="4"/>
  <c r="B1871" i="4"/>
  <c r="M1871" i="4" s="1"/>
  <c r="D1870" i="4"/>
  <c r="C1870" i="4"/>
  <c r="B1870" i="4"/>
  <c r="M1870" i="4" s="1"/>
  <c r="D1869" i="4"/>
  <c r="C1869" i="4"/>
  <c r="B1869" i="4"/>
  <c r="M1869" i="4" s="1"/>
  <c r="D1868" i="4"/>
  <c r="C1868" i="4"/>
  <c r="B1868" i="4"/>
  <c r="M1868" i="4" s="1"/>
  <c r="D1867" i="4"/>
  <c r="C1867" i="4"/>
  <c r="B1867" i="4"/>
  <c r="M1867" i="4" s="1"/>
  <c r="D1866" i="4"/>
  <c r="C1866" i="4"/>
  <c r="B1866" i="4"/>
  <c r="M1866" i="4" s="1"/>
  <c r="D1865" i="4"/>
  <c r="C1865" i="4"/>
  <c r="B1865" i="4"/>
  <c r="M1865" i="4" s="1"/>
  <c r="D1864" i="4"/>
  <c r="C1864" i="4"/>
  <c r="B1864" i="4"/>
  <c r="M1864" i="4" s="1"/>
  <c r="D1863" i="4"/>
  <c r="C1863" i="4"/>
  <c r="B1863" i="4"/>
  <c r="M1863" i="4" s="1"/>
  <c r="D1862" i="4"/>
  <c r="C1862" i="4"/>
  <c r="B1862" i="4"/>
  <c r="M1862" i="4" s="1"/>
  <c r="D1861" i="4"/>
  <c r="C1861" i="4"/>
  <c r="B1861" i="4"/>
  <c r="M1861" i="4" s="1"/>
  <c r="D1860" i="4"/>
  <c r="C1860" i="4"/>
  <c r="B1860" i="4"/>
  <c r="M1860" i="4" s="1"/>
  <c r="D1859" i="4"/>
  <c r="C1859" i="4"/>
  <c r="B1859" i="4"/>
  <c r="M1859" i="4" s="1"/>
  <c r="D1858" i="4"/>
  <c r="C1858" i="4"/>
  <c r="B1858" i="4"/>
  <c r="M1858" i="4" s="1"/>
  <c r="D1857" i="4"/>
  <c r="C1857" i="4"/>
  <c r="B1857" i="4"/>
  <c r="M1857" i="4" s="1"/>
  <c r="D1856" i="4"/>
  <c r="C1856" i="4"/>
  <c r="B1856" i="4"/>
  <c r="M1856" i="4" s="1"/>
  <c r="D1855" i="4"/>
  <c r="C1855" i="4"/>
  <c r="B1855" i="4"/>
  <c r="M1855" i="4" s="1"/>
  <c r="D1854" i="4"/>
  <c r="C1854" i="4"/>
  <c r="B1854" i="4"/>
  <c r="M1854" i="4" s="1"/>
  <c r="D1853" i="4"/>
  <c r="C1853" i="4"/>
  <c r="B1853" i="4"/>
  <c r="M1853" i="4" s="1"/>
  <c r="D1852" i="4"/>
  <c r="C1852" i="4"/>
  <c r="B1852" i="4"/>
  <c r="M1852" i="4" s="1"/>
  <c r="D1851" i="4"/>
  <c r="C1851" i="4"/>
  <c r="B1851" i="4"/>
  <c r="M1851" i="4" s="1"/>
  <c r="D1850" i="4"/>
  <c r="C1850" i="4"/>
  <c r="B1850" i="4"/>
  <c r="M1850" i="4" s="1"/>
  <c r="D1849" i="4"/>
  <c r="C1849" i="4"/>
  <c r="B1849" i="4"/>
  <c r="M1849" i="4" s="1"/>
  <c r="D1848" i="4"/>
  <c r="C1848" i="4"/>
  <c r="B1848" i="4"/>
  <c r="M1848" i="4" s="1"/>
  <c r="D1847" i="4"/>
  <c r="C1847" i="4"/>
  <c r="B1847" i="4"/>
  <c r="M1847" i="4" s="1"/>
  <c r="D1846" i="4"/>
  <c r="C1846" i="4"/>
  <c r="B1846" i="4"/>
  <c r="M1846" i="4" s="1"/>
  <c r="D1845" i="4"/>
  <c r="C1845" i="4"/>
  <c r="B1845" i="4"/>
  <c r="M1845" i="4" s="1"/>
  <c r="D1844" i="4"/>
  <c r="C1844" i="4"/>
  <c r="B1844" i="4"/>
  <c r="M1844" i="4" s="1"/>
  <c r="D1843" i="4"/>
  <c r="C1843" i="4"/>
  <c r="B1843" i="4"/>
  <c r="M1843" i="4" s="1"/>
  <c r="D1842" i="4"/>
  <c r="C1842" i="4"/>
  <c r="B1842" i="4"/>
  <c r="M1842" i="4" s="1"/>
  <c r="D1841" i="4"/>
  <c r="C1841" i="4"/>
  <c r="B1841" i="4"/>
  <c r="M1841" i="4" s="1"/>
  <c r="D1840" i="4"/>
  <c r="C1840" i="4"/>
  <c r="B1840" i="4"/>
  <c r="M1840" i="4" s="1"/>
  <c r="D1839" i="4"/>
  <c r="C1839" i="4"/>
  <c r="B1839" i="4"/>
  <c r="M1839" i="4" s="1"/>
  <c r="D1838" i="4"/>
  <c r="C1838" i="4"/>
  <c r="B1838" i="4"/>
  <c r="M1838" i="4" s="1"/>
  <c r="D1837" i="4"/>
  <c r="C1837" i="4"/>
  <c r="B1837" i="4"/>
  <c r="M1837" i="4" s="1"/>
  <c r="D1836" i="4"/>
  <c r="C1836" i="4"/>
  <c r="B1836" i="4"/>
  <c r="M1836" i="4" s="1"/>
  <c r="D1835" i="4"/>
  <c r="C1835" i="4"/>
  <c r="B1835" i="4"/>
  <c r="M1835" i="4" s="1"/>
  <c r="D1834" i="4"/>
  <c r="C1834" i="4"/>
  <c r="B1834" i="4"/>
  <c r="M1834" i="4" s="1"/>
  <c r="D1833" i="4"/>
  <c r="C1833" i="4"/>
  <c r="B1833" i="4"/>
  <c r="M1833" i="4" s="1"/>
  <c r="D1832" i="4"/>
  <c r="C1832" i="4"/>
  <c r="B1832" i="4"/>
  <c r="M1832" i="4" s="1"/>
  <c r="D1831" i="4"/>
  <c r="C1831" i="4"/>
  <c r="B1831" i="4"/>
  <c r="M1831" i="4" s="1"/>
  <c r="D1830" i="4"/>
  <c r="C1830" i="4"/>
  <c r="B1830" i="4"/>
  <c r="M1830" i="4" s="1"/>
  <c r="D1829" i="4"/>
  <c r="C1829" i="4"/>
  <c r="B1829" i="4"/>
  <c r="M1829" i="4" s="1"/>
  <c r="D1828" i="4"/>
  <c r="C1828" i="4"/>
  <c r="B1828" i="4"/>
  <c r="M1828" i="4" s="1"/>
  <c r="D1827" i="4"/>
  <c r="C1827" i="4"/>
  <c r="B1827" i="4"/>
  <c r="M1827" i="4" s="1"/>
  <c r="D1826" i="4"/>
  <c r="C1826" i="4"/>
  <c r="B1826" i="4"/>
  <c r="M1826" i="4" s="1"/>
  <c r="D1825" i="4"/>
  <c r="C1825" i="4"/>
  <c r="B1825" i="4"/>
  <c r="M1825" i="4" s="1"/>
  <c r="D1824" i="4"/>
  <c r="C1824" i="4"/>
  <c r="B1824" i="4"/>
  <c r="M1824" i="4" s="1"/>
  <c r="D1823" i="4"/>
  <c r="C1823" i="4"/>
  <c r="B1823" i="4"/>
  <c r="M1823" i="4" s="1"/>
  <c r="D1822" i="4"/>
  <c r="C1822" i="4"/>
  <c r="B1822" i="4"/>
  <c r="M1822" i="4" s="1"/>
  <c r="D1821" i="4"/>
  <c r="C1821" i="4"/>
  <c r="B1821" i="4"/>
  <c r="M1821" i="4" s="1"/>
  <c r="D1820" i="4"/>
  <c r="C1820" i="4"/>
  <c r="B1820" i="4"/>
  <c r="M1820" i="4" s="1"/>
  <c r="D1819" i="4"/>
  <c r="C1819" i="4"/>
  <c r="B1819" i="4"/>
  <c r="M1819" i="4" s="1"/>
  <c r="D1818" i="4"/>
  <c r="C1818" i="4"/>
  <c r="B1818" i="4"/>
  <c r="M1818" i="4" s="1"/>
  <c r="D1817" i="4"/>
  <c r="C1817" i="4"/>
  <c r="B1817" i="4"/>
  <c r="M1817" i="4" s="1"/>
  <c r="D1816" i="4"/>
  <c r="C1816" i="4"/>
  <c r="B1816" i="4"/>
  <c r="M1816" i="4" s="1"/>
  <c r="D1815" i="4"/>
  <c r="C1815" i="4"/>
  <c r="B1815" i="4"/>
  <c r="M1815" i="4" s="1"/>
  <c r="D1814" i="4"/>
  <c r="C1814" i="4"/>
  <c r="B1814" i="4"/>
  <c r="M1814" i="4" s="1"/>
  <c r="D1813" i="4"/>
  <c r="C1813" i="4"/>
  <c r="B1813" i="4"/>
  <c r="M1813" i="4" s="1"/>
  <c r="D1812" i="4"/>
  <c r="C1812" i="4"/>
  <c r="B1812" i="4"/>
  <c r="M1812" i="4" s="1"/>
  <c r="D1811" i="4"/>
  <c r="C1811" i="4"/>
  <c r="B1811" i="4"/>
  <c r="M1811" i="4" s="1"/>
  <c r="D1810" i="4"/>
  <c r="C1810" i="4"/>
  <c r="B1810" i="4"/>
  <c r="M1810" i="4" s="1"/>
  <c r="D1809" i="4"/>
  <c r="C1809" i="4"/>
  <c r="B1809" i="4"/>
  <c r="M1809" i="4" s="1"/>
  <c r="D1808" i="4"/>
  <c r="C1808" i="4"/>
  <c r="B1808" i="4"/>
  <c r="M1808" i="4" s="1"/>
  <c r="D1807" i="4"/>
  <c r="C1807" i="4"/>
  <c r="B1807" i="4"/>
  <c r="M1807" i="4" s="1"/>
  <c r="D1806" i="4"/>
  <c r="C1806" i="4"/>
  <c r="B1806" i="4"/>
  <c r="M1806" i="4" s="1"/>
  <c r="D1805" i="4"/>
  <c r="C1805" i="4"/>
  <c r="B1805" i="4"/>
  <c r="M1805" i="4" s="1"/>
  <c r="D1804" i="4"/>
  <c r="C1804" i="4"/>
  <c r="B1804" i="4"/>
  <c r="M1804" i="4" s="1"/>
  <c r="D1803" i="4"/>
  <c r="C1803" i="4"/>
  <c r="B1803" i="4"/>
  <c r="M1803" i="4" s="1"/>
  <c r="D1802" i="4"/>
  <c r="C1802" i="4"/>
  <c r="B1802" i="4"/>
  <c r="M1802" i="4" s="1"/>
  <c r="D1801" i="4"/>
  <c r="C1801" i="4"/>
  <c r="B1801" i="4"/>
  <c r="M1801" i="4" s="1"/>
  <c r="D1800" i="4"/>
  <c r="C1800" i="4"/>
  <c r="B1800" i="4"/>
  <c r="M1800" i="4" s="1"/>
  <c r="D1799" i="4"/>
  <c r="C1799" i="4"/>
  <c r="B1799" i="4"/>
  <c r="M1799" i="4" s="1"/>
  <c r="D1798" i="4"/>
  <c r="C1798" i="4"/>
  <c r="B1798" i="4"/>
  <c r="M1798" i="4" s="1"/>
  <c r="D1797" i="4"/>
  <c r="C1797" i="4"/>
  <c r="B1797" i="4"/>
  <c r="M1797" i="4" s="1"/>
  <c r="D1796" i="4"/>
  <c r="C1796" i="4"/>
  <c r="B1796" i="4"/>
  <c r="M1796" i="4" s="1"/>
  <c r="D1795" i="4"/>
  <c r="C1795" i="4"/>
  <c r="B1795" i="4"/>
  <c r="M1795" i="4" s="1"/>
  <c r="D1794" i="4"/>
  <c r="C1794" i="4"/>
  <c r="B1794" i="4"/>
  <c r="M1794" i="4" s="1"/>
  <c r="D1793" i="4"/>
  <c r="C1793" i="4"/>
  <c r="B1793" i="4"/>
  <c r="M1793" i="4" s="1"/>
  <c r="D1792" i="4"/>
  <c r="C1792" i="4"/>
  <c r="B1792" i="4"/>
  <c r="M1792" i="4" s="1"/>
  <c r="D1791" i="4"/>
  <c r="C1791" i="4"/>
  <c r="B1791" i="4"/>
  <c r="M1791" i="4" s="1"/>
  <c r="D1790" i="4"/>
  <c r="C1790" i="4"/>
  <c r="B1790" i="4"/>
  <c r="M1790" i="4" s="1"/>
  <c r="D1789" i="4"/>
  <c r="C1789" i="4"/>
  <c r="B1789" i="4"/>
  <c r="M1789" i="4" s="1"/>
  <c r="D1788" i="4"/>
  <c r="C1788" i="4"/>
  <c r="B1788" i="4"/>
  <c r="M1788" i="4" s="1"/>
  <c r="D1787" i="4"/>
  <c r="C1787" i="4"/>
  <c r="B1787" i="4"/>
  <c r="M1787" i="4" s="1"/>
  <c r="D1786" i="4"/>
  <c r="C1786" i="4"/>
  <c r="B1786" i="4"/>
  <c r="M1786" i="4" s="1"/>
  <c r="D1785" i="4"/>
  <c r="C1785" i="4"/>
  <c r="B1785" i="4"/>
  <c r="M1785" i="4" s="1"/>
  <c r="D1784" i="4"/>
  <c r="C1784" i="4"/>
  <c r="B1784" i="4"/>
  <c r="M1784" i="4" s="1"/>
  <c r="D1783" i="4"/>
  <c r="C1783" i="4"/>
  <c r="B1783" i="4"/>
  <c r="M1783" i="4" s="1"/>
  <c r="D1782" i="4"/>
  <c r="C1782" i="4"/>
  <c r="B1782" i="4"/>
  <c r="M1782" i="4" s="1"/>
  <c r="D1781" i="4"/>
  <c r="C1781" i="4"/>
  <c r="B1781" i="4"/>
  <c r="M1781" i="4" s="1"/>
  <c r="D1780" i="4"/>
  <c r="C1780" i="4"/>
  <c r="B1780" i="4"/>
  <c r="M1780" i="4" s="1"/>
  <c r="D1779" i="4"/>
  <c r="C1779" i="4"/>
  <c r="B1779" i="4"/>
  <c r="M1779" i="4" s="1"/>
  <c r="D1778" i="4"/>
  <c r="C1778" i="4"/>
  <c r="B1778" i="4"/>
  <c r="M1778" i="4" s="1"/>
  <c r="D1777" i="4"/>
  <c r="C1777" i="4"/>
  <c r="B1777" i="4"/>
  <c r="M1777" i="4" s="1"/>
  <c r="D1776" i="4"/>
  <c r="C1776" i="4"/>
  <c r="B1776" i="4"/>
  <c r="M1776" i="4" s="1"/>
  <c r="D1775" i="4"/>
  <c r="C1775" i="4"/>
  <c r="B1775" i="4"/>
  <c r="M1775" i="4" s="1"/>
  <c r="D1774" i="4"/>
  <c r="C1774" i="4"/>
  <c r="B1774" i="4"/>
  <c r="M1774" i="4" s="1"/>
  <c r="D1773" i="4"/>
  <c r="C1773" i="4"/>
  <c r="B1773" i="4"/>
  <c r="M1773" i="4" s="1"/>
  <c r="D1772" i="4"/>
  <c r="C1772" i="4"/>
  <c r="B1772" i="4"/>
  <c r="M1772" i="4" s="1"/>
  <c r="D1771" i="4"/>
  <c r="C1771" i="4"/>
  <c r="B1771" i="4"/>
  <c r="M1771" i="4" s="1"/>
  <c r="D1770" i="4"/>
  <c r="C1770" i="4"/>
  <c r="B1770" i="4"/>
  <c r="M1770" i="4" s="1"/>
  <c r="D1769" i="4"/>
  <c r="C1769" i="4"/>
  <c r="B1769" i="4"/>
  <c r="M1769" i="4" s="1"/>
  <c r="D1768" i="4"/>
  <c r="C1768" i="4"/>
  <c r="B1768" i="4"/>
  <c r="M1768" i="4" s="1"/>
  <c r="D1767" i="4"/>
  <c r="C1767" i="4"/>
  <c r="B1767" i="4"/>
  <c r="M1767" i="4" s="1"/>
  <c r="D1766" i="4"/>
  <c r="C1766" i="4"/>
  <c r="B1766" i="4"/>
  <c r="M1766" i="4" s="1"/>
  <c r="D1765" i="4"/>
  <c r="C1765" i="4"/>
  <c r="B1765" i="4"/>
  <c r="M1765" i="4" s="1"/>
  <c r="D1764" i="4"/>
  <c r="C1764" i="4"/>
  <c r="B1764" i="4"/>
  <c r="M1764" i="4" s="1"/>
  <c r="D1763" i="4"/>
  <c r="C1763" i="4"/>
  <c r="B1763" i="4"/>
  <c r="M1763" i="4" s="1"/>
  <c r="D1762" i="4"/>
  <c r="C1762" i="4"/>
  <c r="B1762" i="4"/>
  <c r="M1762" i="4" s="1"/>
  <c r="D1761" i="4"/>
  <c r="C1761" i="4"/>
  <c r="B1761" i="4"/>
  <c r="M1761" i="4" s="1"/>
  <c r="D1760" i="4"/>
  <c r="C1760" i="4"/>
  <c r="B1760" i="4"/>
  <c r="M1760" i="4" s="1"/>
  <c r="D1759" i="4"/>
  <c r="C1759" i="4"/>
  <c r="B1759" i="4"/>
  <c r="M1759" i="4" s="1"/>
  <c r="D1758" i="4"/>
  <c r="C1758" i="4"/>
  <c r="B1758" i="4"/>
  <c r="M1758" i="4" s="1"/>
  <c r="D1757" i="4"/>
  <c r="C1757" i="4"/>
  <c r="B1757" i="4"/>
  <c r="M1757" i="4" s="1"/>
  <c r="D1756" i="4"/>
  <c r="C1756" i="4"/>
  <c r="B1756" i="4"/>
  <c r="M1756" i="4" s="1"/>
  <c r="D1755" i="4"/>
  <c r="C1755" i="4"/>
  <c r="B1755" i="4"/>
  <c r="M1755" i="4" s="1"/>
  <c r="D1754" i="4"/>
  <c r="C1754" i="4"/>
  <c r="B1754" i="4"/>
  <c r="M1754" i="4" s="1"/>
  <c r="D1753" i="4"/>
  <c r="C1753" i="4"/>
  <c r="B1753" i="4"/>
  <c r="M1753" i="4" s="1"/>
  <c r="D1752" i="4"/>
  <c r="C1752" i="4"/>
  <c r="B1752" i="4"/>
  <c r="M1752" i="4" s="1"/>
  <c r="D1751" i="4"/>
  <c r="C1751" i="4"/>
  <c r="B1751" i="4"/>
  <c r="M1751" i="4" s="1"/>
  <c r="D1750" i="4"/>
  <c r="C1750" i="4"/>
  <c r="B1750" i="4"/>
  <c r="M1750" i="4" s="1"/>
  <c r="D1749" i="4"/>
  <c r="C1749" i="4"/>
  <c r="B1749" i="4"/>
  <c r="M1749" i="4" s="1"/>
  <c r="D1748" i="4"/>
  <c r="C1748" i="4"/>
  <c r="B1748" i="4"/>
  <c r="M1748" i="4" s="1"/>
  <c r="D1747" i="4"/>
  <c r="C1747" i="4"/>
  <c r="B1747" i="4"/>
  <c r="M1747" i="4" s="1"/>
  <c r="D1746" i="4"/>
  <c r="C1746" i="4"/>
  <c r="B1746" i="4"/>
  <c r="M1746" i="4" s="1"/>
  <c r="D1745" i="4"/>
  <c r="C1745" i="4"/>
  <c r="B1745" i="4"/>
  <c r="M1745" i="4" s="1"/>
  <c r="D1744" i="4"/>
  <c r="C1744" i="4"/>
  <c r="B1744" i="4"/>
  <c r="M1744" i="4" s="1"/>
  <c r="D1743" i="4"/>
  <c r="C1743" i="4"/>
  <c r="B1743" i="4"/>
  <c r="M1743" i="4" s="1"/>
  <c r="D1742" i="4"/>
  <c r="C1742" i="4"/>
  <c r="B1742" i="4"/>
  <c r="M1742" i="4" s="1"/>
  <c r="D1741" i="4"/>
  <c r="C1741" i="4"/>
  <c r="B1741" i="4"/>
  <c r="M1741" i="4" s="1"/>
  <c r="D1740" i="4"/>
  <c r="C1740" i="4"/>
  <c r="B1740" i="4"/>
  <c r="M1740" i="4" s="1"/>
  <c r="D1739" i="4"/>
  <c r="C1739" i="4"/>
  <c r="B1739" i="4"/>
  <c r="M1739" i="4" s="1"/>
  <c r="D1738" i="4"/>
  <c r="C1738" i="4"/>
  <c r="B1738" i="4"/>
  <c r="M1738" i="4" s="1"/>
  <c r="D1737" i="4"/>
  <c r="C1737" i="4"/>
  <c r="B1737" i="4"/>
  <c r="M1737" i="4" s="1"/>
  <c r="D1736" i="4"/>
  <c r="C1736" i="4"/>
  <c r="B1736" i="4"/>
  <c r="M1736" i="4" s="1"/>
  <c r="D1735" i="4"/>
  <c r="C1735" i="4"/>
  <c r="B1735" i="4"/>
  <c r="M1735" i="4" s="1"/>
  <c r="D1734" i="4"/>
  <c r="C1734" i="4"/>
  <c r="B1734" i="4"/>
  <c r="M1734" i="4" s="1"/>
  <c r="D1733" i="4"/>
  <c r="C1733" i="4"/>
  <c r="B1733" i="4"/>
  <c r="M1733" i="4" s="1"/>
  <c r="D1732" i="4"/>
  <c r="C1732" i="4"/>
  <c r="B1732" i="4"/>
  <c r="M1732" i="4" s="1"/>
  <c r="D1731" i="4"/>
  <c r="C1731" i="4"/>
  <c r="B1731" i="4"/>
  <c r="M1731" i="4" s="1"/>
  <c r="D1730" i="4"/>
  <c r="C1730" i="4"/>
  <c r="B1730" i="4"/>
  <c r="M1730" i="4" s="1"/>
  <c r="D1729" i="4"/>
  <c r="C1729" i="4"/>
  <c r="B1729" i="4"/>
  <c r="M1729" i="4" s="1"/>
  <c r="D1728" i="4"/>
  <c r="C1728" i="4"/>
  <c r="B1728" i="4"/>
  <c r="M1728" i="4" s="1"/>
  <c r="D1727" i="4"/>
  <c r="C1727" i="4"/>
  <c r="B1727" i="4"/>
  <c r="M1727" i="4" s="1"/>
  <c r="D1726" i="4"/>
  <c r="C1726" i="4"/>
  <c r="B1726" i="4"/>
  <c r="M1726" i="4" s="1"/>
  <c r="D1725" i="4"/>
  <c r="C1725" i="4"/>
  <c r="B1725" i="4"/>
  <c r="M1725" i="4" s="1"/>
  <c r="D1724" i="4"/>
  <c r="C1724" i="4"/>
  <c r="B1724" i="4"/>
  <c r="M1724" i="4" s="1"/>
  <c r="D1723" i="4"/>
  <c r="C1723" i="4"/>
  <c r="B1723" i="4"/>
  <c r="M1723" i="4" s="1"/>
  <c r="D1722" i="4"/>
  <c r="C1722" i="4"/>
  <c r="B1722" i="4"/>
  <c r="M1722" i="4" s="1"/>
  <c r="D1721" i="4"/>
  <c r="C1721" i="4"/>
  <c r="B1721" i="4"/>
  <c r="M1721" i="4" s="1"/>
  <c r="D1720" i="4"/>
  <c r="C1720" i="4"/>
  <c r="B1720" i="4"/>
  <c r="M1720" i="4" s="1"/>
  <c r="D1719" i="4"/>
  <c r="C1719" i="4"/>
  <c r="B1719" i="4"/>
  <c r="M1719" i="4" s="1"/>
  <c r="D1718" i="4"/>
  <c r="C1718" i="4"/>
  <c r="B1718" i="4"/>
  <c r="M1718" i="4" s="1"/>
  <c r="D1717" i="4"/>
  <c r="C1717" i="4"/>
  <c r="B1717" i="4"/>
  <c r="M1717" i="4" s="1"/>
  <c r="D1716" i="4"/>
  <c r="C1716" i="4"/>
  <c r="B1716" i="4"/>
  <c r="M1716" i="4" s="1"/>
  <c r="D1715" i="4"/>
  <c r="C1715" i="4"/>
  <c r="B1715" i="4"/>
  <c r="M1715" i="4" s="1"/>
  <c r="D1714" i="4"/>
  <c r="C1714" i="4"/>
  <c r="B1714" i="4"/>
  <c r="M1714" i="4" s="1"/>
  <c r="D1713" i="4"/>
  <c r="C1713" i="4"/>
  <c r="B1713" i="4"/>
  <c r="M1713" i="4" s="1"/>
  <c r="D1712" i="4"/>
  <c r="C1712" i="4"/>
  <c r="B1712" i="4"/>
  <c r="M1712" i="4" s="1"/>
  <c r="D1711" i="4"/>
  <c r="C1711" i="4"/>
  <c r="B1711" i="4"/>
  <c r="M1711" i="4" s="1"/>
  <c r="D1710" i="4"/>
  <c r="C1710" i="4"/>
  <c r="B1710" i="4"/>
  <c r="M1710" i="4" s="1"/>
  <c r="D1709" i="4"/>
  <c r="C1709" i="4"/>
  <c r="B1709" i="4"/>
  <c r="M1709" i="4" s="1"/>
  <c r="D1708" i="4"/>
  <c r="C1708" i="4"/>
  <c r="B1708" i="4"/>
  <c r="M1708" i="4" s="1"/>
  <c r="D1707" i="4"/>
  <c r="C1707" i="4"/>
  <c r="B1707" i="4"/>
  <c r="M1707" i="4" s="1"/>
  <c r="D1706" i="4"/>
  <c r="C1706" i="4"/>
  <c r="B1706" i="4"/>
  <c r="M1706" i="4" s="1"/>
  <c r="D1705" i="4"/>
  <c r="C1705" i="4"/>
  <c r="B1705" i="4"/>
  <c r="M1705" i="4" s="1"/>
  <c r="D1704" i="4"/>
  <c r="C1704" i="4"/>
  <c r="B1704" i="4"/>
  <c r="M1704" i="4" s="1"/>
  <c r="D1703" i="4"/>
  <c r="C1703" i="4"/>
  <c r="B1703" i="4"/>
  <c r="M1703" i="4" s="1"/>
  <c r="D1702" i="4"/>
  <c r="C1702" i="4"/>
  <c r="B1702" i="4"/>
  <c r="M1702" i="4" s="1"/>
  <c r="D1701" i="4"/>
  <c r="C1701" i="4"/>
  <c r="B1701" i="4"/>
  <c r="M1701" i="4" s="1"/>
  <c r="D1700" i="4"/>
  <c r="C1700" i="4"/>
  <c r="B1700" i="4"/>
  <c r="M1700" i="4" s="1"/>
  <c r="D1699" i="4"/>
  <c r="C1699" i="4"/>
  <c r="B1699" i="4"/>
  <c r="M1699" i="4" s="1"/>
  <c r="D1698" i="4"/>
  <c r="C1698" i="4"/>
  <c r="B1698" i="4"/>
  <c r="M1698" i="4" s="1"/>
  <c r="D1697" i="4"/>
  <c r="C1697" i="4"/>
  <c r="B1697" i="4"/>
  <c r="M1697" i="4" s="1"/>
  <c r="D1696" i="4"/>
  <c r="C1696" i="4"/>
  <c r="B1696" i="4"/>
  <c r="M1696" i="4" s="1"/>
  <c r="D1695" i="4"/>
  <c r="C1695" i="4"/>
  <c r="B1695" i="4"/>
  <c r="M1695" i="4" s="1"/>
  <c r="D1694" i="4"/>
  <c r="C1694" i="4"/>
  <c r="B1694" i="4"/>
  <c r="M1694" i="4" s="1"/>
  <c r="D1693" i="4"/>
  <c r="C1693" i="4"/>
  <c r="B1693" i="4"/>
  <c r="M1693" i="4" s="1"/>
  <c r="D1692" i="4"/>
  <c r="C1692" i="4"/>
  <c r="B1692" i="4"/>
  <c r="M1692" i="4" s="1"/>
  <c r="D1691" i="4"/>
  <c r="C1691" i="4"/>
  <c r="B1691" i="4"/>
  <c r="M1691" i="4" s="1"/>
  <c r="D1690" i="4"/>
  <c r="C1690" i="4"/>
  <c r="B1690" i="4"/>
  <c r="M1690" i="4" s="1"/>
  <c r="D1689" i="4"/>
  <c r="C1689" i="4"/>
  <c r="B1689" i="4"/>
  <c r="M1689" i="4" s="1"/>
  <c r="D1688" i="4"/>
  <c r="C1688" i="4"/>
  <c r="B1688" i="4"/>
  <c r="M1688" i="4" s="1"/>
  <c r="D1687" i="4"/>
  <c r="C1687" i="4"/>
  <c r="B1687" i="4"/>
  <c r="M1687" i="4" s="1"/>
  <c r="D1686" i="4"/>
  <c r="C1686" i="4"/>
  <c r="B1686" i="4"/>
  <c r="M1686" i="4" s="1"/>
  <c r="D1685" i="4"/>
  <c r="C1685" i="4"/>
  <c r="B1685" i="4"/>
  <c r="M1685" i="4" s="1"/>
  <c r="D1684" i="4"/>
  <c r="C1684" i="4"/>
  <c r="B1684" i="4"/>
  <c r="M1684" i="4" s="1"/>
  <c r="D1683" i="4"/>
  <c r="C1683" i="4"/>
  <c r="B1683" i="4"/>
  <c r="M1683" i="4" s="1"/>
  <c r="D1682" i="4"/>
  <c r="C1682" i="4"/>
  <c r="B1682" i="4"/>
  <c r="M1682" i="4" s="1"/>
  <c r="D1681" i="4"/>
  <c r="C1681" i="4"/>
  <c r="B1681" i="4"/>
  <c r="M1681" i="4" s="1"/>
  <c r="D1680" i="4"/>
  <c r="C1680" i="4"/>
  <c r="B1680" i="4"/>
  <c r="M1680" i="4" s="1"/>
  <c r="D1679" i="4"/>
  <c r="C1679" i="4"/>
  <c r="B1679" i="4"/>
  <c r="M1679" i="4" s="1"/>
  <c r="D1678" i="4"/>
  <c r="C1678" i="4"/>
  <c r="B1678" i="4"/>
  <c r="M1678" i="4" s="1"/>
  <c r="D1677" i="4"/>
  <c r="C1677" i="4"/>
  <c r="B1677" i="4"/>
  <c r="M1677" i="4" s="1"/>
  <c r="D1676" i="4"/>
  <c r="C1676" i="4"/>
  <c r="B1676" i="4"/>
  <c r="M1676" i="4" s="1"/>
  <c r="D1675" i="4"/>
  <c r="C1675" i="4"/>
  <c r="B1675" i="4"/>
  <c r="M1675" i="4" s="1"/>
  <c r="D1674" i="4"/>
  <c r="C1674" i="4"/>
  <c r="B1674" i="4"/>
  <c r="M1674" i="4" s="1"/>
  <c r="D1673" i="4"/>
  <c r="C1673" i="4"/>
  <c r="B1673" i="4"/>
  <c r="M1673" i="4" s="1"/>
  <c r="D1672" i="4"/>
  <c r="C1672" i="4"/>
  <c r="B1672" i="4"/>
  <c r="M1672" i="4" s="1"/>
  <c r="D1671" i="4"/>
  <c r="C1671" i="4"/>
  <c r="B1671" i="4"/>
  <c r="M1671" i="4" s="1"/>
  <c r="D1670" i="4"/>
  <c r="C1670" i="4"/>
  <c r="B1670" i="4"/>
  <c r="M1670" i="4" s="1"/>
  <c r="D1669" i="4"/>
  <c r="C1669" i="4"/>
  <c r="B1669" i="4"/>
  <c r="M1669" i="4" s="1"/>
  <c r="D1668" i="4"/>
  <c r="C1668" i="4"/>
  <c r="B1668" i="4"/>
  <c r="M1668" i="4" s="1"/>
  <c r="D1667" i="4"/>
  <c r="C1667" i="4"/>
  <c r="B1667" i="4"/>
  <c r="M1667" i="4" s="1"/>
  <c r="D1666" i="4"/>
  <c r="C1666" i="4"/>
  <c r="B1666" i="4"/>
  <c r="M1666" i="4" s="1"/>
  <c r="D1665" i="4"/>
  <c r="C1665" i="4"/>
  <c r="B1665" i="4"/>
  <c r="M1665" i="4" s="1"/>
  <c r="D1664" i="4"/>
  <c r="C1664" i="4"/>
  <c r="B1664" i="4"/>
  <c r="M1664" i="4" s="1"/>
  <c r="D1663" i="4"/>
  <c r="C1663" i="4"/>
  <c r="B1663" i="4"/>
  <c r="M1663" i="4" s="1"/>
  <c r="D1662" i="4"/>
  <c r="C1662" i="4"/>
  <c r="B1662" i="4"/>
  <c r="M1662" i="4" s="1"/>
  <c r="D1661" i="4"/>
  <c r="C1661" i="4"/>
  <c r="B1661" i="4"/>
  <c r="M1661" i="4" s="1"/>
  <c r="D1660" i="4"/>
  <c r="C1660" i="4"/>
  <c r="B1660" i="4"/>
  <c r="M1660" i="4" s="1"/>
  <c r="D1659" i="4"/>
  <c r="C1659" i="4"/>
  <c r="B1659" i="4"/>
  <c r="M1659" i="4" s="1"/>
  <c r="D1658" i="4"/>
  <c r="C1658" i="4"/>
  <c r="B1658" i="4"/>
  <c r="M1658" i="4" s="1"/>
  <c r="D1657" i="4"/>
  <c r="C1657" i="4"/>
  <c r="B1657" i="4"/>
  <c r="M1657" i="4" s="1"/>
  <c r="D1656" i="4"/>
  <c r="C1656" i="4"/>
  <c r="B1656" i="4"/>
  <c r="M1656" i="4" s="1"/>
  <c r="D1655" i="4"/>
  <c r="C1655" i="4"/>
  <c r="B1655" i="4"/>
  <c r="M1655" i="4" s="1"/>
  <c r="D1654" i="4"/>
  <c r="C1654" i="4"/>
  <c r="B1654" i="4"/>
  <c r="M1654" i="4" s="1"/>
  <c r="D1653" i="4"/>
  <c r="C1653" i="4"/>
  <c r="B1653" i="4"/>
  <c r="M1653" i="4" s="1"/>
  <c r="D1652" i="4"/>
  <c r="C1652" i="4"/>
  <c r="B1652" i="4"/>
  <c r="M1652" i="4" s="1"/>
  <c r="D1651" i="4"/>
  <c r="C1651" i="4"/>
  <c r="B1651" i="4"/>
  <c r="M1651" i="4" s="1"/>
  <c r="D1650" i="4"/>
  <c r="C1650" i="4"/>
  <c r="B1650" i="4"/>
  <c r="M1650" i="4" s="1"/>
  <c r="D1649" i="4"/>
  <c r="C1649" i="4"/>
  <c r="B1649" i="4"/>
  <c r="M1649" i="4" s="1"/>
  <c r="D1648" i="4"/>
  <c r="C1648" i="4"/>
  <c r="B1648" i="4"/>
  <c r="M1648" i="4" s="1"/>
  <c r="D1647" i="4"/>
  <c r="C1647" i="4"/>
  <c r="B1647" i="4"/>
  <c r="M1647" i="4" s="1"/>
  <c r="D1646" i="4"/>
  <c r="C1646" i="4"/>
  <c r="B1646" i="4"/>
  <c r="M1646" i="4" s="1"/>
  <c r="D1645" i="4"/>
  <c r="C1645" i="4"/>
  <c r="B1645" i="4"/>
  <c r="M1645" i="4" s="1"/>
  <c r="D1644" i="4"/>
  <c r="C1644" i="4"/>
  <c r="B1644" i="4"/>
  <c r="M1644" i="4" s="1"/>
  <c r="D1643" i="4"/>
  <c r="C1643" i="4"/>
  <c r="B1643" i="4"/>
  <c r="M1643" i="4" s="1"/>
  <c r="D1642" i="4"/>
  <c r="C1642" i="4"/>
  <c r="B1642" i="4"/>
  <c r="M1642" i="4" s="1"/>
  <c r="D1641" i="4"/>
  <c r="C1641" i="4"/>
  <c r="B1641" i="4"/>
  <c r="M1641" i="4" s="1"/>
  <c r="D1640" i="4"/>
  <c r="C1640" i="4"/>
  <c r="B1640" i="4"/>
  <c r="M1640" i="4" s="1"/>
  <c r="D1639" i="4"/>
  <c r="C1639" i="4"/>
  <c r="B1639" i="4"/>
  <c r="M1639" i="4" s="1"/>
  <c r="D1638" i="4"/>
  <c r="C1638" i="4"/>
  <c r="B1638" i="4"/>
  <c r="M1638" i="4" s="1"/>
  <c r="D1637" i="4"/>
  <c r="C1637" i="4"/>
  <c r="B1637" i="4"/>
  <c r="M1637" i="4" s="1"/>
  <c r="D1636" i="4"/>
  <c r="C1636" i="4"/>
  <c r="B1636" i="4"/>
  <c r="M1636" i="4" s="1"/>
  <c r="D1635" i="4"/>
  <c r="C1635" i="4"/>
  <c r="B1635" i="4"/>
  <c r="M1635" i="4" s="1"/>
  <c r="D1634" i="4"/>
  <c r="C1634" i="4"/>
  <c r="B1634" i="4"/>
  <c r="M1634" i="4" s="1"/>
  <c r="D1633" i="4"/>
  <c r="C1633" i="4"/>
  <c r="B1633" i="4"/>
  <c r="M1633" i="4" s="1"/>
  <c r="D1632" i="4"/>
  <c r="C1632" i="4"/>
  <c r="B1632" i="4"/>
  <c r="M1632" i="4" s="1"/>
  <c r="D1631" i="4"/>
  <c r="C1631" i="4"/>
  <c r="B1631" i="4"/>
  <c r="M1631" i="4" s="1"/>
  <c r="D1630" i="4"/>
  <c r="C1630" i="4"/>
  <c r="B1630" i="4"/>
  <c r="M1630" i="4" s="1"/>
  <c r="D1629" i="4"/>
  <c r="C1629" i="4"/>
  <c r="B1629" i="4"/>
  <c r="M1629" i="4" s="1"/>
  <c r="D1628" i="4"/>
  <c r="C1628" i="4"/>
  <c r="B1628" i="4"/>
  <c r="M1628" i="4" s="1"/>
  <c r="D1627" i="4"/>
  <c r="C1627" i="4"/>
  <c r="B1627" i="4"/>
  <c r="M1627" i="4" s="1"/>
  <c r="D1626" i="4"/>
  <c r="C1626" i="4"/>
  <c r="B1626" i="4"/>
  <c r="M1626" i="4" s="1"/>
  <c r="D1625" i="4"/>
  <c r="C1625" i="4"/>
  <c r="B1625" i="4"/>
  <c r="M1625" i="4" s="1"/>
  <c r="D1624" i="4"/>
  <c r="C1624" i="4"/>
  <c r="B1624" i="4"/>
  <c r="M1624" i="4" s="1"/>
  <c r="D1623" i="4"/>
  <c r="C1623" i="4"/>
  <c r="B1623" i="4"/>
  <c r="M1623" i="4" s="1"/>
  <c r="D1622" i="4"/>
  <c r="C1622" i="4"/>
  <c r="B1622" i="4"/>
  <c r="M1622" i="4" s="1"/>
  <c r="D1621" i="4"/>
  <c r="C1621" i="4"/>
  <c r="B1621" i="4"/>
  <c r="M1621" i="4" s="1"/>
  <c r="D1620" i="4"/>
  <c r="C1620" i="4"/>
  <c r="B1620" i="4"/>
  <c r="M1620" i="4" s="1"/>
  <c r="D1619" i="4"/>
  <c r="C1619" i="4"/>
  <c r="B1619" i="4"/>
  <c r="M1619" i="4" s="1"/>
  <c r="D1618" i="4"/>
  <c r="C1618" i="4"/>
  <c r="B1618" i="4"/>
  <c r="M1618" i="4" s="1"/>
  <c r="D1617" i="4"/>
  <c r="C1617" i="4"/>
  <c r="B1617" i="4"/>
  <c r="M1617" i="4" s="1"/>
  <c r="D1616" i="4"/>
  <c r="C1616" i="4"/>
  <c r="B1616" i="4"/>
  <c r="M1616" i="4" s="1"/>
  <c r="D1615" i="4"/>
  <c r="C1615" i="4"/>
  <c r="B1615" i="4"/>
  <c r="M1615" i="4" s="1"/>
  <c r="D1614" i="4"/>
  <c r="C1614" i="4"/>
  <c r="B1614" i="4"/>
  <c r="M1614" i="4" s="1"/>
  <c r="D1613" i="4"/>
  <c r="C1613" i="4"/>
  <c r="B1613" i="4"/>
  <c r="M1613" i="4" s="1"/>
  <c r="D1612" i="4"/>
  <c r="C1612" i="4"/>
  <c r="B1612" i="4"/>
  <c r="M1612" i="4" s="1"/>
  <c r="D1611" i="4"/>
  <c r="C1611" i="4"/>
  <c r="B1611" i="4"/>
  <c r="M1611" i="4" s="1"/>
  <c r="D1610" i="4"/>
  <c r="C1610" i="4"/>
  <c r="B1610" i="4"/>
  <c r="M1610" i="4" s="1"/>
  <c r="D1609" i="4"/>
  <c r="C1609" i="4"/>
  <c r="B1609" i="4"/>
  <c r="M1609" i="4" s="1"/>
  <c r="D1608" i="4"/>
  <c r="C1608" i="4"/>
  <c r="B1608" i="4"/>
  <c r="M1608" i="4" s="1"/>
  <c r="D1607" i="4"/>
  <c r="C1607" i="4"/>
  <c r="B1607" i="4"/>
  <c r="M1607" i="4" s="1"/>
  <c r="D1606" i="4"/>
  <c r="C1606" i="4"/>
  <c r="B1606" i="4"/>
  <c r="M1606" i="4" s="1"/>
  <c r="D1605" i="4"/>
  <c r="C1605" i="4"/>
  <c r="B1605" i="4"/>
  <c r="M1605" i="4" s="1"/>
  <c r="D1604" i="4"/>
  <c r="C1604" i="4"/>
  <c r="B1604" i="4"/>
  <c r="M1604" i="4" s="1"/>
  <c r="D1603" i="4"/>
  <c r="C1603" i="4"/>
  <c r="B1603" i="4"/>
  <c r="M1603" i="4" s="1"/>
  <c r="D1602" i="4"/>
  <c r="C1602" i="4"/>
  <c r="B1602" i="4"/>
  <c r="M1602" i="4" s="1"/>
  <c r="D1601" i="4"/>
  <c r="C1601" i="4"/>
  <c r="B1601" i="4"/>
  <c r="M1601" i="4" s="1"/>
  <c r="D1600" i="4"/>
  <c r="C1600" i="4"/>
  <c r="B1600" i="4"/>
  <c r="M1600" i="4" s="1"/>
  <c r="D1599" i="4"/>
  <c r="C1599" i="4"/>
  <c r="B1599" i="4"/>
  <c r="M1599" i="4" s="1"/>
  <c r="D1598" i="4"/>
  <c r="C1598" i="4"/>
  <c r="B1598" i="4"/>
  <c r="M1598" i="4" s="1"/>
  <c r="D1597" i="4"/>
  <c r="C1597" i="4"/>
  <c r="B1597" i="4"/>
  <c r="M1597" i="4" s="1"/>
  <c r="D1596" i="4"/>
  <c r="C1596" i="4"/>
  <c r="B1596" i="4"/>
  <c r="M1596" i="4" s="1"/>
  <c r="D1595" i="4"/>
  <c r="C1595" i="4"/>
  <c r="B1595" i="4"/>
  <c r="M1595" i="4" s="1"/>
  <c r="D1594" i="4"/>
  <c r="C1594" i="4"/>
  <c r="B1594" i="4"/>
  <c r="M1594" i="4" s="1"/>
  <c r="D1593" i="4"/>
  <c r="C1593" i="4"/>
  <c r="B1593" i="4"/>
  <c r="M1593" i="4" s="1"/>
  <c r="D1592" i="4"/>
  <c r="C1592" i="4"/>
  <c r="B1592" i="4"/>
  <c r="M1592" i="4" s="1"/>
  <c r="D1591" i="4"/>
  <c r="C1591" i="4"/>
  <c r="B1591" i="4"/>
  <c r="M1591" i="4" s="1"/>
  <c r="D1590" i="4"/>
  <c r="C1590" i="4"/>
  <c r="B1590" i="4"/>
  <c r="M1590" i="4" s="1"/>
  <c r="D1589" i="4"/>
  <c r="C1589" i="4"/>
  <c r="B1589" i="4"/>
  <c r="M1589" i="4" s="1"/>
  <c r="D1588" i="4"/>
  <c r="C1588" i="4"/>
  <c r="B1588" i="4"/>
  <c r="M1588" i="4" s="1"/>
  <c r="D1587" i="4"/>
  <c r="C1587" i="4"/>
  <c r="B1587" i="4"/>
  <c r="M1587" i="4" s="1"/>
  <c r="D1586" i="4"/>
  <c r="C1586" i="4"/>
  <c r="B1586" i="4"/>
  <c r="M1586" i="4" s="1"/>
  <c r="D1585" i="4"/>
  <c r="C1585" i="4"/>
  <c r="B1585" i="4"/>
  <c r="M1585" i="4" s="1"/>
  <c r="D1584" i="4"/>
  <c r="C1584" i="4"/>
  <c r="B1584" i="4"/>
  <c r="M1584" i="4" s="1"/>
  <c r="D1583" i="4"/>
  <c r="C1583" i="4"/>
  <c r="B1583" i="4"/>
  <c r="M1583" i="4" s="1"/>
  <c r="D1582" i="4"/>
  <c r="C1582" i="4"/>
  <c r="B1582" i="4"/>
  <c r="M1582" i="4" s="1"/>
  <c r="D1581" i="4"/>
  <c r="C1581" i="4"/>
  <c r="B1581" i="4"/>
  <c r="M1581" i="4" s="1"/>
  <c r="D1580" i="4"/>
  <c r="C1580" i="4"/>
  <c r="B1580" i="4"/>
  <c r="M1580" i="4" s="1"/>
  <c r="D1579" i="4"/>
  <c r="C1579" i="4"/>
  <c r="B1579" i="4"/>
  <c r="M1579" i="4" s="1"/>
  <c r="D1578" i="4"/>
  <c r="C1578" i="4"/>
  <c r="B1578" i="4"/>
  <c r="M1578" i="4" s="1"/>
  <c r="D1577" i="4"/>
  <c r="C1577" i="4"/>
  <c r="B1577" i="4"/>
  <c r="M1577" i="4" s="1"/>
  <c r="D1576" i="4"/>
  <c r="C1576" i="4"/>
  <c r="B1576" i="4"/>
  <c r="M1576" i="4" s="1"/>
  <c r="D1575" i="4"/>
  <c r="C1575" i="4"/>
  <c r="B1575" i="4"/>
  <c r="M1575" i="4" s="1"/>
  <c r="D1574" i="4"/>
  <c r="C1574" i="4"/>
  <c r="B1574" i="4"/>
  <c r="M1574" i="4" s="1"/>
  <c r="D1573" i="4"/>
  <c r="C1573" i="4"/>
  <c r="B1573" i="4"/>
  <c r="M1573" i="4" s="1"/>
  <c r="D1572" i="4"/>
  <c r="C1572" i="4"/>
  <c r="B1572" i="4"/>
  <c r="M1572" i="4" s="1"/>
  <c r="D1571" i="4"/>
  <c r="C1571" i="4"/>
  <c r="B1571" i="4"/>
  <c r="M1571" i="4" s="1"/>
  <c r="D1570" i="4"/>
  <c r="C1570" i="4"/>
  <c r="B1570" i="4"/>
  <c r="M1570" i="4" s="1"/>
  <c r="D1569" i="4"/>
  <c r="C1569" i="4"/>
  <c r="B1569" i="4"/>
  <c r="M1569" i="4" s="1"/>
  <c r="D1568" i="4"/>
  <c r="C1568" i="4"/>
  <c r="B1568" i="4"/>
  <c r="M1568" i="4" s="1"/>
  <c r="D1567" i="4"/>
  <c r="C1567" i="4"/>
  <c r="B1567" i="4"/>
  <c r="M1567" i="4" s="1"/>
  <c r="D1566" i="4"/>
  <c r="C1566" i="4"/>
  <c r="B1566" i="4"/>
  <c r="M1566" i="4" s="1"/>
  <c r="D1565" i="4"/>
  <c r="C1565" i="4"/>
  <c r="B1565" i="4"/>
  <c r="M1565" i="4" s="1"/>
  <c r="D1564" i="4"/>
  <c r="C1564" i="4"/>
  <c r="B1564" i="4"/>
  <c r="M1564" i="4" s="1"/>
  <c r="D1563" i="4"/>
  <c r="C1563" i="4"/>
  <c r="B1563" i="4"/>
  <c r="M1563" i="4" s="1"/>
  <c r="D1562" i="4"/>
  <c r="C1562" i="4"/>
  <c r="B1562" i="4"/>
  <c r="M1562" i="4" s="1"/>
  <c r="D1561" i="4"/>
  <c r="C1561" i="4"/>
  <c r="B1561" i="4"/>
  <c r="M1561" i="4" s="1"/>
  <c r="D1560" i="4"/>
  <c r="C1560" i="4"/>
  <c r="B1560" i="4"/>
  <c r="M1560" i="4" s="1"/>
  <c r="D1559" i="4"/>
  <c r="C1559" i="4"/>
  <c r="B1559" i="4"/>
  <c r="M1559" i="4" s="1"/>
  <c r="D1558" i="4"/>
  <c r="C1558" i="4"/>
  <c r="B1558" i="4"/>
  <c r="M1558" i="4" s="1"/>
  <c r="D1557" i="4"/>
  <c r="C1557" i="4"/>
  <c r="B1557" i="4"/>
  <c r="M1557" i="4" s="1"/>
  <c r="D1556" i="4"/>
  <c r="C1556" i="4"/>
  <c r="B1556" i="4"/>
  <c r="M1556" i="4" s="1"/>
  <c r="D1555" i="4"/>
  <c r="C1555" i="4"/>
  <c r="B1555" i="4"/>
  <c r="M1555" i="4" s="1"/>
  <c r="D1554" i="4"/>
  <c r="C1554" i="4"/>
  <c r="B1554" i="4"/>
  <c r="M1554" i="4" s="1"/>
  <c r="D1553" i="4"/>
  <c r="C1553" i="4"/>
  <c r="B1553" i="4"/>
  <c r="M1553" i="4" s="1"/>
  <c r="D1552" i="4"/>
  <c r="C1552" i="4"/>
  <c r="B1552" i="4"/>
  <c r="M1552" i="4" s="1"/>
  <c r="D1551" i="4"/>
  <c r="C1551" i="4"/>
  <c r="B1551" i="4"/>
  <c r="M1551" i="4" s="1"/>
  <c r="D1550" i="4"/>
  <c r="C1550" i="4"/>
  <c r="B1550" i="4"/>
  <c r="M1550" i="4" s="1"/>
  <c r="D1549" i="4"/>
  <c r="C1549" i="4"/>
  <c r="B1549" i="4"/>
  <c r="M1549" i="4" s="1"/>
  <c r="D1548" i="4"/>
  <c r="C1548" i="4"/>
  <c r="B1548" i="4"/>
  <c r="M1548" i="4" s="1"/>
  <c r="D1547" i="4"/>
  <c r="C1547" i="4"/>
  <c r="B1547" i="4"/>
  <c r="M1547" i="4" s="1"/>
  <c r="D1546" i="4"/>
  <c r="C1546" i="4"/>
  <c r="B1546" i="4"/>
  <c r="M1546" i="4" s="1"/>
  <c r="D1545" i="4"/>
  <c r="C1545" i="4"/>
  <c r="B1545" i="4"/>
  <c r="M1545" i="4" s="1"/>
  <c r="D1544" i="4"/>
  <c r="C1544" i="4"/>
  <c r="B1544" i="4"/>
  <c r="M1544" i="4" s="1"/>
  <c r="D1543" i="4"/>
  <c r="C1543" i="4"/>
  <c r="B1543" i="4"/>
  <c r="M1543" i="4" s="1"/>
  <c r="D1542" i="4"/>
  <c r="C1542" i="4"/>
  <c r="B1542" i="4"/>
  <c r="M1542" i="4" s="1"/>
  <c r="D1541" i="4"/>
  <c r="C1541" i="4"/>
  <c r="B1541" i="4"/>
  <c r="M1541" i="4" s="1"/>
  <c r="D1540" i="4"/>
  <c r="C1540" i="4"/>
  <c r="B1540" i="4"/>
  <c r="M1540" i="4" s="1"/>
  <c r="D1539" i="4"/>
  <c r="C1539" i="4"/>
  <c r="B1539" i="4"/>
  <c r="M1539" i="4" s="1"/>
  <c r="D1538" i="4"/>
  <c r="C1538" i="4"/>
  <c r="B1538" i="4"/>
  <c r="M1538" i="4" s="1"/>
  <c r="D1537" i="4"/>
  <c r="C1537" i="4"/>
  <c r="B1537" i="4"/>
  <c r="M1537" i="4" s="1"/>
  <c r="D1536" i="4"/>
  <c r="C1536" i="4"/>
  <c r="B1536" i="4"/>
  <c r="M1536" i="4" s="1"/>
  <c r="D1535" i="4"/>
  <c r="C1535" i="4"/>
  <c r="B1535" i="4"/>
  <c r="M1535" i="4" s="1"/>
  <c r="D1534" i="4"/>
  <c r="C1534" i="4"/>
  <c r="B1534" i="4"/>
  <c r="M1534" i="4" s="1"/>
  <c r="D1533" i="4"/>
  <c r="C1533" i="4"/>
  <c r="B1533" i="4"/>
  <c r="M1533" i="4" s="1"/>
  <c r="D1532" i="4"/>
  <c r="C1532" i="4"/>
  <c r="B1532" i="4"/>
  <c r="M1532" i="4" s="1"/>
  <c r="D1531" i="4"/>
  <c r="C1531" i="4"/>
  <c r="B1531" i="4"/>
  <c r="M1531" i="4" s="1"/>
  <c r="D1530" i="4"/>
  <c r="C1530" i="4"/>
  <c r="B1530" i="4"/>
  <c r="M1530" i="4" s="1"/>
  <c r="D1529" i="4"/>
  <c r="C1529" i="4"/>
  <c r="B1529" i="4"/>
  <c r="M1529" i="4" s="1"/>
  <c r="D1528" i="4"/>
  <c r="C1528" i="4"/>
  <c r="B1528" i="4"/>
  <c r="M1528" i="4" s="1"/>
  <c r="D1527" i="4"/>
  <c r="C1527" i="4"/>
  <c r="B1527" i="4"/>
  <c r="M1527" i="4" s="1"/>
  <c r="D1526" i="4"/>
  <c r="C1526" i="4"/>
  <c r="B1526" i="4"/>
  <c r="M1526" i="4" s="1"/>
  <c r="D1525" i="4"/>
  <c r="C1525" i="4"/>
  <c r="B1525" i="4"/>
  <c r="M1525" i="4" s="1"/>
  <c r="D1524" i="4"/>
  <c r="C1524" i="4"/>
  <c r="B1524" i="4"/>
  <c r="M1524" i="4" s="1"/>
  <c r="D1523" i="4"/>
  <c r="C1523" i="4"/>
  <c r="B1523" i="4"/>
  <c r="M1523" i="4" s="1"/>
  <c r="D1522" i="4"/>
  <c r="C1522" i="4"/>
  <c r="B1522" i="4"/>
  <c r="M1522" i="4" s="1"/>
  <c r="D1521" i="4"/>
  <c r="C1521" i="4"/>
  <c r="B1521" i="4"/>
  <c r="M1521" i="4" s="1"/>
  <c r="D1520" i="4"/>
  <c r="C1520" i="4"/>
  <c r="B1520" i="4"/>
  <c r="M1520" i="4" s="1"/>
  <c r="D1519" i="4"/>
  <c r="C1519" i="4"/>
  <c r="B1519" i="4"/>
  <c r="M1519" i="4" s="1"/>
  <c r="D1518" i="4"/>
  <c r="C1518" i="4"/>
  <c r="B1518" i="4"/>
  <c r="M1518" i="4" s="1"/>
  <c r="D1517" i="4"/>
  <c r="C1517" i="4"/>
  <c r="B1517" i="4"/>
  <c r="M1517" i="4" s="1"/>
  <c r="D1516" i="4"/>
  <c r="C1516" i="4"/>
  <c r="B1516" i="4"/>
  <c r="M1516" i="4" s="1"/>
  <c r="D1515" i="4"/>
  <c r="C1515" i="4"/>
  <c r="B1515" i="4"/>
  <c r="M1515" i="4" s="1"/>
  <c r="D1514" i="4"/>
  <c r="C1514" i="4"/>
  <c r="B1514" i="4"/>
  <c r="M1514" i="4" s="1"/>
  <c r="D1513" i="4"/>
  <c r="C1513" i="4"/>
  <c r="B1513" i="4"/>
  <c r="M1513" i="4" s="1"/>
  <c r="D1512" i="4"/>
  <c r="C1512" i="4"/>
  <c r="B1512" i="4"/>
  <c r="M1512" i="4" s="1"/>
  <c r="D1511" i="4"/>
  <c r="C1511" i="4"/>
  <c r="B1511" i="4"/>
  <c r="M1511" i="4" s="1"/>
  <c r="D1510" i="4"/>
  <c r="C1510" i="4"/>
  <c r="B1510" i="4"/>
  <c r="M1510" i="4" s="1"/>
  <c r="D1509" i="4"/>
  <c r="C1509" i="4"/>
  <c r="B1509" i="4"/>
  <c r="M1509" i="4" s="1"/>
  <c r="D1508" i="4"/>
  <c r="C1508" i="4"/>
  <c r="B1508" i="4"/>
  <c r="M1508" i="4" s="1"/>
  <c r="D1507" i="4"/>
  <c r="C1507" i="4"/>
  <c r="B1507" i="4"/>
  <c r="M1507" i="4" s="1"/>
  <c r="D1506" i="4"/>
  <c r="C1506" i="4"/>
  <c r="B1506" i="4"/>
  <c r="M1506" i="4" s="1"/>
  <c r="D1505" i="4"/>
  <c r="C1505" i="4"/>
  <c r="B1505" i="4"/>
  <c r="M1505" i="4" s="1"/>
  <c r="D1504" i="4"/>
  <c r="C1504" i="4"/>
  <c r="B1504" i="4"/>
  <c r="M1504" i="4" s="1"/>
  <c r="D1503" i="4"/>
  <c r="C1503" i="4"/>
  <c r="B1503" i="4"/>
  <c r="M1503" i="4" s="1"/>
  <c r="D1502" i="4"/>
  <c r="C1502" i="4"/>
  <c r="B1502" i="4"/>
  <c r="M1502" i="4" s="1"/>
  <c r="D1501" i="4"/>
  <c r="C1501" i="4"/>
  <c r="B1501" i="4"/>
  <c r="M1501" i="4" s="1"/>
  <c r="D1500" i="4"/>
  <c r="C1500" i="4"/>
  <c r="B1500" i="4"/>
  <c r="M1500" i="4" s="1"/>
  <c r="D1499" i="4"/>
  <c r="C1499" i="4"/>
  <c r="B1499" i="4"/>
  <c r="M1499" i="4" s="1"/>
  <c r="D1498" i="4"/>
  <c r="C1498" i="4"/>
  <c r="B1498" i="4"/>
  <c r="M1498" i="4" s="1"/>
  <c r="D1497" i="4"/>
  <c r="C1497" i="4"/>
  <c r="B1497" i="4"/>
  <c r="M1497" i="4" s="1"/>
  <c r="D1496" i="4"/>
  <c r="C1496" i="4"/>
  <c r="B1496" i="4"/>
  <c r="M1496" i="4" s="1"/>
  <c r="D1495" i="4"/>
  <c r="C1495" i="4"/>
  <c r="B1495" i="4"/>
  <c r="M1495" i="4" s="1"/>
  <c r="D1494" i="4"/>
  <c r="C1494" i="4"/>
  <c r="B1494" i="4"/>
  <c r="M1494" i="4" s="1"/>
  <c r="D1493" i="4"/>
  <c r="C1493" i="4"/>
  <c r="B1493" i="4"/>
  <c r="M1493" i="4" s="1"/>
  <c r="D1492" i="4"/>
  <c r="C1492" i="4"/>
  <c r="B1492" i="4"/>
  <c r="M1492" i="4" s="1"/>
  <c r="D1491" i="4"/>
  <c r="C1491" i="4"/>
  <c r="B1491" i="4"/>
  <c r="M1491" i="4" s="1"/>
  <c r="D1490" i="4"/>
  <c r="C1490" i="4"/>
  <c r="B1490" i="4"/>
  <c r="M1490" i="4" s="1"/>
  <c r="D1489" i="4"/>
  <c r="C1489" i="4"/>
  <c r="B1489" i="4"/>
  <c r="M1489" i="4" s="1"/>
  <c r="D1488" i="4"/>
  <c r="C1488" i="4"/>
  <c r="B1488" i="4"/>
  <c r="M1488" i="4" s="1"/>
  <c r="D1487" i="4"/>
  <c r="C1487" i="4"/>
  <c r="B1487" i="4"/>
  <c r="M1487" i="4" s="1"/>
  <c r="D1486" i="4"/>
  <c r="C1486" i="4"/>
  <c r="B1486" i="4"/>
  <c r="M1486" i="4" s="1"/>
  <c r="D1485" i="4"/>
  <c r="C1485" i="4"/>
  <c r="B1485" i="4"/>
  <c r="M1485" i="4" s="1"/>
  <c r="D1484" i="4"/>
  <c r="C1484" i="4"/>
  <c r="B1484" i="4"/>
  <c r="M1484" i="4" s="1"/>
  <c r="D1483" i="4"/>
  <c r="C1483" i="4"/>
  <c r="B1483" i="4"/>
  <c r="M1483" i="4" s="1"/>
  <c r="D1482" i="4"/>
  <c r="C1482" i="4"/>
  <c r="B1482" i="4"/>
  <c r="M1482" i="4" s="1"/>
  <c r="D1481" i="4"/>
  <c r="C1481" i="4"/>
  <c r="B1481" i="4"/>
  <c r="M1481" i="4" s="1"/>
  <c r="D1480" i="4"/>
  <c r="C1480" i="4"/>
  <c r="B1480" i="4"/>
  <c r="M1480" i="4" s="1"/>
  <c r="D1479" i="4"/>
  <c r="C1479" i="4"/>
  <c r="B1479" i="4"/>
  <c r="M1479" i="4" s="1"/>
  <c r="D1478" i="4"/>
  <c r="C1478" i="4"/>
  <c r="B1478" i="4"/>
  <c r="M1478" i="4" s="1"/>
  <c r="D1477" i="4"/>
  <c r="C1477" i="4"/>
  <c r="B1477" i="4"/>
  <c r="M1477" i="4" s="1"/>
  <c r="D1476" i="4"/>
  <c r="C1476" i="4"/>
  <c r="B1476" i="4"/>
  <c r="M1476" i="4" s="1"/>
  <c r="D1475" i="4"/>
  <c r="C1475" i="4"/>
  <c r="B1475" i="4"/>
  <c r="M1475" i="4" s="1"/>
  <c r="D1474" i="4"/>
  <c r="C1474" i="4"/>
  <c r="B1474" i="4"/>
  <c r="M1474" i="4" s="1"/>
  <c r="D1473" i="4"/>
  <c r="C1473" i="4"/>
  <c r="B1473" i="4"/>
  <c r="M1473" i="4" s="1"/>
  <c r="D1472" i="4"/>
  <c r="C1472" i="4"/>
  <c r="B1472" i="4"/>
  <c r="M1472" i="4" s="1"/>
  <c r="D1471" i="4"/>
  <c r="C1471" i="4"/>
  <c r="B1471" i="4"/>
  <c r="M1471" i="4" s="1"/>
  <c r="D1470" i="4"/>
  <c r="C1470" i="4"/>
  <c r="B1470" i="4"/>
  <c r="M1470" i="4" s="1"/>
  <c r="D1469" i="4"/>
  <c r="C1469" i="4"/>
  <c r="B1469" i="4"/>
  <c r="M1469" i="4" s="1"/>
  <c r="D1468" i="4"/>
  <c r="C1468" i="4"/>
  <c r="B1468" i="4"/>
  <c r="M1468" i="4" s="1"/>
  <c r="D1467" i="4"/>
  <c r="C1467" i="4"/>
  <c r="B1467" i="4"/>
  <c r="M1467" i="4" s="1"/>
  <c r="D1466" i="4"/>
  <c r="C1466" i="4"/>
  <c r="B1466" i="4"/>
  <c r="M1466" i="4" s="1"/>
  <c r="D1465" i="4"/>
  <c r="C1465" i="4"/>
  <c r="B1465" i="4"/>
  <c r="M1465" i="4" s="1"/>
  <c r="D1464" i="4"/>
  <c r="C1464" i="4"/>
  <c r="B1464" i="4"/>
  <c r="M1464" i="4" s="1"/>
  <c r="D1463" i="4"/>
  <c r="C1463" i="4"/>
  <c r="B1463" i="4"/>
  <c r="M1463" i="4" s="1"/>
  <c r="D1462" i="4"/>
  <c r="C1462" i="4"/>
  <c r="B1462" i="4"/>
  <c r="M1462" i="4" s="1"/>
  <c r="D1461" i="4"/>
  <c r="C1461" i="4"/>
  <c r="B1461" i="4"/>
  <c r="M1461" i="4" s="1"/>
  <c r="D1460" i="4"/>
  <c r="C1460" i="4"/>
  <c r="B1460" i="4"/>
  <c r="M1460" i="4" s="1"/>
  <c r="D1459" i="4"/>
  <c r="C1459" i="4"/>
  <c r="B1459" i="4"/>
  <c r="M1459" i="4" s="1"/>
  <c r="D1458" i="4"/>
  <c r="C1458" i="4"/>
  <c r="B1458" i="4"/>
  <c r="M1458" i="4" s="1"/>
  <c r="D1457" i="4"/>
  <c r="C1457" i="4"/>
  <c r="B1457" i="4"/>
  <c r="M1457" i="4" s="1"/>
  <c r="D1456" i="4"/>
  <c r="C1456" i="4"/>
  <c r="B1456" i="4"/>
  <c r="M1456" i="4" s="1"/>
  <c r="D1455" i="4"/>
  <c r="C1455" i="4"/>
  <c r="B1455" i="4"/>
  <c r="M1455" i="4" s="1"/>
  <c r="D1454" i="4"/>
  <c r="C1454" i="4"/>
  <c r="B1454" i="4"/>
  <c r="M1454" i="4" s="1"/>
  <c r="D1453" i="4"/>
  <c r="C1453" i="4"/>
  <c r="B1453" i="4"/>
  <c r="M1453" i="4" s="1"/>
  <c r="D1452" i="4"/>
  <c r="C1452" i="4"/>
  <c r="B1452" i="4"/>
  <c r="M1452" i="4" s="1"/>
  <c r="D1451" i="4"/>
  <c r="C1451" i="4"/>
  <c r="B1451" i="4"/>
  <c r="M1451" i="4" s="1"/>
  <c r="D1450" i="4"/>
  <c r="C1450" i="4"/>
  <c r="B1450" i="4"/>
  <c r="M1450" i="4" s="1"/>
  <c r="D1449" i="4"/>
  <c r="C1449" i="4"/>
  <c r="B1449" i="4"/>
  <c r="M1449" i="4" s="1"/>
  <c r="D1448" i="4"/>
  <c r="C1448" i="4"/>
  <c r="B1448" i="4"/>
  <c r="M1448" i="4" s="1"/>
  <c r="D1447" i="4"/>
  <c r="C1447" i="4"/>
  <c r="B1447" i="4"/>
  <c r="M1447" i="4" s="1"/>
  <c r="D1446" i="4"/>
  <c r="C1446" i="4"/>
  <c r="B1446" i="4"/>
  <c r="M1446" i="4" s="1"/>
  <c r="D1445" i="4"/>
  <c r="C1445" i="4"/>
  <c r="B1445" i="4"/>
  <c r="M1445" i="4" s="1"/>
  <c r="D1444" i="4"/>
  <c r="C1444" i="4"/>
  <c r="B1444" i="4"/>
  <c r="M1444" i="4" s="1"/>
  <c r="D1443" i="4"/>
  <c r="C1443" i="4"/>
  <c r="B1443" i="4"/>
  <c r="M1443" i="4" s="1"/>
  <c r="D1442" i="4"/>
  <c r="C1442" i="4"/>
  <c r="B1442" i="4"/>
  <c r="M1442" i="4" s="1"/>
  <c r="D1441" i="4"/>
  <c r="C1441" i="4"/>
  <c r="B1441" i="4"/>
  <c r="M1441" i="4" s="1"/>
  <c r="D1440" i="4"/>
  <c r="C1440" i="4"/>
  <c r="B1440" i="4"/>
  <c r="M1440" i="4" s="1"/>
  <c r="D1439" i="4"/>
  <c r="C1439" i="4"/>
  <c r="B1439" i="4"/>
  <c r="M1439" i="4" s="1"/>
  <c r="D1438" i="4"/>
  <c r="C1438" i="4"/>
  <c r="B1438" i="4"/>
  <c r="M1438" i="4" s="1"/>
  <c r="D1437" i="4"/>
  <c r="C1437" i="4"/>
  <c r="B1437" i="4"/>
  <c r="M1437" i="4" s="1"/>
  <c r="D1436" i="4"/>
  <c r="C1436" i="4"/>
  <c r="B1436" i="4"/>
  <c r="M1436" i="4" s="1"/>
  <c r="D1435" i="4"/>
  <c r="C1435" i="4"/>
  <c r="B1435" i="4"/>
  <c r="M1435" i="4" s="1"/>
  <c r="D1434" i="4"/>
  <c r="C1434" i="4"/>
  <c r="B1434" i="4"/>
  <c r="M1434" i="4" s="1"/>
  <c r="D1433" i="4"/>
  <c r="C1433" i="4"/>
  <c r="B1433" i="4"/>
  <c r="M1433" i="4" s="1"/>
  <c r="D1432" i="4"/>
  <c r="C1432" i="4"/>
  <c r="B1432" i="4"/>
  <c r="M1432" i="4" s="1"/>
  <c r="D1431" i="4"/>
  <c r="C1431" i="4"/>
  <c r="B1431" i="4"/>
  <c r="M1431" i="4" s="1"/>
  <c r="D1430" i="4"/>
  <c r="C1430" i="4"/>
  <c r="B1430" i="4"/>
  <c r="M1430" i="4" s="1"/>
  <c r="D1429" i="4"/>
  <c r="C1429" i="4"/>
  <c r="B1429" i="4"/>
  <c r="M1429" i="4" s="1"/>
  <c r="D1428" i="4"/>
  <c r="C1428" i="4"/>
  <c r="B1428" i="4"/>
  <c r="M1428" i="4" s="1"/>
  <c r="D1427" i="4"/>
  <c r="C1427" i="4"/>
  <c r="B1427" i="4"/>
  <c r="M1427" i="4" s="1"/>
  <c r="D1426" i="4"/>
  <c r="C1426" i="4"/>
  <c r="B1426" i="4"/>
  <c r="M1426" i="4" s="1"/>
  <c r="D1425" i="4"/>
  <c r="C1425" i="4"/>
  <c r="B1425" i="4"/>
  <c r="M1425" i="4" s="1"/>
  <c r="D1424" i="4"/>
  <c r="C1424" i="4"/>
  <c r="B1424" i="4"/>
  <c r="M1424" i="4" s="1"/>
  <c r="D1423" i="4"/>
  <c r="C1423" i="4"/>
  <c r="B1423" i="4"/>
  <c r="M1423" i="4" s="1"/>
  <c r="D1422" i="4"/>
  <c r="C1422" i="4"/>
  <c r="B1422" i="4"/>
  <c r="M1422" i="4" s="1"/>
  <c r="D1421" i="4"/>
  <c r="C1421" i="4"/>
  <c r="B1421" i="4"/>
  <c r="M1421" i="4" s="1"/>
  <c r="D1420" i="4"/>
  <c r="C1420" i="4"/>
  <c r="B1420" i="4"/>
  <c r="M1420" i="4" s="1"/>
  <c r="D1419" i="4"/>
  <c r="C1419" i="4"/>
  <c r="B1419" i="4"/>
  <c r="M1419" i="4" s="1"/>
  <c r="D1418" i="4"/>
  <c r="C1418" i="4"/>
  <c r="B1418" i="4"/>
  <c r="M1418" i="4" s="1"/>
  <c r="D1417" i="4"/>
  <c r="C1417" i="4"/>
  <c r="B1417" i="4"/>
  <c r="M1417" i="4" s="1"/>
  <c r="D1416" i="4"/>
  <c r="C1416" i="4"/>
  <c r="B1416" i="4"/>
  <c r="M1416" i="4" s="1"/>
  <c r="D1415" i="4"/>
  <c r="C1415" i="4"/>
  <c r="B1415" i="4"/>
  <c r="M1415" i="4" s="1"/>
  <c r="D1414" i="4"/>
  <c r="C1414" i="4"/>
  <c r="B1414" i="4"/>
  <c r="M1414" i="4" s="1"/>
  <c r="D1413" i="4"/>
  <c r="C1413" i="4"/>
  <c r="B1413" i="4"/>
  <c r="M1413" i="4" s="1"/>
  <c r="D1412" i="4"/>
  <c r="C1412" i="4"/>
  <c r="B1412" i="4"/>
  <c r="M1412" i="4" s="1"/>
  <c r="D1411" i="4"/>
  <c r="C1411" i="4"/>
  <c r="B1411" i="4"/>
  <c r="M1411" i="4" s="1"/>
  <c r="D1410" i="4"/>
  <c r="C1410" i="4"/>
  <c r="B1410" i="4"/>
  <c r="M1410" i="4" s="1"/>
  <c r="D1409" i="4"/>
  <c r="C1409" i="4"/>
  <c r="B1409" i="4"/>
  <c r="M1409" i="4" s="1"/>
  <c r="D1408" i="4"/>
  <c r="C1408" i="4"/>
  <c r="B1408" i="4"/>
  <c r="M1408" i="4" s="1"/>
  <c r="D1407" i="4"/>
  <c r="C1407" i="4"/>
  <c r="B1407" i="4"/>
  <c r="M1407" i="4" s="1"/>
  <c r="D1406" i="4"/>
  <c r="C1406" i="4"/>
  <c r="B1406" i="4"/>
  <c r="M1406" i="4" s="1"/>
  <c r="D1405" i="4"/>
  <c r="C1405" i="4"/>
  <c r="B1405" i="4"/>
  <c r="M1405" i="4" s="1"/>
  <c r="D1404" i="4"/>
  <c r="C1404" i="4"/>
  <c r="B1404" i="4"/>
  <c r="M1404" i="4" s="1"/>
  <c r="D1403" i="4"/>
  <c r="C1403" i="4"/>
  <c r="B1403" i="4"/>
  <c r="M1403" i="4" s="1"/>
  <c r="D1402" i="4"/>
  <c r="C1402" i="4"/>
  <c r="B1402" i="4"/>
  <c r="M1402" i="4" s="1"/>
  <c r="D1401" i="4"/>
  <c r="C1401" i="4"/>
  <c r="B1401" i="4"/>
  <c r="M1401" i="4" s="1"/>
  <c r="D1400" i="4"/>
  <c r="C1400" i="4"/>
  <c r="B1400" i="4"/>
  <c r="M1400" i="4" s="1"/>
  <c r="D1399" i="4"/>
  <c r="C1399" i="4"/>
  <c r="B1399" i="4"/>
  <c r="M1399" i="4" s="1"/>
  <c r="D1398" i="4"/>
  <c r="C1398" i="4"/>
  <c r="B1398" i="4"/>
  <c r="M1398" i="4" s="1"/>
  <c r="D1397" i="4"/>
  <c r="C1397" i="4"/>
  <c r="B1397" i="4"/>
  <c r="M1397" i="4" s="1"/>
  <c r="D1396" i="4"/>
  <c r="C1396" i="4"/>
  <c r="B1396" i="4"/>
  <c r="M1396" i="4" s="1"/>
  <c r="D1395" i="4"/>
  <c r="C1395" i="4"/>
  <c r="B1395" i="4"/>
  <c r="M1395" i="4" s="1"/>
  <c r="D1394" i="4"/>
  <c r="C1394" i="4"/>
  <c r="B1394" i="4"/>
  <c r="M1394" i="4" s="1"/>
  <c r="D1393" i="4"/>
  <c r="C1393" i="4"/>
  <c r="B1393" i="4"/>
  <c r="M1393" i="4" s="1"/>
  <c r="D1392" i="4"/>
  <c r="C1392" i="4"/>
  <c r="B1392" i="4"/>
  <c r="M1392" i="4" s="1"/>
  <c r="D1391" i="4"/>
  <c r="C1391" i="4"/>
  <c r="B1391" i="4"/>
  <c r="M1391" i="4" s="1"/>
  <c r="D1390" i="4"/>
  <c r="C1390" i="4"/>
  <c r="B1390" i="4"/>
  <c r="M1390" i="4" s="1"/>
  <c r="D1389" i="4"/>
  <c r="C1389" i="4"/>
  <c r="B1389" i="4"/>
  <c r="M1389" i="4" s="1"/>
  <c r="D1388" i="4"/>
  <c r="C1388" i="4"/>
  <c r="B1388" i="4"/>
  <c r="M1388" i="4" s="1"/>
  <c r="D1387" i="4"/>
  <c r="C1387" i="4"/>
  <c r="B1387" i="4"/>
  <c r="M1387" i="4" s="1"/>
  <c r="D1386" i="4"/>
  <c r="C1386" i="4"/>
  <c r="B1386" i="4"/>
  <c r="M1386" i="4" s="1"/>
  <c r="D1385" i="4"/>
  <c r="C1385" i="4"/>
  <c r="B1385" i="4"/>
  <c r="M1385" i="4" s="1"/>
  <c r="D1384" i="4"/>
  <c r="C1384" i="4"/>
  <c r="B1384" i="4"/>
  <c r="M1384" i="4" s="1"/>
  <c r="D1383" i="4"/>
  <c r="C1383" i="4"/>
  <c r="B1383" i="4"/>
  <c r="M1383" i="4" s="1"/>
  <c r="D1382" i="4"/>
  <c r="C1382" i="4"/>
  <c r="B1382" i="4"/>
  <c r="M1382" i="4" s="1"/>
  <c r="D1381" i="4"/>
  <c r="C1381" i="4"/>
  <c r="B1381" i="4"/>
  <c r="M1381" i="4" s="1"/>
  <c r="D1380" i="4"/>
  <c r="C1380" i="4"/>
  <c r="B1380" i="4"/>
  <c r="M1380" i="4" s="1"/>
  <c r="D1379" i="4"/>
  <c r="C1379" i="4"/>
  <c r="B1379" i="4"/>
  <c r="M1379" i="4" s="1"/>
  <c r="D1378" i="4"/>
  <c r="C1378" i="4"/>
  <c r="B1378" i="4"/>
  <c r="M1378" i="4" s="1"/>
  <c r="D1377" i="4"/>
  <c r="C1377" i="4"/>
  <c r="B1377" i="4"/>
  <c r="M1377" i="4" s="1"/>
  <c r="D1376" i="4"/>
  <c r="C1376" i="4"/>
  <c r="B1376" i="4"/>
  <c r="M1376" i="4" s="1"/>
  <c r="D1375" i="4"/>
  <c r="C1375" i="4"/>
  <c r="B1375" i="4"/>
  <c r="M1375" i="4" s="1"/>
  <c r="D1374" i="4"/>
  <c r="C1374" i="4"/>
  <c r="B1374" i="4"/>
  <c r="M1374" i="4" s="1"/>
  <c r="D1373" i="4"/>
  <c r="C1373" i="4"/>
  <c r="B1373" i="4"/>
  <c r="M1373" i="4" s="1"/>
  <c r="D1372" i="4"/>
  <c r="C1372" i="4"/>
  <c r="B1372" i="4"/>
  <c r="M1372" i="4" s="1"/>
  <c r="D1371" i="4"/>
  <c r="C1371" i="4"/>
  <c r="B1371" i="4"/>
  <c r="M1371" i="4" s="1"/>
  <c r="D1370" i="4"/>
  <c r="C1370" i="4"/>
  <c r="B1370" i="4"/>
  <c r="M1370" i="4" s="1"/>
  <c r="D1369" i="4"/>
  <c r="C1369" i="4"/>
  <c r="B1369" i="4"/>
  <c r="M1369" i="4" s="1"/>
  <c r="D1368" i="4"/>
  <c r="C1368" i="4"/>
  <c r="B1368" i="4"/>
  <c r="M1368" i="4" s="1"/>
  <c r="D1367" i="4"/>
  <c r="C1367" i="4"/>
  <c r="B1367" i="4"/>
  <c r="M1367" i="4" s="1"/>
  <c r="D1366" i="4"/>
  <c r="C1366" i="4"/>
  <c r="B1366" i="4"/>
  <c r="M1366" i="4" s="1"/>
  <c r="D1365" i="4"/>
  <c r="C1365" i="4"/>
  <c r="B1365" i="4"/>
  <c r="M1365" i="4" s="1"/>
  <c r="D1364" i="4"/>
  <c r="C1364" i="4"/>
  <c r="B1364" i="4"/>
  <c r="M1364" i="4" s="1"/>
  <c r="D1363" i="4"/>
  <c r="C1363" i="4"/>
  <c r="B1363" i="4"/>
  <c r="M1363" i="4" s="1"/>
  <c r="D1362" i="4"/>
  <c r="C1362" i="4"/>
  <c r="B1362" i="4"/>
  <c r="M1362" i="4" s="1"/>
  <c r="D1361" i="4"/>
  <c r="C1361" i="4"/>
  <c r="B1361" i="4"/>
  <c r="M1361" i="4" s="1"/>
  <c r="D1360" i="4"/>
  <c r="C1360" i="4"/>
  <c r="B1360" i="4"/>
  <c r="M1360" i="4" s="1"/>
  <c r="D1359" i="4"/>
  <c r="C1359" i="4"/>
  <c r="B1359" i="4"/>
  <c r="M1359" i="4" s="1"/>
  <c r="D1358" i="4"/>
  <c r="C1358" i="4"/>
  <c r="B1358" i="4"/>
  <c r="M1358" i="4" s="1"/>
  <c r="D1357" i="4"/>
  <c r="C1357" i="4"/>
  <c r="B1357" i="4"/>
  <c r="M1357" i="4" s="1"/>
  <c r="D1356" i="4"/>
  <c r="C1356" i="4"/>
  <c r="B1356" i="4"/>
  <c r="M1356" i="4" s="1"/>
  <c r="D1355" i="4"/>
  <c r="C1355" i="4"/>
  <c r="B1355" i="4"/>
  <c r="M1355" i="4" s="1"/>
  <c r="D1354" i="4"/>
  <c r="C1354" i="4"/>
  <c r="B1354" i="4"/>
  <c r="M1354" i="4" s="1"/>
  <c r="D1353" i="4"/>
  <c r="C1353" i="4"/>
  <c r="B1353" i="4"/>
  <c r="M1353" i="4" s="1"/>
  <c r="D1352" i="4"/>
  <c r="C1352" i="4"/>
  <c r="B1352" i="4"/>
  <c r="M1352" i="4" s="1"/>
  <c r="D1351" i="4"/>
  <c r="C1351" i="4"/>
  <c r="B1351" i="4"/>
  <c r="M1351" i="4" s="1"/>
  <c r="D1350" i="4"/>
  <c r="C1350" i="4"/>
  <c r="B1350" i="4"/>
  <c r="M1350" i="4" s="1"/>
  <c r="D1349" i="4"/>
  <c r="C1349" i="4"/>
  <c r="B1349" i="4"/>
  <c r="M1349" i="4" s="1"/>
  <c r="D1348" i="4"/>
  <c r="C1348" i="4"/>
  <c r="B1348" i="4"/>
  <c r="M1348" i="4" s="1"/>
  <c r="D1347" i="4"/>
  <c r="C1347" i="4"/>
  <c r="B1347" i="4"/>
  <c r="M1347" i="4" s="1"/>
  <c r="D1346" i="4"/>
  <c r="C1346" i="4"/>
  <c r="B1346" i="4"/>
  <c r="M1346" i="4" s="1"/>
  <c r="D1345" i="4"/>
  <c r="C1345" i="4"/>
  <c r="B1345" i="4"/>
  <c r="M1345" i="4" s="1"/>
  <c r="D1344" i="4"/>
  <c r="C1344" i="4"/>
  <c r="B1344" i="4"/>
  <c r="M1344" i="4" s="1"/>
  <c r="D1343" i="4"/>
  <c r="C1343" i="4"/>
  <c r="B1343" i="4"/>
  <c r="M1343" i="4" s="1"/>
  <c r="D1342" i="4"/>
  <c r="C1342" i="4"/>
  <c r="B1342" i="4"/>
  <c r="M1342" i="4" s="1"/>
  <c r="D1341" i="4"/>
  <c r="C1341" i="4"/>
  <c r="B1341" i="4"/>
  <c r="M1341" i="4" s="1"/>
  <c r="D1340" i="4"/>
  <c r="C1340" i="4"/>
  <c r="B1340" i="4"/>
  <c r="M1340" i="4" s="1"/>
  <c r="D1339" i="4"/>
  <c r="C1339" i="4"/>
  <c r="B1339" i="4"/>
  <c r="M1339" i="4" s="1"/>
  <c r="D1338" i="4"/>
  <c r="C1338" i="4"/>
  <c r="B1338" i="4"/>
  <c r="M1338" i="4" s="1"/>
  <c r="D1337" i="4"/>
  <c r="C1337" i="4"/>
  <c r="B1337" i="4"/>
  <c r="M1337" i="4" s="1"/>
  <c r="D1336" i="4"/>
  <c r="C1336" i="4"/>
  <c r="B1336" i="4"/>
  <c r="M1336" i="4" s="1"/>
  <c r="D1335" i="4"/>
  <c r="C1335" i="4"/>
  <c r="B1335" i="4"/>
  <c r="M1335" i="4" s="1"/>
  <c r="D1334" i="4"/>
  <c r="C1334" i="4"/>
  <c r="B1334" i="4"/>
  <c r="M1334" i="4" s="1"/>
  <c r="D1333" i="4"/>
  <c r="C1333" i="4"/>
  <c r="B1333" i="4"/>
  <c r="M1333" i="4" s="1"/>
  <c r="D1332" i="4"/>
  <c r="C1332" i="4"/>
  <c r="B1332" i="4"/>
  <c r="M1332" i="4" s="1"/>
  <c r="D1331" i="4"/>
  <c r="C1331" i="4"/>
  <c r="B1331" i="4"/>
  <c r="M1331" i="4" s="1"/>
  <c r="D1330" i="4"/>
  <c r="C1330" i="4"/>
  <c r="B1330" i="4"/>
  <c r="M1330" i="4" s="1"/>
  <c r="D1329" i="4"/>
  <c r="C1329" i="4"/>
  <c r="B1329" i="4"/>
  <c r="M1329" i="4" s="1"/>
  <c r="D1328" i="4"/>
  <c r="C1328" i="4"/>
  <c r="B1328" i="4"/>
  <c r="M1328" i="4" s="1"/>
  <c r="D1327" i="4"/>
  <c r="C1327" i="4"/>
  <c r="B1327" i="4"/>
  <c r="M1327" i="4" s="1"/>
  <c r="D1326" i="4"/>
  <c r="C1326" i="4"/>
  <c r="B1326" i="4"/>
  <c r="M1326" i="4" s="1"/>
  <c r="D1325" i="4"/>
  <c r="C1325" i="4"/>
  <c r="B1325" i="4"/>
  <c r="M1325" i="4" s="1"/>
  <c r="D1324" i="4"/>
  <c r="C1324" i="4"/>
  <c r="B1324" i="4"/>
  <c r="M1324" i="4" s="1"/>
  <c r="D1323" i="4"/>
  <c r="C1323" i="4"/>
  <c r="B1323" i="4"/>
  <c r="M1323" i="4" s="1"/>
  <c r="D1322" i="4"/>
  <c r="C1322" i="4"/>
  <c r="B1322" i="4"/>
  <c r="M1322" i="4" s="1"/>
  <c r="D1321" i="4"/>
  <c r="C1321" i="4"/>
  <c r="B1321" i="4"/>
  <c r="M1321" i="4" s="1"/>
  <c r="D1320" i="4"/>
  <c r="C1320" i="4"/>
  <c r="B1320" i="4"/>
  <c r="M1320" i="4" s="1"/>
  <c r="D1319" i="4"/>
  <c r="C1319" i="4"/>
  <c r="B1319" i="4"/>
  <c r="M1319" i="4" s="1"/>
  <c r="D1318" i="4"/>
  <c r="C1318" i="4"/>
  <c r="B1318" i="4"/>
  <c r="M1318" i="4" s="1"/>
  <c r="D1317" i="4"/>
  <c r="C1317" i="4"/>
  <c r="B1317" i="4"/>
  <c r="M1317" i="4" s="1"/>
  <c r="D1316" i="4"/>
  <c r="C1316" i="4"/>
  <c r="B1316" i="4"/>
  <c r="M1316" i="4" s="1"/>
  <c r="D1315" i="4"/>
  <c r="C1315" i="4"/>
  <c r="B1315" i="4"/>
  <c r="M1315" i="4" s="1"/>
  <c r="D1314" i="4"/>
  <c r="C1314" i="4"/>
  <c r="B1314" i="4"/>
  <c r="M1314" i="4" s="1"/>
  <c r="D1313" i="4"/>
  <c r="C1313" i="4"/>
  <c r="B1313" i="4"/>
  <c r="M1313" i="4" s="1"/>
  <c r="D1312" i="4"/>
  <c r="C1312" i="4"/>
  <c r="B1312" i="4"/>
  <c r="M1312" i="4" s="1"/>
  <c r="D1311" i="4"/>
  <c r="C1311" i="4"/>
  <c r="B1311" i="4"/>
  <c r="M1311" i="4" s="1"/>
  <c r="D1310" i="4"/>
  <c r="C1310" i="4"/>
  <c r="B1310" i="4"/>
  <c r="M1310" i="4" s="1"/>
  <c r="D1309" i="4"/>
  <c r="C1309" i="4"/>
  <c r="B1309" i="4"/>
  <c r="M1309" i="4" s="1"/>
  <c r="D1308" i="4"/>
  <c r="C1308" i="4"/>
  <c r="B1308" i="4"/>
  <c r="M1308" i="4" s="1"/>
  <c r="D1307" i="4"/>
  <c r="C1307" i="4"/>
  <c r="B1307" i="4"/>
  <c r="M1307" i="4" s="1"/>
  <c r="D1306" i="4"/>
  <c r="C1306" i="4"/>
  <c r="B1306" i="4"/>
  <c r="M1306" i="4" s="1"/>
  <c r="D1305" i="4"/>
  <c r="C1305" i="4"/>
  <c r="B1305" i="4"/>
  <c r="M1305" i="4" s="1"/>
  <c r="D1304" i="4"/>
  <c r="C1304" i="4"/>
  <c r="B1304" i="4"/>
  <c r="M1304" i="4" s="1"/>
  <c r="D1303" i="4"/>
  <c r="C1303" i="4"/>
  <c r="B1303" i="4"/>
  <c r="M1303" i="4" s="1"/>
  <c r="D1302" i="4"/>
  <c r="C1302" i="4"/>
  <c r="B1302" i="4"/>
  <c r="M1302" i="4" s="1"/>
  <c r="D1301" i="4"/>
  <c r="C1301" i="4"/>
  <c r="B1301" i="4"/>
  <c r="M1301" i="4" s="1"/>
  <c r="D1300" i="4"/>
  <c r="C1300" i="4"/>
  <c r="B1300" i="4"/>
  <c r="M1300" i="4" s="1"/>
  <c r="D1299" i="4"/>
  <c r="C1299" i="4"/>
  <c r="B1299" i="4"/>
  <c r="M1299" i="4" s="1"/>
  <c r="D1298" i="4"/>
  <c r="C1298" i="4"/>
  <c r="B1298" i="4"/>
  <c r="M1298" i="4" s="1"/>
  <c r="D1297" i="4"/>
  <c r="C1297" i="4"/>
  <c r="B1297" i="4"/>
  <c r="M1297" i="4" s="1"/>
  <c r="D1296" i="4"/>
  <c r="C1296" i="4"/>
  <c r="B1296" i="4"/>
  <c r="M1296" i="4" s="1"/>
  <c r="D1295" i="4"/>
  <c r="C1295" i="4"/>
  <c r="B1295" i="4"/>
  <c r="M1295" i="4" s="1"/>
  <c r="D1294" i="4"/>
  <c r="C1294" i="4"/>
  <c r="B1294" i="4"/>
  <c r="M1294" i="4" s="1"/>
  <c r="D1293" i="4"/>
  <c r="C1293" i="4"/>
  <c r="B1293" i="4"/>
  <c r="M1293" i="4" s="1"/>
  <c r="D1292" i="4"/>
  <c r="C1292" i="4"/>
  <c r="B1292" i="4"/>
  <c r="M1292" i="4" s="1"/>
  <c r="D1291" i="4"/>
  <c r="C1291" i="4"/>
  <c r="B1291" i="4"/>
  <c r="M1291" i="4" s="1"/>
  <c r="D1290" i="4"/>
  <c r="C1290" i="4"/>
  <c r="B1290" i="4"/>
  <c r="M1290" i="4" s="1"/>
  <c r="D1289" i="4"/>
  <c r="C1289" i="4"/>
  <c r="B1289" i="4"/>
  <c r="M1289" i="4" s="1"/>
  <c r="D1288" i="4"/>
  <c r="C1288" i="4"/>
  <c r="B1288" i="4"/>
  <c r="M1288" i="4" s="1"/>
  <c r="D1287" i="4"/>
  <c r="C1287" i="4"/>
  <c r="B1287" i="4"/>
  <c r="M1287" i="4" s="1"/>
  <c r="D1286" i="4"/>
  <c r="C1286" i="4"/>
  <c r="B1286" i="4"/>
  <c r="M1286" i="4" s="1"/>
  <c r="D1285" i="4"/>
  <c r="C1285" i="4"/>
  <c r="B1285" i="4"/>
  <c r="M1285" i="4" s="1"/>
  <c r="D1284" i="4"/>
  <c r="C1284" i="4"/>
  <c r="B1284" i="4"/>
  <c r="M1284" i="4" s="1"/>
  <c r="D1283" i="4"/>
  <c r="C1283" i="4"/>
  <c r="B1283" i="4"/>
  <c r="M1283" i="4" s="1"/>
  <c r="D1282" i="4"/>
  <c r="C1282" i="4"/>
  <c r="B1282" i="4"/>
  <c r="M1282" i="4" s="1"/>
  <c r="D1281" i="4"/>
  <c r="C1281" i="4"/>
  <c r="B1281" i="4"/>
  <c r="M1281" i="4" s="1"/>
  <c r="D1280" i="4"/>
  <c r="C1280" i="4"/>
  <c r="B1280" i="4"/>
  <c r="M1280" i="4" s="1"/>
  <c r="D1279" i="4"/>
  <c r="C1279" i="4"/>
  <c r="B1279" i="4"/>
  <c r="M1279" i="4" s="1"/>
  <c r="D1278" i="4"/>
  <c r="C1278" i="4"/>
  <c r="B1278" i="4"/>
  <c r="M1278" i="4" s="1"/>
  <c r="D1277" i="4"/>
  <c r="C1277" i="4"/>
  <c r="B1277" i="4"/>
  <c r="M1277" i="4" s="1"/>
  <c r="D1276" i="4"/>
  <c r="C1276" i="4"/>
  <c r="B1276" i="4"/>
  <c r="M1276" i="4" s="1"/>
  <c r="D1275" i="4"/>
  <c r="C1275" i="4"/>
  <c r="B1275" i="4"/>
  <c r="M1275" i="4" s="1"/>
  <c r="D1274" i="4"/>
  <c r="C1274" i="4"/>
  <c r="B1274" i="4"/>
  <c r="M1274" i="4" s="1"/>
  <c r="D1273" i="4"/>
  <c r="C1273" i="4"/>
  <c r="B1273" i="4"/>
  <c r="M1273" i="4" s="1"/>
  <c r="D1272" i="4"/>
  <c r="C1272" i="4"/>
  <c r="B1272" i="4"/>
  <c r="M1272" i="4" s="1"/>
  <c r="D1271" i="4"/>
  <c r="C1271" i="4"/>
  <c r="B1271" i="4"/>
  <c r="M1271" i="4" s="1"/>
  <c r="D1270" i="4"/>
  <c r="C1270" i="4"/>
  <c r="B1270" i="4"/>
  <c r="M1270" i="4" s="1"/>
  <c r="D1269" i="4"/>
  <c r="C1269" i="4"/>
  <c r="B1269" i="4"/>
  <c r="M1269" i="4" s="1"/>
  <c r="D1268" i="4"/>
  <c r="C1268" i="4"/>
  <c r="B1268" i="4"/>
  <c r="M1268" i="4" s="1"/>
  <c r="D1267" i="4"/>
  <c r="C1267" i="4"/>
  <c r="B1267" i="4"/>
  <c r="M1267" i="4" s="1"/>
  <c r="D1266" i="4"/>
  <c r="C1266" i="4"/>
  <c r="B1266" i="4"/>
  <c r="M1266" i="4" s="1"/>
  <c r="D1265" i="4"/>
  <c r="C1265" i="4"/>
  <c r="B1265" i="4"/>
  <c r="M1265" i="4" s="1"/>
  <c r="D1264" i="4"/>
  <c r="C1264" i="4"/>
  <c r="B1264" i="4"/>
  <c r="M1264" i="4" s="1"/>
  <c r="D1263" i="4"/>
  <c r="C1263" i="4"/>
  <c r="B1263" i="4"/>
  <c r="M1263" i="4" s="1"/>
  <c r="D1262" i="4"/>
  <c r="C1262" i="4"/>
  <c r="B1262" i="4"/>
  <c r="M1262" i="4" s="1"/>
  <c r="D1261" i="4"/>
  <c r="C1261" i="4"/>
  <c r="B1261" i="4"/>
  <c r="M1261" i="4" s="1"/>
  <c r="D1260" i="4"/>
  <c r="C1260" i="4"/>
  <c r="B1260" i="4"/>
  <c r="M1260" i="4" s="1"/>
  <c r="D1259" i="4"/>
  <c r="C1259" i="4"/>
  <c r="B1259" i="4"/>
  <c r="M1259" i="4" s="1"/>
  <c r="D1258" i="4"/>
  <c r="C1258" i="4"/>
  <c r="B1258" i="4"/>
  <c r="M1258" i="4" s="1"/>
  <c r="D1257" i="4"/>
  <c r="C1257" i="4"/>
  <c r="B1257" i="4"/>
  <c r="M1257" i="4" s="1"/>
  <c r="D1256" i="4"/>
  <c r="C1256" i="4"/>
  <c r="B1256" i="4"/>
  <c r="M1256" i="4" s="1"/>
  <c r="D1255" i="4"/>
  <c r="C1255" i="4"/>
  <c r="B1255" i="4"/>
  <c r="M1255" i="4" s="1"/>
  <c r="D1254" i="4"/>
  <c r="C1254" i="4"/>
  <c r="B1254" i="4"/>
  <c r="M1254" i="4" s="1"/>
  <c r="D1253" i="4"/>
  <c r="C1253" i="4"/>
  <c r="B1253" i="4"/>
  <c r="M1253" i="4" s="1"/>
  <c r="D1252" i="4"/>
  <c r="C1252" i="4"/>
  <c r="B1252" i="4"/>
  <c r="M1252" i="4" s="1"/>
  <c r="D1251" i="4"/>
  <c r="C1251" i="4"/>
  <c r="B1251" i="4"/>
  <c r="M1251" i="4" s="1"/>
  <c r="D1250" i="4"/>
  <c r="C1250" i="4"/>
  <c r="B1250" i="4"/>
  <c r="M1250" i="4" s="1"/>
  <c r="D1249" i="4"/>
  <c r="C1249" i="4"/>
  <c r="B1249" i="4"/>
  <c r="M1249" i="4" s="1"/>
  <c r="D1248" i="4"/>
  <c r="C1248" i="4"/>
  <c r="B1248" i="4"/>
  <c r="M1248" i="4" s="1"/>
  <c r="D1247" i="4"/>
  <c r="C1247" i="4"/>
  <c r="B1247" i="4"/>
  <c r="M1247" i="4" s="1"/>
  <c r="D1246" i="4"/>
  <c r="C1246" i="4"/>
  <c r="B1246" i="4"/>
  <c r="M1246" i="4" s="1"/>
  <c r="D1245" i="4"/>
  <c r="C1245" i="4"/>
  <c r="B1245" i="4"/>
  <c r="M1245" i="4" s="1"/>
  <c r="D1244" i="4"/>
  <c r="C1244" i="4"/>
  <c r="B1244" i="4"/>
  <c r="M1244" i="4" s="1"/>
  <c r="D1243" i="4"/>
  <c r="C1243" i="4"/>
  <c r="B1243" i="4"/>
  <c r="M1243" i="4" s="1"/>
  <c r="D1242" i="4"/>
  <c r="C1242" i="4"/>
  <c r="B1242" i="4"/>
  <c r="M1242" i="4" s="1"/>
  <c r="D1241" i="4"/>
  <c r="C1241" i="4"/>
  <c r="B1241" i="4"/>
  <c r="M1241" i="4" s="1"/>
  <c r="D1240" i="4"/>
  <c r="C1240" i="4"/>
  <c r="B1240" i="4"/>
  <c r="M1240" i="4" s="1"/>
  <c r="D1239" i="4"/>
  <c r="C1239" i="4"/>
  <c r="B1239" i="4"/>
  <c r="M1239" i="4" s="1"/>
  <c r="D1238" i="4"/>
  <c r="C1238" i="4"/>
  <c r="B1238" i="4"/>
  <c r="M1238" i="4" s="1"/>
  <c r="D1237" i="4"/>
  <c r="C1237" i="4"/>
  <c r="B1237" i="4"/>
  <c r="M1237" i="4" s="1"/>
  <c r="D1236" i="4"/>
  <c r="C1236" i="4"/>
  <c r="B1236" i="4"/>
  <c r="M1236" i="4" s="1"/>
  <c r="D1235" i="4"/>
  <c r="C1235" i="4"/>
  <c r="B1235" i="4"/>
  <c r="M1235" i="4" s="1"/>
  <c r="D1234" i="4"/>
  <c r="C1234" i="4"/>
  <c r="B1234" i="4"/>
  <c r="M1234" i="4" s="1"/>
  <c r="D1233" i="4"/>
  <c r="C1233" i="4"/>
  <c r="B1233" i="4"/>
  <c r="M1233" i="4" s="1"/>
  <c r="D1232" i="4"/>
  <c r="C1232" i="4"/>
  <c r="B1232" i="4"/>
  <c r="M1232" i="4" s="1"/>
  <c r="D1231" i="4"/>
  <c r="C1231" i="4"/>
  <c r="B1231" i="4"/>
  <c r="M1231" i="4" s="1"/>
  <c r="D1230" i="4"/>
  <c r="C1230" i="4"/>
  <c r="B1230" i="4"/>
  <c r="M1230" i="4" s="1"/>
  <c r="D1229" i="4"/>
  <c r="C1229" i="4"/>
  <c r="B1229" i="4"/>
  <c r="M1229" i="4" s="1"/>
  <c r="D1228" i="4"/>
  <c r="C1228" i="4"/>
  <c r="B1228" i="4"/>
  <c r="M1228" i="4" s="1"/>
  <c r="D1227" i="4"/>
  <c r="C1227" i="4"/>
  <c r="B1227" i="4"/>
  <c r="M1227" i="4" s="1"/>
  <c r="D1226" i="4"/>
  <c r="C1226" i="4"/>
  <c r="B1226" i="4"/>
  <c r="M1226" i="4" s="1"/>
  <c r="D1225" i="4"/>
  <c r="C1225" i="4"/>
  <c r="B1225" i="4"/>
  <c r="M1225" i="4" s="1"/>
  <c r="D1224" i="4"/>
  <c r="C1224" i="4"/>
  <c r="B1224" i="4"/>
  <c r="M1224" i="4" s="1"/>
  <c r="D1223" i="4"/>
  <c r="C1223" i="4"/>
  <c r="B1223" i="4"/>
  <c r="M1223" i="4" s="1"/>
  <c r="D1222" i="4"/>
  <c r="C1222" i="4"/>
  <c r="B1222" i="4"/>
  <c r="M1222" i="4" s="1"/>
  <c r="D1221" i="4"/>
  <c r="C1221" i="4"/>
  <c r="B1221" i="4"/>
  <c r="M1221" i="4" s="1"/>
  <c r="D1220" i="4"/>
  <c r="C1220" i="4"/>
  <c r="B1220" i="4"/>
  <c r="M1220" i="4" s="1"/>
  <c r="D1219" i="4"/>
  <c r="C1219" i="4"/>
  <c r="B1219" i="4"/>
  <c r="M1219" i="4" s="1"/>
  <c r="D1218" i="4"/>
  <c r="C1218" i="4"/>
  <c r="B1218" i="4"/>
  <c r="M1218" i="4" s="1"/>
  <c r="D1217" i="4"/>
  <c r="C1217" i="4"/>
  <c r="B1217" i="4"/>
  <c r="M1217" i="4" s="1"/>
  <c r="D1216" i="4"/>
  <c r="C1216" i="4"/>
  <c r="B1216" i="4"/>
  <c r="M1216" i="4" s="1"/>
  <c r="D1215" i="4"/>
  <c r="C1215" i="4"/>
  <c r="B1215" i="4"/>
  <c r="M1215" i="4" s="1"/>
  <c r="D1214" i="4"/>
  <c r="C1214" i="4"/>
  <c r="B1214" i="4"/>
  <c r="M1214" i="4" s="1"/>
  <c r="D1213" i="4"/>
  <c r="C1213" i="4"/>
  <c r="B1213" i="4"/>
  <c r="M1213" i="4" s="1"/>
  <c r="D1212" i="4"/>
  <c r="C1212" i="4"/>
  <c r="B1212" i="4"/>
  <c r="M1212" i="4" s="1"/>
  <c r="D1211" i="4"/>
  <c r="C1211" i="4"/>
  <c r="B1211" i="4"/>
  <c r="M1211" i="4" s="1"/>
  <c r="D1210" i="4"/>
  <c r="C1210" i="4"/>
  <c r="B1210" i="4"/>
  <c r="M1210" i="4" s="1"/>
  <c r="D1209" i="4"/>
  <c r="C1209" i="4"/>
  <c r="B1209" i="4"/>
  <c r="M1209" i="4" s="1"/>
  <c r="D1208" i="4"/>
  <c r="C1208" i="4"/>
  <c r="B1208" i="4"/>
  <c r="M1208" i="4" s="1"/>
  <c r="D1207" i="4"/>
  <c r="C1207" i="4"/>
  <c r="B1207" i="4"/>
  <c r="M1207" i="4" s="1"/>
  <c r="D1206" i="4"/>
  <c r="C1206" i="4"/>
  <c r="B1206" i="4"/>
  <c r="M1206" i="4" s="1"/>
  <c r="D1205" i="4"/>
  <c r="C1205" i="4"/>
  <c r="B1205" i="4"/>
  <c r="M1205" i="4" s="1"/>
  <c r="D1204" i="4"/>
  <c r="C1204" i="4"/>
  <c r="B1204" i="4"/>
  <c r="M1204" i="4" s="1"/>
  <c r="D1203" i="4"/>
  <c r="C1203" i="4"/>
  <c r="B1203" i="4"/>
  <c r="M1203" i="4" s="1"/>
  <c r="D1202" i="4"/>
  <c r="C1202" i="4"/>
  <c r="B1202" i="4"/>
  <c r="M1202" i="4" s="1"/>
  <c r="D1201" i="4"/>
  <c r="C1201" i="4"/>
  <c r="B1201" i="4"/>
  <c r="M1201" i="4" s="1"/>
  <c r="D1200" i="4"/>
  <c r="C1200" i="4"/>
  <c r="B1200" i="4"/>
  <c r="M1200" i="4" s="1"/>
  <c r="D1199" i="4"/>
  <c r="C1199" i="4"/>
  <c r="B1199" i="4"/>
  <c r="M1199" i="4" s="1"/>
  <c r="D1198" i="4"/>
  <c r="C1198" i="4"/>
  <c r="B1198" i="4"/>
  <c r="M1198" i="4" s="1"/>
  <c r="D1197" i="4"/>
  <c r="C1197" i="4"/>
  <c r="B1197" i="4"/>
  <c r="M1197" i="4" s="1"/>
  <c r="D1196" i="4"/>
  <c r="C1196" i="4"/>
  <c r="B1196" i="4"/>
  <c r="M1196" i="4" s="1"/>
  <c r="D1195" i="4"/>
  <c r="C1195" i="4"/>
  <c r="B1195" i="4"/>
  <c r="M1195" i="4" s="1"/>
  <c r="D1194" i="4"/>
  <c r="C1194" i="4"/>
  <c r="B1194" i="4"/>
  <c r="M1194" i="4" s="1"/>
  <c r="D1193" i="4"/>
  <c r="C1193" i="4"/>
  <c r="B1193" i="4"/>
  <c r="M1193" i="4" s="1"/>
  <c r="D1192" i="4"/>
  <c r="C1192" i="4"/>
  <c r="B1192" i="4"/>
  <c r="M1192" i="4" s="1"/>
  <c r="D1191" i="4"/>
  <c r="C1191" i="4"/>
  <c r="B1191" i="4"/>
  <c r="M1191" i="4" s="1"/>
  <c r="D1190" i="4"/>
  <c r="C1190" i="4"/>
  <c r="B1190" i="4"/>
  <c r="M1190" i="4" s="1"/>
  <c r="D1189" i="4"/>
  <c r="C1189" i="4"/>
  <c r="B1189" i="4"/>
  <c r="M1189" i="4" s="1"/>
  <c r="D1188" i="4"/>
  <c r="C1188" i="4"/>
  <c r="B1188" i="4"/>
  <c r="M1188" i="4" s="1"/>
  <c r="D1187" i="4"/>
  <c r="C1187" i="4"/>
  <c r="B1187" i="4"/>
  <c r="M1187" i="4" s="1"/>
  <c r="D1186" i="4"/>
  <c r="C1186" i="4"/>
  <c r="B1186" i="4"/>
  <c r="M1186" i="4" s="1"/>
  <c r="D1185" i="4"/>
  <c r="C1185" i="4"/>
  <c r="B1185" i="4"/>
  <c r="M1185" i="4" s="1"/>
  <c r="D1184" i="4"/>
  <c r="C1184" i="4"/>
  <c r="B1184" i="4"/>
  <c r="M1184" i="4" s="1"/>
  <c r="D1183" i="4"/>
  <c r="C1183" i="4"/>
  <c r="B1183" i="4"/>
  <c r="M1183" i="4" s="1"/>
  <c r="D1182" i="4"/>
  <c r="C1182" i="4"/>
  <c r="B1182" i="4"/>
  <c r="M1182" i="4" s="1"/>
  <c r="D1181" i="4"/>
  <c r="C1181" i="4"/>
  <c r="B1181" i="4"/>
  <c r="M1181" i="4" s="1"/>
  <c r="D1180" i="4"/>
  <c r="C1180" i="4"/>
  <c r="B1180" i="4"/>
  <c r="M1180" i="4" s="1"/>
  <c r="D1179" i="4"/>
  <c r="C1179" i="4"/>
  <c r="B1179" i="4"/>
  <c r="M1179" i="4" s="1"/>
  <c r="D1178" i="4"/>
  <c r="C1178" i="4"/>
  <c r="B1178" i="4"/>
  <c r="M1178" i="4" s="1"/>
  <c r="D1177" i="4"/>
  <c r="C1177" i="4"/>
  <c r="B1177" i="4"/>
  <c r="M1177" i="4" s="1"/>
  <c r="D1176" i="4"/>
  <c r="C1176" i="4"/>
  <c r="B1176" i="4"/>
  <c r="M1176" i="4" s="1"/>
  <c r="D1175" i="4"/>
  <c r="C1175" i="4"/>
  <c r="B1175" i="4"/>
  <c r="M1175" i="4" s="1"/>
  <c r="D1174" i="4"/>
  <c r="C1174" i="4"/>
  <c r="B1174" i="4"/>
  <c r="M1174" i="4" s="1"/>
  <c r="D1173" i="4"/>
  <c r="C1173" i="4"/>
  <c r="B1173" i="4"/>
  <c r="M1173" i="4" s="1"/>
  <c r="D1172" i="4"/>
  <c r="C1172" i="4"/>
  <c r="B1172" i="4"/>
  <c r="M1172" i="4" s="1"/>
  <c r="D1171" i="4"/>
  <c r="C1171" i="4"/>
  <c r="B1171" i="4"/>
  <c r="M1171" i="4" s="1"/>
  <c r="D1170" i="4"/>
  <c r="C1170" i="4"/>
  <c r="B1170" i="4"/>
  <c r="M1170" i="4" s="1"/>
  <c r="D1169" i="4"/>
  <c r="C1169" i="4"/>
  <c r="B1169" i="4"/>
  <c r="M1169" i="4" s="1"/>
  <c r="D1168" i="4"/>
  <c r="C1168" i="4"/>
  <c r="B1168" i="4"/>
  <c r="M1168" i="4" s="1"/>
  <c r="D1167" i="4"/>
  <c r="C1167" i="4"/>
  <c r="B1167" i="4"/>
  <c r="M1167" i="4" s="1"/>
  <c r="D1166" i="4"/>
  <c r="C1166" i="4"/>
  <c r="B1166" i="4"/>
  <c r="M1166" i="4" s="1"/>
  <c r="D1165" i="4"/>
  <c r="C1165" i="4"/>
  <c r="B1165" i="4"/>
  <c r="M1165" i="4" s="1"/>
  <c r="D1164" i="4"/>
  <c r="C1164" i="4"/>
  <c r="B1164" i="4"/>
  <c r="M1164" i="4" s="1"/>
  <c r="D1163" i="4"/>
  <c r="C1163" i="4"/>
  <c r="B1163" i="4"/>
  <c r="M1163" i="4" s="1"/>
  <c r="D1162" i="4"/>
  <c r="C1162" i="4"/>
  <c r="B1162" i="4"/>
  <c r="M1162" i="4" s="1"/>
  <c r="D1161" i="4"/>
  <c r="C1161" i="4"/>
  <c r="B1161" i="4"/>
  <c r="M1161" i="4" s="1"/>
  <c r="D1160" i="4"/>
  <c r="C1160" i="4"/>
  <c r="B1160" i="4"/>
  <c r="M1160" i="4" s="1"/>
  <c r="D1159" i="4"/>
  <c r="C1159" i="4"/>
  <c r="B1159" i="4"/>
  <c r="M1159" i="4" s="1"/>
  <c r="D1158" i="4"/>
  <c r="C1158" i="4"/>
  <c r="B1158" i="4"/>
  <c r="M1158" i="4" s="1"/>
  <c r="D1157" i="4"/>
  <c r="C1157" i="4"/>
  <c r="B1157" i="4"/>
  <c r="M1157" i="4" s="1"/>
  <c r="D1156" i="4"/>
  <c r="C1156" i="4"/>
  <c r="B1156" i="4"/>
  <c r="M1156" i="4" s="1"/>
  <c r="D1155" i="4"/>
  <c r="C1155" i="4"/>
  <c r="B1155" i="4"/>
  <c r="M1155" i="4" s="1"/>
  <c r="D1154" i="4"/>
  <c r="C1154" i="4"/>
  <c r="B1154" i="4"/>
  <c r="M1154" i="4" s="1"/>
  <c r="D1153" i="4"/>
  <c r="C1153" i="4"/>
  <c r="B1153" i="4"/>
  <c r="M1153" i="4" s="1"/>
  <c r="D1152" i="4"/>
  <c r="C1152" i="4"/>
  <c r="B1152" i="4"/>
  <c r="M1152" i="4" s="1"/>
  <c r="D1151" i="4"/>
  <c r="C1151" i="4"/>
  <c r="B1151" i="4"/>
  <c r="M1151" i="4" s="1"/>
  <c r="D1150" i="4"/>
  <c r="C1150" i="4"/>
  <c r="B1150" i="4"/>
  <c r="M1150" i="4" s="1"/>
  <c r="D1149" i="4"/>
  <c r="C1149" i="4"/>
  <c r="B1149" i="4"/>
  <c r="M1149" i="4" s="1"/>
  <c r="D1148" i="4"/>
  <c r="C1148" i="4"/>
  <c r="B1148" i="4"/>
  <c r="M1148" i="4" s="1"/>
  <c r="D1147" i="4"/>
  <c r="C1147" i="4"/>
  <c r="B1147" i="4"/>
  <c r="M1147" i="4" s="1"/>
  <c r="D1146" i="4"/>
  <c r="C1146" i="4"/>
  <c r="B1146" i="4"/>
  <c r="M1146" i="4" s="1"/>
  <c r="D1145" i="4"/>
  <c r="C1145" i="4"/>
  <c r="B1145" i="4"/>
  <c r="M1145" i="4" s="1"/>
  <c r="D1144" i="4"/>
  <c r="C1144" i="4"/>
  <c r="B1144" i="4"/>
  <c r="M1144" i="4" s="1"/>
  <c r="D1143" i="4"/>
  <c r="C1143" i="4"/>
  <c r="B1143" i="4"/>
  <c r="M1143" i="4" s="1"/>
  <c r="D1142" i="4"/>
  <c r="C1142" i="4"/>
  <c r="B1142" i="4"/>
  <c r="M1142" i="4" s="1"/>
  <c r="D1141" i="4"/>
  <c r="C1141" i="4"/>
  <c r="B1141" i="4"/>
  <c r="M1141" i="4" s="1"/>
  <c r="D1140" i="4"/>
  <c r="C1140" i="4"/>
  <c r="B1140" i="4"/>
  <c r="M1140" i="4" s="1"/>
  <c r="D1139" i="4"/>
  <c r="C1139" i="4"/>
  <c r="B1139" i="4"/>
  <c r="M1139" i="4" s="1"/>
  <c r="D1138" i="4"/>
  <c r="C1138" i="4"/>
  <c r="B1138" i="4"/>
  <c r="M1138" i="4" s="1"/>
  <c r="D1137" i="4"/>
  <c r="C1137" i="4"/>
  <c r="B1137" i="4"/>
  <c r="M1137" i="4" s="1"/>
  <c r="D1136" i="4"/>
  <c r="C1136" i="4"/>
  <c r="B1136" i="4"/>
  <c r="M1136" i="4" s="1"/>
  <c r="D1135" i="4"/>
  <c r="C1135" i="4"/>
  <c r="B1135" i="4"/>
  <c r="M1135" i="4" s="1"/>
  <c r="D1134" i="4"/>
  <c r="C1134" i="4"/>
  <c r="B1134" i="4"/>
  <c r="M1134" i="4" s="1"/>
  <c r="D1133" i="4"/>
  <c r="C1133" i="4"/>
  <c r="B1133" i="4"/>
  <c r="M1133" i="4" s="1"/>
  <c r="D1132" i="4"/>
  <c r="C1132" i="4"/>
  <c r="B1132" i="4"/>
  <c r="M1132" i="4" s="1"/>
  <c r="D1131" i="4"/>
  <c r="C1131" i="4"/>
  <c r="B1131" i="4"/>
  <c r="M1131" i="4" s="1"/>
  <c r="D1130" i="4"/>
  <c r="C1130" i="4"/>
  <c r="B1130" i="4"/>
  <c r="M1130" i="4" s="1"/>
  <c r="D1129" i="4"/>
  <c r="C1129" i="4"/>
  <c r="B1129" i="4"/>
  <c r="M1129" i="4" s="1"/>
  <c r="D1128" i="4"/>
  <c r="C1128" i="4"/>
  <c r="B1128" i="4"/>
  <c r="M1128" i="4" s="1"/>
  <c r="D1127" i="4"/>
  <c r="C1127" i="4"/>
  <c r="B1127" i="4"/>
  <c r="M1127" i="4" s="1"/>
  <c r="D1126" i="4"/>
  <c r="C1126" i="4"/>
  <c r="B1126" i="4"/>
  <c r="M1126" i="4" s="1"/>
  <c r="D1125" i="4"/>
  <c r="C1125" i="4"/>
  <c r="B1125" i="4"/>
  <c r="M1125" i="4" s="1"/>
  <c r="D1124" i="4"/>
  <c r="C1124" i="4"/>
  <c r="B1124" i="4"/>
  <c r="M1124" i="4" s="1"/>
  <c r="D1123" i="4"/>
  <c r="C1123" i="4"/>
  <c r="B1123" i="4"/>
  <c r="M1123" i="4" s="1"/>
  <c r="D1122" i="4"/>
  <c r="C1122" i="4"/>
  <c r="B1122" i="4"/>
  <c r="M1122" i="4" s="1"/>
  <c r="D1121" i="4"/>
  <c r="C1121" i="4"/>
  <c r="B1121" i="4"/>
  <c r="M1121" i="4" s="1"/>
  <c r="D1120" i="4"/>
  <c r="C1120" i="4"/>
  <c r="B1120" i="4"/>
  <c r="M1120" i="4" s="1"/>
  <c r="D1119" i="4"/>
  <c r="C1119" i="4"/>
  <c r="B1119" i="4"/>
  <c r="M1119" i="4" s="1"/>
  <c r="D1118" i="4"/>
  <c r="C1118" i="4"/>
  <c r="B1118" i="4"/>
  <c r="M1118" i="4" s="1"/>
  <c r="D1117" i="4"/>
  <c r="C1117" i="4"/>
  <c r="B1117" i="4"/>
  <c r="M1117" i="4" s="1"/>
  <c r="D1116" i="4"/>
  <c r="C1116" i="4"/>
  <c r="B1116" i="4"/>
  <c r="M1116" i="4" s="1"/>
  <c r="D1115" i="4"/>
  <c r="C1115" i="4"/>
  <c r="B1115" i="4"/>
  <c r="M1115" i="4" s="1"/>
  <c r="D1114" i="4"/>
  <c r="C1114" i="4"/>
  <c r="B1114" i="4"/>
  <c r="M1114" i="4" s="1"/>
  <c r="D1113" i="4"/>
  <c r="C1113" i="4"/>
  <c r="B1113" i="4"/>
  <c r="M1113" i="4" s="1"/>
  <c r="D1112" i="4"/>
  <c r="C1112" i="4"/>
  <c r="B1112" i="4"/>
  <c r="M1112" i="4" s="1"/>
  <c r="D1111" i="4"/>
  <c r="C1111" i="4"/>
  <c r="B1111" i="4"/>
  <c r="M1111" i="4" s="1"/>
  <c r="D1110" i="4"/>
  <c r="C1110" i="4"/>
  <c r="B1110" i="4"/>
  <c r="M1110" i="4" s="1"/>
  <c r="D1109" i="4"/>
  <c r="C1109" i="4"/>
  <c r="B1109" i="4"/>
  <c r="M1109" i="4" s="1"/>
  <c r="D1108" i="4"/>
  <c r="C1108" i="4"/>
  <c r="B1108" i="4"/>
  <c r="M1108" i="4" s="1"/>
  <c r="D1107" i="4"/>
  <c r="C1107" i="4"/>
  <c r="B1107" i="4"/>
  <c r="M1107" i="4" s="1"/>
  <c r="D1106" i="4"/>
  <c r="C1106" i="4"/>
  <c r="B1106" i="4"/>
  <c r="M1106" i="4" s="1"/>
  <c r="D1105" i="4"/>
  <c r="C1105" i="4"/>
  <c r="B1105" i="4"/>
  <c r="M1105" i="4" s="1"/>
  <c r="D1104" i="4"/>
  <c r="C1104" i="4"/>
  <c r="B1104" i="4"/>
  <c r="M1104" i="4" s="1"/>
  <c r="D1103" i="4"/>
  <c r="C1103" i="4"/>
  <c r="B1103" i="4"/>
  <c r="M1103" i="4" s="1"/>
  <c r="D1102" i="4"/>
  <c r="C1102" i="4"/>
  <c r="B1102" i="4"/>
  <c r="M1102" i="4" s="1"/>
  <c r="D1101" i="4"/>
  <c r="C1101" i="4"/>
  <c r="B1101" i="4"/>
  <c r="M1101" i="4" s="1"/>
  <c r="D1100" i="4"/>
  <c r="C1100" i="4"/>
  <c r="B1100" i="4"/>
  <c r="M1100" i="4" s="1"/>
  <c r="D1099" i="4"/>
  <c r="C1099" i="4"/>
  <c r="B1099" i="4"/>
  <c r="M1099" i="4" s="1"/>
  <c r="D1098" i="4"/>
  <c r="C1098" i="4"/>
  <c r="B1098" i="4"/>
  <c r="M1098" i="4" s="1"/>
  <c r="D1097" i="4"/>
  <c r="C1097" i="4"/>
  <c r="B1097" i="4"/>
  <c r="M1097" i="4" s="1"/>
  <c r="D1096" i="4"/>
  <c r="C1096" i="4"/>
  <c r="B1096" i="4"/>
  <c r="M1096" i="4" s="1"/>
  <c r="D1095" i="4"/>
  <c r="C1095" i="4"/>
  <c r="B1095" i="4"/>
  <c r="M1095" i="4" s="1"/>
  <c r="D1094" i="4"/>
  <c r="C1094" i="4"/>
  <c r="B1094" i="4"/>
  <c r="M1094" i="4" s="1"/>
  <c r="D1093" i="4"/>
  <c r="C1093" i="4"/>
  <c r="B1093" i="4"/>
  <c r="M1093" i="4" s="1"/>
  <c r="D1092" i="4"/>
  <c r="C1092" i="4"/>
  <c r="B1092" i="4"/>
  <c r="M1092" i="4" s="1"/>
  <c r="D1091" i="4"/>
  <c r="C1091" i="4"/>
  <c r="B1091" i="4"/>
  <c r="M1091" i="4" s="1"/>
  <c r="D1090" i="4"/>
  <c r="C1090" i="4"/>
  <c r="B1090" i="4"/>
  <c r="M1090" i="4" s="1"/>
  <c r="D1089" i="4"/>
  <c r="C1089" i="4"/>
  <c r="B1089" i="4"/>
  <c r="M1089" i="4" s="1"/>
  <c r="D1088" i="4"/>
  <c r="C1088" i="4"/>
  <c r="B1088" i="4"/>
  <c r="M1088" i="4" s="1"/>
  <c r="D1087" i="4"/>
  <c r="C1087" i="4"/>
  <c r="B1087" i="4"/>
  <c r="M1087" i="4" s="1"/>
  <c r="D1086" i="4"/>
  <c r="C1086" i="4"/>
  <c r="B1086" i="4"/>
  <c r="M1086" i="4" s="1"/>
  <c r="D1085" i="4"/>
  <c r="C1085" i="4"/>
  <c r="B1085" i="4"/>
  <c r="M1085" i="4" s="1"/>
  <c r="D1084" i="4"/>
  <c r="C1084" i="4"/>
  <c r="B1084" i="4"/>
  <c r="M1084" i="4" s="1"/>
  <c r="D1083" i="4"/>
  <c r="C1083" i="4"/>
  <c r="B1083" i="4"/>
  <c r="M1083" i="4" s="1"/>
  <c r="D1082" i="4"/>
  <c r="C1082" i="4"/>
  <c r="B1082" i="4"/>
  <c r="M1082" i="4" s="1"/>
  <c r="D1081" i="4"/>
  <c r="C1081" i="4"/>
  <c r="B1081" i="4"/>
  <c r="M1081" i="4" s="1"/>
  <c r="D1080" i="4"/>
  <c r="C1080" i="4"/>
  <c r="B1080" i="4"/>
  <c r="M1080" i="4" s="1"/>
  <c r="D1079" i="4"/>
  <c r="C1079" i="4"/>
  <c r="B1079" i="4"/>
  <c r="M1079" i="4" s="1"/>
  <c r="D1078" i="4"/>
  <c r="C1078" i="4"/>
  <c r="B1078" i="4"/>
  <c r="M1078" i="4" s="1"/>
  <c r="D1077" i="4"/>
  <c r="C1077" i="4"/>
  <c r="B1077" i="4"/>
  <c r="M1077" i="4" s="1"/>
  <c r="D1076" i="4"/>
  <c r="C1076" i="4"/>
  <c r="B1076" i="4"/>
  <c r="M1076" i="4" s="1"/>
  <c r="D1075" i="4"/>
  <c r="C1075" i="4"/>
  <c r="B1075" i="4"/>
  <c r="M1075" i="4" s="1"/>
  <c r="D1074" i="4"/>
  <c r="C1074" i="4"/>
  <c r="B1074" i="4"/>
  <c r="M1074" i="4" s="1"/>
  <c r="D1073" i="4"/>
  <c r="C1073" i="4"/>
  <c r="B1073" i="4"/>
  <c r="M1073" i="4" s="1"/>
  <c r="D1072" i="4"/>
  <c r="C1072" i="4"/>
  <c r="B1072" i="4"/>
  <c r="M1072" i="4" s="1"/>
  <c r="D1071" i="4"/>
  <c r="C1071" i="4"/>
  <c r="B1071" i="4"/>
  <c r="M1071" i="4" s="1"/>
  <c r="D1070" i="4"/>
  <c r="C1070" i="4"/>
  <c r="B1070" i="4"/>
  <c r="M1070" i="4" s="1"/>
  <c r="D1069" i="4"/>
  <c r="C1069" i="4"/>
  <c r="B1069" i="4"/>
  <c r="M1069" i="4" s="1"/>
  <c r="D1068" i="4"/>
  <c r="C1068" i="4"/>
  <c r="B1068" i="4"/>
  <c r="M1068" i="4" s="1"/>
  <c r="D1067" i="4"/>
  <c r="C1067" i="4"/>
  <c r="B1067" i="4"/>
  <c r="M1067" i="4" s="1"/>
  <c r="D1066" i="4"/>
  <c r="C1066" i="4"/>
  <c r="B1066" i="4"/>
  <c r="M1066" i="4" s="1"/>
  <c r="D1065" i="4"/>
  <c r="C1065" i="4"/>
  <c r="B1065" i="4"/>
  <c r="M1065" i="4" s="1"/>
  <c r="D1064" i="4"/>
  <c r="C1064" i="4"/>
  <c r="B1064" i="4"/>
  <c r="M1064" i="4" s="1"/>
  <c r="D1063" i="4"/>
  <c r="C1063" i="4"/>
  <c r="B1063" i="4"/>
  <c r="M1063" i="4" s="1"/>
  <c r="D1062" i="4"/>
  <c r="C1062" i="4"/>
  <c r="B1062" i="4"/>
  <c r="M1062" i="4" s="1"/>
  <c r="D1061" i="4"/>
  <c r="C1061" i="4"/>
  <c r="B1061" i="4"/>
  <c r="M1061" i="4" s="1"/>
  <c r="D1060" i="4"/>
  <c r="C1060" i="4"/>
  <c r="B1060" i="4"/>
  <c r="M1060" i="4" s="1"/>
  <c r="D1059" i="4"/>
  <c r="C1059" i="4"/>
  <c r="B1059" i="4"/>
  <c r="M1059" i="4" s="1"/>
  <c r="D1058" i="4"/>
  <c r="C1058" i="4"/>
  <c r="B1058" i="4"/>
  <c r="M1058" i="4" s="1"/>
  <c r="D1057" i="4"/>
  <c r="C1057" i="4"/>
  <c r="B1057" i="4"/>
  <c r="M1057" i="4" s="1"/>
  <c r="D1056" i="4"/>
  <c r="C1056" i="4"/>
  <c r="B1056" i="4"/>
  <c r="M1056" i="4" s="1"/>
  <c r="D1055" i="4"/>
  <c r="C1055" i="4"/>
  <c r="B1055" i="4"/>
  <c r="M1055" i="4" s="1"/>
  <c r="D1054" i="4"/>
  <c r="C1054" i="4"/>
  <c r="B1054" i="4"/>
  <c r="M1054" i="4" s="1"/>
  <c r="D1053" i="4"/>
  <c r="C1053" i="4"/>
  <c r="B1053" i="4"/>
  <c r="M1053" i="4" s="1"/>
  <c r="D1052" i="4"/>
  <c r="C1052" i="4"/>
  <c r="B1052" i="4"/>
  <c r="M1052" i="4" s="1"/>
  <c r="D1051" i="4"/>
  <c r="C1051" i="4"/>
  <c r="B1051" i="4"/>
  <c r="M1051" i="4" s="1"/>
  <c r="D1050" i="4"/>
  <c r="C1050" i="4"/>
  <c r="B1050" i="4"/>
  <c r="M1050" i="4" s="1"/>
  <c r="D1049" i="4"/>
  <c r="C1049" i="4"/>
  <c r="B1049" i="4"/>
  <c r="M1049" i="4" s="1"/>
  <c r="D1048" i="4"/>
  <c r="C1048" i="4"/>
  <c r="B1048" i="4"/>
  <c r="M1048" i="4" s="1"/>
  <c r="D1047" i="4"/>
  <c r="C1047" i="4"/>
  <c r="B1047" i="4"/>
  <c r="M1047" i="4" s="1"/>
  <c r="D1046" i="4"/>
  <c r="C1046" i="4"/>
  <c r="B1046" i="4"/>
  <c r="M1046" i="4" s="1"/>
  <c r="D1045" i="4"/>
  <c r="C1045" i="4"/>
  <c r="B1045" i="4"/>
  <c r="M1045" i="4" s="1"/>
  <c r="D1044" i="4"/>
  <c r="C1044" i="4"/>
  <c r="B1044" i="4"/>
  <c r="M1044" i="4" s="1"/>
  <c r="D1043" i="4"/>
  <c r="C1043" i="4"/>
  <c r="B1043" i="4"/>
  <c r="M1043" i="4" s="1"/>
  <c r="D1042" i="4"/>
  <c r="C1042" i="4"/>
  <c r="B1042" i="4"/>
  <c r="M1042" i="4" s="1"/>
  <c r="D1041" i="4"/>
  <c r="C1041" i="4"/>
  <c r="B1041" i="4"/>
  <c r="M1041" i="4" s="1"/>
  <c r="D1040" i="4"/>
  <c r="C1040" i="4"/>
  <c r="B1040" i="4"/>
  <c r="M1040" i="4" s="1"/>
  <c r="D1039" i="4"/>
  <c r="C1039" i="4"/>
  <c r="B1039" i="4"/>
  <c r="M1039" i="4" s="1"/>
  <c r="D1038" i="4"/>
  <c r="C1038" i="4"/>
  <c r="B1038" i="4"/>
  <c r="M1038" i="4" s="1"/>
  <c r="D1037" i="4"/>
  <c r="C1037" i="4"/>
  <c r="B1037" i="4"/>
  <c r="M1037" i="4" s="1"/>
  <c r="D1036" i="4"/>
  <c r="C1036" i="4"/>
  <c r="B1036" i="4"/>
  <c r="M1036" i="4" s="1"/>
  <c r="D1035" i="4"/>
  <c r="C1035" i="4"/>
  <c r="B1035" i="4"/>
  <c r="M1035" i="4" s="1"/>
  <c r="D1034" i="4"/>
  <c r="C1034" i="4"/>
  <c r="B1034" i="4"/>
  <c r="M1034" i="4" s="1"/>
  <c r="D1033" i="4"/>
  <c r="C1033" i="4"/>
  <c r="B1033" i="4"/>
  <c r="M1033" i="4" s="1"/>
  <c r="D1032" i="4"/>
  <c r="C1032" i="4"/>
  <c r="B1032" i="4"/>
  <c r="M1032" i="4" s="1"/>
  <c r="D1031" i="4"/>
  <c r="C1031" i="4"/>
  <c r="B1031" i="4"/>
  <c r="M1031" i="4" s="1"/>
  <c r="D1030" i="4"/>
  <c r="C1030" i="4"/>
  <c r="B1030" i="4"/>
  <c r="M1030" i="4" s="1"/>
  <c r="D1029" i="4"/>
  <c r="C1029" i="4"/>
  <c r="B1029" i="4"/>
  <c r="M1029" i="4" s="1"/>
  <c r="D1028" i="4"/>
  <c r="C1028" i="4"/>
  <c r="B1028" i="4"/>
  <c r="M1028" i="4" s="1"/>
  <c r="D1027" i="4"/>
  <c r="C1027" i="4"/>
  <c r="B1027" i="4"/>
  <c r="M1027" i="4" s="1"/>
  <c r="D1026" i="4"/>
  <c r="C1026" i="4"/>
  <c r="B1026" i="4"/>
  <c r="M1026" i="4" s="1"/>
  <c r="D1025" i="4"/>
  <c r="C1025" i="4"/>
  <c r="B1025" i="4"/>
  <c r="M1025" i="4" s="1"/>
  <c r="D1024" i="4"/>
  <c r="C1024" i="4"/>
  <c r="B1024" i="4"/>
  <c r="M1024" i="4" s="1"/>
  <c r="D1023" i="4"/>
  <c r="C1023" i="4"/>
  <c r="B1023" i="4"/>
  <c r="M1023" i="4" s="1"/>
  <c r="D1022" i="4"/>
  <c r="C1022" i="4"/>
  <c r="B1022" i="4"/>
  <c r="M1022" i="4" s="1"/>
  <c r="D1021" i="4"/>
  <c r="C1021" i="4"/>
  <c r="B1021" i="4"/>
  <c r="M1021" i="4" s="1"/>
  <c r="D1020" i="4"/>
  <c r="C1020" i="4"/>
  <c r="B1020" i="4"/>
  <c r="M1020" i="4" s="1"/>
  <c r="D1019" i="4"/>
  <c r="C1019" i="4"/>
  <c r="B1019" i="4"/>
  <c r="M1019" i="4" s="1"/>
  <c r="D1018" i="4"/>
  <c r="C1018" i="4"/>
  <c r="B1018" i="4"/>
  <c r="M1018" i="4" s="1"/>
  <c r="D1017" i="4"/>
  <c r="C1017" i="4"/>
  <c r="B1017" i="4"/>
  <c r="M1017" i="4" s="1"/>
  <c r="D1016" i="4"/>
  <c r="C1016" i="4"/>
  <c r="B1016" i="4"/>
  <c r="M1016" i="4" s="1"/>
  <c r="D1015" i="4"/>
  <c r="C1015" i="4"/>
  <c r="B1015" i="4"/>
  <c r="M1015" i="4" s="1"/>
  <c r="D1014" i="4"/>
  <c r="C1014" i="4"/>
  <c r="B1014" i="4"/>
  <c r="M1014" i="4" s="1"/>
  <c r="D1013" i="4"/>
  <c r="C1013" i="4"/>
  <c r="B1013" i="4"/>
  <c r="M1013" i="4" s="1"/>
  <c r="D1012" i="4"/>
  <c r="C1012" i="4"/>
  <c r="B1012" i="4"/>
  <c r="M1012" i="4" s="1"/>
  <c r="D1011" i="4"/>
  <c r="C1011" i="4"/>
  <c r="B1011" i="4"/>
  <c r="M1011" i="4" s="1"/>
  <c r="D1010" i="4"/>
  <c r="C1010" i="4"/>
  <c r="B1010" i="4"/>
  <c r="M1010" i="4" s="1"/>
  <c r="D1009" i="4"/>
  <c r="C1009" i="4"/>
  <c r="B1009" i="4"/>
  <c r="M1009" i="4" s="1"/>
  <c r="D1008" i="4"/>
  <c r="C1008" i="4"/>
  <c r="B1008" i="4"/>
  <c r="M1008" i="4" s="1"/>
  <c r="D1007" i="4"/>
  <c r="C1007" i="4"/>
  <c r="B1007" i="4"/>
  <c r="M1007" i="4" s="1"/>
  <c r="D1006" i="4"/>
  <c r="C1006" i="4"/>
  <c r="B1006" i="4"/>
  <c r="M1006" i="4" s="1"/>
  <c r="D1005" i="4"/>
  <c r="C1005" i="4"/>
  <c r="B1005" i="4"/>
  <c r="M1005" i="4" s="1"/>
  <c r="D1004" i="4"/>
  <c r="C1004" i="4"/>
  <c r="B1004" i="4"/>
  <c r="M1004" i="4" s="1"/>
  <c r="D1003" i="4"/>
  <c r="C1003" i="4"/>
  <c r="B1003" i="4"/>
  <c r="M1003" i="4" s="1"/>
  <c r="D1002" i="4"/>
  <c r="C1002" i="4"/>
  <c r="B1002" i="4"/>
  <c r="M1002" i="4" s="1"/>
  <c r="D1001" i="4"/>
  <c r="C1001" i="4"/>
  <c r="B1001" i="4"/>
  <c r="M1001" i="4" s="1"/>
  <c r="D1000" i="4"/>
  <c r="C1000" i="4"/>
  <c r="B1000" i="4"/>
  <c r="M1000" i="4" s="1"/>
  <c r="D999" i="4"/>
  <c r="C999" i="4"/>
  <c r="B999" i="4"/>
  <c r="M999" i="4" s="1"/>
  <c r="D998" i="4"/>
  <c r="C998" i="4"/>
  <c r="B998" i="4"/>
  <c r="M998" i="4" s="1"/>
  <c r="D997" i="4"/>
  <c r="C997" i="4"/>
  <c r="B997" i="4"/>
  <c r="M997" i="4" s="1"/>
  <c r="D996" i="4"/>
  <c r="C996" i="4"/>
  <c r="B996" i="4"/>
  <c r="M996" i="4" s="1"/>
  <c r="D995" i="4"/>
  <c r="C995" i="4"/>
  <c r="B995" i="4"/>
  <c r="M995" i="4" s="1"/>
  <c r="D994" i="4"/>
  <c r="C994" i="4"/>
  <c r="B994" i="4"/>
  <c r="M994" i="4" s="1"/>
  <c r="D993" i="4"/>
  <c r="C993" i="4"/>
  <c r="B993" i="4"/>
  <c r="M993" i="4" s="1"/>
  <c r="D992" i="4"/>
  <c r="C992" i="4"/>
  <c r="B992" i="4"/>
  <c r="M992" i="4" s="1"/>
  <c r="D991" i="4"/>
  <c r="C991" i="4"/>
  <c r="B991" i="4"/>
  <c r="M991" i="4" s="1"/>
  <c r="D990" i="4"/>
  <c r="C990" i="4"/>
  <c r="B990" i="4"/>
  <c r="M990" i="4" s="1"/>
  <c r="D989" i="4"/>
  <c r="C989" i="4"/>
  <c r="B989" i="4"/>
  <c r="M989" i="4" s="1"/>
  <c r="D988" i="4"/>
  <c r="C988" i="4"/>
  <c r="B988" i="4"/>
  <c r="M988" i="4" s="1"/>
  <c r="D987" i="4"/>
  <c r="C987" i="4"/>
  <c r="B987" i="4"/>
  <c r="M987" i="4" s="1"/>
  <c r="D986" i="4"/>
  <c r="C986" i="4"/>
  <c r="B986" i="4"/>
  <c r="M986" i="4" s="1"/>
  <c r="D985" i="4"/>
  <c r="C985" i="4"/>
  <c r="B985" i="4"/>
  <c r="M985" i="4" s="1"/>
  <c r="D984" i="4"/>
  <c r="C984" i="4"/>
  <c r="B984" i="4"/>
  <c r="M984" i="4" s="1"/>
  <c r="D983" i="4"/>
  <c r="C983" i="4"/>
  <c r="B983" i="4"/>
  <c r="M983" i="4" s="1"/>
  <c r="D982" i="4"/>
  <c r="C982" i="4"/>
  <c r="B982" i="4"/>
  <c r="M982" i="4" s="1"/>
  <c r="D981" i="4"/>
  <c r="C981" i="4"/>
  <c r="B981" i="4"/>
  <c r="M981" i="4" s="1"/>
  <c r="D980" i="4"/>
  <c r="C980" i="4"/>
  <c r="B980" i="4"/>
  <c r="M980" i="4" s="1"/>
  <c r="D979" i="4"/>
  <c r="C979" i="4"/>
  <c r="B979" i="4"/>
  <c r="M979" i="4" s="1"/>
  <c r="D978" i="4"/>
  <c r="C978" i="4"/>
  <c r="B978" i="4"/>
  <c r="M978" i="4" s="1"/>
  <c r="D977" i="4"/>
  <c r="C977" i="4"/>
  <c r="B977" i="4"/>
  <c r="M977" i="4" s="1"/>
  <c r="D976" i="4"/>
  <c r="C976" i="4"/>
  <c r="B976" i="4"/>
  <c r="M976" i="4" s="1"/>
  <c r="D975" i="4"/>
  <c r="C975" i="4"/>
  <c r="B975" i="4"/>
  <c r="M975" i="4" s="1"/>
  <c r="D974" i="4"/>
  <c r="C974" i="4"/>
  <c r="B974" i="4"/>
  <c r="M974" i="4" s="1"/>
  <c r="D973" i="4"/>
  <c r="C973" i="4"/>
  <c r="B973" i="4"/>
  <c r="M973" i="4" s="1"/>
  <c r="D972" i="4"/>
  <c r="C972" i="4"/>
  <c r="B972" i="4"/>
  <c r="M972" i="4" s="1"/>
  <c r="D971" i="4"/>
  <c r="C971" i="4"/>
  <c r="B971" i="4"/>
  <c r="M971" i="4" s="1"/>
  <c r="D970" i="4"/>
  <c r="C970" i="4"/>
  <c r="B970" i="4"/>
  <c r="M970" i="4" s="1"/>
  <c r="D969" i="4"/>
  <c r="C969" i="4"/>
  <c r="B969" i="4"/>
  <c r="M969" i="4" s="1"/>
  <c r="D968" i="4"/>
  <c r="C968" i="4"/>
  <c r="B968" i="4"/>
  <c r="M968" i="4" s="1"/>
  <c r="D967" i="4"/>
  <c r="C967" i="4"/>
  <c r="B967" i="4"/>
  <c r="M967" i="4" s="1"/>
  <c r="D966" i="4"/>
  <c r="C966" i="4"/>
  <c r="B966" i="4"/>
  <c r="M966" i="4" s="1"/>
  <c r="D965" i="4"/>
  <c r="C965" i="4"/>
  <c r="B965" i="4"/>
  <c r="M965" i="4" s="1"/>
  <c r="D964" i="4"/>
  <c r="C964" i="4"/>
  <c r="B964" i="4"/>
  <c r="M964" i="4" s="1"/>
  <c r="D963" i="4"/>
  <c r="C963" i="4"/>
  <c r="B963" i="4"/>
  <c r="M963" i="4" s="1"/>
  <c r="D962" i="4"/>
  <c r="C962" i="4"/>
  <c r="B962" i="4"/>
  <c r="M962" i="4" s="1"/>
  <c r="D961" i="4"/>
  <c r="C961" i="4"/>
  <c r="B961" i="4"/>
  <c r="M961" i="4" s="1"/>
  <c r="D960" i="4"/>
  <c r="C960" i="4"/>
  <c r="B960" i="4"/>
  <c r="M960" i="4" s="1"/>
  <c r="D959" i="4"/>
  <c r="C959" i="4"/>
  <c r="B959" i="4"/>
  <c r="M959" i="4" s="1"/>
  <c r="D958" i="4"/>
  <c r="C958" i="4"/>
  <c r="B958" i="4"/>
  <c r="M958" i="4" s="1"/>
  <c r="D957" i="4"/>
  <c r="C957" i="4"/>
  <c r="B957" i="4"/>
  <c r="M957" i="4" s="1"/>
  <c r="D956" i="4"/>
  <c r="C956" i="4"/>
  <c r="B956" i="4"/>
  <c r="M956" i="4" s="1"/>
  <c r="D955" i="4"/>
  <c r="C955" i="4"/>
  <c r="B955" i="4"/>
  <c r="M955" i="4" s="1"/>
  <c r="D954" i="4"/>
  <c r="C954" i="4"/>
  <c r="B954" i="4"/>
  <c r="M954" i="4" s="1"/>
  <c r="D953" i="4"/>
  <c r="C953" i="4"/>
  <c r="B953" i="4"/>
  <c r="M953" i="4" s="1"/>
  <c r="D952" i="4"/>
  <c r="C952" i="4"/>
  <c r="B952" i="4"/>
  <c r="M952" i="4" s="1"/>
  <c r="D951" i="4"/>
  <c r="C951" i="4"/>
  <c r="B951" i="4"/>
  <c r="M951" i="4" s="1"/>
  <c r="D950" i="4"/>
  <c r="C950" i="4"/>
  <c r="B950" i="4"/>
  <c r="M950" i="4" s="1"/>
  <c r="D949" i="4"/>
  <c r="C949" i="4"/>
  <c r="B949" i="4"/>
  <c r="M949" i="4" s="1"/>
  <c r="D948" i="4"/>
  <c r="C948" i="4"/>
  <c r="B948" i="4"/>
  <c r="M948" i="4" s="1"/>
  <c r="D947" i="4"/>
  <c r="C947" i="4"/>
  <c r="B947" i="4"/>
  <c r="M947" i="4" s="1"/>
  <c r="D946" i="4"/>
  <c r="C946" i="4"/>
  <c r="B946" i="4"/>
  <c r="M946" i="4" s="1"/>
  <c r="D945" i="4"/>
  <c r="C945" i="4"/>
  <c r="B945" i="4"/>
  <c r="M945" i="4" s="1"/>
  <c r="D944" i="4"/>
  <c r="C944" i="4"/>
  <c r="B944" i="4"/>
  <c r="M944" i="4" s="1"/>
  <c r="D943" i="4"/>
  <c r="C943" i="4"/>
  <c r="B943" i="4"/>
  <c r="M943" i="4" s="1"/>
  <c r="D942" i="4"/>
  <c r="C942" i="4"/>
  <c r="B942" i="4"/>
  <c r="M942" i="4" s="1"/>
  <c r="D941" i="4"/>
  <c r="C941" i="4"/>
  <c r="B941" i="4"/>
  <c r="M941" i="4" s="1"/>
  <c r="D940" i="4"/>
  <c r="C940" i="4"/>
  <c r="B940" i="4"/>
  <c r="M940" i="4" s="1"/>
  <c r="D939" i="4"/>
  <c r="C939" i="4"/>
  <c r="B939" i="4"/>
  <c r="M939" i="4" s="1"/>
  <c r="D938" i="4"/>
  <c r="C938" i="4"/>
  <c r="B938" i="4"/>
  <c r="M938" i="4" s="1"/>
  <c r="D937" i="4"/>
  <c r="C937" i="4"/>
  <c r="B937" i="4"/>
  <c r="M937" i="4" s="1"/>
  <c r="D936" i="4"/>
  <c r="C936" i="4"/>
  <c r="B936" i="4"/>
  <c r="M936" i="4" s="1"/>
  <c r="D935" i="4"/>
  <c r="C935" i="4"/>
  <c r="B935" i="4"/>
  <c r="M935" i="4" s="1"/>
  <c r="D934" i="4"/>
  <c r="C934" i="4"/>
  <c r="B934" i="4"/>
  <c r="M934" i="4" s="1"/>
  <c r="D933" i="4"/>
  <c r="C933" i="4"/>
  <c r="B933" i="4"/>
  <c r="M933" i="4" s="1"/>
  <c r="D932" i="4"/>
  <c r="C932" i="4"/>
  <c r="B932" i="4"/>
  <c r="M932" i="4" s="1"/>
  <c r="D931" i="4"/>
  <c r="C931" i="4"/>
  <c r="B931" i="4"/>
  <c r="M931" i="4" s="1"/>
  <c r="D930" i="4"/>
  <c r="C930" i="4"/>
  <c r="B930" i="4"/>
  <c r="M930" i="4" s="1"/>
  <c r="D929" i="4"/>
  <c r="C929" i="4"/>
  <c r="B929" i="4"/>
  <c r="M929" i="4" s="1"/>
  <c r="D928" i="4"/>
  <c r="C928" i="4"/>
  <c r="B928" i="4"/>
  <c r="M928" i="4" s="1"/>
  <c r="D927" i="4"/>
  <c r="C927" i="4"/>
  <c r="B927" i="4"/>
  <c r="M927" i="4" s="1"/>
  <c r="D926" i="4"/>
  <c r="C926" i="4"/>
  <c r="B926" i="4"/>
  <c r="M926" i="4" s="1"/>
  <c r="D925" i="4"/>
  <c r="C925" i="4"/>
  <c r="B925" i="4"/>
  <c r="M925" i="4" s="1"/>
  <c r="D924" i="4"/>
  <c r="C924" i="4"/>
  <c r="B924" i="4"/>
  <c r="M924" i="4" s="1"/>
  <c r="D923" i="4"/>
  <c r="C923" i="4"/>
  <c r="B923" i="4"/>
  <c r="M923" i="4" s="1"/>
  <c r="D922" i="4"/>
  <c r="C922" i="4"/>
  <c r="B922" i="4"/>
  <c r="M922" i="4" s="1"/>
  <c r="D921" i="4"/>
  <c r="C921" i="4"/>
  <c r="B921" i="4"/>
  <c r="M921" i="4" s="1"/>
  <c r="D920" i="4"/>
  <c r="C920" i="4"/>
  <c r="B920" i="4"/>
  <c r="M920" i="4" s="1"/>
  <c r="D919" i="4"/>
  <c r="C919" i="4"/>
  <c r="B919" i="4"/>
  <c r="M919" i="4" s="1"/>
  <c r="D918" i="4"/>
  <c r="C918" i="4"/>
  <c r="B918" i="4"/>
  <c r="M918" i="4" s="1"/>
  <c r="D917" i="4"/>
  <c r="C917" i="4"/>
  <c r="B917" i="4"/>
  <c r="M917" i="4" s="1"/>
  <c r="D916" i="4"/>
  <c r="C916" i="4"/>
  <c r="B916" i="4"/>
  <c r="M916" i="4" s="1"/>
  <c r="D915" i="4"/>
  <c r="C915" i="4"/>
  <c r="B915" i="4"/>
  <c r="M915" i="4" s="1"/>
  <c r="D914" i="4"/>
  <c r="C914" i="4"/>
  <c r="B914" i="4"/>
  <c r="M914" i="4" s="1"/>
  <c r="D913" i="4"/>
  <c r="C913" i="4"/>
  <c r="B913" i="4"/>
  <c r="M913" i="4" s="1"/>
  <c r="D912" i="4"/>
  <c r="C912" i="4"/>
  <c r="B912" i="4"/>
  <c r="M912" i="4" s="1"/>
  <c r="D911" i="4"/>
  <c r="C911" i="4"/>
  <c r="B911" i="4"/>
  <c r="M911" i="4" s="1"/>
  <c r="D910" i="4"/>
  <c r="C910" i="4"/>
  <c r="B910" i="4"/>
  <c r="M910" i="4" s="1"/>
  <c r="D909" i="4"/>
  <c r="C909" i="4"/>
  <c r="B909" i="4"/>
  <c r="M909" i="4" s="1"/>
  <c r="D908" i="4"/>
  <c r="C908" i="4"/>
  <c r="B908" i="4"/>
  <c r="M908" i="4" s="1"/>
  <c r="D907" i="4"/>
  <c r="C907" i="4"/>
  <c r="B907" i="4"/>
  <c r="M907" i="4" s="1"/>
  <c r="D906" i="4"/>
  <c r="C906" i="4"/>
  <c r="B906" i="4"/>
  <c r="M906" i="4" s="1"/>
  <c r="D905" i="4"/>
  <c r="C905" i="4"/>
  <c r="B905" i="4"/>
  <c r="M905" i="4" s="1"/>
  <c r="D904" i="4"/>
  <c r="C904" i="4"/>
  <c r="B904" i="4"/>
  <c r="M904" i="4" s="1"/>
  <c r="D903" i="4"/>
  <c r="C903" i="4"/>
  <c r="B903" i="4"/>
  <c r="M903" i="4" s="1"/>
  <c r="D902" i="4"/>
  <c r="C902" i="4"/>
  <c r="B902" i="4"/>
  <c r="M902" i="4" s="1"/>
  <c r="D901" i="4"/>
  <c r="C901" i="4"/>
  <c r="B901" i="4"/>
  <c r="M901" i="4" s="1"/>
  <c r="D900" i="4"/>
  <c r="C900" i="4"/>
  <c r="B900" i="4"/>
  <c r="M900" i="4" s="1"/>
  <c r="D899" i="4"/>
  <c r="C899" i="4"/>
  <c r="B899" i="4"/>
  <c r="M899" i="4" s="1"/>
  <c r="D898" i="4"/>
  <c r="C898" i="4"/>
  <c r="B898" i="4"/>
  <c r="M898" i="4" s="1"/>
  <c r="D897" i="4"/>
  <c r="C897" i="4"/>
  <c r="B897" i="4"/>
  <c r="M897" i="4" s="1"/>
  <c r="D896" i="4"/>
  <c r="C896" i="4"/>
  <c r="B896" i="4"/>
  <c r="M896" i="4" s="1"/>
  <c r="D895" i="4"/>
  <c r="C895" i="4"/>
  <c r="B895" i="4"/>
  <c r="M895" i="4" s="1"/>
  <c r="D894" i="4"/>
  <c r="C894" i="4"/>
  <c r="B894" i="4"/>
  <c r="M894" i="4" s="1"/>
  <c r="D893" i="4"/>
  <c r="C893" i="4"/>
  <c r="B893" i="4"/>
  <c r="M893" i="4" s="1"/>
  <c r="D892" i="4"/>
  <c r="C892" i="4"/>
  <c r="B892" i="4"/>
  <c r="M892" i="4" s="1"/>
  <c r="D891" i="4"/>
  <c r="C891" i="4"/>
  <c r="B891" i="4"/>
  <c r="M891" i="4" s="1"/>
  <c r="D890" i="4"/>
  <c r="C890" i="4"/>
  <c r="B890" i="4"/>
  <c r="M890" i="4" s="1"/>
  <c r="D889" i="4"/>
  <c r="C889" i="4"/>
  <c r="B889" i="4"/>
  <c r="M889" i="4" s="1"/>
  <c r="D888" i="4"/>
  <c r="C888" i="4"/>
  <c r="B888" i="4"/>
  <c r="M888" i="4" s="1"/>
  <c r="D887" i="4"/>
  <c r="C887" i="4"/>
  <c r="B887" i="4"/>
  <c r="M887" i="4" s="1"/>
  <c r="D886" i="4"/>
  <c r="C886" i="4"/>
  <c r="B886" i="4"/>
  <c r="M886" i="4" s="1"/>
  <c r="D885" i="4"/>
  <c r="C885" i="4"/>
  <c r="B885" i="4"/>
  <c r="M885" i="4" s="1"/>
  <c r="D884" i="4"/>
  <c r="C884" i="4"/>
  <c r="B884" i="4"/>
  <c r="M884" i="4" s="1"/>
  <c r="D883" i="4"/>
  <c r="C883" i="4"/>
  <c r="B883" i="4"/>
  <c r="M883" i="4" s="1"/>
  <c r="D882" i="4"/>
  <c r="C882" i="4"/>
  <c r="B882" i="4"/>
  <c r="M882" i="4" s="1"/>
  <c r="D881" i="4"/>
  <c r="C881" i="4"/>
  <c r="B881" i="4"/>
  <c r="M881" i="4" s="1"/>
  <c r="D880" i="4"/>
  <c r="C880" i="4"/>
  <c r="B880" i="4"/>
  <c r="M880" i="4" s="1"/>
  <c r="D879" i="4"/>
  <c r="C879" i="4"/>
  <c r="B879" i="4"/>
  <c r="M879" i="4" s="1"/>
  <c r="D878" i="4"/>
  <c r="C878" i="4"/>
  <c r="B878" i="4"/>
  <c r="M878" i="4" s="1"/>
  <c r="D877" i="4"/>
  <c r="C877" i="4"/>
  <c r="B877" i="4"/>
  <c r="M877" i="4" s="1"/>
  <c r="D876" i="4"/>
  <c r="C876" i="4"/>
  <c r="B876" i="4"/>
  <c r="M876" i="4" s="1"/>
  <c r="D875" i="4"/>
  <c r="C875" i="4"/>
  <c r="B875" i="4"/>
  <c r="M875" i="4" s="1"/>
  <c r="D874" i="4"/>
  <c r="C874" i="4"/>
  <c r="B874" i="4"/>
  <c r="M874" i="4" s="1"/>
  <c r="D873" i="4"/>
  <c r="C873" i="4"/>
  <c r="B873" i="4"/>
  <c r="M873" i="4" s="1"/>
  <c r="D872" i="4"/>
  <c r="C872" i="4"/>
  <c r="B872" i="4"/>
  <c r="M872" i="4" s="1"/>
  <c r="D871" i="4"/>
  <c r="C871" i="4"/>
  <c r="B871" i="4"/>
  <c r="M871" i="4" s="1"/>
  <c r="D870" i="4"/>
  <c r="C870" i="4"/>
  <c r="B870" i="4"/>
  <c r="M870" i="4" s="1"/>
  <c r="D869" i="4"/>
  <c r="C869" i="4"/>
  <c r="B869" i="4"/>
  <c r="M869" i="4" s="1"/>
  <c r="D868" i="4"/>
  <c r="C868" i="4"/>
  <c r="B868" i="4"/>
  <c r="M868" i="4" s="1"/>
  <c r="D867" i="4"/>
  <c r="C867" i="4"/>
  <c r="B867" i="4"/>
  <c r="M867" i="4" s="1"/>
  <c r="D866" i="4"/>
  <c r="C866" i="4"/>
  <c r="B866" i="4"/>
  <c r="M866" i="4" s="1"/>
  <c r="D865" i="4"/>
  <c r="C865" i="4"/>
  <c r="B865" i="4"/>
  <c r="M865" i="4" s="1"/>
  <c r="D864" i="4"/>
  <c r="C864" i="4"/>
  <c r="B864" i="4"/>
  <c r="M864" i="4" s="1"/>
  <c r="D863" i="4"/>
  <c r="C863" i="4"/>
  <c r="B863" i="4"/>
  <c r="M863" i="4" s="1"/>
  <c r="D862" i="4"/>
  <c r="C862" i="4"/>
  <c r="B862" i="4"/>
  <c r="M862" i="4" s="1"/>
  <c r="D861" i="4"/>
  <c r="C861" i="4"/>
  <c r="B861" i="4"/>
  <c r="M861" i="4" s="1"/>
  <c r="D860" i="4"/>
  <c r="C860" i="4"/>
  <c r="B860" i="4"/>
  <c r="M860" i="4" s="1"/>
  <c r="D859" i="4"/>
  <c r="C859" i="4"/>
  <c r="B859" i="4"/>
  <c r="M859" i="4" s="1"/>
  <c r="D858" i="4"/>
  <c r="C858" i="4"/>
  <c r="B858" i="4"/>
  <c r="M858" i="4" s="1"/>
  <c r="D857" i="4"/>
  <c r="C857" i="4"/>
  <c r="B857" i="4"/>
  <c r="M857" i="4" s="1"/>
  <c r="D856" i="4"/>
  <c r="C856" i="4"/>
  <c r="B856" i="4"/>
  <c r="M856" i="4" s="1"/>
  <c r="D855" i="4"/>
  <c r="C855" i="4"/>
  <c r="B855" i="4"/>
  <c r="M855" i="4" s="1"/>
  <c r="D854" i="4"/>
  <c r="C854" i="4"/>
  <c r="B854" i="4"/>
  <c r="M854" i="4" s="1"/>
  <c r="D853" i="4"/>
  <c r="C853" i="4"/>
  <c r="B853" i="4"/>
  <c r="M853" i="4" s="1"/>
  <c r="D852" i="4"/>
  <c r="C852" i="4"/>
  <c r="B852" i="4"/>
  <c r="M852" i="4" s="1"/>
  <c r="D851" i="4"/>
  <c r="C851" i="4"/>
  <c r="B851" i="4"/>
  <c r="M851" i="4" s="1"/>
  <c r="D850" i="4"/>
  <c r="C850" i="4"/>
  <c r="B850" i="4"/>
  <c r="M850" i="4" s="1"/>
  <c r="D849" i="4"/>
  <c r="C849" i="4"/>
  <c r="B849" i="4"/>
  <c r="M849" i="4" s="1"/>
  <c r="D848" i="4"/>
  <c r="C848" i="4"/>
  <c r="B848" i="4"/>
  <c r="M848" i="4" s="1"/>
  <c r="D847" i="4"/>
  <c r="C847" i="4"/>
  <c r="B847" i="4"/>
  <c r="M847" i="4" s="1"/>
  <c r="D846" i="4"/>
  <c r="C846" i="4"/>
  <c r="B846" i="4"/>
  <c r="M846" i="4" s="1"/>
  <c r="D845" i="4"/>
  <c r="C845" i="4"/>
  <c r="B845" i="4"/>
  <c r="M845" i="4" s="1"/>
  <c r="D844" i="4"/>
  <c r="C844" i="4"/>
  <c r="B844" i="4"/>
  <c r="M844" i="4" s="1"/>
  <c r="D843" i="4"/>
  <c r="C843" i="4"/>
  <c r="B843" i="4"/>
  <c r="M843" i="4" s="1"/>
  <c r="D842" i="4"/>
  <c r="C842" i="4"/>
  <c r="B842" i="4"/>
  <c r="M842" i="4" s="1"/>
  <c r="D841" i="4"/>
  <c r="C841" i="4"/>
  <c r="B841" i="4"/>
  <c r="M841" i="4" s="1"/>
  <c r="D840" i="4"/>
  <c r="C840" i="4"/>
  <c r="B840" i="4"/>
  <c r="M840" i="4" s="1"/>
  <c r="D839" i="4"/>
  <c r="C839" i="4"/>
  <c r="B839" i="4"/>
  <c r="M839" i="4" s="1"/>
  <c r="D838" i="4"/>
  <c r="C838" i="4"/>
  <c r="B838" i="4"/>
  <c r="M838" i="4" s="1"/>
  <c r="D837" i="4"/>
  <c r="C837" i="4"/>
  <c r="B837" i="4"/>
  <c r="M837" i="4" s="1"/>
  <c r="D836" i="4"/>
  <c r="C836" i="4"/>
  <c r="B836" i="4"/>
  <c r="M836" i="4" s="1"/>
  <c r="D835" i="4"/>
  <c r="C835" i="4"/>
  <c r="B835" i="4"/>
  <c r="M835" i="4" s="1"/>
  <c r="D834" i="4"/>
  <c r="C834" i="4"/>
  <c r="B834" i="4"/>
  <c r="M834" i="4" s="1"/>
  <c r="D833" i="4"/>
  <c r="C833" i="4"/>
  <c r="B833" i="4"/>
  <c r="M833" i="4" s="1"/>
  <c r="D832" i="4"/>
  <c r="C832" i="4"/>
  <c r="B832" i="4"/>
  <c r="M832" i="4" s="1"/>
  <c r="D831" i="4"/>
  <c r="C831" i="4"/>
  <c r="B831" i="4"/>
  <c r="M831" i="4" s="1"/>
  <c r="D830" i="4"/>
  <c r="C830" i="4"/>
  <c r="B830" i="4"/>
  <c r="M830" i="4" s="1"/>
  <c r="D829" i="4"/>
  <c r="C829" i="4"/>
  <c r="B829" i="4"/>
  <c r="M829" i="4" s="1"/>
  <c r="D828" i="4"/>
  <c r="C828" i="4"/>
  <c r="B828" i="4"/>
  <c r="M828" i="4" s="1"/>
  <c r="D827" i="4"/>
  <c r="C827" i="4"/>
  <c r="B827" i="4"/>
  <c r="M827" i="4" s="1"/>
  <c r="D826" i="4"/>
  <c r="C826" i="4"/>
  <c r="B826" i="4"/>
  <c r="M826" i="4" s="1"/>
  <c r="D825" i="4"/>
  <c r="C825" i="4"/>
  <c r="B825" i="4"/>
  <c r="M825" i="4" s="1"/>
  <c r="D824" i="4"/>
  <c r="C824" i="4"/>
  <c r="B824" i="4"/>
  <c r="M824" i="4" s="1"/>
  <c r="D823" i="4"/>
  <c r="C823" i="4"/>
  <c r="B823" i="4"/>
  <c r="M823" i="4" s="1"/>
  <c r="D822" i="4"/>
  <c r="C822" i="4"/>
  <c r="B822" i="4"/>
  <c r="M822" i="4" s="1"/>
  <c r="D821" i="4"/>
  <c r="C821" i="4"/>
  <c r="B821" i="4"/>
  <c r="M821" i="4" s="1"/>
  <c r="D820" i="4"/>
  <c r="C820" i="4"/>
  <c r="B820" i="4"/>
  <c r="M820" i="4" s="1"/>
  <c r="D819" i="4"/>
  <c r="C819" i="4"/>
  <c r="B819" i="4"/>
  <c r="M819" i="4" s="1"/>
  <c r="D818" i="4"/>
  <c r="C818" i="4"/>
  <c r="B818" i="4"/>
  <c r="M818" i="4" s="1"/>
  <c r="D817" i="4"/>
  <c r="C817" i="4"/>
  <c r="B817" i="4"/>
  <c r="M817" i="4" s="1"/>
  <c r="D816" i="4"/>
  <c r="C816" i="4"/>
  <c r="B816" i="4"/>
  <c r="M816" i="4" s="1"/>
  <c r="D815" i="4"/>
  <c r="C815" i="4"/>
  <c r="B815" i="4"/>
  <c r="M815" i="4" s="1"/>
  <c r="D814" i="4"/>
  <c r="C814" i="4"/>
  <c r="B814" i="4"/>
  <c r="M814" i="4" s="1"/>
  <c r="D813" i="4"/>
  <c r="C813" i="4"/>
  <c r="B813" i="4"/>
  <c r="M813" i="4" s="1"/>
  <c r="D812" i="4"/>
  <c r="C812" i="4"/>
  <c r="B812" i="4"/>
  <c r="M812" i="4" s="1"/>
  <c r="D811" i="4"/>
  <c r="C811" i="4"/>
  <c r="B811" i="4"/>
  <c r="M811" i="4" s="1"/>
  <c r="D810" i="4"/>
  <c r="C810" i="4"/>
  <c r="B810" i="4"/>
  <c r="M810" i="4" s="1"/>
  <c r="D809" i="4"/>
  <c r="C809" i="4"/>
  <c r="B809" i="4"/>
  <c r="M809" i="4" s="1"/>
  <c r="D808" i="4"/>
  <c r="C808" i="4"/>
  <c r="B808" i="4"/>
  <c r="M808" i="4" s="1"/>
  <c r="D807" i="4"/>
  <c r="C807" i="4"/>
  <c r="B807" i="4"/>
  <c r="M807" i="4" s="1"/>
  <c r="D806" i="4"/>
  <c r="C806" i="4"/>
  <c r="B806" i="4"/>
  <c r="M806" i="4" s="1"/>
  <c r="D805" i="4"/>
  <c r="C805" i="4"/>
  <c r="B805" i="4"/>
  <c r="M805" i="4" s="1"/>
  <c r="D804" i="4"/>
  <c r="C804" i="4"/>
  <c r="B804" i="4"/>
  <c r="M804" i="4" s="1"/>
  <c r="D803" i="4"/>
  <c r="C803" i="4"/>
  <c r="B803" i="4"/>
  <c r="M803" i="4" s="1"/>
  <c r="D802" i="4"/>
  <c r="C802" i="4"/>
  <c r="B802" i="4"/>
  <c r="M802" i="4" s="1"/>
  <c r="D801" i="4"/>
  <c r="C801" i="4"/>
  <c r="B801" i="4"/>
  <c r="M801" i="4" s="1"/>
  <c r="D800" i="4"/>
  <c r="C800" i="4"/>
  <c r="B800" i="4"/>
  <c r="M800" i="4" s="1"/>
  <c r="D799" i="4"/>
  <c r="C799" i="4"/>
  <c r="B799" i="4"/>
  <c r="M799" i="4" s="1"/>
  <c r="D798" i="4"/>
  <c r="C798" i="4"/>
  <c r="B798" i="4"/>
  <c r="M798" i="4" s="1"/>
  <c r="D797" i="4"/>
  <c r="C797" i="4"/>
  <c r="B797" i="4"/>
  <c r="M797" i="4" s="1"/>
  <c r="D796" i="4"/>
  <c r="C796" i="4"/>
  <c r="B796" i="4"/>
  <c r="M796" i="4" s="1"/>
  <c r="D795" i="4"/>
  <c r="C795" i="4"/>
  <c r="B795" i="4"/>
  <c r="M795" i="4" s="1"/>
  <c r="D794" i="4"/>
  <c r="C794" i="4"/>
  <c r="B794" i="4"/>
  <c r="M794" i="4" s="1"/>
  <c r="D793" i="4"/>
  <c r="C793" i="4"/>
  <c r="B793" i="4"/>
  <c r="M793" i="4" s="1"/>
  <c r="D792" i="4"/>
  <c r="C792" i="4"/>
  <c r="B792" i="4"/>
  <c r="M792" i="4" s="1"/>
  <c r="D791" i="4"/>
  <c r="C791" i="4"/>
  <c r="B791" i="4"/>
  <c r="M791" i="4" s="1"/>
  <c r="D790" i="4"/>
  <c r="C790" i="4"/>
  <c r="B790" i="4"/>
  <c r="M790" i="4" s="1"/>
  <c r="D789" i="4"/>
  <c r="C789" i="4"/>
  <c r="B789" i="4"/>
  <c r="M789" i="4" s="1"/>
  <c r="D788" i="4"/>
  <c r="C788" i="4"/>
  <c r="B788" i="4"/>
  <c r="M788" i="4" s="1"/>
  <c r="D787" i="4"/>
  <c r="C787" i="4"/>
  <c r="B787" i="4"/>
  <c r="M787" i="4" s="1"/>
  <c r="D786" i="4"/>
  <c r="C786" i="4"/>
  <c r="B786" i="4"/>
  <c r="M786" i="4" s="1"/>
  <c r="D785" i="4"/>
  <c r="C785" i="4"/>
  <c r="B785" i="4"/>
  <c r="M785" i="4" s="1"/>
  <c r="D784" i="4"/>
  <c r="C784" i="4"/>
  <c r="B784" i="4"/>
  <c r="M784" i="4" s="1"/>
  <c r="D783" i="4"/>
  <c r="C783" i="4"/>
  <c r="B783" i="4"/>
  <c r="M783" i="4" s="1"/>
  <c r="D782" i="4"/>
  <c r="C782" i="4"/>
  <c r="B782" i="4"/>
  <c r="M782" i="4" s="1"/>
  <c r="D781" i="4"/>
  <c r="C781" i="4"/>
  <c r="B781" i="4"/>
  <c r="M781" i="4" s="1"/>
  <c r="D780" i="4"/>
  <c r="C780" i="4"/>
  <c r="B780" i="4"/>
  <c r="M780" i="4" s="1"/>
  <c r="D779" i="4"/>
  <c r="C779" i="4"/>
  <c r="B779" i="4"/>
  <c r="M779" i="4" s="1"/>
  <c r="D778" i="4"/>
  <c r="C778" i="4"/>
  <c r="B778" i="4"/>
  <c r="M778" i="4" s="1"/>
  <c r="D777" i="4"/>
  <c r="C777" i="4"/>
  <c r="B777" i="4"/>
  <c r="M777" i="4" s="1"/>
  <c r="D776" i="4"/>
  <c r="C776" i="4"/>
  <c r="B776" i="4"/>
  <c r="M776" i="4" s="1"/>
  <c r="D775" i="4"/>
  <c r="C775" i="4"/>
  <c r="B775" i="4"/>
  <c r="M775" i="4" s="1"/>
  <c r="D774" i="4"/>
  <c r="C774" i="4"/>
  <c r="B774" i="4"/>
  <c r="M774" i="4" s="1"/>
  <c r="D773" i="4"/>
  <c r="C773" i="4"/>
  <c r="B773" i="4"/>
  <c r="M773" i="4" s="1"/>
  <c r="D772" i="4"/>
  <c r="C772" i="4"/>
  <c r="B772" i="4"/>
  <c r="M772" i="4" s="1"/>
  <c r="D771" i="4"/>
  <c r="C771" i="4"/>
  <c r="B771" i="4"/>
  <c r="M771" i="4" s="1"/>
  <c r="D770" i="4"/>
  <c r="C770" i="4"/>
  <c r="B770" i="4"/>
  <c r="M770" i="4" s="1"/>
  <c r="D769" i="4"/>
  <c r="C769" i="4"/>
  <c r="B769" i="4"/>
  <c r="M769" i="4" s="1"/>
  <c r="D768" i="4"/>
  <c r="C768" i="4"/>
  <c r="B768" i="4"/>
  <c r="M768" i="4" s="1"/>
  <c r="D767" i="4"/>
  <c r="C767" i="4"/>
  <c r="B767" i="4"/>
  <c r="M767" i="4" s="1"/>
  <c r="D766" i="4"/>
  <c r="C766" i="4"/>
  <c r="B766" i="4"/>
  <c r="M766" i="4" s="1"/>
  <c r="D765" i="4"/>
  <c r="C765" i="4"/>
  <c r="B765" i="4"/>
  <c r="M765" i="4" s="1"/>
  <c r="D764" i="4"/>
  <c r="C764" i="4"/>
  <c r="B764" i="4"/>
  <c r="M764" i="4" s="1"/>
  <c r="D763" i="4"/>
  <c r="C763" i="4"/>
  <c r="B763" i="4"/>
  <c r="M763" i="4" s="1"/>
  <c r="D762" i="4"/>
  <c r="C762" i="4"/>
  <c r="B762" i="4"/>
  <c r="M762" i="4" s="1"/>
  <c r="D761" i="4"/>
  <c r="C761" i="4"/>
  <c r="B761" i="4"/>
  <c r="M761" i="4" s="1"/>
  <c r="D760" i="4"/>
  <c r="C760" i="4"/>
  <c r="B760" i="4"/>
  <c r="M760" i="4" s="1"/>
  <c r="D759" i="4"/>
  <c r="C759" i="4"/>
  <c r="B759" i="4"/>
  <c r="M759" i="4" s="1"/>
  <c r="D758" i="4"/>
  <c r="C758" i="4"/>
  <c r="B758" i="4"/>
  <c r="M758" i="4" s="1"/>
  <c r="D757" i="4"/>
  <c r="C757" i="4"/>
  <c r="B757" i="4"/>
  <c r="M757" i="4" s="1"/>
  <c r="D756" i="4"/>
  <c r="C756" i="4"/>
  <c r="B756" i="4"/>
  <c r="M756" i="4" s="1"/>
  <c r="D755" i="4"/>
  <c r="C755" i="4"/>
  <c r="B755" i="4"/>
  <c r="M755" i="4" s="1"/>
  <c r="D754" i="4"/>
  <c r="C754" i="4"/>
  <c r="B754" i="4"/>
  <c r="M754" i="4" s="1"/>
  <c r="D753" i="4"/>
  <c r="C753" i="4"/>
  <c r="B753" i="4"/>
  <c r="M753" i="4" s="1"/>
  <c r="D752" i="4"/>
  <c r="C752" i="4"/>
  <c r="B752" i="4"/>
  <c r="M752" i="4" s="1"/>
  <c r="D751" i="4"/>
  <c r="C751" i="4"/>
  <c r="B751" i="4"/>
  <c r="M751" i="4" s="1"/>
  <c r="D750" i="4"/>
  <c r="C750" i="4"/>
  <c r="B750" i="4"/>
  <c r="M750" i="4" s="1"/>
  <c r="D749" i="4"/>
  <c r="C749" i="4"/>
  <c r="B749" i="4"/>
  <c r="M749" i="4" s="1"/>
  <c r="D748" i="4"/>
  <c r="C748" i="4"/>
  <c r="B748" i="4"/>
  <c r="M748" i="4" s="1"/>
  <c r="D747" i="4"/>
  <c r="C747" i="4"/>
  <c r="B747" i="4"/>
  <c r="M747" i="4" s="1"/>
  <c r="D746" i="4"/>
  <c r="C746" i="4"/>
  <c r="B746" i="4"/>
  <c r="M746" i="4" s="1"/>
  <c r="D745" i="4"/>
  <c r="C745" i="4"/>
  <c r="B745" i="4"/>
  <c r="M745" i="4" s="1"/>
  <c r="D744" i="4"/>
  <c r="C744" i="4"/>
  <c r="B744" i="4"/>
  <c r="M744" i="4" s="1"/>
  <c r="D743" i="4"/>
  <c r="C743" i="4"/>
  <c r="B743" i="4"/>
  <c r="M743" i="4" s="1"/>
  <c r="D742" i="4"/>
  <c r="C742" i="4"/>
  <c r="B742" i="4"/>
  <c r="M742" i="4" s="1"/>
  <c r="D741" i="4"/>
  <c r="C741" i="4"/>
  <c r="B741" i="4"/>
  <c r="M741" i="4" s="1"/>
  <c r="D740" i="4"/>
  <c r="C740" i="4"/>
  <c r="B740" i="4"/>
  <c r="M740" i="4" s="1"/>
  <c r="D739" i="4"/>
  <c r="C739" i="4"/>
  <c r="B739" i="4"/>
  <c r="M739" i="4" s="1"/>
  <c r="D738" i="4"/>
  <c r="C738" i="4"/>
  <c r="B738" i="4"/>
  <c r="M738" i="4" s="1"/>
  <c r="D737" i="4"/>
  <c r="C737" i="4"/>
  <c r="B737" i="4"/>
  <c r="M737" i="4" s="1"/>
  <c r="D736" i="4"/>
  <c r="C736" i="4"/>
  <c r="B736" i="4"/>
  <c r="M736" i="4" s="1"/>
  <c r="D735" i="4"/>
  <c r="C735" i="4"/>
  <c r="B735" i="4"/>
  <c r="M735" i="4" s="1"/>
  <c r="D734" i="4"/>
  <c r="C734" i="4"/>
  <c r="B734" i="4"/>
  <c r="M734" i="4" s="1"/>
  <c r="D733" i="4"/>
  <c r="C733" i="4"/>
  <c r="B733" i="4"/>
  <c r="M733" i="4" s="1"/>
  <c r="D732" i="4"/>
  <c r="C732" i="4"/>
  <c r="B732" i="4"/>
  <c r="M732" i="4" s="1"/>
  <c r="D731" i="4"/>
  <c r="C731" i="4"/>
  <c r="B731" i="4"/>
  <c r="M731" i="4" s="1"/>
  <c r="D730" i="4"/>
  <c r="C730" i="4"/>
  <c r="B730" i="4"/>
  <c r="M730" i="4" s="1"/>
  <c r="D729" i="4"/>
  <c r="C729" i="4"/>
  <c r="B729" i="4"/>
  <c r="M729" i="4" s="1"/>
  <c r="D728" i="4"/>
  <c r="C728" i="4"/>
  <c r="B728" i="4"/>
  <c r="M728" i="4" s="1"/>
  <c r="D727" i="4"/>
  <c r="C727" i="4"/>
  <c r="B727" i="4"/>
  <c r="M727" i="4" s="1"/>
  <c r="D726" i="4"/>
  <c r="C726" i="4"/>
  <c r="B726" i="4"/>
  <c r="M726" i="4" s="1"/>
  <c r="D725" i="4"/>
  <c r="C725" i="4"/>
  <c r="B725" i="4"/>
  <c r="M725" i="4" s="1"/>
  <c r="D724" i="4"/>
  <c r="C724" i="4"/>
  <c r="B724" i="4"/>
  <c r="M724" i="4" s="1"/>
  <c r="D723" i="4"/>
  <c r="C723" i="4"/>
  <c r="B723" i="4"/>
  <c r="M723" i="4" s="1"/>
  <c r="D722" i="4"/>
  <c r="C722" i="4"/>
  <c r="B722" i="4"/>
  <c r="M722" i="4" s="1"/>
  <c r="D721" i="4"/>
  <c r="C721" i="4"/>
  <c r="B721" i="4"/>
  <c r="M721" i="4" s="1"/>
  <c r="D720" i="4"/>
  <c r="C720" i="4"/>
  <c r="B720" i="4"/>
  <c r="M720" i="4" s="1"/>
  <c r="D719" i="4"/>
  <c r="C719" i="4"/>
  <c r="B719" i="4"/>
  <c r="M719" i="4" s="1"/>
  <c r="D718" i="4"/>
  <c r="C718" i="4"/>
  <c r="B718" i="4"/>
  <c r="M718" i="4" s="1"/>
  <c r="D717" i="4"/>
  <c r="C717" i="4"/>
  <c r="B717" i="4"/>
  <c r="M717" i="4" s="1"/>
  <c r="D716" i="4"/>
  <c r="C716" i="4"/>
  <c r="B716" i="4"/>
  <c r="M716" i="4" s="1"/>
  <c r="D715" i="4"/>
  <c r="C715" i="4"/>
  <c r="B715" i="4"/>
  <c r="M715" i="4" s="1"/>
  <c r="D714" i="4"/>
  <c r="C714" i="4"/>
  <c r="B714" i="4"/>
  <c r="M714" i="4" s="1"/>
  <c r="D713" i="4"/>
  <c r="C713" i="4"/>
  <c r="B713" i="4"/>
  <c r="M713" i="4" s="1"/>
  <c r="D712" i="4"/>
  <c r="C712" i="4"/>
  <c r="B712" i="4"/>
  <c r="M712" i="4" s="1"/>
  <c r="D711" i="4"/>
  <c r="C711" i="4"/>
  <c r="B711" i="4"/>
  <c r="M711" i="4" s="1"/>
  <c r="D710" i="4"/>
  <c r="C710" i="4"/>
  <c r="B710" i="4"/>
  <c r="M710" i="4" s="1"/>
  <c r="D709" i="4"/>
  <c r="C709" i="4"/>
  <c r="B709" i="4"/>
  <c r="M709" i="4" s="1"/>
  <c r="D708" i="4"/>
  <c r="C708" i="4"/>
  <c r="B708" i="4"/>
  <c r="M708" i="4" s="1"/>
  <c r="D707" i="4"/>
  <c r="C707" i="4"/>
  <c r="B707" i="4"/>
  <c r="M707" i="4" s="1"/>
  <c r="D706" i="4"/>
  <c r="C706" i="4"/>
  <c r="B706" i="4"/>
  <c r="M706" i="4" s="1"/>
  <c r="D705" i="4"/>
  <c r="C705" i="4"/>
  <c r="B705" i="4"/>
  <c r="M705" i="4" s="1"/>
  <c r="D704" i="4"/>
  <c r="C704" i="4"/>
  <c r="B704" i="4"/>
  <c r="M704" i="4" s="1"/>
  <c r="D703" i="4"/>
  <c r="C703" i="4"/>
  <c r="B703" i="4"/>
  <c r="M703" i="4" s="1"/>
  <c r="D702" i="4"/>
  <c r="C702" i="4"/>
  <c r="B702" i="4"/>
  <c r="M702" i="4" s="1"/>
  <c r="D701" i="4"/>
  <c r="C701" i="4"/>
  <c r="B701" i="4"/>
  <c r="M701" i="4" s="1"/>
  <c r="D700" i="4"/>
  <c r="C700" i="4"/>
  <c r="B700" i="4"/>
  <c r="M700" i="4" s="1"/>
  <c r="D699" i="4"/>
  <c r="C699" i="4"/>
  <c r="B699" i="4"/>
  <c r="M699" i="4" s="1"/>
  <c r="D698" i="4"/>
  <c r="C698" i="4"/>
  <c r="B698" i="4"/>
  <c r="M698" i="4" s="1"/>
  <c r="D697" i="4"/>
  <c r="C697" i="4"/>
  <c r="B697" i="4"/>
  <c r="M697" i="4" s="1"/>
  <c r="D696" i="4"/>
  <c r="C696" i="4"/>
  <c r="B696" i="4"/>
  <c r="M696" i="4" s="1"/>
  <c r="D695" i="4"/>
  <c r="C695" i="4"/>
  <c r="B695" i="4"/>
  <c r="M695" i="4" s="1"/>
  <c r="D694" i="4"/>
  <c r="C694" i="4"/>
  <c r="B694" i="4"/>
  <c r="M694" i="4" s="1"/>
  <c r="D693" i="4"/>
  <c r="C693" i="4"/>
  <c r="B693" i="4"/>
  <c r="M693" i="4" s="1"/>
  <c r="D692" i="4"/>
  <c r="C692" i="4"/>
  <c r="B692" i="4"/>
  <c r="M692" i="4" s="1"/>
  <c r="D691" i="4"/>
  <c r="C691" i="4"/>
  <c r="B691" i="4"/>
  <c r="M691" i="4" s="1"/>
  <c r="D690" i="4"/>
  <c r="C690" i="4"/>
  <c r="B690" i="4"/>
  <c r="M690" i="4" s="1"/>
  <c r="D689" i="4"/>
  <c r="C689" i="4"/>
  <c r="B689" i="4"/>
  <c r="M689" i="4" s="1"/>
  <c r="D688" i="4"/>
  <c r="C688" i="4"/>
  <c r="B688" i="4"/>
  <c r="M688" i="4" s="1"/>
  <c r="D687" i="4"/>
  <c r="C687" i="4"/>
  <c r="B687" i="4"/>
  <c r="M687" i="4" s="1"/>
  <c r="D686" i="4"/>
  <c r="C686" i="4"/>
  <c r="B686" i="4"/>
  <c r="M686" i="4" s="1"/>
  <c r="D685" i="4"/>
  <c r="C685" i="4"/>
  <c r="B685" i="4"/>
  <c r="M685" i="4" s="1"/>
  <c r="D684" i="4"/>
  <c r="C684" i="4"/>
  <c r="B684" i="4"/>
  <c r="M684" i="4" s="1"/>
  <c r="D683" i="4"/>
  <c r="C683" i="4"/>
  <c r="B683" i="4"/>
  <c r="M683" i="4" s="1"/>
  <c r="D682" i="4"/>
  <c r="C682" i="4"/>
  <c r="B682" i="4"/>
  <c r="M682" i="4" s="1"/>
  <c r="D681" i="4"/>
  <c r="C681" i="4"/>
  <c r="B681" i="4"/>
  <c r="M681" i="4" s="1"/>
  <c r="D680" i="4"/>
  <c r="C680" i="4"/>
  <c r="B680" i="4"/>
  <c r="M680" i="4" s="1"/>
  <c r="D679" i="4"/>
  <c r="C679" i="4"/>
  <c r="B679" i="4"/>
  <c r="M679" i="4" s="1"/>
  <c r="D678" i="4"/>
  <c r="C678" i="4"/>
  <c r="B678" i="4"/>
  <c r="M678" i="4" s="1"/>
  <c r="D677" i="4"/>
  <c r="C677" i="4"/>
  <c r="B677" i="4"/>
  <c r="M677" i="4" s="1"/>
  <c r="D676" i="4"/>
  <c r="C676" i="4"/>
  <c r="B676" i="4"/>
  <c r="M676" i="4" s="1"/>
  <c r="D675" i="4"/>
  <c r="C675" i="4"/>
  <c r="B675" i="4"/>
  <c r="M675" i="4" s="1"/>
  <c r="D674" i="4"/>
  <c r="C674" i="4"/>
  <c r="B674" i="4"/>
  <c r="M674" i="4" s="1"/>
  <c r="D673" i="4"/>
  <c r="C673" i="4"/>
  <c r="B673" i="4"/>
  <c r="M673" i="4" s="1"/>
  <c r="D672" i="4"/>
  <c r="C672" i="4"/>
  <c r="B672" i="4"/>
  <c r="M672" i="4" s="1"/>
  <c r="D671" i="4"/>
  <c r="C671" i="4"/>
  <c r="B671" i="4"/>
  <c r="M671" i="4" s="1"/>
  <c r="D670" i="4"/>
  <c r="C670" i="4"/>
  <c r="B670" i="4"/>
  <c r="M670" i="4" s="1"/>
  <c r="D669" i="4"/>
  <c r="C669" i="4"/>
  <c r="B669" i="4"/>
  <c r="M669" i="4" s="1"/>
  <c r="D668" i="4"/>
  <c r="C668" i="4"/>
  <c r="B668" i="4"/>
  <c r="M668" i="4" s="1"/>
  <c r="D667" i="4"/>
  <c r="C667" i="4"/>
  <c r="B667" i="4"/>
  <c r="M667" i="4" s="1"/>
  <c r="D666" i="4"/>
  <c r="C666" i="4"/>
  <c r="B666" i="4"/>
  <c r="M666" i="4" s="1"/>
  <c r="D665" i="4"/>
  <c r="C665" i="4"/>
  <c r="B665" i="4"/>
  <c r="M665" i="4" s="1"/>
  <c r="D664" i="4"/>
  <c r="C664" i="4"/>
  <c r="B664" i="4"/>
  <c r="M664" i="4" s="1"/>
  <c r="D663" i="4"/>
  <c r="C663" i="4"/>
  <c r="B663" i="4"/>
  <c r="M663" i="4" s="1"/>
  <c r="D662" i="4"/>
  <c r="C662" i="4"/>
  <c r="B662" i="4"/>
  <c r="M662" i="4" s="1"/>
  <c r="D661" i="4"/>
  <c r="C661" i="4"/>
  <c r="B661" i="4"/>
  <c r="M661" i="4" s="1"/>
  <c r="D660" i="4"/>
  <c r="C660" i="4"/>
  <c r="B660" i="4"/>
  <c r="M660" i="4" s="1"/>
  <c r="D659" i="4"/>
  <c r="C659" i="4"/>
  <c r="B659" i="4"/>
  <c r="M659" i="4" s="1"/>
  <c r="D658" i="4"/>
  <c r="C658" i="4"/>
  <c r="B658" i="4"/>
  <c r="M658" i="4" s="1"/>
  <c r="D657" i="4"/>
  <c r="C657" i="4"/>
  <c r="B657" i="4"/>
  <c r="M657" i="4" s="1"/>
  <c r="D656" i="4"/>
  <c r="C656" i="4"/>
  <c r="B656" i="4"/>
  <c r="M656" i="4" s="1"/>
  <c r="D655" i="4"/>
  <c r="C655" i="4"/>
  <c r="B655" i="4"/>
  <c r="M655" i="4" s="1"/>
  <c r="D654" i="4"/>
  <c r="C654" i="4"/>
  <c r="B654" i="4"/>
  <c r="M654" i="4" s="1"/>
  <c r="D653" i="4"/>
  <c r="C653" i="4"/>
  <c r="B653" i="4"/>
  <c r="M653" i="4" s="1"/>
  <c r="D652" i="4"/>
  <c r="C652" i="4"/>
  <c r="B652" i="4"/>
  <c r="M652" i="4" s="1"/>
  <c r="D651" i="4"/>
  <c r="C651" i="4"/>
  <c r="B651" i="4"/>
  <c r="M651" i="4" s="1"/>
  <c r="D650" i="4"/>
  <c r="C650" i="4"/>
  <c r="B650" i="4"/>
  <c r="M650" i="4" s="1"/>
  <c r="D649" i="4"/>
  <c r="C649" i="4"/>
  <c r="B649" i="4"/>
  <c r="M649" i="4" s="1"/>
  <c r="D648" i="4"/>
  <c r="C648" i="4"/>
  <c r="B648" i="4"/>
  <c r="M648" i="4" s="1"/>
  <c r="D647" i="4"/>
  <c r="C647" i="4"/>
  <c r="B647" i="4"/>
  <c r="M647" i="4" s="1"/>
  <c r="D646" i="4"/>
  <c r="C646" i="4"/>
  <c r="B646" i="4"/>
  <c r="M646" i="4" s="1"/>
  <c r="D645" i="4"/>
  <c r="C645" i="4"/>
  <c r="B645" i="4"/>
  <c r="M645" i="4" s="1"/>
  <c r="D644" i="4"/>
  <c r="C644" i="4"/>
  <c r="B644" i="4"/>
  <c r="M644" i="4" s="1"/>
  <c r="D643" i="4"/>
  <c r="C643" i="4"/>
  <c r="B643" i="4"/>
  <c r="M643" i="4" s="1"/>
  <c r="D642" i="4"/>
  <c r="C642" i="4"/>
  <c r="B642" i="4"/>
  <c r="M642" i="4" s="1"/>
  <c r="D641" i="4"/>
  <c r="C641" i="4"/>
  <c r="B641" i="4"/>
  <c r="M641" i="4" s="1"/>
  <c r="D640" i="4"/>
  <c r="C640" i="4"/>
  <c r="B640" i="4"/>
  <c r="M640" i="4" s="1"/>
  <c r="D639" i="4"/>
  <c r="C639" i="4"/>
  <c r="B639" i="4"/>
  <c r="M639" i="4" s="1"/>
  <c r="D638" i="4"/>
  <c r="C638" i="4"/>
  <c r="B638" i="4"/>
  <c r="M638" i="4" s="1"/>
  <c r="D637" i="4"/>
  <c r="C637" i="4"/>
  <c r="B637" i="4"/>
  <c r="M637" i="4" s="1"/>
  <c r="D636" i="4"/>
  <c r="C636" i="4"/>
  <c r="B636" i="4"/>
  <c r="M636" i="4" s="1"/>
  <c r="D635" i="4"/>
  <c r="C635" i="4"/>
  <c r="B635" i="4"/>
  <c r="M635" i="4" s="1"/>
  <c r="D634" i="4"/>
  <c r="C634" i="4"/>
  <c r="B634" i="4"/>
  <c r="M634" i="4" s="1"/>
  <c r="D633" i="4"/>
  <c r="C633" i="4"/>
  <c r="B633" i="4"/>
  <c r="M633" i="4" s="1"/>
  <c r="D632" i="4"/>
  <c r="C632" i="4"/>
  <c r="B632" i="4"/>
  <c r="M632" i="4" s="1"/>
  <c r="D631" i="4"/>
  <c r="C631" i="4"/>
  <c r="B631" i="4"/>
  <c r="M631" i="4" s="1"/>
  <c r="D630" i="4"/>
  <c r="C630" i="4"/>
  <c r="B630" i="4"/>
  <c r="M630" i="4" s="1"/>
  <c r="D629" i="4"/>
  <c r="C629" i="4"/>
  <c r="B629" i="4"/>
  <c r="M629" i="4" s="1"/>
  <c r="D628" i="4"/>
  <c r="C628" i="4"/>
  <c r="B628" i="4"/>
  <c r="M628" i="4" s="1"/>
  <c r="D627" i="4"/>
  <c r="C627" i="4"/>
  <c r="B627" i="4"/>
  <c r="M627" i="4" s="1"/>
  <c r="D626" i="4"/>
  <c r="C626" i="4"/>
  <c r="B626" i="4"/>
  <c r="M626" i="4" s="1"/>
  <c r="D625" i="4"/>
  <c r="C625" i="4"/>
  <c r="B625" i="4"/>
  <c r="M625" i="4" s="1"/>
  <c r="D624" i="4"/>
  <c r="C624" i="4"/>
  <c r="B624" i="4"/>
  <c r="M624" i="4" s="1"/>
  <c r="D623" i="4"/>
  <c r="C623" i="4"/>
  <c r="B623" i="4"/>
  <c r="M623" i="4" s="1"/>
  <c r="D622" i="4"/>
  <c r="C622" i="4"/>
  <c r="B622" i="4"/>
  <c r="M622" i="4" s="1"/>
  <c r="D621" i="4"/>
  <c r="C621" i="4"/>
  <c r="B621" i="4"/>
  <c r="M621" i="4" s="1"/>
  <c r="D620" i="4"/>
  <c r="C620" i="4"/>
  <c r="B620" i="4"/>
  <c r="M620" i="4" s="1"/>
  <c r="D619" i="4"/>
  <c r="C619" i="4"/>
  <c r="B619" i="4"/>
  <c r="M619" i="4" s="1"/>
  <c r="D618" i="4"/>
  <c r="C618" i="4"/>
  <c r="B618" i="4"/>
  <c r="M618" i="4" s="1"/>
  <c r="D617" i="4"/>
  <c r="C617" i="4"/>
  <c r="B617" i="4"/>
  <c r="M617" i="4" s="1"/>
  <c r="D616" i="4"/>
  <c r="C616" i="4"/>
  <c r="B616" i="4"/>
  <c r="M616" i="4" s="1"/>
  <c r="D615" i="4"/>
  <c r="C615" i="4"/>
  <c r="B615" i="4"/>
  <c r="M615" i="4" s="1"/>
  <c r="D614" i="4"/>
  <c r="C614" i="4"/>
  <c r="B614" i="4"/>
  <c r="M614" i="4" s="1"/>
  <c r="D613" i="4"/>
  <c r="C613" i="4"/>
  <c r="B613" i="4"/>
  <c r="M613" i="4" s="1"/>
  <c r="D612" i="4"/>
  <c r="C612" i="4"/>
  <c r="B612" i="4"/>
  <c r="M612" i="4" s="1"/>
  <c r="D611" i="4"/>
  <c r="C611" i="4"/>
  <c r="B611" i="4"/>
  <c r="M611" i="4" s="1"/>
  <c r="D610" i="4"/>
  <c r="C610" i="4"/>
  <c r="B610" i="4"/>
  <c r="M610" i="4" s="1"/>
  <c r="D609" i="4"/>
  <c r="C609" i="4"/>
  <c r="B609" i="4"/>
  <c r="M609" i="4" s="1"/>
  <c r="D608" i="4"/>
  <c r="C608" i="4"/>
  <c r="B608" i="4"/>
  <c r="M608" i="4" s="1"/>
  <c r="D607" i="4"/>
  <c r="C607" i="4"/>
  <c r="B607" i="4"/>
  <c r="M607" i="4" s="1"/>
  <c r="D606" i="4"/>
  <c r="C606" i="4"/>
  <c r="B606" i="4"/>
  <c r="M606" i="4" s="1"/>
  <c r="D605" i="4"/>
  <c r="C605" i="4"/>
  <c r="B605" i="4"/>
  <c r="M605" i="4" s="1"/>
  <c r="D604" i="4"/>
  <c r="C604" i="4"/>
  <c r="B604" i="4"/>
  <c r="M604" i="4" s="1"/>
  <c r="D603" i="4"/>
  <c r="C603" i="4"/>
  <c r="B603" i="4"/>
  <c r="M603" i="4" s="1"/>
  <c r="D602" i="4"/>
  <c r="C602" i="4"/>
  <c r="B602" i="4"/>
  <c r="M602" i="4" s="1"/>
  <c r="D601" i="4"/>
  <c r="C601" i="4"/>
  <c r="B601" i="4"/>
  <c r="M601" i="4" s="1"/>
  <c r="D600" i="4"/>
  <c r="C600" i="4"/>
  <c r="B600" i="4"/>
  <c r="M600" i="4" s="1"/>
  <c r="D599" i="4"/>
  <c r="C599" i="4"/>
  <c r="B599" i="4"/>
  <c r="M599" i="4" s="1"/>
  <c r="D598" i="4"/>
  <c r="C598" i="4"/>
  <c r="B598" i="4"/>
  <c r="M598" i="4" s="1"/>
  <c r="D597" i="4"/>
  <c r="C597" i="4"/>
  <c r="B597" i="4"/>
  <c r="M597" i="4" s="1"/>
  <c r="D596" i="4"/>
  <c r="C596" i="4"/>
  <c r="B596" i="4"/>
  <c r="M596" i="4" s="1"/>
  <c r="D595" i="4"/>
  <c r="C595" i="4"/>
  <c r="B595" i="4"/>
  <c r="M595" i="4" s="1"/>
  <c r="D594" i="4"/>
  <c r="C594" i="4"/>
  <c r="B594" i="4"/>
  <c r="M594" i="4" s="1"/>
  <c r="D593" i="4"/>
  <c r="C593" i="4"/>
  <c r="B593" i="4"/>
  <c r="M593" i="4" s="1"/>
  <c r="D592" i="4"/>
  <c r="C592" i="4"/>
  <c r="B592" i="4"/>
  <c r="M592" i="4" s="1"/>
  <c r="D591" i="4"/>
  <c r="C591" i="4"/>
  <c r="B591" i="4"/>
  <c r="M591" i="4" s="1"/>
  <c r="D590" i="4"/>
  <c r="C590" i="4"/>
  <c r="B590" i="4"/>
  <c r="M590" i="4" s="1"/>
  <c r="D589" i="4"/>
  <c r="C589" i="4"/>
  <c r="B589" i="4"/>
  <c r="M589" i="4" s="1"/>
  <c r="D588" i="4"/>
  <c r="C588" i="4"/>
  <c r="B588" i="4"/>
  <c r="M588" i="4" s="1"/>
  <c r="D587" i="4"/>
  <c r="C587" i="4"/>
  <c r="B587" i="4"/>
  <c r="M587" i="4" s="1"/>
  <c r="D586" i="4"/>
  <c r="C586" i="4"/>
  <c r="B586" i="4"/>
  <c r="M586" i="4" s="1"/>
  <c r="D585" i="4"/>
  <c r="C585" i="4"/>
  <c r="B585" i="4"/>
  <c r="M585" i="4" s="1"/>
  <c r="D584" i="4"/>
  <c r="C584" i="4"/>
  <c r="B584" i="4"/>
  <c r="M584" i="4" s="1"/>
  <c r="D583" i="4"/>
  <c r="C583" i="4"/>
  <c r="B583" i="4"/>
  <c r="M583" i="4" s="1"/>
  <c r="D582" i="4"/>
  <c r="C582" i="4"/>
  <c r="B582" i="4"/>
  <c r="M582" i="4" s="1"/>
  <c r="D581" i="4"/>
  <c r="C581" i="4"/>
  <c r="B581" i="4"/>
  <c r="M581" i="4" s="1"/>
  <c r="D580" i="4"/>
  <c r="C580" i="4"/>
  <c r="B580" i="4"/>
  <c r="M580" i="4" s="1"/>
  <c r="D579" i="4"/>
  <c r="C579" i="4"/>
  <c r="B579" i="4"/>
  <c r="M579" i="4" s="1"/>
  <c r="D578" i="4"/>
  <c r="C578" i="4"/>
  <c r="B578" i="4"/>
  <c r="M578" i="4" s="1"/>
  <c r="D577" i="4"/>
  <c r="C577" i="4"/>
  <c r="B577" i="4"/>
  <c r="M577" i="4" s="1"/>
  <c r="D576" i="4"/>
  <c r="C576" i="4"/>
  <c r="B576" i="4"/>
  <c r="M576" i="4" s="1"/>
  <c r="D575" i="4"/>
  <c r="C575" i="4"/>
  <c r="B575" i="4"/>
  <c r="M575" i="4" s="1"/>
  <c r="D574" i="4"/>
  <c r="C574" i="4"/>
  <c r="B574" i="4"/>
  <c r="M574" i="4" s="1"/>
  <c r="D573" i="4"/>
  <c r="C573" i="4"/>
  <c r="B573" i="4"/>
  <c r="M573" i="4" s="1"/>
  <c r="D572" i="4"/>
  <c r="C572" i="4"/>
  <c r="B572" i="4"/>
  <c r="M572" i="4" s="1"/>
  <c r="D571" i="4"/>
  <c r="C571" i="4"/>
  <c r="B571" i="4"/>
  <c r="M571" i="4" s="1"/>
  <c r="D570" i="4"/>
  <c r="C570" i="4"/>
  <c r="B570" i="4"/>
  <c r="M570" i="4" s="1"/>
  <c r="D569" i="4"/>
  <c r="C569" i="4"/>
  <c r="B569" i="4"/>
  <c r="M569" i="4" s="1"/>
  <c r="D568" i="4"/>
  <c r="C568" i="4"/>
  <c r="B568" i="4"/>
  <c r="M568" i="4" s="1"/>
  <c r="D567" i="4"/>
  <c r="C567" i="4"/>
  <c r="B567" i="4"/>
  <c r="M567" i="4" s="1"/>
  <c r="D566" i="4"/>
  <c r="C566" i="4"/>
  <c r="B566" i="4"/>
  <c r="M566" i="4" s="1"/>
  <c r="D565" i="4"/>
  <c r="C565" i="4"/>
  <c r="B565" i="4"/>
  <c r="M565" i="4" s="1"/>
  <c r="D564" i="4"/>
  <c r="C564" i="4"/>
  <c r="B564" i="4"/>
  <c r="M564" i="4" s="1"/>
  <c r="D563" i="4"/>
  <c r="C563" i="4"/>
  <c r="B563" i="4"/>
  <c r="M563" i="4" s="1"/>
  <c r="D562" i="4"/>
  <c r="C562" i="4"/>
  <c r="B562" i="4"/>
  <c r="M562" i="4" s="1"/>
  <c r="D561" i="4"/>
  <c r="C561" i="4"/>
  <c r="B561" i="4"/>
  <c r="M561" i="4" s="1"/>
  <c r="D560" i="4"/>
  <c r="C560" i="4"/>
  <c r="B560" i="4"/>
  <c r="M560" i="4" s="1"/>
  <c r="D559" i="4"/>
  <c r="C559" i="4"/>
  <c r="B559" i="4"/>
  <c r="M559" i="4" s="1"/>
  <c r="D558" i="4"/>
  <c r="C558" i="4"/>
  <c r="B558" i="4"/>
  <c r="M558" i="4" s="1"/>
  <c r="D557" i="4"/>
  <c r="C557" i="4"/>
  <c r="B557" i="4"/>
  <c r="M557" i="4" s="1"/>
  <c r="D556" i="4"/>
  <c r="C556" i="4"/>
  <c r="B556" i="4"/>
  <c r="M556" i="4" s="1"/>
  <c r="D555" i="4"/>
  <c r="C555" i="4"/>
  <c r="B555" i="4"/>
  <c r="M555" i="4" s="1"/>
  <c r="D554" i="4"/>
  <c r="C554" i="4"/>
  <c r="B554" i="4"/>
  <c r="M554" i="4" s="1"/>
  <c r="D553" i="4"/>
  <c r="C553" i="4"/>
  <c r="B553" i="4"/>
  <c r="M553" i="4" s="1"/>
  <c r="D552" i="4"/>
  <c r="C552" i="4"/>
  <c r="B552" i="4"/>
  <c r="M552" i="4" s="1"/>
  <c r="D551" i="4"/>
  <c r="C551" i="4"/>
  <c r="B551" i="4"/>
  <c r="M551" i="4" s="1"/>
  <c r="D550" i="4"/>
  <c r="C550" i="4"/>
  <c r="B550" i="4"/>
  <c r="M550" i="4" s="1"/>
  <c r="D549" i="4"/>
  <c r="C549" i="4"/>
  <c r="B549" i="4"/>
  <c r="M549" i="4" s="1"/>
  <c r="D548" i="4"/>
  <c r="C548" i="4"/>
  <c r="B548" i="4"/>
  <c r="M548" i="4" s="1"/>
  <c r="D547" i="4"/>
  <c r="C547" i="4"/>
  <c r="B547" i="4"/>
  <c r="M547" i="4" s="1"/>
  <c r="D546" i="4"/>
  <c r="C546" i="4"/>
  <c r="B546" i="4"/>
  <c r="M546" i="4" s="1"/>
  <c r="D545" i="4"/>
  <c r="C545" i="4"/>
  <c r="B545" i="4"/>
  <c r="M545" i="4" s="1"/>
  <c r="D544" i="4"/>
  <c r="C544" i="4"/>
  <c r="B544" i="4"/>
  <c r="M544" i="4" s="1"/>
  <c r="D543" i="4"/>
  <c r="C543" i="4"/>
  <c r="B543" i="4"/>
  <c r="M543" i="4" s="1"/>
  <c r="D542" i="4"/>
  <c r="C542" i="4"/>
  <c r="B542" i="4"/>
  <c r="M542" i="4" s="1"/>
  <c r="D541" i="4"/>
  <c r="C541" i="4"/>
  <c r="B541" i="4"/>
  <c r="M541" i="4" s="1"/>
  <c r="D540" i="4"/>
  <c r="C540" i="4"/>
  <c r="B540" i="4"/>
  <c r="M540" i="4" s="1"/>
  <c r="D539" i="4"/>
  <c r="C539" i="4"/>
  <c r="B539" i="4"/>
  <c r="M539" i="4" s="1"/>
  <c r="D538" i="4"/>
  <c r="C538" i="4"/>
  <c r="B538" i="4"/>
  <c r="M538" i="4" s="1"/>
  <c r="D537" i="4"/>
  <c r="C537" i="4"/>
  <c r="B537" i="4"/>
  <c r="M537" i="4" s="1"/>
  <c r="D536" i="4"/>
  <c r="C536" i="4"/>
  <c r="B536" i="4"/>
  <c r="M536" i="4" s="1"/>
  <c r="D535" i="4"/>
  <c r="C535" i="4"/>
  <c r="B535" i="4"/>
  <c r="M535" i="4" s="1"/>
  <c r="D534" i="4"/>
  <c r="C534" i="4"/>
  <c r="B534" i="4"/>
  <c r="M534" i="4" s="1"/>
  <c r="D533" i="4"/>
  <c r="C533" i="4"/>
  <c r="B533" i="4"/>
  <c r="M533" i="4" s="1"/>
  <c r="D532" i="4"/>
  <c r="C532" i="4"/>
  <c r="B532" i="4"/>
  <c r="M532" i="4" s="1"/>
  <c r="D531" i="4"/>
  <c r="C531" i="4"/>
  <c r="B531" i="4"/>
  <c r="M531" i="4" s="1"/>
  <c r="D530" i="4"/>
  <c r="C530" i="4"/>
  <c r="B530" i="4"/>
  <c r="M530" i="4" s="1"/>
  <c r="D529" i="4"/>
  <c r="C529" i="4"/>
  <c r="B529" i="4"/>
  <c r="M529" i="4" s="1"/>
  <c r="D528" i="4"/>
  <c r="C528" i="4"/>
  <c r="B528" i="4"/>
  <c r="M528" i="4" s="1"/>
  <c r="D527" i="4"/>
  <c r="C527" i="4"/>
  <c r="B527" i="4"/>
  <c r="M527" i="4" s="1"/>
  <c r="D526" i="4"/>
  <c r="C526" i="4"/>
  <c r="B526" i="4"/>
  <c r="M526" i="4" s="1"/>
  <c r="D525" i="4"/>
  <c r="C525" i="4"/>
  <c r="B525" i="4"/>
  <c r="M525" i="4" s="1"/>
  <c r="D524" i="4"/>
  <c r="C524" i="4"/>
  <c r="B524" i="4"/>
  <c r="M524" i="4" s="1"/>
  <c r="D523" i="4"/>
  <c r="C523" i="4"/>
  <c r="B523" i="4"/>
  <c r="M523" i="4" s="1"/>
  <c r="D522" i="4"/>
  <c r="C522" i="4"/>
  <c r="B522" i="4"/>
  <c r="M522" i="4" s="1"/>
  <c r="D521" i="4"/>
  <c r="C521" i="4"/>
  <c r="B521" i="4"/>
  <c r="M521" i="4" s="1"/>
  <c r="D520" i="4"/>
  <c r="C520" i="4"/>
  <c r="B520" i="4"/>
  <c r="M520" i="4" s="1"/>
  <c r="D519" i="4"/>
  <c r="C519" i="4"/>
  <c r="B519" i="4"/>
  <c r="M519" i="4" s="1"/>
  <c r="D518" i="4"/>
  <c r="C518" i="4"/>
  <c r="B518" i="4"/>
  <c r="M518" i="4" s="1"/>
  <c r="D517" i="4"/>
  <c r="C517" i="4"/>
  <c r="B517" i="4"/>
  <c r="M517" i="4" s="1"/>
  <c r="D516" i="4"/>
  <c r="C516" i="4"/>
  <c r="B516" i="4"/>
  <c r="M516" i="4" s="1"/>
  <c r="D515" i="4"/>
  <c r="C515" i="4"/>
  <c r="B515" i="4"/>
  <c r="M515" i="4" s="1"/>
  <c r="D514" i="4"/>
  <c r="C514" i="4"/>
  <c r="B514" i="4"/>
  <c r="M514" i="4" s="1"/>
  <c r="D513" i="4"/>
  <c r="C513" i="4"/>
  <c r="B513" i="4"/>
  <c r="M513" i="4" s="1"/>
  <c r="D512" i="4"/>
  <c r="C512" i="4"/>
  <c r="B512" i="4"/>
  <c r="M512" i="4" s="1"/>
  <c r="D511" i="4"/>
  <c r="C511" i="4"/>
  <c r="B511" i="4"/>
  <c r="M511" i="4" s="1"/>
  <c r="D510" i="4"/>
  <c r="C510" i="4"/>
  <c r="B510" i="4"/>
  <c r="M510" i="4" s="1"/>
  <c r="D509" i="4"/>
  <c r="C509" i="4"/>
  <c r="B509" i="4"/>
  <c r="M509" i="4" s="1"/>
  <c r="D508" i="4"/>
  <c r="C508" i="4"/>
  <c r="B508" i="4"/>
  <c r="M508" i="4" s="1"/>
  <c r="D507" i="4"/>
  <c r="C507" i="4"/>
  <c r="B507" i="4"/>
  <c r="M507" i="4" s="1"/>
  <c r="D506" i="4"/>
  <c r="C506" i="4"/>
  <c r="B506" i="4"/>
  <c r="M506" i="4" s="1"/>
  <c r="D505" i="4"/>
  <c r="C505" i="4"/>
  <c r="B505" i="4"/>
  <c r="M505" i="4" s="1"/>
  <c r="D504" i="4"/>
  <c r="C504" i="4"/>
  <c r="B504" i="4"/>
  <c r="M504" i="4" s="1"/>
  <c r="D503" i="4"/>
  <c r="C503" i="4"/>
  <c r="B503" i="4"/>
  <c r="M503" i="4" s="1"/>
  <c r="D502" i="4"/>
  <c r="C502" i="4"/>
  <c r="B502" i="4"/>
  <c r="M502" i="4" s="1"/>
  <c r="D501" i="4"/>
  <c r="C501" i="4"/>
  <c r="B501" i="4"/>
  <c r="M501" i="4" s="1"/>
  <c r="D500" i="4"/>
  <c r="C500" i="4"/>
  <c r="B500" i="4"/>
  <c r="M500" i="4" s="1"/>
  <c r="D499" i="4"/>
  <c r="C499" i="4"/>
  <c r="B499" i="4"/>
  <c r="M499" i="4" s="1"/>
  <c r="D498" i="4"/>
  <c r="C498" i="4"/>
  <c r="B498" i="4"/>
  <c r="M498" i="4" s="1"/>
  <c r="D497" i="4"/>
  <c r="C497" i="4"/>
  <c r="B497" i="4"/>
  <c r="M497" i="4" s="1"/>
  <c r="D496" i="4"/>
  <c r="C496" i="4"/>
  <c r="B496" i="4"/>
  <c r="M496" i="4" s="1"/>
  <c r="D495" i="4"/>
  <c r="C495" i="4"/>
  <c r="B495" i="4"/>
  <c r="M495" i="4" s="1"/>
  <c r="D494" i="4"/>
  <c r="C494" i="4"/>
  <c r="B494" i="4"/>
  <c r="M494" i="4" s="1"/>
  <c r="D493" i="4"/>
  <c r="C493" i="4"/>
  <c r="B493" i="4"/>
  <c r="M493" i="4" s="1"/>
  <c r="D492" i="4"/>
  <c r="C492" i="4"/>
  <c r="B492" i="4"/>
  <c r="M492" i="4" s="1"/>
  <c r="D491" i="4"/>
  <c r="C491" i="4"/>
  <c r="B491" i="4"/>
  <c r="M491" i="4" s="1"/>
  <c r="D490" i="4"/>
  <c r="C490" i="4"/>
  <c r="B490" i="4"/>
  <c r="M490" i="4" s="1"/>
  <c r="D489" i="4"/>
  <c r="C489" i="4"/>
  <c r="B489" i="4"/>
  <c r="M489" i="4" s="1"/>
  <c r="D488" i="4"/>
  <c r="C488" i="4"/>
  <c r="B488" i="4"/>
  <c r="M488" i="4" s="1"/>
  <c r="D487" i="4"/>
  <c r="C487" i="4"/>
  <c r="B487" i="4"/>
  <c r="M487" i="4" s="1"/>
  <c r="D486" i="4"/>
  <c r="C486" i="4"/>
  <c r="B486" i="4"/>
  <c r="M486" i="4" s="1"/>
  <c r="D485" i="4"/>
  <c r="C485" i="4"/>
  <c r="B485" i="4"/>
  <c r="M485" i="4" s="1"/>
  <c r="D484" i="4"/>
  <c r="C484" i="4"/>
  <c r="B484" i="4"/>
  <c r="M484" i="4" s="1"/>
  <c r="D483" i="4"/>
  <c r="C483" i="4"/>
  <c r="B483" i="4"/>
  <c r="M483" i="4" s="1"/>
  <c r="D482" i="4"/>
  <c r="C482" i="4"/>
  <c r="B482" i="4"/>
  <c r="M482" i="4" s="1"/>
  <c r="D481" i="4"/>
  <c r="C481" i="4"/>
  <c r="B481" i="4"/>
  <c r="M481" i="4" s="1"/>
  <c r="D480" i="4"/>
  <c r="C480" i="4"/>
  <c r="B480" i="4"/>
  <c r="M480" i="4" s="1"/>
  <c r="D479" i="4"/>
  <c r="C479" i="4"/>
  <c r="B479" i="4"/>
  <c r="M479" i="4" s="1"/>
  <c r="D478" i="4"/>
  <c r="C478" i="4"/>
  <c r="B478" i="4"/>
  <c r="M478" i="4" s="1"/>
  <c r="D477" i="4"/>
  <c r="C477" i="4"/>
  <c r="B477" i="4"/>
  <c r="M477" i="4" s="1"/>
  <c r="D476" i="4"/>
  <c r="C476" i="4"/>
  <c r="B476" i="4"/>
  <c r="M476" i="4" s="1"/>
  <c r="D475" i="4"/>
  <c r="C475" i="4"/>
  <c r="B475" i="4"/>
  <c r="M475" i="4" s="1"/>
  <c r="D474" i="4"/>
  <c r="C474" i="4"/>
  <c r="B474" i="4"/>
  <c r="M474" i="4" s="1"/>
  <c r="D473" i="4"/>
  <c r="C473" i="4"/>
  <c r="B473" i="4"/>
  <c r="M473" i="4" s="1"/>
  <c r="D472" i="4"/>
  <c r="C472" i="4"/>
  <c r="B472" i="4"/>
  <c r="M472" i="4" s="1"/>
  <c r="D471" i="4"/>
  <c r="C471" i="4"/>
  <c r="B471" i="4"/>
  <c r="M471" i="4" s="1"/>
  <c r="D470" i="4"/>
  <c r="C470" i="4"/>
  <c r="B470" i="4"/>
  <c r="M470" i="4" s="1"/>
  <c r="D469" i="4"/>
  <c r="C469" i="4"/>
  <c r="B469" i="4"/>
  <c r="M469" i="4" s="1"/>
  <c r="D468" i="4"/>
  <c r="C468" i="4"/>
  <c r="B468" i="4"/>
  <c r="M468" i="4" s="1"/>
  <c r="D467" i="4"/>
  <c r="C467" i="4"/>
  <c r="B467" i="4"/>
  <c r="M467" i="4" s="1"/>
  <c r="D466" i="4"/>
  <c r="C466" i="4"/>
  <c r="B466" i="4"/>
  <c r="M466" i="4" s="1"/>
  <c r="D465" i="4"/>
  <c r="C465" i="4"/>
  <c r="B465" i="4"/>
  <c r="M465" i="4" s="1"/>
  <c r="D464" i="4"/>
  <c r="C464" i="4"/>
  <c r="B464" i="4"/>
  <c r="M464" i="4" s="1"/>
  <c r="D463" i="4"/>
  <c r="C463" i="4"/>
  <c r="B463" i="4"/>
  <c r="M463" i="4" s="1"/>
  <c r="D462" i="4"/>
  <c r="C462" i="4"/>
  <c r="B462" i="4"/>
  <c r="M462" i="4" s="1"/>
  <c r="D461" i="4"/>
  <c r="C461" i="4"/>
  <c r="B461" i="4"/>
  <c r="M461" i="4" s="1"/>
  <c r="D460" i="4"/>
  <c r="C460" i="4"/>
  <c r="B460" i="4"/>
  <c r="M460" i="4" s="1"/>
  <c r="D459" i="4"/>
  <c r="C459" i="4"/>
  <c r="B459" i="4"/>
  <c r="M459" i="4" s="1"/>
  <c r="D458" i="4"/>
  <c r="C458" i="4"/>
  <c r="B458" i="4"/>
  <c r="M458" i="4" s="1"/>
  <c r="D457" i="4"/>
  <c r="C457" i="4"/>
  <c r="B457" i="4"/>
  <c r="M457" i="4" s="1"/>
  <c r="D456" i="4"/>
  <c r="C456" i="4"/>
  <c r="B456" i="4"/>
  <c r="M456" i="4" s="1"/>
  <c r="D455" i="4"/>
  <c r="C455" i="4"/>
  <c r="B455" i="4"/>
  <c r="M455" i="4" s="1"/>
  <c r="D454" i="4"/>
  <c r="C454" i="4"/>
  <c r="B454" i="4"/>
  <c r="M454" i="4" s="1"/>
  <c r="D453" i="4"/>
  <c r="C453" i="4"/>
  <c r="B453" i="4"/>
  <c r="M453" i="4" s="1"/>
  <c r="D452" i="4"/>
  <c r="C452" i="4"/>
  <c r="B452" i="4"/>
  <c r="M452" i="4" s="1"/>
  <c r="D451" i="4"/>
  <c r="C451" i="4"/>
  <c r="B451" i="4"/>
  <c r="M451" i="4" s="1"/>
  <c r="D450" i="4"/>
  <c r="C450" i="4"/>
  <c r="B450" i="4"/>
  <c r="M450" i="4" s="1"/>
  <c r="D449" i="4"/>
  <c r="C449" i="4"/>
  <c r="B449" i="4"/>
  <c r="M449" i="4" s="1"/>
  <c r="D448" i="4"/>
  <c r="C448" i="4"/>
  <c r="B448" i="4"/>
  <c r="M448" i="4" s="1"/>
  <c r="D447" i="4"/>
  <c r="C447" i="4"/>
  <c r="B447" i="4"/>
  <c r="M447" i="4" s="1"/>
  <c r="D446" i="4"/>
  <c r="C446" i="4"/>
  <c r="B446" i="4"/>
  <c r="M446" i="4" s="1"/>
  <c r="D445" i="4"/>
  <c r="C445" i="4"/>
  <c r="B445" i="4"/>
  <c r="M445" i="4" s="1"/>
  <c r="D444" i="4"/>
  <c r="C444" i="4"/>
  <c r="B444" i="4"/>
  <c r="M444" i="4" s="1"/>
  <c r="D443" i="4"/>
  <c r="C443" i="4"/>
  <c r="B443" i="4"/>
  <c r="M443" i="4" s="1"/>
  <c r="D442" i="4"/>
  <c r="C442" i="4"/>
  <c r="B442" i="4"/>
  <c r="M442" i="4" s="1"/>
  <c r="D441" i="4"/>
  <c r="C441" i="4"/>
  <c r="B441" i="4"/>
  <c r="M441" i="4" s="1"/>
  <c r="D440" i="4"/>
  <c r="C440" i="4"/>
  <c r="B440" i="4"/>
  <c r="M440" i="4" s="1"/>
  <c r="D439" i="4"/>
  <c r="C439" i="4"/>
  <c r="B439" i="4"/>
  <c r="M439" i="4" s="1"/>
  <c r="D438" i="4"/>
  <c r="C438" i="4"/>
  <c r="B438" i="4"/>
  <c r="M438" i="4" s="1"/>
  <c r="D437" i="4"/>
  <c r="C437" i="4"/>
  <c r="B437" i="4"/>
  <c r="M437" i="4" s="1"/>
  <c r="D436" i="4"/>
  <c r="C436" i="4"/>
  <c r="B436" i="4"/>
  <c r="M436" i="4" s="1"/>
  <c r="D435" i="4"/>
  <c r="C435" i="4"/>
  <c r="B435" i="4"/>
  <c r="M435" i="4" s="1"/>
  <c r="D434" i="4"/>
  <c r="C434" i="4"/>
  <c r="B434" i="4"/>
  <c r="M434" i="4" s="1"/>
  <c r="D433" i="4"/>
  <c r="C433" i="4"/>
  <c r="B433" i="4"/>
  <c r="M433" i="4" s="1"/>
  <c r="D432" i="4"/>
  <c r="C432" i="4"/>
  <c r="B432" i="4"/>
  <c r="M432" i="4" s="1"/>
  <c r="D431" i="4"/>
  <c r="C431" i="4"/>
  <c r="B431" i="4"/>
  <c r="M431" i="4" s="1"/>
  <c r="D430" i="4"/>
  <c r="C430" i="4"/>
  <c r="B430" i="4"/>
  <c r="M430" i="4" s="1"/>
  <c r="D429" i="4"/>
  <c r="C429" i="4"/>
  <c r="B429" i="4"/>
  <c r="M429" i="4" s="1"/>
  <c r="D428" i="4"/>
  <c r="C428" i="4"/>
  <c r="B428" i="4"/>
  <c r="M428" i="4" s="1"/>
  <c r="D427" i="4"/>
  <c r="C427" i="4"/>
  <c r="B427" i="4"/>
  <c r="M427" i="4" s="1"/>
  <c r="D426" i="4"/>
  <c r="C426" i="4"/>
  <c r="B426" i="4"/>
  <c r="M426" i="4" s="1"/>
  <c r="D425" i="4"/>
  <c r="C425" i="4"/>
  <c r="B425" i="4"/>
  <c r="M425" i="4" s="1"/>
  <c r="D424" i="4"/>
  <c r="C424" i="4"/>
  <c r="B424" i="4"/>
  <c r="M424" i="4" s="1"/>
  <c r="D423" i="4"/>
  <c r="C423" i="4"/>
  <c r="B423" i="4"/>
  <c r="M423" i="4" s="1"/>
  <c r="D422" i="4"/>
  <c r="C422" i="4"/>
  <c r="B422" i="4"/>
  <c r="M422" i="4" s="1"/>
  <c r="D421" i="4"/>
  <c r="C421" i="4"/>
  <c r="B421" i="4"/>
  <c r="M421" i="4" s="1"/>
  <c r="D420" i="4"/>
  <c r="C420" i="4"/>
  <c r="B420" i="4"/>
  <c r="M420" i="4" s="1"/>
  <c r="D419" i="4"/>
  <c r="C419" i="4"/>
  <c r="B419" i="4"/>
  <c r="M419" i="4" s="1"/>
  <c r="D418" i="4"/>
  <c r="C418" i="4"/>
  <c r="B418" i="4"/>
  <c r="M418" i="4" s="1"/>
  <c r="D417" i="4"/>
  <c r="C417" i="4"/>
  <c r="B417" i="4"/>
  <c r="M417" i="4" s="1"/>
  <c r="D416" i="4"/>
  <c r="C416" i="4"/>
  <c r="B416" i="4"/>
  <c r="M416" i="4" s="1"/>
  <c r="D415" i="4"/>
  <c r="C415" i="4"/>
  <c r="B415" i="4"/>
  <c r="M415" i="4" s="1"/>
  <c r="D414" i="4"/>
  <c r="C414" i="4"/>
  <c r="B414" i="4"/>
  <c r="M414" i="4" s="1"/>
  <c r="D413" i="4"/>
  <c r="C413" i="4"/>
  <c r="B413" i="4"/>
  <c r="M413" i="4" s="1"/>
  <c r="D412" i="4"/>
  <c r="C412" i="4"/>
  <c r="B412" i="4"/>
  <c r="M412" i="4" s="1"/>
  <c r="D411" i="4"/>
  <c r="C411" i="4"/>
  <c r="B411" i="4"/>
  <c r="M411" i="4" s="1"/>
  <c r="D410" i="4"/>
  <c r="C410" i="4"/>
  <c r="B410" i="4"/>
  <c r="M410" i="4" s="1"/>
  <c r="D409" i="4"/>
  <c r="C409" i="4"/>
  <c r="B409" i="4"/>
  <c r="M409" i="4" s="1"/>
  <c r="D408" i="4"/>
  <c r="C408" i="4"/>
  <c r="B408" i="4"/>
  <c r="M408" i="4" s="1"/>
  <c r="D407" i="4"/>
  <c r="C407" i="4"/>
  <c r="B407" i="4"/>
  <c r="M407" i="4" s="1"/>
  <c r="D406" i="4"/>
  <c r="C406" i="4"/>
  <c r="B406" i="4"/>
  <c r="M406" i="4" s="1"/>
  <c r="D405" i="4"/>
  <c r="C405" i="4"/>
  <c r="B405" i="4"/>
  <c r="M405" i="4" s="1"/>
  <c r="D404" i="4"/>
  <c r="C404" i="4"/>
  <c r="B404" i="4"/>
  <c r="M404" i="4" s="1"/>
  <c r="D403" i="4"/>
  <c r="C403" i="4"/>
  <c r="B403" i="4"/>
  <c r="M403" i="4" s="1"/>
  <c r="D402" i="4"/>
  <c r="C402" i="4"/>
  <c r="B402" i="4"/>
  <c r="M402" i="4" s="1"/>
  <c r="D401" i="4"/>
  <c r="C401" i="4"/>
  <c r="B401" i="4"/>
  <c r="M401" i="4" s="1"/>
  <c r="D400" i="4"/>
  <c r="C400" i="4"/>
  <c r="B400" i="4"/>
  <c r="M400" i="4" s="1"/>
  <c r="D399" i="4"/>
  <c r="C399" i="4"/>
  <c r="B399" i="4"/>
  <c r="M399" i="4" s="1"/>
  <c r="D398" i="4"/>
  <c r="C398" i="4"/>
  <c r="B398" i="4"/>
  <c r="M398" i="4" s="1"/>
  <c r="D397" i="4"/>
  <c r="C397" i="4"/>
  <c r="B397" i="4"/>
  <c r="M397" i="4" s="1"/>
  <c r="D396" i="4"/>
  <c r="C396" i="4"/>
  <c r="B396" i="4"/>
  <c r="M396" i="4" s="1"/>
  <c r="D395" i="4"/>
  <c r="C395" i="4"/>
  <c r="B395" i="4"/>
  <c r="M395" i="4" s="1"/>
  <c r="D394" i="4"/>
  <c r="C394" i="4"/>
  <c r="B394" i="4"/>
  <c r="M394" i="4" s="1"/>
  <c r="D393" i="4"/>
  <c r="C393" i="4"/>
  <c r="B393" i="4"/>
  <c r="M393" i="4" s="1"/>
  <c r="D392" i="4"/>
  <c r="C392" i="4"/>
  <c r="B392" i="4"/>
  <c r="M392" i="4" s="1"/>
  <c r="D391" i="4"/>
  <c r="C391" i="4"/>
  <c r="B391" i="4"/>
  <c r="M391" i="4" s="1"/>
  <c r="D390" i="4"/>
  <c r="C390" i="4"/>
  <c r="B390" i="4"/>
  <c r="M390" i="4" s="1"/>
  <c r="D389" i="4"/>
  <c r="C389" i="4"/>
  <c r="B389" i="4"/>
  <c r="M389" i="4" s="1"/>
  <c r="D388" i="4"/>
  <c r="C388" i="4"/>
  <c r="B388" i="4"/>
  <c r="M388" i="4" s="1"/>
  <c r="D387" i="4"/>
  <c r="C387" i="4"/>
  <c r="B387" i="4"/>
  <c r="M387" i="4" s="1"/>
  <c r="D386" i="4"/>
  <c r="C386" i="4"/>
  <c r="B386" i="4"/>
  <c r="M386" i="4" s="1"/>
  <c r="D385" i="4"/>
  <c r="C385" i="4"/>
  <c r="B385" i="4"/>
  <c r="M385" i="4" s="1"/>
  <c r="D384" i="4"/>
  <c r="C384" i="4"/>
  <c r="B384" i="4"/>
  <c r="M384" i="4" s="1"/>
  <c r="D383" i="4"/>
  <c r="C383" i="4"/>
  <c r="B383" i="4"/>
  <c r="M383" i="4" s="1"/>
  <c r="D382" i="4"/>
  <c r="C382" i="4"/>
  <c r="B382" i="4"/>
  <c r="M382" i="4" s="1"/>
  <c r="D381" i="4"/>
  <c r="C381" i="4"/>
  <c r="B381" i="4"/>
  <c r="M381" i="4" s="1"/>
  <c r="D380" i="4"/>
  <c r="C380" i="4"/>
  <c r="B380" i="4"/>
  <c r="M380" i="4" s="1"/>
  <c r="D379" i="4"/>
  <c r="C379" i="4"/>
  <c r="B379" i="4"/>
  <c r="M379" i="4" s="1"/>
  <c r="D378" i="4"/>
  <c r="C378" i="4"/>
  <c r="B378" i="4"/>
  <c r="M378" i="4" s="1"/>
  <c r="D377" i="4"/>
  <c r="C377" i="4"/>
  <c r="B377" i="4"/>
  <c r="M377" i="4" s="1"/>
  <c r="D376" i="4"/>
  <c r="C376" i="4"/>
  <c r="B376" i="4"/>
  <c r="M376" i="4" s="1"/>
  <c r="D375" i="4"/>
  <c r="C375" i="4"/>
  <c r="B375" i="4"/>
  <c r="M375" i="4" s="1"/>
  <c r="D374" i="4"/>
  <c r="C374" i="4"/>
  <c r="B374" i="4"/>
  <c r="M374" i="4" s="1"/>
  <c r="D373" i="4"/>
  <c r="C373" i="4"/>
  <c r="B373" i="4"/>
  <c r="M373" i="4" s="1"/>
  <c r="D372" i="4"/>
  <c r="C372" i="4"/>
  <c r="B372" i="4"/>
  <c r="M372" i="4" s="1"/>
  <c r="D371" i="4"/>
  <c r="C371" i="4"/>
  <c r="B371" i="4"/>
  <c r="M371" i="4" s="1"/>
  <c r="D370" i="4"/>
  <c r="C370" i="4"/>
  <c r="B370" i="4"/>
  <c r="M370" i="4" s="1"/>
  <c r="D369" i="4"/>
  <c r="C369" i="4"/>
  <c r="B369" i="4"/>
  <c r="M369" i="4" s="1"/>
  <c r="D368" i="4"/>
  <c r="C368" i="4"/>
  <c r="B368" i="4"/>
  <c r="M368" i="4" s="1"/>
  <c r="D367" i="4"/>
  <c r="C367" i="4"/>
  <c r="B367" i="4"/>
  <c r="M367" i="4" s="1"/>
  <c r="D366" i="4"/>
  <c r="C366" i="4"/>
  <c r="B366" i="4"/>
  <c r="M366" i="4" s="1"/>
  <c r="D365" i="4"/>
  <c r="C365" i="4"/>
  <c r="B365" i="4"/>
  <c r="M365" i="4" s="1"/>
  <c r="D364" i="4"/>
  <c r="C364" i="4"/>
  <c r="B364" i="4"/>
  <c r="M364" i="4" s="1"/>
  <c r="D363" i="4"/>
  <c r="C363" i="4"/>
  <c r="B363" i="4"/>
  <c r="M363" i="4" s="1"/>
  <c r="D362" i="4"/>
  <c r="C362" i="4"/>
  <c r="B362" i="4"/>
  <c r="M362" i="4" s="1"/>
  <c r="D361" i="4"/>
  <c r="C361" i="4"/>
  <c r="B361" i="4"/>
  <c r="M361" i="4" s="1"/>
  <c r="D360" i="4"/>
  <c r="C360" i="4"/>
  <c r="B360" i="4"/>
  <c r="M360" i="4" s="1"/>
  <c r="D359" i="4"/>
  <c r="C359" i="4"/>
  <c r="B359" i="4"/>
  <c r="M359" i="4" s="1"/>
  <c r="D358" i="4"/>
  <c r="C358" i="4"/>
  <c r="B358" i="4"/>
  <c r="M358" i="4" s="1"/>
  <c r="D357" i="4"/>
  <c r="C357" i="4"/>
  <c r="B357" i="4"/>
  <c r="M357" i="4" s="1"/>
  <c r="D356" i="4"/>
  <c r="C356" i="4"/>
  <c r="B356" i="4"/>
  <c r="M356" i="4" s="1"/>
  <c r="D355" i="4"/>
  <c r="C355" i="4"/>
  <c r="B355" i="4"/>
  <c r="M355" i="4" s="1"/>
  <c r="D354" i="4"/>
  <c r="C354" i="4"/>
  <c r="B354" i="4"/>
  <c r="M354" i="4" s="1"/>
  <c r="D353" i="4"/>
  <c r="C353" i="4"/>
  <c r="B353" i="4"/>
  <c r="M353" i="4" s="1"/>
  <c r="D352" i="4"/>
  <c r="C352" i="4"/>
  <c r="B352" i="4"/>
  <c r="M352" i="4" s="1"/>
  <c r="D351" i="4"/>
  <c r="C351" i="4"/>
  <c r="B351" i="4"/>
  <c r="M351" i="4" s="1"/>
  <c r="D350" i="4"/>
  <c r="C350" i="4"/>
  <c r="B350" i="4"/>
  <c r="M350" i="4" s="1"/>
  <c r="D349" i="4"/>
  <c r="C349" i="4"/>
  <c r="B349" i="4"/>
  <c r="M349" i="4" s="1"/>
  <c r="D348" i="4"/>
  <c r="C348" i="4"/>
  <c r="B348" i="4"/>
  <c r="M348" i="4" s="1"/>
  <c r="D347" i="4"/>
  <c r="C347" i="4"/>
  <c r="B347" i="4"/>
  <c r="M347" i="4" s="1"/>
  <c r="D346" i="4"/>
  <c r="C346" i="4"/>
  <c r="B346" i="4"/>
  <c r="M346" i="4" s="1"/>
  <c r="D345" i="4"/>
  <c r="C345" i="4"/>
  <c r="B345" i="4"/>
  <c r="M345" i="4" s="1"/>
  <c r="D344" i="4"/>
  <c r="C344" i="4"/>
  <c r="B344" i="4"/>
  <c r="M344" i="4" s="1"/>
  <c r="D343" i="4"/>
  <c r="C343" i="4"/>
  <c r="B343" i="4"/>
  <c r="M343" i="4" s="1"/>
  <c r="D342" i="4"/>
  <c r="C342" i="4"/>
  <c r="B342" i="4"/>
  <c r="M342" i="4" s="1"/>
  <c r="D341" i="4"/>
  <c r="C341" i="4"/>
  <c r="B341" i="4"/>
  <c r="M341" i="4" s="1"/>
  <c r="D340" i="4"/>
  <c r="C340" i="4"/>
  <c r="B340" i="4"/>
  <c r="M340" i="4" s="1"/>
  <c r="D339" i="4"/>
  <c r="C339" i="4"/>
  <c r="B339" i="4"/>
  <c r="M339" i="4" s="1"/>
  <c r="D338" i="4"/>
  <c r="C338" i="4"/>
  <c r="B338" i="4"/>
  <c r="M338" i="4" s="1"/>
  <c r="D337" i="4"/>
  <c r="C337" i="4"/>
  <c r="B337" i="4"/>
  <c r="M337" i="4" s="1"/>
  <c r="D336" i="4"/>
  <c r="C336" i="4"/>
  <c r="B336" i="4"/>
  <c r="M336" i="4" s="1"/>
  <c r="D335" i="4"/>
  <c r="C335" i="4"/>
  <c r="B335" i="4"/>
  <c r="M335" i="4" s="1"/>
  <c r="D334" i="4"/>
  <c r="C334" i="4"/>
  <c r="B334" i="4"/>
  <c r="M334" i="4" s="1"/>
  <c r="D333" i="4"/>
  <c r="C333" i="4"/>
  <c r="B333" i="4"/>
  <c r="M333" i="4" s="1"/>
  <c r="D332" i="4"/>
  <c r="C332" i="4"/>
  <c r="B332" i="4"/>
  <c r="M332" i="4" s="1"/>
  <c r="D331" i="4"/>
  <c r="C331" i="4"/>
  <c r="B331" i="4"/>
  <c r="M331" i="4" s="1"/>
  <c r="D330" i="4"/>
  <c r="C330" i="4"/>
  <c r="B330" i="4"/>
  <c r="M330" i="4" s="1"/>
  <c r="D329" i="4"/>
  <c r="C329" i="4"/>
  <c r="B329" i="4"/>
  <c r="M329" i="4" s="1"/>
  <c r="D328" i="4"/>
  <c r="C328" i="4"/>
  <c r="B328" i="4"/>
  <c r="M328" i="4" s="1"/>
  <c r="D327" i="4"/>
  <c r="C327" i="4"/>
  <c r="B327" i="4"/>
  <c r="M327" i="4" s="1"/>
  <c r="D326" i="4"/>
  <c r="C326" i="4"/>
  <c r="B326" i="4"/>
  <c r="M326" i="4" s="1"/>
  <c r="D325" i="4"/>
  <c r="C325" i="4"/>
  <c r="B325" i="4"/>
  <c r="M325" i="4" s="1"/>
  <c r="D324" i="4"/>
  <c r="C324" i="4"/>
  <c r="B324" i="4"/>
  <c r="M324" i="4" s="1"/>
  <c r="D323" i="4"/>
  <c r="C323" i="4"/>
  <c r="B323" i="4"/>
  <c r="M323" i="4" s="1"/>
  <c r="D322" i="4"/>
  <c r="C322" i="4"/>
  <c r="B322" i="4"/>
  <c r="M322" i="4" s="1"/>
  <c r="D321" i="4"/>
  <c r="C321" i="4"/>
  <c r="B321" i="4"/>
  <c r="M321" i="4" s="1"/>
  <c r="D320" i="4"/>
  <c r="C320" i="4"/>
  <c r="B320" i="4"/>
  <c r="M320" i="4" s="1"/>
  <c r="D319" i="4"/>
  <c r="C319" i="4"/>
  <c r="B319" i="4"/>
  <c r="M319" i="4" s="1"/>
  <c r="D318" i="4"/>
  <c r="C318" i="4"/>
  <c r="B318" i="4"/>
  <c r="M318" i="4" s="1"/>
  <c r="D317" i="4"/>
  <c r="C317" i="4"/>
  <c r="B317" i="4"/>
  <c r="M317" i="4" s="1"/>
  <c r="D316" i="4"/>
  <c r="C316" i="4"/>
  <c r="B316" i="4"/>
  <c r="M316" i="4" s="1"/>
  <c r="D315" i="4"/>
  <c r="C315" i="4"/>
  <c r="B315" i="4"/>
  <c r="M315" i="4" s="1"/>
  <c r="D314" i="4"/>
  <c r="C314" i="4"/>
  <c r="B314" i="4"/>
  <c r="M314" i="4" s="1"/>
  <c r="D313" i="4"/>
  <c r="C313" i="4"/>
  <c r="B313" i="4"/>
  <c r="M313" i="4" s="1"/>
  <c r="D312" i="4"/>
  <c r="C312" i="4"/>
  <c r="B312" i="4"/>
  <c r="M312" i="4" s="1"/>
  <c r="D311" i="4"/>
  <c r="C311" i="4"/>
  <c r="B311" i="4"/>
  <c r="M311" i="4" s="1"/>
  <c r="D310" i="4"/>
  <c r="C310" i="4"/>
  <c r="B310" i="4"/>
  <c r="M310" i="4" s="1"/>
  <c r="D309" i="4"/>
  <c r="C309" i="4"/>
  <c r="B309" i="4"/>
  <c r="M309" i="4" s="1"/>
  <c r="D308" i="4"/>
  <c r="C308" i="4"/>
  <c r="B308" i="4"/>
  <c r="M308" i="4" s="1"/>
  <c r="D307" i="4"/>
  <c r="C307" i="4"/>
  <c r="B307" i="4"/>
  <c r="M307" i="4" s="1"/>
  <c r="D306" i="4"/>
  <c r="C306" i="4"/>
  <c r="B306" i="4"/>
  <c r="M306" i="4" s="1"/>
  <c r="D305" i="4"/>
  <c r="C305" i="4"/>
  <c r="B305" i="4"/>
  <c r="M305" i="4" s="1"/>
  <c r="D304" i="4"/>
  <c r="C304" i="4"/>
  <c r="B304" i="4"/>
  <c r="M304" i="4" s="1"/>
  <c r="D303" i="4"/>
  <c r="C303" i="4"/>
  <c r="B303" i="4"/>
  <c r="M303" i="4" s="1"/>
  <c r="D302" i="4"/>
  <c r="C302" i="4"/>
  <c r="B302" i="4"/>
  <c r="M302" i="4" s="1"/>
  <c r="D301" i="4"/>
  <c r="C301" i="4"/>
  <c r="B301" i="4"/>
  <c r="M301" i="4" s="1"/>
  <c r="D300" i="4"/>
  <c r="C300" i="4"/>
  <c r="B300" i="4"/>
  <c r="M300" i="4" s="1"/>
  <c r="D299" i="4"/>
  <c r="C299" i="4"/>
  <c r="B299" i="4"/>
  <c r="M299" i="4" s="1"/>
  <c r="D298" i="4"/>
  <c r="C298" i="4"/>
  <c r="B298" i="4"/>
  <c r="M298" i="4" s="1"/>
  <c r="D297" i="4"/>
  <c r="C297" i="4"/>
  <c r="B297" i="4"/>
  <c r="M297" i="4" s="1"/>
  <c r="D296" i="4"/>
  <c r="C296" i="4"/>
  <c r="B296" i="4"/>
  <c r="M296" i="4" s="1"/>
  <c r="D295" i="4"/>
  <c r="C295" i="4"/>
  <c r="B295" i="4"/>
  <c r="M295" i="4" s="1"/>
  <c r="D294" i="4"/>
  <c r="C294" i="4"/>
  <c r="B294" i="4"/>
  <c r="M294" i="4" s="1"/>
  <c r="D293" i="4"/>
  <c r="C293" i="4"/>
  <c r="B293" i="4"/>
  <c r="M293" i="4" s="1"/>
  <c r="D292" i="4"/>
  <c r="C292" i="4"/>
  <c r="B292" i="4"/>
  <c r="M292" i="4" s="1"/>
  <c r="D291" i="4"/>
  <c r="C291" i="4"/>
  <c r="B291" i="4"/>
  <c r="M291" i="4" s="1"/>
  <c r="D290" i="4"/>
  <c r="C290" i="4"/>
  <c r="B290" i="4"/>
  <c r="M290" i="4" s="1"/>
  <c r="D289" i="4"/>
  <c r="C289" i="4"/>
  <c r="B289" i="4"/>
  <c r="M289" i="4" s="1"/>
  <c r="D288" i="4"/>
  <c r="C288" i="4"/>
  <c r="B288" i="4"/>
  <c r="M288" i="4" s="1"/>
  <c r="D287" i="4"/>
  <c r="C287" i="4"/>
  <c r="B287" i="4"/>
  <c r="M287" i="4" s="1"/>
  <c r="D286" i="4"/>
  <c r="C286" i="4"/>
  <c r="B286" i="4"/>
  <c r="M286" i="4" s="1"/>
  <c r="D285" i="4"/>
  <c r="C285" i="4"/>
  <c r="B285" i="4"/>
  <c r="M285" i="4" s="1"/>
  <c r="D284" i="4"/>
  <c r="C284" i="4"/>
  <c r="B284" i="4"/>
  <c r="M284" i="4" s="1"/>
  <c r="D283" i="4"/>
  <c r="C283" i="4"/>
  <c r="B283" i="4"/>
  <c r="M283" i="4" s="1"/>
  <c r="D282" i="4"/>
  <c r="C282" i="4"/>
  <c r="B282" i="4"/>
  <c r="M282" i="4" s="1"/>
  <c r="D281" i="4"/>
  <c r="C281" i="4"/>
  <c r="B281" i="4"/>
  <c r="M281" i="4" s="1"/>
  <c r="D280" i="4"/>
  <c r="C280" i="4"/>
  <c r="B280" i="4"/>
  <c r="M280" i="4" s="1"/>
  <c r="D279" i="4"/>
  <c r="C279" i="4"/>
  <c r="B279" i="4"/>
  <c r="M279" i="4" s="1"/>
  <c r="D278" i="4"/>
  <c r="C278" i="4"/>
  <c r="B278" i="4"/>
  <c r="M278" i="4" s="1"/>
  <c r="D277" i="4"/>
  <c r="C277" i="4"/>
  <c r="B277" i="4"/>
  <c r="M277" i="4" s="1"/>
  <c r="D276" i="4"/>
  <c r="C276" i="4"/>
  <c r="B276" i="4"/>
  <c r="M276" i="4" s="1"/>
  <c r="D275" i="4"/>
  <c r="C275" i="4"/>
  <c r="B275" i="4"/>
  <c r="M275" i="4" s="1"/>
  <c r="D274" i="4"/>
  <c r="C274" i="4"/>
  <c r="B274" i="4"/>
  <c r="M274" i="4" s="1"/>
  <c r="D273" i="4"/>
  <c r="C273" i="4"/>
  <c r="B273" i="4"/>
  <c r="M273" i="4" s="1"/>
  <c r="D272" i="4"/>
  <c r="C272" i="4"/>
  <c r="B272" i="4"/>
  <c r="M272" i="4" s="1"/>
  <c r="D271" i="4"/>
  <c r="C271" i="4"/>
  <c r="B271" i="4"/>
  <c r="M271" i="4" s="1"/>
  <c r="D270" i="4"/>
  <c r="C270" i="4"/>
  <c r="B270" i="4"/>
  <c r="M270" i="4" s="1"/>
  <c r="D269" i="4"/>
  <c r="C269" i="4"/>
  <c r="B269" i="4"/>
  <c r="M269" i="4" s="1"/>
  <c r="D268" i="4"/>
  <c r="C268" i="4"/>
  <c r="B268" i="4"/>
  <c r="M268" i="4" s="1"/>
  <c r="D267" i="4"/>
  <c r="C267" i="4"/>
  <c r="B267" i="4"/>
  <c r="M267" i="4" s="1"/>
  <c r="D266" i="4"/>
  <c r="C266" i="4"/>
  <c r="B266" i="4"/>
  <c r="M266" i="4" s="1"/>
  <c r="D265" i="4"/>
  <c r="C265" i="4"/>
  <c r="B265" i="4"/>
  <c r="M265" i="4" s="1"/>
  <c r="D264" i="4"/>
  <c r="C264" i="4"/>
  <c r="B264" i="4"/>
  <c r="M264" i="4" s="1"/>
  <c r="D263" i="4"/>
  <c r="C263" i="4"/>
  <c r="B263" i="4"/>
  <c r="M263" i="4" s="1"/>
  <c r="D262" i="4"/>
  <c r="C262" i="4"/>
  <c r="B262" i="4"/>
  <c r="M262" i="4" s="1"/>
  <c r="D261" i="4"/>
  <c r="C261" i="4"/>
  <c r="B261" i="4"/>
  <c r="M261" i="4" s="1"/>
  <c r="D260" i="4"/>
  <c r="C260" i="4"/>
  <c r="B260" i="4"/>
  <c r="M260" i="4" s="1"/>
  <c r="D259" i="4"/>
  <c r="C259" i="4"/>
  <c r="B259" i="4"/>
  <c r="M259" i="4" s="1"/>
  <c r="D258" i="4"/>
  <c r="C258" i="4"/>
  <c r="B258" i="4"/>
  <c r="M258" i="4" s="1"/>
  <c r="D257" i="4"/>
  <c r="C257" i="4"/>
  <c r="B257" i="4"/>
  <c r="M257" i="4" s="1"/>
  <c r="D256" i="4"/>
  <c r="C256" i="4"/>
  <c r="B256" i="4"/>
  <c r="M256" i="4" s="1"/>
  <c r="D255" i="4"/>
  <c r="C255" i="4"/>
  <c r="B255" i="4"/>
  <c r="M255" i="4" s="1"/>
  <c r="D254" i="4"/>
  <c r="C254" i="4"/>
  <c r="B254" i="4"/>
  <c r="M254" i="4" s="1"/>
  <c r="D253" i="4"/>
  <c r="C253" i="4"/>
  <c r="B253" i="4"/>
  <c r="M253" i="4" s="1"/>
  <c r="D252" i="4"/>
  <c r="C252" i="4"/>
  <c r="B252" i="4"/>
  <c r="M252" i="4" s="1"/>
  <c r="D251" i="4"/>
  <c r="C251" i="4"/>
  <c r="B251" i="4"/>
  <c r="M251" i="4" s="1"/>
  <c r="D250" i="4"/>
  <c r="C250" i="4"/>
  <c r="B250" i="4"/>
  <c r="M250" i="4" s="1"/>
  <c r="D249" i="4"/>
  <c r="C249" i="4"/>
  <c r="B249" i="4"/>
  <c r="M249" i="4" s="1"/>
  <c r="D248" i="4"/>
  <c r="C248" i="4"/>
  <c r="B248" i="4"/>
  <c r="M248" i="4" s="1"/>
  <c r="D247" i="4"/>
  <c r="C247" i="4"/>
  <c r="B247" i="4"/>
  <c r="M247" i="4" s="1"/>
  <c r="D246" i="4"/>
  <c r="C246" i="4"/>
  <c r="B246" i="4"/>
  <c r="M246" i="4" s="1"/>
  <c r="D245" i="4"/>
  <c r="C245" i="4"/>
  <c r="B245" i="4"/>
  <c r="M245" i="4" s="1"/>
  <c r="D244" i="4"/>
  <c r="C244" i="4"/>
  <c r="B244" i="4"/>
  <c r="M244" i="4" s="1"/>
  <c r="D243" i="4"/>
  <c r="C243" i="4"/>
  <c r="B243" i="4"/>
  <c r="M243" i="4" s="1"/>
  <c r="D242" i="4"/>
  <c r="C242" i="4"/>
  <c r="B242" i="4"/>
  <c r="M242" i="4" s="1"/>
  <c r="D241" i="4"/>
  <c r="C241" i="4"/>
  <c r="B241" i="4"/>
  <c r="M241" i="4" s="1"/>
  <c r="D240" i="4"/>
  <c r="C240" i="4"/>
  <c r="B240" i="4"/>
  <c r="M240" i="4" s="1"/>
  <c r="D239" i="4"/>
  <c r="C239" i="4"/>
  <c r="B239" i="4"/>
  <c r="M239" i="4" s="1"/>
  <c r="D238" i="4"/>
  <c r="C238" i="4"/>
  <c r="B238" i="4"/>
  <c r="M238" i="4" s="1"/>
  <c r="D237" i="4"/>
  <c r="C237" i="4"/>
  <c r="B237" i="4"/>
  <c r="M237" i="4" s="1"/>
  <c r="D236" i="4"/>
  <c r="C236" i="4"/>
  <c r="B236" i="4"/>
  <c r="M236" i="4" s="1"/>
  <c r="D235" i="4"/>
  <c r="C235" i="4"/>
  <c r="B235" i="4"/>
  <c r="M235" i="4" s="1"/>
  <c r="D234" i="4"/>
  <c r="C234" i="4"/>
  <c r="B234" i="4"/>
  <c r="M234" i="4" s="1"/>
  <c r="D233" i="4"/>
  <c r="C233" i="4"/>
  <c r="B233" i="4"/>
  <c r="M233" i="4" s="1"/>
  <c r="D232" i="4"/>
  <c r="C232" i="4"/>
  <c r="B232" i="4"/>
  <c r="M232" i="4" s="1"/>
  <c r="D231" i="4"/>
  <c r="C231" i="4"/>
  <c r="B231" i="4"/>
  <c r="M231" i="4" s="1"/>
  <c r="D230" i="4"/>
  <c r="C230" i="4"/>
  <c r="B230" i="4"/>
  <c r="M230" i="4" s="1"/>
  <c r="D229" i="4"/>
  <c r="C229" i="4"/>
  <c r="B229" i="4"/>
  <c r="M229" i="4" s="1"/>
  <c r="D228" i="4"/>
  <c r="C228" i="4"/>
  <c r="B228" i="4"/>
  <c r="M228" i="4" s="1"/>
  <c r="D227" i="4"/>
  <c r="C227" i="4"/>
  <c r="B227" i="4"/>
  <c r="M227" i="4" s="1"/>
  <c r="D226" i="4"/>
  <c r="C226" i="4"/>
  <c r="B226" i="4"/>
  <c r="M226" i="4" s="1"/>
  <c r="D225" i="4"/>
  <c r="C225" i="4"/>
  <c r="B225" i="4"/>
  <c r="M225" i="4" s="1"/>
  <c r="D224" i="4"/>
  <c r="C224" i="4"/>
  <c r="B224" i="4"/>
  <c r="M224" i="4" s="1"/>
  <c r="D223" i="4"/>
  <c r="C223" i="4"/>
  <c r="B223" i="4"/>
  <c r="M223" i="4" s="1"/>
  <c r="D222" i="4"/>
  <c r="C222" i="4"/>
  <c r="B222" i="4"/>
  <c r="M222" i="4" s="1"/>
  <c r="D221" i="4"/>
  <c r="C221" i="4"/>
  <c r="B221" i="4"/>
  <c r="M221" i="4" s="1"/>
  <c r="D220" i="4"/>
  <c r="C220" i="4"/>
  <c r="B220" i="4"/>
  <c r="M220" i="4" s="1"/>
  <c r="D219" i="4"/>
  <c r="C219" i="4"/>
  <c r="B219" i="4"/>
  <c r="M219" i="4" s="1"/>
  <c r="D218" i="4"/>
  <c r="C218" i="4"/>
  <c r="B218" i="4"/>
  <c r="M218" i="4" s="1"/>
  <c r="D217" i="4"/>
  <c r="C217" i="4"/>
  <c r="B217" i="4"/>
  <c r="M217" i="4" s="1"/>
  <c r="D216" i="4"/>
  <c r="C216" i="4"/>
  <c r="B216" i="4"/>
  <c r="M216" i="4" s="1"/>
  <c r="D215" i="4"/>
  <c r="C215" i="4"/>
  <c r="B215" i="4"/>
  <c r="M215" i="4" s="1"/>
  <c r="D214" i="4"/>
  <c r="C214" i="4"/>
  <c r="B214" i="4"/>
  <c r="M214" i="4" s="1"/>
  <c r="D213" i="4"/>
  <c r="C213" i="4"/>
  <c r="B213" i="4"/>
  <c r="M213" i="4" s="1"/>
  <c r="D212" i="4"/>
  <c r="C212" i="4"/>
  <c r="B212" i="4"/>
  <c r="M212" i="4" s="1"/>
  <c r="D211" i="4"/>
  <c r="C211" i="4"/>
  <c r="B211" i="4"/>
  <c r="M211" i="4" s="1"/>
  <c r="D210" i="4"/>
  <c r="C210" i="4"/>
  <c r="B210" i="4"/>
  <c r="M210" i="4" s="1"/>
  <c r="D209" i="4"/>
  <c r="C209" i="4"/>
  <c r="B209" i="4"/>
  <c r="M209" i="4" s="1"/>
  <c r="D208" i="4"/>
  <c r="C208" i="4"/>
  <c r="B208" i="4"/>
  <c r="M208" i="4" s="1"/>
  <c r="D207" i="4"/>
  <c r="C207" i="4"/>
  <c r="B207" i="4"/>
  <c r="M207" i="4" s="1"/>
  <c r="D206" i="4"/>
  <c r="C206" i="4"/>
  <c r="B206" i="4"/>
  <c r="M206" i="4" s="1"/>
  <c r="D205" i="4"/>
  <c r="C205" i="4"/>
  <c r="B205" i="4"/>
  <c r="M205" i="4" s="1"/>
  <c r="D204" i="4"/>
  <c r="C204" i="4"/>
  <c r="B204" i="4"/>
  <c r="M204" i="4" s="1"/>
  <c r="D203" i="4"/>
  <c r="C203" i="4"/>
  <c r="B203" i="4"/>
  <c r="M203" i="4" s="1"/>
  <c r="D202" i="4"/>
  <c r="C202" i="4"/>
  <c r="B202" i="4"/>
  <c r="M202" i="4" s="1"/>
  <c r="D201" i="4"/>
  <c r="C201" i="4"/>
  <c r="B201" i="4"/>
  <c r="M201" i="4" s="1"/>
  <c r="D200" i="4"/>
  <c r="C200" i="4"/>
  <c r="B200" i="4"/>
  <c r="M200" i="4" s="1"/>
  <c r="D199" i="4"/>
  <c r="C199" i="4"/>
  <c r="B199" i="4"/>
  <c r="M199" i="4" s="1"/>
  <c r="D198" i="4"/>
  <c r="C198" i="4"/>
  <c r="B198" i="4"/>
  <c r="M198" i="4" s="1"/>
  <c r="D197" i="4"/>
  <c r="C197" i="4"/>
  <c r="B197" i="4"/>
  <c r="M197" i="4" s="1"/>
  <c r="D196" i="4"/>
  <c r="C196" i="4"/>
  <c r="B196" i="4"/>
  <c r="M196" i="4" s="1"/>
  <c r="D195" i="4"/>
  <c r="C195" i="4"/>
  <c r="B195" i="4"/>
  <c r="M195" i="4" s="1"/>
  <c r="D194" i="4"/>
  <c r="C194" i="4"/>
  <c r="B194" i="4"/>
  <c r="M194" i="4" s="1"/>
  <c r="D193" i="4"/>
  <c r="C193" i="4"/>
  <c r="B193" i="4"/>
  <c r="M193" i="4" s="1"/>
  <c r="D192" i="4"/>
  <c r="C192" i="4"/>
  <c r="B192" i="4"/>
  <c r="M192" i="4" s="1"/>
  <c r="D191" i="4"/>
  <c r="C191" i="4"/>
  <c r="B191" i="4"/>
  <c r="M191" i="4" s="1"/>
  <c r="D190" i="4"/>
  <c r="C190" i="4"/>
  <c r="B190" i="4"/>
  <c r="M190" i="4" s="1"/>
  <c r="D189" i="4"/>
  <c r="C189" i="4"/>
  <c r="B189" i="4"/>
  <c r="M189" i="4" s="1"/>
  <c r="D188" i="4"/>
  <c r="C188" i="4"/>
  <c r="B188" i="4"/>
  <c r="M188" i="4" s="1"/>
  <c r="D187" i="4"/>
  <c r="C187" i="4"/>
  <c r="B187" i="4"/>
  <c r="M187" i="4" s="1"/>
  <c r="D186" i="4"/>
  <c r="C186" i="4"/>
  <c r="B186" i="4"/>
  <c r="M186" i="4" s="1"/>
  <c r="D185" i="4"/>
  <c r="C185" i="4"/>
  <c r="B185" i="4"/>
  <c r="M185" i="4" s="1"/>
  <c r="D184" i="4"/>
  <c r="C184" i="4"/>
  <c r="B184" i="4"/>
  <c r="M184" i="4" s="1"/>
  <c r="D183" i="4"/>
  <c r="C183" i="4"/>
  <c r="B183" i="4"/>
  <c r="M183" i="4" s="1"/>
  <c r="D182" i="4"/>
  <c r="C182" i="4"/>
  <c r="B182" i="4"/>
  <c r="M182" i="4" s="1"/>
  <c r="D181" i="4"/>
  <c r="C181" i="4"/>
  <c r="B181" i="4"/>
  <c r="M181" i="4" s="1"/>
  <c r="D180" i="4"/>
  <c r="C180" i="4"/>
  <c r="B180" i="4"/>
  <c r="M180" i="4" s="1"/>
  <c r="D179" i="4"/>
  <c r="C179" i="4"/>
  <c r="B179" i="4"/>
  <c r="M179" i="4" s="1"/>
  <c r="D178" i="4"/>
  <c r="C178" i="4"/>
  <c r="B178" i="4"/>
  <c r="M178" i="4" s="1"/>
  <c r="D177" i="4"/>
  <c r="C177" i="4"/>
  <c r="B177" i="4"/>
  <c r="M177" i="4" s="1"/>
  <c r="D176" i="4"/>
  <c r="C176" i="4"/>
  <c r="B176" i="4"/>
  <c r="M176" i="4" s="1"/>
  <c r="D175" i="4"/>
  <c r="C175" i="4"/>
  <c r="B175" i="4"/>
  <c r="M175" i="4" s="1"/>
  <c r="D174" i="4"/>
  <c r="C174" i="4"/>
  <c r="B174" i="4"/>
  <c r="M174" i="4" s="1"/>
  <c r="D173" i="4"/>
  <c r="C173" i="4"/>
  <c r="B173" i="4"/>
  <c r="M173" i="4" s="1"/>
  <c r="D172" i="4"/>
  <c r="C172" i="4"/>
  <c r="B172" i="4"/>
  <c r="M172" i="4" s="1"/>
  <c r="D171" i="4"/>
  <c r="C171" i="4"/>
  <c r="B171" i="4"/>
  <c r="M171" i="4" s="1"/>
  <c r="D170" i="4"/>
  <c r="C170" i="4"/>
  <c r="B170" i="4"/>
  <c r="M170" i="4" s="1"/>
  <c r="D169" i="4"/>
  <c r="C169" i="4"/>
  <c r="B169" i="4"/>
  <c r="M169" i="4" s="1"/>
  <c r="D168" i="4"/>
  <c r="C168" i="4"/>
  <c r="B168" i="4"/>
  <c r="M168" i="4" s="1"/>
  <c r="D167" i="4"/>
  <c r="C167" i="4"/>
  <c r="B167" i="4"/>
  <c r="M167" i="4" s="1"/>
  <c r="D166" i="4"/>
  <c r="C166" i="4"/>
  <c r="B166" i="4"/>
  <c r="M166" i="4" s="1"/>
  <c r="D165" i="4"/>
  <c r="C165" i="4"/>
  <c r="B165" i="4"/>
  <c r="M165" i="4" s="1"/>
  <c r="D164" i="4"/>
  <c r="C164" i="4"/>
  <c r="B164" i="4"/>
  <c r="M164" i="4" s="1"/>
  <c r="D163" i="4"/>
  <c r="C163" i="4"/>
  <c r="B163" i="4"/>
  <c r="M163" i="4" s="1"/>
  <c r="D162" i="4"/>
  <c r="C162" i="4"/>
  <c r="B162" i="4"/>
  <c r="M162" i="4" s="1"/>
  <c r="D161" i="4"/>
  <c r="C161" i="4"/>
  <c r="B161" i="4"/>
  <c r="M161" i="4" s="1"/>
  <c r="D160" i="4"/>
  <c r="C160" i="4"/>
  <c r="B160" i="4"/>
  <c r="M160" i="4" s="1"/>
  <c r="D159" i="4"/>
  <c r="C159" i="4"/>
  <c r="B159" i="4"/>
  <c r="M159" i="4" s="1"/>
  <c r="D158" i="4"/>
  <c r="C158" i="4"/>
  <c r="B158" i="4"/>
  <c r="M158" i="4" s="1"/>
  <c r="D157" i="4"/>
  <c r="C157" i="4"/>
  <c r="B157" i="4"/>
  <c r="M157" i="4" s="1"/>
  <c r="D156" i="4"/>
  <c r="C156" i="4"/>
  <c r="B156" i="4"/>
  <c r="M156" i="4" s="1"/>
  <c r="D155" i="4"/>
  <c r="C155" i="4"/>
  <c r="B155" i="4"/>
  <c r="M155" i="4" s="1"/>
  <c r="D154" i="4"/>
  <c r="C154" i="4"/>
  <c r="B154" i="4"/>
  <c r="M154" i="4" s="1"/>
  <c r="D153" i="4"/>
  <c r="C153" i="4"/>
  <c r="B153" i="4"/>
  <c r="M153" i="4" s="1"/>
  <c r="D152" i="4"/>
  <c r="C152" i="4"/>
  <c r="B152" i="4"/>
  <c r="M152" i="4" s="1"/>
  <c r="D151" i="4"/>
  <c r="C151" i="4"/>
  <c r="B151" i="4"/>
  <c r="M151" i="4" s="1"/>
  <c r="D150" i="4"/>
  <c r="C150" i="4"/>
  <c r="B150" i="4"/>
  <c r="M150" i="4" s="1"/>
  <c r="D149" i="4"/>
  <c r="C149" i="4"/>
  <c r="B149" i="4"/>
  <c r="M149" i="4" s="1"/>
  <c r="D148" i="4"/>
  <c r="C148" i="4"/>
  <c r="B148" i="4"/>
  <c r="M148" i="4" s="1"/>
  <c r="D147" i="4"/>
  <c r="C147" i="4"/>
  <c r="B147" i="4"/>
  <c r="M147" i="4" s="1"/>
  <c r="D146" i="4"/>
  <c r="C146" i="4"/>
  <c r="B146" i="4"/>
  <c r="M146" i="4" s="1"/>
  <c r="D145" i="4"/>
  <c r="C145" i="4"/>
  <c r="B145" i="4"/>
  <c r="M145" i="4" s="1"/>
  <c r="D144" i="4"/>
  <c r="C144" i="4"/>
  <c r="B144" i="4"/>
  <c r="M144" i="4" s="1"/>
  <c r="D143" i="4"/>
  <c r="C143" i="4"/>
  <c r="B143" i="4"/>
  <c r="M143" i="4" s="1"/>
  <c r="D142" i="4"/>
  <c r="C142" i="4"/>
  <c r="B142" i="4"/>
  <c r="M142" i="4" s="1"/>
  <c r="D141" i="4"/>
  <c r="C141" i="4"/>
  <c r="B141" i="4"/>
  <c r="M141" i="4" s="1"/>
  <c r="D140" i="4"/>
  <c r="C140" i="4"/>
  <c r="B140" i="4"/>
  <c r="M140" i="4" s="1"/>
  <c r="D139" i="4"/>
  <c r="C139" i="4"/>
  <c r="B139" i="4"/>
  <c r="M139" i="4" s="1"/>
  <c r="D138" i="4"/>
  <c r="C138" i="4"/>
  <c r="B138" i="4"/>
  <c r="M138" i="4" s="1"/>
  <c r="D137" i="4"/>
  <c r="C137" i="4"/>
  <c r="B137" i="4"/>
  <c r="M137" i="4" s="1"/>
  <c r="D136" i="4"/>
  <c r="C136" i="4"/>
  <c r="B136" i="4"/>
  <c r="M136" i="4" s="1"/>
  <c r="D135" i="4"/>
  <c r="C135" i="4"/>
  <c r="B135" i="4"/>
  <c r="M135" i="4" s="1"/>
  <c r="D134" i="4"/>
  <c r="C134" i="4"/>
  <c r="B134" i="4"/>
  <c r="M134" i="4" s="1"/>
  <c r="D133" i="4"/>
  <c r="C133" i="4"/>
  <c r="B133" i="4"/>
  <c r="M133" i="4" s="1"/>
  <c r="D132" i="4"/>
  <c r="C132" i="4"/>
  <c r="B132" i="4"/>
  <c r="M132" i="4" s="1"/>
  <c r="D131" i="4"/>
  <c r="C131" i="4"/>
  <c r="B131" i="4"/>
  <c r="M131" i="4" s="1"/>
  <c r="D130" i="4"/>
  <c r="C130" i="4"/>
  <c r="B130" i="4"/>
  <c r="M130" i="4" s="1"/>
  <c r="D129" i="4"/>
  <c r="C129" i="4"/>
  <c r="B129" i="4"/>
  <c r="M129" i="4" s="1"/>
  <c r="D128" i="4"/>
  <c r="C128" i="4"/>
  <c r="B128" i="4"/>
  <c r="M128" i="4" s="1"/>
  <c r="D127" i="4"/>
  <c r="C127" i="4"/>
  <c r="B127" i="4"/>
  <c r="M127" i="4" s="1"/>
  <c r="D126" i="4"/>
  <c r="C126" i="4"/>
  <c r="B126" i="4"/>
  <c r="M126" i="4" s="1"/>
  <c r="D125" i="4"/>
  <c r="C125" i="4"/>
  <c r="B125" i="4"/>
  <c r="M125" i="4" s="1"/>
  <c r="D124" i="4"/>
  <c r="C124" i="4"/>
  <c r="B124" i="4"/>
  <c r="M124" i="4" s="1"/>
  <c r="D123" i="4"/>
  <c r="C123" i="4"/>
  <c r="B123" i="4"/>
  <c r="M123" i="4" s="1"/>
  <c r="D122" i="4"/>
  <c r="C122" i="4"/>
  <c r="B122" i="4"/>
  <c r="M122" i="4" s="1"/>
  <c r="D121" i="4"/>
  <c r="C121" i="4"/>
  <c r="B121" i="4"/>
  <c r="M121" i="4" s="1"/>
  <c r="D120" i="4"/>
  <c r="C120" i="4"/>
  <c r="B120" i="4"/>
  <c r="M120" i="4" s="1"/>
  <c r="D119" i="4"/>
  <c r="C119" i="4"/>
  <c r="B119" i="4"/>
  <c r="M119" i="4" s="1"/>
  <c r="D118" i="4"/>
  <c r="C118" i="4"/>
  <c r="B118" i="4"/>
  <c r="M118" i="4" s="1"/>
  <c r="D117" i="4"/>
  <c r="C117" i="4"/>
  <c r="B117" i="4"/>
  <c r="M117" i="4" s="1"/>
  <c r="D116" i="4"/>
  <c r="C116" i="4"/>
  <c r="B116" i="4"/>
  <c r="M116" i="4" s="1"/>
  <c r="D115" i="4"/>
  <c r="C115" i="4"/>
  <c r="B115" i="4"/>
  <c r="M115" i="4" s="1"/>
  <c r="D114" i="4"/>
  <c r="C114" i="4"/>
  <c r="B114" i="4"/>
  <c r="M114" i="4" s="1"/>
  <c r="D113" i="4"/>
  <c r="C113" i="4"/>
  <c r="B113" i="4"/>
  <c r="M113" i="4" s="1"/>
  <c r="D112" i="4"/>
  <c r="C112" i="4"/>
  <c r="B112" i="4"/>
  <c r="M112" i="4" s="1"/>
  <c r="D111" i="4"/>
  <c r="C111" i="4"/>
  <c r="B111" i="4"/>
  <c r="M111" i="4" s="1"/>
  <c r="D110" i="4"/>
  <c r="C110" i="4"/>
  <c r="B110" i="4"/>
  <c r="M110" i="4" s="1"/>
  <c r="D109" i="4"/>
  <c r="C109" i="4"/>
  <c r="B109" i="4"/>
  <c r="M109" i="4" s="1"/>
  <c r="D108" i="4"/>
  <c r="C108" i="4"/>
  <c r="B108" i="4"/>
  <c r="M108" i="4" s="1"/>
  <c r="D107" i="4"/>
  <c r="C107" i="4"/>
  <c r="B107" i="4"/>
  <c r="M107" i="4" s="1"/>
  <c r="D106" i="4"/>
  <c r="C106" i="4"/>
  <c r="B106" i="4"/>
  <c r="M106" i="4" s="1"/>
  <c r="D105" i="4"/>
  <c r="C105" i="4"/>
  <c r="B105" i="4"/>
  <c r="M105" i="4" s="1"/>
  <c r="D104" i="4"/>
  <c r="C104" i="4"/>
  <c r="B104" i="4"/>
  <c r="M104" i="4" s="1"/>
  <c r="D103" i="4"/>
  <c r="C103" i="4"/>
  <c r="B103" i="4"/>
  <c r="M103" i="4" s="1"/>
  <c r="D102" i="4"/>
  <c r="C102" i="4"/>
  <c r="B102" i="4"/>
  <c r="M102" i="4" s="1"/>
  <c r="D101" i="4"/>
  <c r="C101" i="4"/>
  <c r="B101" i="4"/>
  <c r="M101" i="4" s="1"/>
  <c r="D100" i="4"/>
  <c r="C100" i="4"/>
  <c r="B100" i="4"/>
  <c r="M100" i="4" s="1"/>
  <c r="D99" i="4"/>
  <c r="C99" i="4"/>
  <c r="B99" i="4"/>
  <c r="M99" i="4" s="1"/>
  <c r="D98" i="4"/>
  <c r="C98" i="4"/>
  <c r="B98" i="4"/>
  <c r="M98" i="4" s="1"/>
  <c r="D97" i="4"/>
  <c r="C97" i="4"/>
  <c r="B97" i="4"/>
  <c r="M97" i="4" s="1"/>
  <c r="D96" i="4"/>
  <c r="C96" i="4"/>
  <c r="B96" i="4"/>
  <c r="M96" i="4" s="1"/>
  <c r="D95" i="4"/>
  <c r="C95" i="4"/>
  <c r="B95" i="4"/>
  <c r="M95" i="4" s="1"/>
  <c r="D94" i="4"/>
  <c r="C94" i="4"/>
  <c r="B94" i="4"/>
  <c r="M94" i="4" s="1"/>
  <c r="D93" i="4"/>
  <c r="C93" i="4"/>
  <c r="B93" i="4"/>
  <c r="M93" i="4" s="1"/>
  <c r="D92" i="4"/>
  <c r="C92" i="4"/>
  <c r="B92" i="4"/>
  <c r="M92" i="4" s="1"/>
  <c r="D91" i="4"/>
  <c r="C91" i="4"/>
  <c r="B91" i="4"/>
  <c r="M91" i="4" s="1"/>
  <c r="D90" i="4"/>
  <c r="C90" i="4"/>
  <c r="B90" i="4"/>
  <c r="M90" i="4" s="1"/>
  <c r="D89" i="4"/>
  <c r="C89" i="4"/>
  <c r="B89" i="4"/>
  <c r="M89" i="4" s="1"/>
  <c r="D88" i="4"/>
  <c r="C88" i="4"/>
  <c r="B88" i="4"/>
  <c r="M88" i="4" s="1"/>
  <c r="D87" i="4"/>
  <c r="C87" i="4"/>
  <c r="B87" i="4"/>
  <c r="M87" i="4" s="1"/>
  <c r="D86" i="4"/>
  <c r="C86" i="4"/>
  <c r="B86" i="4"/>
  <c r="M86" i="4" s="1"/>
  <c r="D85" i="4"/>
  <c r="C85" i="4"/>
  <c r="B85" i="4"/>
  <c r="M85" i="4" s="1"/>
  <c r="D84" i="4"/>
  <c r="C84" i="4"/>
  <c r="B84" i="4"/>
  <c r="M84" i="4" s="1"/>
  <c r="D83" i="4"/>
  <c r="C83" i="4"/>
  <c r="B83" i="4"/>
  <c r="M83" i="4" s="1"/>
  <c r="D82" i="4"/>
  <c r="C82" i="4"/>
  <c r="B82" i="4"/>
  <c r="M82" i="4" s="1"/>
  <c r="D81" i="4"/>
  <c r="C81" i="4"/>
  <c r="B81" i="4"/>
  <c r="M81" i="4" s="1"/>
  <c r="D80" i="4"/>
  <c r="C80" i="4"/>
  <c r="B80" i="4"/>
  <c r="M80" i="4" s="1"/>
  <c r="D79" i="4"/>
  <c r="C79" i="4"/>
  <c r="B79" i="4"/>
  <c r="M79" i="4" s="1"/>
  <c r="D78" i="4"/>
  <c r="C78" i="4"/>
  <c r="B78" i="4"/>
  <c r="M78" i="4" s="1"/>
  <c r="D77" i="4"/>
  <c r="C77" i="4"/>
  <c r="B77" i="4"/>
  <c r="M77" i="4" s="1"/>
  <c r="D76" i="4"/>
  <c r="C76" i="4"/>
  <c r="B76" i="4"/>
  <c r="M76" i="4" s="1"/>
  <c r="D75" i="4"/>
  <c r="C75" i="4"/>
  <c r="B75" i="4"/>
  <c r="M75" i="4" s="1"/>
  <c r="D74" i="4"/>
  <c r="C74" i="4"/>
  <c r="B74" i="4"/>
  <c r="M74" i="4" s="1"/>
  <c r="D73" i="4"/>
  <c r="C73" i="4"/>
  <c r="B73" i="4"/>
  <c r="M73" i="4" s="1"/>
  <c r="D72" i="4"/>
  <c r="C72" i="4"/>
  <c r="B72" i="4"/>
  <c r="M72" i="4" s="1"/>
  <c r="D71" i="4"/>
  <c r="C71" i="4"/>
  <c r="B71" i="4"/>
  <c r="M71" i="4" s="1"/>
  <c r="D70" i="4"/>
  <c r="C70" i="4"/>
  <c r="B70" i="4"/>
  <c r="M70" i="4" s="1"/>
  <c r="D69" i="4"/>
  <c r="C69" i="4"/>
  <c r="B69" i="4"/>
  <c r="M69" i="4" s="1"/>
  <c r="D68" i="4"/>
  <c r="C68" i="4"/>
  <c r="B68" i="4"/>
  <c r="M68" i="4" s="1"/>
  <c r="D67" i="4"/>
  <c r="C67" i="4"/>
  <c r="B67" i="4"/>
  <c r="M67" i="4" s="1"/>
  <c r="D66" i="4"/>
  <c r="C66" i="4"/>
  <c r="B66" i="4"/>
  <c r="M66" i="4" s="1"/>
  <c r="D65" i="4"/>
  <c r="C65" i="4"/>
  <c r="B65" i="4"/>
  <c r="M65" i="4" s="1"/>
  <c r="D64" i="4"/>
  <c r="C64" i="4"/>
  <c r="B64" i="4"/>
  <c r="M64" i="4" s="1"/>
  <c r="D63" i="4"/>
  <c r="C63" i="4"/>
  <c r="B63" i="4"/>
  <c r="M63" i="4" s="1"/>
  <c r="D62" i="4"/>
  <c r="C62" i="4"/>
  <c r="B62" i="4"/>
  <c r="M62" i="4" s="1"/>
  <c r="D61" i="4"/>
  <c r="C61" i="4"/>
  <c r="B61" i="4"/>
  <c r="M61" i="4" s="1"/>
  <c r="D60" i="4"/>
  <c r="C60" i="4"/>
  <c r="B60" i="4"/>
  <c r="M60" i="4" s="1"/>
  <c r="D59" i="4"/>
  <c r="C59" i="4"/>
  <c r="B59" i="4"/>
  <c r="M59" i="4" s="1"/>
  <c r="D58" i="4"/>
  <c r="C58" i="4"/>
  <c r="B58" i="4"/>
  <c r="M58" i="4" s="1"/>
  <c r="D57" i="4"/>
  <c r="C57" i="4"/>
  <c r="B57" i="4"/>
  <c r="M57" i="4" s="1"/>
  <c r="D56" i="4"/>
  <c r="C56" i="4"/>
  <c r="B56" i="4"/>
  <c r="M56" i="4" s="1"/>
  <c r="D55" i="4"/>
  <c r="C55" i="4"/>
  <c r="B55" i="4"/>
  <c r="M55" i="4" s="1"/>
  <c r="D54" i="4"/>
  <c r="C54" i="4"/>
  <c r="B54" i="4"/>
  <c r="M54" i="4" s="1"/>
  <c r="D53" i="4"/>
  <c r="C53" i="4"/>
  <c r="B53" i="4"/>
  <c r="M53" i="4" s="1"/>
  <c r="D52" i="4"/>
  <c r="C52" i="4"/>
  <c r="B52" i="4"/>
  <c r="M52" i="4" s="1"/>
  <c r="D51" i="4"/>
  <c r="C51" i="4"/>
  <c r="B51" i="4"/>
  <c r="M51" i="4" s="1"/>
  <c r="D50" i="4"/>
  <c r="C50" i="4"/>
  <c r="B50" i="4"/>
  <c r="M50" i="4" s="1"/>
  <c r="D49" i="4"/>
  <c r="C49" i="4"/>
  <c r="B49" i="4"/>
  <c r="M49" i="4" s="1"/>
  <c r="D48" i="4"/>
  <c r="C48" i="4"/>
  <c r="B48" i="4"/>
  <c r="M48" i="4" s="1"/>
  <c r="D47" i="4"/>
  <c r="C47" i="4"/>
  <c r="B47" i="4"/>
  <c r="M47" i="4" s="1"/>
  <c r="D46" i="4"/>
  <c r="C46" i="4"/>
  <c r="B46" i="4"/>
  <c r="M46" i="4" s="1"/>
  <c r="D45" i="4"/>
  <c r="C45" i="4"/>
  <c r="B45" i="4"/>
  <c r="M45" i="4" s="1"/>
  <c r="D44" i="4"/>
  <c r="C44" i="4"/>
  <c r="B44" i="4"/>
  <c r="M44" i="4" s="1"/>
  <c r="D43" i="4"/>
  <c r="C43" i="4"/>
  <c r="B43" i="4"/>
  <c r="M43" i="4" s="1"/>
  <c r="D42" i="4"/>
  <c r="C42" i="4"/>
  <c r="B42" i="4"/>
  <c r="M42" i="4" s="1"/>
  <c r="D41" i="4"/>
  <c r="C41" i="4"/>
  <c r="B41" i="4"/>
  <c r="M41" i="4" s="1"/>
  <c r="D40" i="4"/>
  <c r="C40" i="4"/>
  <c r="B40" i="4"/>
  <c r="M40" i="4" s="1"/>
  <c r="D39" i="4"/>
  <c r="C39" i="4"/>
  <c r="B39" i="4"/>
  <c r="M39" i="4" s="1"/>
  <c r="D38" i="4"/>
  <c r="C38" i="4"/>
  <c r="B38" i="4"/>
  <c r="M38" i="4" s="1"/>
  <c r="D37" i="4"/>
  <c r="C37" i="4"/>
  <c r="B37" i="4"/>
  <c r="M37" i="4" s="1"/>
  <c r="D36" i="4"/>
  <c r="C36" i="4"/>
  <c r="B36" i="4"/>
  <c r="M36" i="4" s="1"/>
  <c r="D35" i="4"/>
  <c r="C35" i="4"/>
  <c r="B35" i="4"/>
  <c r="M35" i="4" s="1"/>
  <c r="D34" i="4"/>
  <c r="C34" i="4"/>
  <c r="B34" i="4"/>
  <c r="M34" i="4" s="1"/>
  <c r="D33" i="4"/>
  <c r="C33" i="4"/>
  <c r="B33" i="4"/>
  <c r="M33" i="4" s="1"/>
  <c r="D32" i="4"/>
  <c r="C32" i="4"/>
  <c r="B32" i="4"/>
  <c r="M32" i="4" s="1"/>
  <c r="D31" i="4"/>
  <c r="C31" i="4"/>
  <c r="B31" i="4"/>
  <c r="M31" i="4" s="1"/>
  <c r="D30" i="4"/>
  <c r="C30" i="4"/>
  <c r="B30" i="4"/>
  <c r="M30" i="4" s="1"/>
  <c r="D29" i="4"/>
  <c r="C29" i="4"/>
  <c r="B29" i="4"/>
  <c r="M29" i="4" s="1"/>
  <c r="D28" i="4"/>
  <c r="C28" i="4"/>
  <c r="B28" i="4"/>
  <c r="M28" i="4" s="1"/>
  <c r="D27" i="4"/>
  <c r="C27" i="4"/>
  <c r="B27" i="4"/>
  <c r="M27" i="4" s="1"/>
  <c r="D26" i="4"/>
  <c r="C26" i="4"/>
  <c r="B26" i="4"/>
  <c r="M26" i="4" s="1"/>
  <c r="D25" i="4"/>
  <c r="C25" i="4"/>
  <c r="B25" i="4"/>
  <c r="M25" i="4" s="1"/>
  <c r="D24" i="4"/>
  <c r="C24" i="4"/>
  <c r="B24" i="4"/>
  <c r="M24" i="4" s="1"/>
  <c r="D23" i="4"/>
  <c r="C23" i="4"/>
  <c r="B23" i="4"/>
  <c r="M23" i="4" s="1"/>
  <c r="D22" i="4"/>
  <c r="C22" i="4"/>
  <c r="B22" i="4"/>
  <c r="M22" i="4" s="1"/>
  <c r="D21" i="4"/>
  <c r="C21" i="4"/>
  <c r="B21" i="4"/>
  <c r="M21" i="4" s="1"/>
  <c r="D20" i="4"/>
  <c r="C20" i="4"/>
  <c r="B20" i="4"/>
  <c r="M20" i="4" s="1"/>
  <c r="D19" i="4"/>
  <c r="C19" i="4"/>
  <c r="B19" i="4"/>
  <c r="M19" i="4" s="1"/>
  <c r="D18" i="4"/>
  <c r="C18" i="4"/>
  <c r="B18" i="4"/>
  <c r="M18" i="4" s="1"/>
  <c r="D17" i="4"/>
  <c r="C17" i="4"/>
  <c r="B17" i="4"/>
  <c r="M17" i="4" s="1"/>
  <c r="D16" i="4"/>
  <c r="C16" i="4"/>
  <c r="B16" i="4"/>
  <c r="M16" i="4" s="1"/>
  <c r="D15" i="4"/>
  <c r="C15" i="4"/>
  <c r="B15" i="4"/>
  <c r="M15" i="4" s="1"/>
  <c r="D14" i="4"/>
  <c r="C14" i="4"/>
  <c r="B14" i="4"/>
  <c r="M14" i="4" s="1"/>
  <c r="D13" i="4"/>
  <c r="C13" i="4"/>
  <c r="B13" i="4"/>
  <c r="M13" i="4" s="1"/>
  <c r="D12" i="4"/>
  <c r="C12" i="4"/>
  <c r="B12" i="4"/>
  <c r="M12" i="4" s="1"/>
  <c r="D11" i="4"/>
  <c r="C11" i="4"/>
  <c r="B11" i="4"/>
  <c r="M11" i="4" s="1"/>
  <c r="D10" i="4"/>
  <c r="C10" i="4"/>
  <c r="B10" i="4"/>
  <c r="M10" i="4" s="1"/>
  <c r="D9" i="4"/>
  <c r="C9" i="4"/>
  <c r="B9" i="4"/>
  <c r="M9" i="4" s="1"/>
  <c r="D8" i="4"/>
  <c r="C8" i="4"/>
  <c r="B8" i="4"/>
  <c r="M8" i="4" s="1"/>
  <c r="D7" i="4"/>
  <c r="C7" i="4"/>
  <c r="B7" i="4"/>
  <c r="Q3" i="4"/>
  <c r="N3" i="4"/>
  <c r="Q2" i="4"/>
  <c r="A305" i="3"/>
  <c r="C305" i="3" s="1"/>
  <c r="A304" i="3"/>
  <c r="C304" i="3" s="1"/>
  <c r="A303" i="3"/>
  <c r="H303" i="3" s="1"/>
  <c r="A302" i="3"/>
  <c r="A301" i="3"/>
  <c r="H301" i="3" s="1"/>
  <c r="A300" i="3"/>
  <c r="A299" i="3"/>
  <c r="A298" i="3"/>
  <c r="A297" i="3"/>
  <c r="A296" i="3"/>
  <c r="B296" i="3" s="1"/>
  <c r="A295" i="3"/>
  <c r="H295" i="3" s="1"/>
  <c r="A294" i="3"/>
  <c r="B294" i="3" s="1"/>
  <c r="A293" i="3"/>
  <c r="F293" i="3" s="1"/>
  <c r="A292" i="3"/>
  <c r="A291" i="3"/>
  <c r="B291" i="3" s="1"/>
  <c r="A290" i="3"/>
  <c r="C290" i="3" s="1"/>
  <c r="A289" i="3"/>
  <c r="A288" i="3"/>
  <c r="B288" i="3" s="1"/>
  <c r="A287" i="3"/>
  <c r="A286" i="3"/>
  <c r="C286" i="3" s="1"/>
  <c r="A285" i="3"/>
  <c r="C285" i="3" s="1"/>
  <c r="A284" i="3"/>
  <c r="A283" i="3"/>
  <c r="B283" i="3" s="1"/>
  <c r="A282" i="3"/>
  <c r="A281" i="3"/>
  <c r="A280" i="3"/>
  <c r="A279" i="3"/>
  <c r="H279" i="3" s="1"/>
  <c r="A278" i="3"/>
  <c r="C278" i="3" s="1"/>
  <c r="A277" i="3"/>
  <c r="A276" i="3"/>
  <c r="C276" i="3" s="1"/>
  <c r="A275" i="3"/>
  <c r="A274" i="3"/>
  <c r="C274" i="3" s="1"/>
  <c r="A273" i="3"/>
  <c r="C273" i="3" s="1"/>
  <c r="A272" i="3"/>
  <c r="A271" i="3"/>
  <c r="H271" i="3" s="1"/>
  <c r="A270" i="3"/>
  <c r="A269" i="3"/>
  <c r="A268" i="3"/>
  <c r="B268" i="3" s="1"/>
  <c r="A267" i="3"/>
  <c r="H267" i="3" s="1"/>
  <c r="A266" i="3"/>
  <c r="C266" i="3" s="1"/>
  <c r="A265" i="3"/>
  <c r="A264" i="3"/>
  <c r="C264" i="3" s="1"/>
  <c r="A263" i="3"/>
  <c r="A262" i="3"/>
  <c r="C262" i="3" s="1"/>
  <c r="A261" i="3"/>
  <c r="C261" i="3" s="1"/>
  <c r="A260" i="3"/>
  <c r="A259" i="3"/>
  <c r="F259" i="3" s="1"/>
  <c r="A258" i="3"/>
  <c r="A257" i="3"/>
  <c r="A256" i="3"/>
  <c r="A255" i="3"/>
  <c r="H255" i="3" s="1"/>
  <c r="A254" i="3"/>
  <c r="C254" i="3" s="1"/>
  <c r="A253" i="3"/>
  <c r="A252" i="3"/>
  <c r="B252" i="3" s="1"/>
  <c r="A251" i="3"/>
  <c r="A250" i="3"/>
  <c r="C250" i="3" s="1"/>
  <c r="A249" i="3"/>
  <c r="C249" i="3" s="1"/>
  <c r="A248" i="3"/>
  <c r="A247" i="3"/>
  <c r="H247" i="3" s="1"/>
  <c r="A246" i="3"/>
  <c r="A245" i="3"/>
  <c r="A244" i="3"/>
  <c r="A243" i="3"/>
  <c r="H243" i="3" s="1"/>
  <c r="A242" i="3"/>
  <c r="B242" i="3" s="1"/>
  <c r="A241" i="3"/>
  <c r="A240" i="3"/>
  <c r="C240" i="3" s="1"/>
  <c r="A239" i="3"/>
  <c r="A238" i="3"/>
  <c r="C238" i="3" s="1"/>
  <c r="A237" i="3"/>
  <c r="C237" i="3" s="1"/>
  <c r="A236" i="3"/>
  <c r="A235" i="3"/>
  <c r="B235" i="3" s="1"/>
  <c r="A234" i="3"/>
  <c r="A233" i="3"/>
  <c r="A232" i="3"/>
  <c r="A231" i="3"/>
  <c r="H231" i="3" s="1"/>
  <c r="A230" i="3"/>
  <c r="C230" i="3" s="1"/>
  <c r="A229" i="3"/>
  <c r="A228" i="3"/>
  <c r="C228" i="3" s="1"/>
  <c r="A227" i="3"/>
  <c r="A226" i="3"/>
  <c r="C226" i="3" s="1"/>
  <c r="A225" i="3"/>
  <c r="C225" i="3" s="1"/>
  <c r="A224" i="3"/>
  <c r="A223" i="3"/>
  <c r="H223" i="3" s="1"/>
  <c r="A222" i="3"/>
  <c r="A221" i="3"/>
  <c r="A220" i="3"/>
  <c r="B220" i="3" s="1"/>
  <c r="A219" i="3"/>
  <c r="H219" i="3" s="1"/>
  <c r="A218" i="3"/>
  <c r="C218" i="3" s="1"/>
  <c r="A217" i="3"/>
  <c r="A216" i="3"/>
  <c r="C216" i="3" s="1"/>
  <c r="A215" i="3"/>
  <c r="A214" i="3"/>
  <c r="C214" i="3" s="1"/>
  <c r="A213" i="3"/>
  <c r="C213" i="3" s="1"/>
  <c r="A212" i="3"/>
  <c r="A211" i="3"/>
  <c r="F211" i="3" s="1"/>
  <c r="A210" i="3"/>
  <c r="A209" i="3"/>
  <c r="A208" i="3"/>
  <c r="A207" i="3"/>
  <c r="H207" i="3" s="1"/>
  <c r="A206" i="3"/>
  <c r="C206" i="3" s="1"/>
  <c r="A205" i="3"/>
  <c r="A204" i="3"/>
  <c r="B204" i="3" s="1"/>
  <c r="A203" i="3"/>
  <c r="A202" i="3"/>
  <c r="C202" i="3" s="1"/>
  <c r="A201" i="3"/>
  <c r="C201" i="3" s="1"/>
  <c r="A200" i="3"/>
  <c r="A199" i="3"/>
  <c r="H199" i="3" s="1"/>
  <c r="A198" i="3"/>
  <c r="A197" i="3"/>
  <c r="A196" i="3"/>
  <c r="A195" i="3"/>
  <c r="H195" i="3" s="1"/>
  <c r="A194" i="3"/>
  <c r="C194" i="3" s="1"/>
  <c r="A193" i="3"/>
  <c r="A192" i="3"/>
  <c r="C192" i="3" s="1"/>
  <c r="A191" i="3"/>
  <c r="A190" i="3"/>
  <c r="C190" i="3" s="1"/>
  <c r="A189" i="3"/>
  <c r="C189" i="3" s="1"/>
  <c r="A188" i="3"/>
  <c r="A187" i="3"/>
  <c r="B187" i="3" s="1"/>
  <c r="A186" i="3"/>
  <c r="A185" i="3"/>
  <c r="A184" i="3"/>
  <c r="A183" i="3"/>
  <c r="H183" i="3" s="1"/>
  <c r="A182" i="3"/>
  <c r="C182" i="3" s="1"/>
  <c r="A181" i="3"/>
  <c r="A180" i="3"/>
  <c r="C180" i="3" s="1"/>
  <c r="A179" i="3"/>
  <c r="A178" i="3"/>
  <c r="C178" i="3" s="1"/>
  <c r="A177" i="3"/>
  <c r="C177" i="3" s="1"/>
  <c r="A176" i="3"/>
  <c r="A175" i="3"/>
  <c r="H175" i="3" s="1"/>
  <c r="A174" i="3"/>
  <c r="A173" i="3"/>
  <c r="A172" i="3"/>
  <c r="B172" i="3" s="1"/>
  <c r="A171" i="3"/>
  <c r="H171" i="3" s="1"/>
  <c r="A170" i="3"/>
  <c r="C170" i="3" s="1"/>
  <c r="A169" i="3"/>
  <c r="A168" i="3"/>
  <c r="C168" i="3" s="1"/>
  <c r="A167" i="3"/>
  <c r="A166" i="3"/>
  <c r="C166" i="3" s="1"/>
  <c r="A165" i="3"/>
  <c r="C165" i="3" s="1"/>
  <c r="A164" i="3"/>
  <c r="A163" i="3"/>
  <c r="F163" i="3" s="1"/>
  <c r="A162" i="3"/>
  <c r="A161" i="3"/>
  <c r="A160" i="3"/>
  <c r="B160" i="3" s="1"/>
  <c r="A159" i="3"/>
  <c r="H159" i="3" s="1"/>
  <c r="A158" i="3"/>
  <c r="C158" i="3" s="1"/>
  <c r="A157" i="3"/>
  <c r="A156" i="3"/>
  <c r="B156" i="3" s="1"/>
  <c r="A155" i="3"/>
  <c r="A154" i="3"/>
  <c r="C154" i="3" s="1"/>
  <c r="A153" i="3"/>
  <c r="C153" i="3" s="1"/>
  <c r="A152" i="3"/>
  <c r="A151" i="3"/>
  <c r="H151" i="3" s="1"/>
  <c r="A150" i="3"/>
  <c r="A149" i="3"/>
  <c r="A148" i="3"/>
  <c r="A147" i="3"/>
  <c r="H147" i="3" s="1"/>
  <c r="A146" i="3"/>
  <c r="B146" i="3" s="1"/>
  <c r="A145" i="3"/>
  <c r="A144" i="3"/>
  <c r="C144" i="3" s="1"/>
  <c r="A143" i="3"/>
  <c r="A142" i="3"/>
  <c r="C142" i="3" s="1"/>
  <c r="A141" i="3"/>
  <c r="C141" i="3" s="1"/>
  <c r="A140" i="3"/>
  <c r="A139" i="3"/>
  <c r="B139" i="3" s="1"/>
  <c r="A138" i="3"/>
  <c r="A137" i="3"/>
  <c r="A136" i="3"/>
  <c r="A135" i="3"/>
  <c r="H135" i="3" s="1"/>
  <c r="A134" i="3"/>
  <c r="C134" i="3" s="1"/>
  <c r="A133" i="3"/>
  <c r="A132" i="3"/>
  <c r="C132" i="3" s="1"/>
  <c r="A131" i="3"/>
  <c r="A130" i="3"/>
  <c r="C130" i="3" s="1"/>
  <c r="A129" i="3"/>
  <c r="C129" i="3" s="1"/>
  <c r="A128" i="3"/>
  <c r="A127" i="3"/>
  <c r="H127" i="3" s="1"/>
  <c r="A126" i="3"/>
  <c r="A125" i="3"/>
  <c r="A124" i="3"/>
  <c r="B124" i="3" s="1"/>
  <c r="A123" i="3"/>
  <c r="H123" i="3" s="1"/>
  <c r="A122" i="3"/>
  <c r="C122" i="3" s="1"/>
  <c r="A121" i="3"/>
  <c r="A120" i="3"/>
  <c r="C120" i="3" s="1"/>
  <c r="A119" i="3"/>
  <c r="A118" i="3"/>
  <c r="C118" i="3" s="1"/>
  <c r="A117" i="3"/>
  <c r="C117" i="3" s="1"/>
  <c r="A116" i="3"/>
  <c r="A115" i="3"/>
  <c r="F115" i="3" s="1"/>
  <c r="A114" i="3"/>
  <c r="A113" i="3"/>
  <c r="A112" i="3"/>
  <c r="B112" i="3" s="1"/>
  <c r="A111" i="3"/>
  <c r="H111" i="3" s="1"/>
  <c r="A110" i="3"/>
  <c r="C110" i="3" s="1"/>
  <c r="A109" i="3"/>
  <c r="A108" i="3"/>
  <c r="B108" i="3" s="1"/>
  <c r="A107" i="3"/>
  <c r="A106" i="3"/>
  <c r="C106" i="3" s="1"/>
  <c r="A105" i="3"/>
  <c r="C105" i="3" s="1"/>
  <c r="A104" i="3"/>
  <c r="A103" i="3"/>
  <c r="H103" i="3" s="1"/>
  <c r="A102" i="3"/>
  <c r="A101" i="3"/>
  <c r="A100" i="3"/>
  <c r="A99" i="3"/>
  <c r="H99" i="3" s="1"/>
  <c r="A98" i="3"/>
  <c r="C98" i="3" s="1"/>
  <c r="A97" i="3"/>
  <c r="A96" i="3"/>
  <c r="C96" i="3" s="1"/>
  <c r="A95" i="3"/>
  <c r="A94" i="3"/>
  <c r="C94" i="3" s="1"/>
  <c r="A93" i="3"/>
  <c r="C93" i="3" s="1"/>
  <c r="A92" i="3"/>
  <c r="A91" i="3"/>
  <c r="B91" i="3" s="1"/>
  <c r="A90" i="3"/>
  <c r="A89" i="3"/>
  <c r="A88" i="3"/>
  <c r="A87" i="3"/>
  <c r="H87" i="3" s="1"/>
  <c r="A86" i="3"/>
  <c r="C86" i="3" s="1"/>
  <c r="A85" i="3"/>
  <c r="A84" i="3"/>
  <c r="C84" i="3" s="1"/>
  <c r="A83" i="3"/>
  <c r="A82" i="3"/>
  <c r="C82" i="3" s="1"/>
  <c r="A81" i="3"/>
  <c r="C81" i="3" s="1"/>
  <c r="A80" i="3"/>
  <c r="A79" i="3"/>
  <c r="H79" i="3" s="1"/>
  <c r="A78" i="3"/>
  <c r="A77" i="3"/>
  <c r="A76" i="3"/>
  <c r="B76" i="3" s="1"/>
  <c r="A75" i="3"/>
  <c r="H75" i="3" s="1"/>
  <c r="A74" i="3"/>
  <c r="C74" i="3" s="1"/>
  <c r="A73" i="3"/>
  <c r="A72" i="3"/>
  <c r="C72" i="3" s="1"/>
  <c r="A71" i="3"/>
  <c r="A70" i="3"/>
  <c r="C70" i="3" s="1"/>
  <c r="A69" i="3"/>
  <c r="C69" i="3" s="1"/>
  <c r="A68" i="3"/>
  <c r="A67" i="3"/>
  <c r="H67" i="3" s="1"/>
  <c r="A66" i="3"/>
  <c r="A65" i="3"/>
  <c r="A64" i="3"/>
  <c r="A63" i="3"/>
  <c r="H63" i="3" s="1"/>
  <c r="A62" i="3"/>
  <c r="C62" i="3" s="1"/>
  <c r="A61" i="3"/>
  <c r="A60" i="3"/>
  <c r="B60" i="3" s="1"/>
  <c r="A59" i="3"/>
  <c r="A58" i="3"/>
  <c r="C58" i="3" s="1"/>
  <c r="A57" i="3"/>
  <c r="C57" i="3" s="1"/>
  <c r="A56" i="3"/>
  <c r="A55" i="3"/>
  <c r="H55" i="3" s="1"/>
  <c r="A54" i="3"/>
  <c r="A53" i="3"/>
  <c r="A52" i="3"/>
  <c r="A51" i="3"/>
  <c r="H51" i="3" s="1"/>
  <c r="A50" i="3"/>
  <c r="B50" i="3" s="1"/>
  <c r="A49" i="3"/>
  <c r="A48" i="3"/>
  <c r="B48" i="3" s="1"/>
  <c r="A47" i="3"/>
  <c r="A46" i="3"/>
  <c r="C46" i="3" s="1"/>
  <c r="A45" i="3"/>
  <c r="C45" i="3" s="1"/>
  <c r="A44" i="3"/>
  <c r="A43" i="3"/>
  <c r="C43" i="3" s="1"/>
  <c r="A42" i="3"/>
  <c r="A41" i="3"/>
  <c r="A40" i="3"/>
  <c r="B40" i="3" s="1"/>
  <c r="A39" i="3"/>
  <c r="H39" i="3" s="1"/>
  <c r="A38" i="3"/>
  <c r="B38" i="3" s="1"/>
  <c r="A37" i="3"/>
  <c r="A36" i="3"/>
  <c r="C36" i="3" s="1"/>
  <c r="A35" i="3"/>
  <c r="A34" i="3"/>
  <c r="C34" i="3" s="1"/>
  <c r="A33" i="3"/>
  <c r="C33" i="3" s="1"/>
  <c r="A32" i="3"/>
  <c r="A31" i="3"/>
  <c r="H31" i="3" s="1"/>
  <c r="A30" i="3"/>
  <c r="A29" i="3"/>
  <c r="A28" i="3"/>
  <c r="A27" i="3"/>
  <c r="H27" i="3" s="1"/>
  <c r="A26" i="3"/>
  <c r="A25" i="3"/>
  <c r="A24" i="3"/>
  <c r="C24" i="3" s="1"/>
  <c r="A23" i="3"/>
  <c r="A22" i="3"/>
  <c r="C22" i="3" s="1"/>
  <c r="A21" i="3"/>
  <c r="C21" i="3" s="1"/>
  <c r="A20" i="3"/>
  <c r="C20" i="3" s="1"/>
  <c r="A19" i="3"/>
  <c r="C19" i="3" s="1"/>
  <c r="A18" i="3"/>
  <c r="A17" i="3"/>
  <c r="H17" i="3" s="1"/>
  <c r="A16" i="3"/>
  <c r="A15" i="3"/>
  <c r="A14" i="3"/>
  <c r="A13" i="3"/>
  <c r="C13" i="3" s="1"/>
  <c r="A12" i="3"/>
  <c r="C12" i="3" s="1"/>
  <c r="A11" i="3"/>
  <c r="A10" i="3"/>
  <c r="C10" i="3" s="1"/>
  <c r="A9" i="3"/>
  <c r="C9" i="3" s="1"/>
  <c r="A8" i="3"/>
  <c r="C8" i="3" s="1"/>
  <c r="A7" i="3"/>
  <c r="B7" i="3" s="1"/>
  <c r="A6" i="3"/>
  <c r="H3" i="3"/>
  <c r="F3" i="3"/>
  <c r="J505" i="2"/>
  <c r="B505" i="2"/>
  <c r="J504" i="2"/>
  <c r="B504" i="2"/>
  <c r="J503" i="2"/>
  <c r="B503" i="2"/>
  <c r="J502" i="2"/>
  <c r="B502" i="2"/>
  <c r="J501" i="2"/>
  <c r="B501" i="2"/>
  <c r="J500" i="2"/>
  <c r="B500" i="2"/>
  <c r="J499" i="2"/>
  <c r="B499" i="2"/>
  <c r="J498" i="2"/>
  <c r="B498" i="2"/>
  <c r="J497" i="2"/>
  <c r="B497" i="2"/>
  <c r="J496" i="2"/>
  <c r="B496" i="2"/>
  <c r="J495" i="2"/>
  <c r="B495" i="2"/>
  <c r="J494" i="2"/>
  <c r="B494" i="2"/>
  <c r="J493" i="2"/>
  <c r="B493" i="2"/>
  <c r="J492" i="2"/>
  <c r="B492" i="2"/>
  <c r="J491" i="2"/>
  <c r="B491" i="2"/>
  <c r="J490" i="2"/>
  <c r="B490" i="2"/>
  <c r="J489" i="2"/>
  <c r="B489" i="2"/>
  <c r="J488" i="2"/>
  <c r="B488" i="2"/>
  <c r="J487" i="2"/>
  <c r="B487" i="2"/>
  <c r="J486" i="2"/>
  <c r="B486" i="2"/>
  <c r="J485" i="2"/>
  <c r="B485" i="2"/>
  <c r="J484" i="2"/>
  <c r="B484" i="2"/>
  <c r="J483" i="2"/>
  <c r="B483" i="2"/>
  <c r="J482" i="2"/>
  <c r="B482" i="2"/>
  <c r="J481" i="2"/>
  <c r="B481" i="2"/>
  <c r="J480" i="2"/>
  <c r="B480" i="2"/>
  <c r="J479" i="2"/>
  <c r="B479" i="2"/>
  <c r="J478" i="2"/>
  <c r="B478" i="2"/>
  <c r="J477" i="2"/>
  <c r="B477" i="2"/>
  <c r="J476" i="2"/>
  <c r="B476" i="2"/>
  <c r="J475" i="2"/>
  <c r="B475" i="2"/>
  <c r="J474" i="2"/>
  <c r="B474" i="2"/>
  <c r="J473" i="2"/>
  <c r="B473" i="2"/>
  <c r="J472" i="2"/>
  <c r="B472" i="2"/>
  <c r="J471" i="2"/>
  <c r="B471" i="2"/>
  <c r="J470" i="2"/>
  <c r="B470" i="2"/>
  <c r="J469" i="2"/>
  <c r="B469" i="2"/>
  <c r="J468" i="2"/>
  <c r="B468" i="2"/>
  <c r="J467" i="2"/>
  <c r="B467" i="2"/>
  <c r="J466" i="2"/>
  <c r="B466" i="2"/>
  <c r="J465" i="2"/>
  <c r="B465" i="2"/>
  <c r="J464" i="2"/>
  <c r="B464" i="2"/>
  <c r="J463" i="2"/>
  <c r="B463" i="2"/>
  <c r="J462" i="2"/>
  <c r="B462" i="2"/>
  <c r="J461" i="2"/>
  <c r="B461" i="2"/>
  <c r="J460" i="2"/>
  <c r="B460" i="2"/>
  <c r="J459" i="2"/>
  <c r="B459" i="2"/>
  <c r="J458" i="2"/>
  <c r="B458" i="2"/>
  <c r="J457" i="2"/>
  <c r="B457" i="2"/>
  <c r="J456" i="2"/>
  <c r="B456" i="2"/>
  <c r="J455" i="2"/>
  <c r="B455" i="2"/>
  <c r="J454" i="2"/>
  <c r="B454" i="2"/>
  <c r="J453" i="2"/>
  <c r="B453" i="2"/>
  <c r="J452" i="2"/>
  <c r="B452" i="2"/>
  <c r="J451" i="2"/>
  <c r="B451" i="2"/>
  <c r="J450" i="2"/>
  <c r="B450" i="2"/>
  <c r="J449" i="2"/>
  <c r="B449" i="2"/>
  <c r="J448" i="2"/>
  <c r="B448" i="2"/>
  <c r="J447" i="2"/>
  <c r="B447" i="2"/>
  <c r="J446" i="2"/>
  <c r="B446" i="2"/>
  <c r="J445" i="2"/>
  <c r="B445" i="2"/>
  <c r="J444" i="2"/>
  <c r="B444" i="2"/>
  <c r="J443" i="2"/>
  <c r="B443" i="2"/>
  <c r="J442" i="2"/>
  <c r="B442" i="2"/>
  <c r="J441" i="2"/>
  <c r="B441" i="2"/>
  <c r="J440" i="2"/>
  <c r="B440" i="2"/>
  <c r="J439" i="2"/>
  <c r="B439" i="2"/>
  <c r="J438" i="2"/>
  <c r="B438" i="2"/>
  <c r="J437" i="2"/>
  <c r="B437" i="2"/>
  <c r="J436" i="2"/>
  <c r="B436" i="2"/>
  <c r="J435" i="2"/>
  <c r="B435" i="2"/>
  <c r="J434" i="2"/>
  <c r="B434" i="2"/>
  <c r="J433" i="2"/>
  <c r="B433" i="2"/>
  <c r="J432" i="2"/>
  <c r="B432" i="2"/>
  <c r="J431" i="2"/>
  <c r="B431" i="2"/>
  <c r="J430" i="2"/>
  <c r="B430" i="2"/>
  <c r="J429" i="2"/>
  <c r="B429" i="2"/>
  <c r="J428" i="2"/>
  <c r="B428" i="2"/>
  <c r="J427" i="2"/>
  <c r="B427" i="2"/>
  <c r="J426" i="2"/>
  <c r="B426" i="2"/>
  <c r="J425" i="2"/>
  <c r="B425" i="2"/>
  <c r="J424" i="2"/>
  <c r="B424" i="2"/>
  <c r="J423" i="2"/>
  <c r="B423" i="2"/>
  <c r="J422" i="2"/>
  <c r="B422" i="2"/>
  <c r="J421" i="2"/>
  <c r="B421" i="2"/>
  <c r="J420" i="2"/>
  <c r="B420" i="2"/>
  <c r="J419" i="2"/>
  <c r="B419" i="2"/>
  <c r="J418" i="2"/>
  <c r="B418" i="2"/>
  <c r="J417" i="2"/>
  <c r="B417" i="2"/>
  <c r="J416" i="2"/>
  <c r="B416" i="2"/>
  <c r="J415" i="2"/>
  <c r="B415" i="2"/>
  <c r="J414" i="2"/>
  <c r="B414" i="2"/>
  <c r="J413" i="2"/>
  <c r="B413" i="2"/>
  <c r="J412" i="2"/>
  <c r="B412" i="2"/>
  <c r="J411" i="2"/>
  <c r="B411" i="2"/>
  <c r="J410" i="2"/>
  <c r="B410" i="2"/>
  <c r="J409" i="2"/>
  <c r="B409" i="2"/>
  <c r="J408" i="2"/>
  <c r="B408" i="2"/>
  <c r="J407" i="2"/>
  <c r="B407" i="2"/>
  <c r="J406" i="2"/>
  <c r="B406" i="2"/>
  <c r="J405" i="2"/>
  <c r="B405" i="2"/>
  <c r="J404" i="2"/>
  <c r="B404" i="2"/>
  <c r="J403" i="2"/>
  <c r="B403" i="2"/>
  <c r="J402" i="2"/>
  <c r="B402" i="2"/>
  <c r="J401" i="2"/>
  <c r="B401" i="2"/>
  <c r="J400" i="2"/>
  <c r="B400" i="2"/>
  <c r="J399" i="2"/>
  <c r="B399" i="2"/>
  <c r="J398" i="2"/>
  <c r="B398" i="2"/>
  <c r="J397" i="2"/>
  <c r="B397" i="2"/>
  <c r="J396" i="2"/>
  <c r="B396" i="2"/>
  <c r="J395" i="2"/>
  <c r="B395" i="2"/>
  <c r="J394" i="2"/>
  <c r="B394" i="2"/>
  <c r="J393" i="2"/>
  <c r="B393" i="2"/>
  <c r="J392" i="2"/>
  <c r="B392" i="2"/>
  <c r="J391" i="2"/>
  <c r="B391" i="2"/>
  <c r="J390" i="2"/>
  <c r="B390" i="2"/>
  <c r="J389" i="2"/>
  <c r="B389" i="2"/>
  <c r="J388" i="2"/>
  <c r="B388" i="2"/>
  <c r="J387" i="2"/>
  <c r="B387" i="2"/>
  <c r="J386" i="2"/>
  <c r="B386" i="2"/>
  <c r="J385" i="2"/>
  <c r="B385" i="2"/>
  <c r="J384" i="2"/>
  <c r="B384" i="2"/>
  <c r="J383" i="2"/>
  <c r="B383" i="2"/>
  <c r="J382" i="2"/>
  <c r="B382" i="2"/>
  <c r="J381" i="2"/>
  <c r="B381" i="2"/>
  <c r="J380" i="2"/>
  <c r="B380" i="2"/>
  <c r="J379" i="2"/>
  <c r="B379" i="2"/>
  <c r="J378" i="2"/>
  <c r="B378" i="2"/>
  <c r="J377" i="2"/>
  <c r="B377" i="2"/>
  <c r="J376" i="2"/>
  <c r="B376" i="2"/>
  <c r="J375" i="2"/>
  <c r="B375" i="2"/>
  <c r="J374" i="2"/>
  <c r="B374" i="2"/>
  <c r="J373" i="2"/>
  <c r="B373" i="2"/>
  <c r="J372" i="2"/>
  <c r="B372" i="2"/>
  <c r="J371" i="2"/>
  <c r="B371" i="2"/>
  <c r="J370" i="2"/>
  <c r="B370" i="2"/>
  <c r="J369" i="2"/>
  <c r="B369" i="2"/>
  <c r="J368" i="2"/>
  <c r="B368" i="2"/>
  <c r="J367" i="2"/>
  <c r="B367" i="2"/>
  <c r="J366" i="2"/>
  <c r="B366" i="2"/>
  <c r="J365" i="2"/>
  <c r="B365" i="2"/>
  <c r="J364" i="2"/>
  <c r="B364" i="2"/>
  <c r="J363" i="2"/>
  <c r="B363" i="2"/>
  <c r="J362" i="2"/>
  <c r="B362" i="2"/>
  <c r="J361" i="2"/>
  <c r="B361" i="2"/>
  <c r="J360" i="2"/>
  <c r="B360" i="2"/>
  <c r="J359" i="2"/>
  <c r="B359" i="2"/>
  <c r="J358" i="2"/>
  <c r="B358" i="2"/>
  <c r="J357" i="2"/>
  <c r="B357" i="2"/>
  <c r="J356" i="2"/>
  <c r="B356" i="2"/>
  <c r="J355" i="2"/>
  <c r="B355" i="2"/>
  <c r="J354" i="2"/>
  <c r="B354" i="2"/>
  <c r="J353" i="2"/>
  <c r="B353" i="2"/>
  <c r="J352" i="2"/>
  <c r="B352" i="2"/>
  <c r="J351" i="2"/>
  <c r="B351" i="2"/>
  <c r="J350" i="2"/>
  <c r="B350" i="2"/>
  <c r="J349" i="2"/>
  <c r="B349" i="2"/>
  <c r="J348" i="2"/>
  <c r="B348" i="2"/>
  <c r="J347" i="2"/>
  <c r="B347" i="2"/>
  <c r="J346" i="2"/>
  <c r="B346" i="2"/>
  <c r="J345" i="2"/>
  <c r="B345" i="2"/>
  <c r="J344" i="2"/>
  <c r="B344" i="2"/>
  <c r="J343" i="2"/>
  <c r="B343" i="2"/>
  <c r="J342" i="2"/>
  <c r="B342" i="2"/>
  <c r="J341" i="2"/>
  <c r="B341" i="2"/>
  <c r="J340" i="2"/>
  <c r="B340" i="2"/>
  <c r="J339" i="2"/>
  <c r="B339" i="2"/>
  <c r="J338" i="2"/>
  <c r="B338" i="2"/>
  <c r="J337" i="2"/>
  <c r="B337" i="2"/>
  <c r="J336" i="2"/>
  <c r="B336" i="2"/>
  <c r="J335" i="2"/>
  <c r="B335" i="2"/>
  <c r="J334" i="2"/>
  <c r="B334" i="2"/>
  <c r="J333" i="2"/>
  <c r="B333" i="2"/>
  <c r="J332" i="2"/>
  <c r="B332" i="2"/>
  <c r="J331" i="2"/>
  <c r="B331" i="2"/>
  <c r="J330" i="2"/>
  <c r="B330" i="2"/>
  <c r="J329" i="2"/>
  <c r="B329" i="2"/>
  <c r="J328" i="2"/>
  <c r="B328" i="2"/>
  <c r="J327" i="2"/>
  <c r="B327" i="2"/>
  <c r="J326" i="2"/>
  <c r="B326" i="2"/>
  <c r="J325" i="2"/>
  <c r="B325" i="2"/>
  <c r="J324" i="2"/>
  <c r="B324" i="2"/>
  <c r="J323" i="2"/>
  <c r="B323" i="2"/>
  <c r="J322" i="2"/>
  <c r="B322" i="2"/>
  <c r="J321" i="2"/>
  <c r="B321" i="2"/>
  <c r="J320" i="2"/>
  <c r="B320" i="2"/>
  <c r="J319" i="2"/>
  <c r="B319" i="2"/>
  <c r="J318" i="2"/>
  <c r="B318" i="2"/>
  <c r="J317" i="2"/>
  <c r="B317" i="2"/>
  <c r="J316" i="2"/>
  <c r="B316" i="2"/>
  <c r="J315" i="2"/>
  <c r="B315" i="2"/>
  <c r="J314" i="2"/>
  <c r="B314" i="2"/>
  <c r="J313" i="2"/>
  <c r="B313" i="2"/>
  <c r="J312" i="2"/>
  <c r="B312" i="2"/>
  <c r="J311" i="2"/>
  <c r="B311" i="2"/>
  <c r="J310" i="2"/>
  <c r="B310" i="2"/>
  <c r="J309" i="2"/>
  <c r="B309" i="2"/>
  <c r="J308" i="2"/>
  <c r="B308" i="2"/>
  <c r="J307" i="2"/>
  <c r="B307" i="2"/>
  <c r="J306" i="2"/>
  <c r="B306" i="2"/>
  <c r="J305" i="2"/>
  <c r="B305" i="2"/>
  <c r="J304" i="2"/>
  <c r="B304" i="2"/>
  <c r="J303" i="2"/>
  <c r="B303" i="2"/>
  <c r="J302" i="2"/>
  <c r="B302" i="2"/>
  <c r="J301" i="2"/>
  <c r="B301" i="2"/>
  <c r="J300" i="2"/>
  <c r="B300" i="2"/>
  <c r="J299" i="2"/>
  <c r="B299" i="2"/>
  <c r="J298" i="2"/>
  <c r="B298" i="2"/>
  <c r="J297" i="2"/>
  <c r="B297" i="2"/>
  <c r="J296" i="2"/>
  <c r="B296" i="2"/>
  <c r="J295" i="2"/>
  <c r="B295" i="2"/>
  <c r="J294" i="2"/>
  <c r="B294" i="2"/>
  <c r="J293" i="2"/>
  <c r="B293" i="2"/>
  <c r="J292" i="2"/>
  <c r="B292" i="2"/>
  <c r="J291" i="2"/>
  <c r="B291" i="2"/>
  <c r="J290" i="2"/>
  <c r="B290" i="2"/>
  <c r="J289" i="2"/>
  <c r="B289" i="2"/>
  <c r="J288" i="2"/>
  <c r="B288" i="2"/>
  <c r="J287" i="2"/>
  <c r="B287" i="2"/>
  <c r="J286" i="2"/>
  <c r="B286" i="2"/>
  <c r="J285" i="2"/>
  <c r="B285" i="2"/>
  <c r="J284" i="2"/>
  <c r="B284" i="2"/>
  <c r="J283" i="2"/>
  <c r="B283" i="2"/>
  <c r="J282" i="2"/>
  <c r="B282" i="2"/>
  <c r="J281" i="2"/>
  <c r="B281" i="2"/>
  <c r="J280" i="2"/>
  <c r="B280" i="2"/>
  <c r="J279" i="2"/>
  <c r="B279" i="2"/>
  <c r="J278" i="2"/>
  <c r="B278" i="2"/>
  <c r="J277" i="2"/>
  <c r="B277" i="2"/>
  <c r="J276" i="2"/>
  <c r="B276" i="2"/>
  <c r="J275" i="2"/>
  <c r="B275" i="2"/>
  <c r="J274" i="2"/>
  <c r="B274" i="2"/>
  <c r="J273" i="2"/>
  <c r="B273" i="2"/>
  <c r="J272" i="2"/>
  <c r="B272" i="2"/>
  <c r="J271" i="2"/>
  <c r="B271" i="2"/>
  <c r="J270" i="2"/>
  <c r="B270" i="2"/>
  <c r="J269" i="2"/>
  <c r="B269" i="2"/>
  <c r="J268" i="2"/>
  <c r="B268" i="2"/>
  <c r="J267" i="2"/>
  <c r="B267" i="2"/>
  <c r="J266" i="2"/>
  <c r="B266" i="2"/>
  <c r="J265" i="2"/>
  <c r="B265" i="2"/>
  <c r="J264" i="2"/>
  <c r="B264" i="2"/>
  <c r="J263" i="2"/>
  <c r="B263" i="2"/>
  <c r="J262" i="2"/>
  <c r="B262" i="2"/>
  <c r="J261" i="2"/>
  <c r="B261" i="2"/>
  <c r="J260" i="2"/>
  <c r="B260" i="2"/>
  <c r="J259" i="2"/>
  <c r="B259" i="2"/>
  <c r="J258" i="2"/>
  <c r="B258" i="2"/>
  <c r="J257" i="2"/>
  <c r="B257" i="2"/>
  <c r="J256" i="2"/>
  <c r="B256" i="2"/>
  <c r="J255" i="2"/>
  <c r="B255" i="2"/>
  <c r="J254" i="2"/>
  <c r="B254" i="2"/>
  <c r="J253" i="2"/>
  <c r="B253" i="2"/>
  <c r="J252" i="2"/>
  <c r="B252" i="2"/>
  <c r="J251" i="2"/>
  <c r="B251" i="2"/>
  <c r="J250" i="2"/>
  <c r="B250" i="2"/>
  <c r="J249" i="2"/>
  <c r="B249" i="2"/>
  <c r="J248" i="2"/>
  <c r="B248" i="2"/>
  <c r="J247" i="2"/>
  <c r="B247" i="2"/>
  <c r="J246" i="2"/>
  <c r="B246" i="2"/>
  <c r="J245" i="2"/>
  <c r="B245" i="2"/>
  <c r="J244" i="2"/>
  <c r="B244" i="2"/>
  <c r="J243" i="2"/>
  <c r="B243" i="2"/>
  <c r="J242" i="2"/>
  <c r="B242" i="2"/>
  <c r="J241" i="2"/>
  <c r="B241" i="2"/>
  <c r="J240" i="2"/>
  <c r="B240" i="2"/>
  <c r="J239" i="2"/>
  <c r="B239" i="2"/>
  <c r="J238" i="2"/>
  <c r="B238" i="2"/>
  <c r="J237" i="2"/>
  <c r="B237" i="2"/>
  <c r="J236" i="2"/>
  <c r="B236" i="2"/>
  <c r="J235" i="2"/>
  <c r="B235" i="2"/>
  <c r="J234" i="2"/>
  <c r="B234" i="2"/>
  <c r="J233" i="2"/>
  <c r="B233" i="2"/>
  <c r="J232" i="2"/>
  <c r="B232" i="2"/>
  <c r="J231" i="2"/>
  <c r="B231" i="2"/>
  <c r="J230" i="2"/>
  <c r="B230" i="2"/>
  <c r="J229" i="2"/>
  <c r="B229" i="2"/>
  <c r="J228" i="2"/>
  <c r="B228" i="2"/>
  <c r="J227" i="2"/>
  <c r="B227" i="2"/>
  <c r="J226" i="2"/>
  <c r="B226" i="2"/>
  <c r="J225" i="2"/>
  <c r="B225" i="2"/>
  <c r="J224" i="2"/>
  <c r="B224" i="2"/>
  <c r="J223" i="2"/>
  <c r="B223" i="2"/>
  <c r="J222" i="2"/>
  <c r="B222" i="2"/>
  <c r="J221" i="2"/>
  <c r="B221" i="2"/>
  <c r="J220" i="2"/>
  <c r="B220" i="2"/>
  <c r="J219" i="2"/>
  <c r="B219" i="2"/>
  <c r="J218" i="2"/>
  <c r="B218" i="2"/>
  <c r="J217" i="2"/>
  <c r="B217" i="2"/>
  <c r="J216" i="2"/>
  <c r="B216" i="2"/>
  <c r="J215" i="2"/>
  <c r="B215" i="2"/>
  <c r="J214" i="2"/>
  <c r="B214" i="2"/>
  <c r="J213" i="2"/>
  <c r="B213" i="2"/>
  <c r="J212" i="2"/>
  <c r="B212" i="2"/>
  <c r="J211" i="2"/>
  <c r="B211" i="2"/>
  <c r="J210" i="2"/>
  <c r="B210" i="2"/>
  <c r="J209" i="2"/>
  <c r="B209" i="2"/>
  <c r="J208" i="2"/>
  <c r="B208" i="2"/>
  <c r="J207" i="2"/>
  <c r="B207" i="2"/>
  <c r="J206" i="2"/>
  <c r="B206" i="2"/>
  <c r="J205" i="2"/>
  <c r="B205" i="2"/>
  <c r="J204" i="2"/>
  <c r="B204" i="2"/>
  <c r="J203" i="2"/>
  <c r="B203" i="2"/>
  <c r="J202" i="2"/>
  <c r="B202" i="2"/>
  <c r="J201" i="2"/>
  <c r="B201" i="2"/>
  <c r="J200" i="2"/>
  <c r="B200" i="2"/>
  <c r="J199" i="2"/>
  <c r="B199" i="2"/>
  <c r="J198" i="2"/>
  <c r="B198" i="2"/>
  <c r="J197" i="2"/>
  <c r="B197" i="2"/>
  <c r="J196" i="2"/>
  <c r="B196" i="2"/>
  <c r="J195" i="2"/>
  <c r="B195" i="2"/>
  <c r="J194" i="2"/>
  <c r="B194" i="2"/>
  <c r="J193" i="2"/>
  <c r="B193" i="2"/>
  <c r="J192" i="2"/>
  <c r="B192" i="2"/>
  <c r="J191" i="2"/>
  <c r="B191" i="2"/>
  <c r="J190" i="2"/>
  <c r="B190" i="2"/>
  <c r="J189" i="2"/>
  <c r="B189" i="2"/>
  <c r="J188" i="2"/>
  <c r="B188" i="2"/>
  <c r="J187" i="2"/>
  <c r="B187" i="2"/>
  <c r="J186" i="2"/>
  <c r="B186" i="2"/>
  <c r="J185" i="2"/>
  <c r="B185" i="2"/>
  <c r="J184" i="2"/>
  <c r="B184" i="2"/>
  <c r="J183" i="2"/>
  <c r="B183" i="2"/>
  <c r="J182" i="2"/>
  <c r="B182" i="2"/>
  <c r="J181" i="2"/>
  <c r="B181" i="2"/>
  <c r="J180" i="2"/>
  <c r="B180" i="2"/>
  <c r="J179" i="2"/>
  <c r="B179" i="2"/>
  <c r="J178" i="2"/>
  <c r="B178" i="2"/>
  <c r="J177" i="2"/>
  <c r="B177" i="2"/>
  <c r="J176" i="2"/>
  <c r="B176" i="2"/>
  <c r="J175" i="2"/>
  <c r="B175" i="2"/>
  <c r="J174" i="2"/>
  <c r="B174" i="2"/>
  <c r="J173" i="2"/>
  <c r="B173" i="2"/>
  <c r="J172" i="2"/>
  <c r="B172" i="2"/>
  <c r="J171" i="2"/>
  <c r="B171" i="2"/>
  <c r="J170" i="2"/>
  <c r="B170" i="2"/>
  <c r="J169" i="2"/>
  <c r="B169" i="2"/>
  <c r="J168" i="2"/>
  <c r="B168" i="2"/>
  <c r="J167" i="2"/>
  <c r="B167" i="2"/>
  <c r="J166" i="2"/>
  <c r="B166" i="2"/>
  <c r="J165" i="2"/>
  <c r="B165" i="2"/>
  <c r="J164" i="2"/>
  <c r="B164" i="2"/>
  <c r="J163" i="2"/>
  <c r="B163" i="2"/>
  <c r="J162" i="2"/>
  <c r="B162" i="2"/>
  <c r="J161" i="2"/>
  <c r="B161" i="2"/>
  <c r="J160" i="2"/>
  <c r="B160" i="2"/>
  <c r="J159" i="2"/>
  <c r="B159" i="2"/>
  <c r="J158" i="2"/>
  <c r="B158" i="2"/>
  <c r="J157" i="2"/>
  <c r="B157" i="2"/>
  <c r="J156" i="2"/>
  <c r="B156" i="2"/>
  <c r="J155" i="2"/>
  <c r="B155" i="2"/>
  <c r="J154" i="2"/>
  <c r="B154" i="2"/>
  <c r="J153" i="2"/>
  <c r="B153" i="2"/>
  <c r="J152" i="2"/>
  <c r="B152" i="2"/>
  <c r="J151" i="2"/>
  <c r="B151" i="2"/>
  <c r="J150" i="2"/>
  <c r="B150" i="2"/>
  <c r="J149" i="2"/>
  <c r="B149" i="2"/>
  <c r="J148" i="2"/>
  <c r="B148" i="2"/>
  <c r="J147" i="2"/>
  <c r="B147" i="2"/>
  <c r="J146" i="2"/>
  <c r="B146" i="2"/>
  <c r="J145" i="2"/>
  <c r="B145" i="2"/>
  <c r="J144" i="2"/>
  <c r="B144" i="2"/>
  <c r="J143" i="2"/>
  <c r="B143" i="2"/>
  <c r="J142" i="2"/>
  <c r="B142" i="2"/>
  <c r="J141" i="2"/>
  <c r="B141" i="2"/>
  <c r="J140" i="2"/>
  <c r="B140" i="2"/>
  <c r="J139" i="2"/>
  <c r="B139" i="2"/>
  <c r="J138" i="2"/>
  <c r="B138" i="2"/>
  <c r="J137" i="2"/>
  <c r="B137" i="2"/>
  <c r="J136" i="2"/>
  <c r="B136" i="2"/>
  <c r="J135" i="2"/>
  <c r="B135" i="2"/>
  <c r="J134" i="2"/>
  <c r="B134" i="2"/>
  <c r="J133" i="2"/>
  <c r="B133" i="2"/>
  <c r="J132" i="2"/>
  <c r="B132" i="2"/>
  <c r="J131" i="2"/>
  <c r="B131" i="2"/>
  <c r="J130" i="2"/>
  <c r="B130" i="2"/>
  <c r="J129" i="2"/>
  <c r="B129" i="2"/>
  <c r="J128" i="2"/>
  <c r="B128" i="2"/>
  <c r="J127" i="2"/>
  <c r="B127" i="2"/>
  <c r="J126" i="2"/>
  <c r="B126" i="2"/>
  <c r="J125" i="2"/>
  <c r="B125" i="2"/>
  <c r="J124" i="2"/>
  <c r="B124" i="2"/>
  <c r="J123" i="2"/>
  <c r="B123" i="2"/>
  <c r="J122" i="2"/>
  <c r="B122" i="2"/>
  <c r="J121" i="2"/>
  <c r="B121" i="2"/>
  <c r="J120" i="2"/>
  <c r="B120" i="2"/>
  <c r="J119" i="2"/>
  <c r="B119" i="2"/>
  <c r="J118" i="2"/>
  <c r="B118" i="2"/>
  <c r="J117" i="2"/>
  <c r="B117" i="2"/>
  <c r="J116" i="2"/>
  <c r="B116" i="2"/>
  <c r="J115" i="2"/>
  <c r="B115" i="2"/>
  <c r="J114" i="2"/>
  <c r="B114" i="2"/>
  <c r="J113" i="2"/>
  <c r="B113" i="2"/>
  <c r="J112" i="2"/>
  <c r="B112" i="2"/>
  <c r="J111" i="2"/>
  <c r="B111" i="2"/>
  <c r="J110" i="2"/>
  <c r="B110" i="2"/>
  <c r="J109" i="2"/>
  <c r="B109" i="2"/>
  <c r="J108" i="2"/>
  <c r="B108" i="2"/>
  <c r="J107" i="2"/>
  <c r="B107" i="2"/>
  <c r="J106" i="2"/>
  <c r="B106" i="2"/>
  <c r="J105" i="2"/>
  <c r="B105" i="2"/>
  <c r="J104" i="2"/>
  <c r="B104" i="2"/>
  <c r="J103" i="2"/>
  <c r="B103" i="2"/>
  <c r="J102" i="2"/>
  <c r="B102" i="2"/>
  <c r="J101" i="2"/>
  <c r="B101" i="2"/>
  <c r="J100" i="2"/>
  <c r="B100" i="2"/>
  <c r="J99" i="2"/>
  <c r="B99" i="2"/>
  <c r="J98" i="2"/>
  <c r="B98" i="2"/>
  <c r="J97" i="2"/>
  <c r="B97" i="2"/>
  <c r="J96" i="2"/>
  <c r="B96" i="2"/>
  <c r="J95" i="2"/>
  <c r="B95" i="2"/>
  <c r="J94" i="2"/>
  <c r="B94" i="2"/>
  <c r="J93" i="2"/>
  <c r="B93" i="2"/>
  <c r="J92" i="2"/>
  <c r="B92" i="2"/>
  <c r="J91" i="2"/>
  <c r="B91" i="2"/>
  <c r="J90" i="2"/>
  <c r="B90" i="2"/>
  <c r="J89" i="2"/>
  <c r="B89" i="2"/>
  <c r="J88" i="2"/>
  <c r="B88" i="2"/>
  <c r="J87" i="2"/>
  <c r="B87" i="2"/>
  <c r="J86" i="2"/>
  <c r="B86" i="2"/>
  <c r="J85" i="2"/>
  <c r="B85" i="2"/>
  <c r="J84" i="2"/>
  <c r="B84" i="2"/>
  <c r="J83" i="2"/>
  <c r="B83" i="2"/>
  <c r="J82" i="2"/>
  <c r="B82" i="2"/>
  <c r="J81" i="2"/>
  <c r="B81" i="2"/>
  <c r="J80" i="2"/>
  <c r="B80" i="2"/>
  <c r="J79" i="2"/>
  <c r="B79" i="2"/>
  <c r="J78" i="2"/>
  <c r="B78" i="2"/>
  <c r="J77" i="2"/>
  <c r="B77" i="2"/>
  <c r="J76" i="2"/>
  <c r="B76" i="2"/>
  <c r="J75" i="2"/>
  <c r="B75" i="2"/>
  <c r="J74" i="2"/>
  <c r="B74" i="2"/>
  <c r="J73" i="2"/>
  <c r="B73" i="2"/>
  <c r="J72" i="2"/>
  <c r="B72" i="2"/>
  <c r="J71" i="2"/>
  <c r="B71" i="2"/>
  <c r="J70" i="2"/>
  <c r="B70" i="2"/>
  <c r="J69" i="2"/>
  <c r="B69" i="2"/>
  <c r="J68" i="2"/>
  <c r="B68" i="2"/>
  <c r="J67" i="2"/>
  <c r="B67" i="2"/>
  <c r="J66" i="2"/>
  <c r="B66" i="2"/>
  <c r="J65" i="2"/>
  <c r="B65" i="2"/>
  <c r="J64" i="2"/>
  <c r="B64" i="2"/>
  <c r="J63" i="2"/>
  <c r="B63" i="2"/>
  <c r="J62" i="2"/>
  <c r="B62" i="2"/>
  <c r="J61" i="2"/>
  <c r="B61" i="2"/>
  <c r="J60" i="2"/>
  <c r="B60" i="2"/>
  <c r="J59" i="2"/>
  <c r="B59" i="2"/>
  <c r="J58" i="2"/>
  <c r="B58" i="2"/>
  <c r="J57" i="2"/>
  <c r="B57" i="2"/>
  <c r="J56" i="2"/>
  <c r="B56" i="2"/>
  <c r="J55" i="2"/>
  <c r="B55" i="2"/>
  <c r="J54" i="2"/>
  <c r="B54" i="2"/>
  <c r="J53" i="2"/>
  <c r="B53" i="2"/>
  <c r="J52" i="2"/>
  <c r="B52" i="2"/>
  <c r="J51" i="2"/>
  <c r="B51" i="2"/>
  <c r="J50" i="2"/>
  <c r="B50" i="2"/>
  <c r="J49" i="2"/>
  <c r="B49" i="2"/>
  <c r="J48" i="2"/>
  <c r="B48" i="2"/>
  <c r="J47" i="2"/>
  <c r="B47" i="2"/>
  <c r="J46" i="2"/>
  <c r="B46" i="2"/>
  <c r="J45" i="2"/>
  <c r="B45" i="2"/>
  <c r="J44" i="2"/>
  <c r="B44" i="2"/>
  <c r="J43" i="2"/>
  <c r="B43" i="2"/>
  <c r="J42" i="2"/>
  <c r="B42" i="2"/>
  <c r="J41" i="2"/>
  <c r="B41" i="2"/>
  <c r="J40" i="2"/>
  <c r="B40" i="2"/>
  <c r="J39" i="2"/>
  <c r="B39" i="2"/>
  <c r="J38" i="2"/>
  <c r="B38" i="2"/>
  <c r="J37" i="2"/>
  <c r="B37" i="2"/>
  <c r="J36" i="2"/>
  <c r="B36" i="2"/>
  <c r="J35" i="2"/>
  <c r="B35" i="2"/>
  <c r="J34" i="2"/>
  <c r="B34" i="2"/>
  <c r="J33" i="2"/>
  <c r="B33" i="2"/>
  <c r="J32" i="2"/>
  <c r="B32" i="2"/>
  <c r="J31" i="2"/>
  <c r="B31" i="2"/>
  <c r="J30" i="2"/>
  <c r="B30" i="2"/>
  <c r="J29" i="2"/>
  <c r="B29" i="2"/>
  <c r="J28" i="2"/>
  <c r="B28" i="2"/>
  <c r="J27" i="2"/>
  <c r="B27" i="2"/>
  <c r="J26" i="2"/>
  <c r="B26" i="2"/>
  <c r="J25" i="2"/>
  <c r="B25" i="2"/>
  <c r="J24" i="2"/>
  <c r="B24" i="2"/>
  <c r="J23" i="2"/>
  <c r="B23" i="2"/>
  <c r="J22" i="2"/>
  <c r="B22" i="2"/>
  <c r="J21" i="2"/>
  <c r="B21" i="2"/>
  <c r="J20" i="2"/>
  <c r="B20" i="2"/>
  <c r="J19" i="2"/>
  <c r="B19" i="2"/>
  <c r="J18" i="2"/>
  <c r="B18" i="2"/>
  <c r="J17" i="2"/>
  <c r="B17" i="2"/>
  <c r="J16" i="2"/>
  <c r="B16" i="2"/>
  <c r="J15" i="2"/>
  <c r="B15" i="2"/>
  <c r="J14" i="2"/>
  <c r="B14" i="2"/>
  <c r="J13" i="2"/>
  <c r="B13" i="2"/>
  <c r="J12" i="2"/>
  <c r="B12" i="2"/>
  <c r="J11" i="2"/>
  <c r="B11" i="2"/>
  <c r="J10" i="2"/>
  <c r="B10" i="2"/>
  <c r="J9" i="2"/>
  <c r="B9" i="2"/>
  <c r="J8" i="2"/>
  <c r="B8" i="2"/>
  <c r="J7" i="2"/>
  <c r="B7" i="2"/>
  <c r="J6" i="2"/>
  <c r="B6" i="2"/>
  <c r="J3" i="2"/>
  <c r="I3" i="2"/>
  <c r="H3" i="2"/>
  <c r="G3" i="2"/>
  <c r="F3" i="2"/>
  <c r="E3" i="2"/>
  <c r="D3" i="2"/>
  <c r="C3" i="2"/>
  <c r="S305" i="1"/>
  <c r="Q305" i="1"/>
  <c r="P305" i="1"/>
  <c r="S304" i="1"/>
  <c r="Q304" i="1"/>
  <c r="P304" i="1"/>
  <c r="S303" i="1"/>
  <c r="Q303" i="1"/>
  <c r="P303" i="1"/>
  <c r="S302" i="1"/>
  <c r="Q302" i="1"/>
  <c r="P302" i="1"/>
  <c r="S301" i="1"/>
  <c r="Q301" i="1"/>
  <c r="P301" i="1"/>
  <c r="S300" i="1"/>
  <c r="Q300" i="1"/>
  <c r="P300" i="1"/>
  <c r="S299" i="1"/>
  <c r="Q299" i="1"/>
  <c r="P299" i="1"/>
  <c r="S298" i="1"/>
  <c r="Q298" i="1"/>
  <c r="P298" i="1"/>
  <c r="S297" i="1"/>
  <c r="Q297" i="1"/>
  <c r="P297" i="1"/>
  <c r="S296" i="1"/>
  <c r="Q296" i="1"/>
  <c r="P296" i="1"/>
  <c r="S295" i="1"/>
  <c r="Q295" i="1"/>
  <c r="P295" i="1"/>
  <c r="S294" i="1"/>
  <c r="Q294" i="1"/>
  <c r="P294" i="1"/>
  <c r="S293" i="1"/>
  <c r="Q293" i="1"/>
  <c r="P293" i="1"/>
  <c r="S292" i="1"/>
  <c r="Q292" i="1"/>
  <c r="P292" i="1"/>
  <c r="S291" i="1"/>
  <c r="Q291" i="1"/>
  <c r="P291" i="1"/>
  <c r="S290" i="1"/>
  <c r="Q290" i="1"/>
  <c r="P290" i="1"/>
  <c r="S289" i="1"/>
  <c r="Q289" i="1"/>
  <c r="P289" i="1"/>
  <c r="S288" i="1"/>
  <c r="Q288" i="1"/>
  <c r="P288" i="1"/>
  <c r="S287" i="1"/>
  <c r="Q287" i="1"/>
  <c r="P287" i="1"/>
  <c r="S286" i="1"/>
  <c r="Q286" i="1"/>
  <c r="P286" i="1"/>
  <c r="S285" i="1"/>
  <c r="Q285" i="1"/>
  <c r="P285" i="1"/>
  <c r="S284" i="1"/>
  <c r="Q284" i="1"/>
  <c r="P284" i="1"/>
  <c r="S283" i="1"/>
  <c r="Q283" i="1"/>
  <c r="P283" i="1"/>
  <c r="S282" i="1"/>
  <c r="Q282" i="1"/>
  <c r="P282" i="1"/>
  <c r="S281" i="1"/>
  <c r="Q281" i="1"/>
  <c r="P281" i="1"/>
  <c r="S280" i="1"/>
  <c r="Q280" i="1"/>
  <c r="P280" i="1"/>
  <c r="S279" i="1"/>
  <c r="Q279" i="1"/>
  <c r="P279" i="1"/>
  <c r="S278" i="1"/>
  <c r="Q278" i="1"/>
  <c r="P278" i="1"/>
  <c r="S277" i="1"/>
  <c r="Q277" i="1"/>
  <c r="P277" i="1"/>
  <c r="S276" i="1"/>
  <c r="Q276" i="1"/>
  <c r="P276" i="1"/>
  <c r="S275" i="1"/>
  <c r="Q275" i="1"/>
  <c r="P275" i="1"/>
  <c r="S274" i="1"/>
  <c r="Q274" i="1"/>
  <c r="P274" i="1"/>
  <c r="S273" i="1"/>
  <c r="Q273" i="1"/>
  <c r="P273" i="1"/>
  <c r="S272" i="1"/>
  <c r="Q272" i="1"/>
  <c r="P272" i="1"/>
  <c r="S271" i="1"/>
  <c r="Q271" i="1"/>
  <c r="P271" i="1"/>
  <c r="S270" i="1"/>
  <c r="Q270" i="1"/>
  <c r="P270" i="1"/>
  <c r="S269" i="1"/>
  <c r="Q269" i="1"/>
  <c r="P269" i="1"/>
  <c r="S268" i="1"/>
  <c r="Q268" i="1"/>
  <c r="P268" i="1"/>
  <c r="S267" i="1"/>
  <c r="Q267" i="1"/>
  <c r="P267" i="1"/>
  <c r="S266" i="1"/>
  <c r="Q266" i="1"/>
  <c r="P266" i="1"/>
  <c r="S265" i="1"/>
  <c r="Q265" i="1"/>
  <c r="P265" i="1"/>
  <c r="S264" i="1"/>
  <c r="Q264" i="1"/>
  <c r="P264" i="1"/>
  <c r="S263" i="1"/>
  <c r="Q263" i="1"/>
  <c r="P263" i="1"/>
  <c r="S262" i="1"/>
  <c r="Q262" i="1"/>
  <c r="P262" i="1"/>
  <c r="S261" i="1"/>
  <c r="Q261" i="1"/>
  <c r="P261" i="1"/>
  <c r="S260" i="1"/>
  <c r="Q260" i="1"/>
  <c r="P260" i="1"/>
  <c r="S259" i="1"/>
  <c r="Q259" i="1"/>
  <c r="P259" i="1"/>
  <c r="S258" i="1"/>
  <c r="Q258" i="1"/>
  <c r="P258" i="1"/>
  <c r="S257" i="1"/>
  <c r="Q257" i="1"/>
  <c r="P257" i="1"/>
  <c r="S256" i="1"/>
  <c r="Q256" i="1"/>
  <c r="P256" i="1"/>
  <c r="S255" i="1"/>
  <c r="Q255" i="1"/>
  <c r="P255" i="1"/>
  <c r="S254" i="1"/>
  <c r="Q254" i="1"/>
  <c r="P254" i="1"/>
  <c r="S253" i="1"/>
  <c r="Q253" i="1"/>
  <c r="P253" i="1"/>
  <c r="S252" i="1"/>
  <c r="Q252" i="1"/>
  <c r="P252" i="1"/>
  <c r="S251" i="1"/>
  <c r="Q251" i="1"/>
  <c r="P251" i="1"/>
  <c r="S250" i="1"/>
  <c r="Q250" i="1"/>
  <c r="P250" i="1"/>
  <c r="S249" i="1"/>
  <c r="Q249" i="1"/>
  <c r="P249" i="1"/>
  <c r="S248" i="1"/>
  <c r="Q248" i="1"/>
  <c r="P248" i="1"/>
  <c r="S247" i="1"/>
  <c r="Q247" i="1"/>
  <c r="P247" i="1"/>
  <c r="S246" i="1"/>
  <c r="Q246" i="1"/>
  <c r="P246" i="1"/>
  <c r="S245" i="1"/>
  <c r="Q245" i="1"/>
  <c r="P245" i="1"/>
  <c r="S244" i="1"/>
  <c r="Q244" i="1"/>
  <c r="P244" i="1"/>
  <c r="S243" i="1"/>
  <c r="Q243" i="1"/>
  <c r="P243" i="1"/>
  <c r="S242" i="1"/>
  <c r="Q242" i="1"/>
  <c r="P242" i="1"/>
  <c r="S241" i="1"/>
  <c r="Q241" i="1"/>
  <c r="P241" i="1"/>
  <c r="S240" i="1"/>
  <c r="Q240" i="1"/>
  <c r="P240" i="1"/>
  <c r="S239" i="1"/>
  <c r="Q239" i="1"/>
  <c r="P239" i="1"/>
  <c r="S238" i="1"/>
  <c r="Q238" i="1"/>
  <c r="P238" i="1"/>
  <c r="S237" i="1"/>
  <c r="Q237" i="1"/>
  <c r="P237" i="1"/>
  <c r="S236" i="1"/>
  <c r="Q236" i="1"/>
  <c r="P236" i="1"/>
  <c r="S235" i="1"/>
  <c r="Q235" i="1"/>
  <c r="P235" i="1"/>
  <c r="S234" i="1"/>
  <c r="Q234" i="1"/>
  <c r="P234" i="1"/>
  <c r="S233" i="1"/>
  <c r="Q233" i="1"/>
  <c r="P233" i="1"/>
  <c r="S232" i="1"/>
  <c r="Q232" i="1"/>
  <c r="P232" i="1"/>
  <c r="S231" i="1"/>
  <c r="Q231" i="1"/>
  <c r="P231" i="1"/>
  <c r="S230" i="1"/>
  <c r="Q230" i="1"/>
  <c r="P230" i="1"/>
  <c r="S229" i="1"/>
  <c r="Q229" i="1"/>
  <c r="P229" i="1"/>
  <c r="S228" i="1"/>
  <c r="Q228" i="1"/>
  <c r="P228" i="1"/>
  <c r="S227" i="1"/>
  <c r="Q227" i="1"/>
  <c r="P227" i="1"/>
  <c r="S226" i="1"/>
  <c r="Q226" i="1"/>
  <c r="P226" i="1"/>
  <c r="S225" i="1"/>
  <c r="Q225" i="1"/>
  <c r="P225" i="1"/>
  <c r="S224" i="1"/>
  <c r="Q224" i="1"/>
  <c r="P224" i="1"/>
  <c r="S223" i="1"/>
  <c r="Q223" i="1"/>
  <c r="P223" i="1"/>
  <c r="S222" i="1"/>
  <c r="Q222" i="1"/>
  <c r="P222" i="1"/>
  <c r="S221" i="1"/>
  <c r="Q221" i="1"/>
  <c r="P221" i="1"/>
  <c r="S220" i="1"/>
  <c r="Q220" i="1"/>
  <c r="P220" i="1"/>
  <c r="S219" i="1"/>
  <c r="Q219" i="1"/>
  <c r="P219" i="1"/>
  <c r="S218" i="1"/>
  <c r="Q218" i="1"/>
  <c r="P218" i="1"/>
  <c r="S217" i="1"/>
  <c r="Q217" i="1"/>
  <c r="P217" i="1"/>
  <c r="S216" i="1"/>
  <c r="Q216" i="1"/>
  <c r="P216" i="1"/>
  <c r="S215" i="1"/>
  <c r="Q215" i="1"/>
  <c r="P215" i="1"/>
  <c r="S214" i="1"/>
  <c r="Q214" i="1"/>
  <c r="P214" i="1"/>
  <c r="S213" i="1"/>
  <c r="Q213" i="1"/>
  <c r="P213" i="1"/>
  <c r="S212" i="1"/>
  <c r="Q212" i="1"/>
  <c r="P212" i="1"/>
  <c r="S211" i="1"/>
  <c r="Q211" i="1"/>
  <c r="P211" i="1"/>
  <c r="I211" i="3" s="1"/>
  <c r="S210" i="1"/>
  <c r="Q210" i="1"/>
  <c r="P210" i="1"/>
  <c r="S209" i="1"/>
  <c r="Q209" i="1"/>
  <c r="P209" i="1"/>
  <c r="S208" i="1"/>
  <c r="Q208" i="1"/>
  <c r="P208" i="1"/>
  <c r="S207" i="1"/>
  <c r="Q207" i="1"/>
  <c r="P207" i="1"/>
  <c r="S206" i="1"/>
  <c r="Q206" i="1"/>
  <c r="P206" i="1"/>
  <c r="S205" i="1"/>
  <c r="Q205" i="1"/>
  <c r="P205" i="1"/>
  <c r="S204" i="1"/>
  <c r="Q204" i="1"/>
  <c r="P204" i="1"/>
  <c r="S203" i="1"/>
  <c r="Q203" i="1"/>
  <c r="P203" i="1"/>
  <c r="S202" i="1"/>
  <c r="Q202" i="1"/>
  <c r="P202" i="1"/>
  <c r="S201" i="1"/>
  <c r="Q201" i="1"/>
  <c r="P201" i="1"/>
  <c r="S200" i="1"/>
  <c r="Q200" i="1"/>
  <c r="P200" i="1"/>
  <c r="S199" i="1"/>
  <c r="Q199" i="1"/>
  <c r="P199" i="1"/>
  <c r="S198" i="1"/>
  <c r="Q198" i="1"/>
  <c r="P198" i="1"/>
  <c r="S197" i="1"/>
  <c r="Q197" i="1"/>
  <c r="P197" i="1"/>
  <c r="S196" i="1"/>
  <c r="Q196" i="1"/>
  <c r="P196" i="1"/>
  <c r="S195" i="1"/>
  <c r="Q195" i="1"/>
  <c r="P195" i="1"/>
  <c r="S194" i="1"/>
  <c r="Q194" i="1"/>
  <c r="P194" i="1"/>
  <c r="S193" i="1"/>
  <c r="Q193" i="1"/>
  <c r="P193" i="1"/>
  <c r="S192" i="1"/>
  <c r="Q192" i="1"/>
  <c r="P192" i="1"/>
  <c r="S191" i="1"/>
  <c r="Q191" i="1"/>
  <c r="P191" i="1"/>
  <c r="S190" i="1"/>
  <c r="Q190" i="1"/>
  <c r="P190" i="1"/>
  <c r="S189" i="1"/>
  <c r="Q189" i="1"/>
  <c r="P189" i="1"/>
  <c r="S188" i="1"/>
  <c r="Q188" i="1"/>
  <c r="P188" i="1"/>
  <c r="S187" i="1"/>
  <c r="Q187" i="1"/>
  <c r="P187" i="1"/>
  <c r="I187" i="3" s="1"/>
  <c r="S186" i="1"/>
  <c r="Q186" i="1"/>
  <c r="P186" i="1"/>
  <c r="S185" i="1"/>
  <c r="Q185" i="1"/>
  <c r="P185" i="1"/>
  <c r="S184" i="1"/>
  <c r="Q184" i="1"/>
  <c r="P184" i="1"/>
  <c r="S183" i="1"/>
  <c r="Q183" i="1"/>
  <c r="P183" i="1"/>
  <c r="S182" i="1"/>
  <c r="Q182" i="1"/>
  <c r="P182" i="1"/>
  <c r="S181" i="1"/>
  <c r="Q181" i="1"/>
  <c r="P181" i="1"/>
  <c r="S180" i="1"/>
  <c r="Q180" i="1"/>
  <c r="P180" i="1"/>
  <c r="S179" i="1"/>
  <c r="Q179" i="1"/>
  <c r="P179" i="1"/>
  <c r="S178" i="1"/>
  <c r="Q178" i="1"/>
  <c r="P178" i="1"/>
  <c r="S177" i="1"/>
  <c r="Q177" i="1"/>
  <c r="P177" i="1"/>
  <c r="S176" i="1"/>
  <c r="Q176" i="1"/>
  <c r="P176" i="1"/>
  <c r="S175" i="1"/>
  <c r="Q175" i="1"/>
  <c r="P175" i="1"/>
  <c r="I175" i="3" s="1"/>
  <c r="S174" i="1"/>
  <c r="Q174" i="1"/>
  <c r="P174" i="1"/>
  <c r="S173" i="1"/>
  <c r="Q173" i="1"/>
  <c r="P173" i="1"/>
  <c r="S172" i="1"/>
  <c r="Q172" i="1"/>
  <c r="P172" i="1"/>
  <c r="S171" i="1"/>
  <c r="Q171" i="1"/>
  <c r="P171" i="1"/>
  <c r="S170" i="1"/>
  <c r="Q170" i="1"/>
  <c r="P170" i="1"/>
  <c r="S169" i="1"/>
  <c r="Q169" i="1"/>
  <c r="P169" i="1"/>
  <c r="S168" i="1"/>
  <c r="Q168" i="1"/>
  <c r="P168" i="1"/>
  <c r="S167" i="1"/>
  <c r="Q167" i="1"/>
  <c r="P167" i="1"/>
  <c r="S166" i="1"/>
  <c r="Q166" i="1"/>
  <c r="P166" i="1"/>
  <c r="S165" i="1"/>
  <c r="Q165" i="1"/>
  <c r="P165" i="1"/>
  <c r="S164" i="1"/>
  <c r="Q164" i="1"/>
  <c r="P164" i="1"/>
  <c r="S163" i="1"/>
  <c r="Q163" i="1"/>
  <c r="P163" i="1"/>
  <c r="I163" i="3" s="1"/>
  <c r="S162" i="1"/>
  <c r="Q162" i="1"/>
  <c r="P162" i="1"/>
  <c r="S161" i="1"/>
  <c r="Q161" i="1"/>
  <c r="P161" i="1"/>
  <c r="S160" i="1"/>
  <c r="Q160" i="1"/>
  <c r="P160" i="1"/>
  <c r="S159" i="1"/>
  <c r="Q159" i="1"/>
  <c r="P159" i="1"/>
  <c r="S158" i="1"/>
  <c r="Q158" i="1"/>
  <c r="P158" i="1"/>
  <c r="S157" i="1"/>
  <c r="Q157" i="1"/>
  <c r="P157" i="1"/>
  <c r="S156" i="1"/>
  <c r="Q156" i="1"/>
  <c r="P156" i="1"/>
  <c r="S155" i="1"/>
  <c r="Q155" i="1"/>
  <c r="P155" i="1"/>
  <c r="S154" i="1"/>
  <c r="Q154" i="1"/>
  <c r="P154" i="1"/>
  <c r="S153" i="1"/>
  <c r="Q153" i="1"/>
  <c r="P153" i="1"/>
  <c r="S152" i="1"/>
  <c r="Q152" i="1"/>
  <c r="P152" i="1"/>
  <c r="S151" i="1"/>
  <c r="Q151" i="1"/>
  <c r="P151" i="1"/>
  <c r="S150" i="1"/>
  <c r="Q150" i="1"/>
  <c r="P150" i="1"/>
  <c r="S149" i="1"/>
  <c r="Q149" i="1"/>
  <c r="P149" i="1"/>
  <c r="S148" i="1"/>
  <c r="Q148" i="1"/>
  <c r="P148" i="1"/>
  <c r="S147" i="1"/>
  <c r="Q147" i="1"/>
  <c r="P147" i="1"/>
  <c r="S146" i="1"/>
  <c r="Q146" i="1"/>
  <c r="P146" i="1"/>
  <c r="S145" i="1"/>
  <c r="Q145" i="1"/>
  <c r="P145" i="1"/>
  <c r="S144" i="1"/>
  <c r="Q144" i="1"/>
  <c r="P144" i="1"/>
  <c r="S143" i="1"/>
  <c r="Q143" i="1"/>
  <c r="P143" i="1"/>
  <c r="S142" i="1"/>
  <c r="Q142" i="1"/>
  <c r="P142" i="1"/>
  <c r="S141" i="1"/>
  <c r="Q141" i="1"/>
  <c r="P141" i="1"/>
  <c r="S140" i="1"/>
  <c r="Q140" i="1"/>
  <c r="P140" i="1"/>
  <c r="S139" i="1"/>
  <c r="Q139" i="1"/>
  <c r="P139" i="1"/>
  <c r="S138" i="1"/>
  <c r="Q138" i="1"/>
  <c r="P138" i="1"/>
  <c r="S137" i="1"/>
  <c r="Q137" i="1"/>
  <c r="P137" i="1"/>
  <c r="S136" i="1"/>
  <c r="Q136" i="1"/>
  <c r="P136" i="1"/>
  <c r="S135" i="1"/>
  <c r="Q135" i="1"/>
  <c r="P135" i="1"/>
  <c r="S134" i="1"/>
  <c r="Q134" i="1"/>
  <c r="P134" i="1"/>
  <c r="S133" i="1"/>
  <c r="Q133" i="1"/>
  <c r="P133" i="1"/>
  <c r="S132" i="1"/>
  <c r="Q132" i="1"/>
  <c r="P132" i="1"/>
  <c r="S131" i="1"/>
  <c r="Q131" i="1"/>
  <c r="P131" i="1"/>
  <c r="S130" i="1"/>
  <c r="Q130" i="1"/>
  <c r="P130" i="1"/>
  <c r="S129" i="1"/>
  <c r="Q129" i="1"/>
  <c r="P129" i="1"/>
  <c r="S128" i="1"/>
  <c r="Q128" i="1"/>
  <c r="P128" i="1"/>
  <c r="S127" i="1"/>
  <c r="Q127" i="1"/>
  <c r="P127" i="1"/>
  <c r="S126" i="1"/>
  <c r="Q126" i="1"/>
  <c r="P126" i="1"/>
  <c r="S125" i="1"/>
  <c r="Q125" i="1"/>
  <c r="P125" i="1"/>
  <c r="S124" i="1"/>
  <c r="Q124" i="1"/>
  <c r="P124" i="1"/>
  <c r="S123" i="1"/>
  <c r="Q123" i="1"/>
  <c r="P123" i="1"/>
  <c r="S122" i="1"/>
  <c r="Q122" i="1"/>
  <c r="P122" i="1"/>
  <c r="S121" i="1"/>
  <c r="Q121" i="1"/>
  <c r="P121" i="1"/>
  <c r="S120" i="1"/>
  <c r="Q120" i="1"/>
  <c r="P120" i="1"/>
  <c r="S119" i="1"/>
  <c r="Q119" i="1"/>
  <c r="P119" i="1"/>
  <c r="S118" i="1"/>
  <c r="Q118" i="1"/>
  <c r="P118" i="1"/>
  <c r="S117" i="1"/>
  <c r="Q117" i="1"/>
  <c r="P117" i="1"/>
  <c r="S116" i="1"/>
  <c r="Q116" i="1"/>
  <c r="P116" i="1"/>
  <c r="S115" i="1"/>
  <c r="Q115" i="1"/>
  <c r="P115" i="1"/>
  <c r="S114" i="1"/>
  <c r="Q114" i="1"/>
  <c r="P114" i="1"/>
  <c r="S113" i="1"/>
  <c r="Q113" i="1"/>
  <c r="P113" i="1"/>
  <c r="S112" i="1"/>
  <c r="Q112" i="1"/>
  <c r="P112" i="1"/>
  <c r="S111" i="1"/>
  <c r="Q111" i="1"/>
  <c r="P111" i="1"/>
  <c r="S110" i="1"/>
  <c r="Q110" i="1"/>
  <c r="P110" i="1"/>
  <c r="S109" i="1"/>
  <c r="Q109" i="1"/>
  <c r="P109" i="1"/>
  <c r="S108" i="1"/>
  <c r="Q108" i="1"/>
  <c r="P108" i="1"/>
  <c r="S107" i="1"/>
  <c r="Q107" i="1"/>
  <c r="P107" i="1"/>
  <c r="S106" i="1"/>
  <c r="Q106" i="1"/>
  <c r="P106" i="1"/>
  <c r="S105" i="1"/>
  <c r="Q105" i="1"/>
  <c r="P105" i="1"/>
  <c r="S104" i="1"/>
  <c r="Q104" i="1"/>
  <c r="P104" i="1"/>
  <c r="S103" i="1"/>
  <c r="Q103" i="1"/>
  <c r="P103" i="1"/>
  <c r="S102" i="1"/>
  <c r="Q102" i="1"/>
  <c r="P102" i="1"/>
  <c r="S101" i="1"/>
  <c r="Q101" i="1"/>
  <c r="P101" i="1"/>
  <c r="S100" i="1"/>
  <c r="Q100" i="1"/>
  <c r="P100" i="1"/>
  <c r="S99" i="1"/>
  <c r="Q99" i="1"/>
  <c r="P99" i="1"/>
  <c r="S98" i="1"/>
  <c r="Q98" i="1"/>
  <c r="P98" i="1"/>
  <c r="S97" i="1"/>
  <c r="Q97" i="1"/>
  <c r="P97" i="1"/>
  <c r="S96" i="1"/>
  <c r="Q96" i="1"/>
  <c r="P96" i="1"/>
  <c r="S95" i="1"/>
  <c r="Q95" i="1"/>
  <c r="P95" i="1"/>
  <c r="S94" i="1"/>
  <c r="Q94" i="1"/>
  <c r="P94" i="1"/>
  <c r="S93" i="1"/>
  <c r="Q93" i="1"/>
  <c r="P93" i="1"/>
  <c r="S92" i="1"/>
  <c r="Q92" i="1"/>
  <c r="P92" i="1"/>
  <c r="S91" i="1"/>
  <c r="Q91" i="1"/>
  <c r="P91" i="1"/>
  <c r="S90" i="1"/>
  <c r="Q90" i="1"/>
  <c r="P90" i="1"/>
  <c r="S89" i="1"/>
  <c r="Q89" i="1"/>
  <c r="P89" i="1"/>
  <c r="S88" i="1"/>
  <c r="Q88" i="1"/>
  <c r="P88" i="1"/>
  <c r="S87" i="1"/>
  <c r="Q87" i="1"/>
  <c r="P87" i="1"/>
  <c r="S86" i="1"/>
  <c r="Q86" i="1"/>
  <c r="P86" i="1"/>
  <c r="S85" i="1"/>
  <c r="Q85" i="1"/>
  <c r="P85" i="1"/>
  <c r="S84" i="1"/>
  <c r="Q84" i="1"/>
  <c r="P84" i="1"/>
  <c r="S83" i="1"/>
  <c r="Q83" i="1"/>
  <c r="P83" i="1"/>
  <c r="S82" i="1"/>
  <c r="Q82" i="1"/>
  <c r="P82" i="1"/>
  <c r="S81" i="1"/>
  <c r="Q81" i="1"/>
  <c r="P81" i="1"/>
  <c r="S80" i="1"/>
  <c r="Q80" i="1"/>
  <c r="P80" i="1"/>
  <c r="S79" i="1"/>
  <c r="Q79" i="1"/>
  <c r="P79" i="1"/>
  <c r="S78" i="1"/>
  <c r="Q78" i="1"/>
  <c r="P78" i="1"/>
  <c r="S77" i="1"/>
  <c r="Q77" i="1"/>
  <c r="P77" i="1"/>
  <c r="S76" i="1"/>
  <c r="Q76" i="1"/>
  <c r="P76" i="1"/>
  <c r="S75" i="1"/>
  <c r="Q75" i="1"/>
  <c r="P75" i="1"/>
  <c r="S74" i="1"/>
  <c r="Q74" i="1"/>
  <c r="P74" i="1"/>
  <c r="S73" i="1"/>
  <c r="Q73" i="1"/>
  <c r="P73" i="1"/>
  <c r="S72" i="1"/>
  <c r="Q72" i="1"/>
  <c r="P72" i="1"/>
  <c r="S71" i="1"/>
  <c r="Q71" i="1"/>
  <c r="P71" i="1"/>
  <c r="S70" i="1"/>
  <c r="Q70" i="1"/>
  <c r="P70" i="1"/>
  <c r="S69" i="1"/>
  <c r="Q69" i="1"/>
  <c r="P69" i="1"/>
  <c r="S68" i="1"/>
  <c r="Q68" i="1"/>
  <c r="P68" i="1"/>
  <c r="S67" i="1"/>
  <c r="Q67" i="1"/>
  <c r="P67" i="1"/>
  <c r="S66" i="1"/>
  <c r="Q66" i="1"/>
  <c r="P66" i="1"/>
  <c r="S65" i="1"/>
  <c r="Q65" i="1"/>
  <c r="P65" i="1"/>
  <c r="S64" i="1"/>
  <c r="Q64" i="1"/>
  <c r="P64" i="1"/>
  <c r="S63" i="1"/>
  <c r="Q63" i="1"/>
  <c r="P63" i="1"/>
  <c r="S62" i="1"/>
  <c r="Q62" i="1"/>
  <c r="P62" i="1"/>
  <c r="S61" i="1"/>
  <c r="Q61" i="1"/>
  <c r="P61" i="1"/>
  <c r="S60" i="1"/>
  <c r="Q60" i="1"/>
  <c r="P60" i="1"/>
  <c r="S59" i="1"/>
  <c r="Q59" i="1"/>
  <c r="P59" i="1"/>
  <c r="S58" i="1"/>
  <c r="Q58" i="1"/>
  <c r="P58" i="1"/>
  <c r="S57" i="1"/>
  <c r="Q57" i="1"/>
  <c r="P57" i="1"/>
  <c r="S56" i="1"/>
  <c r="Q56" i="1"/>
  <c r="P56" i="1"/>
  <c r="S55" i="1"/>
  <c r="Q55" i="1"/>
  <c r="P55" i="1"/>
  <c r="S54" i="1"/>
  <c r="Q54" i="1"/>
  <c r="P54" i="1"/>
  <c r="S53" i="1"/>
  <c r="Q53" i="1"/>
  <c r="P53" i="1"/>
  <c r="S52" i="1"/>
  <c r="Q52" i="1"/>
  <c r="P52" i="1"/>
  <c r="S51" i="1"/>
  <c r="Q51" i="1"/>
  <c r="P51" i="1"/>
  <c r="S50" i="1"/>
  <c r="Q50" i="1"/>
  <c r="P50" i="1"/>
  <c r="S49" i="1"/>
  <c r="Q49" i="1"/>
  <c r="P49" i="1"/>
  <c r="S48" i="1"/>
  <c r="Q48" i="1"/>
  <c r="P48" i="1"/>
  <c r="S47" i="1"/>
  <c r="Q47" i="1"/>
  <c r="P47" i="1"/>
  <c r="S46" i="1"/>
  <c r="Q46" i="1"/>
  <c r="P46" i="1"/>
  <c r="S45" i="1"/>
  <c r="Q45" i="1"/>
  <c r="P45" i="1"/>
  <c r="S44" i="1"/>
  <c r="Q44" i="1"/>
  <c r="P44" i="1"/>
  <c r="S43" i="1"/>
  <c r="Q43" i="1"/>
  <c r="P43" i="1"/>
  <c r="I43" i="3" s="1"/>
  <c r="S42" i="1"/>
  <c r="Q42" i="1"/>
  <c r="P42" i="1"/>
  <c r="S41" i="1"/>
  <c r="Q41" i="1"/>
  <c r="P41" i="1"/>
  <c r="S40" i="1"/>
  <c r="Q40" i="1"/>
  <c r="P40" i="1"/>
  <c r="S39" i="1"/>
  <c r="Q39" i="1"/>
  <c r="P39" i="1"/>
  <c r="S38" i="1"/>
  <c r="Q38" i="1"/>
  <c r="P38" i="1"/>
  <c r="S37" i="1"/>
  <c r="Q37" i="1"/>
  <c r="P37" i="1"/>
  <c r="S36" i="1"/>
  <c r="Q36" i="1"/>
  <c r="P36" i="1"/>
  <c r="S35" i="1"/>
  <c r="Q35" i="1"/>
  <c r="P35" i="1"/>
  <c r="S34" i="1"/>
  <c r="Q34" i="1"/>
  <c r="P34" i="1"/>
  <c r="S33" i="1"/>
  <c r="Q33" i="1"/>
  <c r="P33" i="1"/>
  <c r="S32" i="1"/>
  <c r="Q32" i="1"/>
  <c r="P32" i="1"/>
  <c r="S31" i="1"/>
  <c r="Q31" i="1"/>
  <c r="P31" i="1"/>
  <c r="I31" i="3" s="1"/>
  <c r="S30" i="1"/>
  <c r="Q30" i="1"/>
  <c r="P30" i="1"/>
  <c r="S29" i="1"/>
  <c r="Q29" i="1"/>
  <c r="P29" i="1"/>
  <c r="S28" i="1"/>
  <c r="Q28" i="1"/>
  <c r="P28" i="1"/>
  <c r="S27" i="1"/>
  <c r="Q27" i="1"/>
  <c r="P27" i="1"/>
  <c r="S26" i="1"/>
  <c r="Q26" i="1"/>
  <c r="P26" i="1"/>
  <c r="S25" i="1"/>
  <c r="Q25" i="1"/>
  <c r="P25" i="1"/>
  <c r="S24" i="1"/>
  <c r="Q24" i="1"/>
  <c r="P24" i="1"/>
  <c r="S23" i="1"/>
  <c r="Q23" i="1"/>
  <c r="P23" i="1"/>
  <c r="S22" i="1"/>
  <c r="Q22" i="1"/>
  <c r="P22" i="1"/>
  <c r="S21" i="1"/>
  <c r="Q21" i="1"/>
  <c r="P21" i="1"/>
  <c r="S20" i="1"/>
  <c r="Q20" i="1"/>
  <c r="P20" i="1"/>
  <c r="S19" i="1"/>
  <c r="Q19" i="1"/>
  <c r="P19" i="1"/>
  <c r="I19" i="3" s="1"/>
  <c r="S18" i="1"/>
  <c r="Q18" i="1"/>
  <c r="P18" i="1"/>
  <c r="S17" i="1"/>
  <c r="Q17" i="1"/>
  <c r="P17" i="1"/>
  <c r="S16" i="1"/>
  <c r="Q16" i="1"/>
  <c r="P16" i="1"/>
  <c r="S15" i="1"/>
  <c r="Q15" i="1"/>
  <c r="P15" i="1"/>
  <c r="S14" i="1"/>
  <c r="Q14" i="1"/>
  <c r="P14" i="1"/>
  <c r="S13" i="1"/>
  <c r="Q13" i="1"/>
  <c r="P13" i="1"/>
  <c r="S12" i="1"/>
  <c r="Q12" i="1"/>
  <c r="P12" i="1"/>
  <c r="S11" i="1"/>
  <c r="Q11" i="1"/>
  <c r="P11" i="1"/>
  <c r="S10" i="1"/>
  <c r="Q10" i="1"/>
  <c r="P10" i="1"/>
  <c r="S9" i="1"/>
  <c r="Q9" i="1"/>
  <c r="P9" i="1"/>
  <c r="S8" i="1"/>
  <c r="Q8" i="1"/>
  <c r="P8" i="1"/>
  <c r="S7" i="1"/>
  <c r="Q7" i="1"/>
  <c r="P7" i="1"/>
  <c r="AZ10" i="6" s="1"/>
  <c r="S6" i="1"/>
  <c r="Q6" i="1"/>
  <c r="P6" i="1"/>
  <c r="B4" i="1"/>
  <c r="B3" i="1"/>
  <c r="B279" i="6" l="1"/>
  <c r="A222" i="6"/>
  <c r="A308" i="6"/>
  <c r="A205" i="6"/>
  <c r="BK12" i="6"/>
  <c r="B237" i="3"/>
  <c r="A83" i="6"/>
  <c r="I33" i="3"/>
  <c r="I153" i="3"/>
  <c r="I201" i="3"/>
  <c r="B180" i="6"/>
  <c r="B306" i="6"/>
  <c r="A250" i="6"/>
  <c r="I259" i="3"/>
  <c r="I271" i="3"/>
  <c r="I283" i="3"/>
  <c r="I172" i="3"/>
  <c r="I220" i="3"/>
  <c r="D76" i="6"/>
  <c r="Q50" i="6"/>
  <c r="V29" i="6"/>
  <c r="BC129" i="6"/>
  <c r="G195" i="6"/>
  <c r="A166" i="6"/>
  <c r="BT166" i="6" s="1"/>
  <c r="J195" i="6"/>
  <c r="U226" i="6"/>
  <c r="F23" i="6"/>
  <c r="BJ166" i="6"/>
  <c r="A24" i="6"/>
  <c r="BU24" i="6" s="1"/>
  <c r="B56" i="6"/>
  <c r="BK166" i="6"/>
  <c r="BC259" i="6"/>
  <c r="G251" i="6"/>
  <c r="I71" i="3"/>
  <c r="I83" i="3"/>
  <c r="I95" i="3"/>
  <c r="I119" i="3"/>
  <c r="I131" i="3"/>
  <c r="I143" i="3"/>
  <c r="I215" i="3"/>
  <c r="I227" i="3"/>
  <c r="I239" i="3"/>
  <c r="I263" i="3"/>
  <c r="I275" i="3"/>
  <c r="I287" i="3"/>
  <c r="H114" i="6"/>
  <c r="A231" i="6"/>
  <c r="H251" i="6"/>
  <c r="I114" i="6"/>
  <c r="BJ251" i="6"/>
  <c r="BM251" i="6" s="1"/>
  <c r="A27" i="6"/>
  <c r="BT27" i="6" s="1"/>
  <c r="AZ223" i="6"/>
  <c r="W223" i="6" s="1"/>
  <c r="AZ41" i="6"/>
  <c r="W41" i="6" s="1"/>
  <c r="BG41" i="6" s="1"/>
  <c r="A197" i="6"/>
  <c r="AZ302" i="6"/>
  <c r="BJ41" i="6"/>
  <c r="B67" i="6"/>
  <c r="D111" i="6"/>
  <c r="A297" i="6"/>
  <c r="BT297" i="6" s="1"/>
  <c r="BA302" i="6"/>
  <c r="I111" i="6"/>
  <c r="BJ19" i="6"/>
  <c r="BC26" i="6"/>
  <c r="BH50" i="6"/>
  <c r="F76" i="6"/>
  <c r="K111" i="6"/>
  <c r="V152" i="6"/>
  <c r="M297" i="6"/>
  <c r="BP19" i="6"/>
  <c r="BK50" i="6"/>
  <c r="G76" i="6"/>
  <c r="O111" i="6"/>
  <c r="J147" i="6"/>
  <c r="AZ152" i="6"/>
  <c r="W152" i="6" s="1"/>
  <c r="I76" i="6"/>
  <c r="Q111" i="6"/>
  <c r="O147" i="6"/>
  <c r="BC152" i="6"/>
  <c r="K200" i="6"/>
  <c r="A21" i="6"/>
  <c r="BU21" i="6" s="1"/>
  <c r="BA38" i="6"/>
  <c r="A62" i="6"/>
  <c r="BU62" i="6" s="1"/>
  <c r="B71" i="6"/>
  <c r="K76" i="6"/>
  <c r="AZ111" i="6"/>
  <c r="Q147" i="6"/>
  <c r="BJ152" i="6"/>
  <c r="R152" i="6" s="1"/>
  <c r="L200" i="6"/>
  <c r="U206" i="6"/>
  <c r="B226" i="6"/>
  <c r="A234" i="6"/>
  <c r="V243" i="6"/>
  <c r="BO299" i="6"/>
  <c r="I45" i="3"/>
  <c r="I93" i="3"/>
  <c r="I117" i="3"/>
  <c r="I141" i="3"/>
  <c r="I213" i="3"/>
  <c r="B12" i="3"/>
  <c r="B141" i="3"/>
  <c r="C242" i="3"/>
  <c r="C288" i="3"/>
  <c r="BB38" i="6"/>
  <c r="A47" i="6"/>
  <c r="BU47" i="6" s="1"/>
  <c r="L76" i="6"/>
  <c r="BC111" i="6"/>
  <c r="U147" i="6"/>
  <c r="M200" i="6"/>
  <c r="AZ243" i="6"/>
  <c r="W243" i="6" s="1"/>
  <c r="BS299" i="6"/>
  <c r="F141" i="3"/>
  <c r="F187" i="3"/>
  <c r="BO38" i="6"/>
  <c r="BD76" i="6"/>
  <c r="BD111" i="6"/>
  <c r="BD147" i="6"/>
  <c r="Q200" i="6"/>
  <c r="BV243" i="6"/>
  <c r="C211" i="3"/>
  <c r="I256" i="3"/>
  <c r="BB47" i="6"/>
  <c r="H63" i="6"/>
  <c r="H72" i="6"/>
  <c r="BH76" i="6"/>
  <c r="A110" i="6"/>
  <c r="BU110" i="6" s="1"/>
  <c r="BK111" i="6"/>
  <c r="BD129" i="6"/>
  <c r="BJ147" i="6"/>
  <c r="BL147" i="6" s="1"/>
  <c r="BO195" i="6"/>
  <c r="T195" i="6" s="1"/>
  <c r="BJ200" i="6"/>
  <c r="BL200" i="6" s="1"/>
  <c r="AZ226" i="6"/>
  <c r="BC251" i="6"/>
  <c r="A301" i="6"/>
  <c r="BU301" i="6" s="1"/>
  <c r="B308" i="6"/>
  <c r="I62" i="3"/>
  <c r="I74" i="3"/>
  <c r="I122" i="3"/>
  <c r="H211" i="3"/>
  <c r="B256" i="3"/>
  <c r="H9" i="6"/>
  <c r="BJ47" i="6"/>
  <c r="BM47" i="6" s="1"/>
  <c r="A56" i="6"/>
  <c r="BU56" i="6" s="1"/>
  <c r="BV87" i="6"/>
  <c r="B110" i="6"/>
  <c r="A122" i="6"/>
  <c r="BT122" i="6" s="1"/>
  <c r="BS195" i="6"/>
  <c r="BK200" i="6"/>
  <c r="A210" i="6"/>
  <c r="BO236" i="6"/>
  <c r="BQ236" i="6" s="1"/>
  <c r="B245" i="6"/>
  <c r="BH251" i="6"/>
  <c r="B67" i="3"/>
  <c r="V77" i="6"/>
  <c r="K134" i="6"/>
  <c r="BD289" i="6"/>
  <c r="H45" i="3"/>
  <c r="C67" i="3"/>
  <c r="H12" i="6"/>
  <c r="D27" i="6"/>
  <c r="BV30" i="6"/>
  <c r="BK46" i="6"/>
  <c r="BK70" i="6"/>
  <c r="AZ77" i="6"/>
  <c r="Q108" i="6"/>
  <c r="G122" i="6"/>
  <c r="L134" i="6"/>
  <c r="M150" i="6"/>
  <c r="K234" i="6"/>
  <c r="BD260" i="6"/>
  <c r="B270" i="6"/>
  <c r="U17" i="6"/>
  <c r="BA24" i="6"/>
  <c r="E27" i="6"/>
  <c r="H56" i="6"/>
  <c r="F67" i="6"/>
  <c r="BH77" i="6"/>
  <c r="BO108" i="6"/>
  <c r="H122" i="6"/>
  <c r="M134" i="6"/>
  <c r="U150" i="6"/>
  <c r="BC162" i="6"/>
  <c r="D231" i="6"/>
  <c r="L234" i="6"/>
  <c r="O250" i="6"/>
  <c r="BP260" i="6"/>
  <c r="BC290" i="6"/>
  <c r="V17" i="6"/>
  <c r="K21" i="6"/>
  <c r="BB24" i="6"/>
  <c r="AZ27" i="6"/>
  <c r="W27" i="6" s="1"/>
  <c r="BA51" i="6"/>
  <c r="K56" i="6"/>
  <c r="I67" i="6"/>
  <c r="BJ77" i="6"/>
  <c r="AZ101" i="6"/>
  <c r="BP108" i="6"/>
  <c r="K122" i="6"/>
  <c r="Q134" i="6"/>
  <c r="BC150" i="6"/>
  <c r="BO168" i="6"/>
  <c r="J182" i="6"/>
  <c r="F231" i="6"/>
  <c r="V234" i="6"/>
  <c r="Q250" i="6"/>
  <c r="O297" i="6"/>
  <c r="C38" i="3"/>
  <c r="B93" i="3"/>
  <c r="F237" i="3"/>
  <c r="BJ12" i="6"/>
  <c r="BH17" i="6"/>
  <c r="L21" i="6"/>
  <c r="BH24" i="6"/>
  <c r="BS27" i="6"/>
  <c r="BH51" i="6"/>
  <c r="M56" i="6"/>
  <c r="B63" i="6"/>
  <c r="K67" i="6"/>
  <c r="BA101" i="6"/>
  <c r="U122" i="6"/>
  <c r="AZ134" i="6"/>
  <c r="BJ150" i="6"/>
  <c r="BM150" i="6" s="1"/>
  <c r="BB196" i="6"/>
  <c r="V231" i="6"/>
  <c r="BP234" i="6"/>
  <c r="B241" i="6"/>
  <c r="U297" i="6"/>
  <c r="I35" i="3"/>
  <c r="I47" i="3"/>
  <c r="I67" i="3"/>
  <c r="I79" i="3"/>
  <c r="I91" i="3"/>
  <c r="I115" i="3"/>
  <c r="I127" i="3"/>
  <c r="I139" i="3"/>
  <c r="I167" i="3"/>
  <c r="I179" i="3"/>
  <c r="I191" i="3"/>
  <c r="I223" i="3"/>
  <c r="I235" i="3"/>
  <c r="F93" i="3"/>
  <c r="M3" i="4"/>
  <c r="A13" i="6"/>
  <c r="BK17" i="6"/>
  <c r="U21" i="6"/>
  <c r="A25" i="6"/>
  <c r="BT25" i="6" s="1"/>
  <c r="B28" i="6"/>
  <c r="BU51" i="6"/>
  <c r="O56" i="6"/>
  <c r="L67" i="6"/>
  <c r="AZ122" i="6"/>
  <c r="BA134" i="6"/>
  <c r="AZ177" i="6"/>
  <c r="W177" i="6" s="1"/>
  <c r="BA231" i="6"/>
  <c r="BS234" i="6"/>
  <c r="BC297" i="6"/>
  <c r="AZ21" i="6"/>
  <c r="W21" i="6" s="1"/>
  <c r="BG21" i="6" s="1"/>
  <c r="BV51" i="6"/>
  <c r="AZ56" i="6"/>
  <c r="W56" i="6" s="1"/>
  <c r="BB67" i="6"/>
  <c r="BJ93" i="6"/>
  <c r="BJ122" i="6"/>
  <c r="L148" i="6"/>
  <c r="Q151" i="6"/>
  <c r="K184" i="6"/>
  <c r="BD231" i="6"/>
  <c r="BV234" i="6"/>
  <c r="H241" i="6"/>
  <c r="BB263" i="6"/>
  <c r="BD297" i="6"/>
  <c r="I208" i="3"/>
  <c r="O13" i="6"/>
  <c r="BA21" i="6"/>
  <c r="O28" i="6"/>
  <c r="BP56" i="6"/>
  <c r="BO67" i="6"/>
  <c r="BQ67" i="6" s="1"/>
  <c r="BO76" i="6"/>
  <c r="BJ79" i="6"/>
  <c r="D87" i="6"/>
  <c r="BO122" i="6"/>
  <c r="D135" i="6"/>
  <c r="M148" i="6"/>
  <c r="BH151" i="6"/>
  <c r="L184" i="6"/>
  <c r="BO231" i="6"/>
  <c r="I241" i="6"/>
  <c r="K247" i="6"/>
  <c r="I251" i="6"/>
  <c r="BH297" i="6"/>
  <c r="BB302" i="6"/>
  <c r="I160" i="3"/>
  <c r="I268" i="3"/>
  <c r="I64" i="3"/>
  <c r="C187" i="3"/>
  <c r="Q19" i="6"/>
  <c r="BC21" i="6"/>
  <c r="AZ26" i="6"/>
  <c r="BC28" i="6"/>
  <c r="A43" i="6"/>
  <c r="BS56" i="6"/>
  <c r="A65" i="6"/>
  <c r="Q74" i="6"/>
  <c r="BP76" i="6"/>
  <c r="BK79" i="6"/>
  <c r="BK87" i="6"/>
  <c r="BK121" i="6"/>
  <c r="BV122" i="6"/>
  <c r="J135" i="6"/>
  <c r="BK151" i="6"/>
  <c r="U166" i="6"/>
  <c r="BK184" i="6"/>
  <c r="BP193" i="6"/>
  <c r="BA213" i="6"/>
  <c r="BP231" i="6"/>
  <c r="BK247" i="6"/>
  <c r="U251" i="6"/>
  <c r="BU297" i="6"/>
  <c r="BC302" i="6"/>
  <c r="BH68" i="6"/>
  <c r="BS76" i="6"/>
  <c r="BP87" i="6"/>
  <c r="A114" i="6"/>
  <c r="BO121" i="6"/>
  <c r="BR121" i="6" s="1"/>
  <c r="BH135" i="6"/>
  <c r="AZ148" i="6"/>
  <c r="W148" i="6" s="1"/>
  <c r="BS151" i="6"/>
  <c r="BB166" i="6"/>
  <c r="A173" i="6"/>
  <c r="BK179" i="6"/>
  <c r="BV184" i="6"/>
  <c r="BD236" i="6"/>
  <c r="L242" i="6"/>
  <c r="BO247" i="6"/>
  <c r="V251" i="6"/>
  <c r="D295" i="6"/>
  <c r="BO302" i="6"/>
  <c r="BR302" i="6" s="1"/>
  <c r="M308" i="6"/>
  <c r="H43" i="3"/>
  <c r="H187" i="3"/>
  <c r="BK19" i="6"/>
  <c r="BJ26" i="6"/>
  <c r="R26" i="6" s="1"/>
  <c r="D29" i="6"/>
  <c r="F38" i="6"/>
  <c r="O50" i="6"/>
  <c r="BO68" i="6"/>
  <c r="BR68" i="6" s="1"/>
  <c r="BV76" i="6"/>
  <c r="BS87" i="6"/>
  <c r="BP121" i="6"/>
  <c r="H147" i="6"/>
  <c r="BK148" i="6"/>
  <c r="BD166" i="6"/>
  <c r="BP179" i="6"/>
  <c r="B185" i="6"/>
  <c r="V223" i="6"/>
  <c r="BK236" i="6"/>
  <c r="BB251" i="6"/>
  <c r="BB259" i="6"/>
  <c r="L295" i="6"/>
  <c r="B303" i="6"/>
  <c r="O308" i="6"/>
  <c r="B96" i="3"/>
  <c r="B115" i="3"/>
  <c r="B285" i="3"/>
  <c r="C115" i="3"/>
  <c r="F285" i="3"/>
  <c r="H293" i="3"/>
  <c r="H115" i="3"/>
  <c r="I40" i="3"/>
  <c r="I76" i="3"/>
  <c r="I124" i="3"/>
  <c r="C60" i="3"/>
  <c r="F69" i="3"/>
  <c r="B79" i="3"/>
  <c r="F139" i="3"/>
  <c r="B249" i="3"/>
  <c r="B259" i="3"/>
  <c r="H3" i="4"/>
  <c r="H69" i="3"/>
  <c r="C91" i="3"/>
  <c r="B98" i="3"/>
  <c r="H139" i="3"/>
  <c r="C259" i="3"/>
  <c r="F43" i="3"/>
  <c r="B201" i="3"/>
  <c r="B211" i="3"/>
  <c r="H259" i="3"/>
  <c r="I9" i="3"/>
  <c r="I57" i="3"/>
  <c r="I69" i="3"/>
  <c r="I105" i="3"/>
  <c r="I165" i="3"/>
  <c r="I189" i="3"/>
  <c r="I237" i="3"/>
  <c r="I249" i="3"/>
  <c r="I261" i="3"/>
  <c r="I285" i="3"/>
  <c r="F10" i="6"/>
  <c r="E10" i="6"/>
  <c r="D10" i="6"/>
  <c r="BO10" i="6"/>
  <c r="Q10" i="6"/>
  <c r="G10" i="6"/>
  <c r="I112" i="3"/>
  <c r="B194" i="3"/>
  <c r="F261" i="3"/>
  <c r="B271" i="3"/>
  <c r="I38" i="3"/>
  <c r="I50" i="3"/>
  <c r="I98" i="3"/>
  <c r="I110" i="3"/>
  <c r="I146" i="3"/>
  <c r="I158" i="3"/>
  <c r="I170" i="3"/>
  <c r="I194" i="3"/>
  <c r="I206" i="3"/>
  <c r="I218" i="3"/>
  <c r="I242" i="3"/>
  <c r="I266" i="3"/>
  <c r="I290" i="3"/>
  <c r="F45" i="3"/>
  <c r="B153" i="3"/>
  <c r="C204" i="3"/>
  <c r="H261" i="3"/>
  <c r="C283" i="3"/>
  <c r="A203" i="6"/>
  <c r="BD47" i="6"/>
  <c r="E70" i="6"/>
  <c r="G72" i="6"/>
  <c r="BH93" i="6"/>
  <c r="K128" i="6"/>
  <c r="B156" i="6"/>
  <c r="M170" i="6"/>
  <c r="I182" i="6"/>
  <c r="A194" i="6"/>
  <c r="V196" i="6"/>
  <c r="B203" i="6"/>
  <c r="I242" i="6"/>
  <c r="B254" i="6"/>
  <c r="M269" i="6"/>
  <c r="M278" i="6"/>
  <c r="B301" i="6"/>
  <c r="F44" i="7"/>
  <c r="L128" i="6"/>
  <c r="BH170" i="6"/>
  <c r="Q278" i="6"/>
  <c r="BK34" i="6"/>
  <c r="J72" i="6"/>
  <c r="BK93" i="6"/>
  <c r="BH137" i="6"/>
  <c r="F145" i="6"/>
  <c r="K182" i="6"/>
  <c r="Q190" i="6"/>
  <c r="U194" i="6"/>
  <c r="BJ196" i="6"/>
  <c r="BM196" i="6" s="1"/>
  <c r="U242" i="6"/>
  <c r="BA278" i="6"/>
  <c r="V301" i="6"/>
  <c r="BV19" i="6"/>
  <c r="L39" i="6"/>
  <c r="D47" i="6"/>
  <c r="A49" i="6"/>
  <c r="M67" i="6"/>
  <c r="A71" i="6"/>
  <c r="BA72" i="6"/>
  <c r="J76" i="6"/>
  <c r="A77" i="6"/>
  <c r="B83" i="6"/>
  <c r="Q99" i="6"/>
  <c r="H105" i="6"/>
  <c r="M114" i="6"/>
  <c r="BK137" i="6"/>
  <c r="G145" i="6"/>
  <c r="A152" i="6"/>
  <c r="BU152" i="6" s="1"/>
  <c r="M165" i="6"/>
  <c r="BB167" i="6"/>
  <c r="Q182" i="6"/>
  <c r="U190" i="6"/>
  <c r="BK196" i="6"/>
  <c r="BH200" i="6"/>
  <c r="K218" i="6"/>
  <c r="O221" i="6"/>
  <c r="M235" i="6"/>
  <c r="M241" i="6"/>
  <c r="V242" i="6"/>
  <c r="U245" i="6"/>
  <c r="D262" i="6"/>
  <c r="BH266" i="6"/>
  <c r="L288" i="6"/>
  <c r="Q295" i="6"/>
  <c r="BA301" i="6"/>
  <c r="A19" i="6"/>
  <c r="BT19" i="6" s="1"/>
  <c r="B26" i="6"/>
  <c r="A36" i="6"/>
  <c r="BP39" i="6"/>
  <c r="A44" i="6"/>
  <c r="F47" i="6"/>
  <c r="B60" i="6"/>
  <c r="BK72" i="6"/>
  <c r="BV77" i="6"/>
  <c r="T99" i="6"/>
  <c r="V105" i="6"/>
  <c r="O114" i="6"/>
  <c r="BO137" i="6"/>
  <c r="BQ137" i="6" s="1"/>
  <c r="H145" i="6"/>
  <c r="B152" i="6"/>
  <c r="BO165" i="6"/>
  <c r="BC167" i="6"/>
  <c r="U182" i="6"/>
  <c r="V190" i="6"/>
  <c r="L218" i="6"/>
  <c r="O235" i="6"/>
  <c r="O241" i="6"/>
  <c r="BA242" i="6"/>
  <c r="V245" i="6"/>
  <c r="BK262" i="6"/>
  <c r="BJ266" i="6"/>
  <c r="R266" i="6" s="1"/>
  <c r="M288" i="6"/>
  <c r="U295" i="6"/>
  <c r="BC301" i="6"/>
  <c r="BS39" i="6"/>
  <c r="G47" i="6"/>
  <c r="I77" i="6"/>
  <c r="V83" i="6"/>
  <c r="BJ105" i="6"/>
  <c r="BL105" i="6" s="1"/>
  <c r="Q114" i="6"/>
  <c r="J145" i="6"/>
  <c r="BS167" i="6"/>
  <c r="V182" i="6"/>
  <c r="AZ190" i="6"/>
  <c r="W190" i="6" s="1"/>
  <c r="N190" i="6" s="1"/>
  <c r="M218" i="6"/>
  <c r="U235" i="6"/>
  <c r="U241" i="6"/>
  <c r="BB242" i="6"/>
  <c r="BO262" i="6"/>
  <c r="BR262" i="6" s="1"/>
  <c r="BK266" i="6"/>
  <c r="O288" i="6"/>
  <c r="O292" i="6"/>
  <c r="BH295" i="6"/>
  <c r="BD301" i="6"/>
  <c r="G12" i="6"/>
  <c r="J19" i="6"/>
  <c r="BC23" i="6"/>
  <c r="G26" i="6"/>
  <c r="M27" i="6"/>
  <c r="BV39" i="6"/>
  <c r="D44" i="6"/>
  <c r="K47" i="6"/>
  <c r="F50" i="6"/>
  <c r="BO51" i="6"/>
  <c r="BR51" i="6" s="1"/>
  <c r="L56" i="6"/>
  <c r="BP67" i="6"/>
  <c r="AZ71" i="6"/>
  <c r="O76" i="6"/>
  <c r="J77" i="6"/>
  <c r="BA95" i="6"/>
  <c r="BK105" i="6"/>
  <c r="U114" i="6"/>
  <c r="D121" i="6"/>
  <c r="I122" i="6"/>
  <c r="BO134" i="6"/>
  <c r="BH145" i="6"/>
  <c r="V150" i="6"/>
  <c r="H152" i="6"/>
  <c r="V154" i="6"/>
  <c r="B166" i="6"/>
  <c r="BS179" i="6"/>
  <c r="BK182" i="6"/>
  <c r="BC195" i="6"/>
  <c r="BV200" i="6"/>
  <c r="BV205" i="6"/>
  <c r="O218" i="6"/>
  <c r="BB226" i="6"/>
  <c r="M231" i="6"/>
  <c r="AZ235" i="6"/>
  <c r="W235" i="6" s="1"/>
  <c r="BF235" i="6" s="1"/>
  <c r="F239" i="6"/>
  <c r="BB241" i="6"/>
  <c r="B243" i="6"/>
  <c r="BD246" i="6"/>
  <c r="BS262" i="6"/>
  <c r="BV266" i="6"/>
  <c r="AZ288" i="6"/>
  <c r="Q292" i="6"/>
  <c r="BK295" i="6"/>
  <c r="BH301" i="6"/>
  <c r="BS303" i="6"/>
  <c r="Q308" i="6"/>
  <c r="K19" i="6"/>
  <c r="D21" i="6"/>
  <c r="BJ23" i="6"/>
  <c r="M26" i="6"/>
  <c r="Q27" i="6"/>
  <c r="A38" i="6"/>
  <c r="BU38" i="6" s="1"/>
  <c r="BC44" i="6"/>
  <c r="L47" i="6"/>
  <c r="G50" i="6"/>
  <c r="BA71" i="6"/>
  <c r="U76" i="6"/>
  <c r="K77" i="6"/>
  <c r="BH95" i="6"/>
  <c r="B113" i="6"/>
  <c r="V114" i="6"/>
  <c r="E121" i="6"/>
  <c r="J122" i="6"/>
  <c r="BJ145" i="6"/>
  <c r="BL145" i="6" s="1"/>
  <c r="K148" i="6"/>
  <c r="BA150" i="6"/>
  <c r="L152" i="6"/>
  <c r="BA154" i="6"/>
  <c r="BJ195" i="6"/>
  <c r="A206" i="6"/>
  <c r="BH218" i="6"/>
  <c r="O231" i="6"/>
  <c r="BB235" i="6"/>
  <c r="G239" i="6"/>
  <c r="BC241" i="6"/>
  <c r="A247" i="6"/>
  <c r="BA288" i="6"/>
  <c r="V292" i="6"/>
  <c r="BS295" i="6"/>
  <c r="BO301" i="6"/>
  <c r="BQ301" i="6" s="1"/>
  <c r="AZ308" i="6"/>
  <c r="W308" i="6" s="1"/>
  <c r="N308" i="6" s="1"/>
  <c r="I12" i="6"/>
  <c r="L19" i="6"/>
  <c r="O26" i="6"/>
  <c r="B41" i="6"/>
  <c r="M47" i="6"/>
  <c r="H50" i="6"/>
  <c r="BB71" i="6"/>
  <c r="L77" i="6"/>
  <c r="BK95" i="6"/>
  <c r="BA114" i="6"/>
  <c r="F121" i="6"/>
  <c r="BS145" i="6"/>
  <c r="M152" i="6"/>
  <c r="BB154" i="6"/>
  <c r="BK218" i="6"/>
  <c r="BK235" i="6"/>
  <c r="BH241" i="6"/>
  <c r="BB288" i="6"/>
  <c r="AZ292" i="6"/>
  <c r="W292" i="6" s="1"/>
  <c r="BK308" i="6"/>
  <c r="M19" i="6"/>
  <c r="Q26" i="6"/>
  <c r="Q47" i="6"/>
  <c r="L50" i="6"/>
  <c r="BD71" i="6"/>
  <c r="M77" i="6"/>
  <c r="BK91" i="6"/>
  <c r="BO95" i="6"/>
  <c r="U113" i="6"/>
  <c r="BO114" i="6"/>
  <c r="BH121" i="6"/>
  <c r="BA127" i="6"/>
  <c r="O152" i="6"/>
  <c r="BC154" i="6"/>
  <c r="I184" i="6"/>
  <c r="BJ188" i="6"/>
  <c r="BL188" i="6" s="1"/>
  <c r="I200" i="6"/>
  <c r="BJ202" i="6"/>
  <c r="BO218" i="6"/>
  <c r="BQ218" i="6" s="1"/>
  <c r="BK241" i="6"/>
  <c r="I247" i="6"/>
  <c r="L252" i="6"/>
  <c r="AZ263" i="6"/>
  <c r="W263" i="6" s="1"/>
  <c r="A269" i="6"/>
  <c r="BU269" i="6" s="1"/>
  <c r="BS292" i="6"/>
  <c r="G302" i="6"/>
  <c r="BO308" i="6"/>
  <c r="BQ308" i="6" s="1"/>
  <c r="O19" i="6"/>
  <c r="AZ24" i="6"/>
  <c r="U26" i="6"/>
  <c r="BU27" i="6"/>
  <c r="G38" i="6"/>
  <c r="V47" i="6"/>
  <c r="M50" i="6"/>
  <c r="BK76" i="6"/>
  <c r="A80" i="6"/>
  <c r="J111" i="6"/>
  <c r="V122" i="6"/>
  <c r="V148" i="6"/>
  <c r="U152" i="6"/>
  <c r="BD154" i="6"/>
  <c r="BD193" i="6"/>
  <c r="J200" i="6"/>
  <c r="BK202" i="6"/>
  <c r="A215" i="6"/>
  <c r="BT215" i="6" s="1"/>
  <c r="BA223" i="6"/>
  <c r="BP228" i="6"/>
  <c r="BB231" i="6"/>
  <c r="BK234" i="6"/>
  <c r="BC236" i="6"/>
  <c r="A241" i="6"/>
  <c r="BT241" i="6" s="1"/>
  <c r="BO241" i="6"/>
  <c r="BS243" i="6"/>
  <c r="M252" i="6"/>
  <c r="BA263" i="6"/>
  <c r="BB289" i="6"/>
  <c r="V302" i="6"/>
  <c r="F21" i="3"/>
  <c r="C146" i="3"/>
  <c r="C163" i="3"/>
  <c r="F189" i="3"/>
  <c r="I298" i="3"/>
  <c r="C7" i="3"/>
  <c r="I16" i="3"/>
  <c r="B33" i="3"/>
  <c r="B64" i="3"/>
  <c r="F91" i="3"/>
  <c r="C156" i="3"/>
  <c r="H163" i="3"/>
  <c r="F213" i="3"/>
  <c r="B223" i="3"/>
  <c r="B240" i="3"/>
  <c r="F283" i="3"/>
  <c r="L3" i="4"/>
  <c r="F7" i="3"/>
  <c r="H7" i="3" s="1"/>
  <c r="F33" i="3"/>
  <c r="H91" i="3"/>
  <c r="I148" i="3"/>
  <c r="I184" i="3"/>
  <c r="H213" i="3"/>
  <c r="H283" i="3"/>
  <c r="B17" i="3"/>
  <c r="H33" i="3"/>
  <c r="B57" i="3"/>
  <c r="B208" i="3"/>
  <c r="C235" i="3"/>
  <c r="C17" i="3"/>
  <c r="C48" i="3"/>
  <c r="C108" i="3"/>
  <c r="F165" i="3"/>
  <c r="B175" i="3"/>
  <c r="B192" i="3"/>
  <c r="F235" i="3"/>
  <c r="I302" i="3"/>
  <c r="I26" i="3"/>
  <c r="I100" i="3"/>
  <c r="I136" i="3"/>
  <c r="H165" i="3"/>
  <c r="H235" i="3"/>
  <c r="F19" i="3"/>
  <c r="I28" i="3"/>
  <c r="C50" i="3"/>
  <c r="F117" i="3"/>
  <c r="B127" i="3"/>
  <c r="B144" i="3"/>
  <c r="C252" i="3"/>
  <c r="H19" i="3"/>
  <c r="I88" i="3"/>
  <c r="H117" i="3"/>
  <c r="I244" i="3"/>
  <c r="I280" i="3"/>
  <c r="B45" i="3"/>
  <c r="I52" i="3"/>
  <c r="C139" i="3"/>
  <c r="I14" i="3"/>
  <c r="B21" i="3"/>
  <c r="B105" i="3"/>
  <c r="B163" i="3"/>
  <c r="B189" i="3"/>
  <c r="I196" i="3"/>
  <c r="I232" i="3"/>
  <c r="BK37" i="6"/>
  <c r="BB37" i="6"/>
  <c r="U37" i="6"/>
  <c r="U59" i="6"/>
  <c r="L59" i="6"/>
  <c r="G59" i="6"/>
  <c r="F59" i="6"/>
  <c r="BP82" i="6"/>
  <c r="U82" i="6"/>
  <c r="E82" i="6"/>
  <c r="BJ136" i="6"/>
  <c r="BM136" i="6" s="1"/>
  <c r="BC136" i="6"/>
  <c r="BA136" i="6"/>
  <c r="F136" i="6"/>
  <c r="BV237" i="6"/>
  <c r="BA237" i="6"/>
  <c r="AZ237" i="6"/>
  <c r="W237" i="6" s="1"/>
  <c r="V237" i="6"/>
  <c r="L237" i="6"/>
  <c r="K237" i="6"/>
  <c r="BK253" i="6"/>
  <c r="BS253" i="6"/>
  <c r="Q253" i="6"/>
  <c r="K253" i="6"/>
  <c r="J253" i="6"/>
  <c r="I253" i="6"/>
  <c r="H253" i="6"/>
  <c r="BV253" i="6"/>
  <c r="G253" i="6"/>
  <c r="F253" i="6"/>
  <c r="F15" i="6"/>
  <c r="BD23" i="6"/>
  <c r="BO29" i="6"/>
  <c r="T29" i="6" s="1"/>
  <c r="BC29" i="6"/>
  <c r="F29" i="6"/>
  <c r="AZ29" i="6"/>
  <c r="W29" i="6" s="1"/>
  <c r="BG29" i="6" s="1"/>
  <c r="BS31" i="6"/>
  <c r="D31" i="6"/>
  <c r="B35" i="6"/>
  <c r="D37" i="6"/>
  <c r="BO41" i="6"/>
  <c r="T41" i="6" s="1"/>
  <c r="BD41" i="6"/>
  <c r="H41" i="6"/>
  <c r="BB41" i="6"/>
  <c r="G41" i="6"/>
  <c r="BA41" i="6"/>
  <c r="F41" i="6"/>
  <c r="BH41" i="6"/>
  <c r="BP44" i="6"/>
  <c r="V44" i="6"/>
  <c r="O44" i="6"/>
  <c r="M44" i="6"/>
  <c r="BD44" i="6"/>
  <c r="D59" i="6"/>
  <c r="BO90" i="6"/>
  <c r="BR90" i="6" s="1"/>
  <c r="B90" i="6"/>
  <c r="BJ90" i="6"/>
  <c r="BL90" i="6" s="1"/>
  <c r="A90" i="6"/>
  <c r="BU90" i="6" s="1"/>
  <c r="BH90" i="6"/>
  <c r="U90" i="6"/>
  <c r="Q90" i="6"/>
  <c r="BK92" i="6"/>
  <c r="Q92" i="6"/>
  <c r="L92" i="6"/>
  <c r="K92" i="6"/>
  <c r="H92" i="6"/>
  <c r="G92" i="6"/>
  <c r="AZ107" i="6"/>
  <c r="W107" i="6" s="1"/>
  <c r="K107" i="6"/>
  <c r="I107" i="6"/>
  <c r="H107" i="6"/>
  <c r="BS107" i="6"/>
  <c r="F107" i="6"/>
  <c r="BK107" i="6"/>
  <c r="E107" i="6"/>
  <c r="BO125" i="6"/>
  <c r="BR125" i="6" s="1"/>
  <c r="BS125" i="6"/>
  <c r="B125" i="6"/>
  <c r="BP125" i="6"/>
  <c r="A125" i="6"/>
  <c r="BT125" i="6" s="1"/>
  <c r="BC125" i="6"/>
  <c r="BB125" i="6"/>
  <c r="U125" i="6"/>
  <c r="BA125" i="6"/>
  <c r="BP132" i="6"/>
  <c r="BD132" i="6"/>
  <c r="G132" i="6"/>
  <c r="BC132" i="6"/>
  <c r="F132" i="6"/>
  <c r="BB132" i="6"/>
  <c r="E132" i="6"/>
  <c r="BA132" i="6"/>
  <c r="D132" i="6"/>
  <c r="U132" i="6"/>
  <c r="A132" i="6"/>
  <c r="BK132" i="6"/>
  <c r="BJ132" i="6"/>
  <c r="R132" i="6" s="1"/>
  <c r="BH132" i="6"/>
  <c r="V132" i="6"/>
  <c r="O132" i="6"/>
  <c r="K178" i="6"/>
  <c r="J178" i="6"/>
  <c r="J237" i="6"/>
  <c r="E253" i="6"/>
  <c r="V276" i="6"/>
  <c r="BA276" i="6"/>
  <c r="K276" i="6"/>
  <c r="J276" i="6"/>
  <c r="I276" i="6"/>
  <c r="H276" i="6"/>
  <c r="G276" i="6"/>
  <c r="A276" i="6"/>
  <c r="BO276" i="6"/>
  <c r="BK276" i="6"/>
  <c r="BJ276" i="6"/>
  <c r="BM276" i="6" s="1"/>
  <c r="BH276" i="6"/>
  <c r="H15" i="6"/>
  <c r="BO35" i="6"/>
  <c r="BQ35" i="6" s="1"/>
  <c r="BV35" i="6"/>
  <c r="Q35" i="6"/>
  <c r="A35" i="6"/>
  <c r="AZ35" i="6"/>
  <c r="W35" i="6" s="1"/>
  <c r="BG35" i="6" s="1"/>
  <c r="F37" i="6"/>
  <c r="E59" i="6"/>
  <c r="BO69" i="6"/>
  <c r="T69" i="6" s="1"/>
  <c r="H69" i="6"/>
  <c r="G69" i="6"/>
  <c r="F69" i="6"/>
  <c r="E90" i="6"/>
  <c r="I92" i="6"/>
  <c r="D107" i="6"/>
  <c r="BV115" i="6"/>
  <c r="BH115" i="6"/>
  <c r="H125" i="6"/>
  <c r="H132" i="6"/>
  <c r="BO237" i="6"/>
  <c r="D276" i="6"/>
  <c r="Q279" i="6"/>
  <c r="BB279" i="6"/>
  <c r="AZ279" i="6"/>
  <c r="W279" i="6" s="1"/>
  <c r="N279" i="6" s="1"/>
  <c r="J279" i="6"/>
  <c r="G279" i="6"/>
  <c r="E279" i="6"/>
  <c r="D279" i="6"/>
  <c r="BH279" i="6"/>
  <c r="BD279" i="6"/>
  <c r="BC279" i="6"/>
  <c r="Q13" i="6"/>
  <c r="U15" i="6"/>
  <c r="G23" i="6"/>
  <c r="BS23" i="6"/>
  <c r="E29" i="6"/>
  <c r="BH29" i="6"/>
  <c r="BV31" i="6"/>
  <c r="D35" i="6"/>
  <c r="BA35" i="6"/>
  <c r="J37" i="6"/>
  <c r="E41" i="6"/>
  <c r="BK41" i="6"/>
  <c r="E44" i="6"/>
  <c r="BS44" i="6"/>
  <c r="M59" i="6"/>
  <c r="BP65" i="6"/>
  <c r="BD65" i="6"/>
  <c r="E69" i="6"/>
  <c r="BV78" i="6"/>
  <c r="BJ78" i="6"/>
  <c r="B78" i="6"/>
  <c r="BO86" i="6"/>
  <c r="BQ86" i="6" s="1"/>
  <c r="J90" i="6"/>
  <c r="U92" i="6"/>
  <c r="BB102" i="6"/>
  <c r="BH102" i="6"/>
  <c r="Q102" i="6"/>
  <c r="O102" i="6"/>
  <c r="G102" i="6"/>
  <c r="E102" i="6"/>
  <c r="G107" i="6"/>
  <c r="B116" i="6"/>
  <c r="U116" i="6"/>
  <c r="O116" i="6"/>
  <c r="L125" i="6"/>
  <c r="I132" i="6"/>
  <c r="BU170" i="6"/>
  <c r="BT170" i="6"/>
  <c r="BU234" i="6"/>
  <c r="BT234" i="6"/>
  <c r="BP237" i="6"/>
  <c r="E276" i="6"/>
  <c r="AZ15" i="6"/>
  <c r="W15" i="6" s="1"/>
  <c r="H23" i="6"/>
  <c r="BV23" i="6"/>
  <c r="G29" i="6"/>
  <c r="BJ29" i="6"/>
  <c r="F35" i="6"/>
  <c r="BB35" i="6"/>
  <c r="K37" i="6"/>
  <c r="I41" i="6"/>
  <c r="BM41" i="6"/>
  <c r="G44" i="6"/>
  <c r="Q59" i="6"/>
  <c r="BB62" i="6"/>
  <c r="D65" i="6"/>
  <c r="I69" i="6"/>
  <c r="K90" i="6"/>
  <c r="V92" i="6"/>
  <c r="BS100" i="6"/>
  <c r="BD100" i="6"/>
  <c r="BB100" i="6"/>
  <c r="BA100" i="6"/>
  <c r="U100" i="6"/>
  <c r="L100" i="6"/>
  <c r="J102" i="6"/>
  <c r="L107" i="6"/>
  <c r="BS109" i="6"/>
  <c r="V109" i="6"/>
  <c r="Q116" i="6"/>
  <c r="M125" i="6"/>
  <c r="J132" i="6"/>
  <c r="F276" i="6"/>
  <c r="BH15" i="6"/>
  <c r="I23" i="6"/>
  <c r="H29" i="6"/>
  <c r="BK29" i="6"/>
  <c r="G35" i="6"/>
  <c r="BD35" i="6"/>
  <c r="L37" i="6"/>
  <c r="J41" i="6"/>
  <c r="BS41" i="6"/>
  <c r="H44" i="6"/>
  <c r="BB46" i="6"/>
  <c r="K46" i="6"/>
  <c r="J46" i="6"/>
  <c r="I46" i="6"/>
  <c r="BD59" i="6"/>
  <c r="BH62" i="6"/>
  <c r="M65" i="6"/>
  <c r="Q69" i="6"/>
  <c r="BO71" i="6"/>
  <c r="L71" i="6"/>
  <c r="BV71" i="6"/>
  <c r="K71" i="6"/>
  <c r="BS71" i="6"/>
  <c r="J71" i="6"/>
  <c r="BH71" i="6"/>
  <c r="H71" i="6"/>
  <c r="BD83" i="6"/>
  <c r="L90" i="6"/>
  <c r="AZ92" i="6"/>
  <c r="Q95" i="6"/>
  <c r="BD95" i="6"/>
  <c r="F95" i="6"/>
  <c r="BC95" i="6"/>
  <c r="E95" i="6"/>
  <c r="BB95" i="6"/>
  <c r="D95" i="6"/>
  <c r="AZ95" i="6"/>
  <c r="W95" i="6" s="1"/>
  <c r="A95" i="6"/>
  <c r="BT95" i="6" s="1"/>
  <c r="U95" i="6"/>
  <c r="F100" i="6"/>
  <c r="BK102" i="6"/>
  <c r="O107" i="6"/>
  <c r="BJ116" i="6"/>
  <c r="O125" i="6"/>
  <c r="K132" i="6"/>
  <c r="BK175" i="6"/>
  <c r="BB209" i="6"/>
  <c r="BH238" i="6"/>
  <c r="BD238" i="6"/>
  <c r="BC238" i="6"/>
  <c r="BB238" i="6"/>
  <c r="U238" i="6"/>
  <c r="Q238" i="6"/>
  <c r="O238" i="6"/>
  <c r="F238" i="6"/>
  <c r="K256" i="6"/>
  <c r="BB256" i="6"/>
  <c r="BA256" i="6"/>
  <c r="AZ256" i="6"/>
  <c r="W256" i="6" s="1"/>
  <c r="BB276" i="6"/>
  <c r="D14" i="6"/>
  <c r="BK15" i="6"/>
  <c r="B19" i="6"/>
  <c r="U19" i="6"/>
  <c r="BP21" i="6"/>
  <c r="BS21" i="6"/>
  <c r="H21" i="6"/>
  <c r="BB21" i="6"/>
  <c r="J23" i="6"/>
  <c r="B24" i="6"/>
  <c r="D25" i="6"/>
  <c r="I29" i="6"/>
  <c r="BP29" i="6"/>
  <c r="D33" i="6"/>
  <c r="H35" i="6"/>
  <c r="BH35" i="6"/>
  <c r="M37" i="6"/>
  <c r="K41" i="6"/>
  <c r="J44" i="6"/>
  <c r="L46" i="6"/>
  <c r="BH59" i="6"/>
  <c r="BS62" i="6"/>
  <c r="Q65" i="6"/>
  <c r="U69" i="6"/>
  <c r="F71" i="6"/>
  <c r="BH83" i="6"/>
  <c r="M90" i="6"/>
  <c r="BA92" i="6"/>
  <c r="G95" i="6"/>
  <c r="BO96" i="6"/>
  <c r="G100" i="6"/>
  <c r="BO102" i="6"/>
  <c r="BQ102" i="6" s="1"/>
  <c r="V106" i="6"/>
  <c r="J106" i="6"/>
  <c r="E106" i="6"/>
  <c r="Q107" i="6"/>
  <c r="BK116" i="6"/>
  <c r="Q125" i="6"/>
  <c r="BC130" i="6"/>
  <c r="V130" i="6"/>
  <c r="U130" i="6"/>
  <c r="Q130" i="6"/>
  <c r="K130" i="6"/>
  <c r="BV130" i="6"/>
  <c r="BS130" i="6"/>
  <c r="BJ130" i="6"/>
  <c r="BM130" i="6" s="1"/>
  <c r="BD130" i="6"/>
  <c r="M132" i="6"/>
  <c r="BV139" i="6"/>
  <c r="BS139" i="6"/>
  <c r="BP139" i="6"/>
  <c r="BO139" i="6"/>
  <c r="BQ139" i="6" s="1"/>
  <c r="Q139" i="6"/>
  <c r="J139" i="6"/>
  <c r="BP176" i="6"/>
  <c r="BV176" i="6"/>
  <c r="J176" i="6"/>
  <c r="BS176" i="6"/>
  <c r="I176" i="6"/>
  <c r="BK176" i="6"/>
  <c r="H176" i="6"/>
  <c r="BJ176" i="6"/>
  <c r="G176" i="6"/>
  <c r="BH176" i="6"/>
  <c r="F176" i="6"/>
  <c r="BA176" i="6"/>
  <c r="E176" i="6"/>
  <c r="AZ176" i="6"/>
  <c r="W176" i="6" s="1"/>
  <c r="Q176" i="6"/>
  <c r="M176" i="6"/>
  <c r="B204" i="6"/>
  <c r="BC209" i="6"/>
  <c r="BC276" i="6"/>
  <c r="F14" i="6"/>
  <c r="AZ19" i="6"/>
  <c r="W19" i="6" s="1"/>
  <c r="K23" i="6"/>
  <c r="BP25" i="6"/>
  <c r="J29" i="6"/>
  <c r="BV29" i="6"/>
  <c r="G33" i="6"/>
  <c r="I35" i="6"/>
  <c r="BJ35" i="6"/>
  <c r="AZ37" i="6"/>
  <c r="L41" i="6"/>
  <c r="K44" i="6"/>
  <c r="O46" i="6"/>
  <c r="D49" i="6"/>
  <c r="BJ59" i="6"/>
  <c r="BM59" i="6" s="1"/>
  <c r="U65" i="6"/>
  <c r="V69" i="6"/>
  <c r="G71" i="6"/>
  <c r="BJ83" i="6"/>
  <c r="BL83" i="6" s="1"/>
  <c r="BD90" i="6"/>
  <c r="BO92" i="6"/>
  <c r="BQ92" i="6" s="1"/>
  <c r="H95" i="6"/>
  <c r="BK97" i="6"/>
  <c r="BJ97" i="6"/>
  <c r="BL97" i="6" s="1"/>
  <c r="D97" i="6"/>
  <c r="A97" i="6"/>
  <c r="BT97" i="6" s="1"/>
  <c r="J100" i="6"/>
  <c r="D106" i="6"/>
  <c r="BA107" i="6"/>
  <c r="F130" i="6"/>
  <c r="H139" i="6"/>
  <c r="K176" i="6"/>
  <c r="BD209" i="6"/>
  <c r="BO258" i="6"/>
  <c r="T258" i="6" s="1"/>
  <c r="BK258" i="6"/>
  <c r="A258" i="6"/>
  <c r="BU258" i="6" s="1"/>
  <c r="BJ258" i="6"/>
  <c r="BM258" i="6" s="1"/>
  <c r="BH258" i="6"/>
  <c r="BD258" i="6"/>
  <c r="Q258" i="6"/>
  <c r="M258" i="6"/>
  <c r="BP258" i="6"/>
  <c r="L258" i="6"/>
  <c r="K258" i="6"/>
  <c r="J258" i="6"/>
  <c r="BS271" i="6"/>
  <c r="A271" i="6"/>
  <c r="D19" i="6"/>
  <c r="BA19" i="6"/>
  <c r="E21" i="6"/>
  <c r="BD21" i="6"/>
  <c r="M23" i="6"/>
  <c r="H24" i="6"/>
  <c r="A26" i="6"/>
  <c r="BP26" i="6"/>
  <c r="K29" i="6"/>
  <c r="A30" i="6"/>
  <c r="A34" i="6"/>
  <c r="J35" i="6"/>
  <c r="BK35" i="6"/>
  <c r="BO37" i="6"/>
  <c r="BR37" i="6" s="1"/>
  <c r="M41" i="6"/>
  <c r="BV41" i="6"/>
  <c r="L44" i="6"/>
  <c r="Q46" i="6"/>
  <c r="Q49" i="6"/>
  <c r="BK59" i="6"/>
  <c r="V65" i="6"/>
  <c r="BA69" i="6"/>
  <c r="I71" i="6"/>
  <c r="B80" i="6"/>
  <c r="U84" i="6"/>
  <c r="Q84" i="6"/>
  <c r="J84" i="6"/>
  <c r="BS92" i="6"/>
  <c r="I95" i="6"/>
  <c r="K100" i="6"/>
  <c r="BH103" i="6"/>
  <c r="L106" i="6"/>
  <c r="BD107" i="6"/>
  <c r="BU122" i="6"/>
  <c r="G130" i="6"/>
  <c r="BV132" i="6"/>
  <c r="I139" i="6"/>
  <c r="BJ172" i="6"/>
  <c r="BM172" i="6" s="1"/>
  <c r="A172" i="6"/>
  <c r="BT172" i="6" s="1"/>
  <c r="BD172" i="6"/>
  <c r="BC172" i="6"/>
  <c r="BB172" i="6"/>
  <c r="L176" i="6"/>
  <c r="BH188" i="6"/>
  <c r="V188" i="6"/>
  <c r="U188" i="6"/>
  <c r="M188" i="6"/>
  <c r="L188" i="6"/>
  <c r="K188" i="6"/>
  <c r="BV188" i="6"/>
  <c r="BU205" i="6"/>
  <c r="BT205" i="6"/>
  <c r="BC229" i="6"/>
  <c r="A229" i="6"/>
  <c r="H258" i="6"/>
  <c r="BO12" i="6"/>
  <c r="BB14" i="6"/>
  <c r="H17" i="6"/>
  <c r="G19" i="6"/>
  <c r="BB19" i="6"/>
  <c r="F21" i="6"/>
  <c r="BK21" i="6"/>
  <c r="V23" i="6"/>
  <c r="M24" i="6"/>
  <c r="L29" i="6"/>
  <c r="K35" i="6"/>
  <c r="BP37" i="6"/>
  <c r="Q41" i="6"/>
  <c r="BH42" i="6"/>
  <c r="BJ42" i="6"/>
  <c r="BL42" i="6" s="1"/>
  <c r="AZ44" i="6"/>
  <c r="W44" i="6" s="1"/>
  <c r="BG44" i="6" s="1"/>
  <c r="BC46" i="6"/>
  <c r="U49" i="6"/>
  <c r="BJ69" i="6"/>
  <c r="BM69" i="6" s="1"/>
  <c r="M71" i="6"/>
  <c r="V84" i="6"/>
  <c r="BD91" i="6"/>
  <c r="Q93" i="6"/>
  <c r="O93" i="6"/>
  <c r="G93" i="6"/>
  <c r="B93" i="6"/>
  <c r="A93" i="6"/>
  <c r="BT93" i="6" s="1"/>
  <c r="K95" i="6"/>
  <c r="AZ100" i="6"/>
  <c r="W100" i="6" s="1"/>
  <c r="BF100" i="6" s="1"/>
  <c r="BO103" i="6"/>
  <c r="AZ106" i="6"/>
  <c r="W106" i="6" s="1"/>
  <c r="BH107" i="6"/>
  <c r="O113" i="6"/>
  <c r="A113" i="6"/>
  <c r="BU113" i="6" s="1"/>
  <c r="BK113" i="6"/>
  <c r="BH113" i="6"/>
  <c r="I130" i="6"/>
  <c r="M172" i="6"/>
  <c r="H188" i="6"/>
  <c r="I258" i="6"/>
  <c r="BA306" i="6"/>
  <c r="AZ306" i="6"/>
  <c r="W306" i="6" s="1"/>
  <c r="O306" i="6"/>
  <c r="M306" i="6"/>
  <c r="L306" i="6"/>
  <c r="K306" i="6"/>
  <c r="A306" i="6"/>
  <c r="BV306" i="6"/>
  <c r="BJ306" i="6"/>
  <c r="BL306" i="6" s="1"/>
  <c r="BH306" i="6"/>
  <c r="BC306" i="6"/>
  <c r="BB306" i="6"/>
  <c r="BC14" i="6"/>
  <c r="I17" i="6"/>
  <c r="H19" i="6"/>
  <c r="BC19" i="6"/>
  <c r="G21" i="6"/>
  <c r="BT21" i="6"/>
  <c r="AZ23" i="6"/>
  <c r="W23" i="6" s="1"/>
  <c r="BF23" i="6" s="1"/>
  <c r="O24" i="6"/>
  <c r="BO26" i="6"/>
  <c r="BQ26" i="6" s="1"/>
  <c r="BA26" i="6"/>
  <c r="Q28" i="6"/>
  <c r="Q29" i="6"/>
  <c r="E30" i="6"/>
  <c r="D34" i="6"/>
  <c r="L35" i="6"/>
  <c r="U41" i="6"/>
  <c r="BA44" i="6"/>
  <c r="BD46" i="6"/>
  <c r="V49" i="6"/>
  <c r="U60" i="6"/>
  <c r="J60" i="6"/>
  <c r="H60" i="6"/>
  <c r="BH70" i="6"/>
  <c r="U70" i="6"/>
  <c r="G70" i="6"/>
  <c r="V71" i="6"/>
  <c r="BO77" i="6"/>
  <c r="BR77" i="6" s="1"/>
  <c r="BD77" i="6"/>
  <c r="H77" i="6"/>
  <c r="BB77" i="6"/>
  <c r="G77" i="6"/>
  <c r="BA77" i="6"/>
  <c r="F77" i="6"/>
  <c r="W77" i="6"/>
  <c r="D77" i="6"/>
  <c r="BK77" i="6"/>
  <c r="BH80" i="6"/>
  <c r="AZ84" i="6"/>
  <c r="W84" i="6" s="1"/>
  <c r="BG84" i="6" s="1"/>
  <c r="BH91" i="6"/>
  <c r="T93" i="6"/>
  <c r="L95" i="6"/>
  <c r="BB99" i="6"/>
  <c r="BV99" i="6"/>
  <c r="BS99" i="6"/>
  <c r="BP99" i="6"/>
  <c r="BA99" i="6"/>
  <c r="AZ99" i="6"/>
  <c r="BP100" i="6"/>
  <c r="BS103" i="6"/>
  <c r="BA106" i="6"/>
  <c r="BJ108" i="6"/>
  <c r="BM108" i="6" s="1"/>
  <c r="M108" i="6"/>
  <c r="K108" i="6"/>
  <c r="J108" i="6"/>
  <c r="E113" i="6"/>
  <c r="J130" i="6"/>
  <c r="E140" i="6"/>
  <c r="A140" i="6"/>
  <c r="BB140" i="6"/>
  <c r="AZ140" i="6"/>
  <c r="W140" i="6" s="1"/>
  <c r="BF140" i="6" s="1"/>
  <c r="M140" i="6"/>
  <c r="BO160" i="6"/>
  <c r="BK160" i="6"/>
  <c r="BD168" i="6"/>
  <c r="BJ168" i="6"/>
  <c r="BH168" i="6"/>
  <c r="O168" i="6"/>
  <c r="M168" i="6"/>
  <c r="K168" i="6"/>
  <c r="J168" i="6"/>
  <c r="B168" i="6"/>
  <c r="A168" i="6"/>
  <c r="BU168" i="6" s="1"/>
  <c r="O172" i="6"/>
  <c r="I188" i="6"/>
  <c r="BV201" i="6"/>
  <c r="J201" i="6"/>
  <c r="I201" i="6"/>
  <c r="BH232" i="6"/>
  <c r="B232" i="6"/>
  <c r="BA232" i="6"/>
  <c r="A232" i="6"/>
  <c r="AZ232" i="6"/>
  <c r="U232" i="6"/>
  <c r="O232" i="6"/>
  <c r="M232" i="6"/>
  <c r="BS232" i="6"/>
  <c r="BP232" i="6"/>
  <c r="BO232" i="6"/>
  <c r="BR232" i="6" s="1"/>
  <c r="L232" i="6"/>
  <c r="I232" i="6"/>
  <c r="H232" i="6"/>
  <c r="H306" i="6"/>
  <c r="F12" i="6"/>
  <c r="BV12" i="6"/>
  <c r="V12" i="6" s="1"/>
  <c r="BO14" i="6"/>
  <c r="BQ14" i="6" s="1"/>
  <c r="J17" i="6"/>
  <c r="I19" i="6"/>
  <c r="BD19" i="6"/>
  <c r="I21" i="6"/>
  <c r="BA23" i="6"/>
  <c r="U24" i="6"/>
  <c r="D26" i="6"/>
  <c r="BA28" i="6"/>
  <c r="U29" i="6"/>
  <c r="BC30" i="6"/>
  <c r="M35" i="6"/>
  <c r="A41" i="6"/>
  <c r="V41" i="6"/>
  <c r="BB44" i="6"/>
  <c r="BJ46" i="6"/>
  <c r="BL46" i="6" s="1"/>
  <c r="BK49" i="6"/>
  <c r="D51" i="6"/>
  <c r="BD56" i="6"/>
  <c r="BK56" i="6"/>
  <c r="BH56" i="6"/>
  <c r="BF56" i="6"/>
  <c r="A59" i="6"/>
  <c r="BU59" i="6" s="1"/>
  <c r="G60" i="6"/>
  <c r="BJ67" i="6"/>
  <c r="BL67" i="6" s="1"/>
  <c r="BD67" i="6"/>
  <c r="BC67" i="6"/>
  <c r="D70" i="6"/>
  <c r="W71" i="6"/>
  <c r="BE71" i="6" s="1"/>
  <c r="E77" i="6"/>
  <c r="BS77" i="6"/>
  <c r="H81" i="6"/>
  <c r="U81" i="6"/>
  <c r="BD84" i="6"/>
  <c r="BH89" i="6"/>
  <c r="BO89" i="6"/>
  <c r="BR89" i="6" s="1"/>
  <c r="BJ89" i="6"/>
  <c r="H89" i="6"/>
  <c r="AZ93" i="6"/>
  <c r="W93" i="6" s="1"/>
  <c r="M95" i="6"/>
  <c r="M99" i="6"/>
  <c r="BO106" i="6"/>
  <c r="BR106" i="6" s="1"/>
  <c r="O108" i="6"/>
  <c r="Q113" i="6"/>
  <c r="BV121" i="6"/>
  <c r="BA121" i="6"/>
  <c r="Q121" i="6"/>
  <c r="O121" i="6"/>
  <c r="BS121" i="6"/>
  <c r="L121" i="6"/>
  <c r="BD121" i="6"/>
  <c r="BC121" i="6"/>
  <c r="M121" i="6"/>
  <c r="I121" i="6"/>
  <c r="H121" i="6"/>
  <c r="G121" i="6"/>
  <c r="B128" i="6"/>
  <c r="A128" i="6"/>
  <c r="BO128" i="6"/>
  <c r="BR128" i="6" s="1"/>
  <c r="BA128" i="6"/>
  <c r="BB128" i="6"/>
  <c r="U128" i="6"/>
  <c r="O128" i="6"/>
  <c r="L130" i="6"/>
  <c r="BK168" i="6"/>
  <c r="BA172" i="6"/>
  <c r="J188" i="6"/>
  <c r="BH226" i="6"/>
  <c r="O226" i="6"/>
  <c r="M226" i="6"/>
  <c r="L226" i="6"/>
  <c r="H226" i="6"/>
  <c r="G226" i="6"/>
  <c r="E226" i="6"/>
  <c r="A226" i="6"/>
  <c r="BU226" i="6" s="1"/>
  <c r="BS226" i="6"/>
  <c r="BP226" i="6"/>
  <c r="E232" i="6"/>
  <c r="J267" i="6"/>
  <c r="BP267" i="6"/>
  <c r="BO267" i="6"/>
  <c r="BQ267" i="6" s="1"/>
  <c r="BC267" i="6"/>
  <c r="BB267" i="6"/>
  <c r="AZ267" i="6"/>
  <c r="W267" i="6" s="1"/>
  <c r="V267" i="6"/>
  <c r="I306" i="6"/>
  <c r="A117" i="6"/>
  <c r="A154" i="6"/>
  <c r="BT154" i="6" s="1"/>
  <c r="BP170" i="6"/>
  <c r="K170" i="6"/>
  <c r="J170" i="6"/>
  <c r="I170" i="6"/>
  <c r="BS170" i="6"/>
  <c r="H170" i="6"/>
  <c r="BK170" i="6"/>
  <c r="G170" i="6"/>
  <c r="BJ170" i="6"/>
  <c r="F170" i="6"/>
  <c r="BH224" i="6"/>
  <c r="BD224" i="6"/>
  <c r="BC224" i="6"/>
  <c r="BA224" i="6"/>
  <c r="AZ224" i="6"/>
  <c r="U224" i="6"/>
  <c r="L273" i="6"/>
  <c r="BV273" i="6"/>
  <c r="BH273" i="6"/>
  <c r="BD273" i="6"/>
  <c r="BV293" i="6"/>
  <c r="BA293" i="6"/>
  <c r="Q293" i="6"/>
  <c r="BC300" i="6"/>
  <c r="BV300" i="6"/>
  <c r="BJ300" i="6"/>
  <c r="BC123" i="6"/>
  <c r="BA123" i="6"/>
  <c r="U123" i="6"/>
  <c r="A126" i="6"/>
  <c r="BD156" i="6"/>
  <c r="BC156" i="6"/>
  <c r="BB156" i="6"/>
  <c r="BA156" i="6"/>
  <c r="L170" i="6"/>
  <c r="BV189" i="6"/>
  <c r="BS189" i="6"/>
  <c r="BO189" i="6"/>
  <c r="T189" i="6" s="1"/>
  <c r="O198" i="6"/>
  <c r="BV203" i="6"/>
  <c r="BB203" i="6"/>
  <c r="BA203" i="6"/>
  <c r="AZ203" i="6"/>
  <c r="W203" i="6" s="1"/>
  <c r="BG203" i="6" s="1"/>
  <c r="M203" i="6"/>
  <c r="L203" i="6"/>
  <c r="K203" i="6"/>
  <c r="Q206" i="6"/>
  <c r="Q224" i="6"/>
  <c r="AZ262" i="6"/>
  <c r="W262" i="6" s="1"/>
  <c r="L262" i="6"/>
  <c r="K262" i="6"/>
  <c r="J262" i="6"/>
  <c r="I262" i="6"/>
  <c r="G262" i="6"/>
  <c r="F262" i="6"/>
  <c r="D273" i="6"/>
  <c r="F300" i="6"/>
  <c r="H304" i="6"/>
  <c r="BH117" i="6"/>
  <c r="BK117" i="6"/>
  <c r="AZ154" i="6"/>
  <c r="W154" i="6" s="1"/>
  <c r="Q154" i="6"/>
  <c r="BS154" i="6"/>
  <c r="O154" i="6"/>
  <c r="BP154" i="6"/>
  <c r="M154" i="6"/>
  <c r="BO154" i="6"/>
  <c r="BQ154" i="6" s="1"/>
  <c r="L154" i="6"/>
  <c r="BK154" i="6"/>
  <c r="K154" i="6"/>
  <c r="BJ154" i="6"/>
  <c r="J154" i="6"/>
  <c r="BT196" i="6"/>
  <c r="BU196" i="6"/>
  <c r="U198" i="6"/>
  <c r="BA249" i="6"/>
  <c r="AZ249" i="6"/>
  <c r="W249" i="6" s="1"/>
  <c r="V249" i="6"/>
  <c r="U249" i="6"/>
  <c r="D249" i="6"/>
  <c r="BC273" i="6"/>
  <c r="G300" i="6"/>
  <c r="BC304" i="6"/>
  <c r="BH47" i="6"/>
  <c r="A50" i="6"/>
  <c r="BU50" i="6" s="1"/>
  <c r="BP50" i="6"/>
  <c r="A54" i="6"/>
  <c r="B75" i="6"/>
  <c r="J87" i="6"/>
  <c r="J105" i="6"/>
  <c r="BP114" i="6"/>
  <c r="D117" i="6"/>
  <c r="Q123" i="6"/>
  <c r="BC126" i="6"/>
  <c r="G154" i="6"/>
  <c r="I156" i="6"/>
  <c r="A162" i="6"/>
  <c r="BV162" i="6"/>
  <c r="Q170" i="6"/>
  <c r="BS185" i="6"/>
  <c r="BP185" i="6"/>
  <c r="BK185" i="6"/>
  <c r="BD185" i="6"/>
  <c r="BB185" i="6"/>
  <c r="BA185" i="6"/>
  <c r="V189" i="6"/>
  <c r="BH196" i="6"/>
  <c r="M196" i="6"/>
  <c r="L196" i="6"/>
  <c r="K196" i="6"/>
  <c r="J196" i="6"/>
  <c r="BV196" i="6"/>
  <c r="I196" i="6"/>
  <c r="E196" i="6"/>
  <c r="BA198" i="6"/>
  <c r="BD203" i="6"/>
  <c r="BH206" i="6"/>
  <c r="BC221" i="6"/>
  <c r="BD225" i="6"/>
  <c r="E262" i="6"/>
  <c r="BO264" i="6"/>
  <c r="BR264" i="6" s="1"/>
  <c r="BB264" i="6"/>
  <c r="BD290" i="6"/>
  <c r="BH300" i="6"/>
  <c r="BH304" i="6"/>
  <c r="BS50" i="6"/>
  <c r="Q87" i="6"/>
  <c r="L105" i="6"/>
  <c r="D114" i="6"/>
  <c r="BS114" i="6"/>
  <c r="BJ117" i="6"/>
  <c r="V123" i="6"/>
  <c r="BS127" i="6"/>
  <c r="BP127" i="6"/>
  <c r="BC127" i="6"/>
  <c r="I154" i="6"/>
  <c r="U156" i="6"/>
  <c r="V162" i="6"/>
  <c r="BA166" i="6"/>
  <c r="O166" i="6"/>
  <c r="M166" i="6"/>
  <c r="L166" i="6"/>
  <c r="BV166" i="6"/>
  <c r="K166" i="6"/>
  <c r="BP166" i="6"/>
  <c r="J166" i="6"/>
  <c r="BO166" i="6"/>
  <c r="BQ166" i="6" s="1"/>
  <c r="I166" i="6"/>
  <c r="AZ170" i="6"/>
  <c r="W170" i="6" s="1"/>
  <c r="BG170" i="6" s="1"/>
  <c r="BI170" i="6" s="1"/>
  <c r="B174" i="6"/>
  <c r="A174" i="6"/>
  <c r="BT174" i="6" s="1"/>
  <c r="BO180" i="6"/>
  <c r="BQ180" i="6" s="1"/>
  <c r="BD180" i="6"/>
  <c r="BH184" i="6"/>
  <c r="BJ184" i="6"/>
  <c r="BM184" i="6" s="1"/>
  <c r="A184" i="6"/>
  <c r="BB184" i="6"/>
  <c r="V184" i="6"/>
  <c r="U184" i="6"/>
  <c r="Q184" i="6"/>
  <c r="M184" i="6"/>
  <c r="Q196" i="6"/>
  <c r="BB198" i="6"/>
  <c r="BK203" i="6"/>
  <c r="B213" i="6"/>
  <c r="A213" i="6"/>
  <c r="E250" i="6"/>
  <c r="BD250" i="6"/>
  <c r="BC250" i="6"/>
  <c r="BB250" i="6"/>
  <c r="AZ250" i="6"/>
  <c r="BA262" i="6"/>
  <c r="H264" i="6"/>
  <c r="BS269" i="6"/>
  <c r="Q269" i="6"/>
  <c r="O269" i="6"/>
  <c r="U280" i="6"/>
  <c r="L305" i="6"/>
  <c r="BV305" i="6"/>
  <c r="BS305" i="6"/>
  <c r="BH305" i="6"/>
  <c r="BC305" i="6"/>
  <c r="Q305" i="6"/>
  <c r="O305" i="6"/>
  <c r="M39" i="6"/>
  <c r="E47" i="6"/>
  <c r="BV47" i="6"/>
  <c r="E50" i="6"/>
  <c r="BJ76" i="6"/>
  <c r="R76" i="6" s="1"/>
  <c r="U105" i="6"/>
  <c r="G114" i="6"/>
  <c r="BV114" i="6"/>
  <c r="AZ127" i="6"/>
  <c r="L131" i="6"/>
  <c r="U154" i="6"/>
  <c r="V156" i="6"/>
  <c r="BA162" i="6"/>
  <c r="G166" i="6"/>
  <c r="BA170" i="6"/>
  <c r="BD174" i="6"/>
  <c r="U177" i="6"/>
  <c r="BC180" i="6"/>
  <c r="E184" i="6"/>
  <c r="U196" i="6"/>
  <c r="BC198" i="6"/>
  <c r="BP203" i="6"/>
  <c r="AZ213" i="6"/>
  <c r="BS222" i="6"/>
  <c r="BA222" i="6"/>
  <c r="AZ222" i="6"/>
  <c r="W222" i="6" s="1"/>
  <c r="BJ247" i="6"/>
  <c r="R247" i="6" s="1"/>
  <c r="BH247" i="6"/>
  <c r="BC247" i="6"/>
  <c r="M247" i="6"/>
  <c r="L247" i="6"/>
  <c r="K250" i="6"/>
  <c r="BC254" i="6"/>
  <c r="B259" i="6"/>
  <c r="BJ259" i="6"/>
  <c r="BM259" i="6" s="1"/>
  <c r="BH259" i="6"/>
  <c r="BB262" i="6"/>
  <c r="D269" i="6"/>
  <c r="V280" i="6"/>
  <c r="V291" i="6"/>
  <c r="BH291" i="6"/>
  <c r="BD291" i="6"/>
  <c r="W122" i="6"/>
  <c r="BB134" i="6"/>
  <c r="BK145" i="6"/>
  <c r="BH147" i="6"/>
  <c r="BA148" i="6"/>
  <c r="A151" i="6"/>
  <c r="BU151" i="6" s="1"/>
  <c r="BE152" i="6"/>
  <c r="A161" i="6"/>
  <c r="BJ182" i="6"/>
  <c r="R182" i="6" s="1"/>
  <c r="V200" i="6"/>
  <c r="B205" i="6"/>
  <c r="BJ231" i="6"/>
  <c r="R231" i="6" s="1"/>
  <c r="A235" i="6"/>
  <c r="BU235" i="6" s="1"/>
  <c r="BS235" i="6"/>
  <c r="BJ241" i="6"/>
  <c r="R241" i="6" s="1"/>
  <c r="A243" i="6"/>
  <c r="BT243" i="6" s="1"/>
  <c r="A263" i="6"/>
  <c r="A281" i="6"/>
  <c r="BC288" i="6"/>
  <c r="BP302" i="6"/>
  <c r="BV235" i="6"/>
  <c r="BP288" i="6"/>
  <c r="BO307" i="6"/>
  <c r="B122" i="6"/>
  <c r="BA122" i="6"/>
  <c r="BQ134" i="6"/>
  <c r="B137" i="6"/>
  <c r="BO142" i="6"/>
  <c r="BS147" i="6"/>
  <c r="F151" i="6"/>
  <c r="I152" i="6"/>
  <c r="BK152" i="6"/>
  <c r="BC161" i="6"/>
  <c r="B173" i="6"/>
  <c r="A179" i="6"/>
  <c r="BS182" i="6"/>
  <c r="K193" i="6"/>
  <c r="E200" i="6"/>
  <c r="AZ200" i="6"/>
  <c r="W200" i="6" s="1"/>
  <c r="BH205" i="6"/>
  <c r="O207" i="6"/>
  <c r="Q228" i="6"/>
  <c r="G235" i="6"/>
  <c r="K263" i="6"/>
  <c r="H278" i="6"/>
  <c r="D281" i="6"/>
  <c r="BS288" i="6"/>
  <c r="J302" i="6"/>
  <c r="BC122" i="6"/>
  <c r="F134" i="6"/>
  <c r="BS134" i="6"/>
  <c r="A148" i="6"/>
  <c r="O149" i="6"/>
  <c r="G151" i="6"/>
  <c r="J152" i="6"/>
  <c r="BL152" i="6"/>
  <c r="BS161" i="6"/>
  <c r="A167" i="6"/>
  <c r="A182" i="6"/>
  <c r="BV182" i="6"/>
  <c r="A190" i="6"/>
  <c r="O193" i="6"/>
  <c r="O195" i="6"/>
  <c r="B197" i="6"/>
  <c r="F200" i="6"/>
  <c r="BA200" i="6"/>
  <c r="A202" i="6"/>
  <c r="BT202" i="6" s="1"/>
  <c r="BA207" i="6"/>
  <c r="A223" i="6"/>
  <c r="U228" i="6"/>
  <c r="G231" i="6"/>
  <c r="BS231" i="6"/>
  <c r="M234" i="6"/>
  <c r="I235" i="6"/>
  <c r="AZ236" i="6"/>
  <c r="J241" i="6"/>
  <c r="O243" i="6"/>
  <c r="BA245" i="6"/>
  <c r="AZ260" i="6"/>
  <c r="W260" i="6" s="1"/>
  <c r="L263" i="6"/>
  <c r="I278" i="6"/>
  <c r="Q281" i="6"/>
  <c r="E288" i="6"/>
  <c r="BV288" i="6"/>
  <c r="I292" i="6"/>
  <c r="E299" i="6"/>
  <c r="K302" i="6"/>
  <c r="M303" i="6"/>
  <c r="U120" i="6"/>
  <c r="F122" i="6"/>
  <c r="BB129" i="6"/>
  <c r="I134" i="6"/>
  <c r="B147" i="6"/>
  <c r="BH149" i="6"/>
  <c r="I151" i="6"/>
  <c r="K152" i="6"/>
  <c r="BO152" i="6"/>
  <c r="BQ152" i="6" s="1"/>
  <c r="D165" i="6"/>
  <c r="B190" i="6"/>
  <c r="Q193" i="6"/>
  <c r="U195" i="6"/>
  <c r="G200" i="6"/>
  <c r="BK207" i="6"/>
  <c r="BJ228" i="6"/>
  <c r="K231" i="6"/>
  <c r="Q234" i="6"/>
  <c r="J235" i="6"/>
  <c r="BA236" i="6"/>
  <c r="K241" i="6"/>
  <c r="G242" i="6"/>
  <c r="Q243" i="6"/>
  <c r="D252" i="6"/>
  <c r="BB260" i="6"/>
  <c r="M263" i="6"/>
  <c r="O266" i="6"/>
  <c r="BJ274" i="6"/>
  <c r="K278" i="6"/>
  <c r="AZ281" i="6"/>
  <c r="W281" i="6" s="1"/>
  <c r="J288" i="6"/>
  <c r="L292" i="6"/>
  <c r="A295" i="6"/>
  <c r="I297" i="6"/>
  <c r="H299" i="6"/>
  <c r="L302" i="6"/>
  <c r="O303" i="6"/>
  <c r="BE308" i="6"/>
  <c r="BR308" i="6"/>
  <c r="O151" i="6"/>
  <c r="L165" i="6"/>
  <c r="BA167" i="6"/>
  <c r="BO179" i="6"/>
  <c r="V195" i="6"/>
  <c r="H200" i="6"/>
  <c r="BB202" i="6"/>
  <c r="U223" i="6"/>
  <c r="BK228" i="6"/>
  <c r="L231" i="6"/>
  <c r="L235" i="6"/>
  <c r="L241" i="6"/>
  <c r="H242" i="6"/>
  <c r="K252" i="6"/>
  <c r="O263" i="6"/>
  <c r="Q266" i="6"/>
  <c r="L278" i="6"/>
  <c r="BC281" i="6"/>
  <c r="K288" i="6"/>
  <c r="M292" i="6"/>
  <c r="K297" i="6"/>
  <c r="Q301" i="6"/>
  <c r="M302" i="6"/>
  <c r="BA303" i="6"/>
  <c r="L308" i="6"/>
  <c r="BS308" i="6"/>
  <c r="B28" i="3"/>
  <c r="B86" i="3"/>
  <c r="B134" i="3"/>
  <c r="B182" i="3"/>
  <c r="B230" i="3"/>
  <c r="B278" i="3"/>
  <c r="I55" i="3"/>
  <c r="I59" i="3"/>
  <c r="I103" i="3"/>
  <c r="I107" i="3"/>
  <c r="I151" i="3"/>
  <c r="I155" i="3"/>
  <c r="I199" i="3"/>
  <c r="I203" i="3"/>
  <c r="I247" i="3"/>
  <c r="I251" i="3"/>
  <c r="B16" i="3"/>
  <c r="B24" i="3"/>
  <c r="C39" i="3"/>
  <c r="B55" i="3"/>
  <c r="B81" i="3"/>
  <c r="B103" i="3"/>
  <c r="B129" i="3"/>
  <c r="B151" i="3"/>
  <c r="B177" i="3"/>
  <c r="B199" i="3"/>
  <c r="B225" i="3"/>
  <c r="B247" i="3"/>
  <c r="B273" i="3"/>
  <c r="B301" i="3"/>
  <c r="I29" i="3"/>
  <c r="C55" i="3"/>
  <c r="F81" i="3"/>
  <c r="C103" i="3"/>
  <c r="F129" i="3"/>
  <c r="C151" i="3"/>
  <c r="F177" i="3"/>
  <c r="C199" i="3"/>
  <c r="F225" i="3"/>
  <c r="C247" i="3"/>
  <c r="F273" i="3"/>
  <c r="C301" i="3"/>
  <c r="F55" i="3"/>
  <c r="H81" i="3"/>
  <c r="F103" i="3"/>
  <c r="H129" i="3"/>
  <c r="F151" i="3"/>
  <c r="H177" i="3"/>
  <c r="F199" i="3"/>
  <c r="H225" i="3"/>
  <c r="F247" i="3"/>
  <c r="H273" i="3"/>
  <c r="F301" i="3"/>
  <c r="B26" i="3"/>
  <c r="B31" i="3"/>
  <c r="C51" i="3"/>
  <c r="B72" i="3"/>
  <c r="B88" i="3"/>
  <c r="B120" i="3"/>
  <c r="B136" i="3"/>
  <c r="B168" i="3"/>
  <c r="B184" i="3"/>
  <c r="B216" i="3"/>
  <c r="B232" i="3"/>
  <c r="B264" i="3"/>
  <c r="B280" i="3"/>
  <c r="H21" i="3"/>
  <c r="C26" i="3"/>
  <c r="C31" i="3"/>
  <c r="B36" i="3"/>
  <c r="B62" i="3"/>
  <c r="F67" i="3"/>
  <c r="H93" i="3"/>
  <c r="B110" i="3"/>
  <c r="H141" i="3"/>
  <c r="B158" i="3"/>
  <c r="H189" i="3"/>
  <c r="B206" i="3"/>
  <c r="H237" i="3"/>
  <c r="B254" i="3"/>
  <c r="H285" i="3"/>
  <c r="B302" i="3"/>
  <c r="I81" i="3"/>
  <c r="I129" i="3"/>
  <c r="I177" i="3"/>
  <c r="I225" i="3"/>
  <c r="I273" i="3"/>
  <c r="I21" i="3"/>
  <c r="F31" i="3"/>
  <c r="BV9" i="6"/>
  <c r="V9" i="6" s="1"/>
  <c r="B9" i="3"/>
  <c r="B14" i="3"/>
  <c r="B52" i="3"/>
  <c r="F57" i="3"/>
  <c r="C79" i="3"/>
  <c r="B84" i="3"/>
  <c r="B100" i="3"/>
  <c r="F105" i="3"/>
  <c r="C127" i="3"/>
  <c r="B132" i="3"/>
  <c r="B148" i="3"/>
  <c r="F153" i="3"/>
  <c r="C175" i="3"/>
  <c r="B180" i="3"/>
  <c r="B196" i="3"/>
  <c r="F201" i="3"/>
  <c r="C223" i="3"/>
  <c r="B228" i="3"/>
  <c r="B244" i="3"/>
  <c r="F249" i="3"/>
  <c r="C271" i="3"/>
  <c r="B276" i="3"/>
  <c r="B293" i="3"/>
  <c r="C298" i="3"/>
  <c r="F9" i="3"/>
  <c r="H9" i="3" s="1"/>
  <c r="C14" i="3"/>
  <c r="B19" i="3"/>
  <c r="B22" i="3"/>
  <c r="C27" i="3"/>
  <c r="B43" i="3"/>
  <c r="H57" i="3"/>
  <c r="B74" i="3"/>
  <c r="F79" i="3"/>
  <c r="H105" i="3"/>
  <c r="B122" i="3"/>
  <c r="F127" i="3"/>
  <c r="H153" i="3"/>
  <c r="B170" i="3"/>
  <c r="F175" i="3"/>
  <c r="H201" i="3"/>
  <c r="B218" i="3"/>
  <c r="F223" i="3"/>
  <c r="H249" i="3"/>
  <c r="B266" i="3"/>
  <c r="F271" i="3"/>
  <c r="C293" i="3"/>
  <c r="I86" i="3"/>
  <c r="I134" i="3"/>
  <c r="I182" i="3"/>
  <c r="I230" i="3"/>
  <c r="I254" i="3"/>
  <c r="I278" i="3"/>
  <c r="I294" i="3"/>
  <c r="B69" i="3"/>
  <c r="B117" i="3"/>
  <c r="B165" i="3"/>
  <c r="B213" i="3"/>
  <c r="B261" i="3"/>
  <c r="M7" i="4"/>
  <c r="K3" i="4" s="1"/>
  <c r="BA32" i="6"/>
  <c r="AZ32" i="6"/>
  <c r="W32" i="6" s="1"/>
  <c r="Q32" i="6"/>
  <c r="M32" i="6"/>
  <c r="L32" i="6"/>
  <c r="K32" i="6"/>
  <c r="BV32" i="6"/>
  <c r="J32" i="6"/>
  <c r="BS32" i="6"/>
  <c r="F32" i="6"/>
  <c r="BP32" i="6"/>
  <c r="D32" i="6"/>
  <c r="BC32" i="6"/>
  <c r="A32" i="6"/>
  <c r="BB55" i="6"/>
  <c r="A55" i="6"/>
  <c r="BA55" i="6"/>
  <c r="Q55" i="6"/>
  <c r="O55" i="6"/>
  <c r="B55" i="6"/>
  <c r="BP55" i="6"/>
  <c r="BJ55" i="6"/>
  <c r="BM55" i="6" s="1"/>
  <c r="BD55" i="6"/>
  <c r="BC55" i="6"/>
  <c r="M55" i="6"/>
  <c r="L55" i="6"/>
  <c r="K55" i="6"/>
  <c r="I55" i="6"/>
  <c r="F55" i="6"/>
  <c r="D55" i="6"/>
  <c r="BB32" i="6"/>
  <c r="BV55" i="6"/>
  <c r="O64" i="6"/>
  <c r="BP64" i="6"/>
  <c r="L64" i="6"/>
  <c r="BO64" i="6"/>
  <c r="BR64" i="6" s="1"/>
  <c r="K64" i="6"/>
  <c r="BK64" i="6"/>
  <c r="J64" i="6"/>
  <c r="BH64" i="6"/>
  <c r="BD64" i="6"/>
  <c r="BC64" i="6"/>
  <c r="AZ64" i="6"/>
  <c r="W64" i="6" s="1"/>
  <c r="U64" i="6"/>
  <c r="I64" i="6"/>
  <c r="BV64" i="6"/>
  <c r="G64" i="6"/>
  <c r="BS64" i="6"/>
  <c r="F64" i="6"/>
  <c r="D64" i="6"/>
  <c r="BU66" i="6"/>
  <c r="BT66" i="6"/>
  <c r="BJ112" i="6"/>
  <c r="BD112" i="6"/>
  <c r="BC112" i="6"/>
  <c r="BB112" i="6"/>
  <c r="V112" i="6"/>
  <c r="Q112" i="6"/>
  <c r="O112" i="6"/>
  <c r="M112" i="6"/>
  <c r="L112" i="6"/>
  <c r="K112" i="6"/>
  <c r="B112" i="6"/>
  <c r="BS112" i="6"/>
  <c r="BM112" i="6"/>
  <c r="BK112" i="6"/>
  <c r="D112" i="6"/>
  <c r="AC4" i="6"/>
  <c r="AC5" i="6" s="1"/>
  <c r="AC6" i="6" s="1"/>
  <c r="AC7" i="6" s="1"/>
  <c r="AC8" i="6" s="1"/>
  <c r="AC9" i="6" s="1"/>
  <c r="AC10" i="6" s="1"/>
  <c r="AC11" i="6" s="1"/>
  <c r="AC12" i="6" s="1"/>
  <c r="AC13" i="6" s="1"/>
  <c r="AC14" i="6" s="1"/>
  <c r="BO32" i="6"/>
  <c r="BQ32" i="6" s="1"/>
  <c r="BD85" i="6"/>
  <c r="O85" i="6"/>
  <c r="J85" i="6"/>
  <c r="B85" i="6"/>
  <c r="A85" i="6"/>
  <c r="BV85" i="6"/>
  <c r="BK85" i="6"/>
  <c r="BJ85" i="6"/>
  <c r="R85" i="6" s="1"/>
  <c r="BR108" i="6"/>
  <c r="BQ108" i="6"/>
  <c r="B18" i="6"/>
  <c r="A18" i="6"/>
  <c r="BU18" i="6" s="1"/>
  <c r="BC18" i="6"/>
  <c r="BB18" i="6"/>
  <c r="BA18" i="6"/>
  <c r="L18" i="6"/>
  <c r="M18" i="6"/>
  <c r="BO53" i="6"/>
  <c r="T53" i="6" s="1"/>
  <c r="BJ53" i="6"/>
  <c r="J53" i="6"/>
  <c r="BH53" i="6"/>
  <c r="I53" i="6"/>
  <c r="BD53" i="6"/>
  <c r="H53" i="6"/>
  <c r="AZ53" i="6"/>
  <c r="W53" i="6" s="1"/>
  <c r="B53" i="6"/>
  <c r="V53" i="6"/>
  <c r="A53" i="6"/>
  <c r="U53" i="6"/>
  <c r="Q53" i="6"/>
  <c r="M53" i="6"/>
  <c r="BV53" i="6"/>
  <c r="L53" i="6"/>
  <c r="K53" i="6"/>
  <c r="BS53" i="6"/>
  <c r="G53" i="6"/>
  <c r="BP53" i="6"/>
  <c r="F53" i="6"/>
  <c r="BK53" i="6"/>
  <c r="E53" i="6"/>
  <c r="BB53" i="6"/>
  <c r="D53" i="6"/>
  <c r="BD124" i="6"/>
  <c r="K124" i="6"/>
  <c r="BC124" i="6"/>
  <c r="J124" i="6"/>
  <c r="BB124" i="6"/>
  <c r="I124" i="6"/>
  <c r="A124" i="6"/>
  <c r="BT124" i="6" s="1"/>
  <c r="V124" i="6"/>
  <c r="U124" i="6"/>
  <c r="BV124" i="6"/>
  <c r="O124" i="6"/>
  <c r="BP124" i="6"/>
  <c r="M124" i="6"/>
  <c r="BO124" i="6"/>
  <c r="BQ124" i="6" s="1"/>
  <c r="L124" i="6"/>
  <c r="G124" i="6"/>
  <c r="BK124" i="6"/>
  <c r="F124" i="6"/>
  <c r="B124" i="6"/>
  <c r="BJ124" i="6"/>
  <c r="BL124" i="6" s="1"/>
  <c r="BA124" i="6"/>
  <c r="AZ124" i="6"/>
  <c r="W124" i="6" s="1"/>
  <c r="E124" i="6"/>
  <c r="G143" i="6"/>
  <c r="F143" i="6"/>
  <c r="E143" i="6"/>
  <c r="D143" i="6"/>
  <c r="BS143" i="6"/>
  <c r="BO143" i="6"/>
  <c r="BR143" i="6" s="1"/>
  <c r="BH143" i="6"/>
  <c r="AZ143" i="6"/>
  <c r="W143" i="6" s="1"/>
  <c r="U143" i="6"/>
  <c r="I143" i="6"/>
  <c r="BD20" i="6"/>
  <c r="BC20" i="6"/>
  <c r="BB20" i="6"/>
  <c r="BA20" i="6"/>
  <c r="O20" i="6"/>
  <c r="M20" i="6"/>
  <c r="A20" i="6"/>
  <c r="BT20" i="6" s="1"/>
  <c r="BR39" i="6"/>
  <c r="T39" i="6"/>
  <c r="BA53" i="6"/>
  <c r="BO9" i="6"/>
  <c r="BK9" i="6"/>
  <c r="I9" i="6"/>
  <c r="BH9" i="6" s="1"/>
  <c r="G9" i="6"/>
  <c r="F9" i="6"/>
  <c r="BE56" i="6"/>
  <c r="N56" i="6"/>
  <c r="U25" i="6"/>
  <c r="BO30" i="6"/>
  <c r="T30" i="6" s="1"/>
  <c r="BH34" i="6"/>
  <c r="B45" i="6"/>
  <c r="BV48" i="6"/>
  <c r="BK48" i="6"/>
  <c r="BH48" i="6"/>
  <c r="BA68" i="6"/>
  <c r="B68" i="6"/>
  <c r="AZ68" i="6"/>
  <c r="W68" i="6" s="1"/>
  <c r="A68" i="6"/>
  <c r="BS68" i="6"/>
  <c r="O68" i="6"/>
  <c r="BK68" i="6"/>
  <c r="T76" i="6"/>
  <c r="BR76" i="6"/>
  <c r="BU163" i="6"/>
  <c r="BT163" i="6"/>
  <c r="BD66" i="6"/>
  <c r="BV66" i="6"/>
  <c r="O164" i="6"/>
  <c r="BO164" i="6"/>
  <c r="BR164" i="6" s="1"/>
  <c r="M164" i="6"/>
  <c r="BK164" i="6"/>
  <c r="L164" i="6"/>
  <c r="BJ164" i="6"/>
  <c r="K164" i="6"/>
  <c r="BH164" i="6"/>
  <c r="J164" i="6"/>
  <c r="BC164" i="6"/>
  <c r="I164" i="6"/>
  <c r="B164" i="6"/>
  <c r="BV164" i="6"/>
  <c r="A164" i="6"/>
  <c r="BB164" i="6"/>
  <c r="BA164" i="6"/>
  <c r="AZ164" i="6"/>
  <c r="W164" i="6" s="1"/>
  <c r="BE164" i="6" s="1"/>
  <c r="V164" i="6"/>
  <c r="U164" i="6"/>
  <c r="H164" i="6"/>
  <c r="B13" i="6"/>
  <c r="AZ13" i="6"/>
  <c r="W13" i="6" s="1"/>
  <c r="E25" i="6"/>
  <c r="AZ25" i="6"/>
  <c r="W25" i="6" s="1"/>
  <c r="N25" i="6" s="1"/>
  <c r="BV25" i="6"/>
  <c r="U27" i="6"/>
  <c r="A28" i="6"/>
  <c r="BU28" i="6" s="1"/>
  <c r="BB28" i="6"/>
  <c r="G30" i="6"/>
  <c r="F34" i="6"/>
  <c r="BO34" i="6"/>
  <c r="BQ34" i="6" s="1"/>
  <c r="B36" i="6"/>
  <c r="BP38" i="6"/>
  <c r="U39" i="6"/>
  <c r="B40" i="6"/>
  <c r="B42" i="6"/>
  <c r="B43" i="6"/>
  <c r="E45" i="6"/>
  <c r="L48" i="6"/>
  <c r="J66" i="6"/>
  <c r="E68" i="6"/>
  <c r="BP68" i="6"/>
  <c r="BT83" i="6"/>
  <c r="BU83" i="6"/>
  <c r="BC97" i="6"/>
  <c r="K97" i="6"/>
  <c r="BV97" i="6"/>
  <c r="BA97" i="6"/>
  <c r="J97" i="6"/>
  <c r="AZ97" i="6"/>
  <c r="W97" i="6" s="1"/>
  <c r="I97" i="6"/>
  <c r="BS97" i="6"/>
  <c r="H97" i="6"/>
  <c r="V97" i="6"/>
  <c r="G97" i="6"/>
  <c r="BP97" i="6"/>
  <c r="U97" i="6"/>
  <c r="F97" i="6"/>
  <c r="BO97" i="6"/>
  <c r="T97" i="6" s="1"/>
  <c r="E97" i="6"/>
  <c r="A98" i="6"/>
  <c r="BV98" i="6"/>
  <c r="BS98" i="6"/>
  <c r="BJ98" i="6"/>
  <c r="BM98" i="6" s="1"/>
  <c r="BC98" i="6"/>
  <c r="B155" i="6"/>
  <c r="BS155" i="6"/>
  <c r="A155" i="6"/>
  <c r="BU155" i="6" s="1"/>
  <c r="BP155" i="6"/>
  <c r="BH155" i="6"/>
  <c r="BD155" i="6"/>
  <c r="BC155" i="6"/>
  <c r="Q155" i="6"/>
  <c r="O155" i="6"/>
  <c r="F155" i="6"/>
  <c r="E155" i="6"/>
  <c r="D155" i="6"/>
  <c r="F164" i="6"/>
  <c r="BH240" i="6"/>
  <c r="BD240" i="6"/>
  <c r="BC240" i="6"/>
  <c r="BA240" i="6"/>
  <c r="V240" i="6"/>
  <c r="U240" i="6"/>
  <c r="BP240" i="6"/>
  <c r="BO240" i="6"/>
  <c r="BR240" i="6" s="1"/>
  <c r="BJ240" i="6"/>
  <c r="L240" i="6"/>
  <c r="I240" i="6"/>
  <c r="H240" i="6"/>
  <c r="BS240" i="6"/>
  <c r="G240" i="6"/>
  <c r="F240" i="6"/>
  <c r="D240" i="6"/>
  <c r="BA13" i="6"/>
  <c r="G25" i="6"/>
  <c r="BA25" i="6"/>
  <c r="J30" i="6"/>
  <c r="I34" i="6"/>
  <c r="BP34" i="6"/>
  <c r="V39" i="6"/>
  <c r="Q45" i="6"/>
  <c r="M48" i="6"/>
  <c r="BT65" i="6"/>
  <c r="BU65" i="6"/>
  <c r="M66" i="6"/>
  <c r="G68" i="6"/>
  <c r="BQ68" i="6"/>
  <c r="L158" i="6"/>
  <c r="BK158" i="6"/>
  <c r="K158" i="6"/>
  <c r="BJ158" i="6"/>
  <c r="BM158" i="6" s="1"/>
  <c r="J158" i="6"/>
  <c r="BC158" i="6"/>
  <c r="I158" i="6"/>
  <c r="BB158" i="6"/>
  <c r="H158" i="6"/>
  <c r="BA158" i="6"/>
  <c r="G158" i="6"/>
  <c r="BV158" i="6"/>
  <c r="BO158" i="6"/>
  <c r="T158" i="6" s="1"/>
  <c r="AZ158" i="6"/>
  <c r="W158" i="6" s="1"/>
  <c r="V158" i="6"/>
  <c r="U158" i="6"/>
  <c r="G164" i="6"/>
  <c r="D13" i="6"/>
  <c r="BB13" i="6"/>
  <c r="M22" i="6"/>
  <c r="H25" i="6"/>
  <c r="BB25" i="6"/>
  <c r="BD28" i="6"/>
  <c r="K30" i="6"/>
  <c r="J34" i="6"/>
  <c r="BV34" i="6"/>
  <c r="M36" i="6"/>
  <c r="D39" i="6"/>
  <c r="AZ39" i="6"/>
  <c r="W39" i="6" s="1"/>
  <c r="Q40" i="6"/>
  <c r="D42" i="6"/>
  <c r="D43" i="6"/>
  <c r="BC48" i="6"/>
  <c r="BK52" i="6"/>
  <c r="BJ52" i="6"/>
  <c r="R52" i="6" s="1"/>
  <c r="U52" i="6"/>
  <c r="D61" i="6"/>
  <c r="AZ66" i="6"/>
  <c r="H68" i="6"/>
  <c r="BO83" i="6"/>
  <c r="BR83" i="6" s="1"/>
  <c r="BB83" i="6"/>
  <c r="J83" i="6"/>
  <c r="BA83" i="6"/>
  <c r="I83" i="6"/>
  <c r="BV83" i="6"/>
  <c r="AZ83" i="6"/>
  <c r="W83" i="6" s="1"/>
  <c r="H83" i="6"/>
  <c r="G83" i="6"/>
  <c r="BP83" i="6"/>
  <c r="U83" i="6"/>
  <c r="E83" i="6"/>
  <c r="D83" i="6"/>
  <c r="BA91" i="6"/>
  <c r="B91" i="6"/>
  <c r="AZ91" i="6"/>
  <c r="A91" i="6"/>
  <c r="BV91" i="6"/>
  <c r="U91" i="6"/>
  <c r="O91" i="6"/>
  <c r="BP91" i="6"/>
  <c r="L91" i="6"/>
  <c r="BO91" i="6"/>
  <c r="T91" i="6" s="1"/>
  <c r="K91" i="6"/>
  <c r="L97" i="6"/>
  <c r="O98" i="6"/>
  <c r="M158" i="6"/>
  <c r="E13" i="6"/>
  <c r="BD13" i="6"/>
  <c r="M16" i="6"/>
  <c r="BJ17" i="6"/>
  <c r="BL17" i="6" s="1"/>
  <c r="O22" i="6"/>
  <c r="L23" i="6"/>
  <c r="BH23" i="6"/>
  <c r="BC24" i="6"/>
  <c r="I25" i="6"/>
  <c r="BC25" i="6"/>
  <c r="BB26" i="6"/>
  <c r="F27" i="6"/>
  <c r="BB27" i="6"/>
  <c r="D28" i="6"/>
  <c r="BO28" i="6"/>
  <c r="T28" i="6" s="1"/>
  <c r="L30" i="6"/>
  <c r="G31" i="6"/>
  <c r="K34" i="6"/>
  <c r="O36" i="6"/>
  <c r="J38" i="6"/>
  <c r="E39" i="6"/>
  <c r="BA39" i="6"/>
  <c r="BH40" i="6"/>
  <c r="F42" i="6"/>
  <c r="BH43" i="6"/>
  <c r="B46" i="6"/>
  <c r="R46" i="6"/>
  <c r="BP46" i="6"/>
  <c r="BD48" i="6"/>
  <c r="D52" i="6"/>
  <c r="BT56" i="6"/>
  <c r="F61" i="6"/>
  <c r="BC63" i="6"/>
  <c r="BA63" i="6"/>
  <c r="V63" i="6"/>
  <c r="Q63" i="6"/>
  <c r="BO65" i="6"/>
  <c r="BQ65" i="6" s="1"/>
  <c r="BV65" i="6"/>
  <c r="BB65" i="6"/>
  <c r="I65" i="6"/>
  <c r="BA65" i="6"/>
  <c r="H65" i="6"/>
  <c r="BS65" i="6"/>
  <c r="AZ65" i="6"/>
  <c r="W65" i="6" s="1"/>
  <c r="G65" i="6"/>
  <c r="F65" i="6"/>
  <c r="BA66" i="6"/>
  <c r="K68" i="6"/>
  <c r="BT78" i="6"/>
  <c r="BU78" i="6"/>
  <c r="F83" i="6"/>
  <c r="BS83" i="6"/>
  <c r="D91" i="6"/>
  <c r="M97" i="6"/>
  <c r="Q98" i="6"/>
  <c r="BJ171" i="6"/>
  <c r="R171" i="6" s="1"/>
  <c r="BC171" i="6"/>
  <c r="B171" i="6"/>
  <c r="BB171" i="6"/>
  <c r="BA171" i="6"/>
  <c r="AZ171" i="6"/>
  <c r="W171" i="6" s="1"/>
  <c r="BG171" i="6" s="1"/>
  <c r="O171" i="6"/>
  <c r="M171" i="6"/>
  <c r="L171" i="6"/>
  <c r="BV171" i="6"/>
  <c r="K171" i="6"/>
  <c r="BS171" i="6"/>
  <c r="BO171" i="6"/>
  <c r="T171" i="6" s="1"/>
  <c r="BK171" i="6"/>
  <c r="BH171" i="6"/>
  <c r="J171" i="6"/>
  <c r="F13" i="6"/>
  <c r="BK13" i="6"/>
  <c r="BB16" i="6"/>
  <c r="J25" i="6"/>
  <c r="G27" i="6"/>
  <c r="BC27" i="6"/>
  <c r="E28" i="6"/>
  <c r="BP28" i="6"/>
  <c r="M30" i="6"/>
  <c r="H31" i="6"/>
  <c r="M34" i="6"/>
  <c r="BC36" i="6"/>
  <c r="K38" i="6"/>
  <c r="F39" i="6"/>
  <c r="BB39" i="6"/>
  <c r="H42" i="6"/>
  <c r="BJ43" i="6"/>
  <c r="R43" i="6" s="1"/>
  <c r="T46" i="6"/>
  <c r="BS46" i="6"/>
  <c r="F52" i="6"/>
  <c r="BD57" i="6"/>
  <c r="BA57" i="6"/>
  <c r="F57" i="6"/>
  <c r="E57" i="6"/>
  <c r="O61" i="6"/>
  <c r="BC66" i="6"/>
  <c r="L68" i="6"/>
  <c r="K83" i="6"/>
  <c r="BO84" i="6"/>
  <c r="T84" i="6" s="1"/>
  <c r="BJ84" i="6"/>
  <c r="R84" i="6" s="1"/>
  <c r="N84" i="6"/>
  <c r="B84" i="6"/>
  <c r="BH84" i="6"/>
  <c r="BI84" i="6" s="1"/>
  <c r="M84" i="6"/>
  <c r="A84" i="6"/>
  <c r="BU84" i="6" s="1"/>
  <c r="BF84" i="6"/>
  <c r="L84" i="6"/>
  <c r="BE84" i="6"/>
  <c r="K84" i="6"/>
  <c r="BB84" i="6"/>
  <c r="I84" i="6"/>
  <c r="BA84" i="6"/>
  <c r="H84" i="6"/>
  <c r="BK84" i="6"/>
  <c r="F91" i="6"/>
  <c r="BS96" i="6"/>
  <c r="B96" i="6"/>
  <c r="BJ96" i="6"/>
  <c r="BM96" i="6" s="1"/>
  <c r="BD96" i="6"/>
  <c r="BB96" i="6"/>
  <c r="BA96" i="6"/>
  <c r="U96" i="6"/>
  <c r="K96" i="6"/>
  <c r="O97" i="6"/>
  <c r="U101" i="6"/>
  <c r="BS101" i="6"/>
  <c r="M101" i="6"/>
  <c r="BP101" i="6"/>
  <c r="L101" i="6"/>
  <c r="BO101" i="6"/>
  <c r="BR101" i="6" s="1"/>
  <c r="K101" i="6"/>
  <c r="BK101" i="6"/>
  <c r="I101" i="6"/>
  <c r="BH101" i="6"/>
  <c r="H101" i="6"/>
  <c r="BB101" i="6"/>
  <c r="F101" i="6"/>
  <c r="BU126" i="6"/>
  <c r="BT126" i="6"/>
  <c r="BU133" i="6"/>
  <c r="BT133" i="6"/>
  <c r="BP159" i="6"/>
  <c r="BD159" i="6"/>
  <c r="BC159" i="6"/>
  <c r="BB159" i="6"/>
  <c r="Q159" i="6"/>
  <c r="D159" i="6"/>
  <c r="A159" i="6"/>
  <c r="BU159" i="6" s="1"/>
  <c r="BM168" i="6"/>
  <c r="R168" i="6"/>
  <c r="H171" i="6"/>
  <c r="BC181" i="6"/>
  <c r="H181" i="6"/>
  <c r="BD181" i="6"/>
  <c r="G181" i="6"/>
  <c r="F181" i="6"/>
  <c r="BB12" i="6"/>
  <c r="L12" i="6" s="1"/>
  <c r="G13" i="6"/>
  <c r="BO13" i="6"/>
  <c r="BQ13" i="6" s="1"/>
  <c r="G15" i="6"/>
  <c r="BO19" i="6"/>
  <c r="BQ19" i="6" s="1"/>
  <c r="M21" i="6"/>
  <c r="BH21" i="6"/>
  <c r="A23" i="6"/>
  <c r="O23" i="6"/>
  <c r="BK23" i="6"/>
  <c r="F24" i="6"/>
  <c r="BJ24" i="6"/>
  <c r="K25" i="6"/>
  <c r="BH25" i="6"/>
  <c r="E26" i="6"/>
  <c r="BD26" i="6"/>
  <c r="H27" i="6"/>
  <c r="BH27" i="6"/>
  <c r="G28" i="6"/>
  <c r="BS28" i="6"/>
  <c r="M29" i="6"/>
  <c r="Q31" i="6"/>
  <c r="F33" i="6"/>
  <c r="Q34" i="6"/>
  <c r="R35" i="6"/>
  <c r="BP35" i="6"/>
  <c r="BD36" i="6"/>
  <c r="BA37" i="6"/>
  <c r="L38" i="6"/>
  <c r="G39" i="6"/>
  <c r="BC39" i="6"/>
  <c r="BL41" i="6"/>
  <c r="R42" i="6"/>
  <c r="BJ44" i="6"/>
  <c r="BM44" i="6" s="1"/>
  <c r="D46" i="6"/>
  <c r="U46" i="6"/>
  <c r="BV46" i="6"/>
  <c r="BK47" i="6"/>
  <c r="BJ51" i="6"/>
  <c r="BM51" i="6" s="1"/>
  <c r="Q51" i="6"/>
  <c r="O51" i="6"/>
  <c r="M51" i="6"/>
  <c r="BO52" i="6"/>
  <c r="BR52" i="6" s="1"/>
  <c r="R59" i="6"/>
  <c r="BV59" i="6"/>
  <c r="Q61" i="6"/>
  <c r="I63" i="6"/>
  <c r="E65" i="6"/>
  <c r="BH65" i="6"/>
  <c r="BH66" i="6"/>
  <c r="M68" i="6"/>
  <c r="BO82" i="6"/>
  <c r="BC82" i="6"/>
  <c r="AZ82" i="6"/>
  <c r="W82" i="6" s="1"/>
  <c r="N82" i="6" s="1"/>
  <c r="V82" i="6"/>
  <c r="J82" i="6"/>
  <c r="I82" i="6"/>
  <c r="L83" i="6"/>
  <c r="D84" i="6"/>
  <c r="BH87" i="6"/>
  <c r="B87" i="6"/>
  <c r="BD87" i="6"/>
  <c r="A87" i="6"/>
  <c r="BT87" i="6" s="1"/>
  <c r="BC87" i="6"/>
  <c r="V87" i="6"/>
  <c r="O87" i="6"/>
  <c r="M87" i="6"/>
  <c r="G91" i="6"/>
  <c r="BD93" i="6"/>
  <c r="K93" i="6"/>
  <c r="BC93" i="6"/>
  <c r="J93" i="6"/>
  <c r="BB93" i="6"/>
  <c r="I93" i="6"/>
  <c r="BA93" i="6"/>
  <c r="H93" i="6"/>
  <c r="BV93" i="6"/>
  <c r="V93" i="6"/>
  <c r="E93" i="6"/>
  <c r="BQ93" i="6"/>
  <c r="U93" i="6"/>
  <c r="D93" i="6"/>
  <c r="BP93" i="6"/>
  <c r="F96" i="6"/>
  <c r="Q97" i="6"/>
  <c r="D101" i="6"/>
  <c r="AZ110" i="6"/>
  <c r="Q110" i="6"/>
  <c r="BS110" i="6"/>
  <c r="O110" i="6"/>
  <c r="M110" i="6"/>
  <c r="L110" i="6"/>
  <c r="BO110" i="6"/>
  <c r="BR110" i="6" s="1"/>
  <c r="K110" i="6"/>
  <c r="BK110" i="6"/>
  <c r="J110" i="6"/>
  <c r="BJ110" i="6"/>
  <c r="R110" i="6" s="1"/>
  <c r="I110" i="6"/>
  <c r="BV133" i="6"/>
  <c r="BC133" i="6"/>
  <c r="U133" i="6"/>
  <c r="BB141" i="6"/>
  <c r="AZ141" i="6"/>
  <c r="W141" i="6" s="1"/>
  <c r="K141" i="6"/>
  <c r="BV141" i="6"/>
  <c r="BS141" i="6"/>
  <c r="J141" i="6"/>
  <c r="I141" i="6"/>
  <c r="H141" i="6"/>
  <c r="I171" i="6"/>
  <c r="K13" i="6"/>
  <c r="BS13" i="6"/>
  <c r="BV17" i="6"/>
  <c r="Q23" i="6"/>
  <c r="BO23" i="6"/>
  <c r="BQ23" i="6" s="1"/>
  <c r="L25" i="6"/>
  <c r="BJ25" i="6"/>
  <c r="BL25" i="6" s="1"/>
  <c r="I27" i="6"/>
  <c r="BK27" i="6"/>
  <c r="J28" i="6"/>
  <c r="BV28" i="6"/>
  <c r="AZ30" i="6"/>
  <c r="W30" i="6" s="1"/>
  <c r="U31" i="6"/>
  <c r="V34" i="6"/>
  <c r="BH36" i="6"/>
  <c r="O38" i="6"/>
  <c r="H39" i="6"/>
  <c r="BH39" i="6"/>
  <c r="U42" i="6"/>
  <c r="E46" i="6"/>
  <c r="V46" i="6"/>
  <c r="BL47" i="6"/>
  <c r="BP52" i="6"/>
  <c r="BO54" i="6"/>
  <c r="BR54" i="6" s="1"/>
  <c r="BK54" i="6"/>
  <c r="U61" i="6"/>
  <c r="BD63" i="6"/>
  <c r="J65" i="6"/>
  <c r="BB68" i="6"/>
  <c r="M83" i="6"/>
  <c r="E84" i="6"/>
  <c r="BP84" i="6"/>
  <c r="H91" i="6"/>
  <c r="G96" i="6"/>
  <c r="E101" i="6"/>
  <c r="BJ126" i="6"/>
  <c r="BM126" i="6" s="1"/>
  <c r="J126" i="6"/>
  <c r="BH126" i="6"/>
  <c r="I126" i="6"/>
  <c r="BD126" i="6"/>
  <c r="H126" i="6"/>
  <c r="V126" i="6"/>
  <c r="U126" i="6"/>
  <c r="BV126" i="6"/>
  <c r="O126" i="6"/>
  <c r="M126" i="6"/>
  <c r="K126" i="6"/>
  <c r="BP126" i="6"/>
  <c r="G126" i="6"/>
  <c r="BO126" i="6"/>
  <c r="T126" i="6" s="1"/>
  <c r="F126" i="6"/>
  <c r="BK126" i="6"/>
  <c r="E126" i="6"/>
  <c r="L13" i="6"/>
  <c r="I15" i="6"/>
  <c r="F17" i="6"/>
  <c r="E19" i="6"/>
  <c r="V19" i="6"/>
  <c r="B21" i="6"/>
  <c r="Q21" i="6"/>
  <c r="BO21" i="6"/>
  <c r="BQ21" i="6" s="1"/>
  <c r="D23" i="6"/>
  <c r="R23" i="6"/>
  <c r="BP23" i="6"/>
  <c r="K24" i="6"/>
  <c r="BO24" i="6"/>
  <c r="BQ24" i="6" s="1"/>
  <c r="M25" i="6"/>
  <c r="BK25" i="6"/>
  <c r="K26" i="6"/>
  <c r="K27" i="6"/>
  <c r="BO27" i="6"/>
  <c r="T27" i="6" s="1"/>
  <c r="K28" i="6"/>
  <c r="R29" i="6"/>
  <c r="BS29" i="6"/>
  <c r="BA30" i="6"/>
  <c r="BJ31" i="6"/>
  <c r="R31" i="6" s="1"/>
  <c r="BH33" i="6"/>
  <c r="BA34" i="6"/>
  <c r="E35" i="6"/>
  <c r="U35" i="6"/>
  <c r="BS35" i="6"/>
  <c r="BC37" i="6"/>
  <c r="T38" i="6"/>
  <c r="I39" i="6"/>
  <c r="BJ39" i="6"/>
  <c r="R41" i="6"/>
  <c r="BP41" i="6"/>
  <c r="V42" i="6"/>
  <c r="B44" i="6"/>
  <c r="Q44" i="6"/>
  <c r="BO44" i="6"/>
  <c r="BQ44" i="6" s="1"/>
  <c r="G46" i="6"/>
  <c r="AZ46" i="6"/>
  <c r="W46" i="6" s="1"/>
  <c r="N46" i="6" s="1"/>
  <c r="B47" i="6"/>
  <c r="R47" i="6"/>
  <c r="F51" i="6"/>
  <c r="D54" i="6"/>
  <c r="B59" i="6"/>
  <c r="BV60" i="6"/>
  <c r="BO60" i="6"/>
  <c r="BR60" i="6" s="1"/>
  <c r="BD60" i="6"/>
  <c r="BA60" i="6"/>
  <c r="BD61" i="6"/>
  <c r="BO63" i="6"/>
  <c r="BR63" i="6" s="1"/>
  <c r="K65" i="6"/>
  <c r="BJ65" i="6"/>
  <c r="BM65" i="6" s="1"/>
  <c r="BA67" i="6"/>
  <c r="A67" i="6"/>
  <c r="BT67" i="6" s="1"/>
  <c r="V67" i="6"/>
  <c r="BV67" i="6"/>
  <c r="BR67" i="6"/>
  <c r="O67" i="6"/>
  <c r="BM67" i="6"/>
  <c r="BC68" i="6"/>
  <c r="BV72" i="6"/>
  <c r="AZ72" i="6"/>
  <c r="W72" i="6" s="1"/>
  <c r="BG72" i="6" s="1"/>
  <c r="V72" i="6"/>
  <c r="U72" i="6"/>
  <c r="K72" i="6"/>
  <c r="I72" i="6"/>
  <c r="F82" i="6"/>
  <c r="Q83" i="6"/>
  <c r="F84" i="6"/>
  <c r="BS84" i="6"/>
  <c r="F87" i="6"/>
  <c r="M91" i="6"/>
  <c r="L93" i="6"/>
  <c r="BF95" i="6"/>
  <c r="N95" i="6"/>
  <c r="H96" i="6"/>
  <c r="BD97" i="6"/>
  <c r="G101" i="6"/>
  <c r="BB110" i="6"/>
  <c r="BA126" i="6"/>
  <c r="BJ217" i="6"/>
  <c r="R217" i="6" s="1"/>
  <c r="M217" i="6"/>
  <c r="L217" i="6"/>
  <c r="BV217" i="6"/>
  <c r="K217" i="6"/>
  <c r="J217" i="6"/>
  <c r="G217" i="6"/>
  <c r="A217" i="6"/>
  <c r="BS217" i="6"/>
  <c r="BH217" i="6"/>
  <c r="BC217" i="6"/>
  <c r="BB217" i="6"/>
  <c r="BA217" i="6"/>
  <c r="U217" i="6"/>
  <c r="O217" i="6"/>
  <c r="F217" i="6"/>
  <c r="BU19" i="6"/>
  <c r="E23" i="6"/>
  <c r="L24" i="6"/>
  <c r="Q25" i="6"/>
  <c r="BO25" i="6"/>
  <c r="T25" i="6" s="1"/>
  <c r="L26" i="6"/>
  <c r="L27" i="6"/>
  <c r="BP27" i="6"/>
  <c r="BB34" i="6"/>
  <c r="J39" i="6"/>
  <c r="H46" i="6"/>
  <c r="BO47" i="6"/>
  <c r="T47" i="6" s="1"/>
  <c r="BA47" i="6"/>
  <c r="J47" i="6"/>
  <c r="AZ47" i="6"/>
  <c r="W47" i="6" s="1"/>
  <c r="I47" i="6"/>
  <c r="BP47" i="6"/>
  <c r="H47" i="6"/>
  <c r="U47" i="6"/>
  <c r="BT47" i="6"/>
  <c r="T51" i="6"/>
  <c r="BO59" i="6"/>
  <c r="T59" i="6" s="1"/>
  <c r="BS59" i="6"/>
  <c r="BB59" i="6"/>
  <c r="K59" i="6"/>
  <c r="BA59" i="6"/>
  <c r="J59" i="6"/>
  <c r="AZ59" i="6"/>
  <c r="W59" i="6" s="1"/>
  <c r="I59" i="6"/>
  <c r="BP59" i="6"/>
  <c r="H59" i="6"/>
  <c r="V59" i="6"/>
  <c r="BS63" i="6"/>
  <c r="L65" i="6"/>
  <c r="BK65" i="6"/>
  <c r="BD68" i="6"/>
  <c r="G82" i="6"/>
  <c r="G84" i="6"/>
  <c r="BV84" i="6"/>
  <c r="H87" i="6"/>
  <c r="BC91" i="6"/>
  <c r="M93" i="6"/>
  <c r="J96" i="6"/>
  <c r="BH97" i="6"/>
  <c r="W101" i="6"/>
  <c r="BF101" i="6" s="1"/>
  <c r="BC110" i="6"/>
  <c r="BB126" i="6"/>
  <c r="BA135" i="6"/>
  <c r="I135" i="6"/>
  <c r="BV135" i="6"/>
  <c r="AZ135" i="6"/>
  <c r="W135" i="6" s="1"/>
  <c r="H135" i="6"/>
  <c r="G135" i="6"/>
  <c r="BP135" i="6"/>
  <c r="V135" i="6"/>
  <c r="E135" i="6"/>
  <c r="BC135" i="6"/>
  <c r="B135" i="6"/>
  <c r="BB135" i="6"/>
  <c r="A135" i="6"/>
  <c r="U135" i="6"/>
  <c r="Q135" i="6"/>
  <c r="O135" i="6"/>
  <c r="BO135" i="6"/>
  <c r="BQ135" i="6" s="1"/>
  <c r="M135" i="6"/>
  <c r="BK135" i="6"/>
  <c r="L135" i="6"/>
  <c r="BJ135" i="6"/>
  <c r="K135" i="6"/>
  <c r="BC137" i="6"/>
  <c r="H137" i="6"/>
  <c r="BB137" i="6"/>
  <c r="G137" i="6"/>
  <c r="BA137" i="6"/>
  <c r="F137" i="6"/>
  <c r="AZ137" i="6"/>
  <c r="W137" i="6" s="1"/>
  <c r="BF137" i="6" s="1"/>
  <c r="E137" i="6"/>
  <c r="BD137" i="6"/>
  <c r="A137" i="6"/>
  <c r="BU137" i="6" s="1"/>
  <c r="U137" i="6"/>
  <c r="T137" i="6"/>
  <c r="Q137" i="6"/>
  <c r="O137" i="6"/>
  <c r="M137" i="6"/>
  <c r="L137" i="6"/>
  <c r="BS137" i="6"/>
  <c r="K137" i="6"/>
  <c r="BP137" i="6"/>
  <c r="I137" i="6"/>
  <c r="T139" i="6"/>
  <c r="BV191" i="6"/>
  <c r="AZ191" i="6"/>
  <c r="W191" i="6" s="1"/>
  <c r="A191" i="6"/>
  <c r="BU191" i="6" s="1"/>
  <c r="BD191" i="6"/>
  <c r="BB191" i="6"/>
  <c r="BA191" i="6"/>
  <c r="M191" i="6"/>
  <c r="L191" i="6"/>
  <c r="K191" i="6"/>
  <c r="A104" i="6"/>
  <c r="B129" i="6"/>
  <c r="BQ160" i="6"/>
  <c r="AZ160" i="6"/>
  <c r="W160" i="6" s="1"/>
  <c r="N160" i="6" s="1"/>
  <c r="V160" i="6"/>
  <c r="U160" i="6"/>
  <c r="M160" i="6"/>
  <c r="BV160" i="6"/>
  <c r="L160" i="6"/>
  <c r="BP160" i="6"/>
  <c r="K160" i="6"/>
  <c r="BQ168" i="6"/>
  <c r="T168" i="6"/>
  <c r="D191" i="6"/>
  <c r="BL231" i="6"/>
  <c r="BA129" i="6"/>
  <c r="A129" i="6"/>
  <c r="AZ129" i="6"/>
  <c r="W129" i="6" s="1"/>
  <c r="BF129" i="6" s="1"/>
  <c r="Q129" i="6"/>
  <c r="BJ129" i="6"/>
  <c r="BM129" i="6" s="1"/>
  <c r="F160" i="6"/>
  <c r="G191" i="6"/>
  <c r="BM231" i="6"/>
  <c r="R90" i="6"/>
  <c r="BK90" i="6"/>
  <c r="BA104" i="6"/>
  <c r="A108" i="6"/>
  <c r="U108" i="6"/>
  <c r="BP113" i="6"/>
  <c r="A123" i="6"/>
  <c r="BU123" i="6" s="1"/>
  <c r="BB123" i="6"/>
  <c r="D129" i="6"/>
  <c r="BD138" i="6"/>
  <c r="BO138" i="6"/>
  <c r="BQ138" i="6" s="1"/>
  <c r="Q138" i="6"/>
  <c r="U139" i="6"/>
  <c r="G160" i="6"/>
  <c r="BH178" i="6"/>
  <c r="BJ178" i="6"/>
  <c r="BL178" i="6" s="1"/>
  <c r="I178" i="6"/>
  <c r="BB178" i="6"/>
  <c r="E178" i="6"/>
  <c r="BA178" i="6"/>
  <c r="A178" i="6"/>
  <c r="AZ178" i="6"/>
  <c r="W178" i="6" s="1"/>
  <c r="BE178" i="6" s="1"/>
  <c r="V178" i="6"/>
  <c r="U178" i="6"/>
  <c r="Q178" i="6"/>
  <c r="M178" i="6"/>
  <c r="BV178" i="6"/>
  <c r="L178" i="6"/>
  <c r="BK191" i="6"/>
  <c r="BP194" i="6"/>
  <c r="I194" i="6"/>
  <c r="BA194" i="6"/>
  <c r="H194" i="6"/>
  <c r="BV194" i="6"/>
  <c r="BS194" i="6"/>
  <c r="Q194" i="6"/>
  <c r="M194" i="6"/>
  <c r="BK194" i="6"/>
  <c r="L194" i="6"/>
  <c r="BJ194" i="6"/>
  <c r="BL194" i="6" s="1"/>
  <c r="K194" i="6"/>
  <c r="BH194" i="6"/>
  <c r="J194" i="6"/>
  <c r="G194" i="6"/>
  <c r="F194" i="6"/>
  <c r="O74" i="6"/>
  <c r="BH78" i="6"/>
  <c r="E80" i="6"/>
  <c r="F86" i="6"/>
  <c r="D90" i="6"/>
  <c r="T90" i="6"/>
  <c r="BP90" i="6"/>
  <c r="BC104" i="6"/>
  <c r="B108" i="6"/>
  <c r="V108" i="6"/>
  <c r="G109" i="6"/>
  <c r="D113" i="6"/>
  <c r="BS113" i="6"/>
  <c r="D115" i="6"/>
  <c r="F120" i="6"/>
  <c r="B123" i="6"/>
  <c r="BT128" i="6"/>
  <c r="BU128" i="6"/>
  <c r="E129" i="6"/>
  <c r="BP129" i="6"/>
  <c r="K131" i="6"/>
  <c r="M138" i="6"/>
  <c r="V139" i="6"/>
  <c r="I160" i="6"/>
  <c r="BM166" i="6"/>
  <c r="R166" i="6"/>
  <c r="BP191" i="6"/>
  <c r="BS212" i="6"/>
  <c r="O212" i="6"/>
  <c r="BP212" i="6"/>
  <c r="BO212" i="6"/>
  <c r="BQ212" i="6" s="1"/>
  <c r="M212" i="6"/>
  <c r="K212" i="6"/>
  <c r="J212" i="6"/>
  <c r="BB212" i="6"/>
  <c r="AZ212" i="6"/>
  <c r="W212" i="6" s="1"/>
  <c r="V212" i="6"/>
  <c r="I212" i="6"/>
  <c r="H212" i="6"/>
  <c r="E212" i="6"/>
  <c r="D212" i="6"/>
  <c r="BH104" i="6"/>
  <c r="BA108" i="6"/>
  <c r="BT113" i="6"/>
  <c r="BO123" i="6"/>
  <c r="BR123" i="6" s="1"/>
  <c r="L123" i="6"/>
  <c r="BK123" i="6"/>
  <c r="I123" i="6"/>
  <c r="BH123" i="6"/>
  <c r="H123" i="6"/>
  <c r="BD123" i="6"/>
  <c r="H129" i="6"/>
  <c r="BS129" i="6"/>
  <c r="BJ139" i="6"/>
  <c r="R139" i="6" s="1"/>
  <c r="O139" i="6"/>
  <c r="A139" i="6"/>
  <c r="BH139" i="6"/>
  <c r="M139" i="6"/>
  <c r="L139" i="6"/>
  <c r="BD139" i="6"/>
  <c r="K139" i="6"/>
  <c r="J160" i="6"/>
  <c r="BS163" i="6"/>
  <c r="BD163" i="6"/>
  <c r="BC163" i="6"/>
  <c r="BA163" i="6"/>
  <c r="Q163" i="6"/>
  <c r="BS191" i="6"/>
  <c r="BO208" i="6"/>
  <c r="BR208" i="6" s="1"/>
  <c r="BA208" i="6"/>
  <c r="U208" i="6"/>
  <c r="BC212" i="6"/>
  <c r="BA56" i="6"/>
  <c r="BP86" i="6"/>
  <c r="L89" i="6"/>
  <c r="F90" i="6"/>
  <c r="V90" i="6"/>
  <c r="BS90" i="6"/>
  <c r="D103" i="6"/>
  <c r="BM105" i="6"/>
  <c r="D108" i="6"/>
  <c r="BB108" i="6"/>
  <c r="F113" i="6"/>
  <c r="BJ115" i="6"/>
  <c r="BM115" i="6" s="1"/>
  <c r="E117" i="6"/>
  <c r="V120" i="6"/>
  <c r="D123" i="6"/>
  <c r="BP123" i="6"/>
  <c r="AZ128" i="6"/>
  <c r="W128" i="6" s="1"/>
  <c r="G128" i="6"/>
  <c r="BV128" i="6"/>
  <c r="F128" i="6"/>
  <c r="V128" i="6"/>
  <c r="E128" i="6"/>
  <c r="BC128" i="6"/>
  <c r="K129" i="6"/>
  <c r="M131" i="6"/>
  <c r="D139" i="6"/>
  <c r="AZ139" i="6"/>
  <c r="W139" i="6" s="1"/>
  <c r="BK144" i="6"/>
  <c r="BD144" i="6"/>
  <c r="BA144" i="6"/>
  <c r="Q144" i="6"/>
  <c r="K144" i="6"/>
  <c r="BA160" i="6"/>
  <c r="BP162" i="6"/>
  <c r="M162" i="6"/>
  <c r="BO162" i="6"/>
  <c r="T162" i="6" s="1"/>
  <c r="K162" i="6"/>
  <c r="J162" i="6"/>
  <c r="BK162" i="6"/>
  <c r="I162" i="6"/>
  <c r="BJ162" i="6"/>
  <c r="BM162" i="6" s="1"/>
  <c r="H162" i="6"/>
  <c r="BH162" i="6"/>
  <c r="G162" i="6"/>
  <c r="E163" i="6"/>
  <c r="R170" i="6"/>
  <c r="BM170" i="6"/>
  <c r="BL170" i="6"/>
  <c r="BK178" i="6"/>
  <c r="BO192" i="6"/>
  <c r="D192" i="6"/>
  <c r="V194" i="6"/>
  <c r="BD212" i="6"/>
  <c r="B50" i="6"/>
  <c r="AZ50" i="6"/>
  <c r="W50" i="6" s="1"/>
  <c r="BF50" i="6" s="1"/>
  <c r="D56" i="6"/>
  <c r="BB56" i="6"/>
  <c r="D62" i="6"/>
  <c r="Q71" i="6"/>
  <c r="BJ71" i="6"/>
  <c r="BM71" i="6" s="1"/>
  <c r="O89" i="6"/>
  <c r="G90" i="6"/>
  <c r="AZ90" i="6"/>
  <c r="W90" i="6" s="1"/>
  <c r="BG90" i="6" s="1"/>
  <c r="BI90" i="6" s="1"/>
  <c r="BV90" i="6"/>
  <c r="Q103" i="6"/>
  <c r="D105" i="6"/>
  <c r="BS105" i="6"/>
  <c r="E108" i="6"/>
  <c r="BC108" i="6"/>
  <c r="AZ109" i="6"/>
  <c r="W109" i="6" s="1"/>
  <c r="G113" i="6"/>
  <c r="Q117" i="6"/>
  <c r="BA120" i="6"/>
  <c r="E123" i="6"/>
  <c r="BS123" i="6"/>
  <c r="BH127" i="6"/>
  <c r="M127" i="6"/>
  <c r="L127" i="6"/>
  <c r="K127" i="6"/>
  <c r="H128" i="6"/>
  <c r="BH128" i="6"/>
  <c r="L129" i="6"/>
  <c r="BP130" i="6"/>
  <c r="O130" i="6"/>
  <c r="B130" i="6"/>
  <c r="BO130" i="6"/>
  <c r="BQ130" i="6" s="1"/>
  <c r="A130" i="6"/>
  <c r="BT130" i="6" s="1"/>
  <c r="BK130" i="6"/>
  <c r="M130" i="6"/>
  <c r="AZ130" i="6"/>
  <c r="W130" i="6" s="1"/>
  <c r="N130" i="6" s="1"/>
  <c r="O131" i="6"/>
  <c r="E139" i="6"/>
  <c r="BA139" i="6"/>
  <c r="M142" i="6"/>
  <c r="V145" i="6"/>
  <c r="U145" i="6"/>
  <c r="R145" i="6"/>
  <c r="Q145" i="6"/>
  <c r="I145" i="6"/>
  <c r="BA146" i="6"/>
  <c r="V146" i="6"/>
  <c r="Q146" i="6"/>
  <c r="F149" i="6"/>
  <c r="BL154" i="6"/>
  <c r="BM154" i="6"/>
  <c r="BV156" i="6"/>
  <c r="A156" i="6"/>
  <c r="BU156" i="6" s="1"/>
  <c r="BS156" i="6"/>
  <c r="Q156" i="6"/>
  <c r="BP156" i="6"/>
  <c r="O156" i="6"/>
  <c r="BO156" i="6"/>
  <c r="BQ156" i="6" s="1"/>
  <c r="M156" i="6"/>
  <c r="BK156" i="6"/>
  <c r="K156" i="6"/>
  <c r="BJ156" i="6"/>
  <c r="BM156" i="6" s="1"/>
  <c r="J156" i="6"/>
  <c r="D157" i="6"/>
  <c r="BB160" i="6"/>
  <c r="F162" i="6"/>
  <c r="O163" i="6"/>
  <c r="U174" i="6"/>
  <c r="Q174" i="6"/>
  <c r="BA174" i="6"/>
  <c r="O174" i="6"/>
  <c r="M174" i="6"/>
  <c r="I174" i="6"/>
  <c r="G174" i="6"/>
  <c r="F174" i="6"/>
  <c r="E174" i="6"/>
  <c r="BS174" i="6"/>
  <c r="D174" i="6"/>
  <c r="BJ212" i="6"/>
  <c r="BM212" i="6" s="1"/>
  <c r="BK216" i="6"/>
  <c r="A216" i="6"/>
  <c r="BD216" i="6"/>
  <c r="BA216" i="6"/>
  <c r="U216" i="6"/>
  <c r="O216" i="6"/>
  <c r="BV216" i="6"/>
  <c r="BS216" i="6"/>
  <c r="M216" i="6"/>
  <c r="L216" i="6"/>
  <c r="J216" i="6"/>
  <c r="BB50" i="6"/>
  <c r="E56" i="6"/>
  <c r="BC56" i="6"/>
  <c r="L62" i="6"/>
  <c r="D71" i="6"/>
  <c r="BK71" i="6"/>
  <c r="BS75" i="6"/>
  <c r="AZ76" i="6"/>
  <c r="W76" i="6" s="1"/>
  <c r="B77" i="6"/>
  <c r="Q77" i="6"/>
  <c r="BL77" i="6"/>
  <c r="BL79" i="6"/>
  <c r="G81" i="6"/>
  <c r="Q89" i="6"/>
  <c r="H90" i="6"/>
  <c r="BA90" i="6"/>
  <c r="B92" i="6"/>
  <c r="BB92" i="6"/>
  <c r="B95" i="6"/>
  <c r="O95" i="6"/>
  <c r="BS95" i="6"/>
  <c r="BO100" i="6"/>
  <c r="BR100" i="6" s="1"/>
  <c r="T103" i="6"/>
  <c r="E105" i="6"/>
  <c r="B107" i="6"/>
  <c r="U107" i="6"/>
  <c r="H108" i="6"/>
  <c r="BD108" i="6"/>
  <c r="BD109" i="6"/>
  <c r="B111" i="6"/>
  <c r="BS111" i="6"/>
  <c r="K113" i="6"/>
  <c r="B114" i="6"/>
  <c r="BD114" i="6"/>
  <c r="U117" i="6"/>
  <c r="BK120" i="6"/>
  <c r="BM122" i="6"/>
  <c r="O122" i="6"/>
  <c r="BL122" i="6"/>
  <c r="M122" i="6"/>
  <c r="BK122" i="6"/>
  <c r="L122" i="6"/>
  <c r="BB122" i="6"/>
  <c r="G123" i="6"/>
  <c r="BV123" i="6"/>
  <c r="G127" i="6"/>
  <c r="I128" i="6"/>
  <c r="BJ128" i="6"/>
  <c r="M129" i="6"/>
  <c r="D130" i="6"/>
  <c r="BA130" i="6"/>
  <c r="BC131" i="6"/>
  <c r="F139" i="6"/>
  <c r="BC139" i="6"/>
  <c r="Q142" i="6"/>
  <c r="D145" i="6"/>
  <c r="G149" i="6"/>
  <c r="D156" i="6"/>
  <c r="BC157" i="6"/>
  <c r="BC160" i="6"/>
  <c r="BB174" i="6"/>
  <c r="AZ194" i="6"/>
  <c r="W194" i="6" s="1"/>
  <c r="F216" i="6"/>
  <c r="D50" i="6"/>
  <c r="G56" i="6"/>
  <c r="Q62" i="6"/>
  <c r="E71" i="6"/>
  <c r="U71" i="6"/>
  <c r="BP77" i="6"/>
  <c r="D79" i="6"/>
  <c r="I90" i="6"/>
  <c r="BB90" i="6"/>
  <c r="I108" i="6"/>
  <c r="BV111" i="6"/>
  <c r="M123" i="6"/>
  <c r="BU125" i="6"/>
  <c r="H127" i="6"/>
  <c r="J128" i="6"/>
  <c r="BK128" i="6"/>
  <c r="O129" i="6"/>
  <c r="E130" i="6"/>
  <c r="BB130" i="6"/>
  <c r="G139" i="6"/>
  <c r="BK139" i="6"/>
  <c r="E145" i="6"/>
  <c r="G156" i="6"/>
  <c r="BJ160" i="6"/>
  <c r="BM160" i="6" s="1"/>
  <c r="U162" i="6"/>
  <c r="BC174" i="6"/>
  <c r="G216" i="6"/>
  <c r="A177" i="6"/>
  <c r="BV197" i="6"/>
  <c r="L197" i="6"/>
  <c r="K197" i="6"/>
  <c r="BS197" i="6"/>
  <c r="G197" i="6"/>
  <c r="BP197" i="6"/>
  <c r="D197" i="6"/>
  <c r="V209" i="6"/>
  <c r="B209" i="6"/>
  <c r="U209" i="6"/>
  <c r="A209" i="6"/>
  <c r="BP209" i="6"/>
  <c r="BO209" i="6"/>
  <c r="BQ209" i="6" s="1"/>
  <c r="O209" i="6"/>
  <c r="M209" i="6"/>
  <c r="BJ209" i="6"/>
  <c r="R209" i="6" s="1"/>
  <c r="BO222" i="6"/>
  <c r="BQ222" i="6" s="1"/>
  <c r="BP222" i="6"/>
  <c r="K222" i="6"/>
  <c r="BK222" i="6"/>
  <c r="J222" i="6"/>
  <c r="BJ222" i="6"/>
  <c r="R222" i="6" s="1"/>
  <c r="I222" i="6"/>
  <c r="BH222" i="6"/>
  <c r="H222" i="6"/>
  <c r="BD222" i="6"/>
  <c r="G222" i="6"/>
  <c r="BV222" i="6"/>
  <c r="BQ231" i="6"/>
  <c r="BR231" i="6"/>
  <c r="BC177" i="6"/>
  <c r="H177" i="6"/>
  <c r="BA177" i="6"/>
  <c r="G177" i="6"/>
  <c r="BJ177" i="6"/>
  <c r="BL177" i="6" s="1"/>
  <c r="BT190" i="6"/>
  <c r="BU190" i="6"/>
  <c r="M197" i="6"/>
  <c r="BH202" i="6"/>
  <c r="U202" i="6"/>
  <c r="Q202" i="6"/>
  <c r="M202" i="6"/>
  <c r="L202" i="6"/>
  <c r="BV202" i="6"/>
  <c r="K202" i="6"/>
  <c r="BU206" i="6"/>
  <c r="BT206" i="6"/>
  <c r="E209" i="6"/>
  <c r="BK209" i="6"/>
  <c r="BS213" i="6"/>
  <c r="U213" i="6"/>
  <c r="BP213" i="6"/>
  <c r="O213" i="6"/>
  <c r="BO213" i="6"/>
  <c r="BR213" i="6" s="1"/>
  <c r="L213" i="6"/>
  <c r="BK213" i="6"/>
  <c r="K213" i="6"/>
  <c r="BJ213" i="6"/>
  <c r="BL213" i="6" s="1"/>
  <c r="J213" i="6"/>
  <c r="BV213" i="6"/>
  <c r="D222" i="6"/>
  <c r="A150" i="6"/>
  <c r="BU150" i="6" s="1"/>
  <c r="BK150" i="6"/>
  <c r="U168" i="6"/>
  <c r="B172" i="6"/>
  <c r="I177" i="6"/>
  <c r="BK177" i="6"/>
  <c r="BP180" i="6"/>
  <c r="I180" i="6"/>
  <c r="F180" i="6"/>
  <c r="BV185" i="6"/>
  <c r="L185" i="6"/>
  <c r="K185" i="6"/>
  <c r="AZ189" i="6"/>
  <c r="W189" i="6" s="1"/>
  <c r="BJ189" i="6"/>
  <c r="BL189" i="6" s="1"/>
  <c r="BH189" i="6"/>
  <c r="E202" i="6"/>
  <c r="BD206" i="6"/>
  <c r="I206" i="6"/>
  <c r="BV206" i="6"/>
  <c r="BA206" i="6"/>
  <c r="H206" i="6"/>
  <c r="AZ206" i="6"/>
  <c r="W206" i="6" s="1"/>
  <c r="G206" i="6"/>
  <c r="E206" i="6"/>
  <c r="BS206" i="6"/>
  <c r="V206" i="6"/>
  <c r="D206" i="6"/>
  <c r="BK206" i="6"/>
  <c r="F209" i="6"/>
  <c r="D213" i="6"/>
  <c r="E222" i="6"/>
  <c r="B223" i="6"/>
  <c r="A228" i="6"/>
  <c r="BU228" i="6" s="1"/>
  <c r="BQ247" i="6"/>
  <c r="T247" i="6"/>
  <c r="BO150" i="6"/>
  <c r="BR150" i="6" s="1"/>
  <c r="BU166" i="6"/>
  <c r="E168" i="6"/>
  <c r="V168" i="6"/>
  <c r="BV168" i="6"/>
  <c r="V172" i="6"/>
  <c r="Q172" i="6"/>
  <c r="BK172" i="6"/>
  <c r="J177" i="6"/>
  <c r="BO177" i="6"/>
  <c r="T177" i="6" s="1"/>
  <c r="M179" i="6"/>
  <c r="E180" i="6"/>
  <c r="G183" i="6"/>
  <c r="D185" i="6"/>
  <c r="H189" i="6"/>
  <c r="BH190" i="6"/>
  <c r="M190" i="6"/>
  <c r="BK190" i="6"/>
  <c r="L190" i="6"/>
  <c r="BB190" i="6"/>
  <c r="I202" i="6"/>
  <c r="J206" i="6"/>
  <c r="BM206" i="6"/>
  <c r="H209" i="6"/>
  <c r="F213" i="6"/>
  <c r="F222" i="6"/>
  <c r="BK223" i="6"/>
  <c r="L223" i="6"/>
  <c r="BJ223" i="6"/>
  <c r="BL223" i="6" s="1"/>
  <c r="K223" i="6"/>
  <c r="BH223" i="6"/>
  <c r="J223" i="6"/>
  <c r="BC223" i="6"/>
  <c r="I223" i="6"/>
  <c r="BB223" i="6"/>
  <c r="H223" i="6"/>
  <c r="BR223" i="6"/>
  <c r="B225" i="6"/>
  <c r="A225" i="6"/>
  <c r="BP225" i="6"/>
  <c r="BO228" i="6"/>
  <c r="BH228" i="6"/>
  <c r="J228" i="6"/>
  <c r="I228" i="6"/>
  <c r="BD228" i="6"/>
  <c r="H228" i="6"/>
  <c r="BA228" i="6"/>
  <c r="G228" i="6"/>
  <c r="AZ228" i="6"/>
  <c r="W228" i="6" s="1"/>
  <c r="BE228" i="6" s="1"/>
  <c r="F228" i="6"/>
  <c r="V228" i="6"/>
  <c r="D228" i="6"/>
  <c r="BV228" i="6"/>
  <c r="BU271" i="6"/>
  <c r="BT271" i="6"/>
  <c r="H150" i="6"/>
  <c r="BP150" i="6"/>
  <c r="F168" i="6"/>
  <c r="BA168" i="6"/>
  <c r="D172" i="6"/>
  <c r="BU172" i="6"/>
  <c r="K177" i="6"/>
  <c r="D179" i="6"/>
  <c r="M180" i="6"/>
  <c r="BP182" i="6"/>
  <c r="M182" i="6"/>
  <c r="BH182" i="6"/>
  <c r="L182" i="6"/>
  <c r="AZ183" i="6"/>
  <c r="W183" i="6" s="1"/>
  <c r="G185" i="6"/>
  <c r="BP188" i="6"/>
  <c r="BM188" i="6"/>
  <c r="R188" i="6"/>
  <c r="A188" i="6"/>
  <c r="BU188" i="6" s="1"/>
  <c r="BK188" i="6"/>
  <c r="Q188" i="6"/>
  <c r="I189" i="6"/>
  <c r="E190" i="6"/>
  <c r="BE190" i="6"/>
  <c r="AZ197" i="6"/>
  <c r="W197" i="6" s="1"/>
  <c r="BP199" i="6"/>
  <c r="BO199" i="6"/>
  <c r="BQ199" i="6" s="1"/>
  <c r="J202" i="6"/>
  <c r="K206" i="6"/>
  <c r="BP206" i="6"/>
  <c r="I209" i="6"/>
  <c r="BK210" i="6"/>
  <c r="BJ210" i="6"/>
  <c r="R210" i="6" s="1"/>
  <c r="BH210" i="6"/>
  <c r="BC210" i="6"/>
  <c r="G213" i="6"/>
  <c r="L222" i="6"/>
  <c r="F223" i="6"/>
  <c r="BS223" i="6"/>
  <c r="G225" i="6"/>
  <c r="E228" i="6"/>
  <c r="BD125" i="6"/>
  <c r="I150" i="6"/>
  <c r="V166" i="6"/>
  <c r="G168" i="6"/>
  <c r="BB168" i="6"/>
  <c r="J172" i="6"/>
  <c r="BV172" i="6"/>
  <c r="L177" i="6"/>
  <c r="L179" i="6"/>
  <c r="O180" i="6"/>
  <c r="E182" i="6"/>
  <c r="AZ182" i="6"/>
  <c r="W182" i="6" s="1"/>
  <c r="BC183" i="6"/>
  <c r="M185" i="6"/>
  <c r="E188" i="6"/>
  <c r="AZ188" i="6"/>
  <c r="W188" i="6" s="1"/>
  <c r="J189" i="6"/>
  <c r="I190" i="6"/>
  <c r="BJ190" i="6"/>
  <c r="BA197" i="6"/>
  <c r="BK199" i="6"/>
  <c r="BS201" i="6"/>
  <c r="BJ201" i="6"/>
  <c r="BH201" i="6"/>
  <c r="V201" i="6"/>
  <c r="U201" i="6"/>
  <c r="V202" i="6"/>
  <c r="BC205" i="6"/>
  <c r="U205" i="6"/>
  <c r="Q205" i="6"/>
  <c r="O205" i="6"/>
  <c r="K205" i="6"/>
  <c r="L206" i="6"/>
  <c r="J209" i="6"/>
  <c r="D210" i="6"/>
  <c r="I213" i="6"/>
  <c r="BD218" i="6"/>
  <c r="B218" i="6"/>
  <c r="BC218" i="6"/>
  <c r="A218" i="6"/>
  <c r="BT218" i="6" s="1"/>
  <c r="BB218" i="6"/>
  <c r="AZ218" i="6"/>
  <c r="W218" i="6" s="1"/>
  <c r="Q218" i="6"/>
  <c r="M222" i="6"/>
  <c r="G223" i="6"/>
  <c r="BV223" i="6"/>
  <c r="K225" i="6"/>
  <c r="K228" i="6"/>
  <c r="A121" i="6"/>
  <c r="U121" i="6"/>
  <c r="F125" i="6"/>
  <c r="BH125" i="6"/>
  <c r="B132" i="6"/>
  <c r="Q132" i="6"/>
  <c r="BO132" i="6"/>
  <c r="B134" i="6"/>
  <c r="BC134" i="6"/>
  <c r="BO148" i="6"/>
  <c r="BR148" i="6" s="1"/>
  <c r="J150" i="6"/>
  <c r="BA152" i="6"/>
  <c r="Q161" i="6"/>
  <c r="E166" i="6"/>
  <c r="AZ166" i="6"/>
  <c r="W166" i="6" s="1"/>
  <c r="N166" i="6" s="1"/>
  <c r="H168" i="6"/>
  <c r="BC168" i="6"/>
  <c r="U170" i="6"/>
  <c r="BV170" i="6"/>
  <c r="K172" i="6"/>
  <c r="M177" i="6"/>
  <c r="BV177" i="6"/>
  <c r="O179" i="6"/>
  <c r="Q180" i="6"/>
  <c r="F182" i="6"/>
  <c r="BA182" i="6"/>
  <c r="F188" i="6"/>
  <c r="BA188" i="6"/>
  <c r="L189" i="6"/>
  <c r="J190" i="6"/>
  <c r="BV190" i="6"/>
  <c r="BB197" i="6"/>
  <c r="G201" i="6"/>
  <c r="AZ202" i="6"/>
  <c r="W202" i="6" s="1"/>
  <c r="F205" i="6"/>
  <c r="M206" i="6"/>
  <c r="I207" i="6"/>
  <c r="K209" i="6"/>
  <c r="G210" i="6"/>
  <c r="V213" i="6"/>
  <c r="BS215" i="6"/>
  <c r="BH215" i="6"/>
  <c r="BA215" i="6"/>
  <c r="Q215" i="6"/>
  <c r="H218" i="6"/>
  <c r="Q222" i="6"/>
  <c r="M223" i="6"/>
  <c r="Q225" i="6"/>
  <c r="L228" i="6"/>
  <c r="BM241" i="6"/>
  <c r="BL241" i="6"/>
  <c r="V121" i="6"/>
  <c r="G125" i="6"/>
  <c r="J148" i="6"/>
  <c r="E152" i="6"/>
  <c r="D154" i="6"/>
  <c r="BB161" i="6"/>
  <c r="F166" i="6"/>
  <c r="Q167" i="6"/>
  <c r="I168" i="6"/>
  <c r="E170" i="6"/>
  <c r="V170" i="6"/>
  <c r="L172" i="6"/>
  <c r="O177" i="6"/>
  <c r="AZ179" i="6"/>
  <c r="W179" i="6" s="1"/>
  <c r="BG179" i="6" s="1"/>
  <c r="U180" i="6"/>
  <c r="G182" i="6"/>
  <c r="AZ185" i="6"/>
  <c r="W185" i="6" s="1"/>
  <c r="G188" i="6"/>
  <c r="O189" i="6"/>
  <c r="K190" i="6"/>
  <c r="BD197" i="6"/>
  <c r="H201" i="6"/>
  <c r="BA202" i="6"/>
  <c r="J205" i="6"/>
  <c r="M207" i="6"/>
  <c r="BA209" i="6"/>
  <c r="O210" i="6"/>
  <c r="W213" i="6"/>
  <c r="N213" i="6" s="1"/>
  <c r="M215" i="6"/>
  <c r="I218" i="6"/>
  <c r="U222" i="6"/>
  <c r="O223" i="6"/>
  <c r="K224" i="6"/>
  <c r="J224" i="6"/>
  <c r="BV224" i="6"/>
  <c r="H224" i="6"/>
  <c r="BO224" i="6"/>
  <c r="E224" i="6"/>
  <c r="BK224" i="6"/>
  <c r="D224" i="6"/>
  <c r="V225" i="6"/>
  <c r="M228" i="6"/>
  <c r="BV239" i="6"/>
  <c r="O239" i="6"/>
  <c r="BP239" i="6"/>
  <c r="M239" i="6"/>
  <c r="BO239" i="6"/>
  <c r="T239" i="6" s="1"/>
  <c r="K239" i="6"/>
  <c r="J239" i="6"/>
  <c r="BJ239" i="6"/>
  <c r="BM239" i="6" s="1"/>
  <c r="BH239" i="6"/>
  <c r="B239" i="6"/>
  <c r="BD239" i="6"/>
  <c r="A239" i="6"/>
  <c r="BT239" i="6" s="1"/>
  <c r="BC239" i="6"/>
  <c r="BB239" i="6"/>
  <c r="BA239" i="6"/>
  <c r="V239" i="6"/>
  <c r="U239" i="6"/>
  <c r="I239" i="6"/>
  <c r="BH265" i="6"/>
  <c r="O265" i="6"/>
  <c r="M265" i="6"/>
  <c r="L265" i="6"/>
  <c r="K265" i="6"/>
  <c r="J265" i="6"/>
  <c r="BS265" i="6"/>
  <c r="I265" i="6"/>
  <c r="BP265" i="6"/>
  <c r="F265" i="6"/>
  <c r="BD265" i="6"/>
  <c r="BC265" i="6"/>
  <c r="BO245" i="6"/>
  <c r="BQ245" i="6" s="1"/>
  <c r="O245" i="6"/>
  <c r="A245" i="6"/>
  <c r="BU245" i="6" s="1"/>
  <c r="BK245" i="6"/>
  <c r="M245" i="6"/>
  <c r="BJ245" i="6"/>
  <c r="BM245" i="6" s="1"/>
  <c r="K245" i="6"/>
  <c r="BH245" i="6"/>
  <c r="J245" i="6"/>
  <c r="BD245" i="6"/>
  <c r="I245" i="6"/>
  <c r="BC245" i="6"/>
  <c r="AZ265" i="6"/>
  <c r="W265" i="6" s="1"/>
  <c r="BE265" i="6" s="1"/>
  <c r="BR288" i="6"/>
  <c r="D245" i="6"/>
  <c r="BP245" i="6"/>
  <c r="BK249" i="6"/>
  <c r="Q249" i="6"/>
  <c r="BJ249" i="6"/>
  <c r="BL249" i="6" s="1"/>
  <c r="M249" i="6"/>
  <c r="L249" i="6"/>
  <c r="K249" i="6"/>
  <c r="BC249" i="6"/>
  <c r="J249" i="6"/>
  <c r="BO249" i="6"/>
  <c r="BQ249" i="6" s="1"/>
  <c r="BB249" i="6"/>
  <c r="BA265" i="6"/>
  <c r="F26" i="7"/>
  <c r="F8" i="7"/>
  <c r="E245" i="6"/>
  <c r="BS245" i="6"/>
  <c r="BO260" i="6"/>
  <c r="V260" i="6"/>
  <c r="B260" i="6"/>
  <c r="U260" i="6"/>
  <c r="A260" i="6"/>
  <c r="O260" i="6"/>
  <c r="BK260" i="6"/>
  <c r="M260" i="6"/>
  <c r="BJ260" i="6"/>
  <c r="BL260" i="6" s="1"/>
  <c r="L260" i="6"/>
  <c r="BH260" i="6"/>
  <c r="K260" i="6"/>
  <c r="BV260" i="6"/>
  <c r="BA260" i="6"/>
  <c r="E260" i="6"/>
  <c r="BO261" i="6"/>
  <c r="T261" i="6" s="1"/>
  <c r="AZ261" i="6"/>
  <c r="W261" i="6" s="1"/>
  <c r="G261" i="6"/>
  <c r="F261" i="6"/>
  <c r="BO265" i="6"/>
  <c r="BR265" i="6" s="1"/>
  <c r="K272" i="6"/>
  <c r="BC272" i="6"/>
  <c r="J272" i="6"/>
  <c r="BB272" i="6"/>
  <c r="I272" i="6"/>
  <c r="BA272" i="6"/>
  <c r="H272" i="6"/>
  <c r="AZ272" i="6"/>
  <c r="W272" i="6" s="1"/>
  <c r="BG272" i="6" s="1"/>
  <c r="G272" i="6"/>
  <c r="V272" i="6"/>
  <c r="F272" i="6"/>
  <c r="BV272" i="6"/>
  <c r="U272" i="6"/>
  <c r="E272" i="6"/>
  <c r="BO272" i="6"/>
  <c r="BQ272" i="6" s="1"/>
  <c r="A272" i="6"/>
  <c r="BU272" i="6" s="1"/>
  <c r="BK272" i="6"/>
  <c r="BS283" i="6"/>
  <c r="Q283" i="6"/>
  <c r="O283" i="6"/>
  <c r="BP283" i="6"/>
  <c r="M283" i="6"/>
  <c r="BO283" i="6"/>
  <c r="BQ283" i="6" s="1"/>
  <c r="L283" i="6"/>
  <c r="BK283" i="6"/>
  <c r="K283" i="6"/>
  <c r="BH283" i="6"/>
  <c r="J283" i="6"/>
  <c r="BD283" i="6"/>
  <c r="I283" i="6"/>
  <c r="BC283" i="6"/>
  <c r="F283" i="6"/>
  <c r="BA283" i="6"/>
  <c r="E283" i="6"/>
  <c r="AZ283" i="6"/>
  <c r="W283" i="6" s="1"/>
  <c r="D283" i="6"/>
  <c r="BO234" i="6"/>
  <c r="T234" i="6" s="1"/>
  <c r="J234" i="6"/>
  <c r="BD234" i="6"/>
  <c r="I234" i="6"/>
  <c r="BA234" i="6"/>
  <c r="H234" i="6"/>
  <c r="BV236" i="6"/>
  <c r="V236" i="6"/>
  <c r="U236" i="6"/>
  <c r="M236" i="6"/>
  <c r="L236" i="6"/>
  <c r="BP236" i="6"/>
  <c r="BJ243" i="6"/>
  <c r="R243" i="6" s="1"/>
  <c r="M243" i="6"/>
  <c r="BD243" i="6"/>
  <c r="L243" i="6"/>
  <c r="BC243" i="6"/>
  <c r="K243" i="6"/>
  <c r="BB243" i="6"/>
  <c r="J243" i="6"/>
  <c r="BA243" i="6"/>
  <c r="I243" i="6"/>
  <c r="BK243" i="6"/>
  <c r="F245" i="6"/>
  <c r="BV245" i="6"/>
  <c r="E249" i="6"/>
  <c r="BS254" i="6"/>
  <c r="D260" i="6"/>
  <c r="D261" i="6"/>
  <c r="BP270" i="6"/>
  <c r="A270" i="6"/>
  <c r="BO270" i="6"/>
  <c r="BQ270" i="6" s="1"/>
  <c r="O270" i="6"/>
  <c r="BK270" i="6"/>
  <c r="M270" i="6"/>
  <c r="BJ270" i="6"/>
  <c r="BM270" i="6" s="1"/>
  <c r="K270" i="6"/>
  <c r="BH270" i="6"/>
  <c r="J270" i="6"/>
  <c r="BD270" i="6"/>
  <c r="I270" i="6"/>
  <c r="BC270" i="6"/>
  <c r="H270" i="6"/>
  <c r="BV270" i="6"/>
  <c r="BA270" i="6"/>
  <c r="F270" i="6"/>
  <c r="V270" i="6"/>
  <c r="E270" i="6"/>
  <c r="L272" i="6"/>
  <c r="V283" i="6"/>
  <c r="BV195" i="6"/>
  <c r="D234" i="6"/>
  <c r="AZ234" i="6"/>
  <c r="W234" i="6" s="1"/>
  <c r="E236" i="6"/>
  <c r="B238" i="6"/>
  <c r="D243" i="6"/>
  <c r="G245" i="6"/>
  <c r="F249" i="6"/>
  <c r="BP249" i="6"/>
  <c r="H260" i="6"/>
  <c r="E261" i="6"/>
  <c r="M272" i="6"/>
  <c r="K274" i="6"/>
  <c r="BC274" i="6"/>
  <c r="J274" i="6"/>
  <c r="BB274" i="6"/>
  <c r="I274" i="6"/>
  <c r="BA274" i="6"/>
  <c r="G274" i="6"/>
  <c r="AZ274" i="6"/>
  <c r="W274" i="6" s="1"/>
  <c r="F274" i="6"/>
  <c r="BV274" i="6"/>
  <c r="E274" i="6"/>
  <c r="BS274" i="6"/>
  <c r="V274" i="6"/>
  <c r="D274" i="6"/>
  <c r="BO274" i="6"/>
  <c r="BQ274" i="6" s="1"/>
  <c r="Q274" i="6"/>
  <c r="A274" i="6"/>
  <c r="BK274" i="6"/>
  <c r="F221" i="6"/>
  <c r="E234" i="6"/>
  <c r="H236" i="6"/>
  <c r="M238" i="6"/>
  <c r="BP238" i="6"/>
  <c r="I238" i="6"/>
  <c r="BO238" i="6"/>
  <c r="BQ238" i="6" s="1"/>
  <c r="H238" i="6"/>
  <c r="BK238" i="6"/>
  <c r="G238" i="6"/>
  <c r="BS238" i="6"/>
  <c r="E243" i="6"/>
  <c r="H245" i="6"/>
  <c r="G249" i="6"/>
  <c r="BS249" i="6"/>
  <c r="BA259" i="6"/>
  <c r="A259" i="6"/>
  <c r="AZ259" i="6"/>
  <c r="W259" i="6" s="1"/>
  <c r="BF259" i="6" s="1"/>
  <c r="BV259" i="6"/>
  <c r="R259" i="6"/>
  <c r="O259" i="6"/>
  <c r="BS259" i="6"/>
  <c r="M259" i="6"/>
  <c r="BO259" i="6"/>
  <c r="T259" i="6" s="1"/>
  <c r="L259" i="6"/>
  <c r="F259" i="6"/>
  <c r="I260" i="6"/>
  <c r="L274" i="6"/>
  <c r="BU283" i="6"/>
  <c r="A176" i="6"/>
  <c r="BU176" i="6" s="1"/>
  <c r="U176" i="6"/>
  <c r="B184" i="6"/>
  <c r="AZ184" i="6"/>
  <c r="W184" i="6" s="1"/>
  <c r="BE184" i="6" s="1"/>
  <c r="H195" i="6"/>
  <c r="B196" i="6"/>
  <c r="AZ196" i="6"/>
  <c r="W196" i="6" s="1"/>
  <c r="N196" i="6" s="1"/>
  <c r="A198" i="6"/>
  <c r="A200" i="6"/>
  <c r="R200" i="6"/>
  <c r="BM200" i="6"/>
  <c r="BS203" i="6"/>
  <c r="I221" i="6"/>
  <c r="BD226" i="6"/>
  <c r="BB232" i="6"/>
  <c r="F234" i="6"/>
  <c r="BH234" i="6"/>
  <c r="J236" i="6"/>
  <c r="D238" i="6"/>
  <c r="F243" i="6"/>
  <c r="BO243" i="6"/>
  <c r="BQ243" i="6" s="1"/>
  <c r="Q245" i="6"/>
  <c r="I249" i="6"/>
  <c r="BU249" i="6"/>
  <c r="A251" i="6"/>
  <c r="BS251" i="6"/>
  <c r="Q251" i="6"/>
  <c r="BP251" i="6"/>
  <c r="M251" i="6"/>
  <c r="BO251" i="6"/>
  <c r="BQ251" i="6" s="1"/>
  <c r="K251" i="6"/>
  <c r="BK251" i="6"/>
  <c r="J251" i="6"/>
  <c r="BA251" i="6"/>
  <c r="E251" i="6"/>
  <c r="I259" i="6"/>
  <c r="J260" i="6"/>
  <c r="BH264" i="6"/>
  <c r="BA264" i="6"/>
  <c r="V264" i="6"/>
  <c r="U264" i="6"/>
  <c r="M264" i="6"/>
  <c r="K264" i="6"/>
  <c r="J264" i="6"/>
  <c r="I264" i="6"/>
  <c r="BV264" i="6"/>
  <c r="BS264" i="6"/>
  <c r="F264" i="6"/>
  <c r="U270" i="6"/>
  <c r="BH272" i="6"/>
  <c r="M274" i="6"/>
  <c r="BH284" i="6"/>
  <c r="BA284" i="6"/>
  <c r="AZ284" i="6"/>
  <c r="Q284" i="6"/>
  <c r="O284" i="6"/>
  <c r="L284" i="6"/>
  <c r="K284" i="6"/>
  <c r="J284" i="6"/>
  <c r="H284" i="6"/>
  <c r="BV284" i="6"/>
  <c r="G284" i="6"/>
  <c r="V176" i="6"/>
  <c r="BA184" i="6"/>
  <c r="BA196" i="6"/>
  <c r="U200" i="6"/>
  <c r="BS200" i="6"/>
  <c r="D203" i="6"/>
  <c r="D226" i="6"/>
  <c r="BC231" i="6"/>
  <c r="D232" i="6"/>
  <c r="BC232" i="6"/>
  <c r="G234" i="6"/>
  <c r="BJ234" i="6"/>
  <c r="BM234" i="6" s="1"/>
  <c r="K236" i="6"/>
  <c r="E238" i="6"/>
  <c r="G243" i="6"/>
  <c r="BP243" i="6"/>
  <c r="BV249" i="6"/>
  <c r="D251" i="6"/>
  <c r="BV251" i="6"/>
  <c r="J259" i="6"/>
  <c r="G264" i="6"/>
  <c r="BB270" i="6"/>
  <c r="BJ272" i="6"/>
  <c r="R272" i="6" s="1"/>
  <c r="U274" i="6"/>
  <c r="BJ284" i="6"/>
  <c r="R284" i="6" s="1"/>
  <c r="BV271" i="6"/>
  <c r="BA279" i="6"/>
  <c r="B281" i="6"/>
  <c r="BA281" i="6"/>
  <c r="BS289" i="6"/>
  <c r="BH290" i="6"/>
  <c r="BO291" i="6"/>
  <c r="BR299" i="6"/>
  <c r="A300" i="6"/>
  <c r="BK300" i="6"/>
  <c r="BB281" i="6"/>
  <c r="A290" i="6"/>
  <c r="BS290" i="6"/>
  <c r="BS291" i="6"/>
  <c r="BO300" i="6"/>
  <c r="A303" i="6"/>
  <c r="U303" i="6"/>
  <c r="BT291" i="6"/>
  <c r="F114" i="7"/>
  <c r="E281" i="6"/>
  <c r="BD281" i="6"/>
  <c r="BH286" i="6"/>
  <c r="E289" i="6"/>
  <c r="F290" i="6"/>
  <c r="BB303" i="6"/>
  <c r="F41" i="7"/>
  <c r="O271" i="6"/>
  <c r="F281" i="6"/>
  <c r="BH281" i="6"/>
  <c r="H289" i="6"/>
  <c r="J290" i="6"/>
  <c r="G291" i="6"/>
  <c r="BV291" i="6"/>
  <c r="M299" i="6"/>
  <c r="K300" i="6"/>
  <c r="D303" i="6"/>
  <c r="BC303" i="6"/>
  <c r="BJ304" i="6"/>
  <c r="F12" i="7"/>
  <c r="BR247" i="6"/>
  <c r="U247" i="6"/>
  <c r="O252" i="6"/>
  <c r="BS258" i="6"/>
  <c r="BC263" i="6"/>
  <c r="B266" i="6"/>
  <c r="A267" i="6"/>
  <c r="B268" i="6"/>
  <c r="BD269" i="6"/>
  <c r="Q271" i="6"/>
  <c r="B273" i="6"/>
  <c r="M276" i="6"/>
  <c r="BP276" i="6"/>
  <c r="BB278" i="6"/>
  <c r="K279" i="6"/>
  <c r="BO279" i="6"/>
  <c r="BR279" i="6" s="1"/>
  <c r="I281" i="6"/>
  <c r="BO281" i="6"/>
  <c r="BQ281" i="6" s="1"/>
  <c r="BB287" i="6"/>
  <c r="I289" i="6"/>
  <c r="K290" i="6"/>
  <c r="J291" i="6"/>
  <c r="A292" i="6"/>
  <c r="BC292" i="6"/>
  <c r="O296" i="6"/>
  <c r="O299" i="6"/>
  <c r="M300" i="6"/>
  <c r="BS301" i="6"/>
  <c r="F303" i="6"/>
  <c r="BD303" i="6"/>
  <c r="BK306" i="6"/>
  <c r="BA308" i="6"/>
  <c r="BB237" i="6"/>
  <c r="V241" i="6"/>
  <c r="BQ241" i="6"/>
  <c r="BC242" i="6"/>
  <c r="U244" i="6"/>
  <c r="E247" i="6"/>
  <c r="V247" i="6"/>
  <c r="BV247" i="6"/>
  <c r="B250" i="6"/>
  <c r="BO250" i="6"/>
  <c r="BQ250" i="6" s="1"/>
  <c r="BA252" i="6"/>
  <c r="V253" i="6"/>
  <c r="A256" i="6"/>
  <c r="D258" i="6"/>
  <c r="U258" i="6"/>
  <c r="M262" i="6"/>
  <c r="D263" i="6"/>
  <c r="BD263" i="6"/>
  <c r="B267" i="6"/>
  <c r="BH269" i="6"/>
  <c r="BC271" i="6"/>
  <c r="Q276" i="6"/>
  <c r="BS276" i="6"/>
  <c r="BH278" i="6"/>
  <c r="L279" i="6"/>
  <c r="BP279" i="6"/>
  <c r="K281" i="6"/>
  <c r="BP281" i="6"/>
  <c r="BD287" i="6"/>
  <c r="K289" i="6"/>
  <c r="M290" i="6"/>
  <c r="L291" i="6"/>
  <c r="B292" i="6"/>
  <c r="BH292" i="6"/>
  <c r="BK297" i="6"/>
  <c r="Q299" i="6"/>
  <c r="O300" i="6"/>
  <c r="H301" i="6"/>
  <c r="BT301" i="6"/>
  <c r="G303" i="6"/>
  <c r="BH303" i="6"/>
  <c r="E308" i="6"/>
  <c r="BB308" i="6"/>
  <c r="F80" i="7"/>
  <c r="B235" i="6"/>
  <c r="BC235" i="6"/>
  <c r="D237" i="6"/>
  <c r="BJ237" i="6"/>
  <c r="R237" i="6" s="1"/>
  <c r="E241" i="6"/>
  <c r="BV241" i="6"/>
  <c r="BO242" i="6"/>
  <c r="BQ242" i="6" s="1"/>
  <c r="BA244" i="6"/>
  <c r="F247" i="6"/>
  <c r="AZ247" i="6"/>
  <c r="W247" i="6" s="1"/>
  <c r="BP250" i="6"/>
  <c r="BP252" i="6"/>
  <c r="BH253" i="6"/>
  <c r="B256" i="6"/>
  <c r="E258" i="6"/>
  <c r="V258" i="6"/>
  <c r="U262" i="6"/>
  <c r="E263" i="6"/>
  <c r="BO263" i="6"/>
  <c r="BR263" i="6" s="1"/>
  <c r="I266" i="6"/>
  <c r="O268" i="6"/>
  <c r="BK269" i="6"/>
  <c r="BD271" i="6"/>
  <c r="T276" i="6"/>
  <c r="BV276" i="6"/>
  <c r="BJ278" i="6"/>
  <c r="R278" i="6" s="1"/>
  <c r="M279" i="6"/>
  <c r="BV279" i="6"/>
  <c r="L281" i="6"/>
  <c r="BS287" i="6"/>
  <c r="M289" i="6"/>
  <c r="O290" i="6"/>
  <c r="O291" i="6"/>
  <c r="BJ292" i="6"/>
  <c r="BM292" i="6" s="1"/>
  <c r="BP297" i="6"/>
  <c r="U299" i="6"/>
  <c r="Q300" i="6"/>
  <c r="J301" i="6"/>
  <c r="BV301" i="6"/>
  <c r="H303" i="6"/>
  <c r="BK303" i="6"/>
  <c r="D305" i="6"/>
  <c r="E306" i="6"/>
  <c r="U306" i="6"/>
  <c r="BO306" i="6"/>
  <c r="T306" i="6" s="1"/>
  <c r="F308" i="6"/>
  <c r="BC308" i="6"/>
  <c r="F22" i="7"/>
  <c r="BG235" i="6"/>
  <c r="BI235" i="6" s="1"/>
  <c r="P235" i="6" s="1"/>
  <c r="F237" i="6"/>
  <c r="F241" i="6"/>
  <c r="AZ241" i="6"/>
  <c r="W241" i="6" s="1"/>
  <c r="BP242" i="6"/>
  <c r="G247" i="6"/>
  <c r="BA247" i="6"/>
  <c r="D248" i="6"/>
  <c r="D250" i="6"/>
  <c r="BS250" i="6"/>
  <c r="BJ253" i="6"/>
  <c r="BL253" i="6" s="1"/>
  <c r="F258" i="6"/>
  <c r="AZ258" i="6"/>
  <c r="W258" i="6" s="1"/>
  <c r="BV258" i="6"/>
  <c r="V262" i="6"/>
  <c r="F263" i="6"/>
  <c r="BP263" i="6"/>
  <c r="J266" i="6"/>
  <c r="I267" i="6"/>
  <c r="U268" i="6"/>
  <c r="BJ271" i="6"/>
  <c r="R271" i="6" s="1"/>
  <c r="U276" i="6"/>
  <c r="BK278" i="6"/>
  <c r="O279" i="6"/>
  <c r="M281" i="6"/>
  <c r="BS281" i="6"/>
  <c r="A288" i="6"/>
  <c r="BD288" i="6"/>
  <c r="O289" i="6"/>
  <c r="V290" i="6"/>
  <c r="Q291" i="6"/>
  <c r="F292" i="6"/>
  <c r="BK292" i="6"/>
  <c r="E295" i="6"/>
  <c r="D297" i="6"/>
  <c r="BS297" i="6"/>
  <c r="BJ299" i="6"/>
  <c r="BL299" i="6" s="1"/>
  <c r="U300" i="6"/>
  <c r="M301" i="6"/>
  <c r="BD302" i="6"/>
  <c r="I303" i="6"/>
  <c r="BO303" i="6"/>
  <c r="BR303" i="6" s="1"/>
  <c r="E305" i="6"/>
  <c r="F306" i="6"/>
  <c r="V306" i="6"/>
  <c r="BS306" i="6"/>
  <c r="G308" i="6"/>
  <c r="BD308" i="6"/>
  <c r="F235" i="6"/>
  <c r="G237" i="6"/>
  <c r="G241" i="6"/>
  <c r="E242" i="6"/>
  <c r="H247" i="6"/>
  <c r="BB247" i="6"/>
  <c r="Q248" i="6"/>
  <c r="G258" i="6"/>
  <c r="BA258" i="6"/>
  <c r="I263" i="6"/>
  <c r="BS263" i="6"/>
  <c r="AZ289" i="6"/>
  <c r="BB290" i="6"/>
  <c r="H292" i="6"/>
  <c r="F295" i="6"/>
  <c r="H297" i="6"/>
  <c r="BK299" i="6"/>
  <c r="BA300" i="6"/>
  <c r="E302" i="6"/>
  <c r="BJ302" i="6"/>
  <c r="BL302" i="6" s="1"/>
  <c r="L303" i="6"/>
  <c r="G306" i="6"/>
  <c r="K308" i="6"/>
  <c r="I25" i="3"/>
  <c r="H25" i="3"/>
  <c r="F25" i="3"/>
  <c r="B25" i="3"/>
  <c r="H32" i="3"/>
  <c r="F32" i="3"/>
  <c r="I32" i="3"/>
  <c r="B32" i="3"/>
  <c r="H44" i="3"/>
  <c r="F44" i="3"/>
  <c r="I44" i="3"/>
  <c r="B44" i="3"/>
  <c r="H56" i="3"/>
  <c r="F56" i="3"/>
  <c r="I56" i="3"/>
  <c r="B56" i="3"/>
  <c r="H68" i="3"/>
  <c r="F68" i="3"/>
  <c r="I68" i="3"/>
  <c r="B68" i="3"/>
  <c r="H80" i="3"/>
  <c r="F80" i="3"/>
  <c r="I80" i="3"/>
  <c r="B80" i="3"/>
  <c r="H92" i="3"/>
  <c r="F92" i="3"/>
  <c r="I92" i="3"/>
  <c r="B92" i="3"/>
  <c r="H104" i="3"/>
  <c r="F104" i="3"/>
  <c r="I104" i="3"/>
  <c r="B104" i="3"/>
  <c r="H116" i="3"/>
  <c r="F116" i="3"/>
  <c r="I116" i="3"/>
  <c r="B116" i="3"/>
  <c r="H128" i="3"/>
  <c r="F128" i="3"/>
  <c r="I128" i="3"/>
  <c r="B128" i="3"/>
  <c r="H140" i="3"/>
  <c r="F140" i="3"/>
  <c r="I140" i="3"/>
  <c r="B140" i="3"/>
  <c r="H152" i="3"/>
  <c r="F152" i="3"/>
  <c r="I152" i="3"/>
  <c r="B152" i="3"/>
  <c r="H164" i="3"/>
  <c r="F164" i="3"/>
  <c r="I164" i="3"/>
  <c r="B164" i="3"/>
  <c r="H176" i="3"/>
  <c r="F176" i="3"/>
  <c r="I176" i="3"/>
  <c r="B176" i="3"/>
  <c r="H188" i="3"/>
  <c r="F188" i="3"/>
  <c r="I188" i="3"/>
  <c r="B188" i="3"/>
  <c r="H200" i="3"/>
  <c r="F200" i="3"/>
  <c r="I200" i="3"/>
  <c r="B200" i="3"/>
  <c r="H212" i="3"/>
  <c r="F212" i="3"/>
  <c r="I212" i="3"/>
  <c r="B212" i="3"/>
  <c r="H224" i="3"/>
  <c r="F224" i="3"/>
  <c r="I224" i="3"/>
  <c r="B224" i="3"/>
  <c r="H236" i="3"/>
  <c r="F236" i="3"/>
  <c r="I236" i="3"/>
  <c r="B236" i="3"/>
  <c r="H248" i="3"/>
  <c r="F248" i="3"/>
  <c r="I248" i="3"/>
  <c r="B248" i="3"/>
  <c r="H260" i="3"/>
  <c r="F260" i="3"/>
  <c r="I260" i="3"/>
  <c r="B260" i="3"/>
  <c r="H272" i="3"/>
  <c r="F272" i="3"/>
  <c r="I272" i="3"/>
  <c r="B272" i="3"/>
  <c r="H284" i="3"/>
  <c r="F284" i="3"/>
  <c r="I284" i="3"/>
  <c r="B284" i="3"/>
  <c r="I297" i="3"/>
  <c r="H297" i="3"/>
  <c r="F297" i="3"/>
  <c r="B297" i="3"/>
  <c r="H11" i="3"/>
  <c r="F11" i="3"/>
  <c r="C11" i="3"/>
  <c r="B11" i="3"/>
  <c r="I15" i="3"/>
  <c r="F15" i="3"/>
  <c r="H18" i="3"/>
  <c r="F18" i="3"/>
  <c r="I18" i="3"/>
  <c r="C18" i="3"/>
  <c r="B18" i="3"/>
  <c r="C25" i="3"/>
  <c r="C32" i="3"/>
  <c r="C44" i="3"/>
  <c r="C56" i="3"/>
  <c r="C68" i="3"/>
  <c r="C80" i="3"/>
  <c r="C92" i="3"/>
  <c r="C104" i="3"/>
  <c r="C116" i="3"/>
  <c r="C128" i="3"/>
  <c r="C140" i="3"/>
  <c r="C152" i="3"/>
  <c r="C164" i="3"/>
  <c r="C176" i="3"/>
  <c r="C188" i="3"/>
  <c r="C200" i="3"/>
  <c r="C212" i="3"/>
  <c r="C224" i="3"/>
  <c r="C236" i="3"/>
  <c r="C248" i="3"/>
  <c r="C260" i="3"/>
  <c r="C272" i="3"/>
  <c r="C284" i="3"/>
  <c r="C297" i="3"/>
  <c r="BB58" i="6"/>
  <c r="B58" i="6"/>
  <c r="BA58" i="6"/>
  <c r="M58" i="6"/>
  <c r="A58" i="6"/>
  <c r="BC58" i="6"/>
  <c r="K58" i="6"/>
  <c r="BO58" i="6"/>
  <c r="BQ58" i="6" s="1"/>
  <c r="I58" i="6"/>
  <c r="V58" i="6"/>
  <c r="H58" i="6"/>
  <c r="BP58" i="6"/>
  <c r="BK58" i="6"/>
  <c r="Q58" i="6"/>
  <c r="BJ58" i="6"/>
  <c r="R58" i="6" s="1"/>
  <c r="O58" i="6"/>
  <c r="L58" i="6"/>
  <c r="BH58" i="6"/>
  <c r="J58" i="6"/>
  <c r="G58" i="6"/>
  <c r="AZ58" i="6"/>
  <c r="W58" i="6" s="1"/>
  <c r="U58" i="6"/>
  <c r="F58" i="6"/>
  <c r="D58" i="6"/>
  <c r="BV58" i="6"/>
  <c r="BS58" i="6"/>
  <c r="BF170" i="6"/>
  <c r="BE170" i="6"/>
  <c r="I7" i="3"/>
  <c r="I11" i="3"/>
  <c r="B15" i="3"/>
  <c r="B29" i="3"/>
  <c r="I37" i="3"/>
  <c r="H37" i="3"/>
  <c r="F37" i="3"/>
  <c r="B37" i="3"/>
  <c r="I41" i="3"/>
  <c r="F41" i="3"/>
  <c r="I49" i="3"/>
  <c r="H49" i="3"/>
  <c r="F49" i="3"/>
  <c r="B49" i="3"/>
  <c r="I53" i="3"/>
  <c r="F53" i="3"/>
  <c r="I61" i="3"/>
  <c r="H61" i="3"/>
  <c r="F61" i="3"/>
  <c r="B61" i="3"/>
  <c r="I65" i="3"/>
  <c r="F65" i="3"/>
  <c r="I73" i="3"/>
  <c r="H73" i="3"/>
  <c r="F73" i="3"/>
  <c r="B73" i="3"/>
  <c r="I77" i="3"/>
  <c r="F77" i="3"/>
  <c r="I85" i="3"/>
  <c r="H85" i="3"/>
  <c r="F85" i="3"/>
  <c r="B85" i="3"/>
  <c r="I89" i="3"/>
  <c r="F89" i="3"/>
  <c r="I97" i="3"/>
  <c r="H97" i="3"/>
  <c r="F97" i="3"/>
  <c r="B97" i="3"/>
  <c r="I101" i="3"/>
  <c r="F101" i="3"/>
  <c r="I109" i="3"/>
  <c r="H109" i="3"/>
  <c r="F109" i="3"/>
  <c r="B109" i="3"/>
  <c r="I113" i="3"/>
  <c r="F113" i="3"/>
  <c r="I121" i="3"/>
  <c r="H121" i="3"/>
  <c r="F121" i="3"/>
  <c r="B121" i="3"/>
  <c r="I125" i="3"/>
  <c r="F125" i="3"/>
  <c r="I133" i="3"/>
  <c r="H133" i="3"/>
  <c r="F133" i="3"/>
  <c r="B133" i="3"/>
  <c r="I137" i="3"/>
  <c r="F137" i="3"/>
  <c r="I145" i="3"/>
  <c r="H145" i="3"/>
  <c r="F145" i="3"/>
  <c r="B145" i="3"/>
  <c r="I149" i="3"/>
  <c r="F149" i="3"/>
  <c r="I157" i="3"/>
  <c r="H157" i="3"/>
  <c r="F157" i="3"/>
  <c r="B157" i="3"/>
  <c r="I161" i="3"/>
  <c r="F161" i="3"/>
  <c r="I169" i="3"/>
  <c r="H169" i="3"/>
  <c r="F169" i="3"/>
  <c r="B169" i="3"/>
  <c r="I173" i="3"/>
  <c r="F173" i="3"/>
  <c r="I181" i="3"/>
  <c r="H181" i="3"/>
  <c r="F181" i="3"/>
  <c r="B181" i="3"/>
  <c r="I185" i="3"/>
  <c r="F185" i="3"/>
  <c r="I193" i="3"/>
  <c r="H193" i="3"/>
  <c r="F193" i="3"/>
  <c r="B193" i="3"/>
  <c r="I197" i="3"/>
  <c r="F197" i="3"/>
  <c r="I205" i="3"/>
  <c r="H205" i="3"/>
  <c r="F205" i="3"/>
  <c r="B205" i="3"/>
  <c r="I209" i="3"/>
  <c r="F209" i="3"/>
  <c r="I217" i="3"/>
  <c r="H217" i="3"/>
  <c r="F217" i="3"/>
  <c r="B217" i="3"/>
  <c r="I221" i="3"/>
  <c r="F221" i="3"/>
  <c r="I229" i="3"/>
  <c r="H229" i="3"/>
  <c r="F229" i="3"/>
  <c r="B229" i="3"/>
  <c r="I233" i="3"/>
  <c r="F233" i="3"/>
  <c r="I241" i="3"/>
  <c r="H241" i="3"/>
  <c r="F241" i="3"/>
  <c r="B241" i="3"/>
  <c r="I245" i="3"/>
  <c r="F245" i="3"/>
  <c r="I253" i="3"/>
  <c r="H253" i="3"/>
  <c r="F253" i="3"/>
  <c r="B253" i="3"/>
  <c r="I257" i="3"/>
  <c r="F257" i="3"/>
  <c r="I265" i="3"/>
  <c r="H265" i="3"/>
  <c r="F265" i="3"/>
  <c r="B265" i="3"/>
  <c r="I269" i="3"/>
  <c r="F269" i="3"/>
  <c r="I277" i="3"/>
  <c r="H277" i="3"/>
  <c r="F277" i="3"/>
  <c r="B277" i="3"/>
  <c r="I281" i="3"/>
  <c r="F281" i="3"/>
  <c r="I289" i="3"/>
  <c r="H289" i="3"/>
  <c r="F289" i="3"/>
  <c r="B289" i="3"/>
  <c r="BA11" i="6"/>
  <c r="K11" i="6" s="1"/>
  <c r="AZ11" i="6"/>
  <c r="J11" i="6" s="1"/>
  <c r="BK11" i="6"/>
  <c r="BJ11" i="6"/>
  <c r="I11" i="6"/>
  <c r="BV11" i="6"/>
  <c r="V11" i="6" s="1"/>
  <c r="H11" i="6"/>
  <c r="G11" i="6"/>
  <c r="BP11" i="6"/>
  <c r="BO11" i="6"/>
  <c r="F11" i="6"/>
  <c r="D11" i="6"/>
  <c r="BC11" i="6"/>
  <c r="BB11" i="6"/>
  <c r="L11" i="6" s="1"/>
  <c r="E58" i="6"/>
  <c r="F8" i="3"/>
  <c r="H8" i="3" s="1"/>
  <c r="I8" i="3" s="1"/>
  <c r="B8" i="3"/>
  <c r="H12" i="3"/>
  <c r="F12" i="3"/>
  <c r="C15" i="3"/>
  <c r="H22" i="3"/>
  <c r="F22" i="3"/>
  <c r="I22" i="3"/>
  <c r="C29" i="3"/>
  <c r="C37" i="3"/>
  <c r="B41" i="3"/>
  <c r="C49" i="3"/>
  <c r="B53" i="3"/>
  <c r="C61" i="3"/>
  <c r="B65" i="3"/>
  <c r="C73" i="3"/>
  <c r="B77" i="3"/>
  <c r="C85" i="3"/>
  <c r="B89" i="3"/>
  <c r="C97" i="3"/>
  <c r="B101" i="3"/>
  <c r="C109" i="3"/>
  <c r="B113" i="3"/>
  <c r="C121" i="3"/>
  <c r="B125" i="3"/>
  <c r="C133" i="3"/>
  <c r="B137" i="3"/>
  <c r="C145" i="3"/>
  <c r="B149" i="3"/>
  <c r="C157" i="3"/>
  <c r="B161" i="3"/>
  <c r="C169" i="3"/>
  <c r="B173" i="3"/>
  <c r="C181" i="3"/>
  <c r="B185" i="3"/>
  <c r="C193" i="3"/>
  <c r="B197" i="3"/>
  <c r="C205" i="3"/>
  <c r="B209" i="3"/>
  <c r="C217" i="3"/>
  <c r="B221" i="3"/>
  <c r="C229" i="3"/>
  <c r="B233" i="3"/>
  <c r="C241" i="3"/>
  <c r="B245" i="3"/>
  <c r="C253" i="3"/>
  <c r="B257" i="3"/>
  <c r="C265" i="3"/>
  <c r="B269" i="3"/>
  <c r="C277" i="3"/>
  <c r="B281" i="3"/>
  <c r="C289" i="3"/>
  <c r="E11" i="6"/>
  <c r="BD58" i="6"/>
  <c r="BU71" i="6"/>
  <c r="BT71" i="6"/>
  <c r="H15" i="3"/>
  <c r="F29" i="3"/>
  <c r="C41" i="3"/>
  <c r="C53" i="3"/>
  <c r="C65" i="3"/>
  <c r="C77" i="3"/>
  <c r="C89" i="3"/>
  <c r="C101" i="3"/>
  <c r="C113" i="3"/>
  <c r="C125" i="3"/>
  <c r="C137" i="3"/>
  <c r="C149" i="3"/>
  <c r="C161" i="3"/>
  <c r="C173" i="3"/>
  <c r="C185" i="3"/>
  <c r="C197" i="3"/>
  <c r="C209" i="3"/>
  <c r="C221" i="3"/>
  <c r="C233" i="3"/>
  <c r="C245" i="3"/>
  <c r="C257" i="3"/>
  <c r="C269" i="3"/>
  <c r="C281" i="3"/>
  <c r="BT13" i="6"/>
  <c r="BU13" i="6"/>
  <c r="BM39" i="6"/>
  <c r="BL39" i="6"/>
  <c r="R39" i="6"/>
  <c r="H29" i="3"/>
  <c r="H41" i="3"/>
  <c r="H53" i="3"/>
  <c r="H65" i="3"/>
  <c r="H77" i="3"/>
  <c r="H89" i="3"/>
  <c r="H101" i="3"/>
  <c r="H113" i="3"/>
  <c r="H125" i="3"/>
  <c r="H137" i="3"/>
  <c r="H149" i="3"/>
  <c r="H161" i="3"/>
  <c r="H173" i="3"/>
  <c r="H185" i="3"/>
  <c r="H197" i="3"/>
  <c r="H209" i="3"/>
  <c r="H221" i="3"/>
  <c r="H233" i="3"/>
  <c r="H245" i="3"/>
  <c r="H257" i="3"/>
  <c r="H269" i="3"/>
  <c r="H281" i="3"/>
  <c r="I299" i="3"/>
  <c r="H299" i="3"/>
  <c r="C299" i="3"/>
  <c r="BM19" i="6"/>
  <c r="BL19" i="6"/>
  <c r="BU36" i="6"/>
  <c r="BT36" i="6"/>
  <c r="BF107" i="6"/>
  <c r="BG107" i="6"/>
  <c r="BI107" i="6" s="1"/>
  <c r="BE107" i="6"/>
  <c r="I12" i="3"/>
  <c r="H23" i="3"/>
  <c r="F23" i="3"/>
  <c r="C23" i="3"/>
  <c r="B23" i="3"/>
  <c r="I27" i="3"/>
  <c r="F27" i="3"/>
  <c r="H30" i="3"/>
  <c r="F30" i="3"/>
  <c r="I30" i="3"/>
  <c r="C30" i="3"/>
  <c r="B30" i="3"/>
  <c r="H42" i="3"/>
  <c r="F42" i="3"/>
  <c r="I42" i="3"/>
  <c r="C42" i="3"/>
  <c r="B42" i="3"/>
  <c r="H54" i="3"/>
  <c r="F54" i="3"/>
  <c r="I54" i="3"/>
  <c r="C54" i="3"/>
  <c r="B54" i="3"/>
  <c r="H66" i="3"/>
  <c r="F66" i="3"/>
  <c r="I66" i="3"/>
  <c r="C66" i="3"/>
  <c r="B66" i="3"/>
  <c r="H78" i="3"/>
  <c r="F78" i="3"/>
  <c r="I78" i="3"/>
  <c r="C78" i="3"/>
  <c r="B78" i="3"/>
  <c r="H90" i="3"/>
  <c r="F90" i="3"/>
  <c r="I90" i="3"/>
  <c r="C90" i="3"/>
  <c r="B90" i="3"/>
  <c r="H102" i="3"/>
  <c r="F102" i="3"/>
  <c r="I102" i="3"/>
  <c r="C102" i="3"/>
  <c r="B102" i="3"/>
  <c r="H114" i="3"/>
  <c r="F114" i="3"/>
  <c r="I114" i="3"/>
  <c r="C114" i="3"/>
  <c r="B114" i="3"/>
  <c r="H126" i="3"/>
  <c r="F126" i="3"/>
  <c r="I126" i="3"/>
  <c r="C126" i="3"/>
  <c r="B126" i="3"/>
  <c r="H138" i="3"/>
  <c r="F138" i="3"/>
  <c r="I138" i="3"/>
  <c r="C138" i="3"/>
  <c r="B138" i="3"/>
  <c r="H150" i="3"/>
  <c r="F150" i="3"/>
  <c r="I150" i="3"/>
  <c r="C150" i="3"/>
  <c r="B150" i="3"/>
  <c r="H162" i="3"/>
  <c r="F162" i="3"/>
  <c r="I162" i="3"/>
  <c r="C162" i="3"/>
  <c r="B162" i="3"/>
  <c r="H174" i="3"/>
  <c r="F174" i="3"/>
  <c r="I174" i="3"/>
  <c r="C174" i="3"/>
  <c r="B174" i="3"/>
  <c r="H186" i="3"/>
  <c r="F186" i="3"/>
  <c r="I186" i="3"/>
  <c r="C186" i="3"/>
  <c r="B186" i="3"/>
  <c r="H198" i="3"/>
  <c r="F198" i="3"/>
  <c r="I198" i="3"/>
  <c r="C198" i="3"/>
  <c r="B198" i="3"/>
  <c r="H210" i="3"/>
  <c r="F210" i="3"/>
  <c r="I210" i="3"/>
  <c r="C210" i="3"/>
  <c r="B210" i="3"/>
  <c r="H222" i="3"/>
  <c r="F222" i="3"/>
  <c r="I222" i="3"/>
  <c r="C222" i="3"/>
  <c r="B222" i="3"/>
  <c r="H234" i="3"/>
  <c r="F234" i="3"/>
  <c r="I234" i="3"/>
  <c r="C234" i="3"/>
  <c r="B234" i="3"/>
  <c r="H246" i="3"/>
  <c r="F246" i="3"/>
  <c r="I246" i="3"/>
  <c r="C246" i="3"/>
  <c r="B246" i="3"/>
  <c r="H258" i="3"/>
  <c r="F258" i="3"/>
  <c r="I258" i="3"/>
  <c r="C258" i="3"/>
  <c r="B258" i="3"/>
  <c r="H270" i="3"/>
  <c r="F270" i="3"/>
  <c r="I270" i="3"/>
  <c r="C270" i="3"/>
  <c r="B270" i="3"/>
  <c r="H282" i="3"/>
  <c r="F282" i="3"/>
  <c r="I282" i="3"/>
  <c r="C282" i="3"/>
  <c r="B282" i="3"/>
  <c r="B299" i="3"/>
  <c r="BD11" i="6"/>
  <c r="BT26" i="6"/>
  <c r="BU26" i="6"/>
  <c r="N27" i="6"/>
  <c r="BG27" i="6"/>
  <c r="BF27" i="6"/>
  <c r="BG50" i="6"/>
  <c r="BI50" i="6" s="1"/>
  <c r="BU75" i="6"/>
  <c r="BT75" i="6"/>
  <c r="I13" i="3"/>
  <c r="H13" i="3"/>
  <c r="F13" i="3"/>
  <c r="B13" i="3"/>
  <c r="I23" i="3"/>
  <c r="B27" i="3"/>
  <c r="H34" i="3"/>
  <c r="F34" i="3"/>
  <c r="I34" i="3"/>
  <c r="B34" i="3"/>
  <c r="H46" i="3"/>
  <c r="F46" i="3"/>
  <c r="I46" i="3"/>
  <c r="B46" i="3"/>
  <c r="H58" i="3"/>
  <c r="F58" i="3"/>
  <c r="I58" i="3"/>
  <c r="B58" i="3"/>
  <c r="H70" i="3"/>
  <c r="F70" i="3"/>
  <c r="I70" i="3"/>
  <c r="B70" i="3"/>
  <c r="H82" i="3"/>
  <c r="F82" i="3"/>
  <c r="I82" i="3"/>
  <c r="B82" i="3"/>
  <c r="H94" i="3"/>
  <c r="F94" i="3"/>
  <c r="I94" i="3"/>
  <c r="B94" i="3"/>
  <c r="H106" i="3"/>
  <c r="F106" i="3"/>
  <c r="I106" i="3"/>
  <c r="B106" i="3"/>
  <c r="H118" i="3"/>
  <c r="F118" i="3"/>
  <c r="I118" i="3"/>
  <c r="B118" i="3"/>
  <c r="H130" i="3"/>
  <c r="F130" i="3"/>
  <c r="I130" i="3"/>
  <c r="B130" i="3"/>
  <c r="H142" i="3"/>
  <c r="F142" i="3"/>
  <c r="I142" i="3"/>
  <c r="B142" i="3"/>
  <c r="H154" i="3"/>
  <c r="F154" i="3"/>
  <c r="I154" i="3"/>
  <c r="B154" i="3"/>
  <c r="H166" i="3"/>
  <c r="F166" i="3"/>
  <c r="I166" i="3"/>
  <c r="B166" i="3"/>
  <c r="H178" i="3"/>
  <c r="F178" i="3"/>
  <c r="I178" i="3"/>
  <c r="B178" i="3"/>
  <c r="H190" i="3"/>
  <c r="F190" i="3"/>
  <c r="I190" i="3"/>
  <c r="B190" i="3"/>
  <c r="H202" i="3"/>
  <c r="F202" i="3"/>
  <c r="I202" i="3"/>
  <c r="B202" i="3"/>
  <c r="H214" i="3"/>
  <c r="F214" i="3"/>
  <c r="I214" i="3"/>
  <c r="B214" i="3"/>
  <c r="H226" i="3"/>
  <c r="F226" i="3"/>
  <c r="I226" i="3"/>
  <c r="B226" i="3"/>
  <c r="H238" i="3"/>
  <c r="F238" i="3"/>
  <c r="I238" i="3"/>
  <c r="B238" i="3"/>
  <c r="H250" i="3"/>
  <c r="F250" i="3"/>
  <c r="I250" i="3"/>
  <c r="B250" i="3"/>
  <c r="H262" i="3"/>
  <c r="F262" i="3"/>
  <c r="I262" i="3"/>
  <c r="B262" i="3"/>
  <c r="H274" i="3"/>
  <c r="F274" i="3"/>
  <c r="I274" i="3"/>
  <c r="B274" i="3"/>
  <c r="H286" i="3"/>
  <c r="F286" i="3"/>
  <c r="I286" i="3"/>
  <c r="B286" i="3"/>
  <c r="I291" i="3"/>
  <c r="H291" i="3"/>
  <c r="C291" i="3"/>
  <c r="F299" i="3"/>
  <c r="H304" i="3"/>
  <c r="F304" i="3"/>
  <c r="I304" i="3"/>
  <c r="B304" i="3"/>
  <c r="BU44" i="6"/>
  <c r="BT44" i="6"/>
  <c r="F6" i="3"/>
  <c r="H6" i="3" s="1"/>
  <c r="C6" i="3"/>
  <c r="B6" i="3"/>
  <c r="I17" i="3"/>
  <c r="H20" i="3"/>
  <c r="F20" i="3"/>
  <c r="I20" i="3"/>
  <c r="B20" i="3"/>
  <c r="H24" i="3"/>
  <c r="F24" i="3"/>
  <c r="I39" i="3"/>
  <c r="F39" i="3"/>
  <c r="B39" i="3"/>
  <c r="I51" i="3"/>
  <c r="F51" i="3"/>
  <c r="B51" i="3"/>
  <c r="I63" i="3"/>
  <c r="F63" i="3"/>
  <c r="B63" i="3"/>
  <c r="I75" i="3"/>
  <c r="F75" i="3"/>
  <c r="B75" i="3"/>
  <c r="I87" i="3"/>
  <c r="F87" i="3"/>
  <c r="B87" i="3"/>
  <c r="I99" i="3"/>
  <c r="F99" i="3"/>
  <c r="B99" i="3"/>
  <c r="I111" i="3"/>
  <c r="F111" i="3"/>
  <c r="B111" i="3"/>
  <c r="I123" i="3"/>
  <c r="F123" i="3"/>
  <c r="B123" i="3"/>
  <c r="I135" i="3"/>
  <c r="F135" i="3"/>
  <c r="B135" i="3"/>
  <c r="I147" i="3"/>
  <c r="F147" i="3"/>
  <c r="B147" i="3"/>
  <c r="I159" i="3"/>
  <c r="F159" i="3"/>
  <c r="B159" i="3"/>
  <c r="I171" i="3"/>
  <c r="F171" i="3"/>
  <c r="B171" i="3"/>
  <c r="I183" i="3"/>
  <c r="F183" i="3"/>
  <c r="B183" i="3"/>
  <c r="I195" i="3"/>
  <c r="F195" i="3"/>
  <c r="B195" i="3"/>
  <c r="I207" i="3"/>
  <c r="F207" i="3"/>
  <c r="B207" i="3"/>
  <c r="I219" i="3"/>
  <c r="F219" i="3"/>
  <c r="B219" i="3"/>
  <c r="I231" i="3"/>
  <c r="F231" i="3"/>
  <c r="B231" i="3"/>
  <c r="I243" i="3"/>
  <c r="F243" i="3"/>
  <c r="B243" i="3"/>
  <c r="I255" i="3"/>
  <c r="F255" i="3"/>
  <c r="B255" i="3"/>
  <c r="I267" i="3"/>
  <c r="F267" i="3"/>
  <c r="B267" i="3"/>
  <c r="I279" i="3"/>
  <c r="F279" i="3"/>
  <c r="B279" i="3"/>
  <c r="H300" i="3"/>
  <c r="F300" i="3"/>
  <c r="I300" i="3"/>
  <c r="C300" i="3"/>
  <c r="B300" i="3"/>
  <c r="BF32" i="6"/>
  <c r="N32" i="6"/>
  <c r="H35" i="3"/>
  <c r="F35" i="3"/>
  <c r="C35" i="3"/>
  <c r="B35" i="3"/>
  <c r="H47" i="3"/>
  <c r="F47" i="3"/>
  <c r="C47" i="3"/>
  <c r="B47" i="3"/>
  <c r="H59" i="3"/>
  <c r="F59" i="3"/>
  <c r="C59" i="3"/>
  <c r="B59" i="3"/>
  <c r="C63" i="3"/>
  <c r="H71" i="3"/>
  <c r="F71" i="3"/>
  <c r="C71" i="3"/>
  <c r="B71" i="3"/>
  <c r="C75" i="3"/>
  <c r="H83" i="3"/>
  <c r="F83" i="3"/>
  <c r="C83" i="3"/>
  <c r="B83" i="3"/>
  <c r="C87" i="3"/>
  <c r="H95" i="3"/>
  <c r="F95" i="3"/>
  <c r="C95" i="3"/>
  <c r="B95" i="3"/>
  <c r="C99" i="3"/>
  <c r="H107" i="3"/>
  <c r="F107" i="3"/>
  <c r="C107" i="3"/>
  <c r="B107" i="3"/>
  <c r="C111" i="3"/>
  <c r="H119" i="3"/>
  <c r="F119" i="3"/>
  <c r="C119" i="3"/>
  <c r="B119" i="3"/>
  <c r="C123" i="3"/>
  <c r="H131" i="3"/>
  <c r="F131" i="3"/>
  <c r="C131" i="3"/>
  <c r="B131" i="3"/>
  <c r="C135" i="3"/>
  <c r="H143" i="3"/>
  <c r="F143" i="3"/>
  <c r="C143" i="3"/>
  <c r="B143" i="3"/>
  <c r="C147" i="3"/>
  <c r="H155" i="3"/>
  <c r="F155" i="3"/>
  <c r="C155" i="3"/>
  <c r="B155" i="3"/>
  <c r="C159" i="3"/>
  <c r="H167" i="3"/>
  <c r="F167" i="3"/>
  <c r="C167" i="3"/>
  <c r="B167" i="3"/>
  <c r="C171" i="3"/>
  <c r="H179" i="3"/>
  <c r="F179" i="3"/>
  <c r="C179" i="3"/>
  <c r="B179" i="3"/>
  <c r="C183" i="3"/>
  <c r="H191" i="3"/>
  <c r="F191" i="3"/>
  <c r="C191" i="3"/>
  <c r="B191" i="3"/>
  <c r="C195" i="3"/>
  <c r="H203" i="3"/>
  <c r="F203" i="3"/>
  <c r="C203" i="3"/>
  <c r="B203" i="3"/>
  <c r="C207" i="3"/>
  <c r="H215" i="3"/>
  <c r="F215" i="3"/>
  <c r="C215" i="3"/>
  <c r="B215" i="3"/>
  <c r="C219" i="3"/>
  <c r="H227" i="3"/>
  <c r="F227" i="3"/>
  <c r="C227" i="3"/>
  <c r="B227" i="3"/>
  <c r="C231" i="3"/>
  <c r="H239" i="3"/>
  <c r="F239" i="3"/>
  <c r="C239" i="3"/>
  <c r="B239" i="3"/>
  <c r="C243" i="3"/>
  <c r="H251" i="3"/>
  <c r="F251" i="3"/>
  <c r="C251" i="3"/>
  <c r="B251" i="3"/>
  <c r="C255" i="3"/>
  <c r="H263" i="3"/>
  <c r="F263" i="3"/>
  <c r="C263" i="3"/>
  <c r="B263" i="3"/>
  <c r="C267" i="3"/>
  <c r="H275" i="3"/>
  <c r="F275" i="3"/>
  <c r="C275" i="3"/>
  <c r="B275" i="3"/>
  <c r="C279" i="3"/>
  <c r="H287" i="3"/>
  <c r="F287" i="3"/>
  <c r="C287" i="3"/>
  <c r="B287" i="3"/>
  <c r="F291" i="3"/>
  <c r="H296" i="3"/>
  <c r="F296" i="3"/>
  <c r="I296" i="3"/>
  <c r="I305" i="3"/>
  <c r="H305" i="3"/>
  <c r="F305" i="3"/>
  <c r="B305" i="3"/>
  <c r="BT63" i="6"/>
  <c r="H10" i="3"/>
  <c r="F10" i="3"/>
  <c r="I10" i="3"/>
  <c r="H292" i="3"/>
  <c r="F292" i="3"/>
  <c r="I292" i="3"/>
  <c r="C292" i="3"/>
  <c r="B292" i="3"/>
  <c r="R53" i="6"/>
  <c r="BM53" i="6"/>
  <c r="BL53" i="6"/>
  <c r="BH94" i="6"/>
  <c r="H94" i="6"/>
  <c r="J94" i="6"/>
  <c r="BC94" i="6"/>
  <c r="M94" i="6"/>
  <c r="BP94" i="6"/>
  <c r="BB94" i="6"/>
  <c r="L94" i="6"/>
  <c r="BO94" i="6"/>
  <c r="BA94" i="6"/>
  <c r="K94" i="6"/>
  <c r="V94" i="6"/>
  <c r="G94" i="6"/>
  <c r="BJ94" i="6"/>
  <c r="BM94" i="6" s="1"/>
  <c r="E94" i="6"/>
  <c r="BV94" i="6"/>
  <c r="U94" i="6"/>
  <c r="BS94" i="6"/>
  <c r="Q94" i="6"/>
  <c r="O94" i="6"/>
  <c r="BK94" i="6"/>
  <c r="I94" i="6"/>
  <c r="BD94" i="6"/>
  <c r="AZ94" i="6"/>
  <c r="W94" i="6" s="1"/>
  <c r="F94" i="6"/>
  <c r="D94" i="6"/>
  <c r="B94" i="6"/>
  <c r="A94" i="6"/>
  <c r="B10" i="3"/>
  <c r="F17" i="3"/>
  <c r="I24" i="3"/>
  <c r="H36" i="3"/>
  <c r="F36" i="3"/>
  <c r="I36" i="3"/>
  <c r="H48" i="3"/>
  <c r="F48" i="3"/>
  <c r="I48" i="3"/>
  <c r="H60" i="3"/>
  <c r="F60" i="3"/>
  <c r="I60" i="3"/>
  <c r="H72" i="3"/>
  <c r="F72" i="3"/>
  <c r="I72" i="3"/>
  <c r="H84" i="3"/>
  <c r="F84" i="3"/>
  <c r="I84" i="3"/>
  <c r="H96" i="3"/>
  <c r="F96" i="3"/>
  <c r="I96" i="3"/>
  <c r="H108" i="3"/>
  <c r="F108" i="3"/>
  <c r="I108" i="3"/>
  <c r="H120" i="3"/>
  <c r="F120" i="3"/>
  <c r="I120" i="3"/>
  <c r="H132" i="3"/>
  <c r="F132" i="3"/>
  <c r="I132" i="3"/>
  <c r="H144" i="3"/>
  <c r="F144" i="3"/>
  <c r="I144" i="3"/>
  <c r="H156" i="3"/>
  <c r="F156" i="3"/>
  <c r="I156" i="3"/>
  <c r="H168" i="3"/>
  <c r="F168" i="3"/>
  <c r="I168" i="3"/>
  <c r="H180" i="3"/>
  <c r="F180" i="3"/>
  <c r="I180" i="3"/>
  <c r="H192" i="3"/>
  <c r="F192" i="3"/>
  <c r="I192" i="3"/>
  <c r="H204" i="3"/>
  <c r="F204" i="3"/>
  <c r="I204" i="3"/>
  <c r="H216" i="3"/>
  <c r="F216" i="3"/>
  <c r="I216" i="3"/>
  <c r="H228" i="3"/>
  <c r="F228" i="3"/>
  <c r="I228" i="3"/>
  <c r="H240" i="3"/>
  <c r="F240" i="3"/>
  <c r="I240" i="3"/>
  <c r="H252" i="3"/>
  <c r="F252" i="3"/>
  <c r="I252" i="3"/>
  <c r="H264" i="3"/>
  <c r="F264" i="3"/>
  <c r="I264" i="3"/>
  <c r="H276" i="3"/>
  <c r="F276" i="3"/>
  <c r="I276" i="3"/>
  <c r="H288" i="3"/>
  <c r="F288" i="3"/>
  <c r="I288" i="3"/>
  <c r="C296" i="3"/>
  <c r="AZ16" i="6"/>
  <c r="W16" i="6" s="1"/>
  <c r="L16" i="6"/>
  <c r="BA16" i="6"/>
  <c r="K16" i="6"/>
  <c r="J16" i="6"/>
  <c r="BK16" i="6"/>
  <c r="V16" i="6"/>
  <c r="I16" i="6"/>
  <c r="BJ16" i="6"/>
  <c r="BM16" i="6" s="1"/>
  <c r="U16" i="6"/>
  <c r="H16" i="6"/>
  <c r="BV16" i="6"/>
  <c r="T16" i="6"/>
  <c r="G16" i="6"/>
  <c r="BH16" i="6"/>
  <c r="F16" i="6"/>
  <c r="E16" i="6"/>
  <c r="Q16" i="6"/>
  <c r="BS16" i="6"/>
  <c r="O16" i="6"/>
  <c r="BR16" i="6"/>
  <c r="BP16" i="6"/>
  <c r="D16" i="6"/>
  <c r="B16" i="6"/>
  <c r="A16" i="6"/>
  <c r="BD16" i="6"/>
  <c r="BC16" i="6"/>
  <c r="BM29" i="6"/>
  <c r="BL29" i="6"/>
  <c r="BG46" i="6"/>
  <c r="A22" i="6"/>
  <c r="BK45" i="6"/>
  <c r="K45" i="6"/>
  <c r="BO45" i="6"/>
  <c r="BB45" i="6"/>
  <c r="M45" i="6"/>
  <c r="BL45" i="6"/>
  <c r="V45" i="6"/>
  <c r="I45" i="6"/>
  <c r="O45" i="6"/>
  <c r="BS45" i="6"/>
  <c r="BD45" i="6"/>
  <c r="L45" i="6"/>
  <c r="BC45" i="6"/>
  <c r="J45" i="6"/>
  <c r="BA45" i="6"/>
  <c r="H45" i="6"/>
  <c r="BP45" i="6"/>
  <c r="AZ45" i="6"/>
  <c r="W45" i="6" s="1"/>
  <c r="G45" i="6"/>
  <c r="U45" i="6"/>
  <c r="F45" i="6"/>
  <c r="BM45" i="6"/>
  <c r="BG53" i="6"/>
  <c r="BF53" i="6"/>
  <c r="N53" i="6"/>
  <c r="BE53" i="6"/>
  <c r="BU95" i="6"/>
  <c r="BH14" i="6"/>
  <c r="V14" i="6"/>
  <c r="J14" i="6"/>
  <c r="BA14" i="6"/>
  <c r="A14" i="6"/>
  <c r="AZ14" i="6"/>
  <c r="W14" i="6" s="1"/>
  <c r="M14" i="6"/>
  <c r="L14" i="6"/>
  <c r="BK14" i="6"/>
  <c r="K14" i="6"/>
  <c r="BJ14" i="6"/>
  <c r="BL14" i="6" s="1"/>
  <c r="I14" i="6"/>
  <c r="BV14" i="6"/>
  <c r="U14" i="6"/>
  <c r="H14" i="6"/>
  <c r="T14" i="6"/>
  <c r="G14" i="6"/>
  <c r="BD14" i="6"/>
  <c r="B22" i="6"/>
  <c r="BU43" i="6"/>
  <c r="BT43" i="6"/>
  <c r="D45" i="6"/>
  <c r="BV45" i="6"/>
  <c r="BU54" i="6"/>
  <c r="BT54" i="6"/>
  <c r="T95" i="6"/>
  <c r="BQ95" i="6"/>
  <c r="BV119" i="6"/>
  <c r="BJ119" i="6"/>
  <c r="R119" i="6" s="1"/>
  <c r="V119" i="6"/>
  <c r="J119" i="6"/>
  <c r="BA119" i="6"/>
  <c r="L119" i="6"/>
  <c r="AZ119" i="6"/>
  <c r="W119" i="6" s="1"/>
  <c r="K119" i="6"/>
  <c r="BH119" i="6"/>
  <c r="Q119" i="6"/>
  <c r="B119" i="6"/>
  <c r="A119" i="6"/>
  <c r="O119" i="6"/>
  <c r="BS119" i="6"/>
  <c r="BD119" i="6"/>
  <c r="M119" i="6"/>
  <c r="BC119" i="6"/>
  <c r="I119" i="6"/>
  <c r="BB119" i="6"/>
  <c r="H119" i="6"/>
  <c r="U119" i="6"/>
  <c r="G119" i="6"/>
  <c r="F119" i="6"/>
  <c r="BP119" i="6"/>
  <c r="E119" i="6"/>
  <c r="BO119" i="6"/>
  <c r="BQ119" i="6" s="1"/>
  <c r="BK119" i="6"/>
  <c r="BG137" i="6"/>
  <c r="BI137" i="6" s="1"/>
  <c r="BL176" i="6"/>
  <c r="R176" i="6"/>
  <c r="BQ208" i="6"/>
  <c r="AZ22" i="6"/>
  <c r="W22" i="6" s="1"/>
  <c r="L22" i="6"/>
  <c r="J22" i="6"/>
  <c r="BK22" i="6"/>
  <c r="V22" i="6"/>
  <c r="I22" i="6"/>
  <c r="BJ22" i="6"/>
  <c r="R22" i="6" s="1"/>
  <c r="U22" i="6"/>
  <c r="H22" i="6"/>
  <c r="BV22" i="6"/>
  <c r="G22" i="6"/>
  <c r="BH22" i="6"/>
  <c r="F22" i="6"/>
  <c r="E22" i="6"/>
  <c r="BS22" i="6"/>
  <c r="Q22" i="6"/>
  <c r="D22" i="6"/>
  <c r="BO22" i="6"/>
  <c r="BQ22" i="6" s="1"/>
  <c r="BU30" i="6"/>
  <c r="BT30" i="6"/>
  <c r="BK88" i="6"/>
  <c r="K88" i="6"/>
  <c r="E88" i="6"/>
  <c r="BS88" i="6"/>
  <c r="Q88" i="6"/>
  <c r="D88" i="6"/>
  <c r="BP88" i="6"/>
  <c r="BC88" i="6"/>
  <c r="A88" i="6"/>
  <c r="BA88" i="6"/>
  <c r="L88" i="6"/>
  <c r="BJ88" i="6"/>
  <c r="R88" i="6" s="1"/>
  <c r="O88" i="6"/>
  <c r="M88" i="6"/>
  <c r="BH88" i="6"/>
  <c r="J88" i="6"/>
  <c r="I88" i="6"/>
  <c r="BD88" i="6"/>
  <c r="H88" i="6"/>
  <c r="BV88" i="6"/>
  <c r="BB88" i="6"/>
  <c r="G88" i="6"/>
  <c r="AZ88" i="6"/>
  <c r="W88" i="6" s="1"/>
  <c r="N88" i="6" s="1"/>
  <c r="V88" i="6"/>
  <c r="U88" i="6"/>
  <c r="F88" i="6"/>
  <c r="BU204" i="6"/>
  <c r="BT204" i="6"/>
  <c r="H294" i="3"/>
  <c r="F294" i="3"/>
  <c r="H302" i="3"/>
  <c r="F302" i="3"/>
  <c r="E14" i="6"/>
  <c r="BT18" i="6"/>
  <c r="BG19" i="6"/>
  <c r="BI19" i="6" s="1"/>
  <c r="N19" i="6"/>
  <c r="K22" i="6"/>
  <c r="BP22" i="6"/>
  <c r="BV33" i="6"/>
  <c r="BJ33" i="6"/>
  <c r="R33" i="6" s="1"/>
  <c r="V33" i="6"/>
  <c r="J33" i="6"/>
  <c r="BD33" i="6"/>
  <c r="O33" i="6"/>
  <c r="B33" i="6"/>
  <c r="BP33" i="6"/>
  <c r="BC33" i="6"/>
  <c r="A33" i="6"/>
  <c r="BO33" i="6"/>
  <c r="BQ33" i="6" s="1"/>
  <c r="BB33" i="6"/>
  <c r="M33" i="6"/>
  <c r="BA33" i="6"/>
  <c r="L33" i="6"/>
  <c r="AZ33" i="6"/>
  <c r="W33" i="6" s="1"/>
  <c r="K33" i="6"/>
  <c r="I33" i="6"/>
  <c r="BK33" i="6"/>
  <c r="U33" i="6"/>
  <c r="H33" i="6"/>
  <c r="BE35" i="6"/>
  <c r="BF35" i="6"/>
  <c r="N35" i="6"/>
  <c r="BS43" i="6"/>
  <c r="G43" i="6"/>
  <c r="BO43" i="6"/>
  <c r="BB43" i="6"/>
  <c r="M43" i="6"/>
  <c r="BL43" i="6"/>
  <c r="J43" i="6"/>
  <c r="BD43" i="6"/>
  <c r="L43" i="6"/>
  <c r="BC43" i="6"/>
  <c r="K43" i="6"/>
  <c r="BA43" i="6"/>
  <c r="I43" i="6"/>
  <c r="BP43" i="6"/>
  <c r="AZ43" i="6"/>
  <c r="W43" i="6" s="1"/>
  <c r="BG43" i="6" s="1"/>
  <c r="H43" i="6"/>
  <c r="V43" i="6"/>
  <c r="F43" i="6"/>
  <c r="U43" i="6"/>
  <c r="E43" i="6"/>
  <c r="BV43" i="6"/>
  <c r="F54" i="6"/>
  <c r="Q54" i="6"/>
  <c r="E54" i="6"/>
  <c r="BP54" i="6"/>
  <c r="BB54" i="6"/>
  <c r="L54" i="6"/>
  <c r="I54" i="6"/>
  <c r="BJ54" i="6"/>
  <c r="BL54" i="6" s="1"/>
  <c r="O54" i="6"/>
  <c r="BH54" i="6"/>
  <c r="M54" i="6"/>
  <c r="BV54" i="6"/>
  <c r="BD54" i="6"/>
  <c r="K54" i="6"/>
  <c r="BC54" i="6"/>
  <c r="J54" i="6"/>
  <c r="BA54" i="6"/>
  <c r="H54" i="6"/>
  <c r="BS54" i="6"/>
  <c r="BR84" i="6"/>
  <c r="BO88" i="6"/>
  <c r="BM176" i="6"/>
  <c r="C294" i="3"/>
  <c r="C302" i="3"/>
  <c r="BB9" i="6"/>
  <c r="L9" i="6" s="1"/>
  <c r="BD10" i="6"/>
  <c r="O14" i="6"/>
  <c r="BP14" i="6"/>
  <c r="BP18" i="6"/>
  <c r="BD18" i="6"/>
  <c r="D18" i="6"/>
  <c r="AZ18" i="6"/>
  <c r="W18" i="6" s="1"/>
  <c r="K18" i="6"/>
  <c r="J18" i="6"/>
  <c r="BK18" i="6"/>
  <c r="V18" i="6"/>
  <c r="I18" i="6"/>
  <c r="BJ18" i="6"/>
  <c r="BL18" i="6" s="1"/>
  <c r="U18" i="6"/>
  <c r="H18" i="6"/>
  <c r="BV18" i="6"/>
  <c r="G18" i="6"/>
  <c r="BH18" i="6"/>
  <c r="F18" i="6"/>
  <c r="E18" i="6"/>
  <c r="BO18" i="6"/>
  <c r="T18" i="6" s="1"/>
  <c r="BG23" i="6"/>
  <c r="BT32" i="6"/>
  <c r="BU32" i="6"/>
  <c r="E33" i="6"/>
  <c r="O43" i="6"/>
  <c r="R45" i="6"/>
  <c r="BB52" i="6"/>
  <c r="B52" i="6"/>
  <c r="BA52" i="6"/>
  <c r="M52" i="6"/>
  <c r="A52" i="6"/>
  <c r="V52" i="6"/>
  <c r="H52" i="6"/>
  <c r="E52" i="6"/>
  <c r="BH52" i="6"/>
  <c r="O52" i="6"/>
  <c r="BV52" i="6"/>
  <c r="L52" i="6"/>
  <c r="K52" i="6"/>
  <c r="BD52" i="6"/>
  <c r="J52" i="6"/>
  <c r="BS52" i="6"/>
  <c r="BC52" i="6"/>
  <c r="I52" i="6"/>
  <c r="AZ52" i="6"/>
  <c r="W52" i="6" s="1"/>
  <c r="G52" i="6"/>
  <c r="G54" i="6"/>
  <c r="AZ57" i="6"/>
  <c r="W57" i="6" s="1"/>
  <c r="BE57" i="6" s="1"/>
  <c r="L57" i="6"/>
  <c r="BK57" i="6"/>
  <c r="K57" i="6"/>
  <c r="BV57" i="6"/>
  <c r="BH57" i="6"/>
  <c r="D57" i="6"/>
  <c r="BS57" i="6"/>
  <c r="O57" i="6"/>
  <c r="A57" i="6"/>
  <c r="BC57" i="6"/>
  <c r="M57" i="6"/>
  <c r="BP57" i="6"/>
  <c r="BB57" i="6"/>
  <c r="J57" i="6"/>
  <c r="U57" i="6"/>
  <c r="B57" i="6"/>
  <c r="BO57" i="6"/>
  <c r="T57" i="6" s="1"/>
  <c r="Q57" i="6"/>
  <c r="BJ57" i="6"/>
  <c r="BL57" i="6" s="1"/>
  <c r="I57" i="6"/>
  <c r="BH73" i="6"/>
  <c r="H73" i="6"/>
  <c r="BS73" i="6"/>
  <c r="G73" i="6"/>
  <c r="BV73" i="6"/>
  <c r="B73" i="6"/>
  <c r="O73" i="6"/>
  <c r="A73" i="6"/>
  <c r="BD73" i="6"/>
  <c r="BC73" i="6"/>
  <c r="M73" i="6"/>
  <c r="BP73" i="6"/>
  <c r="BB73" i="6"/>
  <c r="L73" i="6"/>
  <c r="BO73" i="6"/>
  <c r="T73" i="6" s="1"/>
  <c r="BA73" i="6"/>
  <c r="K73" i="6"/>
  <c r="AZ73" i="6"/>
  <c r="W73" i="6" s="1"/>
  <c r="N73" i="6" s="1"/>
  <c r="J73" i="6"/>
  <c r="U73" i="6"/>
  <c r="Q73" i="6"/>
  <c r="I73" i="6"/>
  <c r="F73" i="6"/>
  <c r="E73" i="6"/>
  <c r="D73" i="6"/>
  <c r="I295" i="3"/>
  <c r="I303" i="3"/>
  <c r="Q14" i="6"/>
  <c r="BR14" i="6"/>
  <c r="BU20" i="6"/>
  <c r="BF21" i="6"/>
  <c r="N21" i="6"/>
  <c r="BA40" i="6"/>
  <c r="M40" i="6"/>
  <c r="A40" i="6"/>
  <c r="BJ40" i="6"/>
  <c r="R40" i="6" s="1"/>
  <c r="U40" i="6"/>
  <c r="H40" i="6"/>
  <c r="BD40" i="6"/>
  <c r="BC40" i="6"/>
  <c r="L40" i="6"/>
  <c r="BP40" i="6"/>
  <c r="BB40" i="6"/>
  <c r="K40" i="6"/>
  <c r="BO40" i="6"/>
  <c r="T40" i="6" s="1"/>
  <c r="AZ40" i="6"/>
  <c r="W40" i="6" s="1"/>
  <c r="BE40" i="6" s="1"/>
  <c r="J40" i="6"/>
  <c r="I40" i="6"/>
  <c r="V40" i="6"/>
  <c r="G40" i="6"/>
  <c r="BK40" i="6"/>
  <c r="F40" i="6"/>
  <c r="Q43" i="6"/>
  <c r="T54" i="6"/>
  <c r="AZ75" i="6"/>
  <c r="W75" i="6" s="1"/>
  <c r="L75" i="6"/>
  <c r="BK75" i="6"/>
  <c r="K75" i="6"/>
  <c r="BP75" i="6"/>
  <c r="BB75" i="6"/>
  <c r="J75" i="6"/>
  <c r="BO75" i="6"/>
  <c r="T75" i="6" s="1"/>
  <c r="BA75" i="6"/>
  <c r="I75" i="6"/>
  <c r="V75" i="6"/>
  <c r="H75" i="6"/>
  <c r="U75" i="6"/>
  <c r="G75" i="6"/>
  <c r="BJ75" i="6"/>
  <c r="R75" i="6" s="1"/>
  <c r="F75" i="6"/>
  <c r="E75" i="6"/>
  <c r="BV75" i="6"/>
  <c r="BH75" i="6"/>
  <c r="D75" i="6"/>
  <c r="BD75" i="6"/>
  <c r="BC75" i="6"/>
  <c r="Q75" i="6"/>
  <c r="O75" i="6"/>
  <c r="BG77" i="6"/>
  <c r="BF77" i="6"/>
  <c r="BE77" i="6"/>
  <c r="N77" i="6"/>
  <c r="H16" i="3"/>
  <c r="F16" i="3"/>
  <c r="H28" i="3"/>
  <c r="F28" i="3"/>
  <c r="H40" i="3"/>
  <c r="F40" i="3"/>
  <c r="H52" i="3"/>
  <c r="F52" i="3"/>
  <c r="H64" i="3"/>
  <c r="F64" i="3"/>
  <c r="H76" i="3"/>
  <c r="F76" i="3"/>
  <c r="H88" i="3"/>
  <c r="F88" i="3"/>
  <c r="H100" i="3"/>
  <c r="F100" i="3"/>
  <c r="H112" i="3"/>
  <c r="F112" i="3"/>
  <c r="H124" i="3"/>
  <c r="F124" i="3"/>
  <c r="H136" i="3"/>
  <c r="F136" i="3"/>
  <c r="H148" i="3"/>
  <c r="F148" i="3"/>
  <c r="H160" i="3"/>
  <c r="F160" i="3"/>
  <c r="H172" i="3"/>
  <c r="F172" i="3"/>
  <c r="H184" i="3"/>
  <c r="F184" i="3"/>
  <c r="H196" i="3"/>
  <c r="F196" i="3"/>
  <c r="H208" i="3"/>
  <c r="F208" i="3"/>
  <c r="H220" i="3"/>
  <c r="F220" i="3"/>
  <c r="H232" i="3"/>
  <c r="F232" i="3"/>
  <c r="H244" i="3"/>
  <c r="F244" i="3"/>
  <c r="H256" i="3"/>
  <c r="F256" i="3"/>
  <c r="H268" i="3"/>
  <c r="F268" i="3"/>
  <c r="H280" i="3"/>
  <c r="F280" i="3"/>
  <c r="B295" i="3"/>
  <c r="B303" i="3"/>
  <c r="BA10" i="6"/>
  <c r="BS14" i="6"/>
  <c r="BS18" i="6"/>
  <c r="B20" i="6"/>
  <c r="BA22" i="6"/>
  <c r="BM23" i="6"/>
  <c r="BL23" i="6"/>
  <c r="BQ30" i="6"/>
  <c r="Q36" i="6"/>
  <c r="E36" i="6"/>
  <c r="BK36" i="6"/>
  <c r="V36" i="6"/>
  <c r="I36" i="6"/>
  <c r="BP36" i="6"/>
  <c r="BB36" i="6"/>
  <c r="L36" i="6"/>
  <c r="BO36" i="6"/>
  <c r="BR36" i="6" s="1"/>
  <c r="BA36" i="6"/>
  <c r="K36" i="6"/>
  <c r="AZ36" i="6"/>
  <c r="W36" i="6" s="1"/>
  <c r="J36" i="6"/>
  <c r="H36" i="6"/>
  <c r="U36" i="6"/>
  <c r="G36" i="6"/>
  <c r="BJ36" i="6"/>
  <c r="F36" i="6"/>
  <c r="D36" i="6"/>
  <c r="BS36" i="6"/>
  <c r="D40" i="6"/>
  <c r="BS40" i="6"/>
  <c r="Q52" i="6"/>
  <c r="BR53" i="6"/>
  <c r="U54" i="6"/>
  <c r="G57" i="6"/>
  <c r="T71" i="6"/>
  <c r="BR71" i="6"/>
  <c r="BQ71" i="6"/>
  <c r="M75" i="6"/>
  <c r="H290" i="3"/>
  <c r="F290" i="3"/>
  <c r="C295" i="3"/>
  <c r="H298" i="3"/>
  <c r="F298" i="3"/>
  <c r="C303" i="3"/>
  <c r="J3" i="4"/>
  <c r="I3" i="4"/>
  <c r="BB10" i="6"/>
  <c r="L10" i="6" s="1"/>
  <c r="O18" i="6"/>
  <c r="BH20" i="6"/>
  <c r="H20" i="6"/>
  <c r="AZ20" i="6"/>
  <c r="W20" i="6" s="1"/>
  <c r="BF20" i="6" s="1"/>
  <c r="K20" i="6"/>
  <c r="J20" i="6"/>
  <c r="BK20" i="6"/>
  <c r="V20" i="6"/>
  <c r="I20" i="6"/>
  <c r="BJ20" i="6"/>
  <c r="U20" i="6"/>
  <c r="G20" i="6"/>
  <c r="BV20" i="6"/>
  <c r="F20" i="6"/>
  <c r="E20" i="6"/>
  <c r="BS20" i="6"/>
  <c r="Q20" i="6"/>
  <c r="D20" i="6"/>
  <c r="BO20" i="6"/>
  <c r="T20" i="6" s="1"/>
  <c r="BB22" i="6"/>
  <c r="Q33" i="6"/>
  <c r="BI35" i="6"/>
  <c r="P35" i="6" s="1"/>
  <c r="BF38" i="6"/>
  <c r="E40" i="6"/>
  <c r="BH45" i="6"/>
  <c r="BT49" i="6"/>
  <c r="BU49" i="6"/>
  <c r="V54" i="6"/>
  <c r="H57" i="6"/>
  <c r="BJ73" i="6"/>
  <c r="H14" i="3"/>
  <c r="F14" i="3"/>
  <c r="C16" i="3"/>
  <c r="H26" i="3"/>
  <c r="F26" i="3"/>
  <c r="C28" i="3"/>
  <c r="H38" i="3"/>
  <c r="F38" i="3"/>
  <c r="C40" i="3"/>
  <c r="H50" i="3"/>
  <c r="F50" i="3"/>
  <c r="C52" i="3"/>
  <c r="H62" i="3"/>
  <c r="F62" i="3"/>
  <c r="C64" i="3"/>
  <c r="H74" i="3"/>
  <c r="F74" i="3"/>
  <c r="C76" i="3"/>
  <c r="H86" i="3"/>
  <c r="F86" i="3"/>
  <c r="C88" i="3"/>
  <c r="H98" i="3"/>
  <c r="F98" i="3"/>
  <c r="C100" i="3"/>
  <c r="H110" i="3"/>
  <c r="F110" i="3"/>
  <c r="C112" i="3"/>
  <c r="H122" i="3"/>
  <c r="F122" i="3"/>
  <c r="C124" i="3"/>
  <c r="H134" i="3"/>
  <c r="F134" i="3"/>
  <c r="C136" i="3"/>
  <c r="H146" i="3"/>
  <c r="F146" i="3"/>
  <c r="C148" i="3"/>
  <c r="H158" i="3"/>
  <c r="F158" i="3"/>
  <c r="C160" i="3"/>
  <c r="H170" i="3"/>
  <c r="F170" i="3"/>
  <c r="C172" i="3"/>
  <c r="H182" i="3"/>
  <c r="F182" i="3"/>
  <c r="C184" i="3"/>
  <c r="H194" i="3"/>
  <c r="F194" i="3"/>
  <c r="C196" i="3"/>
  <c r="H206" i="3"/>
  <c r="F206" i="3"/>
  <c r="C208" i="3"/>
  <c r="H218" i="3"/>
  <c r="F218" i="3"/>
  <c r="C220" i="3"/>
  <c r="H230" i="3"/>
  <c r="F230" i="3"/>
  <c r="C232" i="3"/>
  <c r="H242" i="3"/>
  <c r="F242" i="3"/>
  <c r="C244" i="3"/>
  <c r="H254" i="3"/>
  <c r="F254" i="3"/>
  <c r="C256" i="3"/>
  <c r="H266" i="3"/>
  <c r="F266" i="3"/>
  <c r="C268" i="3"/>
  <c r="H278" i="3"/>
  <c r="F278" i="3"/>
  <c r="C280" i="3"/>
  <c r="B290" i="3"/>
  <c r="I293" i="3"/>
  <c r="F295" i="3"/>
  <c r="B298" i="3"/>
  <c r="I301" i="3"/>
  <c r="F303" i="3"/>
  <c r="G3" i="4"/>
  <c r="BK10" i="6"/>
  <c r="T13" i="6"/>
  <c r="BR13" i="6"/>
  <c r="Q18" i="6"/>
  <c r="L20" i="6"/>
  <c r="BP20" i="6"/>
  <c r="BC22" i="6"/>
  <c r="F31" i="6"/>
  <c r="BD31" i="6"/>
  <c r="O31" i="6"/>
  <c r="B31" i="6"/>
  <c r="BP31" i="6"/>
  <c r="BC31" i="6"/>
  <c r="A31" i="6"/>
  <c r="BO31" i="6"/>
  <c r="T31" i="6" s="1"/>
  <c r="BB31" i="6"/>
  <c r="M31" i="6"/>
  <c r="BA31" i="6"/>
  <c r="L31" i="6"/>
  <c r="AZ31" i="6"/>
  <c r="W31" i="6" s="1"/>
  <c r="BF31" i="6" s="1"/>
  <c r="K31" i="6"/>
  <c r="J31" i="6"/>
  <c r="BK31" i="6"/>
  <c r="V31" i="6"/>
  <c r="I31" i="6"/>
  <c r="BH31" i="6"/>
  <c r="BU34" i="6"/>
  <c r="BT34" i="6"/>
  <c r="BM35" i="6"/>
  <c r="BL35" i="6"/>
  <c r="O40" i="6"/>
  <c r="Q42" i="6"/>
  <c r="E42" i="6"/>
  <c r="BV42" i="6"/>
  <c r="G42" i="6"/>
  <c r="O42" i="6"/>
  <c r="A42" i="6"/>
  <c r="BS42" i="6"/>
  <c r="BD42" i="6"/>
  <c r="BC42" i="6"/>
  <c r="M42" i="6"/>
  <c r="BP42" i="6"/>
  <c r="BB42" i="6"/>
  <c r="L42" i="6"/>
  <c r="BO42" i="6"/>
  <c r="BQ42" i="6" s="1"/>
  <c r="BA42" i="6"/>
  <c r="K42" i="6"/>
  <c r="AZ42" i="6"/>
  <c r="W42" i="6" s="1"/>
  <c r="BF42" i="6" s="1"/>
  <c r="J42" i="6"/>
  <c r="BM42" i="6"/>
  <c r="I42" i="6"/>
  <c r="BK42" i="6"/>
  <c r="A45" i="6"/>
  <c r="BH49" i="6"/>
  <c r="H49" i="6"/>
  <c r="BS49" i="6"/>
  <c r="G49" i="6"/>
  <c r="BV49" i="6"/>
  <c r="B49" i="6"/>
  <c r="BC49" i="6"/>
  <c r="M49" i="6"/>
  <c r="BJ49" i="6"/>
  <c r="O49" i="6"/>
  <c r="L49" i="6"/>
  <c r="BD49" i="6"/>
  <c r="K49" i="6"/>
  <c r="BB49" i="6"/>
  <c r="J49" i="6"/>
  <c r="BA49" i="6"/>
  <c r="I49" i="6"/>
  <c r="BP49" i="6"/>
  <c r="AZ49" i="6"/>
  <c r="W49" i="6" s="1"/>
  <c r="BG49" i="6" s="1"/>
  <c r="F49" i="6"/>
  <c r="BO49" i="6"/>
  <c r="BR49" i="6" s="1"/>
  <c r="T52" i="6"/>
  <c r="AZ54" i="6"/>
  <c r="W54" i="6" s="1"/>
  <c r="V57" i="6"/>
  <c r="BT62" i="6"/>
  <c r="BK73" i="6"/>
  <c r="BQ76" i="6"/>
  <c r="R78" i="6"/>
  <c r="F78" i="6"/>
  <c r="Q78" i="6"/>
  <c r="E78" i="6"/>
  <c r="BL78" i="6"/>
  <c r="AZ78" i="6"/>
  <c r="W78" i="6" s="1"/>
  <c r="BE78" i="6" s="1"/>
  <c r="BC78" i="6"/>
  <c r="L78" i="6"/>
  <c r="BS78" i="6"/>
  <c r="BB78" i="6"/>
  <c r="K78" i="6"/>
  <c r="BP78" i="6"/>
  <c r="BA78" i="6"/>
  <c r="J78" i="6"/>
  <c r="BO78" i="6"/>
  <c r="BR78" i="6" s="1"/>
  <c r="I78" i="6"/>
  <c r="V78" i="6"/>
  <c r="H78" i="6"/>
  <c r="BM78" i="6"/>
  <c r="U78" i="6"/>
  <c r="G78" i="6"/>
  <c r="BK78" i="6"/>
  <c r="D78" i="6"/>
  <c r="BD78" i="6"/>
  <c r="O78" i="6"/>
  <c r="M78" i="6"/>
  <c r="BS86" i="6"/>
  <c r="G86" i="6"/>
  <c r="BH86" i="6"/>
  <c r="E86" i="6"/>
  <c r="Q86" i="6"/>
  <c r="D86" i="6"/>
  <c r="BA86" i="6"/>
  <c r="L86" i="6"/>
  <c r="T86" i="6"/>
  <c r="A86" i="6"/>
  <c r="BK86" i="6"/>
  <c r="BJ86" i="6"/>
  <c r="R86" i="6" s="1"/>
  <c r="O86" i="6"/>
  <c r="M86" i="6"/>
  <c r="BD86" i="6"/>
  <c r="K86" i="6"/>
  <c r="BV86" i="6"/>
  <c r="BC86" i="6"/>
  <c r="J86" i="6"/>
  <c r="BB86" i="6"/>
  <c r="AZ86" i="6"/>
  <c r="W86" i="6" s="1"/>
  <c r="BE86" i="6" s="1"/>
  <c r="V86" i="6"/>
  <c r="U86" i="6"/>
  <c r="I86" i="6"/>
  <c r="H86" i="6"/>
  <c r="BH10" i="6"/>
  <c r="J10" i="6"/>
  <c r="BC10" i="6"/>
  <c r="BP10" i="6"/>
  <c r="BR10" i="6" s="1"/>
  <c r="BL12" i="6"/>
  <c r="R12" i="6" s="1"/>
  <c r="BH13" i="6"/>
  <c r="V13" i="6"/>
  <c r="J13" i="6"/>
  <c r="BC13" i="6"/>
  <c r="BP13" i="6"/>
  <c r="L15" i="6"/>
  <c r="BA15" i="6"/>
  <c r="K17" i="6"/>
  <c r="AZ17" i="6"/>
  <c r="W17" i="6" s="1"/>
  <c r="BG17" i="6" s="1"/>
  <c r="BI17" i="6" s="1"/>
  <c r="BM17" i="6"/>
  <c r="BP24" i="6"/>
  <c r="BD24" i="6"/>
  <c r="D24" i="6"/>
  <c r="Q24" i="6"/>
  <c r="BS24" i="6"/>
  <c r="BH26" i="6"/>
  <c r="H26" i="6"/>
  <c r="AZ28" i="6"/>
  <c r="W28" i="6" s="1"/>
  <c r="BE28" i="6" s="1"/>
  <c r="L28" i="6"/>
  <c r="BR28" i="6"/>
  <c r="B30" i="6"/>
  <c r="O30" i="6"/>
  <c r="B32" i="6"/>
  <c r="O32" i="6"/>
  <c r="BD32" i="6"/>
  <c r="B34" i="6"/>
  <c r="O34" i="6"/>
  <c r="BD34" i="6"/>
  <c r="A37" i="6"/>
  <c r="M38" i="6"/>
  <c r="BC38" i="6"/>
  <c r="BQ38" i="6"/>
  <c r="BQ41" i="6"/>
  <c r="B51" i="6"/>
  <c r="R51" i="6"/>
  <c r="F60" i="6"/>
  <c r="Q60" i="6"/>
  <c r="E60" i="6"/>
  <c r="BJ60" i="6"/>
  <c r="BM60" i="6" s="1"/>
  <c r="T60" i="6"/>
  <c r="D60" i="6"/>
  <c r="O60" i="6"/>
  <c r="A60" i="6"/>
  <c r="BS60" i="6"/>
  <c r="BC60" i="6"/>
  <c r="M60" i="6"/>
  <c r="BP60" i="6"/>
  <c r="BB60" i="6"/>
  <c r="L60" i="6"/>
  <c r="AZ60" i="6"/>
  <c r="W60" i="6" s="1"/>
  <c r="N60" i="6" s="1"/>
  <c r="A61" i="6"/>
  <c r="B62" i="6"/>
  <c r="AZ63" i="6"/>
  <c r="W63" i="6" s="1"/>
  <c r="BE63" i="6" s="1"/>
  <c r="L63" i="6"/>
  <c r="BK63" i="6"/>
  <c r="K63" i="6"/>
  <c r="BP63" i="6"/>
  <c r="BB63" i="6"/>
  <c r="J63" i="6"/>
  <c r="U63" i="6"/>
  <c r="G63" i="6"/>
  <c r="BJ63" i="6"/>
  <c r="BL63" i="6" s="1"/>
  <c r="F63" i="6"/>
  <c r="E63" i="6"/>
  <c r="BV63" i="6"/>
  <c r="BH63" i="6"/>
  <c r="D63" i="6"/>
  <c r="B66" i="6"/>
  <c r="BB70" i="6"/>
  <c r="B70" i="6"/>
  <c r="BA70" i="6"/>
  <c r="M70" i="6"/>
  <c r="A70" i="6"/>
  <c r="BD70" i="6"/>
  <c r="L70" i="6"/>
  <c r="BC70" i="6"/>
  <c r="K70" i="6"/>
  <c r="BP70" i="6"/>
  <c r="AZ70" i="6"/>
  <c r="W70" i="6" s="1"/>
  <c r="J70" i="6"/>
  <c r="BO70" i="6"/>
  <c r="T70" i="6" s="1"/>
  <c r="I70" i="6"/>
  <c r="V70" i="6"/>
  <c r="H70" i="6"/>
  <c r="A79" i="6"/>
  <c r="V81" i="6"/>
  <c r="A118" i="6"/>
  <c r="BB204" i="6"/>
  <c r="BV204" i="6"/>
  <c r="BJ204" i="6"/>
  <c r="BM204" i="6" s="1"/>
  <c r="V204" i="6"/>
  <c r="BC204" i="6"/>
  <c r="L204" i="6"/>
  <c r="BP204" i="6"/>
  <c r="BA204" i="6"/>
  <c r="K204" i="6"/>
  <c r="BO204" i="6"/>
  <c r="BR204" i="6" s="1"/>
  <c r="AZ204" i="6"/>
  <c r="W204" i="6" s="1"/>
  <c r="BE204" i="6" s="1"/>
  <c r="J204" i="6"/>
  <c r="I204" i="6"/>
  <c r="U204" i="6"/>
  <c r="H204" i="6"/>
  <c r="BK204" i="6"/>
  <c r="G204" i="6"/>
  <c r="F204" i="6"/>
  <c r="BH204" i="6"/>
  <c r="E204" i="6"/>
  <c r="BD204" i="6"/>
  <c r="Q204" i="6"/>
  <c r="O204" i="6"/>
  <c r="M204" i="6"/>
  <c r="D204" i="6"/>
  <c r="BS204" i="6"/>
  <c r="AZ9" i="6"/>
  <c r="AZ12" i="6"/>
  <c r="W12" i="6" s="1"/>
  <c r="N12" i="6" s="1"/>
  <c r="BM12" i="6"/>
  <c r="M15" i="6"/>
  <c r="BB15" i="6"/>
  <c r="BO15" i="6"/>
  <c r="T15" i="6" s="1"/>
  <c r="L17" i="6"/>
  <c r="BA17" i="6"/>
  <c r="BO17" i="6"/>
  <c r="BR17" i="6" s="1"/>
  <c r="BP30" i="6"/>
  <c r="BD30" i="6"/>
  <c r="D30" i="6"/>
  <c r="Q30" i="6"/>
  <c r="BS30" i="6"/>
  <c r="BH32" i="6"/>
  <c r="T32" i="6"/>
  <c r="H32" i="6"/>
  <c r="BE32" i="6"/>
  <c r="BR32" i="6"/>
  <c r="AZ34" i="6"/>
  <c r="W34" i="6" s="1"/>
  <c r="L34" i="6"/>
  <c r="BS34" i="6"/>
  <c r="BS37" i="6"/>
  <c r="G37" i="6"/>
  <c r="BQ37" i="6"/>
  <c r="BD37" i="6"/>
  <c r="O37" i="6"/>
  <c r="B37" i="6"/>
  <c r="Q37" i="6"/>
  <c r="BH37" i="6"/>
  <c r="BV37" i="6"/>
  <c r="N38" i="6"/>
  <c r="BD38" i="6"/>
  <c r="BR38" i="6"/>
  <c r="BR41" i="6"/>
  <c r="B48" i="6"/>
  <c r="U48" i="6"/>
  <c r="AZ51" i="6"/>
  <c r="W51" i="6" s="1"/>
  <c r="L51" i="6"/>
  <c r="BK51" i="6"/>
  <c r="K51" i="6"/>
  <c r="BP51" i="6"/>
  <c r="BB51" i="6"/>
  <c r="J51" i="6"/>
  <c r="U51" i="6"/>
  <c r="G51" i="6"/>
  <c r="BH61" i="6"/>
  <c r="H61" i="6"/>
  <c r="BS61" i="6"/>
  <c r="G61" i="6"/>
  <c r="BV61" i="6"/>
  <c r="B61" i="6"/>
  <c r="BC61" i="6"/>
  <c r="M61" i="6"/>
  <c r="BP61" i="6"/>
  <c r="BB61" i="6"/>
  <c r="BO61" i="6"/>
  <c r="BQ61" i="6" s="1"/>
  <c r="BA61" i="6"/>
  <c r="K61" i="6"/>
  <c r="AZ61" i="6"/>
  <c r="W61" i="6" s="1"/>
  <c r="N61" i="6" s="1"/>
  <c r="J61" i="6"/>
  <c r="BV62" i="6"/>
  <c r="BJ62" i="6"/>
  <c r="V62" i="6"/>
  <c r="J62" i="6"/>
  <c r="U62" i="6"/>
  <c r="I62" i="6"/>
  <c r="BD62" i="6"/>
  <c r="BO62" i="6"/>
  <c r="BA62" i="6"/>
  <c r="K62" i="6"/>
  <c r="AZ62" i="6"/>
  <c r="W62" i="6" s="1"/>
  <c r="H62" i="6"/>
  <c r="G62" i="6"/>
  <c r="F62" i="6"/>
  <c r="F66" i="6"/>
  <c r="Q66" i="6"/>
  <c r="E66" i="6"/>
  <c r="BP66" i="6"/>
  <c r="BB66" i="6"/>
  <c r="L66" i="6"/>
  <c r="W66" i="6"/>
  <c r="BE66" i="6" s="1"/>
  <c r="I66" i="6"/>
  <c r="V66" i="6"/>
  <c r="H66" i="6"/>
  <c r="BK66" i="6"/>
  <c r="U66" i="6"/>
  <c r="G66" i="6"/>
  <c r="BJ66" i="6"/>
  <c r="BM66" i="6" s="1"/>
  <c r="D66" i="6"/>
  <c r="BH79" i="6"/>
  <c r="H79" i="6"/>
  <c r="BS79" i="6"/>
  <c r="G79" i="6"/>
  <c r="BB79" i="6"/>
  <c r="B79" i="6"/>
  <c r="BV79" i="6"/>
  <c r="M79" i="6"/>
  <c r="BD79" i="6"/>
  <c r="L79" i="6"/>
  <c r="BC79" i="6"/>
  <c r="K79" i="6"/>
  <c r="BA79" i="6"/>
  <c r="J79" i="6"/>
  <c r="BP79" i="6"/>
  <c r="AZ79" i="6"/>
  <c r="W79" i="6" s="1"/>
  <c r="I79" i="6"/>
  <c r="BO79" i="6"/>
  <c r="F79" i="6"/>
  <c r="BM79" i="6"/>
  <c r="V79" i="6"/>
  <c r="E79" i="6"/>
  <c r="BU80" i="6"/>
  <c r="BT80" i="6"/>
  <c r="BA81" i="6"/>
  <c r="N100" i="6"/>
  <c r="BA9" i="6"/>
  <c r="BA12" i="6"/>
  <c r="K12" i="6" s="1"/>
  <c r="A15" i="6"/>
  <c r="N15" i="6"/>
  <c r="BC15" i="6"/>
  <c r="BP15" i="6"/>
  <c r="M17" i="6"/>
  <c r="BC17" i="6"/>
  <c r="BP17" i="6"/>
  <c r="BS38" i="6"/>
  <c r="F48" i="6"/>
  <c r="Q48" i="6"/>
  <c r="E48" i="6"/>
  <c r="BJ48" i="6"/>
  <c r="D48" i="6"/>
  <c r="O48" i="6"/>
  <c r="A48" i="6"/>
  <c r="V48" i="6"/>
  <c r="A74" i="6"/>
  <c r="R77" i="6"/>
  <c r="BM77" i="6"/>
  <c r="BJ81" i="6"/>
  <c r="BL81" i="6" s="1"/>
  <c r="BM93" i="6"/>
  <c r="BL93" i="6"/>
  <c r="BU104" i="6"/>
  <c r="BT104" i="6"/>
  <c r="BH118" i="6"/>
  <c r="H118" i="6"/>
  <c r="E118" i="6"/>
  <c r="BS118" i="6"/>
  <c r="Q118" i="6"/>
  <c r="D118" i="6"/>
  <c r="O118" i="6"/>
  <c r="BV118" i="6"/>
  <c r="BD118" i="6"/>
  <c r="M118" i="6"/>
  <c r="BC118" i="6"/>
  <c r="L118" i="6"/>
  <c r="BB118" i="6"/>
  <c r="K118" i="6"/>
  <c r="BP118" i="6"/>
  <c r="BA118" i="6"/>
  <c r="J118" i="6"/>
  <c r="BO118" i="6"/>
  <c r="AZ118" i="6"/>
  <c r="W118" i="6" s="1"/>
  <c r="I118" i="6"/>
  <c r="BK118" i="6"/>
  <c r="BJ118" i="6"/>
  <c r="BL118" i="6" s="1"/>
  <c r="V118" i="6"/>
  <c r="U118" i="6"/>
  <c r="T122" i="6"/>
  <c r="BR122" i="6"/>
  <c r="B15" i="6"/>
  <c r="O15" i="6"/>
  <c r="BD15" i="6"/>
  <c r="A17" i="6"/>
  <c r="O17" i="6"/>
  <c r="BD17" i="6"/>
  <c r="G24" i="6"/>
  <c r="T24" i="6"/>
  <c r="BV24" i="6"/>
  <c r="F26" i="6"/>
  <c r="BV26" i="6"/>
  <c r="F28" i="6"/>
  <c r="BH28" i="6"/>
  <c r="F30" i="6"/>
  <c r="BH30" i="6"/>
  <c r="E32" i="6"/>
  <c r="BG32" i="6"/>
  <c r="E34" i="6"/>
  <c r="E37" i="6"/>
  <c r="T37" i="6"/>
  <c r="BJ37" i="6"/>
  <c r="R37" i="6" s="1"/>
  <c r="B38" i="6"/>
  <c r="BT38" i="6"/>
  <c r="G48" i="6"/>
  <c r="BO48" i="6"/>
  <c r="BQ48" i="6" s="1"/>
  <c r="E51" i="6"/>
  <c r="V51" i="6"/>
  <c r="BQ51" i="6"/>
  <c r="BL55" i="6"/>
  <c r="BQ56" i="6"/>
  <c r="I60" i="6"/>
  <c r="BH60" i="6"/>
  <c r="E61" i="6"/>
  <c r="E62" i="6"/>
  <c r="M63" i="6"/>
  <c r="K66" i="6"/>
  <c r="F70" i="6"/>
  <c r="BJ70" i="6"/>
  <c r="R70" i="6" s="1"/>
  <c r="B74" i="6"/>
  <c r="O79" i="6"/>
  <c r="BV80" i="6"/>
  <c r="BJ80" i="6"/>
  <c r="V80" i="6"/>
  <c r="J80" i="6"/>
  <c r="U80" i="6"/>
  <c r="I80" i="6"/>
  <c r="BP80" i="6"/>
  <c r="BD80" i="6"/>
  <c r="D80" i="6"/>
  <c r="O80" i="6"/>
  <c r="M80" i="6"/>
  <c r="BS80" i="6"/>
  <c r="BC80" i="6"/>
  <c r="L80" i="6"/>
  <c r="BB80" i="6"/>
  <c r="K80" i="6"/>
  <c r="BA80" i="6"/>
  <c r="H80" i="6"/>
  <c r="BO80" i="6"/>
  <c r="BQ80" i="6" s="1"/>
  <c r="AZ80" i="6"/>
  <c r="W80" i="6" s="1"/>
  <c r="BE80" i="6" s="1"/>
  <c r="G80" i="6"/>
  <c r="BM90" i="6"/>
  <c r="F118" i="6"/>
  <c r="N122" i="6"/>
  <c r="BE122" i="6"/>
  <c r="BQ122" i="6"/>
  <c r="BQ123" i="6"/>
  <c r="BC9" i="6"/>
  <c r="BP9" i="6"/>
  <c r="BH12" i="6"/>
  <c r="J12" i="6"/>
  <c r="BC12" i="6"/>
  <c r="BP12" i="6"/>
  <c r="BR12" i="6" s="1"/>
  <c r="BV15" i="6"/>
  <c r="BJ15" i="6"/>
  <c r="R15" i="6" s="1"/>
  <c r="V15" i="6"/>
  <c r="J15" i="6"/>
  <c r="BE15" i="6"/>
  <c r="BB17" i="6"/>
  <c r="B17" i="6"/>
  <c r="U38" i="6"/>
  <c r="I38" i="6"/>
  <c r="BK38" i="6"/>
  <c r="V38" i="6"/>
  <c r="H38" i="6"/>
  <c r="Q38" i="6"/>
  <c r="BG38" i="6"/>
  <c r="BV38" i="6"/>
  <c r="H48" i="6"/>
  <c r="AZ48" i="6"/>
  <c r="W48" i="6" s="1"/>
  <c r="BP48" i="6"/>
  <c r="R55" i="6"/>
  <c r="BV74" i="6"/>
  <c r="BJ74" i="6"/>
  <c r="V74" i="6"/>
  <c r="J74" i="6"/>
  <c r="U74" i="6"/>
  <c r="I74" i="6"/>
  <c r="BD74" i="6"/>
  <c r="BC74" i="6"/>
  <c r="M74" i="6"/>
  <c r="BP74" i="6"/>
  <c r="BB74" i="6"/>
  <c r="L74" i="6"/>
  <c r="BO74" i="6"/>
  <c r="T74" i="6" s="1"/>
  <c r="BA74" i="6"/>
  <c r="K74" i="6"/>
  <c r="AZ74" i="6"/>
  <c r="W74" i="6" s="1"/>
  <c r="H74" i="6"/>
  <c r="G74" i="6"/>
  <c r="F74" i="6"/>
  <c r="BK74" i="6"/>
  <c r="AZ81" i="6"/>
  <c r="W81" i="6" s="1"/>
  <c r="BG81" i="6" s="1"/>
  <c r="L81" i="6"/>
  <c r="BK81" i="6"/>
  <c r="K81" i="6"/>
  <c r="F81" i="6"/>
  <c r="Q81" i="6"/>
  <c r="B81" i="6"/>
  <c r="BH81" i="6"/>
  <c r="A81" i="6"/>
  <c r="BV81" i="6"/>
  <c r="O81" i="6"/>
  <c r="BD81" i="6"/>
  <c r="M81" i="6"/>
  <c r="BS81" i="6"/>
  <c r="BC81" i="6"/>
  <c r="J81" i="6"/>
  <c r="BB81" i="6"/>
  <c r="I81" i="6"/>
  <c r="BR96" i="6"/>
  <c r="T96" i="6"/>
  <c r="BP104" i="6"/>
  <c r="BD104" i="6"/>
  <c r="D104" i="6"/>
  <c r="BJ104" i="6"/>
  <c r="R104" i="6" s="1"/>
  <c r="U104" i="6"/>
  <c r="H104" i="6"/>
  <c r="BV104" i="6"/>
  <c r="G104" i="6"/>
  <c r="O104" i="6"/>
  <c r="M104" i="6"/>
  <c r="BB104" i="6"/>
  <c r="K104" i="6"/>
  <c r="BO104" i="6"/>
  <c r="T104" i="6" s="1"/>
  <c r="AZ104" i="6"/>
  <c r="W104" i="6" s="1"/>
  <c r="N104" i="6" s="1"/>
  <c r="I104" i="6"/>
  <c r="BS104" i="6"/>
  <c r="Q104" i="6"/>
  <c r="L104" i="6"/>
  <c r="J104" i="6"/>
  <c r="F104" i="6"/>
  <c r="BK104" i="6"/>
  <c r="E104" i="6"/>
  <c r="G118" i="6"/>
  <c r="T143" i="6"/>
  <c r="BU185" i="6"/>
  <c r="BT185" i="6"/>
  <c r="D9" i="6"/>
  <c r="BD9" i="6"/>
  <c r="H10" i="6"/>
  <c r="BV10" i="6"/>
  <c r="D12" i="6"/>
  <c r="Q12" i="6"/>
  <c r="BD12" i="6"/>
  <c r="H13" i="6"/>
  <c r="U13" i="6"/>
  <c r="BV13" i="6"/>
  <c r="D15" i="6"/>
  <c r="Q15" i="6"/>
  <c r="BF15" i="6"/>
  <c r="BS15" i="6"/>
  <c r="D17" i="6"/>
  <c r="Q17" i="6"/>
  <c r="BS17" i="6"/>
  <c r="BR19" i="6"/>
  <c r="BF19" i="6"/>
  <c r="R19" i="6"/>
  <c r="F19" i="6"/>
  <c r="BE19" i="6"/>
  <c r="BS19" i="6"/>
  <c r="BV21" i="6"/>
  <c r="BJ21" i="6"/>
  <c r="V21" i="6"/>
  <c r="J21" i="6"/>
  <c r="BE21" i="6"/>
  <c r="BR21" i="6"/>
  <c r="BB23" i="6"/>
  <c r="N23" i="6"/>
  <c r="B23" i="6"/>
  <c r="BE23" i="6"/>
  <c r="I24" i="6"/>
  <c r="V24" i="6"/>
  <c r="BK24" i="6"/>
  <c r="B25" i="6"/>
  <c r="O25" i="6"/>
  <c r="BD25" i="6"/>
  <c r="I26" i="6"/>
  <c r="V26" i="6"/>
  <c r="BK26" i="6"/>
  <c r="B27" i="6"/>
  <c r="O27" i="6"/>
  <c r="BD27" i="6"/>
  <c r="H28" i="6"/>
  <c r="U28" i="6"/>
  <c r="BJ28" i="6"/>
  <c r="A29" i="6"/>
  <c r="O29" i="6"/>
  <c r="BD29" i="6"/>
  <c r="H30" i="6"/>
  <c r="U30" i="6"/>
  <c r="BJ30" i="6"/>
  <c r="G32" i="6"/>
  <c r="U32" i="6"/>
  <c r="BJ32" i="6"/>
  <c r="R32" i="6" s="1"/>
  <c r="G34" i="6"/>
  <c r="T34" i="6"/>
  <c r="H37" i="6"/>
  <c r="V37" i="6"/>
  <c r="D38" i="6"/>
  <c r="BH38" i="6"/>
  <c r="A39" i="6"/>
  <c r="I48" i="6"/>
  <c r="BA48" i="6"/>
  <c r="BS48" i="6"/>
  <c r="BV50" i="6"/>
  <c r="BJ50" i="6"/>
  <c r="V50" i="6"/>
  <c r="J50" i="6"/>
  <c r="U50" i="6"/>
  <c r="I50" i="6"/>
  <c r="BD50" i="6"/>
  <c r="BO50" i="6"/>
  <c r="BA50" i="6"/>
  <c r="K50" i="6"/>
  <c r="H51" i="6"/>
  <c r="BC51" i="6"/>
  <c r="BS51" i="6"/>
  <c r="BH55" i="6"/>
  <c r="H55" i="6"/>
  <c r="BS55" i="6"/>
  <c r="G55" i="6"/>
  <c r="AZ55" i="6"/>
  <c r="W55" i="6" s="1"/>
  <c r="BG55" i="6" s="1"/>
  <c r="J55" i="6"/>
  <c r="BK55" i="6"/>
  <c r="U55" i="6"/>
  <c r="E55" i="6"/>
  <c r="V55" i="6"/>
  <c r="BO55" i="6"/>
  <c r="K60" i="6"/>
  <c r="BK60" i="6"/>
  <c r="I61" i="6"/>
  <c r="BJ61" i="6"/>
  <c r="M62" i="6"/>
  <c r="BK62" i="6"/>
  <c r="O63" i="6"/>
  <c r="BQ63" i="6"/>
  <c r="BL65" i="6"/>
  <c r="BO66" i="6"/>
  <c r="T66" i="6" s="1"/>
  <c r="BL69" i="6"/>
  <c r="AZ69" i="6"/>
  <c r="W69" i="6" s="1"/>
  <c r="N69" i="6" s="1"/>
  <c r="L69" i="6"/>
  <c r="BK69" i="6"/>
  <c r="K69" i="6"/>
  <c r="BV69" i="6"/>
  <c r="BH69" i="6"/>
  <c r="R69" i="6"/>
  <c r="D69" i="6"/>
  <c r="B69" i="6"/>
  <c r="BS69" i="6"/>
  <c r="O69" i="6"/>
  <c r="A69" i="6"/>
  <c r="BR69" i="6"/>
  <c r="BD69" i="6"/>
  <c r="BQ69" i="6"/>
  <c r="BC69" i="6"/>
  <c r="M69" i="6"/>
  <c r="BP69" i="6"/>
  <c r="BB69" i="6"/>
  <c r="J69" i="6"/>
  <c r="O70" i="6"/>
  <c r="BS70" i="6"/>
  <c r="D74" i="6"/>
  <c r="BS74" i="6"/>
  <c r="Q79" i="6"/>
  <c r="F80" i="6"/>
  <c r="D81" i="6"/>
  <c r="BO81" i="6"/>
  <c r="BQ81" i="6" s="1"/>
  <c r="BU85" i="6"/>
  <c r="BT85" i="6"/>
  <c r="V104" i="6"/>
  <c r="BM135" i="6"/>
  <c r="BL135" i="6"/>
  <c r="E9" i="6"/>
  <c r="I10" i="6"/>
  <c r="BJ10" i="6"/>
  <c r="E12" i="6"/>
  <c r="I13" i="6"/>
  <c r="BJ13" i="6"/>
  <c r="E15" i="6"/>
  <c r="BG15" i="6"/>
  <c r="BI15" i="6" s="1"/>
  <c r="E17" i="6"/>
  <c r="J24" i="6"/>
  <c r="W24" i="6"/>
  <c r="BL24" i="6"/>
  <c r="BF25" i="6"/>
  <c r="F25" i="6"/>
  <c r="BE25" i="6"/>
  <c r="BS25" i="6"/>
  <c r="J26" i="6"/>
  <c r="W26" i="6"/>
  <c r="BL26" i="6"/>
  <c r="BV27" i="6"/>
  <c r="BJ27" i="6"/>
  <c r="V27" i="6"/>
  <c r="J27" i="6"/>
  <c r="BE27" i="6"/>
  <c r="I28" i="6"/>
  <c r="V28" i="6"/>
  <c r="BK28" i="6"/>
  <c r="BB29" i="6"/>
  <c r="N29" i="6"/>
  <c r="B29" i="6"/>
  <c r="BE29" i="6"/>
  <c r="BR29" i="6"/>
  <c r="I30" i="6"/>
  <c r="V30" i="6"/>
  <c r="BK30" i="6"/>
  <c r="I32" i="6"/>
  <c r="V32" i="6"/>
  <c r="BK32" i="6"/>
  <c r="H34" i="6"/>
  <c r="U34" i="6"/>
  <c r="BJ34" i="6"/>
  <c r="I37" i="6"/>
  <c r="W37" i="6"/>
  <c r="E38" i="6"/>
  <c r="BJ38" i="6"/>
  <c r="BK39" i="6"/>
  <c r="K39" i="6"/>
  <c r="BQ39" i="6"/>
  <c r="BD39" i="6"/>
  <c r="O39" i="6"/>
  <c r="B39" i="6"/>
  <c r="Q39" i="6"/>
  <c r="J48" i="6"/>
  <c r="BB48" i="6"/>
  <c r="I51" i="6"/>
  <c r="BD51" i="6"/>
  <c r="L61" i="6"/>
  <c r="BK61" i="6"/>
  <c r="O62" i="6"/>
  <c r="BP62" i="6"/>
  <c r="O66" i="6"/>
  <c r="BS66" i="6"/>
  <c r="Q70" i="6"/>
  <c r="E74" i="6"/>
  <c r="R79" i="6"/>
  <c r="Q80" i="6"/>
  <c r="E81" i="6"/>
  <c r="BP81" i="6"/>
  <c r="L72" i="6"/>
  <c r="BB72" i="6"/>
  <c r="BP72" i="6"/>
  <c r="K82" i="6"/>
  <c r="BD82" i="6"/>
  <c r="BS82" i="6"/>
  <c r="Q85" i="6"/>
  <c r="E85" i="6"/>
  <c r="BA85" i="6"/>
  <c r="L85" i="6"/>
  <c r="BM85" i="6"/>
  <c r="AZ85" i="6"/>
  <c r="W85" i="6" s="1"/>
  <c r="K85" i="6"/>
  <c r="BH85" i="6"/>
  <c r="F85" i="6"/>
  <c r="U85" i="6"/>
  <c r="BO85" i="6"/>
  <c r="T85" i="6" s="1"/>
  <c r="BP89" i="6"/>
  <c r="BU114" i="6"/>
  <c r="BT114" i="6"/>
  <c r="BB64" i="6"/>
  <c r="B64" i="6"/>
  <c r="BM64" i="6"/>
  <c r="BA64" i="6"/>
  <c r="M64" i="6"/>
  <c r="A64" i="6"/>
  <c r="Q64" i="6"/>
  <c r="BH67" i="6"/>
  <c r="T67" i="6"/>
  <c r="H67" i="6"/>
  <c r="BS67" i="6"/>
  <c r="G67" i="6"/>
  <c r="Q67" i="6"/>
  <c r="M72" i="6"/>
  <c r="BC72" i="6"/>
  <c r="BS72" i="6"/>
  <c r="BB76" i="6"/>
  <c r="B76" i="6"/>
  <c r="BM76" i="6"/>
  <c r="BA76" i="6"/>
  <c r="M76" i="6"/>
  <c r="A76" i="6"/>
  <c r="Q76" i="6"/>
  <c r="L82" i="6"/>
  <c r="BE82" i="6"/>
  <c r="D85" i="6"/>
  <c r="V85" i="6"/>
  <c r="BP85" i="6"/>
  <c r="BU87" i="6"/>
  <c r="B89" i="6"/>
  <c r="U89" i="6"/>
  <c r="BE101" i="6"/>
  <c r="N101" i="6"/>
  <c r="BB103" i="6"/>
  <c r="B103" i="6"/>
  <c r="BQ103" i="6"/>
  <c r="BD103" i="6"/>
  <c r="O103" i="6"/>
  <c r="A103" i="6"/>
  <c r="BP103" i="6"/>
  <c r="BC103" i="6"/>
  <c r="M103" i="6"/>
  <c r="BV103" i="6"/>
  <c r="L103" i="6"/>
  <c r="K103" i="6"/>
  <c r="BR103" i="6"/>
  <c r="AZ103" i="6"/>
  <c r="W103" i="6" s="1"/>
  <c r="N103" i="6" s="1"/>
  <c r="I103" i="6"/>
  <c r="V103" i="6"/>
  <c r="G103" i="6"/>
  <c r="BA103" i="6"/>
  <c r="BB109" i="6"/>
  <c r="B109" i="6"/>
  <c r="BP109" i="6"/>
  <c r="BC109" i="6"/>
  <c r="M109" i="6"/>
  <c r="BO109" i="6"/>
  <c r="T109" i="6" s="1"/>
  <c r="BA109" i="6"/>
  <c r="L109" i="6"/>
  <c r="U109" i="6"/>
  <c r="F109" i="6"/>
  <c r="BK109" i="6"/>
  <c r="E109" i="6"/>
  <c r="BJ109" i="6"/>
  <c r="R109" i="6" s="1"/>
  <c r="D109" i="6"/>
  <c r="BH109" i="6"/>
  <c r="Q109" i="6"/>
  <c r="A109" i="6"/>
  <c r="BV109" i="6"/>
  <c r="O109" i="6"/>
  <c r="BB115" i="6"/>
  <c r="B115" i="6"/>
  <c r="BO115" i="6"/>
  <c r="BR115" i="6" s="1"/>
  <c r="BA115" i="6"/>
  <c r="L115" i="6"/>
  <c r="AZ115" i="6"/>
  <c r="W115" i="6" s="1"/>
  <c r="K115" i="6"/>
  <c r="M115" i="6"/>
  <c r="BS115" i="6"/>
  <c r="BD115" i="6"/>
  <c r="J115" i="6"/>
  <c r="BC115" i="6"/>
  <c r="I115" i="6"/>
  <c r="H115" i="6"/>
  <c r="BP115" i="6"/>
  <c r="V115" i="6"/>
  <c r="G115" i="6"/>
  <c r="U115" i="6"/>
  <c r="F115" i="6"/>
  <c r="BK115" i="6"/>
  <c r="E115" i="6"/>
  <c r="BU115" i="6"/>
  <c r="AZ120" i="6"/>
  <c r="W120" i="6" s="1"/>
  <c r="BE120" i="6" s="1"/>
  <c r="L120" i="6"/>
  <c r="E120" i="6"/>
  <c r="BS120" i="6"/>
  <c r="Q120" i="6"/>
  <c r="D120" i="6"/>
  <c r="BJ120" i="6"/>
  <c r="BM120" i="6" s="1"/>
  <c r="B120" i="6"/>
  <c r="A120" i="6"/>
  <c r="BH120" i="6"/>
  <c r="O120" i="6"/>
  <c r="BV120" i="6"/>
  <c r="BD120" i="6"/>
  <c r="M120" i="6"/>
  <c r="BR120" i="6"/>
  <c r="BC120" i="6"/>
  <c r="K120" i="6"/>
  <c r="BQ120" i="6"/>
  <c r="BB120" i="6"/>
  <c r="J120" i="6"/>
  <c r="BU140" i="6"/>
  <c r="BT140" i="6"/>
  <c r="AZ186" i="6"/>
  <c r="W186" i="6" s="1"/>
  <c r="BG186" i="6" s="1"/>
  <c r="L186" i="6"/>
  <c r="BK186" i="6"/>
  <c r="K186" i="6"/>
  <c r="BV186" i="6"/>
  <c r="BJ186" i="6"/>
  <c r="R186" i="6" s="1"/>
  <c r="V186" i="6"/>
  <c r="J186" i="6"/>
  <c r="BH186" i="6"/>
  <c r="H186" i="6"/>
  <c r="BS186" i="6"/>
  <c r="G186" i="6"/>
  <c r="Q186" i="6"/>
  <c r="E186" i="6"/>
  <c r="BO186" i="6"/>
  <c r="BR186" i="6" s="1"/>
  <c r="O186" i="6"/>
  <c r="M186" i="6"/>
  <c r="I186" i="6"/>
  <c r="F186" i="6"/>
  <c r="BD186" i="6"/>
  <c r="D186" i="6"/>
  <c r="BP186" i="6"/>
  <c r="BC186" i="6"/>
  <c r="BB186" i="6"/>
  <c r="BA186" i="6"/>
  <c r="U186" i="6"/>
  <c r="B186" i="6"/>
  <c r="A186" i="6"/>
  <c r="BU222" i="6"/>
  <c r="BT222" i="6"/>
  <c r="N72" i="6"/>
  <c r="BD72" i="6"/>
  <c r="O82" i="6"/>
  <c r="BF82" i="6"/>
  <c r="BV82" i="6"/>
  <c r="G85" i="6"/>
  <c r="BM89" i="6"/>
  <c r="BA89" i="6"/>
  <c r="M89" i="6"/>
  <c r="A89" i="6"/>
  <c r="AZ89" i="6"/>
  <c r="W89" i="6" s="1"/>
  <c r="BE89" i="6" s="1"/>
  <c r="K89" i="6"/>
  <c r="BL89" i="6"/>
  <c r="J89" i="6"/>
  <c r="BV89" i="6"/>
  <c r="G89" i="6"/>
  <c r="R89" i="6"/>
  <c r="E89" i="6"/>
  <c r="V89" i="6"/>
  <c r="BT90" i="6"/>
  <c r="BR99" i="6"/>
  <c r="F99" i="6"/>
  <c r="BQ99" i="6"/>
  <c r="BD99" i="6"/>
  <c r="O99" i="6"/>
  <c r="B99" i="6"/>
  <c r="W99" i="6"/>
  <c r="BE99" i="6" s="1"/>
  <c r="I99" i="6"/>
  <c r="V99" i="6"/>
  <c r="H99" i="6"/>
  <c r="BK99" i="6"/>
  <c r="U99" i="6"/>
  <c r="G99" i="6"/>
  <c r="D99" i="6"/>
  <c r="A99" i="6"/>
  <c r="BC99" i="6"/>
  <c r="BB169" i="6"/>
  <c r="B169" i="6"/>
  <c r="J169" i="6"/>
  <c r="BK169" i="6"/>
  <c r="V169" i="6"/>
  <c r="I169" i="6"/>
  <c r="BJ169" i="6"/>
  <c r="BM169" i="6" s="1"/>
  <c r="U169" i="6"/>
  <c r="H169" i="6"/>
  <c r="BV169" i="6"/>
  <c r="G169" i="6"/>
  <c r="BH169" i="6"/>
  <c r="F169" i="6"/>
  <c r="E169" i="6"/>
  <c r="BD169" i="6"/>
  <c r="A169" i="6"/>
  <c r="BC169" i="6"/>
  <c r="BA169" i="6"/>
  <c r="AZ169" i="6"/>
  <c r="W169" i="6" s="1"/>
  <c r="BS169" i="6"/>
  <c r="Q169" i="6"/>
  <c r="O169" i="6"/>
  <c r="BO169" i="6"/>
  <c r="M169" i="6"/>
  <c r="L169" i="6"/>
  <c r="K169" i="6"/>
  <c r="BU194" i="6"/>
  <c r="BT194" i="6"/>
  <c r="T222" i="6"/>
  <c r="U44" i="6"/>
  <c r="I44" i="6"/>
  <c r="BE44" i="6"/>
  <c r="BM46" i="6"/>
  <c r="BA46" i="6"/>
  <c r="M46" i="6"/>
  <c r="A46" i="6"/>
  <c r="BE46" i="6"/>
  <c r="BR46" i="6"/>
  <c r="BV56" i="6"/>
  <c r="BJ56" i="6"/>
  <c r="V56" i="6"/>
  <c r="J56" i="6"/>
  <c r="U56" i="6"/>
  <c r="I56" i="6"/>
  <c r="Q56" i="6"/>
  <c r="BG56" i="6"/>
  <c r="BI56" i="6" s="1"/>
  <c r="E64" i="6"/>
  <c r="E67" i="6"/>
  <c r="U67" i="6"/>
  <c r="BK67" i="6"/>
  <c r="BV68" i="6"/>
  <c r="BJ68" i="6"/>
  <c r="BL68" i="6" s="1"/>
  <c r="V68" i="6"/>
  <c r="J68" i="6"/>
  <c r="U68" i="6"/>
  <c r="I68" i="6"/>
  <c r="Q68" i="6"/>
  <c r="A72" i="6"/>
  <c r="O72" i="6"/>
  <c r="E76" i="6"/>
  <c r="BQ77" i="6"/>
  <c r="BG82" i="6"/>
  <c r="BQ83" i="6"/>
  <c r="BL84" i="6"/>
  <c r="H85" i="6"/>
  <c r="BB85" i="6"/>
  <c r="BS85" i="6"/>
  <c r="U87" i="6"/>
  <c r="I87" i="6"/>
  <c r="BA87" i="6"/>
  <c r="L87" i="6"/>
  <c r="BM87" i="6"/>
  <c r="AZ87" i="6"/>
  <c r="W87" i="6" s="1"/>
  <c r="BG87" i="6" s="1"/>
  <c r="BI87" i="6" s="1"/>
  <c r="K87" i="6"/>
  <c r="R87" i="6"/>
  <c r="E87" i="6"/>
  <c r="BO87" i="6"/>
  <c r="D89" i="6"/>
  <c r="BB89" i="6"/>
  <c r="BS89" i="6"/>
  <c r="BG93" i="6"/>
  <c r="BI93" i="6" s="1"/>
  <c r="N93" i="6"/>
  <c r="B98" i="6"/>
  <c r="E99" i="6"/>
  <c r="A102" i="6"/>
  <c r="E103" i="6"/>
  <c r="BH106" i="6"/>
  <c r="T106" i="6"/>
  <c r="H106" i="6"/>
  <c r="BJ106" i="6"/>
  <c r="BM106" i="6" s="1"/>
  <c r="U106" i="6"/>
  <c r="G106" i="6"/>
  <c r="BV106" i="6"/>
  <c r="F106" i="6"/>
  <c r="BK106" i="6"/>
  <c r="Q106" i="6"/>
  <c r="B106" i="6"/>
  <c r="A106" i="6"/>
  <c r="O106" i="6"/>
  <c r="BS106" i="6"/>
  <c r="BD106" i="6"/>
  <c r="M106" i="6"/>
  <c r="BQ106" i="6"/>
  <c r="BB106" i="6"/>
  <c r="K106" i="6"/>
  <c r="BC106" i="6"/>
  <c r="H109" i="6"/>
  <c r="O115" i="6"/>
  <c r="A116" i="6"/>
  <c r="BL116" i="6"/>
  <c r="G120" i="6"/>
  <c r="BP120" i="6"/>
  <c r="BQ121" i="6"/>
  <c r="BQ125" i="6"/>
  <c r="F153" i="6"/>
  <c r="BO153" i="6"/>
  <c r="T153" i="6" s="1"/>
  <c r="BB153" i="6"/>
  <c r="M153" i="6"/>
  <c r="BA153" i="6"/>
  <c r="L153" i="6"/>
  <c r="AZ153" i="6"/>
  <c r="W153" i="6" s="1"/>
  <c r="K153" i="6"/>
  <c r="J153" i="6"/>
  <c r="BJ153" i="6"/>
  <c r="R153" i="6" s="1"/>
  <c r="U153" i="6"/>
  <c r="H153" i="6"/>
  <c r="BP153" i="6"/>
  <c r="BK153" i="6"/>
  <c r="O153" i="6"/>
  <c r="BH153" i="6"/>
  <c r="I153" i="6"/>
  <c r="G153" i="6"/>
  <c r="BD153" i="6"/>
  <c r="D153" i="6"/>
  <c r="B153" i="6"/>
  <c r="A153" i="6"/>
  <c r="BS153" i="6"/>
  <c r="BC153" i="6"/>
  <c r="V153" i="6"/>
  <c r="D169" i="6"/>
  <c r="B72" i="6"/>
  <c r="BH72" i="6"/>
  <c r="Q82" i="6"/>
  <c r="I85" i="6"/>
  <c r="BC85" i="6"/>
  <c r="F89" i="6"/>
  <c r="BC89" i="6"/>
  <c r="BP98" i="6"/>
  <c r="BD98" i="6"/>
  <c r="D98" i="6"/>
  <c r="BK98" i="6"/>
  <c r="V98" i="6"/>
  <c r="I98" i="6"/>
  <c r="BB98" i="6"/>
  <c r="L98" i="6"/>
  <c r="BO98" i="6"/>
  <c r="BA98" i="6"/>
  <c r="K98" i="6"/>
  <c r="AZ98" i="6"/>
  <c r="W98" i="6" s="1"/>
  <c r="BG98" i="6" s="1"/>
  <c r="J98" i="6"/>
  <c r="U98" i="6"/>
  <c r="G98" i="6"/>
  <c r="E98" i="6"/>
  <c r="J99" i="6"/>
  <c r="BH99" i="6"/>
  <c r="B102" i="6"/>
  <c r="F103" i="6"/>
  <c r="BJ103" i="6"/>
  <c r="R103" i="6" s="1"/>
  <c r="I109" i="6"/>
  <c r="BU117" i="6"/>
  <c r="BT117" i="6"/>
  <c r="H120" i="6"/>
  <c r="T121" i="6"/>
  <c r="BB133" i="6"/>
  <c r="B133" i="6"/>
  <c r="BS133" i="6"/>
  <c r="Q133" i="6"/>
  <c r="D133" i="6"/>
  <c r="BP133" i="6"/>
  <c r="BA133" i="6"/>
  <c r="K133" i="6"/>
  <c r="BO133" i="6"/>
  <c r="AZ133" i="6"/>
  <c r="W133" i="6" s="1"/>
  <c r="BF133" i="6" s="1"/>
  <c r="J133" i="6"/>
  <c r="V133" i="6"/>
  <c r="H133" i="6"/>
  <c r="BK133" i="6"/>
  <c r="E133" i="6"/>
  <c r="O133" i="6"/>
  <c r="BJ133" i="6"/>
  <c r="R133" i="6" s="1"/>
  <c r="M133" i="6"/>
  <c r="BH133" i="6"/>
  <c r="L133" i="6"/>
  <c r="I133" i="6"/>
  <c r="G133" i="6"/>
  <c r="BD133" i="6"/>
  <c r="F133" i="6"/>
  <c r="BH136" i="6"/>
  <c r="H136" i="6"/>
  <c r="BL136" i="6"/>
  <c r="J136" i="6"/>
  <c r="BK136" i="6"/>
  <c r="V136" i="6"/>
  <c r="I136" i="6"/>
  <c r="Q136" i="6"/>
  <c r="B136" i="6"/>
  <c r="A136" i="6"/>
  <c r="BS136" i="6"/>
  <c r="BD136" i="6"/>
  <c r="M136" i="6"/>
  <c r="BB136" i="6"/>
  <c r="K136" i="6"/>
  <c r="AZ136" i="6"/>
  <c r="W136" i="6" s="1"/>
  <c r="U136" i="6"/>
  <c r="BV136" i="6"/>
  <c r="R136" i="6"/>
  <c r="BP136" i="6"/>
  <c r="O136" i="6"/>
  <c r="BO136" i="6"/>
  <c r="T136" i="6" s="1"/>
  <c r="L136" i="6"/>
  <c r="G136" i="6"/>
  <c r="E153" i="6"/>
  <c r="BB157" i="6"/>
  <c r="B157" i="6"/>
  <c r="BO157" i="6"/>
  <c r="BA157" i="6"/>
  <c r="L157" i="6"/>
  <c r="AZ157" i="6"/>
  <c r="W157" i="6" s="1"/>
  <c r="BF157" i="6" s="1"/>
  <c r="K157" i="6"/>
  <c r="J157" i="6"/>
  <c r="BK157" i="6"/>
  <c r="V157" i="6"/>
  <c r="I157" i="6"/>
  <c r="BJ157" i="6"/>
  <c r="U157" i="6"/>
  <c r="H157" i="6"/>
  <c r="BV157" i="6"/>
  <c r="G157" i="6"/>
  <c r="BS157" i="6"/>
  <c r="Q157" i="6"/>
  <c r="O157" i="6"/>
  <c r="BP157" i="6"/>
  <c r="M157" i="6"/>
  <c r="BH157" i="6"/>
  <c r="F157" i="6"/>
  <c r="E157" i="6"/>
  <c r="A157" i="6"/>
  <c r="BP169" i="6"/>
  <c r="N171" i="6"/>
  <c r="BB187" i="6"/>
  <c r="B187" i="6"/>
  <c r="BA187" i="6"/>
  <c r="M187" i="6"/>
  <c r="A187" i="6"/>
  <c r="AZ187" i="6"/>
  <c r="W187" i="6" s="1"/>
  <c r="L187" i="6"/>
  <c r="BV187" i="6"/>
  <c r="BJ187" i="6"/>
  <c r="V187" i="6"/>
  <c r="J187" i="6"/>
  <c r="U187" i="6"/>
  <c r="I187" i="6"/>
  <c r="BS187" i="6"/>
  <c r="G187" i="6"/>
  <c r="Q187" i="6"/>
  <c r="BP187" i="6"/>
  <c r="BO187" i="6"/>
  <c r="BR187" i="6" s="1"/>
  <c r="O187" i="6"/>
  <c r="BK187" i="6"/>
  <c r="K187" i="6"/>
  <c r="BH187" i="6"/>
  <c r="H187" i="6"/>
  <c r="F187" i="6"/>
  <c r="BD187" i="6"/>
  <c r="BC187" i="6"/>
  <c r="E187" i="6"/>
  <c r="BU219" i="6"/>
  <c r="BT219" i="6"/>
  <c r="BR72" i="6"/>
  <c r="F72" i="6"/>
  <c r="BQ72" i="6"/>
  <c r="Q72" i="6"/>
  <c r="E72" i="6"/>
  <c r="BB82" i="6"/>
  <c r="B82" i="6"/>
  <c r="BA82" i="6"/>
  <c r="M82" i="6"/>
  <c r="A82" i="6"/>
  <c r="BH82" i="6"/>
  <c r="T82" i="6"/>
  <c r="H82" i="6"/>
  <c r="BJ82" i="6"/>
  <c r="BD89" i="6"/>
  <c r="BG95" i="6"/>
  <c r="BI95" i="6" s="1"/>
  <c r="F98" i="6"/>
  <c r="K99" i="6"/>
  <c r="BJ99" i="6"/>
  <c r="AZ102" i="6"/>
  <c r="W102" i="6" s="1"/>
  <c r="L102" i="6"/>
  <c r="BJ102" i="6"/>
  <c r="BL102" i="6" s="1"/>
  <c r="U102" i="6"/>
  <c r="H102" i="6"/>
  <c r="BV102" i="6"/>
  <c r="T102" i="6"/>
  <c r="BS102" i="6"/>
  <c r="BD102" i="6"/>
  <c r="M102" i="6"/>
  <c r="BR102" i="6"/>
  <c r="BC102" i="6"/>
  <c r="K102" i="6"/>
  <c r="BP102" i="6"/>
  <c r="BA102" i="6"/>
  <c r="I102" i="6"/>
  <c r="V102" i="6"/>
  <c r="F102" i="6"/>
  <c r="H103" i="6"/>
  <c r="BK103" i="6"/>
  <c r="J109" i="6"/>
  <c r="Q115" i="6"/>
  <c r="BP116" i="6"/>
  <c r="BD116" i="6"/>
  <c r="D116" i="6"/>
  <c r="BH116" i="6"/>
  <c r="F116" i="6"/>
  <c r="R116" i="6"/>
  <c r="E116" i="6"/>
  <c r="BV116" i="6"/>
  <c r="M116" i="6"/>
  <c r="BS116" i="6"/>
  <c r="BC116" i="6"/>
  <c r="L116" i="6"/>
  <c r="BB116" i="6"/>
  <c r="K116" i="6"/>
  <c r="BA116" i="6"/>
  <c r="J116" i="6"/>
  <c r="BO116" i="6"/>
  <c r="T116" i="6" s="1"/>
  <c r="AZ116" i="6"/>
  <c r="W116" i="6" s="1"/>
  <c r="I116" i="6"/>
  <c r="H116" i="6"/>
  <c r="BM116" i="6"/>
  <c r="V116" i="6"/>
  <c r="G116" i="6"/>
  <c r="I120" i="6"/>
  <c r="D136" i="6"/>
  <c r="Q153" i="6"/>
  <c r="D187" i="6"/>
  <c r="F44" i="6"/>
  <c r="BH44" i="6"/>
  <c r="BI44" i="6" s="1"/>
  <c r="BV44" i="6"/>
  <c r="F46" i="6"/>
  <c r="BH46" i="6"/>
  <c r="F56" i="6"/>
  <c r="T56" i="6"/>
  <c r="H64" i="6"/>
  <c r="V64" i="6"/>
  <c r="BL64" i="6"/>
  <c r="J67" i="6"/>
  <c r="AZ67" i="6"/>
  <c r="W67" i="6" s="1"/>
  <c r="BG67" i="6" s="1"/>
  <c r="F68" i="6"/>
  <c r="T68" i="6"/>
  <c r="D72" i="6"/>
  <c r="T72" i="6"/>
  <c r="BJ72" i="6"/>
  <c r="R72" i="6" s="1"/>
  <c r="H76" i="6"/>
  <c r="V76" i="6"/>
  <c r="BL76" i="6"/>
  <c r="D82" i="6"/>
  <c r="BK82" i="6"/>
  <c r="M85" i="6"/>
  <c r="G87" i="6"/>
  <c r="BB87" i="6"/>
  <c r="I89" i="6"/>
  <c r="N90" i="6"/>
  <c r="H98" i="6"/>
  <c r="BH98" i="6"/>
  <c r="L99" i="6"/>
  <c r="D102" i="6"/>
  <c r="J103" i="6"/>
  <c r="R105" i="6"/>
  <c r="F105" i="6"/>
  <c r="BP105" i="6"/>
  <c r="BC105" i="6"/>
  <c r="A105" i="6"/>
  <c r="BO105" i="6"/>
  <c r="T105" i="6" s="1"/>
  <c r="BB105" i="6"/>
  <c r="M105" i="6"/>
  <c r="Q105" i="6"/>
  <c r="B105" i="6"/>
  <c r="BH105" i="6"/>
  <c r="BV105" i="6"/>
  <c r="O105" i="6"/>
  <c r="BD105" i="6"/>
  <c r="K105" i="6"/>
  <c r="AZ105" i="6"/>
  <c r="W105" i="6" s="1"/>
  <c r="BE105" i="6" s="1"/>
  <c r="I105" i="6"/>
  <c r="BA105" i="6"/>
  <c r="I106" i="6"/>
  <c r="K109" i="6"/>
  <c r="R117" i="6"/>
  <c r="F117" i="6"/>
  <c r="BA117" i="6"/>
  <c r="L117" i="6"/>
  <c r="BM117" i="6"/>
  <c r="AZ117" i="6"/>
  <c r="W117" i="6" s="1"/>
  <c r="N117" i="6" s="1"/>
  <c r="K117" i="6"/>
  <c r="BV117" i="6"/>
  <c r="O117" i="6"/>
  <c r="BD117" i="6"/>
  <c r="M117" i="6"/>
  <c r="BS117" i="6"/>
  <c r="BC117" i="6"/>
  <c r="J117" i="6"/>
  <c r="BB117" i="6"/>
  <c r="I117" i="6"/>
  <c r="BP117" i="6"/>
  <c r="H117" i="6"/>
  <c r="BO117" i="6"/>
  <c r="V117" i="6"/>
  <c r="G117" i="6"/>
  <c r="BL117" i="6"/>
  <c r="T120" i="6"/>
  <c r="E136" i="6"/>
  <c r="BG152" i="6"/>
  <c r="N152" i="6"/>
  <c r="BB91" i="6"/>
  <c r="BS91" i="6"/>
  <c r="Q91" i="6"/>
  <c r="E91" i="6"/>
  <c r="M92" i="6"/>
  <c r="BC92" i="6"/>
  <c r="BR92" i="6"/>
  <c r="M96" i="6"/>
  <c r="BC96" i="6"/>
  <c r="BQ96" i="6"/>
  <c r="M100" i="6"/>
  <c r="BC100" i="6"/>
  <c r="BQ100" i="6"/>
  <c r="A111" i="6"/>
  <c r="A112" i="6"/>
  <c r="BV113" i="6"/>
  <c r="BJ113" i="6"/>
  <c r="V113" i="6"/>
  <c r="J113" i="6"/>
  <c r="BO113" i="6"/>
  <c r="T113" i="6" s="1"/>
  <c r="BB113" i="6"/>
  <c r="M113" i="6"/>
  <c r="BA113" i="6"/>
  <c r="L113" i="6"/>
  <c r="BL114" i="6"/>
  <c r="AZ114" i="6"/>
  <c r="W114" i="6" s="1"/>
  <c r="BG114" i="6" s="1"/>
  <c r="L114" i="6"/>
  <c r="BH114" i="6"/>
  <c r="F114" i="6"/>
  <c r="R114" i="6"/>
  <c r="E114" i="6"/>
  <c r="T114" i="6"/>
  <c r="BK114" i="6"/>
  <c r="BT123" i="6"/>
  <c r="BU124" i="6"/>
  <c r="O127" i="6"/>
  <c r="T138" i="6"/>
  <c r="BP140" i="6"/>
  <c r="BD140" i="6"/>
  <c r="D140" i="6"/>
  <c r="BK140" i="6"/>
  <c r="V140" i="6"/>
  <c r="I140" i="6"/>
  <c r="BJ140" i="6"/>
  <c r="BL140" i="6" s="1"/>
  <c r="U140" i="6"/>
  <c r="H140" i="6"/>
  <c r="BH140" i="6"/>
  <c r="F140" i="6"/>
  <c r="O140" i="6"/>
  <c r="BG140" i="6"/>
  <c r="N140" i="6"/>
  <c r="BV140" i="6"/>
  <c r="BE140" i="6"/>
  <c r="L140" i="6"/>
  <c r="BC140" i="6"/>
  <c r="K140" i="6"/>
  <c r="BA140" i="6"/>
  <c r="G140" i="6"/>
  <c r="A142" i="6"/>
  <c r="BT148" i="6"/>
  <c r="BU148" i="6"/>
  <c r="BT159" i="6"/>
  <c r="BM164" i="6"/>
  <c r="BL164" i="6"/>
  <c r="BU182" i="6"/>
  <c r="BT182" i="6"/>
  <c r="BV127" i="6"/>
  <c r="A131" i="6"/>
  <c r="Q131" i="6"/>
  <c r="A138" i="6"/>
  <c r="BA138" i="6"/>
  <c r="BH142" i="6"/>
  <c r="T142" i="6"/>
  <c r="H142" i="6"/>
  <c r="BK142" i="6"/>
  <c r="V142" i="6"/>
  <c r="I142" i="6"/>
  <c r="BJ142" i="6"/>
  <c r="U142" i="6"/>
  <c r="G142" i="6"/>
  <c r="E142" i="6"/>
  <c r="BV142" i="6"/>
  <c r="BD142" i="6"/>
  <c r="L142" i="6"/>
  <c r="BS142" i="6"/>
  <c r="BC142" i="6"/>
  <c r="K142" i="6"/>
  <c r="BQ142" i="6"/>
  <c r="BA142" i="6"/>
  <c r="F142" i="6"/>
  <c r="BP142" i="6"/>
  <c r="AZ142" i="6"/>
  <c r="W142" i="6" s="1"/>
  <c r="N142" i="6" s="1"/>
  <c r="D142" i="6"/>
  <c r="B142" i="6"/>
  <c r="AZ144" i="6"/>
  <c r="W144" i="6" s="1"/>
  <c r="L144" i="6"/>
  <c r="BJ144" i="6"/>
  <c r="U144" i="6"/>
  <c r="H144" i="6"/>
  <c r="BV144" i="6"/>
  <c r="G144" i="6"/>
  <c r="BH144" i="6"/>
  <c r="F144" i="6"/>
  <c r="E144" i="6"/>
  <c r="BC144" i="6"/>
  <c r="I144" i="6"/>
  <c r="BS144" i="6"/>
  <c r="BB144" i="6"/>
  <c r="D144" i="6"/>
  <c r="B144" i="6"/>
  <c r="BP144" i="6"/>
  <c r="V144" i="6"/>
  <c r="A144" i="6"/>
  <c r="BU173" i="6"/>
  <c r="BT173" i="6"/>
  <c r="BM202" i="6"/>
  <c r="BL202" i="6"/>
  <c r="N203" i="6"/>
  <c r="A92" i="6"/>
  <c r="O92" i="6"/>
  <c r="A96" i="6"/>
  <c r="O96" i="6"/>
  <c r="A100" i="6"/>
  <c r="O100" i="6"/>
  <c r="BE100" i="6"/>
  <c r="F111" i="6"/>
  <c r="BO111" i="6"/>
  <c r="BB111" i="6"/>
  <c r="M111" i="6"/>
  <c r="BA111" i="6"/>
  <c r="L111" i="6"/>
  <c r="BJ111" i="6"/>
  <c r="BM111" i="6" s="1"/>
  <c r="BH112" i="6"/>
  <c r="H112" i="6"/>
  <c r="BV112" i="6"/>
  <c r="F112" i="6"/>
  <c r="R112" i="6"/>
  <c r="E112" i="6"/>
  <c r="U112" i="6"/>
  <c r="BL112" i="6"/>
  <c r="A127" i="6"/>
  <c r="Q127" i="6"/>
  <c r="R130" i="6"/>
  <c r="B131" i="6"/>
  <c r="B138" i="6"/>
  <c r="J140" i="6"/>
  <c r="BO140" i="6"/>
  <c r="BQ140" i="6" s="1"/>
  <c r="J142" i="6"/>
  <c r="J144" i="6"/>
  <c r="BO144" i="6"/>
  <c r="BR144" i="6" s="1"/>
  <c r="A146" i="6"/>
  <c r="N218" i="6"/>
  <c r="BE218" i="6"/>
  <c r="BK220" i="6"/>
  <c r="K220" i="6"/>
  <c r="BV220" i="6"/>
  <c r="BJ220" i="6"/>
  <c r="BL220" i="6" s="1"/>
  <c r="V220" i="6"/>
  <c r="J220" i="6"/>
  <c r="BD220" i="6"/>
  <c r="F220" i="6"/>
  <c r="B220" i="6"/>
  <c r="Q220" i="6"/>
  <c r="A220" i="6"/>
  <c r="BH220" i="6"/>
  <c r="O220" i="6"/>
  <c r="M220" i="6"/>
  <c r="L220" i="6"/>
  <c r="BC220" i="6"/>
  <c r="I220" i="6"/>
  <c r="BS220" i="6"/>
  <c r="BB220" i="6"/>
  <c r="H220" i="6"/>
  <c r="BP220" i="6"/>
  <c r="BO220" i="6"/>
  <c r="BQ220" i="6" s="1"/>
  <c r="BA220" i="6"/>
  <c r="AZ220" i="6"/>
  <c r="W220" i="6" s="1"/>
  <c r="U220" i="6"/>
  <c r="G220" i="6"/>
  <c r="E220" i="6"/>
  <c r="BB127" i="6"/>
  <c r="B127" i="6"/>
  <c r="W127" i="6"/>
  <c r="BE127" i="6" s="1"/>
  <c r="J127" i="6"/>
  <c r="BK127" i="6"/>
  <c r="V127" i="6"/>
  <c r="I127" i="6"/>
  <c r="BV131" i="6"/>
  <c r="BJ131" i="6"/>
  <c r="BM131" i="6" s="1"/>
  <c r="V131" i="6"/>
  <c r="J131" i="6"/>
  <c r="I131" i="6"/>
  <c r="BK131" i="6"/>
  <c r="U131" i="6"/>
  <c r="H131" i="6"/>
  <c r="BH131" i="6"/>
  <c r="F131" i="6"/>
  <c r="BO131" i="6"/>
  <c r="T131" i="6" s="1"/>
  <c r="AZ138" i="6"/>
  <c r="W138" i="6" s="1"/>
  <c r="L138" i="6"/>
  <c r="BK138" i="6"/>
  <c r="V138" i="6"/>
  <c r="I138" i="6"/>
  <c r="BJ138" i="6"/>
  <c r="R138" i="6" s="1"/>
  <c r="U138" i="6"/>
  <c r="H138" i="6"/>
  <c r="BH138" i="6"/>
  <c r="O138" i="6"/>
  <c r="BV138" i="6"/>
  <c r="BS138" i="6"/>
  <c r="BC138" i="6"/>
  <c r="K138" i="6"/>
  <c r="BR138" i="6"/>
  <c r="BB138" i="6"/>
  <c r="J138" i="6"/>
  <c r="BP138" i="6"/>
  <c r="F138" i="6"/>
  <c r="BP146" i="6"/>
  <c r="BD146" i="6"/>
  <c r="D146" i="6"/>
  <c r="BJ146" i="6"/>
  <c r="BM146" i="6" s="1"/>
  <c r="U146" i="6"/>
  <c r="H146" i="6"/>
  <c r="BV146" i="6"/>
  <c r="G146" i="6"/>
  <c r="BH146" i="6"/>
  <c r="F146" i="6"/>
  <c r="E146" i="6"/>
  <c r="BK146" i="6"/>
  <c r="M146" i="6"/>
  <c r="L146" i="6"/>
  <c r="BC146" i="6"/>
  <c r="J146" i="6"/>
  <c r="BB146" i="6"/>
  <c r="I146" i="6"/>
  <c r="AZ146" i="6"/>
  <c r="W146" i="6" s="1"/>
  <c r="BE146" i="6" s="1"/>
  <c r="B146" i="6"/>
  <c r="BO146" i="6"/>
  <c r="BQ146" i="6" s="1"/>
  <c r="BV173" i="6"/>
  <c r="BJ173" i="6"/>
  <c r="R173" i="6" s="1"/>
  <c r="V173" i="6"/>
  <c r="J173" i="6"/>
  <c r="U173" i="6"/>
  <c r="I173" i="6"/>
  <c r="BH173" i="6"/>
  <c r="T173" i="6"/>
  <c r="H173" i="6"/>
  <c r="BR173" i="6"/>
  <c r="F173" i="6"/>
  <c r="M173" i="6"/>
  <c r="BD173" i="6"/>
  <c r="L173" i="6"/>
  <c r="BC173" i="6"/>
  <c r="K173" i="6"/>
  <c r="BS173" i="6"/>
  <c r="BB173" i="6"/>
  <c r="G173" i="6"/>
  <c r="BQ173" i="6"/>
  <c r="BA173" i="6"/>
  <c r="E173" i="6"/>
  <c r="BP173" i="6"/>
  <c r="AZ173" i="6"/>
  <c r="W173" i="6" s="1"/>
  <c r="D173" i="6"/>
  <c r="BK173" i="6"/>
  <c r="Q173" i="6"/>
  <c r="BV214" i="6"/>
  <c r="BJ214" i="6"/>
  <c r="R214" i="6" s="1"/>
  <c r="V214" i="6"/>
  <c r="J214" i="6"/>
  <c r="BA214" i="6"/>
  <c r="L214" i="6"/>
  <c r="BS214" i="6"/>
  <c r="O214" i="6"/>
  <c r="A214" i="6"/>
  <c r="BP214" i="6"/>
  <c r="BB214" i="6"/>
  <c r="K214" i="6"/>
  <c r="BO214" i="6"/>
  <c r="BQ214" i="6" s="1"/>
  <c r="AZ214" i="6"/>
  <c r="W214" i="6" s="1"/>
  <c r="I214" i="6"/>
  <c r="H214" i="6"/>
  <c r="Q214" i="6"/>
  <c r="BK214" i="6"/>
  <c r="BH214" i="6"/>
  <c r="M214" i="6"/>
  <c r="G214" i="6"/>
  <c r="F214" i="6"/>
  <c r="BD214" i="6"/>
  <c r="BC214" i="6"/>
  <c r="U214" i="6"/>
  <c r="D220" i="6"/>
  <c r="BP92" i="6"/>
  <c r="BD92" i="6"/>
  <c r="D92" i="6"/>
  <c r="W92" i="6"/>
  <c r="J92" i="6"/>
  <c r="BH92" i="6"/>
  <c r="BV92" i="6"/>
  <c r="BL96" i="6"/>
  <c r="AZ96" i="6"/>
  <c r="W96" i="6" s="1"/>
  <c r="BG96" i="6" s="1"/>
  <c r="L96" i="6"/>
  <c r="BK96" i="6"/>
  <c r="V96" i="6"/>
  <c r="I96" i="6"/>
  <c r="Q96" i="6"/>
  <c r="BH100" i="6"/>
  <c r="H100" i="6"/>
  <c r="BK100" i="6"/>
  <c r="V100" i="6"/>
  <c r="I100" i="6"/>
  <c r="Q100" i="6"/>
  <c r="BG100" i="6"/>
  <c r="BV100" i="6"/>
  <c r="BP110" i="6"/>
  <c r="BD110" i="6"/>
  <c r="D110" i="6"/>
  <c r="BV110" i="6"/>
  <c r="T110" i="6"/>
  <c r="G110" i="6"/>
  <c r="BH110" i="6"/>
  <c r="F110" i="6"/>
  <c r="U110" i="6"/>
  <c r="E111" i="6"/>
  <c r="U111" i="6"/>
  <c r="G112" i="6"/>
  <c r="BV125" i="6"/>
  <c r="BJ125" i="6"/>
  <c r="BL125" i="6" s="1"/>
  <c r="V125" i="6"/>
  <c r="J125" i="6"/>
  <c r="AZ125" i="6"/>
  <c r="W125" i="6" s="1"/>
  <c r="K125" i="6"/>
  <c r="I125" i="6"/>
  <c r="D127" i="6"/>
  <c r="BJ127" i="6"/>
  <c r="R127" i="6" s="1"/>
  <c r="D131" i="6"/>
  <c r="AZ131" i="6"/>
  <c r="W131" i="6" s="1"/>
  <c r="BP131" i="6"/>
  <c r="D138" i="6"/>
  <c r="Q140" i="6"/>
  <c r="BS140" i="6"/>
  <c r="BR142" i="6"/>
  <c r="M144" i="6"/>
  <c r="K146" i="6"/>
  <c r="BR152" i="6"/>
  <c r="BB175" i="6"/>
  <c r="B175" i="6"/>
  <c r="BA175" i="6"/>
  <c r="M175" i="6"/>
  <c r="A175" i="6"/>
  <c r="AZ175" i="6"/>
  <c r="W175" i="6" s="1"/>
  <c r="L175" i="6"/>
  <c r="BV175" i="6"/>
  <c r="BJ175" i="6"/>
  <c r="BL175" i="6" s="1"/>
  <c r="V175" i="6"/>
  <c r="J175" i="6"/>
  <c r="I175" i="6"/>
  <c r="BD175" i="6"/>
  <c r="H175" i="6"/>
  <c r="BS175" i="6"/>
  <c r="BC175" i="6"/>
  <c r="G175" i="6"/>
  <c r="BR175" i="6"/>
  <c r="F175" i="6"/>
  <c r="BQ175" i="6"/>
  <c r="U175" i="6"/>
  <c r="E175" i="6"/>
  <c r="BP175" i="6"/>
  <c r="T175" i="6"/>
  <c r="D175" i="6"/>
  <c r="BH175" i="6"/>
  <c r="Q175" i="6"/>
  <c r="D214" i="6"/>
  <c r="O35" i="6"/>
  <c r="BC35" i="6"/>
  <c r="O41" i="6"/>
  <c r="BC41" i="6"/>
  <c r="O47" i="6"/>
  <c r="BC47" i="6"/>
  <c r="O53" i="6"/>
  <c r="BC53" i="6"/>
  <c r="O59" i="6"/>
  <c r="BC59" i="6"/>
  <c r="O65" i="6"/>
  <c r="BC65" i="6"/>
  <c r="O71" i="6"/>
  <c r="BC71" i="6"/>
  <c r="O77" i="6"/>
  <c r="BC77" i="6"/>
  <c r="O83" i="6"/>
  <c r="BC83" i="6"/>
  <c r="I91" i="6"/>
  <c r="V91" i="6"/>
  <c r="BL91" i="6"/>
  <c r="E92" i="6"/>
  <c r="D96" i="6"/>
  <c r="R96" i="6"/>
  <c r="BH96" i="6"/>
  <c r="BV96" i="6"/>
  <c r="D100" i="6"/>
  <c r="A101" i="6"/>
  <c r="BV107" i="6"/>
  <c r="BJ107" i="6"/>
  <c r="V107" i="6"/>
  <c r="J107" i="6"/>
  <c r="BP107" i="6"/>
  <c r="BC107" i="6"/>
  <c r="N107" i="6"/>
  <c r="A107" i="6"/>
  <c r="BO107" i="6"/>
  <c r="BB107" i="6"/>
  <c r="M107" i="6"/>
  <c r="BL108" i="6"/>
  <c r="AZ108" i="6"/>
  <c r="W108" i="6" s="1"/>
  <c r="L108" i="6"/>
  <c r="BV108" i="6"/>
  <c r="T108" i="6"/>
  <c r="G108" i="6"/>
  <c r="BH108" i="6"/>
  <c r="F108" i="6"/>
  <c r="R108" i="6"/>
  <c r="BK108" i="6"/>
  <c r="E110" i="6"/>
  <c r="V110" i="6"/>
  <c r="G111" i="6"/>
  <c r="V111" i="6"/>
  <c r="I112" i="6"/>
  <c r="AZ112" i="6"/>
  <c r="W112" i="6" s="1"/>
  <c r="BO112" i="6"/>
  <c r="T112" i="6" s="1"/>
  <c r="H113" i="6"/>
  <c r="AZ113" i="6"/>
  <c r="W113" i="6" s="1"/>
  <c r="J114" i="6"/>
  <c r="BB114" i="6"/>
  <c r="BQ114" i="6"/>
  <c r="BB121" i="6"/>
  <c r="B121" i="6"/>
  <c r="BM121" i="6"/>
  <c r="AZ121" i="6"/>
  <c r="W121" i="6" s="1"/>
  <c r="K121" i="6"/>
  <c r="BL121" i="6"/>
  <c r="J121" i="6"/>
  <c r="R121" i="6"/>
  <c r="F123" i="6"/>
  <c r="AZ123" i="6"/>
  <c r="W123" i="6" s="1"/>
  <c r="K123" i="6"/>
  <c r="J123" i="6"/>
  <c r="BJ123" i="6"/>
  <c r="BL123" i="6" s="1"/>
  <c r="D125" i="6"/>
  <c r="BK125" i="6"/>
  <c r="E127" i="6"/>
  <c r="F129" i="6"/>
  <c r="BL129" i="6"/>
  <c r="J129" i="6"/>
  <c r="BK129" i="6"/>
  <c r="V129" i="6"/>
  <c r="I129" i="6"/>
  <c r="BV129" i="6"/>
  <c r="G129" i="6"/>
  <c r="U129" i="6"/>
  <c r="BO129" i="6"/>
  <c r="BL130" i="6"/>
  <c r="E131" i="6"/>
  <c r="BA131" i="6"/>
  <c r="E138" i="6"/>
  <c r="F141" i="6"/>
  <c r="BD141" i="6"/>
  <c r="O141" i="6"/>
  <c r="B141" i="6"/>
  <c r="BP141" i="6"/>
  <c r="BC141" i="6"/>
  <c r="A141" i="6"/>
  <c r="BA141" i="6"/>
  <c r="L141" i="6"/>
  <c r="BO141" i="6"/>
  <c r="T141" i="6" s="1"/>
  <c r="V141" i="6"/>
  <c r="E141" i="6"/>
  <c r="U141" i="6"/>
  <c r="D141" i="6"/>
  <c r="BK141" i="6"/>
  <c r="BJ141" i="6"/>
  <c r="Q141" i="6"/>
  <c r="BH141" i="6"/>
  <c r="M141" i="6"/>
  <c r="O142" i="6"/>
  <c r="BV143" i="6"/>
  <c r="BJ143" i="6"/>
  <c r="R143" i="6" s="1"/>
  <c r="V143" i="6"/>
  <c r="J143" i="6"/>
  <c r="BD143" i="6"/>
  <c r="O143" i="6"/>
  <c r="B143" i="6"/>
  <c r="BP143" i="6"/>
  <c r="BC143" i="6"/>
  <c r="A143" i="6"/>
  <c r="BA143" i="6"/>
  <c r="L143" i="6"/>
  <c r="BK143" i="6"/>
  <c r="Q143" i="6"/>
  <c r="M143" i="6"/>
  <c r="K143" i="6"/>
  <c r="BB143" i="6"/>
  <c r="H143" i="6"/>
  <c r="BS146" i="6"/>
  <c r="BR165" i="6"/>
  <c r="F165" i="6"/>
  <c r="AZ165" i="6"/>
  <c r="W165" i="6" s="1"/>
  <c r="BF165" i="6" s="1"/>
  <c r="K165" i="6"/>
  <c r="J165" i="6"/>
  <c r="BK165" i="6"/>
  <c r="V165" i="6"/>
  <c r="I165" i="6"/>
  <c r="BJ165" i="6"/>
  <c r="U165" i="6"/>
  <c r="H165" i="6"/>
  <c r="BV165" i="6"/>
  <c r="T165" i="6"/>
  <c r="G165" i="6"/>
  <c r="BH165" i="6"/>
  <c r="E165" i="6"/>
  <c r="BD165" i="6"/>
  <c r="B165" i="6"/>
  <c r="BC165" i="6"/>
  <c r="A165" i="6"/>
  <c r="BB165" i="6"/>
  <c r="BA165" i="6"/>
  <c r="Q165" i="6"/>
  <c r="BS165" i="6"/>
  <c r="BQ165" i="6"/>
  <c r="O165" i="6"/>
  <c r="O173" i="6"/>
  <c r="K175" i="6"/>
  <c r="AZ192" i="6"/>
  <c r="W192" i="6" s="1"/>
  <c r="BF192" i="6" s="1"/>
  <c r="L192" i="6"/>
  <c r="BK192" i="6"/>
  <c r="K192" i="6"/>
  <c r="BV192" i="6"/>
  <c r="BJ192" i="6"/>
  <c r="BM192" i="6" s="1"/>
  <c r="V192" i="6"/>
  <c r="J192" i="6"/>
  <c r="BH192" i="6"/>
  <c r="T192" i="6"/>
  <c r="H192" i="6"/>
  <c r="BS192" i="6"/>
  <c r="G192" i="6"/>
  <c r="BR192" i="6"/>
  <c r="BQ192" i="6"/>
  <c r="Q192" i="6"/>
  <c r="E192" i="6"/>
  <c r="BB192" i="6"/>
  <c r="B192" i="6"/>
  <c r="BA192" i="6"/>
  <c r="A192" i="6"/>
  <c r="U192" i="6"/>
  <c r="BP192" i="6"/>
  <c r="O192" i="6"/>
  <c r="BD192" i="6"/>
  <c r="BC192" i="6"/>
  <c r="M192" i="6"/>
  <c r="I192" i="6"/>
  <c r="F192" i="6"/>
  <c r="E214" i="6"/>
  <c r="J91" i="6"/>
  <c r="W91" i="6"/>
  <c r="BF91" i="6" s="1"/>
  <c r="BM91" i="6"/>
  <c r="F92" i="6"/>
  <c r="T92" i="6"/>
  <c r="BJ92" i="6"/>
  <c r="R92" i="6" s="1"/>
  <c r="E96" i="6"/>
  <c r="E100" i="6"/>
  <c r="BJ100" i="6"/>
  <c r="R100" i="6" s="1"/>
  <c r="BV101" i="6"/>
  <c r="BJ101" i="6"/>
  <c r="V101" i="6"/>
  <c r="J101" i="6"/>
  <c r="BQ101" i="6"/>
  <c r="BD101" i="6"/>
  <c r="O101" i="6"/>
  <c r="B101" i="6"/>
  <c r="Q101" i="6"/>
  <c r="BG101" i="6"/>
  <c r="H110" i="6"/>
  <c r="W110" i="6"/>
  <c r="N110" i="6" s="1"/>
  <c r="H111" i="6"/>
  <c r="W111" i="6"/>
  <c r="BP111" i="6"/>
  <c r="J112" i="6"/>
  <c r="BA112" i="6"/>
  <c r="BP112" i="6"/>
  <c r="I113" i="6"/>
  <c r="BC113" i="6"/>
  <c r="K114" i="6"/>
  <c r="BC114" i="6"/>
  <c r="BR114" i="6"/>
  <c r="E125" i="6"/>
  <c r="T125" i="6"/>
  <c r="F127" i="6"/>
  <c r="U127" i="6"/>
  <c r="BO127" i="6"/>
  <c r="T127" i="6" s="1"/>
  <c r="G131" i="6"/>
  <c r="BB131" i="6"/>
  <c r="BS131" i="6"/>
  <c r="BQ132" i="6"/>
  <c r="G138" i="6"/>
  <c r="O144" i="6"/>
  <c r="O146" i="6"/>
  <c r="BU167" i="6"/>
  <c r="BT167" i="6"/>
  <c r="O175" i="6"/>
  <c r="BM190" i="6"/>
  <c r="BL190" i="6"/>
  <c r="A134" i="6"/>
  <c r="O134" i="6"/>
  <c r="Q149" i="6"/>
  <c r="F159" i="6"/>
  <c r="BA159" i="6"/>
  <c r="L159" i="6"/>
  <c r="AZ159" i="6"/>
  <c r="W159" i="6" s="1"/>
  <c r="BF159" i="6" s="1"/>
  <c r="K159" i="6"/>
  <c r="J159" i="6"/>
  <c r="BK159" i="6"/>
  <c r="V159" i="6"/>
  <c r="I159" i="6"/>
  <c r="BJ159" i="6"/>
  <c r="R159" i="6" s="1"/>
  <c r="U159" i="6"/>
  <c r="H159" i="6"/>
  <c r="BV159" i="6"/>
  <c r="G159" i="6"/>
  <c r="B161" i="6"/>
  <c r="B167" i="6"/>
  <c r="F183" i="6"/>
  <c r="Q183" i="6"/>
  <c r="E183" i="6"/>
  <c r="BP183" i="6"/>
  <c r="BD183" i="6"/>
  <c r="D183" i="6"/>
  <c r="BB183" i="6"/>
  <c r="B183" i="6"/>
  <c r="BA183" i="6"/>
  <c r="M183" i="6"/>
  <c r="A183" i="6"/>
  <c r="BK183" i="6"/>
  <c r="U183" i="6"/>
  <c r="BS183" i="6"/>
  <c r="BO183" i="6"/>
  <c r="BR183" i="6" s="1"/>
  <c r="O183" i="6"/>
  <c r="BJ183" i="6"/>
  <c r="BM183" i="6" s="1"/>
  <c r="L183" i="6"/>
  <c r="K183" i="6"/>
  <c r="BV183" i="6"/>
  <c r="BV161" i="6"/>
  <c r="BJ161" i="6"/>
  <c r="V161" i="6"/>
  <c r="J161" i="6"/>
  <c r="BA161" i="6"/>
  <c r="L161" i="6"/>
  <c r="AZ161" i="6"/>
  <c r="W161" i="6" s="1"/>
  <c r="K161" i="6"/>
  <c r="I161" i="6"/>
  <c r="BK161" i="6"/>
  <c r="U161" i="6"/>
  <c r="H161" i="6"/>
  <c r="G161" i="6"/>
  <c r="BH161" i="6"/>
  <c r="F161" i="6"/>
  <c r="BV167" i="6"/>
  <c r="BJ167" i="6"/>
  <c r="BL167" i="6" s="1"/>
  <c r="V167" i="6"/>
  <c r="J167" i="6"/>
  <c r="AZ167" i="6"/>
  <c r="W167" i="6" s="1"/>
  <c r="BF167" i="6" s="1"/>
  <c r="K167" i="6"/>
  <c r="I167" i="6"/>
  <c r="BK167" i="6"/>
  <c r="U167" i="6"/>
  <c r="H167" i="6"/>
  <c r="G167" i="6"/>
  <c r="BH167" i="6"/>
  <c r="F167" i="6"/>
  <c r="E167" i="6"/>
  <c r="N184" i="6"/>
  <c r="BB199" i="6"/>
  <c r="B199" i="6"/>
  <c r="BA199" i="6"/>
  <c r="M199" i="6"/>
  <c r="A199" i="6"/>
  <c r="AZ199" i="6"/>
  <c r="W199" i="6" s="1"/>
  <c r="L199" i="6"/>
  <c r="BV199" i="6"/>
  <c r="BJ199" i="6"/>
  <c r="V199" i="6"/>
  <c r="J199" i="6"/>
  <c r="U199" i="6"/>
  <c r="I199" i="6"/>
  <c r="BH199" i="6"/>
  <c r="H199" i="6"/>
  <c r="BS199" i="6"/>
  <c r="G199" i="6"/>
  <c r="BC199" i="6"/>
  <c r="Q199" i="6"/>
  <c r="O199" i="6"/>
  <c r="BP211" i="6"/>
  <c r="BD211" i="6"/>
  <c r="D211" i="6"/>
  <c r="BH211" i="6"/>
  <c r="F211" i="6"/>
  <c r="AZ211" i="6"/>
  <c r="W211" i="6" s="1"/>
  <c r="J211" i="6"/>
  <c r="BK211" i="6"/>
  <c r="U211" i="6"/>
  <c r="G211" i="6"/>
  <c r="BJ211" i="6"/>
  <c r="R211" i="6" s="1"/>
  <c r="E211" i="6"/>
  <c r="B211" i="6"/>
  <c r="V211" i="6"/>
  <c r="A211" i="6"/>
  <c r="BO211" i="6"/>
  <c r="BQ211" i="6" s="1"/>
  <c r="Q211" i="6"/>
  <c r="O211" i="6"/>
  <c r="M211" i="6"/>
  <c r="L211" i="6"/>
  <c r="BV211" i="6"/>
  <c r="BS211" i="6"/>
  <c r="BC211" i="6"/>
  <c r="BT229" i="6"/>
  <c r="BU229" i="6"/>
  <c r="BP134" i="6"/>
  <c r="BD134" i="6"/>
  <c r="D134" i="6"/>
  <c r="BL134" i="6"/>
  <c r="W134" i="6"/>
  <c r="BF134" i="6" s="1"/>
  <c r="J134" i="6"/>
  <c r="R134" i="6"/>
  <c r="BH134" i="6"/>
  <c r="BV134" i="6"/>
  <c r="BS149" i="6"/>
  <c r="BT155" i="6"/>
  <c r="E159" i="6"/>
  <c r="BH159" i="6"/>
  <c r="D161" i="6"/>
  <c r="BB163" i="6"/>
  <c r="B163" i="6"/>
  <c r="AZ163" i="6"/>
  <c r="W163" i="6" s="1"/>
  <c r="K163" i="6"/>
  <c r="J163" i="6"/>
  <c r="BK163" i="6"/>
  <c r="V163" i="6"/>
  <c r="I163" i="6"/>
  <c r="BJ163" i="6"/>
  <c r="BL163" i="6" s="1"/>
  <c r="U163" i="6"/>
  <c r="H163" i="6"/>
  <c r="BV163" i="6"/>
  <c r="G163" i="6"/>
  <c r="BH163" i="6"/>
  <c r="F163" i="6"/>
  <c r="D167" i="6"/>
  <c r="H183" i="6"/>
  <c r="D199" i="6"/>
  <c r="H211" i="6"/>
  <c r="E134" i="6"/>
  <c r="R147" i="6"/>
  <c r="F147" i="6"/>
  <c r="BP147" i="6"/>
  <c r="BC147" i="6"/>
  <c r="A147" i="6"/>
  <c r="BO147" i="6"/>
  <c r="BR147" i="6" s="1"/>
  <c r="BB147" i="6"/>
  <c r="M147" i="6"/>
  <c r="BA147" i="6"/>
  <c r="L147" i="6"/>
  <c r="BM147" i="6"/>
  <c r="AZ147" i="6"/>
  <c r="W147" i="6" s="1"/>
  <c r="K147" i="6"/>
  <c r="BK147" i="6"/>
  <c r="V147" i="6"/>
  <c r="I147" i="6"/>
  <c r="BV147" i="6"/>
  <c r="B149" i="6"/>
  <c r="M159" i="6"/>
  <c r="BO159" i="6"/>
  <c r="T159" i="6" s="1"/>
  <c r="E161" i="6"/>
  <c r="D163" i="6"/>
  <c r="L167" i="6"/>
  <c r="I183" i="6"/>
  <c r="BL196" i="6"/>
  <c r="E199" i="6"/>
  <c r="I211" i="6"/>
  <c r="BV149" i="6"/>
  <c r="BJ149" i="6"/>
  <c r="V149" i="6"/>
  <c r="J149" i="6"/>
  <c r="BP149" i="6"/>
  <c r="BC149" i="6"/>
  <c r="A149" i="6"/>
  <c r="BO149" i="6"/>
  <c r="BR149" i="6" s="1"/>
  <c r="BB149" i="6"/>
  <c r="M149" i="6"/>
  <c r="BA149" i="6"/>
  <c r="L149" i="6"/>
  <c r="AZ149" i="6"/>
  <c r="W149" i="6" s="1"/>
  <c r="N149" i="6" s="1"/>
  <c r="K149" i="6"/>
  <c r="BK149" i="6"/>
  <c r="U149" i="6"/>
  <c r="H149" i="6"/>
  <c r="BT151" i="6"/>
  <c r="M161" i="6"/>
  <c r="BO161" i="6"/>
  <c r="BR161" i="6" s="1"/>
  <c r="M167" i="6"/>
  <c r="BO167" i="6"/>
  <c r="BB181" i="6"/>
  <c r="B181" i="6"/>
  <c r="BA181" i="6"/>
  <c r="M181" i="6"/>
  <c r="A181" i="6"/>
  <c r="AZ181" i="6"/>
  <c r="W181" i="6" s="1"/>
  <c r="BE181" i="6" s="1"/>
  <c r="L181" i="6"/>
  <c r="BV181" i="6"/>
  <c r="BJ181" i="6"/>
  <c r="R181" i="6" s="1"/>
  <c r="V181" i="6"/>
  <c r="J181" i="6"/>
  <c r="U181" i="6"/>
  <c r="I181" i="6"/>
  <c r="BP181" i="6"/>
  <c r="BO181" i="6"/>
  <c r="Q181" i="6"/>
  <c r="BK181" i="6"/>
  <c r="BH181" i="6"/>
  <c r="O181" i="6"/>
  <c r="K181" i="6"/>
  <c r="J183" i="6"/>
  <c r="F199" i="6"/>
  <c r="K211" i="6"/>
  <c r="BP122" i="6"/>
  <c r="BD122" i="6"/>
  <c r="D122" i="6"/>
  <c r="Q122" i="6"/>
  <c r="BF122" i="6"/>
  <c r="BS122" i="6"/>
  <c r="BH124" i="6"/>
  <c r="T124" i="6"/>
  <c r="H124" i="6"/>
  <c r="BR124" i="6"/>
  <c r="BL126" i="6"/>
  <c r="AZ126" i="6"/>
  <c r="W126" i="6" s="1"/>
  <c r="BE126" i="6" s="1"/>
  <c r="L126" i="6"/>
  <c r="BR126" i="6"/>
  <c r="G134" i="6"/>
  <c r="U134" i="6"/>
  <c r="BK134" i="6"/>
  <c r="E147" i="6"/>
  <c r="BH148" i="6"/>
  <c r="H148" i="6"/>
  <c r="BJ148" i="6"/>
  <c r="R148" i="6" s="1"/>
  <c r="U148" i="6"/>
  <c r="G148" i="6"/>
  <c r="BV148" i="6"/>
  <c r="F148" i="6"/>
  <c r="E148" i="6"/>
  <c r="BS148" i="6"/>
  <c r="Q148" i="6"/>
  <c r="D148" i="6"/>
  <c r="BD148" i="6"/>
  <c r="O148" i="6"/>
  <c r="B148" i="6"/>
  <c r="BB148" i="6"/>
  <c r="D149" i="6"/>
  <c r="BD149" i="6"/>
  <c r="BB151" i="6"/>
  <c r="B151" i="6"/>
  <c r="BP151" i="6"/>
  <c r="BC151" i="6"/>
  <c r="M151" i="6"/>
  <c r="BO151" i="6"/>
  <c r="BA151" i="6"/>
  <c r="L151" i="6"/>
  <c r="AZ151" i="6"/>
  <c r="W151" i="6" s="1"/>
  <c r="K151" i="6"/>
  <c r="J151" i="6"/>
  <c r="BJ151" i="6"/>
  <c r="R151" i="6" s="1"/>
  <c r="U151" i="6"/>
  <c r="H151" i="6"/>
  <c r="V151" i="6"/>
  <c r="BM152" i="6"/>
  <c r="O159" i="6"/>
  <c r="BP161" i="6"/>
  <c r="L163" i="6"/>
  <c r="BO163" i="6"/>
  <c r="BL166" i="6"/>
  <c r="BP167" i="6"/>
  <c r="D181" i="6"/>
  <c r="BS181" i="6"/>
  <c r="V183" i="6"/>
  <c r="K199" i="6"/>
  <c r="BA211" i="6"/>
  <c r="BS230" i="6"/>
  <c r="G230" i="6"/>
  <c r="F230" i="6"/>
  <c r="BP230" i="6"/>
  <c r="BB230" i="6"/>
  <c r="L230" i="6"/>
  <c r="I230" i="6"/>
  <c r="V230" i="6"/>
  <c r="H230" i="6"/>
  <c r="BK230" i="6"/>
  <c r="U230" i="6"/>
  <c r="E230" i="6"/>
  <c r="BJ230" i="6"/>
  <c r="BM230" i="6" s="1"/>
  <c r="D230" i="6"/>
  <c r="BC230" i="6"/>
  <c r="A230" i="6"/>
  <c r="BA230" i="6"/>
  <c r="BV230" i="6"/>
  <c r="AZ230" i="6"/>
  <c r="W230" i="6" s="1"/>
  <c r="Q230" i="6"/>
  <c r="O230" i="6"/>
  <c r="BO230" i="6"/>
  <c r="BR230" i="6" s="1"/>
  <c r="M230" i="6"/>
  <c r="B230" i="6"/>
  <c r="BH230" i="6"/>
  <c r="BD230" i="6"/>
  <c r="K230" i="6"/>
  <c r="J230" i="6"/>
  <c r="O84" i="6"/>
  <c r="BC84" i="6"/>
  <c r="O90" i="6"/>
  <c r="BC90" i="6"/>
  <c r="BR93" i="6"/>
  <c r="BF93" i="6"/>
  <c r="R93" i="6"/>
  <c r="F93" i="6"/>
  <c r="BE93" i="6"/>
  <c r="BS93" i="6"/>
  <c r="BV95" i="6"/>
  <c r="BJ95" i="6"/>
  <c r="V95" i="6"/>
  <c r="J95" i="6"/>
  <c r="BE95" i="6"/>
  <c r="BR95" i="6"/>
  <c r="BB97" i="6"/>
  <c r="B97" i="6"/>
  <c r="BR97" i="6"/>
  <c r="E122" i="6"/>
  <c r="R122" i="6"/>
  <c r="BG122" i="6"/>
  <c r="BI122" i="6" s="1"/>
  <c r="D124" i="6"/>
  <c r="Q124" i="6"/>
  <c r="BS124" i="6"/>
  <c r="D126" i="6"/>
  <c r="Q126" i="6"/>
  <c r="BS126" i="6"/>
  <c r="BP128" i="6"/>
  <c r="BD128" i="6"/>
  <c r="D128" i="6"/>
  <c r="Q128" i="6"/>
  <c r="BS128" i="6"/>
  <c r="BH130" i="6"/>
  <c r="T130" i="6"/>
  <c r="H130" i="6"/>
  <c r="BR130" i="6"/>
  <c r="BL132" i="6"/>
  <c r="BM132" i="6"/>
  <c r="AZ132" i="6"/>
  <c r="W132" i="6" s="1"/>
  <c r="BE132" i="6" s="1"/>
  <c r="L132" i="6"/>
  <c r="BS132" i="6"/>
  <c r="H134" i="6"/>
  <c r="V134" i="6"/>
  <c r="BM134" i="6"/>
  <c r="BB145" i="6"/>
  <c r="B145" i="6"/>
  <c r="BD145" i="6"/>
  <c r="O145" i="6"/>
  <c r="A145" i="6"/>
  <c r="BP145" i="6"/>
  <c r="BC145" i="6"/>
  <c r="M145" i="6"/>
  <c r="BO145" i="6"/>
  <c r="T145" i="6" s="1"/>
  <c r="BA145" i="6"/>
  <c r="L145" i="6"/>
  <c r="BM145" i="6"/>
  <c r="AZ145" i="6"/>
  <c r="W145" i="6" s="1"/>
  <c r="K145" i="6"/>
  <c r="G147" i="6"/>
  <c r="I148" i="6"/>
  <c r="BC148" i="6"/>
  <c r="E149" i="6"/>
  <c r="BL150" i="6"/>
  <c r="AZ150" i="6"/>
  <c r="W150" i="6" s="1"/>
  <c r="BG150" i="6" s="1"/>
  <c r="L150" i="6"/>
  <c r="BV150" i="6"/>
  <c r="T150" i="6"/>
  <c r="G150" i="6"/>
  <c r="BH150" i="6"/>
  <c r="F150" i="6"/>
  <c r="R150" i="6"/>
  <c r="E150" i="6"/>
  <c r="BS150" i="6"/>
  <c r="Q150" i="6"/>
  <c r="D150" i="6"/>
  <c r="BQ150" i="6"/>
  <c r="BD150" i="6"/>
  <c r="O150" i="6"/>
  <c r="B150" i="6"/>
  <c r="BB150" i="6"/>
  <c r="D151" i="6"/>
  <c r="BD151" i="6"/>
  <c r="BV151" i="6"/>
  <c r="BV155" i="6"/>
  <c r="BJ155" i="6"/>
  <c r="R155" i="6" s="1"/>
  <c r="V155" i="6"/>
  <c r="J155" i="6"/>
  <c r="BO155" i="6"/>
  <c r="T155" i="6" s="1"/>
  <c r="BB155" i="6"/>
  <c r="M155" i="6"/>
  <c r="BA155" i="6"/>
  <c r="L155" i="6"/>
  <c r="AZ155" i="6"/>
  <c r="W155" i="6" s="1"/>
  <c r="K155" i="6"/>
  <c r="I155" i="6"/>
  <c r="BK155" i="6"/>
  <c r="U155" i="6"/>
  <c r="H155" i="6"/>
  <c r="G155" i="6"/>
  <c r="BS159" i="6"/>
  <c r="O161" i="6"/>
  <c r="M163" i="6"/>
  <c r="BP163" i="6"/>
  <c r="O167" i="6"/>
  <c r="E181" i="6"/>
  <c r="BD199" i="6"/>
  <c r="BE202" i="6"/>
  <c r="N202" i="6"/>
  <c r="BB211" i="6"/>
  <c r="BM223" i="6"/>
  <c r="R223" i="6"/>
  <c r="BU225" i="6"/>
  <c r="BT225" i="6"/>
  <c r="BU179" i="6"/>
  <c r="BT179" i="6"/>
  <c r="B198" i="6"/>
  <c r="BU197" i="6"/>
  <c r="BT197" i="6"/>
  <c r="AZ198" i="6"/>
  <c r="W198" i="6" s="1"/>
  <c r="L198" i="6"/>
  <c r="BK198" i="6"/>
  <c r="K198" i="6"/>
  <c r="BV198" i="6"/>
  <c r="BJ198" i="6"/>
  <c r="BL198" i="6" s="1"/>
  <c r="V198" i="6"/>
  <c r="J198" i="6"/>
  <c r="BH198" i="6"/>
  <c r="H198" i="6"/>
  <c r="BS198" i="6"/>
  <c r="G198" i="6"/>
  <c r="F198" i="6"/>
  <c r="Q198" i="6"/>
  <c r="E198" i="6"/>
  <c r="BU203" i="6"/>
  <c r="BT203" i="6"/>
  <c r="BM213" i="6"/>
  <c r="BA227" i="6"/>
  <c r="M227" i="6"/>
  <c r="A227" i="6"/>
  <c r="AZ227" i="6"/>
  <c r="W227" i="6" s="1"/>
  <c r="L227" i="6"/>
  <c r="BK227" i="6"/>
  <c r="U227" i="6"/>
  <c r="G227" i="6"/>
  <c r="BV227" i="6"/>
  <c r="BH227" i="6"/>
  <c r="D227" i="6"/>
  <c r="B227" i="6"/>
  <c r="BS227" i="6"/>
  <c r="O227" i="6"/>
  <c r="V227" i="6"/>
  <c r="BP227" i="6"/>
  <c r="BO227" i="6"/>
  <c r="Q227" i="6"/>
  <c r="BJ227" i="6"/>
  <c r="BM227" i="6" s="1"/>
  <c r="K227" i="6"/>
  <c r="J227" i="6"/>
  <c r="I227" i="6"/>
  <c r="BD227" i="6"/>
  <c r="BC227" i="6"/>
  <c r="BB227" i="6"/>
  <c r="H227" i="6"/>
  <c r="BP152" i="6"/>
  <c r="BD152" i="6"/>
  <c r="D152" i="6"/>
  <c r="Q152" i="6"/>
  <c r="BF152" i="6"/>
  <c r="BS152" i="6"/>
  <c r="BH154" i="6"/>
  <c r="T154" i="6"/>
  <c r="H154" i="6"/>
  <c r="BR154" i="6"/>
  <c r="BL156" i="6"/>
  <c r="AZ156" i="6"/>
  <c r="W156" i="6" s="1"/>
  <c r="L156" i="6"/>
  <c r="BR156" i="6"/>
  <c r="B158" i="6"/>
  <c r="O158" i="6"/>
  <c r="B160" i="6"/>
  <c r="O160" i="6"/>
  <c r="BD160" i="6"/>
  <c r="B162" i="6"/>
  <c r="O162" i="6"/>
  <c r="BD162" i="6"/>
  <c r="BQ164" i="6"/>
  <c r="A171" i="6"/>
  <c r="BH172" i="6"/>
  <c r="H172" i="6"/>
  <c r="BS172" i="6"/>
  <c r="G172" i="6"/>
  <c r="R172" i="6"/>
  <c r="F172" i="6"/>
  <c r="BP172" i="6"/>
  <c r="U172" i="6"/>
  <c r="BL172" i="6"/>
  <c r="BV179" i="6"/>
  <c r="BJ179" i="6"/>
  <c r="R179" i="6" s="1"/>
  <c r="V179" i="6"/>
  <c r="J179" i="6"/>
  <c r="U179" i="6"/>
  <c r="I179" i="6"/>
  <c r="BH179" i="6"/>
  <c r="BI179" i="6" s="1"/>
  <c r="T179" i="6"/>
  <c r="H179" i="6"/>
  <c r="BR179" i="6"/>
  <c r="BF179" i="6"/>
  <c r="F179" i="6"/>
  <c r="BQ179" i="6"/>
  <c r="BE179" i="6"/>
  <c r="Q179" i="6"/>
  <c r="E179" i="6"/>
  <c r="BA179" i="6"/>
  <c r="BB193" i="6"/>
  <c r="B193" i="6"/>
  <c r="BA193" i="6"/>
  <c r="M193" i="6"/>
  <c r="A193" i="6"/>
  <c r="AZ193" i="6"/>
  <c r="W193" i="6" s="1"/>
  <c r="BE193" i="6" s="1"/>
  <c r="L193" i="6"/>
  <c r="BV193" i="6"/>
  <c r="BJ193" i="6"/>
  <c r="R193" i="6" s="1"/>
  <c r="V193" i="6"/>
  <c r="J193" i="6"/>
  <c r="U193" i="6"/>
  <c r="I193" i="6"/>
  <c r="BH193" i="6"/>
  <c r="H193" i="6"/>
  <c r="BS193" i="6"/>
  <c r="G193" i="6"/>
  <c r="D198" i="6"/>
  <c r="BT207" i="6"/>
  <c r="BU207" i="6"/>
  <c r="BV208" i="6"/>
  <c r="BJ208" i="6"/>
  <c r="BL208" i="6" s="1"/>
  <c r="V208" i="6"/>
  <c r="J208" i="6"/>
  <c r="BP208" i="6"/>
  <c r="BC208" i="6"/>
  <c r="A208" i="6"/>
  <c r="AZ208" i="6"/>
  <c r="W208" i="6" s="1"/>
  <c r="BG208" i="6" s="1"/>
  <c r="K208" i="6"/>
  <c r="I208" i="6"/>
  <c r="BK208" i="6"/>
  <c r="B208" i="6"/>
  <c r="Q208" i="6"/>
  <c r="BH208" i="6"/>
  <c r="O208" i="6"/>
  <c r="M208" i="6"/>
  <c r="L208" i="6"/>
  <c r="BD208" i="6"/>
  <c r="H208" i="6"/>
  <c r="BS208" i="6"/>
  <c r="BB208" i="6"/>
  <c r="G208" i="6"/>
  <c r="E227" i="6"/>
  <c r="BT152" i="6"/>
  <c r="BP158" i="6"/>
  <c r="BD158" i="6"/>
  <c r="D158" i="6"/>
  <c r="Q158" i="6"/>
  <c r="BS158" i="6"/>
  <c r="BH160" i="6"/>
  <c r="T160" i="6"/>
  <c r="H160" i="6"/>
  <c r="BE160" i="6"/>
  <c r="BR160" i="6"/>
  <c r="BL162" i="6"/>
  <c r="AZ162" i="6"/>
  <c r="W162" i="6" s="1"/>
  <c r="N162" i="6" s="1"/>
  <c r="L162" i="6"/>
  <c r="BR162" i="6"/>
  <c r="BB179" i="6"/>
  <c r="D193" i="6"/>
  <c r="I198" i="6"/>
  <c r="D208" i="6"/>
  <c r="F227" i="6"/>
  <c r="F152" i="6"/>
  <c r="BH152" i="6"/>
  <c r="E154" i="6"/>
  <c r="R154" i="6"/>
  <c r="BU154" i="6"/>
  <c r="E156" i="6"/>
  <c r="R156" i="6"/>
  <c r="E158" i="6"/>
  <c r="R158" i="6"/>
  <c r="BT158" i="6"/>
  <c r="D160" i="6"/>
  <c r="Q160" i="6"/>
  <c r="BF160" i="6"/>
  <c r="BS160" i="6"/>
  <c r="D162" i="6"/>
  <c r="Q162" i="6"/>
  <c r="BS162" i="6"/>
  <c r="BP164" i="6"/>
  <c r="BD164" i="6"/>
  <c r="D164" i="6"/>
  <c r="Q164" i="6"/>
  <c r="BS164" i="6"/>
  <c r="BH166" i="6"/>
  <c r="T166" i="6"/>
  <c r="H166" i="6"/>
  <c r="BR166" i="6"/>
  <c r="BL168" i="6"/>
  <c r="AZ168" i="6"/>
  <c r="W168" i="6" s="1"/>
  <c r="L168" i="6"/>
  <c r="BR168" i="6"/>
  <c r="BR171" i="6"/>
  <c r="BF171" i="6"/>
  <c r="F171" i="6"/>
  <c r="BQ171" i="6"/>
  <c r="BE171" i="6"/>
  <c r="Q171" i="6"/>
  <c r="E171" i="6"/>
  <c r="BP171" i="6"/>
  <c r="BD171" i="6"/>
  <c r="D171" i="6"/>
  <c r="U171" i="6"/>
  <c r="BL171" i="6"/>
  <c r="E172" i="6"/>
  <c r="G179" i="6"/>
  <c r="BC179" i="6"/>
  <c r="AZ180" i="6"/>
  <c r="W180" i="6" s="1"/>
  <c r="L180" i="6"/>
  <c r="BK180" i="6"/>
  <c r="K180" i="6"/>
  <c r="BV180" i="6"/>
  <c r="BJ180" i="6"/>
  <c r="V180" i="6"/>
  <c r="J180" i="6"/>
  <c r="BH180" i="6"/>
  <c r="T180" i="6"/>
  <c r="H180" i="6"/>
  <c r="BS180" i="6"/>
  <c r="G180" i="6"/>
  <c r="BA180" i="6"/>
  <c r="BR180" i="6"/>
  <c r="BR189" i="6"/>
  <c r="R189" i="6"/>
  <c r="F189" i="6"/>
  <c r="BQ189" i="6"/>
  <c r="Q189" i="6"/>
  <c r="E189" i="6"/>
  <c r="BP189" i="6"/>
  <c r="BD189" i="6"/>
  <c r="D189" i="6"/>
  <c r="BB189" i="6"/>
  <c r="B189" i="6"/>
  <c r="BA189" i="6"/>
  <c r="M189" i="6"/>
  <c r="A189" i="6"/>
  <c r="BK189" i="6"/>
  <c r="K189" i="6"/>
  <c r="BC189" i="6"/>
  <c r="E193" i="6"/>
  <c r="BK193" i="6"/>
  <c r="M198" i="6"/>
  <c r="BO198" i="6"/>
  <c r="T198" i="6" s="1"/>
  <c r="E208" i="6"/>
  <c r="BR135" i="6"/>
  <c r="R135" i="6"/>
  <c r="F135" i="6"/>
  <c r="BS135" i="6"/>
  <c r="BV137" i="6"/>
  <c r="BJ137" i="6"/>
  <c r="V137" i="6"/>
  <c r="J137" i="6"/>
  <c r="BE137" i="6"/>
  <c r="BR137" i="6"/>
  <c r="BB139" i="6"/>
  <c r="B139" i="6"/>
  <c r="BR139" i="6"/>
  <c r="G152" i="6"/>
  <c r="T152" i="6"/>
  <c r="BV152" i="6"/>
  <c r="F154" i="6"/>
  <c r="BV154" i="6"/>
  <c r="F156" i="6"/>
  <c r="BH156" i="6"/>
  <c r="F158" i="6"/>
  <c r="BH158" i="6"/>
  <c r="E160" i="6"/>
  <c r="BG160" i="6"/>
  <c r="BU160" i="6"/>
  <c r="E162" i="6"/>
  <c r="R162" i="6"/>
  <c r="E164" i="6"/>
  <c r="R164" i="6"/>
  <c r="D166" i="6"/>
  <c r="Q166" i="6"/>
  <c r="BS166" i="6"/>
  <c r="D168" i="6"/>
  <c r="Q168" i="6"/>
  <c r="BS168" i="6"/>
  <c r="G171" i="6"/>
  <c r="V171" i="6"/>
  <c r="BM171" i="6"/>
  <c r="I172" i="6"/>
  <c r="AZ172" i="6"/>
  <c r="W172" i="6" s="1"/>
  <c r="BO172" i="6"/>
  <c r="BQ172" i="6" s="1"/>
  <c r="AZ174" i="6"/>
  <c r="W174" i="6" s="1"/>
  <c r="L174" i="6"/>
  <c r="BK174" i="6"/>
  <c r="K174" i="6"/>
  <c r="BV174" i="6"/>
  <c r="BJ174" i="6"/>
  <c r="BL174" i="6" s="1"/>
  <c r="V174" i="6"/>
  <c r="J174" i="6"/>
  <c r="BH174" i="6"/>
  <c r="H174" i="6"/>
  <c r="BO174" i="6"/>
  <c r="R177" i="6"/>
  <c r="F177" i="6"/>
  <c r="Q177" i="6"/>
  <c r="E177" i="6"/>
  <c r="BP177" i="6"/>
  <c r="BD177" i="6"/>
  <c r="D177" i="6"/>
  <c r="BB177" i="6"/>
  <c r="B177" i="6"/>
  <c r="BM177" i="6"/>
  <c r="V177" i="6"/>
  <c r="BS177" i="6"/>
  <c r="K179" i="6"/>
  <c r="BD179" i="6"/>
  <c r="D180" i="6"/>
  <c r="BB180" i="6"/>
  <c r="BU180" i="6"/>
  <c r="BL184" i="6"/>
  <c r="G189" i="6"/>
  <c r="BT191" i="6"/>
  <c r="F193" i="6"/>
  <c r="BO193" i="6"/>
  <c r="T193" i="6" s="1"/>
  <c r="BR195" i="6"/>
  <c r="R195" i="6"/>
  <c r="F195" i="6"/>
  <c r="BQ195" i="6"/>
  <c r="Q195" i="6"/>
  <c r="E195" i="6"/>
  <c r="BP195" i="6"/>
  <c r="BD195" i="6"/>
  <c r="D195" i="6"/>
  <c r="BB195" i="6"/>
  <c r="B195" i="6"/>
  <c r="BM195" i="6"/>
  <c r="BA195" i="6"/>
  <c r="M195" i="6"/>
  <c r="A195" i="6"/>
  <c r="BL195" i="6"/>
  <c r="AZ195" i="6"/>
  <c r="W195" i="6" s="1"/>
  <c r="L195" i="6"/>
  <c r="BK195" i="6"/>
  <c r="K195" i="6"/>
  <c r="BH195" i="6"/>
  <c r="BE196" i="6"/>
  <c r="BP198" i="6"/>
  <c r="F208" i="6"/>
  <c r="BU210" i="6"/>
  <c r="BT210" i="6"/>
  <c r="BU212" i="6"/>
  <c r="BT212" i="6"/>
  <c r="T212" i="6"/>
  <c r="BU215" i="6"/>
  <c r="O185" i="6"/>
  <c r="BC185" i="6"/>
  <c r="BO185" i="6"/>
  <c r="T185" i="6" s="1"/>
  <c r="O191" i="6"/>
  <c r="BC191" i="6"/>
  <c r="BO191" i="6"/>
  <c r="T191" i="6" s="1"/>
  <c r="O197" i="6"/>
  <c r="BC197" i="6"/>
  <c r="BO197" i="6"/>
  <c r="K201" i="6"/>
  <c r="BK201" i="6"/>
  <c r="O203" i="6"/>
  <c r="BC203" i="6"/>
  <c r="BO203" i="6"/>
  <c r="BQ203" i="6" s="1"/>
  <c r="B207" i="6"/>
  <c r="BB210" i="6"/>
  <c r="B210" i="6"/>
  <c r="BO210" i="6"/>
  <c r="T210" i="6" s="1"/>
  <c r="BA210" i="6"/>
  <c r="BD210" i="6"/>
  <c r="M210" i="6"/>
  <c r="BM210" i="6"/>
  <c r="J210" i="6"/>
  <c r="BL210" i="6"/>
  <c r="V210" i="6"/>
  <c r="I210" i="6"/>
  <c r="BP210" i="6"/>
  <c r="AZ215" i="6"/>
  <c r="W215" i="6" s="1"/>
  <c r="BF215" i="6" s="1"/>
  <c r="L215" i="6"/>
  <c r="E215" i="6"/>
  <c r="BP215" i="6"/>
  <c r="BB215" i="6"/>
  <c r="K215" i="6"/>
  <c r="V215" i="6"/>
  <c r="H215" i="6"/>
  <c r="BK215" i="6"/>
  <c r="U215" i="6"/>
  <c r="G215" i="6"/>
  <c r="BJ215" i="6"/>
  <c r="F215" i="6"/>
  <c r="BC215" i="6"/>
  <c r="BV215" i="6"/>
  <c r="U219" i="6"/>
  <c r="I219" i="6"/>
  <c r="BH219" i="6"/>
  <c r="H219" i="6"/>
  <c r="BV219" i="6"/>
  <c r="B219" i="6"/>
  <c r="AZ219" i="6"/>
  <c r="W219" i="6" s="1"/>
  <c r="M219" i="6"/>
  <c r="BD219" i="6"/>
  <c r="L219" i="6"/>
  <c r="BS219" i="6"/>
  <c r="BC219" i="6"/>
  <c r="K219" i="6"/>
  <c r="BB219" i="6"/>
  <c r="J219" i="6"/>
  <c r="BA219" i="6"/>
  <c r="G219" i="6"/>
  <c r="BP219" i="6"/>
  <c r="F219" i="6"/>
  <c r="BO219" i="6"/>
  <c r="T219" i="6" s="1"/>
  <c r="V219" i="6"/>
  <c r="E219" i="6"/>
  <c r="D219" i="6"/>
  <c r="BT223" i="6"/>
  <c r="BU223" i="6"/>
  <c r="BA233" i="6"/>
  <c r="M233" i="6"/>
  <c r="A233" i="6"/>
  <c r="AZ233" i="6"/>
  <c r="W233" i="6" s="1"/>
  <c r="N233" i="6" s="1"/>
  <c r="L233" i="6"/>
  <c r="BV233" i="6"/>
  <c r="BH233" i="6"/>
  <c r="D233" i="6"/>
  <c r="B233" i="6"/>
  <c r="BS233" i="6"/>
  <c r="O233" i="6"/>
  <c r="BD233" i="6"/>
  <c r="BC233" i="6"/>
  <c r="K233" i="6"/>
  <c r="BP233" i="6"/>
  <c r="BB233" i="6"/>
  <c r="J233" i="6"/>
  <c r="U233" i="6"/>
  <c r="Q233" i="6"/>
  <c r="BO233" i="6"/>
  <c r="BR233" i="6" s="1"/>
  <c r="I233" i="6"/>
  <c r="H233" i="6"/>
  <c r="BK233" i="6"/>
  <c r="G233" i="6"/>
  <c r="BJ233" i="6"/>
  <c r="BL233" i="6" s="1"/>
  <c r="F233" i="6"/>
  <c r="BH294" i="6"/>
  <c r="H294" i="6"/>
  <c r="BV294" i="6"/>
  <c r="F294" i="6"/>
  <c r="BS294" i="6"/>
  <c r="Q294" i="6"/>
  <c r="D294" i="6"/>
  <c r="BD294" i="6"/>
  <c r="M294" i="6"/>
  <c r="BC294" i="6"/>
  <c r="L294" i="6"/>
  <c r="BP294" i="6"/>
  <c r="BA294" i="6"/>
  <c r="J294" i="6"/>
  <c r="BO294" i="6"/>
  <c r="AZ294" i="6"/>
  <c r="W294" i="6" s="1"/>
  <c r="N294" i="6" s="1"/>
  <c r="I294" i="6"/>
  <c r="G294" i="6"/>
  <c r="U294" i="6"/>
  <c r="O294" i="6"/>
  <c r="K294" i="6"/>
  <c r="BK294" i="6"/>
  <c r="E294" i="6"/>
  <c r="B294" i="6"/>
  <c r="A294" i="6"/>
  <c r="BJ294" i="6"/>
  <c r="R294" i="6" s="1"/>
  <c r="BB294" i="6"/>
  <c r="V294" i="6"/>
  <c r="L201" i="6"/>
  <c r="AZ201" i="6"/>
  <c r="W201" i="6" s="1"/>
  <c r="BL201" i="6"/>
  <c r="BH207" i="6"/>
  <c r="BJ207" i="6"/>
  <c r="U207" i="6"/>
  <c r="H207" i="6"/>
  <c r="BS207" i="6"/>
  <c r="Q207" i="6"/>
  <c r="E207" i="6"/>
  <c r="D207" i="6"/>
  <c r="V207" i="6"/>
  <c r="D215" i="6"/>
  <c r="BD215" i="6"/>
  <c r="Q229" i="6"/>
  <c r="E229" i="6"/>
  <c r="BP229" i="6"/>
  <c r="BD229" i="6"/>
  <c r="D229" i="6"/>
  <c r="BO229" i="6"/>
  <c r="BQ229" i="6" s="1"/>
  <c r="BA229" i="6"/>
  <c r="K229" i="6"/>
  <c r="AZ229" i="6"/>
  <c r="W229" i="6" s="1"/>
  <c r="BF229" i="6" s="1"/>
  <c r="J229" i="6"/>
  <c r="I229" i="6"/>
  <c r="V229" i="6"/>
  <c r="H229" i="6"/>
  <c r="U229" i="6"/>
  <c r="BV229" i="6"/>
  <c r="BS229" i="6"/>
  <c r="O229" i="6"/>
  <c r="BK229" i="6"/>
  <c r="M229" i="6"/>
  <c r="BJ229" i="6"/>
  <c r="R229" i="6" s="1"/>
  <c r="L229" i="6"/>
  <c r="G229" i="6"/>
  <c r="E233" i="6"/>
  <c r="O178" i="6"/>
  <c r="BC178" i="6"/>
  <c r="BO178" i="6"/>
  <c r="O184" i="6"/>
  <c r="BC184" i="6"/>
  <c r="BO184" i="6"/>
  <c r="BQ184" i="6" s="1"/>
  <c r="E185" i="6"/>
  <c r="Q185" i="6"/>
  <c r="O190" i="6"/>
  <c r="BC190" i="6"/>
  <c r="BO190" i="6"/>
  <c r="T190" i="6" s="1"/>
  <c r="E191" i="6"/>
  <c r="Q191" i="6"/>
  <c r="O196" i="6"/>
  <c r="BC196" i="6"/>
  <c r="BO196" i="6"/>
  <c r="BQ196" i="6" s="1"/>
  <c r="E197" i="6"/>
  <c r="Q197" i="6"/>
  <c r="A201" i="6"/>
  <c r="M201" i="6"/>
  <c r="BA201" i="6"/>
  <c r="BM201" i="6"/>
  <c r="O202" i="6"/>
  <c r="BC202" i="6"/>
  <c r="BO202" i="6"/>
  <c r="BQ202" i="6" s="1"/>
  <c r="E203" i="6"/>
  <c r="Q203" i="6"/>
  <c r="BE203" i="6"/>
  <c r="BP205" i="6"/>
  <c r="BD205" i="6"/>
  <c r="D205" i="6"/>
  <c r="BA205" i="6"/>
  <c r="M205" i="6"/>
  <c r="AZ205" i="6"/>
  <c r="W205" i="6" s="1"/>
  <c r="L205" i="6"/>
  <c r="BJ205" i="6"/>
  <c r="R205" i="6" s="1"/>
  <c r="F207" i="6"/>
  <c r="BO207" i="6"/>
  <c r="BQ207" i="6" s="1"/>
  <c r="E210" i="6"/>
  <c r="U210" i="6"/>
  <c r="BS210" i="6"/>
  <c r="BT213" i="6"/>
  <c r="BU213" i="6"/>
  <c r="I215" i="6"/>
  <c r="BM217" i="6"/>
  <c r="O219" i="6"/>
  <c r="BE222" i="6"/>
  <c r="BG222" i="6"/>
  <c r="BF222" i="6"/>
  <c r="F229" i="6"/>
  <c r="V233" i="6"/>
  <c r="F248" i="6"/>
  <c r="J248" i="6"/>
  <c r="BK248" i="6"/>
  <c r="V248" i="6"/>
  <c r="I248" i="6"/>
  <c r="BJ248" i="6"/>
  <c r="BM248" i="6" s="1"/>
  <c r="U248" i="6"/>
  <c r="H248" i="6"/>
  <c r="BV248" i="6"/>
  <c r="G248" i="6"/>
  <c r="O248" i="6"/>
  <c r="BH248" i="6"/>
  <c r="M248" i="6"/>
  <c r="L248" i="6"/>
  <c r="BD248" i="6"/>
  <c r="K248" i="6"/>
  <c r="BC248" i="6"/>
  <c r="E248" i="6"/>
  <c r="BS248" i="6"/>
  <c r="A248" i="6"/>
  <c r="BP248" i="6"/>
  <c r="BO248" i="6"/>
  <c r="BR248" i="6" s="1"/>
  <c r="BB248" i="6"/>
  <c r="BA248" i="6"/>
  <c r="AZ248" i="6"/>
  <c r="W248" i="6" s="1"/>
  <c r="BQ263" i="6"/>
  <c r="D178" i="6"/>
  <c r="BD178" i="6"/>
  <c r="BP178" i="6"/>
  <c r="D184" i="6"/>
  <c r="BD184" i="6"/>
  <c r="BP184" i="6"/>
  <c r="F185" i="6"/>
  <c r="D190" i="6"/>
  <c r="BD190" i="6"/>
  <c r="BP190" i="6"/>
  <c r="F191" i="6"/>
  <c r="D196" i="6"/>
  <c r="BD196" i="6"/>
  <c r="BP196" i="6"/>
  <c r="F197" i="6"/>
  <c r="B201" i="6"/>
  <c r="BB201" i="6"/>
  <c r="D202" i="6"/>
  <c r="BD202" i="6"/>
  <c r="BP202" i="6"/>
  <c r="F203" i="6"/>
  <c r="BF203" i="6"/>
  <c r="E205" i="6"/>
  <c r="BK205" i="6"/>
  <c r="G207" i="6"/>
  <c r="AZ207" i="6"/>
  <c r="W207" i="6" s="1"/>
  <c r="BE207" i="6" s="1"/>
  <c r="BP207" i="6"/>
  <c r="F210" i="6"/>
  <c r="AZ210" i="6"/>
  <c r="W210" i="6" s="1"/>
  <c r="J215" i="6"/>
  <c r="Q219" i="6"/>
  <c r="BB229" i="6"/>
  <c r="O201" i="6"/>
  <c r="BC201" i="6"/>
  <c r="BO201" i="6"/>
  <c r="T201" i="6" s="1"/>
  <c r="BF223" i="6"/>
  <c r="N223" i="6"/>
  <c r="BG223" i="6"/>
  <c r="B170" i="6"/>
  <c r="N170" i="6"/>
  <c r="BB170" i="6"/>
  <c r="B176" i="6"/>
  <c r="BB176" i="6"/>
  <c r="F178" i="6"/>
  <c r="R178" i="6"/>
  <c r="BF178" i="6"/>
  <c r="B182" i="6"/>
  <c r="BB182" i="6"/>
  <c r="F184" i="6"/>
  <c r="R184" i="6"/>
  <c r="BF184" i="6"/>
  <c r="H185" i="6"/>
  <c r="BH185" i="6"/>
  <c r="B188" i="6"/>
  <c r="BB188" i="6"/>
  <c r="F190" i="6"/>
  <c r="R190" i="6"/>
  <c r="BF190" i="6"/>
  <c r="H191" i="6"/>
  <c r="BH191" i="6"/>
  <c r="B194" i="6"/>
  <c r="BB194" i="6"/>
  <c r="F196" i="6"/>
  <c r="R196" i="6"/>
  <c r="BF196" i="6"/>
  <c r="H197" i="6"/>
  <c r="BH197" i="6"/>
  <c r="B200" i="6"/>
  <c r="BB200" i="6"/>
  <c r="D201" i="6"/>
  <c r="BD201" i="6"/>
  <c r="BP201" i="6"/>
  <c r="F202" i="6"/>
  <c r="R202" i="6"/>
  <c r="BF202" i="6"/>
  <c r="H203" i="6"/>
  <c r="BH203" i="6"/>
  <c r="BI203" i="6" s="1"/>
  <c r="G205" i="6"/>
  <c r="V205" i="6"/>
  <c r="BO205" i="6"/>
  <c r="BQ205" i="6" s="1"/>
  <c r="J207" i="6"/>
  <c r="BB207" i="6"/>
  <c r="H210" i="6"/>
  <c r="BV210" i="6"/>
  <c r="O170" i="6"/>
  <c r="BC170" i="6"/>
  <c r="BO170" i="6"/>
  <c r="O176" i="6"/>
  <c r="BC176" i="6"/>
  <c r="BO176" i="6"/>
  <c r="G178" i="6"/>
  <c r="BG178" i="6"/>
  <c r="BS178" i="6"/>
  <c r="O182" i="6"/>
  <c r="BC182" i="6"/>
  <c r="BO182" i="6"/>
  <c r="G184" i="6"/>
  <c r="BG184" i="6"/>
  <c r="BS184" i="6"/>
  <c r="I185" i="6"/>
  <c r="U185" i="6"/>
  <c r="O188" i="6"/>
  <c r="BC188" i="6"/>
  <c r="BO188" i="6"/>
  <c r="G190" i="6"/>
  <c r="BG190" i="6"/>
  <c r="BI190" i="6" s="1"/>
  <c r="BS190" i="6"/>
  <c r="I191" i="6"/>
  <c r="U191" i="6"/>
  <c r="O194" i="6"/>
  <c r="BC194" i="6"/>
  <c r="BO194" i="6"/>
  <c r="G196" i="6"/>
  <c r="BG196" i="6"/>
  <c r="BS196" i="6"/>
  <c r="I197" i="6"/>
  <c r="U197" i="6"/>
  <c r="O200" i="6"/>
  <c r="BC200" i="6"/>
  <c r="BO200" i="6"/>
  <c r="E201" i="6"/>
  <c r="Q201" i="6"/>
  <c r="G202" i="6"/>
  <c r="BG202" i="6"/>
  <c r="BI202" i="6" s="1"/>
  <c r="BS202" i="6"/>
  <c r="I203" i="6"/>
  <c r="U203" i="6"/>
  <c r="H205" i="6"/>
  <c r="K207" i="6"/>
  <c r="BC207" i="6"/>
  <c r="BV207" i="6"/>
  <c r="K210" i="6"/>
  <c r="O215" i="6"/>
  <c r="BJ219" i="6"/>
  <c r="BM219" i="6" s="1"/>
  <c r="BT228" i="6"/>
  <c r="R228" i="6"/>
  <c r="BM228" i="6"/>
  <c r="BL228" i="6"/>
  <c r="BH229" i="6"/>
  <c r="BL234" i="6"/>
  <c r="BF243" i="6"/>
  <c r="BG243" i="6"/>
  <c r="N243" i="6"/>
  <c r="BH255" i="6"/>
  <c r="H255" i="6"/>
  <c r="BD255" i="6"/>
  <c r="O255" i="6"/>
  <c r="B255" i="6"/>
  <c r="BP255" i="6"/>
  <c r="BC255" i="6"/>
  <c r="A255" i="6"/>
  <c r="BO255" i="6"/>
  <c r="BB255" i="6"/>
  <c r="M255" i="6"/>
  <c r="BA255" i="6"/>
  <c r="L255" i="6"/>
  <c r="AZ255" i="6"/>
  <c r="W255" i="6" s="1"/>
  <c r="N255" i="6" s="1"/>
  <c r="K255" i="6"/>
  <c r="BS255" i="6"/>
  <c r="Q255" i="6"/>
  <c r="BK255" i="6"/>
  <c r="BJ255" i="6"/>
  <c r="BL255" i="6" s="1"/>
  <c r="J255" i="6"/>
  <c r="I255" i="6"/>
  <c r="G255" i="6"/>
  <c r="F255" i="6"/>
  <c r="BV255" i="6"/>
  <c r="V255" i="6"/>
  <c r="U255" i="6"/>
  <c r="E255" i="6"/>
  <c r="BM274" i="6"/>
  <c r="BL274" i="6"/>
  <c r="R274" i="6"/>
  <c r="D170" i="6"/>
  <c r="BD170" i="6"/>
  <c r="D176" i="6"/>
  <c r="BD176" i="6"/>
  <c r="H178" i="6"/>
  <c r="D182" i="6"/>
  <c r="BD182" i="6"/>
  <c r="H184" i="6"/>
  <c r="J185" i="6"/>
  <c r="V185" i="6"/>
  <c r="BJ185" i="6"/>
  <c r="D188" i="6"/>
  <c r="BD188" i="6"/>
  <c r="H190" i="6"/>
  <c r="J191" i="6"/>
  <c r="V191" i="6"/>
  <c r="BJ191" i="6"/>
  <c r="R191" i="6" s="1"/>
  <c r="D194" i="6"/>
  <c r="BD194" i="6"/>
  <c r="H196" i="6"/>
  <c r="J197" i="6"/>
  <c r="V197" i="6"/>
  <c r="BJ197" i="6"/>
  <c r="D200" i="6"/>
  <c r="BD200" i="6"/>
  <c r="F201" i="6"/>
  <c r="R201" i="6"/>
  <c r="H202" i="6"/>
  <c r="J203" i="6"/>
  <c r="V203" i="6"/>
  <c r="BJ203" i="6"/>
  <c r="I205" i="6"/>
  <c r="BB205" i="6"/>
  <c r="L207" i="6"/>
  <c r="BD207" i="6"/>
  <c r="L210" i="6"/>
  <c r="BO215" i="6"/>
  <c r="BK219" i="6"/>
  <c r="BR228" i="6"/>
  <c r="BQ228" i="6"/>
  <c r="T228" i="6"/>
  <c r="T241" i="6"/>
  <c r="BR241" i="6"/>
  <c r="D255" i="6"/>
  <c r="BT274" i="6"/>
  <c r="BU274" i="6"/>
  <c r="BO216" i="6"/>
  <c r="BC216" i="6"/>
  <c r="BB216" i="6"/>
  <c r="B216" i="6"/>
  <c r="BP216" i="6"/>
  <c r="AZ216" i="6"/>
  <c r="W216" i="6" s="1"/>
  <c r="N216" i="6" s="1"/>
  <c r="K216" i="6"/>
  <c r="Q216" i="6"/>
  <c r="BH216" i="6"/>
  <c r="BJ221" i="6"/>
  <c r="BM221" i="6" s="1"/>
  <c r="U225" i="6"/>
  <c r="I225" i="6"/>
  <c r="BH225" i="6"/>
  <c r="T225" i="6"/>
  <c r="H225" i="6"/>
  <c r="BQ225" i="6"/>
  <c r="BC225" i="6"/>
  <c r="M225" i="6"/>
  <c r="AZ225" i="6"/>
  <c r="W225" i="6" s="1"/>
  <c r="BF225" i="6" s="1"/>
  <c r="J225" i="6"/>
  <c r="BK225" i="6"/>
  <c r="E225" i="6"/>
  <c r="BR225" i="6"/>
  <c r="N235" i="6"/>
  <c r="BV244" i="6"/>
  <c r="BJ244" i="6"/>
  <c r="V244" i="6"/>
  <c r="J244" i="6"/>
  <c r="AZ244" i="6"/>
  <c r="W244" i="6" s="1"/>
  <c r="K244" i="6"/>
  <c r="I244" i="6"/>
  <c r="BH244" i="6"/>
  <c r="Q244" i="6"/>
  <c r="B244" i="6"/>
  <c r="A244" i="6"/>
  <c r="O244" i="6"/>
  <c r="BS244" i="6"/>
  <c r="BD244" i="6"/>
  <c r="M244" i="6"/>
  <c r="BC244" i="6"/>
  <c r="L244" i="6"/>
  <c r="BB244" i="6"/>
  <c r="H244" i="6"/>
  <c r="BB246" i="6"/>
  <c r="B246" i="6"/>
  <c r="J246" i="6"/>
  <c r="BK246" i="6"/>
  <c r="V246" i="6"/>
  <c r="I246" i="6"/>
  <c r="BJ246" i="6"/>
  <c r="BL246" i="6" s="1"/>
  <c r="U246" i="6"/>
  <c r="H246" i="6"/>
  <c r="BV246" i="6"/>
  <c r="G246" i="6"/>
  <c r="A246" i="6"/>
  <c r="BP246" i="6"/>
  <c r="BO246" i="6"/>
  <c r="BR246" i="6" s="1"/>
  <c r="Q246" i="6"/>
  <c r="BH246" i="6"/>
  <c r="O246" i="6"/>
  <c r="M246" i="6"/>
  <c r="L246" i="6"/>
  <c r="BR258" i="6"/>
  <c r="BU279" i="6"/>
  <c r="BT279" i="6"/>
  <c r="B206" i="6"/>
  <c r="BB206" i="6"/>
  <c r="BL209" i="6"/>
  <c r="AZ209" i="6"/>
  <c r="W209" i="6" s="1"/>
  <c r="BE209" i="6" s="1"/>
  <c r="L209" i="6"/>
  <c r="BR209" i="6"/>
  <c r="B212" i="6"/>
  <c r="M213" i="6"/>
  <c r="BC213" i="6"/>
  <c r="BQ213" i="6"/>
  <c r="D216" i="6"/>
  <c r="B217" i="6"/>
  <c r="BS218" i="6"/>
  <c r="BG218" i="6"/>
  <c r="G218" i="6"/>
  <c r="BR218" i="6"/>
  <c r="BF218" i="6"/>
  <c r="F218" i="6"/>
  <c r="BJ218" i="6"/>
  <c r="BL218" i="6" s="1"/>
  <c r="T218" i="6"/>
  <c r="D218" i="6"/>
  <c r="U218" i="6"/>
  <c r="Q221" i="6"/>
  <c r="M224" i="6"/>
  <c r="D225" i="6"/>
  <c r="BA225" i="6"/>
  <c r="BS225" i="6"/>
  <c r="BT235" i="6"/>
  <c r="D244" i="6"/>
  <c r="BO244" i="6"/>
  <c r="BQ244" i="6" s="1"/>
  <c r="D246" i="6"/>
  <c r="BM247" i="6"/>
  <c r="BL247" i="6"/>
  <c r="O206" i="6"/>
  <c r="BC206" i="6"/>
  <c r="BO206" i="6"/>
  <c r="BR206" i="6" s="1"/>
  <c r="D209" i="6"/>
  <c r="Q209" i="6"/>
  <c r="BS209" i="6"/>
  <c r="BR212" i="6"/>
  <c r="R212" i="6"/>
  <c r="F212" i="6"/>
  <c r="BA212" i="6"/>
  <c r="L212" i="6"/>
  <c r="Q212" i="6"/>
  <c r="BH212" i="6"/>
  <c r="BV212" i="6"/>
  <c r="BD213" i="6"/>
  <c r="E216" i="6"/>
  <c r="BJ216" i="6"/>
  <c r="BL216" i="6" s="1"/>
  <c r="Q217" i="6"/>
  <c r="E217" i="6"/>
  <c r="BP217" i="6"/>
  <c r="BD217" i="6"/>
  <c r="D217" i="6"/>
  <c r="BL217" i="6"/>
  <c r="V217" i="6"/>
  <c r="H217" i="6"/>
  <c r="BK217" i="6"/>
  <c r="E218" i="6"/>
  <c r="V218" i="6"/>
  <c r="BO221" i="6"/>
  <c r="T221" i="6" s="1"/>
  <c r="BJ224" i="6"/>
  <c r="F225" i="6"/>
  <c r="BB225" i="6"/>
  <c r="BV225" i="6"/>
  <c r="E244" i="6"/>
  <c r="BP244" i="6"/>
  <c r="E246" i="6"/>
  <c r="BU254" i="6"/>
  <c r="BT254" i="6"/>
  <c r="B221" i="6"/>
  <c r="F244" i="6"/>
  <c r="F246" i="6"/>
  <c r="BG263" i="6"/>
  <c r="BI263" i="6" s="1"/>
  <c r="BF263" i="6"/>
  <c r="BE263" i="6"/>
  <c r="N263" i="6"/>
  <c r="BA221" i="6"/>
  <c r="M221" i="6"/>
  <c r="A221" i="6"/>
  <c r="AZ221" i="6"/>
  <c r="W221" i="6" s="1"/>
  <c r="L221" i="6"/>
  <c r="BP221" i="6"/>
  <c r="BB221" i="6"/>
  <c r="J221" i="6"/>
  <c r="BK221" i="6"/>
  <c r="U221" i="6"/>
  <c r="G221" i="6"/>
  <c r="BV221" i="6"/>
  <c r="BH221" i="6"/>
  <c r="D221" i="6"/>
  <c r="V221" i="6"/>
  <c r="G244" i="6"/>
  <c r="K246" i="6"/>
  <c r="BU250" i="6"/>
  <c r="BT250" i="6"/>
  <c r="F254" i="6"/>
  <c r="BK254" i="6"/>
  <c r="V254" i="6"/>
  <c r="I254" i="6"/>
  <c r="BJ254" i="6"/>
  <c r="BL254" i="6" s="1"/>
  <c r="U254" i="6"/>
  <c r="H254" i="6"/>
  <c r="BV254" i="6"/>
  <c r="G254" i="6"/>
  <c r="BH254" i="6"/>
  <c r="E254" i="6"/>
  <c r="Q254" i="6"/>
  <c r="D254" i="6"/>
  <c r="BP254" i="6"/>
  <c r="BO254" i="6"/>
  <c r="BR254" i="6" s="1"/>
  <c r="O254" i="6"/>
  <c r="M254" i="6"/>
  <c r="L254" i="6"/>
  <c r="K254" i="6"/>
  <c r="BD254" i="6"/>
  <c r="J254" i="6"/>
  <c r="F206" i="6"/>
  <c r="R206" i="6"/>
  <c r="G209" i="6"/>
  <c r="T209" i="6"/>
  <c r="BV209" i="6"/>
  <c r="G212" i="6"/>
  <c r="U212" i="6"/>
  <c r="BK212" i="6"/>
  <c r="BH213" i="6"/>
  <c r="T213" i="6"/>
  <c r="H213" i="6"/>
  <c r="E213" i="6"/>
  <c r="Q213" i="6"/>
  <c r="H216" i="6"/>
  <c r="V216" i="6"/>
  <c r="I217" i="6"/>
  <c r="AZ217" i="6"/>
  <c r="W217" i="6" s="1"/>
  <c r="BE217" i="6" s="1"/>
  <c r="BO217" i="6"/>
  <c r="BR217" i="6" s="1"/>
  <c r="J218" i="6"/>
  <c r="BA218" i="6"/>
  <c r="BP218" i="6"/>
  <c r="E221" i="6"/>
  <c r="BS221" i="6"/>
  <c r="T224" i="6"/>
  <c r="L225" i="6"/>
  <c r="R245" i="6"/>
  <c r="AZ246" i="6"/>
  <c r="W246" i="6" s="1"/>
  <c r="AZ254" i="6"/>
  <c r="W254" i="6" s="1"/>
  <c r="BA257" i="6"/>
  <c r="AZ257" i="6"/>
  <c r="W257" i="6" s="1"/>
  <c r="L257" i="6"/>
  <c r="BS257" i="6"/>
  <c r="O257" i="6"/>
  <c r="B257" i="6"/>
  <c r="BD257" i="6"/>
  <c r="A257" i="6"/>
  <c r="BC257" i="6"/>
  <c r="M257" i="6"/>
  <c r="BP257" i="6"/>
  <c r="BB257" i="6"/>
  <c r="K257" i="6"/>
  <c r="BO257" i="6"/>
  <c r="BR257" i="6" s="1"/>
  <c r="J257" i="6"/>
  <c r="V257" i="6"/>
  <c r="I257" i="6"/>
  <c r="BV257" i="6"/>
  <c r="Q257" i="6"/>
  <c r="BK257" i="6"/>
  <c r="H257" i="6"/>
  <c r="BJ257" i="6"/>
  <c r="R257" i="6" s="1"/>
  <c r="G257" i="6"/>
  <c r="F257" i="6"/>
  <c r="BH257" i="6"/>
  <c r="E257" i="6"/>
  <c r="F285" i="6"/>
  <c r="BJ285" i="6"/>
  <c r="BM285" i="6" s="1"/>
  <c r="U285" i="6"/>
  <c r="H285" i="6"/>
  <c r="BV285" i="6"/>
  <c r="G285" i="6"/>
  <c r="BD285" i="6"/>
  <c r="O285" i="6"/>
  <c r="B285" i="6"/>
  <c r="L285" i="6"/>
  <c r="BC285" i="6"/>
  <c r="K285" i="6"/>
  <c r="BB285" i="6"/>
  <c r="J285" i="6"/>
  <c r="BS285" i="6"/>
  <c r="BA285" i="6"/>
  <c r="I285" i="6"/>
  <c r="BO285" i="6"/>
  <c r="BR285" i="6" s="1"/>
  <c r="D285" i="6"/>
  <c r="BK285" i="6"/>
  <c r="A285" i="6"/>
  <c r="BH285" i="6"/>
  <c r="AZ285" i="6"/>
  <c r="W285" i="6" s="1"/>
  <c r="BF285" i="6" s="1"/>
  <c r="V285" i="6"/>
  <c r="Q285" i="6"/>
  <c r="BP285" i="6"/>
  <c r="BU231" i="6"/>
  <c r="BT231" i="6"/>
  <c r="BQ234" i="6"/>
  <c r="BA246" i="6"/>
  <c r="BA254" i="6"/>
  <c r="D257" i="6"/>
  <c r="T260" i="6"/>
  <c r="BQ260" i="6"/>
  <c r="E285" i="6"/>
  <c r="H221" i="6"/>
  <c r="BD221" i="6"/>
  <c r="BS224" i="6"/>
  <c r="G224" i="6"/>
  <c r="BR224" i="6"/>
  <c r="F224" i="6"/>
  <c r="O224" i="6"/>
  <c r="A224" i="6"/>
  <c r="BP224" i="6"/>
  <c r="BB224" i="6"/>
  <c r="L224" i="6"/>
  <c r="W224" i="6"/>
  <c r="BG224" i="6" s="1"/>
  <c r="I224" i="6"/>
  <c r="V224" i="6"/>
  <c r="BQ224" i="6"/>
  <c r="O225" i="6"/>
  <c r="BJ225" i="6"/>
  <c r="BT226" i="6"/>
  <c r="BF228" i="6"/>
  <c r="BC246" i="6"/>
  <c r="BB254" i="6"/>
  <c r="BU256" i="6"/>
  <c r="BT256" i="6"/>
  <c r="BQ265" i="6"/>
  <c r="M285" i="6"/>
  <c r="BK226" i="6"/>
  <c r="W226" i="6"/>
  <c r="BG226" i="6" s="1"/>
  <c r="K226" i="6"/>
  <c r="BV226" i="6"/>
  <c r="BJ226" i="6"/>
  <c r="BL226" i="6" s="1"/>
  <c r="V226" i="6"/>
  <c r="J226" i="6"/>
  <c r="Q226" i="6"/>
  <c r="B231" i="6"/>
  <c r="BD232" i="6"/>
  <c r="BE235" i="6"/>
  <c r="Q235" i="6"/>
  <c r="E235" i="6"/>
  <c r="BP235" i="6"/>
  <c r="BD235" i="6"/>
  <c r="D235" i="6"/>
  <c r="A236" i="6"/>
  <c r="O236" i="6"/>
  <c r="M237" i="6"/>
  <c r="BC237" i="6"/>
  <c r="BQ237" i="6"/>
  <c r="M240" i="6"/>
  <c r="M242" i="6"/>
  <c r="BD242" i="6"/>
  <c r="BV256" i="6"/>
  <c r="BJ256" i="6"/>
  <c r="BL256" i="6" s="1"/>
  <c r="V256" i="6"/>
  <c r="J256" i="6"/>
  <c r="BK256" i="6"/>
  <c r="U256" i="6"/>
  <c r="H256" i="6"/>
  <c r="G256" i="6"/>
  <c r="BH256" i="6"/>
  <c r="F256" i="6"/>
  <c r="E256" i="6"/>
  <c r="BS256" i="6"/>
  <c r="Q256" i="6"/>
  <c r="D256" i="6"/>
  <c r="BC256" i="6"/>
  <c r="U231" i="6"/>
  <c r="I231" i="6"/>
  <c r="BH231" i="6"/>
  <c r="T231" i="6"/>
  <c r="H231" i="6"/>
  <c r="Q231" i="6"/>
  <c r="BJ235" i="6"/>
  <c r="B236" i="6"/>
  <c r="BH236" i="6"/>
  <c r="BD237" i="6"/>
  <c r="BR237" i="6"/>
  <c r="BU239" i="6"/>
  <c r="O240" i="6"/>
  <c r="BU241" i="6"/>
  <c r="BV250" i="6"/>
  <c r="BJ250" i="6"/>
  <c r="V250" i="6"/>
  <c r="J250" i="6"/>
  <c r="W250" i="6"/>
  <c r="I250" i="6"/>
  <c r="BK250" i="6"/>
  <c r="U250" i="6"/>
  <c r="H250" i="6"/>
  <c r="G250" i="6"/>
  <c r="BH250" i="6"/>
  <c r="F250" i="6"/>
  <c r="BA250" i="6"/>
  <c r="Q252" i="6"/>
  <c r="BO252" i="6"/>
  <c r="I256" i="6"/>
  <c r="BD256" i="6"/>
  <c r="BR261" i="6"/>
  <c r="BF261" i="6"/>
  <c r="BK261" i="6"/>
  <c r="V261" i="6"/>
  <c r="I261" i="6"/>
  <c r="BJ261" i="6"/>
  <c r="BL261" i="6" s="1"/>
  <c r="U261" i="6"/>
  <c r="H261" i="6"/>
  <c r="BH261" i="6"/>
  <c r="B261" i="6"/>
  <c r="BV261" i="6"/>
  <c r="BG261" i="6"/>
  <c r="O261" i="6"/>
  <c r="A261" i="6"/>
  <c r="BE261" i="6"/>
  <c r="N261" i="6"/>
  <c r="BD261" i="6"/>
  <c r="M261" i="6"/>
  <c r="BS261" i="6"/>
  <c r="BC261" i="6"/>
  <c r="L261" i="6"/>
  <c r="BQ261" i="6"/>
  <c r="BB261" i="6"/>
  <c r="K261" i="6"/>
  <c r="BP261" i="6"/>
  <c r="BA261" i="6"/>
  <c r="J261" i="6"/>
  <c r="BU273" i="6"/>
  <c r="BT273" i="6"/>
  <c r="BS236" i="6"/>
  <c r="G236" i="6"/>
  <c r="BR236" i="6"/>
  <c r="F236" i="6"/>
  <c r="Q236" i="6"/>
  <c r="A237" i="6"/>
  <c r="O237" i="6"/>
  <c r="BS237" i="6"/>
  <c r="BT238" i="6"/>
  <c r="BV240" i="6"/>
  <c r="O242" i="6"/>
  <c r="BV242" i="6"/>
  <c r="F226" i="6"/>
  <c r="E231" i="6"/>
  <c r="BK231" i="6"/>
  <c r="BK232" i="6"/>
  <c r="W232" i="6"/>
  <c r="BG232" i="6" s="1"/>
  <c r="K232" i="6"/>
  <c r="BV232" i="6"/>
  <c r="BJ232" i="6"/>
  <c r="BL232" i="6" s="1"/>
  <c r="V232" i="6"/>
  <c r="J232" i="6"/>
  <c r="Q232" i="6"/>
  <c r="H235" i="6"/>
  <c r="V235" i="6"/>
  <c r="D236" i="6"/>
  <c r="T236" i="6"/>
  <c r="BJ236" i="6"/>
  <c r="B237" i="6"/>
  <c r="A240" i="6"/>
  <c r="Q240" i="6"/>
  <c r="A242" i="6"/>
  <c r="BH242" i="6"/>
  <c r="BU243" i="6"/>
  <c r="A252" i="6"/>
  <c r="L256" i="6"/>
  <c r="BE258" i="6"/>
  <c r="BR259" i="6"/>
  <c r="BU281" i="6"/>
  <c r="BT281" i="6"/>
  <c r="N281" i="6"/>
  <c r="BG281" i="6"/>
  <c r="BI281" i="6" s="1"/>
  <c r="BF281" i="6"/>
  <c r="U237" i="6"/>
  <c r="I237" i="6"/>
  <c r="BH237" i="6"/>
  <c r="T237" i="6"/>
  <c r="H237" i="6"/>
  <c r="Q237" i="6"/>
  <c r="BB240" i="6"/>
  <c r="B240" i="6"/>
  <c r="BM240" i="6"/>
  <c r="AZ240" i="6"/>
  <c r="W240" i="6" s="1"/>
  <c r="BG240" i="6" s="1"/>
  <c r="K240" i="6"/>
  <c r="BL240" i="6"/>
  <c r="J240" i="6"/>
  <c r="R240" i="6"/>
  <c r="B242" i="6"/>
  <c r="Q242" i="6"/>
  <c r="R251" i="6"/>
  <c r="BB252" i="6"/>
  <c r="B252" i="6"/>
  <c r="BK252" i="6"/>
  <c r="V252" i="6"/>
  <c r="I252" i="6"/>
  <c r="BJ252" i="6"/>
  <c r="U252" i="6"/>
  <c r="H252" i="6"/>
  <c r="BV252" i="6"/>
  <c r="G252" i="6"/>
  <c r="BH252" i="6"/>
  <c r="F252" i="6"/>
  <c r="AZ252" i="6"/>
  <c r="W252" i="6" s="1"/>
  <c r="R253" i="6"/>
  <c r="M256" i="6"/>
  <c r="BU267" i="6"/>
  <c r="BT267" i="6"/>
  <c r="BR242" i="6"/>
  <c r="F242" i="6"/>
  <c r="AZ242" i="6"/>
  <c r="W242" i="6" s="1"/>
  <c r="K242" i="6"/>
  <c r="J242" i="6"/>
  <c r="BJ242" i="6"/>
  <c r="BM242" i="6" s="1"/>
  <c r="BG262" i="6"/>
  <c r="BF262" i="6"/>
  <c r="BE262" i="6"/>
  <c r="BV275" i="6"/>
  <c r="BJ275" i="6"/>
  <c r="BM275" i="6" s="1"/>
  <c r="V275" i="6"/>
  <c r="J275" i="6"/>
  <c r="I275" i="6"/>
  <c r="BK275" i="6"/>
  <c r="U275" i="6"/>
  <c r="H275" i="6"/>
  <c r="BS275" i="6"/>
  <c r="BC275" i="6"/>
  <c r="L275" i="6"/>
  <c r="BB275" i="6"/>
  <c r="K275" i="6"/>
  <c r="BP275" i="6"/>
  <c r="BA275" i="6"/>
  <c r="G275" i="6"/>
  <c r="BO275" i="6"/>
  <c r="T275" i="6" s="1"/>
  <c r="AZ275" i="6"/>
  <c r="W275" i="6" s="1"/>
  <c r="F275" i="6"/>
  <c r="BD275" i="6"/>
  <c r="B275" i="6"/>
  <c r="A275" i="6"/>
  <c r="Q275" i="6"/>
  <c r="O275" i="6"/>
  <c r="BH275" i="6"/>
  <c r="M275" i="6"/>
  <c r="BQ223" i="6"/>
  <c r="BE223" i="6"/>
  <c r="Q223" i="6"/>
  <c r="E223" i="6"/>
  <c r="BP223" i="6"/>
  <c r="BD223" i="6"/>
  <c r="D223" i="6"/>
  <c r="I226" i="6"/>
  <c r="BA226" i="6"/>
  <c r="BO226" i="6"/>
  <c r="T226" i="6" s="1"/>
  <c r="J231" i="6"/>
  <c r="AZ231" i="6"/>
  <c r="W231" i="6" s="1"/>
  <c r="F232" i="6"/>
  <c r="T232" i="6"/>
  <c r="K235" i="6"/>
  <c r="BA235" i="6"/>
  <c r="BO235" i="6"/>
  <c r="I236" i="6"/>
  <c r="W236" i="6"/>
  <c r="N236" i="6" s="1"/>
  <c r="E237" i="6"/>
  <c r="BK237" i="6"/>
  <c r="BV238" i="6"/>
  <c r="BJ238" i="6"/>
  <c r="BL238" i="6" s="1"/>
  <c r="V238" i="6"/>
  <c r="J238" i="6"/>
  <c r="BA238" i="6"/>
  <c r="L238" i="6"/>
  <c r="AZ238" i="6"/>
  <c r="W238" i="6" s="1"/>
  <c r="K238" i="6"/>
  <c r="BL239" i="6"/>
  <c r="AZ239" i="6"/>
  <c r="W239" i="6" s="1"/>
  <c r="BF239" i="6" s="1"/>
  <c r="L239" i="6"/>
  <c r="R239" i="6"/>
  <c r="E239" i="6"/>
  <c r="BS239" i="6"/>
  <c r="Q239" i="6"/>
  <c r="D239" i="6"/>
  <c r="BK239" i="6"/>
  <c r="E240" i="6"/>
  <c r="T240" i="6"/>
  <c r="BK240" i="6"/>
  <c r="D242" i="6"/>
  <c r="T242" i="6"/>
  <c r="BK242" i="6"/>
  <c r="M250" i="6"/>
  <c r="E252" i="6"/>
  <c r="BC252" i="6"/>
  <c r="O256" i="6"/>
  <c r="BO256" i="6"/>
  <c r="Q261" i="6"/>
  <c r="J252" i="6"/>
  <c r="BD252" i="6"/>
  <c r="BP253" i="6"/>
  <c r="BD253" i="6"/>
  <c r="D253" i="6"/>
  <c r="O253" i="6"/>
  <c r="B253" i="6"/>
  <c r="BC253" i="6"/>
  <c r="A253" i="6"/>
  <c r="BO253" i="6"/>
  <c r="T253" i="6" s="1"/>
  <c r="BB253" i="6"/>
  <c r="M253" i="6"/>
  <c r="BA253" i="6"/>
  <c r="L253" i="6"/>
  <c r="BM253" i="6"/>
  <c r="AZ253" i="6"/>
  <c r="W253" i="6" s="1"/>
  <c r="N253" i="6" s="1"/>
  <c r="U253" i="6"/>
  <c r="BP256" i="6"/>
  <c r="E275" i="6"/>
  <c r="BR267" i="6"/>
  <c r="F267" i="6"/>
  <c r="BJ267" i="6"/>
  <c r="BM267" i="6" s="1"/>
  <c r="U267" i="6"/>
  <c r="H267" i="6"/>
  <c r="BV267" i="6"/>
  <c r="T267" i="6"/>
  <c r="G267" i="6"/>
  <c r="BH267" i="6"/>
  <c r="E267" i="6"/>
  <c r="Q267" i="6"/>
  <c r="D267" i="6"/>
  <c r="BA267" i="6"/>
  <c r="BS267" i="6"/>
  <c r="F273" i="6"/>
  <c r="J273" i="6"/>
  <c r="BK273" i="6"/>
  <c r="V273" i="6"/>
  <c r="I273" i="6"/>
  <c r="BB273" i="6"/>
  <c r="K273" i="6"/>
  <c r="BP273" i="6"/>
  <c r="BA273" i="6"/>
  <c r="H273" i="6"/>
  <c r="BO273" i="6"/>
  <c r="AZ273" i="6"/>
  <c r="W273" i="6" s="1"/>
  <c r="G273" i="6"/>
  <c r="U273" i="6"/>
  <c r="E273" i="6"/>
  <c r="AZ277" i="6"/>
  <c r="W277" i="6" s="1"/>
  <c r="N277" i="6" s="1"/>
  <c r="BV277" i="6"/>
  <c r="AZ280" i="6"/>
  <c r="BL284" i="6"/>
  <c r="A277" i="6"/>
  <c r="BP286" i="6"/>
  <c r="BD286" i="6"/>
  <c r="BJ286" i="6"/>
  <c r="BM286" i="6" s="1"/>
  <c r="U286" i="6"/>
  <c r="H286" i="6"/>
  <c r="BS286" i="6"/>
  <c r="A286" i="6"/>
  <c r="BC286" i="6"/>
  <c r="M286" i="6"/>
  <c r="BO286" i="6"/>
  <c r="BA286" i="6"/>
  <c r="K286" i="6"/>
  <c r="I286" i="6"/>
  <c r="B286" i="6"/>
  <c r="Q286" i="6"/>
  <c r="L286" i="6"/>
  <c r="BB286" i="6"/>
  <c r="E286" i="6"/>
  <c r="BH268" i="6"/>
  <c r="H268" i="6"/>
  <c r="BS268" i="6"/>
  <c r="Q268" i="6"/>
  <c r="BD268" i="6"/>
  <c r="A268" i="6"/>
  <c r="BC268" i="6"/>
  <c r="M268" i="6"/>
  <c r="BP268" i="6"/>
  <c r="BB268" i="6"/>
  <c r="L268" i="6"/>
  <c r="BO268" i="6"/>
  <c r="BR268" i="6" s="1"/>
  <c r="BA268" i="6"/>
  <c r="K268" i="6"/>
  <c r="V268" i="6"/>
  <c r="BV268" i="6"/>
  <c r="BB277" i="6"/>
  <c r="B277" i="6"/>
  <c r="BK277" i="6"/>
  <c r="V277" i="6"/>
  <c r="I277" i="6"/>
  <c r="BJ277" i="6"/>
  <c r="R277" i="6" s="1"/>
  <c r="U277" i="6"/>
  <c r="H277" i="6"/>
  <c r="BS277" i="6"/>
  <c r="Q277" i="6"/>
  <c r="D277" i="6"/>
  <c r="BH277" i="6"/>
  <c r="O277" i="6"/>
  <c r="M277" i="6"/>
  <c r="BC277" i="6"/>
  <c r="BH280" i="6"/>
  <c r="H280" i="6"/>
  <c r="BD280" i="6"/>
  <c r="O280" i="6"/>
  <c r="B280" i="6"/>
  <c r="BP280" i="6"/>
  <c r="BC280" i="6"/>
  <c r="A280" i="6"/>
  <c r="W280" i="6"/>
  <c r="BE280" i="6" s="1"/>
  <c r="J280" i="6"/>
  <c r="BK280" i="6"/>
  <c r="BJ280" i="6"/>
  <c r="R280" i="6" s="1"/>
  <c r="Q280" i="6"/>
  <c r="M280" i="6"/>
  <c r="BV280" i="6"/>
  <c r="K280" i="6"/>
  <c r="BB280" i="6"/>
  <c r="AZ282" i="6"/>
  <c r="W282" i="6" s="1"/>
  <c r="BE282" i="6" s="1"/>
  <c r="L282" i="6"/>
  <c r="BD282" i="6"/>
  <c r="O282" i="6"/>
  <c r="B282" i="6"/>
  <c r="BP282" i="6"/>
  <c r="BC282" i="6"/>
  <c r="A282" i="6"/>
  <c r="BK282" i="6"/>
  <c r="V282" i="6"/>
  <c r="I282" i="6"/>
  <c r="BV282" i="6"/>
  <c r="K282" i="6"/>
  <c r="J282" i="6"/>
  <c r="BB282" i="6"/>
  <c r="H282" i="6"/>
  <c r="BS282" i="6"/>
  <c r="BA282" i="6"/>
  <c r="G282" i="6"/>
  <c r="BO282" i="6"/>
  <c r="T282" i="6" s="1"/>
  <c r="U282" i="6"/>
  <c r="E282" i="6"/>
  <c r="D286" i="6"/>
  <c r="BV286" i="6"/>
  <c r="BT290" i="6"/>
  <c r="BU290" i="6"/>
  <c r="K267" i="6"/>
  <c r="BD267" i="6"/>
  <c r="D268" i="6"/>
  <c r="M273" i="6"/>
  <c r="E277" i="6"/>
  <c r="BD277" i="6"/>
  <c r="D280" i="6"/>
  <c r="D282" i="6"/>
  <c r="BJ282" i="6"/>
  <c r="BL282" i="6" s="1"/>
  <c r="F286" i="6"/>
  <c r="F287" i="6"/>
  <c r="BP287" i="6"/>
  <c r="BC287" i="6"/>
  <c r="A287" i="6"/>
  <c r="BO287" i="6"/>
  <c r="BR287" i="6" s="1"/>
  <c r="BA287" i="6"/>
  <c r="K287" i="6"/>
  <c r="AZ287" i="6"/>
  <c r="W287" i="6" s="1"/>
  <c r="N287" i="6" s="1"/>
  <c r="J287" i="6"/>
  <c r="V287" i="6"/>
  <c r="H287" i="6"/>
  <c r="BJ287" i="6"/>
  <c r="BL287" i="6" s="1"/>
  <c r="E287" i="6"/>
  <c r="Q287" i="6"/>
  <c r="BK287" i="6"/>
  <c r="O287" i="6"/>
  <c r="M287" i="6"/>
  <c r="I287" i="6"/>
  <c r="B287" i="6"/>
  <c r="BV287" i="6"/>
  <c r="AZ298" i="6"/>
  <c r="W298" i="6" s="1"/>
  <c r="BG298" i="6" s="1"/>
  <c r="L298" i="6"/>
  <c r="E298" i="6"/>
  <c r="BK298" i="6"/>
  <c r="U298" i="6"/>
  <c r="G298" i="6"/>
  <c r="D298" i="6"/>
  <c r="BS298" i="6"/>
  <c r="O298" i="6"/>
  <c r="A298" i="6"/>
  <c r="BJ298" i="6"/>
  <c r="R298" i="6" s="1"/>
  <c r="BH298" i="6"/>
  <c r="M298" i="6"/>
  <c r="BD298" i="6"/>
  <c r="J298" i="6"/>
  <c r="BV298" i="6"/>
  <c r="BC298" i="6"/>
  <c r="I298" i="6"/>
  <c r="BB298" i="6"/>
  <c r="H298" i="6"/>
  <c r="B298" i="6"/>
  <c r="BA298" i="6"/>
  <c r="V298" i="6"/>
  <c r="Q298" i="6"/>
  <c r="K298" i="6"/>
  <c r="BP266" i="6"/>
  <c r="BD266" i="6"/>
  <c r="D266" i="6"/>
  <c r="BC266" i="6"/>
  <c r="A266" i="6"/>
  <c r="BO266" i="6"/>
  <c r="BB266" i="6"/>
  <c r="M266" i="6"/>
  <c r="BA266" i="6"/>
  <c r="L266" i="6"/>
  <c r="BM266" i="6"/>
  <c r="BL266" i="6"/>
  <c r="L267" i="6"/>
  <c r="E268" i="6"/>
  <c r="AZ268" i="6"/>
  <c r="W268" i="6" s="1"/>
  <c r="BT269" i="6"/>
  <c r="BB271" i="6"/>
  <c r="B271" i="6"/>
  <c r="BL271" i="6"/>
  <c r="J271" i="6"/>
  <c r="BK271" i="6"/>
  <c r="V271" i="6"/>
  <c r="I271" i="6"/>
  <c r="BA271" i="6"/>
  <c r="H271" i="6"/>
  <c r="BP271" i="6"/>
  <c r="AZ271" i="6"/>
  <c r="W271" i="6" s="1"/>
  <c r="N271" i="6" s="1"/>
  <c r="G271" i="6"/>
  <c r="BO271" i="6"/>
  <c r="BR271" i="6" s="1"/>
  <c r="U271" i="6"/>
  <c r="F271" i="6"/>
  <c r="BM271" i="6"/>
  <c r="E271" i="6"/>
  <c r="BJ273" i="6"/>
  <c r="R273" i="6" s="1"/>
  <c r="F277" i="6"/>
  <c r="E280" i="6"/>
  <c r="F282" i="6"/>
  <c r="G286" i="6"/>
  <c r="D287" i="6"/>
  <c r="BT288" i="6"/>
  <c r="BU288" i="6"/>
  <c r="F298" i="6"/>
  <c r="BQ259" i="6"/>
  <c r="Q259" i="6"/>
  <c r="E259" i="6"/>
  <c r="BP259" i="6"/>
  <c r="BD259" i="6"/>
  <c r="D259" i="6"/>
  <c r="Q264" i="6"/>
  <c r="A265" i="6"/>
  <c r="Q265" i="6"/>
  <c r="E266" i="6"/>
  <c r="U266" i="6"/>
  <c r="M267" i="6"/>
  <c r="BK267" i="6"/>
  <c r="F268" i="6"/>
  <c r="BV269" i="6"/>
  <c r="BJ269" i="6"/>
  <c r="R269" i="6" s="1"/>
  <c r="V269" i="6"/>
  <c r="J269" i="6"/>
  <c r="AZ269" i="6"/>
  <c r="W269" i="6" s="1"/>
  <c r="BE269" i="6" s="1"/>
  <c r="K269" i="6"/>
  <c r="BP269" i="6"/>
  <c r="BB269" i="6"/>
  <c r="L269" i="6"/>
  <c r="BO269" i="6"/>
  <c r="BA269" i="6"/>
  <c r="I269" i="6"/>
  <c r="H269" i="6"/>
  <c r="U269" i="6"/>
  <c r="G269" i="6"/>
  <c r="BC269" i="6"/>
  <c r="D271" i="6"/>
  <c r="O273" i="6"/>
  <c r="G277" i="6"/>
  <c r="BG279" i="6"/>
  <c r="BI279" i="6" s="1"/>
  <c r="F280" i="6"/>
  <c r="M282" i="6"/>
  <c r="J286" i="6"/>
  <c r="G287" i="6"/>
  <c r="BO298" i="6"/>
  <c r="BR298" i="6" s="1"/>
  <c r="BL258" i="6"/>
  <c r="AZ264" i="6"/>
  <c r="W264" i="6" s="1"/>
  <c r="L264" i="6"/>
  <c r="BQ264" i="6"/>
  <c r="BD264" i="6"/>
  <c r="O264" i="6"/>
  <c r="B264" i="6"/>
  <c r="BP264" i="6"/>
  <c r="BC264" i="6"/>
  <c r="A264" i="6"/>
  <c r="BB265" i="6"/>
  <c r="B265" i="6"/>
  <c r="BJ265" i="6"/>
  <c r="BL265" i="6" s="1"/>
  <c r="U265" i="6"/>
  <c r="H265" i="6"/>
  <c r="BV265" i="6"/>
  <c r="T265" i="6"/>
  <c r="G265" i="6"/>
  <c r="BK265" i="6"/>
  <c r="F266" i="6"/>
  <c r="V266" i="6"/>
  <c r="BS266" i="6"/>
  <c r="G268" i="6"/>
  <c r="K271" i="6"/>
  <c r="BS273" i="6"/>
  <c r="BU276" i="6"/>
  <c r="BT276" i="6"/>
  <c r="J277" i="6"/>
  <c r="BO277" i="6"/>
  <c r="G280" i="6"/>
  <c r="BO280" i="6"/>
  <c r="BR280" i="6" s="1"/>
  <c r="O286" i="6"/>
  <c r="L287" i="6"/>
  <c r="BP298" i="6"/>
  <c r="B222" i="6"/>
  <c r="N222" i="6"/>
  <c r="BB222" i="6"/>
  <c r="B228" i="6"/>
  <c r="N228" i="6"/>
  <c r="BB228" i="6"/>
  <c r="B234" i="6"/>
  <c r="BB234" i="6"/>
  <c r="BP241" i="6"/>
  <c r="BD241" i="6"/>
  <c r="D241" i="6"/>
  <c r="Q241" i="6"/>
  <c r="BS241" i="6"/>
  <c r="BH243" i="6"/>
  <c r="T243" i="6"/>
  <c r="H243" i="6"/>
  <c r="BE243" i="6"/>
  <c r="BR243" i="6"/>
  <c r="BL245" i="6"/>
  <c r="AZ245" i="6"/>
  <c r="W245" i="6" s="1"/>
  <c r="L245" i="6"/>
  <c r="BR245" i="6"/>
  <c r="B247" i="6"/>
  <c r="O247" i="6"/>
  <c r="BE247" i="6"/>
  <c r="B249" i="6"/>
  <c r="O249" i="6"/>
  <c r="BD249" i="6"/>
  <c r="B251" i="6"/>
  <c r="O251" i="6"/>
  <c r="BD251" i="6"/>
  <c r="G259" i="6"/>
  <c r="U259" i="6"/>
  <c r="BK259" i="6"/>
  <c r="BS260" i="6"/>
  <c r="G260" i="6"/>
  <c r="BR260" i="6"/>
  <c r="R260" i="6"/>
  <c r="F260" i="6"/>
  <c r="Q260" i="6"/>
  <c r="Q262" i="6"/>
  <c r="B263" i="6"/>
  <c r="Q263" i="6"/>
  <c r="D264" i="6"/>
  <c r="BJ264" i="6"/>
  <c r="BM264" i="6" s="1"/>
  <c r="D265" i="6"/>
  <c r="G266" i="6"/>
  <c r="O267" i="6"/>
  <c r="I268" i="6"/>
  <c r="E269" i="6"/>
  <c r="L271" i="6"/>
  <c r="BH271" i="6"/>
  <c r="BT272" i="6"/>
  <c r="Q273" i="6"/>
  <c r="BQ276" i="6"/>
  <c r="R276" i="6"/>
  <c r="K277" i="6"/>
  <c r="BP277" i="6"/>
  <c r="I280" i="6"/>
  <c r="Q282" i="6"/>
  <c r="V286" i="6"/>
  <c r="O222" i="6"/>
  <c r="BC222" i="6"/>
  <c r="O228" i="6"/>
  <c r="BC228" i="6"/>
  <c r="O234" i="6"/>
  <c r="BC234" i="6"/>
  <c r="BP247" i="6"/>
  <c r="BD247" i="6"/>
  <c r="D247" i="6"/>
  <c r="Q247" i="6"/>
  <c r="BF247" i="6"/>
  <c r="BS247" i="6"/>
  <c r="BH249" i="6"/>
  <c r="T249" i="6"/>
  <c r="H249" i="6"/>
  <c r="BR249" i="6"/>
  <c r="BL251" i="6"/>
  <c r="AZ251" i="6"/>
  <c r="W251" i="6" s="1"/>
  <c r="BE251" i="6" s="1"/>
  <c r="L251" i="6"/>
  <c r="BR251" i="6"/>
  <c r="H259" i="6"/>
  <c r="V259" i="6"/>
  <c r="BL259" i="6"/>
  <c r="BH262" i="6"/>
  <c r="T262" i="6"/>
  <c r="H262" i="6"/>
  <c r="BQ262" i="6"/>
  <c r="BD262" i="6"/>
  <c r="O262" i="6"/>
  <c r="B262" i="6"/>
  <c r="BP262" i="6"/>
  <c r="BC262" i="6"/>
  <c r="N262" i="6"/>
  <c r="A262" i="6"/>
  <c r="BJ262" i="6"/>
  <c r="R262" i="6" s="1"/>
  <c r="BV263" i="6"/>
  <c r="BJ263" i="6"/>
  <c r="BM263" i="6" s="1"/>
  <c r="V263" i="6"/>
  <c r="J263" i="6"/>
  <c r="BK263" i="6"/>
  <c r="U263" i="6"/>
  <c r="H263" i="6"/>
  <c r="T263" i="6"/>
  <c r="G263" i="6"/>
  <c r="E264" i="6"/>
  <c r="T264" i="6"/>
  <c r="BK264" i="6"/>
  <c r="E265" i="6"/>
  <c r="V265" i="6"/>
  <c r="H266" i="6"/>
  <c r="AZ266" i="6"/>
  <c r="W266" i="6" s="1"/>
  <c r="J268" i="6"/>
  <c r="BJ268" i="6"/>
  <c r="F269" i="6"/>
  <c r="M271" i="6"/>
  <c r="L277" i="6"/>
  <c r="L280" i="6"/>
  <c r="BS280" i="6"/>
  <c r="AZ286" i="6"/>
  <c r="W286" i="6" s="1"/>
  <c r="U287" i="6"/>
  <c r="BF292" i="6"/>
  <c r="BE292" i="6"/>
  <c r="N292" i="6"/>
  <c r="U296" i="6"/>
  <c r="V296" i="6"/>
  <c r="A293" i="6"/>
  <c r="BA296" i="6"/>
  <c r="B293" i="6"/>
  <c r="B296" i="6"/>
  <c r="BQ302" i="6"/>
  <c r="F293" i="6"/>
  <c r="BO293" i="6"/>
  <c r="T293" i="6" s="1"/>
  <c r="BB293" i="6"/>
  <c r="M293" i="6"/>
  <c r="AZ293" i="6"/>
  <c r="W293" i="6" s="1"/>
  <c r="K293" i="6"/>
  <c r="BD293" i="6"/>
  <c r="L293" i="6"/>
  <c r="BS293" i="6"/>
  <c r="BC293" i="6"/>
  <c r="J293" i="6"/>
  <c r="BP293" i="6"/>
  <c r="H293" i="6"/>
  <c r="V293" i="6"/>
  <c r="G293" i="6"/>
  <c r="U293" i="6"/>
  <c r="E293" i="6"/>
  <c r="BH293" i="6"/>
  <c r="AZ296" i="6"/>
  <c r="W296" i="6" s="1"/>
  <c r="BG296" i="6" s="1"/>
  <c r="L296" i="6"/>
  <c r="BH296" i="6"/>
  <c r="F296" i="6"/>
  <c r="BS296" i="6"/>
  <c r="Q296" i="6"/>
  <c r="D296" i="6"/>
  <c r="BP296" i="6"/>
  <c r="BC296" i="6"/>
  <c r="A296" i="6"/>
  <c r="BK296" i="6"/>
  <c r="BJ296" i="6"/>
  <c r="BL296" i="6" s="1"/>
  <c r="M296" i="6"/>
  <c r="K296" i="6"/>
  <c r="BV296" i="6"/>
  <c r="BD296" i="6"/>
  <c r="J296" i="6"/>
  <c r="BT307" i="6"/>
  <c r="BU307" i="6"/>
  <c r="F50" i="7"/>
  <c r="BP278" i="6"/>
  <c r="BD278" i="6"/>
  <c r="D278" i="6"/>
  <c r="O278" i="6"/>
  <c r="B278" i="6"/>
  <c r="BC278" i="6"/>
  <c r="A278" i="6"/>
  <c r="BL278" i="6"/>
  <c r="J278" i="6"/>
  <c r="B284" i="6"/>
  <c r="D293" i="6"/>
  <c r="E296" i="6"/>
  <c r="BL304" i="6"/>
  <c r="AZ304" i="6"/>
  <c r="W304" i="6" s="1"/>
  <c r="BE304" i="6" s="1"/>
  <c r="L304" i="6"/>
  <c r="BS304" i="6"/>
  <c r="Q304" i="6"/>
  <c r="D304" i="6"/>
  <c r="B304" i="6"/>
  <c r="BD304" i="6"/>
  <c r="BP304" i="6"/>
  <c r="BB304" i="6"/>
  <c r="K304" i="6"/>
  <c r="BO304" i="6"/>
  <c r="T304" i="6" s="1"/>
  <c r="BA304" i="6"/>
  <c r="J304" i="6"/>
  <c r="I304" i="6"/>
  <c r="V304" i="6"/>
  <c r="A304" i="6"/>
  <c r="U304" i="6"/>
  <c r="R304" i="6"/>
  <c r="BM304" i="6"/>
  <c r="O304" i="6"/>
  <c r="BK304" i="6"/>
  <c r="M304" i="6"/>
  <c r="BH307" i="6"/>
  <c r="T307" i="6"/>
  <c r="H307" i="6"/>
  <c r="BS307" i="6"/>
  <c r="G307" i="6"/>
  <c r="BR307" i="6"/>
  <c r="F307" i="6"/>
  <c r="BK307" i="6"/>
  <c r="Q307" i="6"/>
  <c r="B307" i="6"/>
  <c r="BJ307" i="6"/>
  <c r="BL307" i="6" s="1"/>
  <c r="M307" i="6"/>
  <c r="BD307" i="6"/>
  <c r="L307" i="6"/>
  <c r="BC307" i="6"/>
  <c r="K307" i="6"/>
  <c r="BV307" i="6"/>
  <c r="BB307" i="6"/>
  <c r="J307" i="6"/>
  <c r="BA307" i="6"/>
  <c r="I307" i="6"/>
  <c r="BQ307" i="6"/>
  <c r="AZ307" i="6"/>
  <c r="W307" i="6" s="1"/>
  <c r="E307" i="6"/>
  <c r="BP307" i="6"/>
  <c r="D307" i="6"/>
  <c r="U307" i="6"/>
  <c r="O307" i="6"/>
  <c r="F17" i="7"/>
  <c r="F45" i="7"/>
  <c r="E278" i="6"/>
  <c r="U278" i="6"/>
  <c r="BP284" i="6"/>
  <c r="BD284" i="6"/>
  <c r="D284" i="6"/>
  <c r="BC284" i="6"/>
  <c r="A284" i="6"/>
  <c r="BO284" i="6"/>
  <c r="BB284" i="6"/>
  <c r="M284" i="6"/>
  <c r="BK284" i="6"/>
  <c r="V284" i="6"/>
  <c r="I284" i="6"/>
  <c r="BM284" i="6"/>
  <c r="I293" i="6"/>
  <c r="BJ293" i="6"/>
  <c r="R293" i="6" s="1"/>
  <c r="BU295" i="6"/>
  <c r="BT295" i="6"/>
  <c r="G296" i="6"/>
  <c r="BT300" i="6"/>
  <c r="BU300" i="6"/>
  <c r="E304" i="6"/>
  <c r="V307" i="6"/>
  <c r="B258" i="6"/>
  <c r="N258" i="6"/>
  <c r="BB258" i="6"/>
  <c r="F278" i="6"/>
  <c r="V278" i="6"/>
  <c r="BO278" i="6"/>
  <c r="E284" i="6"/>
  <c r="U284" i="6"/>
  <c r="BB291" i="6"/>
  <c r="B291" i="6"/>
  <c r="BP291" i="6"/>
  <c r="BC291" i="6"/>
  <c r="M291" i="6"/>
  <c r="AZ291" i="6"/>
  <c r="W291" i="6" s="1"/>
  <c r="K291" i="6"/>
  <c r="BR291" i="6"/>
  <c r="BA291" i="6"/>
  <c r="I291" i="6"/>
  <c r="BQ291" i="6"/>
  <c r="H291" i="6"/>
  <c r="U291" i="6"/>
  <c r="F291" i="6"/>
  <c r="BK291" i="6"/>
  <c r="T291" i="6"/>
  <c r="E291" i="6"/>
  <c r="BJ291" i="6"/>
  <c r="BM291" i="6" s="1"/>
  <c r="D291" i="6"/>
  <c r="BK293" i="6"/>
  <c r="B295" i="6"/>
  <c r="H296" i="6"/>
  <c r="BO296" i="6"/>
  <c r="BQ296" i="6" s="1"/>
  <c r="F304" i="6"/>
  <c r="F64" i="7"/>
  <c r="O258" i="6"/>
  <c r="BC258" i="6"/>
  <c r="G278" i="6"/>
  <c r="AZ278" i="6"/>
  <c r="W278" i="6" s="1"/>
  <c r="BS278" i="6"/>
  <c r="F284" i="6"/>
  <c r="W284" i="6"/>
  <c r="N284" i="6" s="1"/>
  <c r="O293" i="6"/>
  <c r="BV295" i="6"/>
  <c r="BJ295" i="6"/>
  <c r="V295" i="6"/>
  <c r="J295" i="6"/>
  <c r="BO295" i="6"/>
  <c r="BR295" i="6" s="1"/>
  <c r="BB295" i="6"/>
  <c r="M295" i="6"/>
  <c r="AZ295" i="6"/>
  <c r="W295" i="6" s="1"/>
  <c r="BE295" i="6" s="1"/>
  <c r="K295" i="6"/>
  <c r="O295" i="6"/>
  <c r="BC295" i="6"/>
  <c r="I295" i="6"/>
  <c r="BA295" i="6"/>
  <c r="H295" i="6"/>
  <c r="BP295" i="6"/>
  <c r="G295" i="6"/>
  <c r="I296" i="6"/>
  <c r="T300" i="6"/>
  <c r="BR300" i="6"/>
  <c r="G304" i="6"/>
  <c r="F13" i="7"/>
  <c r="F126" i="7"/>
  <c r="BF279" i="6"/>
  <c r="F279" i="6"/>
  <c r="BE279" i="6"/>
  <c r="BS279" i="6"/>
  <c r="BV281" i="6"/>
  <c r="BJ281" i="6"/>
  <c r="V281" i="6"/>
  <c r="J281" i="6"/>
  <c r="BE281" i="6"/>
  <c r="BR281" i="6"/>
  <c r="BB283" i="6"/>
  <c r="B283" i="6"/>
  <c r="B288" i="6"/>
  <c r="B289" i="6"/>
  <c r="Q289" i="6"/>
  <c r="B290" i="6"/>
  <c r="Q290" i="6"/>
  <c r="BP292" i="6"/>
  <c r="BD292" i="6"/>
  <c r="D292" i="6"/>
  <c r="BV292" i="6"/>
  <c r="T292" i="6"/>
  <c r="G292" i="6"/>
  <c r="BG292" i="6"/>
  <c r="BN292" i="6" s="1"/>
  <c r="S292" i="6" s="1"/>
  <c r="R292" i="6"/>
  <c r="E292" i="6"/>
  <c r="U292" i="6"/>
  <c r="BL292" i="6"/>
  <c r="Q297" i="6"/>
  <c r="T299" i="6"/>
  <c r="F4" i="7"/>
  <c r="F9" i="7"/>
  <c r="F30" i="7"/>
  <c r="BH288" i="6"/>
  <c r="T288" i="6"/>
  <c r="H288" i="6"/>
  <c r="BJ288" i="6"/>
  <c r="BL288" i="6" s="1"/>
  <c r="U288" i="6"/>
  <c r="G288" i="6"/>
  <c r="Q288" i="6"/>
  <c r="BV289" i="6"/>
  <c r="BJ289" i="6"/>
  <c r="BL289" i="6" s="1"/>
  <c r="V289" i="6"/>
  <c r="J289" i="6"/>
  <c r="BP289" i="6"/>
  <c r="BC289" i="6"/>
  <c r="A289" i="6"/>
  <c r="BA289" i="6"/>
  <c r="L289" i="6"/>
  <c r="BL290" i="6"/>
  <c r="AZ290" i="6"/>
  <c r="W290" i="6" s="1"/>
  <c r="L290" i="6"/>
  <c r="BV290" i="6"/>
  <c r="G290" i="6"/>
  <c r="R290" i="6"/>
  <c r="E290" i="6"/>
  <c r="BK290" i="6"/>
  <c r="F303" i="7"/>
  <c r="F299" i="7"/>
  <c r="F295" i="7"/>
  <c r="F291" i="7"/>
  <c r="F287" i="7"/>
  <c r="F283" i="7"/>
  <c r="F279" i="7"/>
  <c r="F275" i="7"/>
  <c r="F271" i="7"/>
  <c r="F267" i="7"/>
  <c r="F263" i="7"/>
  <c r="F259" i="7"/>
  <c r="F255" i="7"/>
  <c r="F251" i="7"/>
  <c r="F247" i="7"/>
  <c r="F243" i="7"/>
  <c r="F239" i="7"/>
  <c r="F235" i="7"/>
  <c r="F231" i="7"/>
  <c r="F227" i="7"/>
  <c r="F223" i="7"/>
  <c r="F219" i="7"/>
  <c r="F215" i="7"/>
  <c r="F211" i="7"/>
  <c r="F207" i="7"/>
  <c r="F203" i="7"/>
  <c r="F199" i="7"/>
  <c r="F195" i="7"/>
  <c r="F191" i="7"/>
  <c r="F187" i="7"/>
  <c r="F183" i="7"/>
  <c r="F179" i="7"/>
  <c r="F175" i="7"/>
  <c r="F171" i="7"/>
  <c r="F167" i="7"/>
  <c r="F163" i="7"/>
  <c r="F159" i="7"/>
  <c r="F155" i="7"/>
  <c r="F151" i="7"/>
  <c r="F147" i="7"/>
  <c r="F143" i="7"/>
  <c r="F139" i="7"/>
  <c r="F135" i="7"/>
  <c r="F131" i="7"/>
  <c r="F127" i="7"/>
  <c r="F123" i="7"/>
  <c r="F119" i="7"/>
  <c r="F115" i="7"/>
  <c r="F111" i="7"/>
  <c r="F107" i="7"/>
  <c r="F103" i="7"/>
  <c r="F99" i="7"/>
  <c r="F95" i="7"/>
  <c r="F91" i="7"/>
  <c r="F87" i="7"/>
  <c r="F83" i="7"/>
  <c r="F79" i="7"/>
  <c r="F75" i="7"/>
  <c r="F71" i="7"/>
  <c r="F67" i="7"/>
  <c r="F63" i="7"/>
  <c r="F59" i="7"/>
  <c r="F55" i="7"/>
  <c r="F51" i="7"/>
  <c r="F47" i="7"/>
  <c r="F43" i="7"/>
  <c r="F39" i="7"/>
  <c r="F35" i="7"/>
  <c r="F31" i="7"/>
  <c r="F27" i="7"/>
  <c r="F23" i="7"/>
  <c r="F19" i="7"/>
  <c r="F15" i="7"/>
  <c r="F11" i="7"/>
  <c r="F7" i="7"/>
  <c r="F302" i="7"/>
  <c r="F298" i="7"/>
  <c r="F294" i="7"/>
  <c r="F290" i="7"/>
  <c r="F286" i="7"/>
  <c r="F282" i="7"/>
  <c r="F278" i="7"/>
  <c r="F274" i="7"/>
  <c r="F270" i="7"/>
  <c r="F266" i="7"/>
  <c r="F262" i="7"/>
  <c r="F258" i="7"/>
  <c r="F254" i="7"/>
  <c r="F250" i="7"/>
  <c r="F246" i="7"/>
  <c r="F242" i="7"/>
  <c r="F238" i="7"/>
  <c r="F234" i="7"/>
  <c r="F230" i="7"/>
  <c r="F226" i="7"/>
  <c r="F222" i="7"/>
  <c r="F218" i="7"/>
  <c r="F214" i="7"/>
  <c r="F210" i="7"/>
  <c r="F206" i="7"/>
  <c r="F202" i="7"/>
  <c r="F198" i="7"/>
  <c r="F194" i="7"/>
  <c r="F190" i="7"/>
  <c r="F186" i="7"/>
  <c r="F182" i="7"/>
  <c r="F178" i="7"/>
  <c r="F174" i="7"/>
  <c r="F170" i="7"/>
  <c r="F166" i="7"/>
  <c r="F162" i="7"/>
  <c r="F158" i="7"/>
  <c r="F154" i="7"/>
  <c r="F150" i="7"/>
  <c r="F146" i="7"/>
  <c r="F142" i="7"/>
  <c r="F138" i="7"/>
  <c r="F134" i="7"/>
  <c r="F130" i="7"/>
  <c r="F301" i="7"/>
  <c r="F297" i="7"/>
  <c r="F293" i="7"/>
  <c r="F289" i="7"/>
  <c r="F285" i="7"/>
  <c r="F281" i="7"/>
  <c r="F277" i="7"/>
  <c r="F273" i="7"/>
  <c r="F269" i="7"/>
  <c r="F265" i="7"/>
  <c r="F261" i="7"/>
  <c r="F257" i="7"/>
  <c r="F253" i="7"/>
  <c r="F249" i="7"/>
  <c r="F245" i="7"/>
  <c r="F241" i="7"/>
  <c r="F237" i="7"/>
  <c r="F233" i="7"/>
  <c r="F229" i="7"/>
  <c r="F225" i="7"/>
  <c r="F221" i="7"/>
  <c r="F217" i="7"/>
  <c r="F213" i="7"/>
  <c r="F209" i="7"/>
  <c r="F205" i="7"/>
  <c r="F201" i="7"/>
  <c r="F197" i="7"/>
  <c r="F193" i="7"/>
  <c r="F189" i="7"/>
  <c r="F185" i="7"/>
  <c r="F181" i="7"/>
  <c r="F177" i="7"/>
  <c r="F173" i="7"/>
  <c r="F169" i="7"/>
  <c r="F165" i="7"/>
  <c r="F161" i="7"/>
  <c r="F157" i="7"/>
  <c r="F153" i="7"/>
  <c r="F149" i="7"/>
  <c r="F145" i="7"/>
  <c r="F141" i="7"/>
  <c r="F137" i="7"/>
  <c r="F133" i="7"/>
  <c r="F129" i="7"/>
  <c r="F125" i="7"/>
  <c r="F121" i="7"/>
  <c r="F117" i="7"/>
  <c r="F113" i="7"/>
  <c r="F109" i="7"/>
  <c r="F105" i="7"/>
  <c r="F101" i="7"/>
  <c r="F97" i="7"/>
  <c r="F93" i="7"/>
  <c r="F89" i="7"/>
  <c r="F85" i="7"/>
  <c r="F81" i="7"/>
  <c r="F77" i="7"/>
  <c r="F73" i="7"/>
  <c r="F69" i="7"/>
  <c r="F65" i="7"/>
  <c r="F300" i="7"/>
  <c r="F296" i="7"/>
  <c r="F292" i="7"/>
  <c r="F288" i="7"/>
  <c r="F284" i="7"/>
  <c r="F280" i="7"/>
  <c r="F276" i="7"/>
  <c r="F272" i="7"/>
  <c r="F268" i="7"/>
  <c r="F264" i="7"/>
  <c r="F260" i="7"/>
  <c r="F256" i="7"/>
  <c r="F252" i="7"/>
  <c r="F248" i="7"/>
  <c r="F244" i="7"/>
  <c r="F240" i="7"/>
  <c r="F236" i="7"/>
  <c r="F232" i="7"/>
  <c r="F228" i="7"/>
  <c r="F224" i="7"/>
  <c r="F220" i="7"/>
  <c r="F216" i="7"/>
  <c r="F212" i="7"/>
  <c r="F208" i="7"/>
  <c r="F204" i="7"/>
  <c r="F200" i="7"/>
  <c r="F196" i="7"/>
  <c r="F192" i="7"/>
  <c r="F188" i="7"/>
  <c r="F184" i="7"/>
  <c r="F180" i="7"/>
  <c r="F176" i="7"/>
  <c r="F172" i="7"/>
  <c r="F168" i="7"/>
  <c r="F164" i="7"/>
  <c r="F160" i="7"/>
  <c r="F156" i="7"/>
  <c r="F152" i="7"/>
  <c r="F148" i="7"/>
  <c r="F144" i="7"/>
  <c r="F140" i="7"/>
  <c r="F136" i="7"/>
  <c r="F132" i="7"/>
  <c r="F128" i="7"/>
  <c r="F124" i="7"/>
  <c r="F120" i="7"/>
  <c r="F116" i="7"/>
  <c r="F112" i="7"/>
  <c r="F108" i="7"/>
  <c r="F104" i="7"/>
  <c r="F100" i="7"/>
  <c r="F96" i="7"/>
  <c r="F92" i="7"/>
  <c r="F88" i="7"/>
  <c r="F84" i="7"/>
  <c r="F62" i="7"/>
  <c r="F49" i="7"/>
  <c r="F36" i="7"/>
  <c r="F14" i="7"/>
  <c r="F118" i="7"/>
  <c r="F102" i="7"/>
  <c r="F86" i="7"/>
  <c r="F76" i="7"/>
  <c r="F53" i="7"/>
  <c r="F40" i="7"/>
  <c r="F18" i="7"/>
  <c r="F5" i="7"/>
  <c r="F66" i="7"/>
  <c r="F57" i="7"/>
  <c r="F122" i="7"/>
  <c r="F106" i="7"/>
  <c r="F90" i="7"/>
  <c r="F70" i="7"/>
  <c r="F74" i="7"/>
  <c r="F60" i="7"/>
  <c r="F68" i="7"/>
  <c r="F48" i="7"/>
  <c r="F34" i="7"/>
  <c r="F21" i="7"/>
  <c r="F25" i="7"/>
  <c r="F16" i="7"/>
  <c r="F78" i="7"/>
  <c r="F52" i="7"/>
  <c r="F38" i="7"/>
  <c r="F29" i="7"/>
  <c r="F94" i="7"/>
  <c r="F72" i="7"/>
  <c r="F33" i="7"/>
  <c r="F20" i="7"/>
  <c r="F6" i="7"/>
  <c r="F82" i="7"/>
  <c r="F61" i="7"/>
  <c r="F56" i="7"/>
  <c r="F42" i="7"/>
  <c r="F24" i="7"/>
  <c r="F10" i="7"/>
  <c r="F110" i="7"/>
  <c r="F46" i="7"/>
  <c r="F37" i="7"/>
  <c r="F28" i="7"/>
  <c r="F98" i="7"/>
  <c r="F32" i="7"/>
  <c r="D288" i="6"/>
  <c r="BK288" i="6"/>
  <c r="D289" i="6"/>
  <c r="BK289" i="6"/>
  <c r="D290" i="6"/>
  <c r="U290" i="6"/>
  <c r="BM290" i="6"/>
  <c r="BV297" i="6"/>
  <c r="BB297" i="6"/>
  <c r="B297" i="6"/>
  <c r="BO297" i="6"/>
  <c r="T297" i="6" s="1"/>
  <c r="BA297" i="6"/>
  <c r="L297" i="6"/>
  <c r="BL297" i="6"/>
  <c r="J297" i="6"/>
  <c r="G297" i="6"/>
  <c r="BM297" i="6"/>
  <c r="BB299" i="6"/>
  <c r="B299" i="6"/>
  <c r="BM299" i="6"/>
  <c r="AZ299" i="6"/>
  <c r="W299" i="6" s="1"/>
  <c r="BG299" i="6" s="1"/>
  <c r="K299" i="6"/>
  <c r="BV299" i="6"/>
  <c r="BH299" i="6"/>
  <c r="R299" i="6"/>
  <c r="D299" i="6"/>
  <c r="A299" i="6"/>
  <c r="BQ299" i="6"/>
  <c r="BC299" i="6"/>
  <c r="L299" i="6"/>
  <c r="BP299" i="6"/>
  <c r="BA299" i="6"/>
  <c r="J299" i="6"/>
  <c r="V299" i="6"/>
  <c r="F58" i="7"/>
  <c r="BL270" i="6"/>
  <c r="AZ270" i="6"/>
  <c r="W270" i="6" s="1"/>
  <c r="L270" i="6"/>
  <c r="BR270" i="6"/>
  <c r="B272" i="6"/>
  <c r="O272" i="6"/>
  <c r="BE272" i="6"/>
  <c r="B274" i="6"/>
  <c r="O274" i="6"/>
  <c r="BD274" i="6"/>
  <c r="B276" i="6"/>
  <c r="O276" i="6"/>
  <c r="BD276" i="6"/>
  <c r="H279" i="6"/>
  <c r="U279" i="6"/>
  <c r="BJ279" i="6"/>
  <c r="G281" i="6"/>
  <c r="T281" i="6"/>
  <c r="G283" i="6"/>
  <c r="BV283" i="6"/>
  <c r="F288" i="6"/>
  <c r="V288" i="6"/>
  <c r="F289" i="6"/>
  <c r="U289" i="6"/>
  <c r="H290" i="6"/>
  <c r="BO290" i="6"/>
  <c r="J292" i="6"/>
  <c r="BA292" i="6"/>
  <c r="BQ292" i="6"/>
  <c r="E297" i="6"/>
  <c r="V297" i="6"/>
  <c r="F299" i="6"/>
  <c r="BD299" i="6"/>
  <c r="B300" i="6"/>
  <c r="BR301" i="6"/>
  <c r="F301" i="6"/>
  <c r="AZ301" i="6"/>
  <c r="W301" i="6" s="1"/>
  <c r="BE301" i="6" s="1"/>
  <c r="K301" i="6"/>
  <c r="BP301" i="6"/>
  <c r="BB301" i="6"/>
  <c r="L301" i="6"/>
  <c r="I301" i="6"/>
  <c r="BK301" i="6"/>
  <c r="U301" i="6"/>
  <c r="G301" i="6"/>
  <c r="BJ301" i="6"/>
  <c r="BL301" i="6" s="1"/>
  <c r="T301" i="6"/>
  <c r="E301" i="6"/>
  <c r="D301" i="6"/>
  <c r="A305" i="6"/>
  <c r="D270" i="6"/>
  <c r="Q270" i="6"/>
  <c r="BS270" i="6"/>
  <c r="BP272" i="6"/>
  <c r="BD272" i="6"/>
  <c r="D272" i="6"/>
  <c r="Q272" i="6"/>
  <c r="BF272" i="6"/>
  <c r="BS272" i="6"/>
  <c r="BH274" i="6"/>
  <c r="T274" i="6"/>
  <c r="H274" i="6"/>
  <c r="BR274" i="6"/>
  <c r="BL276" i="6"/>
  <c r="AZ276" i="6"/>
  <c r="W276" i="6" s="1"/>
  <c r="BE276" i="6" s="1"/>
  <c r="L276" i="6"/>
  <c r="BR276" i="6"/>
  <c r="I279" i="6"/>
  <c r="V279" i="6"/>
  <c r="BK279" i="6"/>
  <c r="H281" i="6"/>
  <c r="U281" i="6"/>
  <c r="BK281" i="6"/>
  <c r="H283" i="6"/>
  <c r="U283" i="6"/>
  <c r="BJ283" i="6"/>
  <c r="I288" i="6"/>
  <c r="W288" i="6"/>
  <c r="G289" i="6"/>
  <c r="W289" i="6"/>
  <c r="BO289" i="6"/>
  <c r="I290" i="6"/>
  <c r="BA290" i="6"/>
  <c r="BP290" i="6"/>
  <c r="K292" i="6"/>
  <c r="BB292" i="6"/>
  <c r="BR292" i="6"/>
  <c r="F297" i="6"/>
  <c r="AZ297" i="6"/>
  <c r="W297" i="6" s="1"/>
  <c r="G299" i="6"/>
  <c r="BP300" i="6"/>
  <c r="BD300" i="6"/>
  <c r="D300" i="6"/>
  <c r="R300" i="6"/>
  <c r="E300" i="6"/>
  <c r="BS300" i="6"/>
  <c r="BQ300" i="6"/>
  <c r="BB300" i="6"/>
  <c r="L300" i="6"/>
  <c r="AZ300" i="6"/>
  <c r="W300" i="6" s="1"/>
  <c r="BG300" i="6" s="1"/>
  <c r="BI300" i="6" s="1"/>
  <c r="J300" i="6"/>
  <c r="BM300" i="6"/>
  <c r="I300" i="6"/>
  <c r="BL300" i="6"/>
  <c r="V300" i="6"/>
  <c r="H300" i="6"/>
  <c r="BB305" i="6"/>
  <c r="B305" i="6"/>
  <c r="J305" i="6"/>
  <c r="BD305" i="6"/>
  <c r="M305" i="6"/>
  <c r="BP305" i="6"/>
  <c r="BA305" i="6"/>
  <c r="K305" i="6"/>
  <c r="BO305" i="6"/>
  <c r="BQ305" i="6" s="1"/>
  <c r="AZ305" i="6"/>
  <c r="W305" i="6" s="1"/>
  <c r="N305" i="6" s="1"/>
  <c r="I305" i="6"/>
  <c r="V305" i="6"/>
  <c r="H305" i="6"/>
  <c r="BK305" i="6"/>
  <c r="U305" i="6"/>
  <c r="G305" i="6"/>
  <c r="BJ305" i="6"/>
  <c r="F305" i="6"/>
  <c r="F54" i="7"/>
  <c r="A302" i="6"/>
  <c r="O302" i="6"/>
  <c r="B302" i="6"/>
  <c r="BH302" i="6"/>
  <c r="T302" i="6"/>
  <c r="H302" i="6"/>
  <c r="BS302" i="6"/>
  <c r="Q302" i="6"/>
  <c r="D302" i="6"/>
  <c r="R302" i="6"/>
  <c r="F302" i="6"/>
  <c r="U302" i="6"/>
  <c r="BK302" i="6"/>
  <c r="BV303" i="6"/>
  <c r="BJ303" i="6"/>
  <c r="BM303" i="6" s="1"/>
  <c r="V303" i="6"/>
  <c r="J303" i="6"/>
  <c r="AZ303" i="6"/>
  <c r="W303" i="6" s="1"/>
  <c r="K303" i="6"/>
  <c r="Q303" i="6"/>
  <c r="BU308" i="6"/>
  <c r="BT308" i="6"/>
  <c r="I302" i="6"/>
  <c r="W302" i="6"/>
  <c r="BF302" i="6" s="1"/>
  <c r="BM302" i="6"/>
  <c r="E303" i="6"/>
  <c r="BV308" i="6"/>
  <c r="BJ308" i="6"/>
  <c r="R308" i="6" s="1"/>
  <c r="V308" i="6"/>
  <c r="J308" i="6"/>
  <c r="U308" i="6"/>
  <c r="I308" i="6"/>
  <c r="BH308" i="6"/>
  <c r="T308" i="6"/>
  <c r="H308" i="6"/>
  <c r="BR306" i="6"/>
  <c r="R306" i="6"/>
  <c r="BQ306" i="6"/>
  <c r="BP306" i="6"/>
  <c r="BD306" i="6"/>
  <c r="D306" i="6"/>
  <c r="Q306" i="6"/>
  <c r="D308" i="6"/>
  <c r="R160" i="6" l="1"/>
  <c r="BL160" i="6"/>
  <c r="BT137" i="6"/>
  <c r="BQ143" i="6"/>
  <c r="T89" i="6"/>
  <c r="N50" i="6"/>
  <c r="BQ128" i="6"/>
  <c r="BQ54" i="6"/>
  <c r="BR30" i="6"/>
  <c r="BE50" i="6"/>
  <c r="BG25" i="6"/>
  <c r="BQ84" i="6"/>
  <c r="BM43" i="6"/>
  <c r="BF72" i="6"/>
  <c r="BU130" i="6"/>
  <c r="BF90" i="6"/>
  <c r="R25" i="6"/>
  <c r="BL44" i="6"/>
  <c r="BM83" i="6"/>
  <c r="R44" i="6"/>
  <c r="N154" i="6"/>
  <c r="BF154" i="6"/>
  <c r="BE154" i="6"/>
  <c r="BG154" i="6"/>
  <c r="BF71" i="6"/>
  <c r="R258" i="6"/>
  <c r="N71" i="6"/>
  <c r="T77" i="6"/>
  <c r="BU218" i="6"/>
  <c r="BT50" i="6"/>
  <c r="BF166" i="6"/>
  <c r="BL98" i="6"/>
  <c r="BR27" i="6"/>
  <c r="BR26" i="6"/>
  <c r="BQ89" i="6"/>
  <c r="BT24" i="6"/>
  <c r="N41" i="6"/>
  <c r="BL52" i="6"/>
  <c r="BE41" i="6"/>
  <c r="BF130" i="6"/>
  <c r="BM278" i="6"/>
  <c r="BR177" i="6"/>
  <c r="T199" i="6"/>
  <c r="BG130" i="6"/>
  <c r="BN130" i="6" s="1"/>
  <c r="R65" i="6"/>
  <c r="T128" i="6"/>
  <c r="BR250" i="6"/>
  <c r="BM222" i="6"/>
  <c r="BE166" i="6"/>
  <c r="R129" i="6"/>
  <c r="BM182" i="6"/>
  <c r="BM189" i="6"/>
  <c r="BR199" i="6"/>
  <c r="BL182" i="6"/>
  <c r="BM52" i="6"/>
  <c r="N137" i="6"/>
  <c r="BF41" i="6"/>
  <c r="T305" i="6"/>
  <c r="BM272" i="6"/>
  <c r="T148" i="6"/>
  <c r="BQ60" i="6"/>
  <c r="R213" i="6"/>
  <c r="N259" i="6"/>
  <c r="BQ148" i="6"/>
  <c r="BM110" i="6"/>
  <c r="BG166" i="6"/>
  <c r="BN166" i="6" s="1"/>
  <c r="S166" i="6" s="1"/>
  <c r="BT176" i="6"/>
  <c r="R17" i="6"/>
  <c r="BE259" i="6"/>
  <c r="BL272" i="6"/>
  <c r="BG259" i="6"/>
  <c r="BN259" i="6" s="1"/>
  <c r="BL222" i="6"/>
  <c r="BQ239" i="6"/>
  <c r="M12" i="6"/>
  <c r="BQ52" i="6"/>
  <c r="BQ177" i="6"/>
  <c r="BR25" i="6"/>
  <c r="BR23" i="6"/>
  <c r="T26" i="6"/>
  <c r="BL31" i="6"/>
  <c r="BE130" i="6"/>
  <c r="O12" i="6"/>
  <c r="BU174" i="6"/>
  <c r="T208" i="6"/>
  <c r="BQ12" i="6"/>
  <c r="BF29" i="6"/>
  <c r="BT59" i="6"/>
  <c r="BM306" i="6"/>
  <c r="BL110" i="6"/>
  <c r="BE90" i="6"/>
  <c r="BM31" i="6"/>
  <c r="BU25" i="6"/>
  <c r="BS12" i="6"/>
  <c r="U12" i="6" s="1"/>
  <c r="BR234" i="6"/>
  <c r="T100" i="6"/>
  <c r="P90" i="6"/>
  <c r="BQ232" i="6"/>
  <c r="BI21" i="6"/>
  <c r="P21" i="6" s="1"/>
  <c r="BT110" i="6"/>
  <c r="BQ29" i="6"/>
  <c r="T12" i="6"/>
  <c r="BM26" i="6"/>
  <c r="BG237" i="6"/>
  <c r="N237" i="6"/>
  <c r="BF237" i="6"/>
  <c r="BE237" i="6"/>
  <c r="BE106" i="6"/>
  <c r="BG106" i="6"/>
  <c r="BN106" i="6" s="1"/>
  <c r="S106" i="6" s="1"/>
  <c r="BF106" i="6"/>
  <c r="O11" i="6"/>
  <c r="BM84" i="6"/>
  <c r="BN84" i="6" s="1"/>
  <c r="S84" i="6" s="1"/>
  <c r="BR109" i="6"/>
  <c r="BL237" i="6"/>
  <c r="BR15" i="6"/>
  <c r="R238" i="6"/>
  <c r="R60" i="6"/>
  <c r="BG71" i="6"/>
  <c r="BN71" i="6" s="1"/>
  <c r="S71" i="6" s="1"/>
  <c r="P137" i="6"/>
  <c r="T123" i="6"/>
  <c r="BQ204" i="6"/>
  <c r="T250" i="6"/>
  <c r="BQ116" i="6"/>
  <c r="BG260" i="6"/>
  <c r="BI260" i="6" s="1"/>
  <c r="BF260" i="6"/>
  <c r="BE260" i="6"/>
  <c r="N260" i="6"/>
  <c r="BE253" i="6"/>
  <c r="BR145" i="6"/>
  <c r="BR239" i="6"/>
  <c r="BR222" i="6"/>
  <c r="BF43" i="6"/>
  <c r="BM25" i="6"/>
  <c r="BN25" i="6" s="1"/>
  <c r="S25" i="6" s="1"/>
  <c r="BQ28" i="6"/>
  <c r="R83" i="6"/>
  <c r="R97" i="6"/>
  <c r="R296" i="6"/>
  <c r="BM246" i="6"/>
  <c r="BE12" i="6"/>
  <c r="BM97" i="6"/>
  <c r="BN29" i="6"/>
  <c r="BT258" i="6"/>
  <c r="BT168" i="6"/>
  <c r="N178" i="6"/>
  <c r="N97" i="6"/>
  <c r="BE97" i="6"/>
  <c r="BF97" i="6"/>
  <c r="BG97" i="6"/>
  <c r="N249" i="6"/>
  <c r="BE249" i="6"/>
  <c r="BI152" i="6"/>
  <c r="P152" i="6" s="1"/>
  <c r="BR22" i="6"/>
  <c r="BT156" i="6"/>
  <c r="BF150" i="6"/>
  <c r="T65" i="6"/>
  <c r="R246" i="6"/>
  <c r="BR196" i="6"/>
  <c r="BT188" i="6"/>
  <c r="R66" i="6"/>
  <c r="BT84" i="6"/>
  <c r="R94" i="6"/>
  <c r="BF295" i="6"/>
  <c r="R146" i="6"/>
  <c r="BG91" i="6"/>
  <c r="BI91" i="6" s="1"/>
  <c r="P91" i="6" s="1"/>
  <c r="BE72" i="6"/>
  <c r="BM194" i="6"/>
  <c r="BL308" i="6"/>
  <c r="BF126" i="6"/>
  <c r="BR297" i="6"/>
  <c r="BM119" i="6"/>
  <c r="BT150" i="6"/>
  <c r="BM249" i="6"/>
  <c r="BG200" i="6"/>
  <c r="N200" i="6"/>
  <c r="BG306" i="6"/>
  <c r="BI306" i="6" s="1"/>
  <c r="P306" i="6" s="1"/>
  <c r="BF306" i="6"/>
  <c r="N306" i="6"/>
  <c r="BE306" i="6"/>
  <c r="BG267" i="6"/>
  <c r="BN267" i="6" s="1"/>
  <c r="S267" i="6" s="1"/>
  <c r="BF267" i="6"/>
  <c r="N267" i="6"/>
  <c r="BE267" i="6"/>
  <c r="BG148" i="6"/>
  <c r="BI148" i="6" s="1"/>
  <c r="P148" i="6" s="1"/>
  <c r="BF148" i="6"/>
  <c r="BE148" i="6"/>
  <c r="N148" i="6"/>
  <c r="BG177" i="6"/>
  <c r="BF177" i="6"/>
  <c r="N177" i="6"/>
  <c r="BE177" i="6"/>
  <c r="N256" i="6"/>
  <c r="BF256" i="6"/>
  <c r="BE256" i="6"/>
  <c r="BG256" i="6"/>
  <c r="T287" i="6"/>
  <c r="BL280" i="6"/>
  <c r="BQ115" i="6"/>
  <c r="BE104" i="6"/>
  <c r="BU67" i="6"/>
  <c r="BM58" i="6"/>
  <c r="R98" i="6"/>
  <c r="BR202" i="6"/>
  <c r="BR47" i="6"/>
  <c r="BM220" i="6"/>
  <c r="BL273" i="6"/>
  <c r="BI23" i="6"/>
  <c r="P23" i="6" s="1"/>
  <c r="BI27" i="6"/>
  <c r="P27" i="6" s="1"/>
  <c r="N272" i="6"/>
  <c r="BM293" i="6"/>
  <c r="R265" i="6"/>
  <c r="BE236" i="6"/>
  <c r="BL205" i="6"/>
  <c r="BM155" i="6"/>
  <c r="BQ109" i="6"/>
  <c r="T187" i="6"/>
  <c r="BQ187" i="6"/>
  <c r="BQ161" i="6"/>
  <c r="BQ287" i="6"/>
  <c r="BF120" i="6"/>
  <c r="T156" i="6"/>
  <c r="BI292" i="6"/>
  <c r="P292" i="6" s="1"/>
  <c r="N43" i="6"/>
  <c r="R249" i="6"/>
  <c r="BL71" i="6"/>
  <c r="T135" i="6"/>
  <c r="T101" i="6"/>
  <c r="BF136" i="6"/>
  <c r="BE136" i="6"/>
  <c r="BG176" i="6"/>
  <c r="BI176" i="6" s="1"/>
  <c r="N176" i="6"/>
  <c r="BF176" i="6"/>
  <c r="BE176" i="6"/>
  <c r="BG162" i="6"/>
  <c r="BI162" i="6" s="1"/>
  <c r="P162" i="6" s="1"/>
  <c r="T23" i="6"/>
  <c r="BF304" i="6"/>
  <c r="BQ233" i="6"/>
  <c r="BR131" i="6"/>
  <c r="BL146" i="6"/>
  <c r="BF127" i="6"/>
  <c r="BI67" i="6"/>
  <c r="P67" i="6" s="1"/>
  <c r="BM81" i="6"/>
  <c r="BN81" i="6" s="1"/>
  <c r="S81" i="6" s="1"/>
  <c r="T19" i="6"/>
  <c r="BE200" i="6"/>
  <c r="BT77" i="6"/>
  <c r="BU77" i="6"/>
  <c r="R254" i="6"/>
  <c r="BF193" i="6"/>
  <c r="N146" i="6"/>
  <c r="BF146" i="6"/>
  <c r="O10" i="6"/>
  <c r="R242" i="6"/>
  <c r="BG181" i="6"/>
  <c r="BI181" i="6" s="1"/>
  <c r="P181" i="6" s="1"/>
  <c r="BM173" i="6"/>
  <c r="T204" i="6"/>
  <c r="BE60" i="6"/>
  <c r="BM260" i="6"/>
  <c r="BR134" i="6"/>
  <c r="T134" i="6"/>
  <c r="N157" i="6"/>
  <c r="BF73" i="6"/>
  <c r="BM88" i="6"/>
  <c r="BF249" i="6"/>
  <c r="BF44" i="6"/>
  <c r="BU97" i="6"/>
  <c r="BM288" i="6"/>
  <c r="T196" i="6"/>
  <c r="T233" i="6"/>
  <c r="BE162" i="6"/>
  <c r="BL151" i="6"/>
  <c r="BU202" i="6"/>
  <c r="BN44" i="6"/>
  <c r="S44" i="6" s="1"/>
  <c r="BL85" i="6"/>
  <c r="BF308" i="6"/>
  <c r="BM308" i="6"/>
  <c r="N296" i="6"/>
  <c r="R275" i="6"/>
  <c r="BR229" i="6"/>
  <c r="R140" i="6"/>
  <c r="BI100" i="6"/>
  <c r="P100" i="6" s="1"/>
  <c r="BF60" i="6"/>
  <c r="BG249" i="6"/>
  <c r="R71" i="6"/>
  <c r="R67" i="6"/>
  <c r="N44" i="6"/>
  <c r="BR65" i="6"/>
  <c r="BG308" i="6"/>
  <c r="BI308" i="6" s="1"/>
  <c r="P308" i="6" s="1"/>
  <c r="BU247" i="6"/>
  <c r="BT247" i="6"/>
  <c r="BG73" i="6"/>
  <c r="BI73" i="6" s="1"/>
  <c r="P73" i="6" s="1"/>
  <c r="BM151" i="6"/>
  <c r="BR113" i="6"/>
  <c r="BM118" i="6"/>
  <c r="BN23" i="6"/>
  <c r="S23" i="6" s="1"/>
  <c r="BG60" i="6"/>
  <c r="BL94" i="6"/>
  <c r="BQ11" i="6"/>
  <c r="BU93" i="6"/>
  <c r="BM216" i="6"/>
  <c r="BL294" i="6"/>
  <c r="BL60" i="6"/>
  <c r="T245" i="6"/>
  <c r="BM178" i="6"/>
  <c r="BN178" i="6" s="1"/>
  <c r="S178" i="6" s="1"/>
  <c r="BR59" i="6"/>
  <c r="BQ47" i="6"/>
  <c r="R307" i="6"/>
  <c r="BF236" i="6"/>
  <c r="R218" i="6"/>
  <c r="BL155" i="6"/>
  <c r="BM214" i="6"/>
  <c r="BI72" i="6"/>
  <c r="P72" i="6" s="1"/>
  <c r="R204" i="6"/>
  <c r="BF46" i="6"/>
  <c r="BL59" i="6"/>
  <c r="T83" i="6"/>
  <c r="N182" i="6"/>
  <c r="BE182" i="6"/>
  <c r="BE141" i="6"/>
  <c r="N141" i="6"/>
  <c r="BG141" i="6"/>
  <c r="BI141" i="6" s="1"/>
  <c r="P141" i="6" s="1"/>
  <c r="BF141" i="6"/>
  <c r="BF124" i="6"/>
  <c r="BG124" i="6"/>
  <c r="BI124" i="6" s="1"/>
  <c r="P124" i="6" s="1"/>
  <c r="N124" i="6"/>
  <c r="BE124" i="6"/>
  <c r="BE185" i="6"/>
  <c r="BF185" i="6"/>
  <c r="BG185" i="6"/>
  <c r="BI185" i="6" s="1"/>
  <c r="P185" i="6" s="1"/>
  <c r="N185" i="6"/>
  <c r="BF248" i="6"/>
  <c r="N248" i="6"/>
  <c r="BG248" i="6"/>
  <c r="BN248" i="6" s="1"/>
  <c r="S248" i="6" s="1"/>
  <c r="BE248" i="6"/>
  <c r="BG83" i="6"/>
  <c r="BN83" i="6" s="1"/>
  <c r="S83" i="6" s="1"/>
  <c r="BF83" i="6"/>
  <c r="BE83" i="6"/>
  <c r="N83" i="6"/>
  <c r="R288" i="6"/>
  <c r="BQ230" i="6"/>
  <c r="BG105" i="6"/>
  <c r="BN105" i="6" s="1"/>
  <c r="O9" i="6"/>
  <c r="BQ40" i="6"/>
  <c r="BM265" i="6"/>
  <c r="BE271" i="6"/>
  <c r="T285" i="6"/>
  <c r="P95" i="6"/>
  <c r="BL211" i="6"/>
  <c r="R175" i="6"/>
  <c r="BL186" i="6"/>
  <c r="BR74" i="6"/>
  <c r="BL51" i="6"/>
  <c r="BR70" i="6"/>
  <c r="T63" i="6"/>
  <c r="BQ53" i="6"/>
  <c r="BE73" i="6"/>
  <c r="BM57" i="6"/>
  <c r="BE88" i="6"/>
  <c r="BU161" i="6"/>
  <c r="BT161" i="6"/>
  <c r="BU41" i="6"/>
  <c r="BT41" i="6"/>
  <c r="BL298" i="6"/>
  <c r="R287" i="6"/>
  <c r="BM261" i="6"/>
  <c r="BN261" i="6" s="1"/>
  <c r="S261" i="6" s="1"/>
  <c r="N285" i="6"/>
  <c r="BQ254" i="6"/>
  <c r="BN222" i="6"/>
  <c r="S222" i="6" s="1"/>
  <c r="BM175" i="6"/>
  <c r="BF105" i="6"/>
  <c r="N133" i="6"/>
  <c r="BL120" i="6"/>
  <c r="BR104" i="6"/>
  <c r="BR40" i="6"/>
  <c r="T21" i="6"/>
  <c r="P279" i="6"/>
  <c r="R282" i="6"/>
  <c r="BI237" i="6"/>
  <c r="P237" i="6" s="1"/>
  <c r="BR203" i="6"/>
  <c r="BQ221" i="6"/>
  <c r="BE133" i="6"/>
  <c r="T186" i="6"/>
  <c r="BU232" i="6"/>
  <c r="BT232" i="6"/>
  <c r="BT35" i="6"/>
  <c r="BU35" i="6"/>
  <c r="BF233" i="6"/>
  <c r="BE49" i="6"/>
  <c r="BR57" i="6"/>
  <c r="Q9" i="6"/>
  <c r="BU263" i="6"/>
  <c r="BT263" i="6"/>
  <c r="BQ297" i="6"/>
  <c r="BM307" i="6"/>
  <c r="BL275" i="6"/>
  <c r="BL138" i="6"/>
  <c r="BG133" i="6"/>
  <c r="BI133" i="6" s="1"/>
  <c r="P133" i="6" s="1"/>
  <c r="BM186" i="6"/>
  <c r="BN186" i="6" s="1"/>
  <c r="S186" i="6" s="1"/>
  <c r="T115" i="6"/>
  <c r="N49" i="6"/>
  <c r="BQ31" i="6"/>
  <c r="T272" i="6"/>
  <c r="BL212" i="6"/>
  <c r="BQ97" i="6"/>
  <c r="T164" i="6"/>
  <c r="BF200" i="6"/>
  <c r="BF280" i="6"/>
  <c r="N280" i="6"/>
  <c r="T214" i="6"/>
  <c r="BR141" i="6"/>
  <c r="BI96" i="6"/>
  <c r="P96" i="6" s="1"/>
  <c r="BE103" i="6"/>
  <c r="BQ104" i="6"/>
  <c r="R118" i="6"/>
  <c r="BM75" i="6"/>
  <c r="BM209" i="6"/>
  <c r="BT306" i="6"/>
  <c r="BU306" i="6"/>
  <c r="BR86" i="6"/>
  <c r="BR35" i="6"/>
  <c r="T35" i="6"/>
  <c r="BL88" i="6"/>
  <c r="N179" i="6"/>
  <c r="BT162" i="6"/>
  <c r="BU162" i="6"/>
  <c r="BT132" i="6"/>
  <c r="BU132" i="6"/>
  <c r="BG271" i="6"/>
  <c r="BN271" i="6" s="1"/>
  <c r="S271" i="6" s="1"/>
  <c r="BL257" i="6"/>
  <c r="T217" i="6"/>
  <c r="T230" i="6"/>
  <c r="BM123" i="6"/>
  <c r="BQ105" i="6"/>
  <c r="BL75" i="6"/>
  <c r="BN43" i="6"/>
  <c r="S43" i="6" s="1"/>
  <c r="BT184" i="6"/>
  <c r="BU184" i="6"/>
  <c r="BR205" i="6"/>
  <c r="BQ248" i="6"/>
  <c r="BM229" i="6"/>
  <c r="T172" i="6"/>
  <c r="BQ145" i="6"/>
  <c r="BM181" i="6"/>
  <c r="BL159" i="6"/>
  <c r="N105" i="6"/>
  <c r="BQ153" i="6"/>
  <c r="BR153" i="6"/>
  <c r="BQ240" i="6"/>
  <c r="BG236" i="6"/>
  <c r="BI236" i="6" s="1"/>
  <c r="P236" i="6" s="1"/>
  <c r="R123" i="6"/>
  <c r="BQ186" i="6"/>
  <c r="N17" i="6"/>
  <c r="BI223" i="6"/>
  <c r="P223" i="6" s="1"/>
  <c r="N106" i="6"/>
  <c r="BM256" i="6"/>
  <c r="BL227" i="6"/>
  <c r="BF49" i="6"/>
  <c r="BL58" i="6"/>
  <c r="BL243" i="6"/>
  <c r="BI25" i="6"/>
  <c r="P25" i="6" s="1"/>
  <c r="BR24" i="6"/>
  <c r="BQ258" i="6"/>
  <c r="BQ90" i="6"/>
  <c r="BE268" i="6"/>
  <c r="BF268" i="6"/>
  <c r="BG274" i="6"/>
  <c r="BI274" i="6" s="1"/>
  <c r="P274" i="6" s="1"/>
  <c r="BF274" i="6"/>
  <c r="BE274" i="6"/>
  <c r="N274" i="6"/>
  <c r="N47" i="6"/>
  <c r="BG47" i="6"/>
  <c r="BF47" i="6"/>
  <c r="BE47" i="6"/>
  <c r="BE198" i="6"/>
  <c r="N198" i="6"/>
  <c r="BG198" i="6"/>
  <c r="BI198" i="6" s="1"/>
  <c r="P198" i="6" s="1"/>
  <c r="BF198" i="6"/>
  <c r="BE283" i="6"/>
  <c r="BG283" i="6"/>
  <c r="BF283" i="6"/>
  <c r="N283" i="6"/>
  <c r="BG188" i="6"/>
  <c r="BF188" i="6"/>
  <c r="BE188" i="6"/>
  <c r="N188" i="6"/>
  <c r="BG76" i="6"/>
  <c r="N76" i="6"/>
  <c r="BF76" i="6"/>
  <c r="BE76" i="6"/>
  <c r="BG191" i="6"/>
  <c r="BF191" i="6"/>
  <c r="BE191" i="6"/>
  <c r="N191" i="6"/>
  <c r="BG109" i="6"/>
  <c r="BI109" i="6" s="1"/>
  <c r="BE109" i="6"/>
  <c r="N109" i="6"/>
  <c r="BF109" i="6"/>
  <c r="BF68" i="6"/>
  <c r="BE68" i="6"/>
  <c r="N68" i="6"/>
  <c r="BG68" i="6"/>
  <c r="BI68" i="6" s="1"/>
  <c r="P68" i="6" s="1"/>
  <c r="BF94" i="6"/>
  <c r="BG94" i="6"/>
  <c r="BN94" i="6" s="1"/>
  <c r="S94" i="6" s="1"/>
  <c r="BE94" i="6"/>
  <c r="N94" i="6"/>
  <c r="BE212" i="6"/>
  <c r="N212" i="6"/>
  <c r="BG212" i="6"/>
  <c r="BI212" i="6" s="1"/>
  <c r="BF212" i="6"/>
  <c r="BG30" i="6"/>
  <c r="BI30" i="6" s="1"/>
  <c r="P30" i="6" s="1"/>
  <c r="N30" i="6"/>
  <c r="BE30" i="6"/>
  <c r="BF30" i="6"/>
  <c r="BG22" i="6"/>
  <c r="BF22" i="6"/>
  <c r="N22" i="6"/>
  <c r="BE14" i="6"/>
  <c r="BF14" i="6"/>
  <c r="N14" i="6"/>
  <c r="BE234" i="6"/>
  <c r="BG234" i="6"/>
  <c r="BF234" i="6"/>
  <c r="N234" i="6"/>
  <c r="BF138" i="6"/>
  <c r="BG138" i="6"/>
  <c r="BI138" i="6" s="1"/>
  <c r="P138" i="6" s="1"/>
  <c r="BG169" i="6"/>
  <c r="BI169" i="6" s="1"/>
  <c r="P169" i="6" s="1"/>
  <c r="BF169" i="6"/>
  <c r="BG241" i="6"/>
  <c r="N241" i="6"/>
  <c r="BF241" i="6"/>
  <c r="BE241" i="6"/>
  <c r="BF39" i="6"/>
  <c r="BG39" i="6"/>
  <c r="BN39" i="6" s="1"/>
  <c r="S39" i="6" s="1"/>
  <c r="BG194" i="6"/>
  <c r="BF194" i="6"/>
  <c r="N194" i="6"/>
  <c r="BE194" i="6"/>
  <c r="BG161" i="6"/>
  <c r="BI161" i="6" s="1"/>
  <c r="P161" i="6" s="1"/>
  <c r="BE161" i="6"/>
  <c r="BF161" i="6"/>
  <c r="BN114" i="6"/>
  <c r="S114" i="6" s="1"/>
  <c r="BE128" i="6"/>
  <c r="BG128" i="6"/>
  <c r="N128" i="6"/>
  <c r="BF128" i="6"/>
  <c r="BE45" i="6"/>
  <c r="BF45" i="6"/>
  <c r="N45" i="6"/>
  <c r="BG45" i="6"/>
  <c r="BE206" i="6"/>
  <c r="BG206" i="6"/>
  <c r="N206" i="6"/>
  <c r="BF206" i="6"/>
  <c r="N135" i="6"/>
  <c r="BG135" i="6"/>
  <c r="BN135" i="6" s="1"/>
  <c r="S135" i="6" s="1"/>
  <c r="BE135" i="6"/>
  <c r="BF135" i="6"/>
  <c r="BG59" i="6"/>
  <c r="N59" i="6"/>
  <c r="BF59" i="6"/>
  <c r="BE59" i="6"/>
  <c r="N158" i="6"/>
  <c r="BF158" i="6"/>
  <c r="BE158" i="6"/>
  <c r="BG158" i="6"/>
  <c r="BI158" i="6" s="1"/>
  <c r="P158" i="6" s="1"/>
  <c r="BE143" i="6"/>
  <c r="BG143" i="6"/>
  <c r="BI143" i="6" s="1"/>
  <c r="BF143" i="6"/>
  <c r="N143" i="6"/>
  <c r="BF307" i="6"/>
  <c r="N307" i="6"/>
  <c r="BE102" i="6"/>
  <c r="BG102" i="6"/>
  <c r="BI102" i="6" s="1"/>
  <c r="P102" i="6" s="1"/>
  <c r="N102" i="6"/>
  <c r="BF102" i="6"/>
  <c r="BE119" i="6"/>
  <c r="BG119" i="6"/>
  <c r="BF119" i="6"/>
  <c r="N119" i="6"/>
  <c r="BG197" i="6"/>
  <c r="BI197" i="6" s="1"/>
  <c r="P197" i="6" s="1"/>
  <c r="BF197" i="6"/>
  <c r="N197" i="6"/>
  <c r="BE197" i="6"/>
  <c r="BF139" i="6"/>
  <c r="BE139" i="6"/>
  <c r="BG139" i="6"/>
  <c r="N139" i="6"/>
  <c r="BF64" i="6"/>
  <c r="BE64" i="6"/>
  <c r="BG64" i="6"/>
  <c r="BI64" i="6" s="1"/>
  <c r="N64" i="6"/>
  <c r="BF299" i="6"/>
  <c r="BG295" i="6"/>
  <c r="BI295" i="6" s="1"/>
  <c r="P295" i="6" s="1"/>
  <c r="BE296" i="6"/>
  <c r="BF296" i="6"/>
  <c r="BR282" i="6"/>
  <c r="T271" i="6"/>
  <c r="BM287" i="6"/>
  <c r="BR221" i="6"/>
  <c r="BM218" i="6"/>
  <c r="BN218" i="6" s="1"/>
  <c r="BF265" i="6"/>
  <c r="BR244" i="6"/>
  <c r="BM255" i="6"/>
  <c r="N215" i="6"/>
  <c r="BQ185" i="6"/>
  <c r="BL229" i="6"/>
  <c r="BR219" i="6"/>
  <c r="BG164" i="6"/>
  <c r="BN164" i="6" s="1"/>
  <c r="S164" i="6" s="1"/>
  <c r="BF164" i="6"/>
  <c r="BQ198" i="6"/>
  <c r="BE159" i="6"/>
  <c r="N127" i="6"/>
  <c r="BG157" i="6"/>
  <c r="BI157" i="6" s="1"/>
  <c r="P157" i="6" s="1"/>
  <c r="BF98" i="6"/>
  <c r="BL153" i="6"/>
  <c r="BL109" i="6"/>
  <c r="N81" i="6"/>
  <c r="BQ66" i="6"/>
  <c r="BM14" i="6"/>
  <c r="T58" i="6"/>
  <c r="BR58" i="6"/>
  <c r="BF258" i="6"/>
  <c r="BG258" i="6"/>
  <c r="BT178" i="6"/>
  <c r="BU178" i="6"/>
  <c r="BG65" i="6"/>
  <c r="BN65" i="6" s="1"/>
  <c r="S65" i="6" s="1"/>
  <c r="BF65" i="6"/>
  <c r="N65" i="6"/>
  <c r="BU68" i="6"/>
  <c r="BT68" i="6"/>
  <c r="BQ25" i="6"/>
  <c r="BQ298" i="6"/>
  <c r="BG277" i="6"/>
  <c r="BI277" i="6" s="1"/>
  <c r="BR275" i="6"/>
  <c r="BT245" i="6"/>
  <c r="T257" i="6"/>
  <c r="BM254" i="6"/>
  <c r="BG265" i="6"/>
  <c r="BI265" i="6" s="1"/>
  <c r="BM193" i="6"/>
  <c r="T211" i="6"/>
  <c r="R192" i="6"/>
  <c r="BL192" i="6"/>
  <c r="BM138" i="6"/>
  <c r="BM125" i="6"/>
  <c r="BG127" i="6"/>
  <c r="BM103" i="6"/>
  <c r="BF110" i="6"/>
  <c r="BM37" i="6"/>
  <c r="BE81" i="6"/>
  <c r="BQ10" i="6"/>
  <c r="T10" i="6" s="1"/>
  <c r="BT53" i="6"/>
  <c r="BU53" i="6"/>
  <c r="BF300" i="6"/>
  <c r="N300" i="6"/>
  <c r="N265" i="6"/>
  <c r="BM269" i="6"/>
  <c r="BL286" i="6"/>
  <c r="BL221" i="6"/>
  <c r="R216" i="6"/>
  <c r="BR185" i="6"/>
  <c r="BR210" i="6"/>
  <c r="R198" i="6"/>
  <c r="BL115" i="6"/>
  <c r="BG69" i="6"/>
  <c r="BI69" i="6" s="1"/>
  <c r="P69" i="6" s="1"/>
  <c r="BE69" i="6"/>
  <c r="BL37" i="6"/>
  <c r="BI81" i="6"/>
  <c r="P81" i="6" s="1"/>
  <c r="BL40" i="6"/>
  <c r="BM54" i="6"/>
  <c r="BR132" i="6"/>
  <c r="T132" i="6"/>
  <c r="BQ158" i="6"/>
  <c r="BE300" i="6"/>
  <c r="BL269" i="6"/>
  <c r="T298" i="6"/>
  <c r="R286" i="6"/>
  <c r="BR253" i="6"/>
  <c r="R221" i="6"/>
  <c r="BG215" i="6"/>
  <c r="BI215" i="6" s="1"/>
  <c r="R208" i="6"/>
  <c r="BR172" i="6"/>
  <c r="R227" i="6"/>
  <c r="BQ159" i="6"/>
  <c r="BL181" i="6"/>
  <c r="BG167" i="6"/>
  <c r="BQ131" i="6"/>
  <c r="BM153" i="6"/>
  <c r="BS9" i="6"/>
  <c r="U9" i="6" s="1"/>
  <c r="N80" i="6"/>
  <c r="BL66" i="6"/>
  <c r="BF66" i="6"/>
  <c r="BM9" i="6"/>
  <c r="R63" i="6"/>
  <c r="T49" i="6"/>
  <c r="BQ57" i="6"/>
  <c r="BE43" i="6"/>
  <c r="BR238" i="6"/>
  <c r="T238" i="6"/>
  <c r="BG182" i="6"/>
  <c r="BF182" i="6"/>
  <c r="BU217" i="6"/>
  <c r="BT217" i="6"/>
  <c r="BL158" i="6"/>
  <c r="P170" i="6"/>
  <c r="BF80" i="6"/>
  <c r="BR48" i="6"/>
  <c r="BR66" i="6"/>
  <c r="BT28" i="6"/>
  <c r="T303" i="6"/>
  <c r="BU200" i="6"/>
  <c r="BT200" i="6"/>
  <c r="T270" i="6"/>
  <c r="BU259" i="6"/>
  <c r="BT259" i="6"/>
  <c r="BU260" i="6"/>
  <c r="BT260" i="6"/>
  <c r="BQ110" i="6"/>
  <c r="BR158" i="6"/>
  <c r="BM124" i="6"/>
  <c r="T64" i="6"/>
  <c r="N240" i="6"/>
  <c r="BQ285" i="6"/>
  <c r="BG213" i="6"/>
  <c r="BI213" i="6" s="1"/>
  <c r="P213" i="6" s="1"/>
  <c r="BF209" i="6"/>
  <c r="BM198" i="6"/>
  <c r="T183" i="6"/>
  <c r="N164" i="6"/>
  <c r="BQ144" i="6"/>
  <c r="R115" i="6"/>
  <c r="BM109" i="6"/>
  <c r="BF69" i="6"/>
  <c r="BL9" i="6"/>
  <c r="R9" i="6" s="1"/>
  <c r="T42" i="6"/>
  <c r="N247" i="6"/>
  <c r="BG247" i="6"/>
  <c r="BI247" i="6" s="1"/>
  <c r="P247" i="6" s="1"/>
  <c r="BT198" i="6"/>
  <c r="BU198" i="6"/>
  <c r="BU139" i="6"/>
  <c r="BT139" i="6"/>
  <c r="BU129" i="6"/>
  <c r="BT129" i="6"/>
  <c r="P84" i="6"/>
  <c r="BQ91" i="6"/>
  <c r="BR91" i="6"/>
  <c r="T283" i="6"/>
  <c r="P281" i="6"/>
  <c r="BM280" i="6"/>
  <c r="BM298" i="6"/>
  <c r="BN298" i="6" s="1"/>
  <c r="S298" i="6" s="1"/>
  <c r="BG280" i="6"/>
  <c r="BI280" i="6" s="1"/>
  <c r="R267" i="6"/>
  <c r="BG239" i="6"/>
  <c r="BN239" i="6" s="1"/>
  <c r="S239" i="6" s="1"/>
  <c r="BL242" i="6"/>
  <c r="T244" i="6"/>
  <c r="BM257" i="6"/>
  <c r="BQ246" i="6"/>
  <c r="T184" i="6"/>
  <c r="R234" i="6"/>
  <c r="BE215" i="6"/>
  <c r="BM211" i="6"/>
  <c r="BQ149" i="6"/>
  <c r="N136" i="6"/>
  <c r="BG80" i="6"/>
  <c r="BI80" i="6" s="1"/>
  <c r="BI49" i="6"/>
  <c r="P49" i="6" s="1"/>
  <c r="BQ279" i="6"/>
  <c r="T279" i="6"/>
  <c r="BG228" i="6"/>
  <c r="BN228" i="6" s="1"/>
  <c r="S228" i="6" s="1"/>
  <c r="T44" i="6"/>
  <c r="BQ126" i="6"/>
  <c r="R24" i="6"/>
  <c r="BM24" i="6"/>
  <c r="BU98" i="6"/>
  <c r="BT98" i="6"/>
  <c r="BQ64" i="6"/>
  <c r="BL70" i="6"/>
  <c r="BI272" i="6"/>
  <c r="P272" i="6" s="1"/>
  <c r="BU270" i="6"/>
  <c r="BT270" i="6"/>
  <c r="BF213" i="6"/>
  <c r="BE213" i="6"/>
  <c r="BL139" i="6"/>
  <c r="BM139" i="6"/>
  <c r="BU108" i="6"/>
  <c r="BT108" i="6"/>
  <c r="N295" i="6"/>
  <c r="BF269" i="6"/>
  <c r="BQ257" i="6"/>
  <c r="T246" i="6"/>
  <c r="R255" i="6"/>
  <c r="BQ183" i="6"/>
  <c r="BQ141" i="6"/>
  <c r="BQ113" i="6"/>
  <c r="R125" i="6"/>
  <c r="BL214" i="6"/>
  <c r="BR140" i="6"/>
  <c r="BL103" i="6"/>
  <c r="P44" i="6"/>
  <c r="BR116" i="6"/>
  <c r="BN46" i="6"/>
  <c r="S46" i="6" s="1"/>
  <c r="BF103" i="6"/>
  <c r="R14" i="6"/>
  <c r="BT251" i="6"/>
  <c r="BU251" i="6"/>
  <c r="R270" i="6"/>
  <c r="BU121" i="6"/>
  <c r="BT121" i="6"/>
  <c r="BU216" i="6"/>
  <c r="BT216" i="6"/>
  <c r="BQ162" i="6"/>
  <c r="R194" i="6"/>
  <c r="BU135" i="6"/>
  <c r="BT135" i="6"/>
  <c r="BQ59" i="6"/>
  <c r="BR305" i="6"/>
  <c r="BQ293" i="6"/>
  <c r="BL293" i="6"/>
  <c r="BN170" i="6"/>
  <c r="S170" i="6" s="1"/>
  <c r="T248" i="6"/>
  <c r="N229" i="6"/>
  <c r="BL193" i="6"/>
  <c r="P93" i="6"/>
  <c r="N181" i="6"/>
  <c r="R220" i="6"/>
  <c r="BR136" i="6"/>
  <c r="BG136" i="6"/>
  <c r="BI136" i="6" s="1"/>
  <c r="P136" i="6" s="1"/>
  <c r="BR44" i="6"/>
  <c r="R169" i="6"/>
  <c r="BG103" i="6"/>
  <c r="BI103" i="6" s="1"/>
  <c r="BR9" i="6"/>
  <c r="T9" i="6" s="1"/>
  <c r="BQ9" i="6"/>
  <c r="R81" i="6"/>
  <c r="BM70" i="6"/>
  <c r="BM40" i="6"/>
  <c r="R57" i="6"/>
  <c r="T251" i="6"/>
  <c r="BM243" i="6"/>
  <c r="BN243" i="6" s="1"/>
  <c r="BQ27" i="6"/>
  <c r="BR34" i="6"/>
  <c r="BQ303" i="6"/>
  <c r="BR283" i="6"/>
  <c r="BQ271" i="6"/>
  <c r="BE240" i="6"/>
  <c r="BG229" i="6"/>
  <c r="BM205" i="6"/>
  <c r="BL169" i="6"/>
  <c r="BF81" i="6"/>
  <c r="BG61" i="6"/>
  <c r="BI61" i="6" s="1"/>
  <c r="BR42" i="6"/>
  <c r="BS10" i="6"/>
  <c r="U10" i="6" s="1"/>
  <c r="BG88" i="6"/>
  <c r="BM11" i="6"/>
  <c r="BM237" i="6"/>
  <c r="BU303" i="6"/>
  <c r="BT303" i="6"/>
  <c r="BR272" i="6"/>
  <c r="R128" i="6"/>
  <c r="BM128" i="6"/>
  <c r="BL128" i="6"/>
  <c r="R126" i="6"/>
  <c r="BT23" i="6"/>
  <c r="BU23" i="6"/>
  <c r="BE65" i="6"/>
  <c r="BT164" i="6"/>
  <c r="BU164" i="6"/>
  <c r="R301" i="6"/>
  <c r="BL267" i="6"/>
  <c r="BQ282" i="6"/>
  <c r="BQ253" i="6"/>
  <c r="BF240" i="6"/>
  <c r="R230" i="6"/>
  <c r="BR211" i="6"/>
  <c r="T146" i="6"/>
  <c r="BR85" i="6"/>
  <c r="P19" i="6"/>
  <c r="R16" i="6"/>
  <c r="BT292" i="6"/>
  <c r="BU292" i="6"/>
  <c r="BT209" i="6"/>
  <c r="BU209" i="6"/>
  <c r="BU177" i="6"/>
  <c r="BT177" i="6"/>
  <c r="BQ82" i="6"/>
  <c r="BR82" i="6"/>
  <c r="BU91" i="6"/>
  <c r="BT91" i="6"/>
  <c r="R124" i="6"/>
  <c r="BT55" i="6"/>
  <c r="BU55" i="6"/>
  <c r="BF291" i="6"/>
  <c r="BE291" i="6"/>
  <c r="BG291" i="6"/>
  <c r="BN291" i="6" s="1"/>
  <c r="N291" i="6"/>
  <c r="BI298" i="6"/>
  <c r="P298" i="6" s="1"/>
  <c r="BG273" i="6"/>
  <c r="N273" i="6"/>
  <c r="BE273" i="6"/>
  <c r="BF273" i="6"/>
  <c r="BF275" i="6"/>
  <c r="BE275" i="6"/>
  <c r="BG275" i="6"/>
  <c r="N275" i="6"/>
  <c r="BE246" i="6"/>
  <c r="BG246" i="6"/>
  <c r="BF246" i="6"/>
  <c r="N246" i="6"/>
  <c r="BF244" i="6"/>
  <c r="BE244" i="6"/>
  <c r="BG244" i="6"/>
  <c r="N244" i="6"/>
  <c r="BG297" i="6"/>
  <c r="BF297" i="6"/>
  <c r="BE297" i="6"/>
  <c r="N297" i="6"/>
  <c r="BT302" i="6"/>
  <c r="BU302" i="6"/>
  <c r="N270" i="6"/>
  <c r="BG270" i="6"/>
  <c r="BR278" i="6"/>
  <c r="BQ278" i="6"/>
  <c r="BQ284" i="6"/>
  <c r="BR284" i="6"/>
  <c r="T278" i="6"/>
  <c r="BG266" i="6"/>
  <c r="BF266" i="6"/>
  <c r="BE266" i="6"/>
  <c r="N266" i="6"/>
  <c r="N298" i="6"/>
  <c r="N231" i="6"/>
  <c r="BE231" i="6"/>
  <c r="BG231" i="6"/>
  <c r="T252" i="6"/>
  <c r="BR252" i="6"/>
  <c r="BE250" i="6"/>
  <c r="BG250" i="6"/>
  <c r="N250" i="6"/>
  <c r="BF250" i="6"/>
  <c r="BL224" i="6"/>
  <c r="BM224" i="6"/>
  <c r="R224" i="6"/>
  <c r="BR255" i="6"/>
  <c r="T255" i="6"/>
  <c r="BI208" i="6"/>
  <c r="P208" i="6" s="1"/>
  <c r="BR227" i="6"/>
  <c r="BQ227" i="6"/>
  <c r="BR167" i="6"/>
  <c r="BQ167" i="6"/>
  <c r="R199" i="6"/>
  <c r="BM199" i="6"/>
  <c r="BL199" i="6"/>
  <c r="BQ129" i="6"/>
  <c r="BR129" i="6"/>
  <c r="T129" i="6"/>
  <c r="BU101" i="6"/>
  <c r="BT101" i="6"/>
  <c r="BF116" i="6"/>
  <c r="BG116" i="6"/>
  <c r="BN116" i="6" s="1"/>
  <c r="N116" i="6"/>
  <c r="BE116" i="6"/>
  <c r="BM99" i="6"/>
  <c r="BL99" i="6"/>
  <c r="R99" i="6"/>
  <c r="BI55" i="6"/>
  <c r="P55" i="6" s="1"/>
  <c r="BN55" i="6"/>
  <c r="S55" i="6" s="1"/>
  <c r="R74" i="6"/>
  <c r="BM74" i="6"/>
  <c r="BL74" i="6"/>
  <c r="BE303" i="6"/>
  <c r="N303" i="6"/>
  <c r="BF303" i="6"/>
  <c r="N288" i="6"/>
  <c r="BE288" i="6"/>
  <c r="BF288" i="6"/>
  <c r="BU284" i="6"/>
  <c r="BT284" i="6"/>
  <c r="BG293" i="6"/>
  <c r="BF293" i="6"/>
  <c r="BN263" i="6"/>
  <c r="S263" i="6" s="1"/>
  <c r="BQ280" i="6"/>
  <c r="BI262" i="6"/>
  <c r="P262" i="6" s="1"/>
  <c r="R252" i="6"/>
  <c r="BM252" i="6"/>
  <c r="BL252" i="6"/>
  <c r="BL236" i="6"/>
  <c r="R236" i="6"/>
  <c r="BM236" i="6"/>
  <c r="BF231" i="6"/>
  <c r="BI196" i="6"/>
  <c r="P196" i="6" s="1"/>
  <c r="BQ178" i="6"/>
  <c r="BR178" i="6"/>
  <c r="T178" i="6"/>
  <c r="BM180" i="6"/>
  <c r="R180" i="6"/>
  <c r="BF156" i="6"/>
  <c r="N156" i="6"/>
  <c r="BG156" i="6"/>
  <c r="BE156" i="6"/>
  <c r="N155" i="6"/>
  <c r="BG155" i="6"/>
  <c r="BN155" i="6" s="1"/>
  <c r="S155" i="6" s="1"/>
  <c r="BF155" i="6"/>
  <c r="BG151" i="6"/>
  <c r="BF151" i="6"/>
  <c r="BE151" i="6"/>
  <c r="N151" i="6"/>
  <c r="BI101" i="6"/>
  <c r="P101" i="6" s="1"/>
  <c r="R165" i="6"/>
  <c r="BM165" i="6"/>
  <c r="BL165" i="6"/>
  <c r="BF144" i="6"/>
  <c r="BE144" i="6"/>
  <c r="N144" i="6"/>
  <c r="BG144" i="6"/>
  <c r="R187" i="6"/>
  <c r="BM187" i="6"/>
  <c r="BL187" i="6"/>
  <c r="BG118" i="6"/>
  <c r="BF118" i="6"/>
  <c r="BM73" i="6"/>
  <c r="BL73" i="6"/>
  <c r="BI53" i="6"/>
  <c r="P53" i="6" s="1"/>
  <c r="N58" i="6"/>
  <c r="BE58" i="6"/>
  <c r="BG58" i="6"/>
  <c r="BF58" i="6"/>
  <c r="BM281" i="6"/>
  <c r="R281" i="6"/>
  <c r="BL281" i="6"/>
  <c r="R295" i="6"/>
  <c r="BL295" i="6"/>
  <c r="BG278" i="6"/>
  <c r="BF278" i="6"/>
  <c r="BU265" i="6"/>
  <c r="BT265" i="6"/>
  <c r="BT298" i="6"/>
  <c r="BU298" i="6"/>
  <c r="BE298" i="6"/>
  <c r="BF298" i="6"/>
  <c r="BG252" i="6"/>
  <c r="BF252" i="6"/>
  <c r="BE252" i="6"/>
  <c r="N252" i="6"/>
  <c r="BG257" i="6"/>
  <c r="BF257" i="6"/>
  <c r="N257" i="6"/>
  <c r="BI224" i="6"/>
  <c r="P224" i="6" s="1"/>
  <c r="BF210" i="6"/>
  <c r="BE210" i="6"/>
  <c r="BG210" i="6"/>
  <c r="BG201" i="6"/>
  <c r="BF201" i="6"/>
  <c r="BF147" i="6"/>
  <c r="N147" i="6"/>
  <c r="BG147" i="6"/>
  <c r="N211" i="6"/>
  <c r="BG211" i="6"/>
  <c r="BE211" i="6"/>
  <c r="N167" i="6"/>
  <c r="BE167" i="6"/>
  <c r="T157" i="6"/>
  <c r="BR157" i="6"/>
  <c r="T98" i="6"/>
  <c r="BR98" i="6"/>
  <c r="BQ98" i="6"/>
  <c r="BQ87" i="6"/>
  <c r="BR87" i="6"/>
  <c r="T87" i="6"/>
  <c r="R283" i="6"/>
  <c r="BM283" i="6"/>
  <c r="BL283" i="6"/>
  <c r="N290" i="6"/>
  <c r="BF290" i="6"/>
  <c r="BE290" i="6"/>
  <c r="BR293" i="6"/>
  <c r="BM268" i="6"/>
  <c r="BL268" i="6"/>
  <c r="R268" i="6"/>
  <c r="BL263" i="6"/>
  <c r="BM262" i="6"/>
  <c r="BL262" i="6"/>
  <c r="T280" i="6"/>
  <c r="T273" i="6"/>
  <c r="BQ273" i="6"/>
  <c r="BR273" i="6"/>
  <c r="R250" i="6"/>
  <c r="BM250" i="6"/>
  <c r="BL250" i="6"/>
  <c r="BU236" i="6"/>
  <c r="BT236" i="6"/>
  <c r="R244" i="6"/>
  <c r="BM244" i="6"/>
  <c r="BQ190" i="6"/>
  <c r="BR190" i="6"/>
  <c r="N168" i="6"/>
  <c r="BG168" i="6"/>
  <c r="BE168" i="6"/>
  <c r="T227" i="6"/>
  <c r="BF199" i="6"/>
  <c r="BE199" i="6"/>
  <c r="N199" i="6"/>
  <c r="BG199" i="6"/>
  <c r="R183" i="6"/>
  <c r="BL183" i="6"/>
  <c r="BT143" i="6"/>
  <c r="BU143" i="6"/>
  <c r="BG121" i="6"/>
  <c r="BF121" i="6"/>
  <c r="BE121" i="6"/>
  <c r="BE112" i="6"/>
  <c r="N112" i="6"/>
  <c r="BF112" i="6"/>
  <c r="BG112" i="6"/>
  <c r="N186" i="6"/>
  <c r="BF186" i="6"/>
  <c r="BE186" i="6"/>
  <c r="BM27" i="6"/>
  <c r="BL27" i="6"/>
  <c r="R27" i="6"/>
  <c r="BF62" i="6"/>
  <c r="BE62" i="6"/>
  <c r="BG62" i="6"/>
  <c r="R62" i="6"/>
  <c r="BL62" i="6"/>
  <c r="BM62" i="6"/>
  <c r="BU86" i="6"/>
  <c r="BT86" i="6"/>
  <c r="BF18" i="6"/>
  <c r="BE18" i="6"/>
  <c r="BG18" i="6"/>
  <c r="N18" i="6"/>
  <c r="BN19" i="6"/>
  <c r="S19" i="6" s="1"/>
  <c r="R305" i="6"/>
  <c r="BL305" i="6"/>
  <c r="BM305" i="6"/>
  <c r="BF276" i="6"/>
  <c r="N276" i="6"/>
  <c r="BG276" i="6"/>
  <c r="BR296" i="6"/>
  <c r="T296" i="6"/>
  <c r="BU278" i="6"/>
  <c r="BT278" i="6"/>
  <c r="R263" i="6"/>
  <c r="BU287" i="6"/>
  <c r="BT287" i="6"/>
  <c r="N282" i="6"/>
  <c r="BF282" i="6"/>
  <c r="BG282" i="6"/>
  <c r="BQ268" i="6"/>
  <c r="T268" i="6"/>
  <c r="BR256" i="6"/>
  <c r="BQ256" i="6"/>
  <c r="N242" i="6"/>
  <c r="BF242" i="6"/>
  <c r="BG242" i="6"/>
  <c r="BU237" i="6"/>
  <c r="BT237" i="6"/>
  <c r="BM235" i="6"/>
  <c r="R235" i="6"/>
  <c r="BL235" i="6"/>
  <c r="N224" i="6"/>
  <c r="BF224" i="6"/>
  <c r="BE224" i="6"/>
  <c r="BE201" i="6"/>
  <c r="T176" i="6"/>
  <c r="BR176" i="6"/>
  <c r="BQ176" i="6"/>
  <c r="BG195" i="6"/>
  <c r="BF195" i="6"/>
  <c r="BE195" i="6"/>
  <c r="N180" i="6"/>
  <c r="BF180" i="6"/>
  <c r="BE180" i="6"/>
  <c r="BG180" i="6"/>
  <c r="BE155" i="6"/>
  <c r="BG163" i="6"/>
  <c r="BF163" i="6"/>
  <c r="BE163" i="6"/>
  <c r="BG192" i="6"/>
  <c r="BN192" i="6" s="1"/>
  <c r="BE192" i="6"/>
  <c r="N192" i="6"/>
  <c r="BG187" i="6"/>
  <c r="N187" i="6"/>
  <c r="BF187" i="6"/>
  <c r="BE187" i="6"/>
  <c r="R34" i="6"/>
  <c r="BM34" i="6"/>
  <c r="BL34" i="6"/>
  <c r="BG24" i="6"/>
  <c r="BE24" i="6"/>
  <c r="N24" i="6"/>
  <c r="BF24" i="6"/>
  <c r="BF34" i="6"/>
  <c r="N34" i="6"/>
  <c r="BE34" i="6"/>
  <c r="N52" i="6"/>
  <c r="BG52" i="6"/>
  <c r="BE52" i="6"/>
  <c r="BF52" i="6"/>
  <c r="R303" i="6"/>
  <c r="BL303" i="6"/>
  <c r="BQ304" i="6"/>
  <c r="N278" i="6"/>
  <c r="BG286" i="6"/>
  <c r="BF286" i="6"/>
  <c r="BE286" i="6"/>
  <c r="N286" i="6"/>
  <c r="BT262" i="6"/>
  <c r="BU262" i="6"/>
  <c r="BR235" i="6"/>
  <c r="BQ235" i="6"/>
  <c r="T235" i="6"/>
  <c r="BE242" i="6"/>
  <c r="R256" i="6"/>
  <c r="BQ252" i="6"/>
  <c r="BU221" i="6"/>
  <c r="BT221" i="6"/>
  <c r="N201" i="6"/>
  <c r="BU201" i="6"/>
  <c r="BT201" i="6"/>
  <c r="N219" i="6"/>
  <c r="BG219" i="6"/>
  <c r="BN219" i="6" s="1"/>
  <c r="BE219" i="6"/>
  <c r="BL215" i="6"/>
  <c r="R215" i="6"/>
  <c r="T197" i="6"/>
  <c r="BQ197" i="6"/>
  <c r="BR197" i="6"/>
  <c r="N172" i="6"/>
  <c r="BE172" i="6"/>
  <c r="BG172" i="6"/>
  <c r="BF172" i="6"/>
  <c r="N227" i="6"/>
  <c r="BE227" i="6"/>
  <c r="BG227" i="6"/>
  <c r="BN227" i="6" s="1"/>
  <c r="BM95" i="6"/>
  <c r="BL95" i="6"/>
  <c r="R95" i="6"/>
  <c r="T181" i="6"/>
  <c r="BQ181" i="6"/>
  <c r="BR181" i="6"/>
  <c r="BM167" i="6"/>
  <c r="R167" i="6"/>
  <c r="BG175" i="6"/>
  <c r="BF175" i="6"/>
  <c r="N175" i="6"/>
  <c r="BE175" i="6"/>
  <c r="N173" i="6"/>
  <c r="BE173" i="6"/>
  <c r="BG173" i="6"/>
  <c r="BU131" i="6"/>
  <c r="BT131" i="6"/>
  <c r="BM157" i="6"/>
  <c r="BL157" i="6"/>
  <c r="R157" i="6"/>
  <c r="N118" i="6"/>
  <c r="N302" i="6"/>
  <c r="BE302" i="6"/>
  <c r="BR290" i="6"/>
  <c r="BQ290" i="6"/>
  <c r="T290" i="6"/>
  <c r="BI299" i="6"/>
  <c r="P299" i="6" s="1"/>
  <c r="R289" i="6"/>
  <c r="T284" i="6"/>
  <c r="N304" i="6"/>
  <c r="BM296" i="6"/>
  <c r="BR277" i="6"/>
  <c r="T277" i="6"/>
  <c r="BM277" i="6"/>
  <c r="BE287" i="6"/>
  <c r="BF287" i="6"/>
  <c r="BG287" i="6"/>
  <c r="BT280" i="6"/>
  <c r="BU280" i="6"/>
  <c r="BU277" i="6"/>
  <c r="BT277" i="6"/>
  <c r="BI232" i="6"/>
  <c r="P232" i="6" s="1"/>
  <c r="BU285" i="6"/>
  <c r="BT285" i="6"/>
  <c r="BF254" i="6"/>
  <c r="N254" i="6"/>
  <c r="BM203" i="6"/>
  <c r="BL203" i="6"/>
  <c r="R203" i="6"/>
  <c r="BG255" i="6"/>
  <c r="BF255" i="6"/>
  <c r="BE255" i="6"/>
  <c r="N230" i="6"/>
  <c r="BG230" i="6"/>
  <c r="BN230" i="6" s="1"/>
  <c r="S230" i="6" s="1"/>
  <c r="BE230" i="6"/>
  <c r="BF230" i="6"/>
  <c r="N163" i="6"/>
  <c r="T167" i="6"/>
  <c r="BU141" i="6"/>
  <c r="BT141" i="6"/>
  <c r="N220" i="6"/>
  <c r="BG220" i="6"/>
  <c r="BF220" i="6"/>
  <c r="BE220" i="6"/>
  <c r="BU96" i="6"/>
  <c r="BT96" i="6"/>
  <c r="T117" i="6"/>
  <c r="BR117" i="6"/>
  <c r="BL82" i="6"/>
  <c r="R82" i="6"/>
  <c r="BM82" i="6"/>
  <c r="BR133" i="6"/>
  <c r="T133" i="6"/>
  <c r="BQ133" i="6"/>
  <c r="BI186" i="6"/>
  <c r="P186" i="6" s="1"/>
  <c r="BG115" i="6"/>
  <c r="BF115" i="6"/>
  <c r="BE115" i="6"/>
  <c r="N115" i="6"/>
  <c r="W10" i="6"/>
  <c r="V10" i="6"/>
  <c r="G3" i="6" s="1"/>
  <c r="BQ118" i="6"/>
  <c r="T118" i="6"/>
  <c r="BR118" i="6"/>
  <c r="BE118" i="6"/>
  <c r="BG36" i="6"/>
  <c r="BF36" i="6"/>
  <c r="BE36" i="6"/>
  <c r="N36" i="6"/>
  <c r="BI41" i="6"/>
  <c r="P41" i="6" s="1"/>
  <c r="P300" i="6"/>
  <c r="BG288" i="6"/>
  <c r="BG307" i="6"/>
  <c r="BG264" i="6"/>
  <c r="BF264" i="6"/>
  <c r="BE264" i="6"/>
  <c r="N264" i="6"/>
  <c r="T286" i="6"/>
  <c r="BQ286" i="6"/>
  <c r="BU261" i="6"/>
  <c r="BT261" i="6"/>
  <c r="R285" i="6"/>
  <c r="BU257" i="6"/>
  <c r="BT257" i="6"/>
  <c r="R248" i="6"/>
  <c r="BL248" i="6"/>
  <c r="BT294" i="6"/>
  <c r="BU294" i="6"/>
  <c r="BG183" i="6"/>
  <c r="BN183" i="6" s="1"/>
  <c r="S183" i="6" s="1"/>
  <c r="BF183" i="6"/>
  <c r="N183" i="6"/>
  <c r="BE183" i="6"/>
  <c r="BR155" i="6"/>
  <c r="BQ155" i="6"/>
  <c r="BU230" i="6"/>
  <c r="BT230" i="6"/>
  <c r="BF173" i="6"/>
  <c r="R111" i="6"/>
  <c r="BL111" i="6"/>
  <c r="BM142" i="6"/>
  <c r="R142" i="6"/>
  <c r="BL142" i="6"/>
  <c r="BR169" i="6"/>
  <c r="BQ169" i="6"/>
  <c r="T169" i="6"/>
  <c r="BM48" i="6"/>
  <c r="R48" i="6"/>
  <c r="R73" i="6"/>
  <c r="BF33" i="6"/>
  <c r="BE33" i="6"/>
  <c r="N33" i="6"/>
  <c r="BG33" i="6"/>
  <c r="BG302" i="6"/>
  <c r="BF270" i="6"/>
  <c r="BM289" i="6"/>
  <c r="BL279" i="6"/>
  <c r="BM279" i="6"/>
  <c r="R279" i="6"/>
  <c r="BM295" i="6"/>
  <c r="N293" i="6"/>
  <c r="BU304" i="6"/>
  <c r="BT304" i="6"/>
  <c r="BR304" i="6"/>
  <c r="BE293" i="6"/>
  <c r="BL264" i="6"/>
  <c r="BM273" i="6"/>
  <c r="T269" i="6"/>
  <c r="BR269" i="6"/>
  <c r="BQ269" i="6"/>
  <c r="BU242" i="6"/>
  <c r="BT242" i="6"/>
  <c r="BU224" i="6"/>
  <c r="BT224" i="6"/>
  <c r="BR216" i="6"/>
  <c r="T216" i="6"/>
  <c r="BQ216" i="6"/>
  <c r="BQ255" i="6"/>
  <c r="T205" i="6"/>
  <c r="BG207" i="6"/>
  <c r="N207" i="6"/>
  <c r="BF207" i="6"/>
  <c r="BG294" i="6"/>
  <c r="BE294" i="6"/>
  <c r="BF294" i="6"/>
  <c r="BF219" i="6"/>
  <c r="N210" i="6"/>
  <c r="BQ191" i="6"/>
  <c r="BR191" i="6"/>
  <c r="R174" i="6"/>
  <c r="BM174" i="6"/>
  <c r="BL180" i="6"/>
  <c r="BN154" i="6"/>
  <c r="S154" i="6" s="1"/>
  <c r="BF208" i="6"/>
  <c r="BE208" i="6"/>
  <c r="N208" i="6"/>
  <c r="BF227" i="6"/>
  <c r="BF211" i="6"/>
  <c r="BR159" i="6"/>
  <c r="BL141" i="6"/>
  <c r="R141" i="6"/>
  <c r="BM141" i="6"/>
  <c r="BG123" i="6"/>
  <c r="BE123" i="6"/>
  <c r="N123" i="6"/>
  <c r="BF123" i="6"/>
  <c r="BN96" i="6"/>
  <c r="S96" i="6" s="1"/>
  <c r="BN300" i="6"/>
  <c r="S300" i="6" s="1"/>
  <c r="BE270" i="6"/>
  <c r="N299" i="6"/>
  <c r="BE307" i="6"/>
  <c r="BE278" i="6"/>
  <c r="BT293" i="6"/>
  <c r="BU293" i="6"/>
  <c r="BQ277" i="6"/>
  <c r="N268" i="6"/>
  <c r="BG268" i="6"/>
  <c r="BN240" i="6"/>
  <c r="S240" i="6" s="1"/>
  <c r="BI261" i="6"/>
  <c r="P261" i="6" s="1"/>
  <c r="BI226" i="6"/>
  <c r="P226" i="6" s="1"/>
  <c r="BL285" i="6"/>
  <c r="BG254" i="6"/>
  <c r="P203" i="6"/>
  <c r="T294" i="6"/>
  <c r="BR294" i="6"/>
  <c r="BQ294" i="6"/>
  <c r="BF189" i="6"/>
  <c r="N189" i="6"/>
  <c r="BG189" i="6"/>
  <c r="BU208" i="6"/>
  <c r="BT208" i="6"/>
  <c r="BG149" i="6"/>
  <c r="BF149" i="6"/>
  <c r="BL149" i="6"/>
  <c r="R149" i="6"/>
  <c r="BM149" i="6"/>
  <c r="R163" i="6"/>
  <c r="BM163" i="6"/>
  <c r="N111" i="6"/>
  <c r="BG111" i="6"/>
  <c r="BE111" i="6"/>
  <c r="BF111" i="6"/>
  <c r="N121" i="6"/>
  <c r="BI140" i="6"/>
  <c r="P140" i="6" s="1"/>
  <c r="BG117" i="6"/>
  <c r="BN117" i="6" s="1"/>
  <c r="S117" i="6" s="1"/>
  <c r="BF117" i="6"/>
  <c r="BE117" i="6"/>
  <c r="BG153" i="6"/>
  <c r="BF153" i="6"/>
  <c r="BE153" i="6"/>
  <c r="R56" i="6"/>
  <c r="BM56" i="6"/>
  <c r="BL56" i="6"/>
  <c r="T50" i="6"/>
  <c r="BQ50" i="6"/>
  <c r="BR50" i="6"/>
  <c r="BG104" i="6"/>
  <c r="BF104" i="6"/>
  <c r="BG74" i="6"/>
  <c r="N74" i="6"/>
  <c r="BF74" i="6"/>
  <c r="BE74" i="6"/>
  <c r="N62" i="6"/>
  <c r="BF51" i="6"/>
  <c r="BE51" i="6"/>
  <c r="N51" i="6"/>
  <c r="BG51" i="6"/>
  <c r="BT61" i="6"/>
  <c r="BU61" i="6"/>
  <c r="BL48" i="6"/>
  <c r="BF78" i="6"/>
  <c r="BG78" i="6"/>
  <c r="N78" i="6"/>
  <c r="BN41" i="6"/>
  <c r="S41" i="6" s="1"/>
  <c r="BG303" i="6"/>
  <c r="BE299" i="6"/>
  <c r="BG289" i="6"/>
  <c r="BF289" i="6"/>
  <c r="BE289" i="6"/>
  <c r="N289" i="6"/>
  <c r="BT299" i="6"/>
  <c r="BU299" i="6"/>
  <c r="BG290" i="6"/>
  <c r="BG304" i="6"/>
  <c r="BN304" i="6" s="1"/>
  <c r="BF245" i="6"/>
  <c r="N245" i="6"/>
  <c r="BG245" i="6"/>
  <c r="BE245" i="6"/>
  <c r="R264" i="6"/>
  <c r="BR266" i="6"/>
  <c r="T266" i="6"/>
  <c r="BQ266" i="6"/>
  <c r="BL277" i="6"/>
  <c r="BT268" i="6"/>
  <c r="BU268" i="6"/>
  <c r="BR286" i="6"/>
  <c r="BF277" i="6"/>
  <c r="BE277" i="6"/>
  <c r="BI240" i="6"/>
  <c r="P240" i="6" s="1"/>
  <c r="BU240" i="6"/>
  <c r="BT240" i="6"/>
  <c r="T256" i="6"/>
  <c r="BE254" i="6"/>
  <c r="BU246" i="6"/>
  <c r="BT246" i="6"/>
  <c r="BL244" i="6"/>
  <c r="BR182" i="6"/>
  <c r="BQ182" i="6"/>
  <c r="T182" i="6"/>
  <c r="BG233" i="6"/>
  <c r="BE233" i="6"/>
  <c r="BE229" i="6"/>
  <c r="BI154" i="6"/>
  <c r="P154" i="6" s="1"/>
  <c r="BG193" i="6"/>
  <c r="N193" i="6"/>
  <c r="BN196" i="6"/>
  <c r="S196" i="6" s="1"/>
  <c r="R161" i="6"/>
  <c r="BM161" i="6"/>
  <c r="BL161" i="6"/>
  <c r="BT82" i="6"/>
  <c r="BU82" i="6"/>
  <c r="BQ157" i="6"/>
  <c r="BL133" i="6"/>
  <c r="BM133" i="6"/>
  <c r="N153" i="6"/>
  <c r="BG34" i="6"/>
  <c r="BQ79" i="6"/>
  <c r="BR79" i="6"/>
  <c r="T79" i="6"/>
  <c r="BE70" i="6"/>
  <c r="BG70" i="6"/>
  <c r="BF70" i="6"/>
  <c r="N70" i="6"/>
  <c r="BE75" i="6"/>
  <c r="N75" i="6"/>
  <c r="BG75" i="6"/>
  <c r="BF75" i="6"/>
  <c r="BE305" i="6"/>
  <c r="BG305" i="6"/>
  <c r="BF305" i="6"/>
  <c r="BU305" i="6"/>
  <c r="BT305" i="6"/>
  <c r="BG301" i="6"/>
  <c r="N301" i="6"/>
  <c r="BF301" i="6"/>
  <c r="BN299" i="6"/>
  <c r="S299" i="6" s="1"/>
  <c r="T295" i="6"/>
  <c r="BQ295" i="6"/>
  <c r="R291" i="6"/>
  <c r="BL291" i="6"/>
  <c r="BI296" i="6"/>
  <c r="P296" i="6" s="1"/>
  <c r="BU264" i="6"/>
  <c r="BT264" i="6"/>
  <c r="BU266" i="6"/>
  <c r="BT266" i="6"/>
  <c r="BE257" i="6"/>
  <c r="BQ206" i="6"/>
  <c r="T206" i="6"/>
  <c r="BM215" i="6"/>
  <c r="N195" i="6"/>
  <c r="BN177" i="6"/>
  <c r="S177" i="6" s="1"/>
  <c r="BG174" i="6"/>
  <c r="BF174" i="6"/>
  <c r="N174" i="6"/>
  <c r="BE174" i="6"/>
  <c r="BF168" i="6"/>
  <c r="BE189" i="6"/>
  <c r="BE149" i="6"/>
  <c r="BR163" i="6"/>
  <c r="BQ163" i="6"/>
  <c r="T163" i="6"/>
  <c r="BE147" i="6"/>
  <c r="BG131" i="6"/>
  <c r="BF131" i="6"/>
  <c r="BE131" i="6"/>
  <c r="N131" i="6"/>
  <c r="BF214" i="6"/>
  <c r="N214" i="6"/>
  <c r="BG214" i="6"/>
  <c r="BE214" i="6"/>
  <c r="BU146" i="6"/>
  <c r="BT146" i="6"/>
  <c r="BM144" i="6"/>
  <c r="BL144" i="6"/>
  <c r="R144" i="6"/>
  <c r="BQ117" i="6"/>
  <c r="BI171" i="6"/>
  <c r="P171" i="6" s="1"/>
  <c r="BN98" i="6"/>
  <c r="S98" i="6" s="1"/>
  <c r="BI98" i="6"/>
  <c r="P98" i="6" s="1"/>
  <c r="BM38" i="6"/>
  <c r="BL38" i="6"/>
  <c r="R38" i="6"/>
  <c r="K9" i="6"/>
  <c r="M9" i="6"/>
  <c r="R225" i="6"/>
  <c r="BM225" i="6"/>
  <c r="BL225" i="6"/>
  <c r="BM197" i="6"/>
  <c r="BL197" i="6"/>
  <c r="BQ201" i="6"/>
  <c r="BR188" i="6"/>
  <c r="BQ188" i="6"/>
  <c r="T188" i="6"/>
  <c r="BU248" i="6"/>
  <c r="BT248" i="6"/>
  <c r="BI222" i="6"/>
  <c r="P222" i="6" s="1"/>
  <c r="BR207" i="6"/>
  <c r="BM233" i="6"/>
  <c r="BU195" i="6"/>
  <c r="BT195" i="6"/>
  <c r="BM208" i="6"/>
  <c r="BN150" i="6"/>
  <c r="S150" i="6" s="1"/>
  <c r="BN152" i="6"/>
  <c r="S152" i="6" s="1"/>
  <c r="N159" i="6"/>
  <c r="BG159" i="6"/>
  <c r="R131" i="6"/>
  <c r="T111" i="6"/>
  <c r="BQ111" i="6"/>
  <c r="BT92" i="6"/>
  <c r="BU92" i="6"/>
  <c r="BU144" i="6"/>
  <c r="BT144" i="6"/>
  <c r="BT136" i="6"/>
  <c r="BU136" i="6"/>
  <c r="BG85" i="6"/>
  <c r="N85" i="6"/>
  <c r="BU76" i="6"/>
  <c r="BT76" i="6"/>
  <c r="S130" i="6"/>
  <c r="BI38" i="6"/>
  <c r="P38" i="6" s="1"/>
  <c r="BN17" i="6"/>
  <c r="S17" i="6" s="1"/>
  <c r="BN122" i="6"/>
  <c r="S122" i="6" s="1"/>
  <c r="BF79" i="6"/>
  <c r="BG79" i="6"/>
  <c r="N79" i="6"/>
  <c r="BT79" i="6"/>
  <c r="BU79" i="6"/>
  <c r="BG42" i="6"/>
  <c r="BE42" i="6"/>
  <c r="N42" i="6"/>
  <c r="BR20" i="6"/>
  <c r="BQ20" i="6"/>
  <c r="R20" i="6"/>
  <c r="BL20" i="6"/>
  <c r="BF40" i="6"/>
  <c r="BG40" i="6"/>
  <c r="T151" i="6"/>
  <c r="BR151" i="6"/>
  <c r="BQ151" i="6"/>
  <c r="BR127" i="6"/>
  <c r="BQ127" i="6"/>
  <c r="BG125" i="6"/>
  <c r="BF125" i="6"/>
  <c r="BE125" i="6"/>
  <c r="N125" i="6"/>
  <c r="BM113" i="6"/>
  <c r="BL113" i="6"/>
  <c r="R113" i="6"/>
  <c r="BU103" i="6"/>
  <c r="BT103" i="6"/>
  <c r="BG26" i="6"/>
  <c r="BF26" i="6"/>
  <c r="N26" i="6"/>
  <c r="BE26" i="6"/>
  <c r="BU39" i="6"/>
  <c r="BT39" i="6"/>
  <c r="BI32" i="6"/>
  <c r="P32" i="6" s="1"/>
  <c r="BF54" i="6"/>
  <c r="BE54" i="6"/>
  <c r="N54" i="6"/>
  <c r="BG54" i="6"/>
  <c r="BT73" i="6"/>
  <c r="BU73" i="6"/>
  <c r="BU16" i="6"/>
  <c r="BT16" i="6"/>
  <c r="BF16" i="6"/>
  <c r="BG16" i="6"/>
  <c r="N16" i="6"/>
  <c r="BU289" i="6"/>
  <c r="BT289" i="6"/>
  <c r="BU296" i="6"/>
  <c r="BT296" i="6"/>
  <c r="BF271" i="6"/>
  <c r="BM282" i="6"/>
  <c r="BT286" i="6"/>
  <c r="BU286" i="6"/>
  <c r="BG238" i="6"/>
  <c r="BF238" i="6"/>
  <c r="BE238" i="6"/>
  <c r="N238" i="6"/>
  <c r="BR226" i="6"/>
  <c r="BQ226" i="6"/>
  <c r="BU275" i="6"/>
  <c r="BT275" i="6"/>
  <c r="BQ275" i="6"/>
  <c r="BQ217" i="6"/>
  <c r="BR194" i="6"/>
  <c r="BQ194" i="6"/>
  <c r="T194" i="6"/>
  <c r="BI178" i="6"/>
  <c r="P178" i="6" s="1"/>
  <c r="R197" i="6"/>
  <c r="P190" i="6"/>
  <c r="T229" i="6"/>
  <c r="BM294" i="6"/>
  <c r="BQ219" i="6"/>
  <c r="BU171" i="6"/>
  <c r="BT171" i="6"/>
  <c r="BR198" i="6"/>
  <c r="BU181" i="6"/>
  <c r="BT181" i="6"/>
  <c r="T147" i="6"/>
  <c r="BQ147" i="6"/>
  <c r="N134" i="6"/>
  <c r="BG134" i="6"/>
  <c r="BN134" i="6" s="1"/>
  <c r="BE134" i="6"/>
  <c r="BT183" i="6"/>
  <c r="BU183" i="6"/>
  <c r="T149" i="6"/>
  <c r="BM92" i="6"/>
  <c r="BL92" i="6"/>
  <c r="BF181" i="6"/>
  <c r="N92" i="6"/>
  <c r="BG92" i="6"/>
  <c r="BE92" i="6"/>
  <c r="BF92" i="6"/>
  <c r="BR214" i="6"/>
  <c r="BG146" i="6"/>
  <c r="T220" i="6"/>
  <c r="BF114" i="6"/>
  <c r="BE114" i="6"/>
  <c r="N114" i="6"/>
  <c r="BR105" i="6"/>
  <c r="BM72" i="6"/>
  <c r="BL72" i="6"/>
  <c r="BE157" i="6"/>
  <c r="R120" i="6"/>
  <c r="BU109" i="6"/>
  <c r="BT109" i="6"/>
  <c r="N66" i="6"/>
  <c r="BQ55" i="6"/>
  <c r="BR55" i="6"/>
  <c r="T55" i="6"/>
  <c r="R30" i="6"/>
  <c r="BM30" i="6"/>
  <c r="BL30" i="6"/>
  <c r="BF61" i="6"/>
  <c r="BL204" i="6"/>
  <c r="BG31" i="6"/>
  <c r="BE31" i="6"/>
  <c r="N31" i="6"/>
  <c r="BQ36" i="6"/>
  <c r="BU40" i="6"/>
  <c r="BT40" i="6"/>
  <c r="BQ88" i="6"/>
  <c r="T88" i="6"/>
  <c r="BR88" i="6"/>
  <c r="BE22" i="6"/>
  <c r="BE16" i="6"/>
  <c r="BR11" i="6"/>
  <c r="BM301" i="6"/>
  <c r="BG284" i="6"/>
  <c r="BN284" i="6" s="1"/>
  <c r="BF284" i="6"/>
  <c r="BE284" i="6"/>
  <c r="N251" i="6"/>
  <c r="BG251" i="6"/>
  <c r="BF251" i="6"/>
  <c r="P260" i="6"/>
  <c r="BM238" i="6"/>
  <c r="R232" i="6"/>
  <c r="BM232" i="6"/>
  <c r="BG285" i="6"/>
  <c r="BG217" i="6"/>
  <c r="BN217" i="6" s="1"/>
  <c r="S217" i="6" s="1"/>
  <c r="BF217" i="6"/>
  <c r="N217" i="6"/>
  <c r="T254" i="6"/>
  <c r="BU244" i="6"/>
  <c r="BT244" i="6"/>
  <c r="BG205" i="6"/>
  <c r="BF205" i="6"/>
  <c r="BE205" i="6"/>
  <c r="N205" i="6"/>
  <c r="T203" i="6"/>
  <c r="R233" i="6"/>
  <c r="BR174" i="6"/>
  <c r="BQ174" i="6"/>
  <c r="BI160" i="6"/>
  <c r="P160" i="6" s="1"/>
  <c r="BN160" i="6"/>
  <c r="S160" i="6" s="1"/>
  <c r="BU189" i="6"/>
  <c r="BT189" i="6"/>
  <c r="BL230" i="6"/>
  <c r="BU147" i="6"/>
  <c r="BT147" i="6"/>
  <c r="BU199" i="6"/>
  <c r="BT199" i="6"/>
  <c r="BT134" i="6"/>
  <c r="BU134" i="6"/>
  <c r="BG165" i="6"/>
  <c r="BE165" i="6"/>
  <c r="N165" i="6"/>
  <c r="BM143" i="6"/>
  <c r="BL143" i="6"/>
  <c r="BG129" i="6"/>
  <c r="N129" i="6"/>
  <c r="BE129" i="6"/>
  <c r="BF108" i="6"/>
  <c r="BG108" i="6"/>
  <c r="N108" i="6"/>
  <c r="BE108" i="6"/>
  <c r="BM107" i="6"/>
  <c r="BL107" i="6"/>
  <c r="R107" i="6"/>
  <c r="BR146" i="6"/>
  <c r="N138" i="6"/>
  <c r="BL127" i="6"/>
  <c r="BN202" i="6"/>
  <c r="S202" i="6" s="1"/>
  <c r="BT157" i="6"/>
  <c r="BU157" i="6"/>
  <c r="BU153" i="6"/>
  <c r="BT153" i="6"/>
  <c r="P87" i="6"/>
  <c r="BU46" i="6"/>
  <c r="BT46" i="6"/>
  <c r="N169" i="6"/>
  <c r="BF89" i="6"/>
  <c r="N89" i="6"/>
  <c r="T81" i="6"/>
  <c r="BR81" i="6"/>
  <c r="P15" i="6"/>
  <c r="BN90" i="6"/>
  <c r="S90" i="6" s="1"/>
  <c r="BT42" i="6"/>
  <c r="BU42" i="6"/>
  <c r="BN35" i="6"/>
  <c r="S35" i="6" s="1"/>
  <c r="BG57" i="6"/>
  <c r="BF57" i="6"/>
  <c r="N57" i="6"/>
  <c r="BM33" i="6"/>
  <c r="BL33" i="6"/>
  <c r="J3" i="3"/>
  <c r="I6" i="3"/>
  <c r="BU253" i="6"/>
  <c r="BT253" i="6"/>
  <c r="BI218" i="6"/>
  <c r="P218" i="6" s="1"/>
  <c r="BR215" i="6"/>
  <c r="BQ215" i="6"/>
  <c r="T202" i="6"/>
  <c r="BM185" i="6"/>
  <c r="BL185" i="6"/>
  <c r="BQ200" i="6"/>
  <c r="T200" i="6"/>
  <c r="BR200" i="6"/>
  <c r="T215" i="6"/>
  <c r="BU145" i="6"/>
  <c r="BT145" i="6"/>
  <c r="BU149" i="6"/>
  <c r="BT149" i="6"/>
  <c r="BU211" i="6"/>
  <c r="BT211" i="6"/>
  <c r="BM159" i="6"/>
  <c r="BE138" i="6"/>
  <c r="BL131" i="6"/>
  <c r="BU127" i="6"/>
  <c r="BT127" i="6"/>
  <c r="BR111" i="6"/>
  <c r="P56" i="6"/>
  <c r="N120" i="6"/>
  <c r="BG120" i="6"/>
  <c r="BN120" i="6" s="1"/>
  <c r="BU81" i="6"/>
  <c r="BT81" i="6"/>
  <c r="BM80" i="6"/>
  <c r="BL80" i="6"/>
  <c r="R80" i="6"/>
  <c r="N48" i="6"/>
  <c r="BE48" i="6"/>
  <c r="BG48" i="6"/>
  <c r="BF48" i="6"/>
  <c r="T48" i="6"/>
  <c r="BQ62" i="6"/>
  <c r="BR62" i="6"/>
  <c r="T62" i="6"/>
  <c r="N204" i="6"/>
  <c r="BG204" i="6"/>
  <c r="BF204" i="6"/>
  <c r="BU52" i="6"/>
  <c r="BT52" i="6"/>
  <c r="P179" i="6"/>
  <c r="BE20" i="6"/>
  <c r="N20" i="6"/>
  <c r="T36" i="6"/>
  <c r="BR75" i="6"/>
  <c r="BQ75" i="6"/>
  <c r="BR73" i="6"/>
  <c r="BQ73" i="6"/>
  <c r="BL119" i="6"/>
  <c r="T289" i="6"/>
  <c r="BR289" i="6"/>
  <c r="BQ289" i="6"/>
  <c r="BN272" i="6"/>
  <c r="S272" i="6" s="1"/>
  <c r="BU252" i="6"/>
  <c r="BT252" i="6"/>
  <c r="BF232" i="6"/>
  <c r="BE232" i="6"/>
  <c r="N232" i="6"/>
  <c r="R261" i="6"/>
  <c r="R226" i="6"/>
  <c r="BM226" i="6"/>
  <c r="BE285" i="6"/>
  <c r="P263" i="6"/>
  <c r="BG216" i="6"/>
  <c r="BF216" i="6"/>
  <c r="BE216" i="6"/>
  <c r="BT255" i="6"/>
  <c r="BU255" i="6"/>
  <c r="BI243" i="6"/>
  <c r="P243" i="6" s="1"/>
  <c r="R219" i="6"/>
  <c r="BL219" i="6"/>
  <c r="BR184" i="6"/>
  <c r="P202" i="6"/>
  <c r="R185" i="6"/>
  <c r="BQ210" i="6"/>
  <c r="T174" i="6"/>
  <c r="BN223" i="6"/>
  <c r="S223" i="6" s="1"/>
  <c r="BI150" i="6"/>
  <c r="P150" i="6" s="1"/>
  <c r="T161" i="6"/>
  <c r="BN190" i="6"/>
  <c r="S190" i="6" s="1"/>
  <c r="T140" i="6"/>
  <c r="BM101" i="6"/>
  <c r="R101" i="6"/>
  <c r="BL101" i="6"/>
  <c r="N91" i="6"/>
  <c r="BE91" i="6"/>
  <c r="BL173" i="6"/>
  <c r="BR220" i="6"/>
  <c r="T144" i="6"/>
  <c r="BU111" i="6"/>
  <c r="BT111" i="6"/>
  <c r="BF85" i="6"/>
  <c r="R102" i="6"/>
  <c r="BM102" i="6"/>
  <c r="BQ136" i="6"/>
  <c r="BU116" i="6"/>
  <c r="BT116" i="6"/>
  <c r="BI82" i="6"/>
  <c r="P82" i="6" s="1"/>
  <c r="BM15" i="6"/>
  <c r="BL15" i="6"/>
  <c r="T80" i="6"/>
  <c r="BR80" i="6"/>
  <c r="BE61" i="6"/>
  <c r="BT17" i="6"/>
  <c r="BU17" i="6"/>
  <c r="BU74" i="6"/>
  <c r="BT74" i="6"/>
  <c r="BR61" i="6"/>
  <c r="T61" i="6"/>
  <c r="W9" i="6"/>
  <c r="J9" i="6"/>
  <c r="D3" i="6" s="1"/>
  <c r="N63" i="6"/>
  <c r="BG63" i="6"/>
  <c r="BF63" i="6"/>
  <c r="BU37" i="6"/>
  <c r="BT37" i="6"/>
  <c r="T78" i="6"/>
  <c r="BQ78" i="6"/>
  <c r="BG20" i="6"/>
  <c r="R36" i="6"/>
  <c r="BL36" i="6"/>
  <c r="BM36" i="6"/>
  <c r="BM18" i="6"/>
  <c r="R18" i="6"/>
  <c r="T43" i="6"/>
  <c r="BR43" i="6"/>
  <c r="BQ43" i="6"/>
  <c r="BR119" i="6"/>
  <c r="T119" i="6"/>
  <c r="BL16" i="6"/>
  <c r="BH11" i="6"/>
  <c r="Q11" i="6"/>
  <c r="BI184" i="6"/>
  <c r="P184" i="6" s="1"/>
  <c r="BN184" i="6"/>
  <c r="S184" i="6" s="1"/>
  <c r="BL207" i="6"/>
  <c r="R207" i="6"/>
  <c r="BU193" i="6"/>
  <c r="BT193" i="6"/>
  <c r="BG132" i="6"/>
  <c r="BN132" i="6" s="1"/>
  <c r="N132" i="6"/>
  <c r="BF132" i="6"/>
  <c r="BR201" i="6"/>
  <c r="BM148" i="6"/>
  <c r="BL148" i="6"/>
  <c r="BU220" i="6"/>
  <c r="BT220" i="6"/>
  <c r="BF142" i="6"/>
  <c r="BE142" i="6"/>
  <c r="BU138" i="6"/>
  <c r="BT138" i="6"/>
  <c r="BM140" i="6"/>
  <c r="BT105" i="6"/>
  <c r="BU105" i="6"/>
  <c r="N98" i="6"/>
  <c r="BE98" i="6"/>
  <c r="BU169" i="6"/>
  <c r="BT169" i="6"/>
  <c r="BT89" i="6"/>
  <c r="BU89" i="6"/>
  <c r="R13" i="6"/>
  <c r="BM13" i="6"/>
  <c r="BL13" i="6"/>
  <c r="BL50" i="6"/>
  <c r="R50" i="6"/>
  <c r="BM50" i="6"/>
  <c r="BU29" i="6"/>
  <c r="BT29" i="6"/>
  <c r="BM104" i="6"/>
  <c r="BL104" i="6"/>
  <c r="BU60" i="6"/>
  <c r="BT60" i="6"/>
  <c r="BM86" i="6"/>
  <c r="BL86" i="6"/>
  <c r="T94" i="6"/>
  <c r="BR94" i="6"/>
  <c r="BQ94" i="6"/>
  <c r="BN53" i="6"/>
  <c r="S53" i="6" s="1"/>
  <c r="BU282" i="6"/>
  <c r="BT282" i="6"/>
  <c r="BF253" i="6"/>
  <c r="BG253" i="6"/>
  <c r="N209" i="6"/>
  <c r="BG209" i="6"/>
  <c r="BM191" i="6"/>
  <c r="BL191" i="6"/>
  <c r="T170" i="6"/>
  <c r="BR170" i="6"/>
  <c r="BQ170" i="6"/>
  <c r="T207" i="6"/>
  <c r="BR193" i="6"/>
  <c r="BQ193" i="6"/>
  <c r="BM137" i="6"/>
  <c r="R137" i="6"/>
  <c r="BL137" i="6"/>
  <c r="BG145" i="6"/>
  <c r="BF145" i="6"/>
  <c r="BE145" i="6"/>
  <c r="N161" i="6"/>
  <c r="BG110" i="6"/>
  <c r="BE110" i="6"/>
  <c r="BM100" i="6"/>
  <c r="BL100" i="6"/>
  <c r="BR112" i="6"/>
  <c r="BQ112" i="6"/>
  <c r="BR107" i="6"/>
  <c r="BQ107" i="6"/>
  <c r="T107" i="6"/>
  <c r="BF96" i="6"/>
  <c r="N96" i="6"/>
  <c r="BE96" i="6"/>
  <c r="BG142" i="6"/>
  <c r="BN67" i="6"/>
  <c r="S67" i="6" s="1"/>
  <c r="R68" i="6"/>
  <c r="BM68" i="6"/>
  <c r="N99" i="6"/>
  <c r="BF99" i="6"/>
  <c r="BG99" i="6"/>
  <c r="BU64" i="6"/>
  <c r="BT64" i="6"/>
  <c r="BE85" i="6"/>
  <c r="BG13" i="6"/>
  <c r="BF13" i="6"/>
  <c r="BE13" i="6"/>
  <c r="N13" i="6"/>
  <c r="R28" i="6"/>
  <c r="BM28" i="6"/>
  <c r="BL28" i="6"/>
  <c r="P17" i="6"/>
  <c r="T17" i="6"/>
  <c r="BQ17" i="6"/>
  <c r="BG86" i="6"/>
  <c r="BF86" i="6"/>
  <c r="N86" i="6"/>
  <c r="BQ49" i="6"/>
  <c r="BM20" i="6"/>
  <c r="N40" i="6"/>
  <c r="BI43" i="6"/>
  <c r="P43" i="6" s="1"/>
  <c r="S29" i="6"/>
  <c r="BI29" i="6"/>
  <c r="P29" i="6" s="1"/>
  <c r="N269" i="6"/>
  <c r="BG269" i="6"/>
  <c r="BE239" i="6"/>
  <c r="N239" i="6"/>
  <c r="N226" i="6"/>
  <c r="BF226" i="6"/>
  <c r="BE226" i="6"/>
  <c r="BG221" i="6"/>
  <c r="BN221" i="6" s="1"/>
  <c r="BF221" i="6"/>
  <c r="BE221" i="6"/>
  <c r="N221" i="6"/>
  <c r="BG225" i="6"/>
  <c r="N225" i="6"/>
  <c r="BE225" i="6"/>
  <c r="BT233" i="6"/>
  <c r="BU233" i="6"/>
  <c r="BN171" i="6"/>
  <c r="S171" i="6" s="1"/>
  <c r="BF162" i="6"/>
  <c r="BM207" i="6"/>
  <c r="BM179" i="6"/>
  <c r="BL179" i="6"/>
  <c r="BT227" i="6"/>
  <c r="BU227" i="6"/>
  <c r="N150" i="6"/>
  <c r="BE150" i="6"/>
  <c r="N145" i="6"/>
  <c r="BG126" i="6"/>
  <c r="N126" i="6"/>
  <c r="P122" i="6"/>
  <c r="BT192" i="6"/>
  <c r="BU192" i="6"/>
  <c r="BU165" i="6"/>
  <c r="BT165" i="6"/>
  <c r="BM127" i="6"/>
  <c r="BU107" i="6"/>
  <c r="BT107" i="6"/>
  <c r="BU175" i="6"/>
  <c r="BT175" i="6"/>
  <c r="BI114" i="6"/>
  <c r="P114" i="6" s="1"/>
  <c r="BF67" i="6"/>
  <c r="BE67" i="6"/>
  <c r="N67" i="6"/>
  <c r="BN87" i="6"/>
  <c r="S87" i="6" s="1"/>
  <c r="BE169" i="6"/>
  <c r="BG89" i="6"/>
  <c r="BT186" i="6"/>
  <c r="BU186" i="6"/>
  <c r="BQ85" i="6"/>
  <c r="N37" i="6"/>
  <c r="BE37" i="6"/>
  <c r="BG37" i="6"/>
  <c r="BF37" i="6"/>
  <c r="BQ74" i="6"/>
  <c r="BE79" i="6"/>
  <c r="BG66" i="6"/>
  <c r="BN66" i="6" s="1"/>
  <c r="BE17" i="6"/>
  <c r="BF17" i="6"/>
  <c r="P3" i="6"/>
  <c r="T45" i="6"/>
  <c r="BQ45" i="6"/>
  <c r="BR45" i="6"/>
  <c r="BS11" i="6"/>
  <c r="U11" i="6" s="1"/>
  <c r="BG113" i="6"/>
  <c r="BF113" i="6"/>
  <c r="BE113" i="6"/>
  <c r="N113" i="6"/>
  <c r="BU214" i="6"/>
  <c r="BT214" i="6"/>
  <c r="BT100" i="6"/>
  <c r="BU100" i="6"/>
  <c r="BT142" i="6"/>
  <c r="BU142" i="6"/>
  <c r="BT112" i="6"/>
  <c r="BU112" i="6"/>
  <c r="BU187" i="6"/>
  <c r="BT187" i="6"/>
  <c r="BF87" i="6"/>
  <c r="BE87" i="6"/>
  <c r="N87" i="6"/>
  <c r="BU99" i="6"/>
  <c r="BT99" i="6"/>
  <c r="BN77" i="6"/>
  <c r="S77" i="6" s="1"/>
  <c r="BU48" i="6"/>
  <c r="BT48" i="6"/>
  <c r="BM63" i="6"/>
  <c r="BN60" i="6"/>
  <c r="S60" i="6" s="1"/>
  <c r="BR18" i="6"/>
  <c r="BQ18" i="6"/>
  <c r="BL11" i="6"/>
  <c r="R11" i="6" s="1"/>
  <c r="BI166" i="6"/>
  <c r="P166" i="6" s="1"/>
  <c r="BT106" i="6"/>
  <c r="BU106" i="6"/>
  <c r="BL106" i="6"/>
  <c r="R106" i="6"/>
  <c r="BT120" i="6"/>
  <c r="BU120" i="6"/>
  <c r="BE39" i="6"/>
  <c r="N39" i="6"/>
  <c r="BM10" i="6"/>
  <c r="BL10" i="6"/>
  <c r="R10" i="6" s="1"/>
  <c r="BM32" i="6"/>
  <c r="BL32" i="6"/>
  <c r="BM21" i="6"/>
  <c r="BL21" i="6"/>
  <c r="R21" i="6"/>
  <c r="BG12" i="6"/>
  <c r="BF12" i="6"/>
  <c r="BT118" i="6"/>
  <c r="BU118" i="6"/>
  <c r="BT70" i="6"/>
  <c r="BU70" i="6"/>
  <c r="BU45" i="6"/>
  <c r="BT45" i="6"/>
  <c r="BT57" i="6"/>
  <c r="BU57" i="6"/>
  <c r="T33" i="6"/>
  <c r="BR33" i="6"/>
  <c r="BF88" i="6"/>
  <c r="BM22" i="6"/>
  <c r="BG14" i="6"/>
  <c r="M11" i="6"/>
  <c r="BT58" i="6"/>
  <c r="BU58" i="6"/>
  <c r="M10" i="6"/>
  <c r="K10" i="6"/>
  <c r="BU33" i="6"/>
  <c r="BT33" i="6"/>
  <c r="T22" i="6"/>
  <c r="BL22" i="6"/>
  <c r="BU119" i="6"/>
  <c r="BT119" i="6"/>
  <c r="BT14" i="6"/>
  <c r="BU14" i="6"/>
  <c r="BT94" i="6"/>
  <c r="BU94" i="6"/>
  <c r="P107" i="6"/>
  <c r="BQ70" i="6"/>
  <c r="BR31" i="6"/>
  <c r="R54" i="6"/>
  <c r="BT88" i="6"/>
  <c r="BU88" i="6"/>
  <c r="BU22" i="6"/>
  <c r="BT22" i="6"/>
  <c r="P50" i="6"/>
  <c r="W11" i="6"/>
  <c r="BT102" i="6"/>
  <c r="BU102" i="6"/>
  <c r="BU72" i="6"/>
  <c r="BT72" i="6"/>
  <c r="BT69" i="6"/>
  <c r="BU69" i="6"/>
  <c r="BM61" i="6"/>
  <c r="R61" i="6"/>
  <c r="BL61" i="6"/>
  <c r="BF55" i="6"/>
  <c r="N55" i="6"/>
  <c r="BE55" i="6"/>
  <c r="BT15" i="6"/>
  <c r="BU15" i="6"/>
  <c r="BI60" i="6"/>
  <c r="P60" i="6" s="1"/>
  <c r="BG28" i="6"/>
  <c r="BF28" i="6"/>
  <c r="N28" i="6"/>
  <c r="BU31" i="6"/>
  <c r="BT31" i="6"/>
  <c r="BQ15" i="6"/>
  <c r="BI77" i="6"/>
  <c r="P77" i="6" s="1"/>
  <c r="BI46" i="6"/>
  <c r="P46" i="6" s="1"/>
  <c r="BN93" i="6"/>
  <c r="S93" i="6" s="1"/>
  <c r="BM49" i="6"/>
  <c r="BL49" i="6"/>
  <c r="R49" i="6"/>
  <c r="P80" i="6" l="1"/>
  <c r="BN138" i="6"/>
  <c r="S138" i="6" s="1"/>
  <c r="S105" i="6"/>
  <c r="BN52" i="6"/>
  <c r="S52" i="6" s="1"/>
  <c r="BI130" i="6"/>
  <c r="P130" i="6" s="1"/>
  <c r="T11" i="6"/>
  <c r="BN237" i="6"/>
  <c r="S237" i="6" s="1"/>
  <c r="BN260" i="6"/>
  <c r="S260" i="6" s="1"/>
  <c r="BN88" i="6"/>
  <c r="S88" i="6" s="1"/>
  <c r="BI259" i="6"/>
  <c r="P259" i="6" s="1"/>
  <c r="S259" i="6"/>
  <c r="BN229" i="6"/>
  <c r="S229" i="6" s="1"/>
  <c r="BN70" i="6"/>
  <c r="S70" i="6" s="1"/>
  <c r="BI106" i="6"/>
  <c r="P106" i="6" s="1"/>
  <c r="BI71" i="6"/>
  <c r="P71" i="6" s="1"/>
  <c r="P265" i="6"/>
  <c r="BN181" i="6"/>
  <c r="S181" i="6" s="1"/>
  <c r="BN255" i="6"/>
  <c r="S255" i="6" s="1"/>
  <c r="BN173" i="6"/>
  <c r="S173" i="6" s="1"/>
  <c r="BI239" i="6"/>
  <c r="P239" i="6" s="1"/>
  <c r="BI267" i="6"/>
  <c r="P267" i="6" s="1"/>
  <c r="BN306" i="6"/>
  <c r="S306" i="6" s="1"/>
  <c r="BN97" i="6"/>
  <c r="S97" i="6" s="1"/>
  <c r="BI97" i="6"/>
  <c r="P97" i="6" s="1"/>
  <c r="BN307" i="6"/>
  <c r="S307" i="6" s="1"/>
  <c r="BN91" i="6"/>
  <c r="S91" i="6" s="1"/>
  <c r="BN69" i="6"/>
  <c r="S69" i="6" s="1"/>
  <c r="BI83" i="6"/>
  <c r="P83" i="6" s="1"/>
  <c r="BN211" i="6"/>
  <c r="S211" i="6" s="1"/>
  <c r="BI229" i="6"/>
  <c r="P229" i="6" s="1"/>
  <c r="BN265" i="6"/>
  <c r="S265" i="6" s="1"/>
  <c r="BN256" i="6"/>
  <c r="S256" i="6" s="1"/>
  <c r="G5" i="6"/>
  <c r="BN37" i="6"/>
  <c r="S37" i="6" s="1"/>
  <c r="BN103" i="6"/>
  <c r="S103" i="6" s="1"/>
  <c r="BI105" i="6"/>
  <c r="P105" i="6" s="1"/>
  <c r="BI94" i="6"/>
  <c r="P94" i="6" s="1"/>
  <c r="P215" i="6"/>
  <c r="BI256" i="6"/>
  <c r="P256" i="6" s="1"/>
  <c r="S218" i="6"/>
  <c r="BN176" i="6"/>
  <c r="S176" i="6" s="1"/>
  <c r="P280" i="6"/>
  <c r="BI248" i="6"/>
  <c r="P248" i="6" s="1"/>
  <c r="P176" i="6"/>
  <c r="BN274" i="6"/>
  <c r="S274" i="6" s="1"/>
  <c r="BN118" i="6"/>
  <c r="S118" i="6" s="1"/>
  <c r="BI177" i="6"/>
  <c r="P177" i="6" s="1"/>
  <c r="BN213" i="6"/>
  <c r="S213" i="6" s="1"/>
  <c r="BN175" i="6"/>
  <c r="S175" i="6" s="1"/>
  <c r="BN200" i="6"/>
  <c r="S200" i="6" s="1"/>
  <c r="BI200" i="6"/>
  <c r="P200" i="6" s="1"/>
  <c r="BN249" i="6"/>
  <c r="S249" i="6" s="1"/>
  <c r="BN212" i="6"/>
  <c r="S212" i="6" s="1"/>
  <c r="BI249" i="6"/>
  <c r="P249" i="6" s="1"/>
  <c r="BI88" i="6"/>
  <c r="P88" i="6" s="1"/>
  <c r="BN247" i="6"/>
  <c r="S247" i="6" s="1"/>
  <c r="BN153" i="6"/>
  <c r="S153" i="6" s="1"/>
  <c r="BN158" i="6"/>
  <c r="S158" i="6" s="1"/>
  <c r="BN124" i="6"/>
  <c r="S124" i="6" s="1"/>
  <c r="BN40" i="6"/>
  <c r="S40" i="6" s="1"/>
  <c r="BN308" i="6"/>
  <c r="S308" i="6" s="1"/>
  <c r="BI76" i="6"/>
  <c r="P76" i="6" s="1"/>
  <c r="BN198" i="6"/>
  <c r="S198" i="6" s="1"/>
  <c r="P103" i="6"/>
  <c r="BN76" i="6"/>
  <c r="S76" i="6" s="1"/>
  <c r="BN162" i="6"/>
  <c r="S162" i="6" s="1"/>
  <c r="P143" i="6"/>
  <c r="BN151" i="6"/>
  <c r="S151" i="6" s="1"/>
  <c r="BN214" i="6"/>
  <c r="S214" i="6" s="1"/>
  <c r="P64" i="6"/>
  <c r="S243" i="6"/>
  <c r="BN128" i="6"/>
  <c r="S128" i="6" s="1"/>
  <c r="BI234" i="6"/>
  <c r="P234" i="6" s="1"/>
  <c r="BI271" i="6"/>
  <c r="P271" i="6" s="1"/>
  <c r="BN234" i="6"/>
  <c r="S234" i="6" s="1"/>
  <c r="BN169" i="6"/>
  <c r="S169" i="6" s="1"/>
  <c r="P109" i="6"/>
  <c r="BN54" i="6"/>
  <c r="S54" i="6" s="1"/>
  <c r="BN64" i="6"/>
  <c r="S64" i="6" s="1"/>
  <c r="P277" i="6"/>
  <c r="P61" i="6"/>
  <c r="BN257" i="6"/>
  <c r="S257" i="6" s="1"/>
  <c r="P212" i="6"/>
  <c r="J5" i="6"/>
  <c r="BN109" i="6"/>
  <c r="S109" i="6" s="1"/>
  <c r="BI139" i="6"/>
  <c r="P139" i="6" s="1"/>
  <c r="BI206" i="6"/>
  <c r="P206" i="6" s="1"/>
  <c r="BN206" i="6"/>
  <c r="S206" i="6" s="1"/>
  <c r="BI241" i="6"/>
  <c r="P241" i="6" s="1"/>
  <c r="BN241" i="6"/>
  <c r="S241" i="6" s="1"/>
  <c r="BI188" i="6"/>
  <c r="P188" i="6" s="1"/>
  <c r="BN188" i="6"/>
  <c r="S188" i="6" s="1"/>
  <c r="BN45" i="6"/>
  <c r="S45" i="6" s="1"/>
  <c r="BI45" i="6"/>
  <c r="P45" i="6" s="1"/>
  <c r="BI167" i="6"/>
  <c r="P167" i="6" s="1"/>
  <c r="BI22" i="6"/>
  <c r="P22" i="6" s="1"/>
  <c r="BI47" i="6"/>
  <c r="P47" i="6" s="1"/>
  <c r="BN47" i="6"/>
  <c r="S47" i="6" s="1"/>
  <c r="BI65" i="6"/>
  <c r="P65" i="6" s="1"/>
  <c r="BI59" i="6"/>
  <c r="P59" i="6" s="1"/>
  <c r="BN59" i="6"/>
  <c r="S59" i="6" s="1"/>
  <c r="S219" i="6"/>
  <c r="BI191" i="6"/>
  <c r="P191" i="6" s="1"/>
  <c r="BN136" i="6"/>
  <c r="S136" i="6" s="1"/>
  <c r="BN139" i="6"/>
  <c r="S139" i="6" s="1"/>
  <c r="BN280" i="6"/>
  <c r="S280" i="6" s="1"/>
  <c r="BI194" i="6"/>
  <c r="P194" i="6" s="1"/>
  <c r="BN194" i="6"/>
  <c r="S194" i="6" s="1"/>
  <c r="BI283" i="6"/>
  <c r="P283" i="6" s="1"/>
  <c r="BI258" i="6"/>
  <c r="P258" i="6" s="1"/>
  <c r="BN258" i="6"/>
  <c r="S258" i="6" s="1"/>
  <c r="BI135" i="6"/>
  <c r="P135" i="6" s="1"/>
  <c r="BI39" i="6"/>
  <c r="P39" i="6" s="1"/>
  <c r="BI128" i="6"/>
  <c r="P128" i="6" s="1"/>
  <c r="BI228" i="6"/>
  <c r="P228" i="6" s="1"/>
  <c r="BN182" i="6"/>
  <c r="S182" i="6" s="1"/>
  <c r="BI182" i="6"/>
  <c r="P182" i="6" s="1"/>
  <c r="BI127" i="6"/>
  <c r="P127" i="6" s="1"/>
  <c r="BI119" i="6"/>
  <c r="P119" i="6" s="1"/>
  <c r="BN119" i="6"/>
  <c r="S119" i="6" s="1"/>
  <c r="S291" i="6"/>
  <c r="BI164" i="6"/>
  <c r="P164" i="6" s="1"/>
  <c r="BI48" i="6"/>
  <c r="P48" i="6" s="1"/>
  <c r="BN143" i="6"/>
  <c r="S143" i="6" s="1"/>
  <c r="BI305" i="6"/>
  <c r="P305" i="6" s="1"/>
  <c r="BI123" i="6"/>
  <c r="P123" i="6" s="1"/>
  <c r="BI294" i="6"/>
  <c r="P294" i="6" s="1"/>
  <c r="BN295" i="6"/>
  <c r="S295" i="6" s="1"/>
  <c r="BN142" i="6"/>
  <c r="S142" i="6" s="1"/>
  <c r="BI264" i="6"/>
  <c r="P264" i="6" s="1"/>
  <c r="BI163" i="6"/>
  <c r="P163" i="6" s="1"/>
  <c r="BI242" i="6"/>
  <c r="P242" i="6" s="1"/>
  <c r="BI201" i="6"/>
  <c r="P201" i="6" s="1"/>
  <c r="BI250" i="6"/>
  <c r="P250" i="6" s="1"/>
  <c r="BI149" i="6"/>
  <c r="P149" i="6" s="1"/>
  <c r="BI115" i="6"/>
  <c r="P115" i="6" s="1"/>
  <c r="BN167" i="6"/>
  <c r="S167" i="6" s="1"/>
  <c r="BN58" i="6"/>
  <c r="S58" i="6" s="1"/>
  <c r="BI58" i="6"/>
  <c r="P58" i="6" s="1"/>
  <c r="BN187" i="6"/>
  <c r="S187" i="6" s="1"/>
  <c r="BI273" i="6"/>
  <c r="P273" i="6" s="1"/>
  <c r="BN123" i="6"/>
  <c r="S123" i="6" s="1"/>
  <c r="BI269" i="6"/>
  <c r="P269" i="6" s="1"/>
  <c r="S66" i="6"/>
  <c r="BI142" i="6"/>
  <c r="P142" i="6" s="1"/>
  <c r="BN110" i="6"/>
  <c r="S110" i="6" s="1"/>
  <c r="BI110" i="6"/>
  <c r="P110" i="6" s="1"/>
  <c r="BI253" i="6"/>
  <c r="P253" i="6" s="1"/>
  <c r="BN253" i="6"/>
  <c r="S253" i="6" s="1"/>
  <c r="BN33" i="6"/>
  <c r="S33" i="6" s="1"/>
  <c r="BI205" i="6"/>
  <c r="P205" i="6" s="1"/>
  <c r="BN238" i="6"/>
  <c r="S238" i="6" s="1"/>
  <c r="BN92" i="6"/>
  <c r="S92" i="6" s="1"/>
  <c r="BI238" i="6"/>
  <c r="P238" i="6" s="1"/>
  <c r="BI51" i="6"/>
  <c r="P51" i="6" s="1"/>
  <c r="BN51" i="6"/>
  <c r="S51" i="6" s="1"/>
  <c r="BN279" i="6"/>
  <c r="S279" i="6" s="1"/>
  <c r="BI183" i="6"/>
  <c r="P183" i="6" s="1"/>
  <c r="BI288" i="6"/>
  <c r="P288" i="6" s="1"/>
  <c r="BN288" i="6"/>
  <c r="S288" i="6" s="1"/>
  <c r="BI36" i="6"/>
  <c r="P36" i="6" s="1"/>
  <c r="BI287" i="6"/>
  <c r="P287" i="6" s="1"/>
  <c r="BN287" i="6"/>
  <c r="S287" i="6" s="1"/>
  <c r="BI180" i="6"/>
  <c r="P180" i="6" s="1"/>
  <c r="BI18" i="6"/>
  <c r="P18" i="6" s="1"/>
  <c r="BI199" i="6"/>
  <c r="P199" i="6" s="1"/>
  <c r="BI211" i="6"/>
  <c r="P211" i="6" s="1"/>
  <c r="BI278" i="6"/>
  <c r="P278" i="6" s="1"/>
  <c r="BN278" i="6"/>
  <c r="S278" i="6" s="1"/>
  <c r="BN61" i="6"/>
  <c r="S61" i="6" s="1"/>
  <c r="BN32" i="6"/>
  <c r="S32" i="6" s="1"/>
  <c r="BI113" i="6"/>
  <c r="P113" i="6" s="1"/>
  <c r="BN127" i="6"/>
  <c r="S127" i="6" s="1"/>
  <c r="BI225" i="6"/>
  <c r="P225" i="6" s="1"/>
  <c r="BN86" i="6"/>
  <c r="S86" i="6" s="1"/>
  <c r="BN140" i="6"/>
  <c r="S140" i="6" s="1"/>
  <c r="BI132" i="6"/>
  <c r="P132" i="6" s="1"/>
  <c r="BN107" i="6"/>
  <c r="S107" i="6" s="1"/>
  <c r="BI165" i="6"/>
  <c r="P165" i="6" s="1"/>
  <c r="BN12" i="6"/>
  <c r="S12" i="6" s="1"/>
  <c r="BI75" i="6"/>
  <c r="P75" i="6" s="1"/>
  <c r="BI193" i="6"/>
  <c r="P193" i="6" s="1"/>
  <c r="BI289" i="6"/>
  <c r="P289" i="6" s="1"/>
  <c r="BI207" i="6"/>
  <c r="P207" i="6" s="1"/>
  <c r="BN48" i="6"/>
  <c r="S48" i="6" s="1"/>
  <c r="BI220" i="6"/>
  <c r="P220" i="6" s="1"/>
  <c r="BI230" i="6"/>
  <c r="P230" i="6" s="1"/>
  <c r="BN27" i="6"/>
  <c r="S27" i="6" s="1"/>
  <c r="BN244" i="6"/>
  <c r="S244" i="6" s="1"/>
  <c r="BI210" i="6"/>
  <c r="P210" i="6" s="1"/>
  <c r="BN210" i="6"/>
  <c r="S210" i="6" s="1"/>
  <c r="BI144" i="6"/>
  <c r="P144" i="6" s="1"/>
  <c r="BN63" i="6"/>
  <c r="S63" i="6" s="1"/>
  <c r="BN21" i="6"/>
  <c r="S21" i="6" s="1"/>
  <c r="BN141" i="6"/>
  <c r="S141" i="6" s="1"/>
  <c r="BI112" i="6"/>
  <c r="P112" i="6" s="1"/>
  <c r="BN112" i="6"/>
  <c r="S112" i="6" s="1"/>
  <c r="BN49" i="6"/>
  <c r="S49" i="6" s="1"/>
  <c r="BN13" i="6"/>
  <c r="S13" i="6" s="1"/>
  <c r="BI42" i="6"/>
  <c r="P42" i="6" s="1"/>
  <c r="S3" i="6"/>
  <c r="BI131" i="6"/>
  <c r="P131" i="6" s="1"/>
  <c r="BN133" i="6"/>
  <c r="S133" i="6" s="1"/>
  <c r="BI245" i="6"/>
  <c r="P245" i="6" s="1"/>
  <c r="BN245" i="6"/>
  <c r="S245" i="6" s="1"/>
  <c r="BI111" i="6"/>
  <c r="P111" i="6" s="1"/>
  <c r="BI189" i="6"/>
  <c r="P189" i="6" s="1"/>
  <c r="BN189" i="6"/>
  <c r="S189" i="6" s="1"/>
  <c r="BI254" i="6"/>
  <c r="P254" i="6" s="1"/>
  <c r="BN254" i="6"/>
  <c r="S254" i="6" s="1"/>
  <c r="BN174" i="6"/>
  <c r="S174" i="6" s="1"/>
  <c r="BN273" i="6"/>
  <c r="S273" i="6" s="1"/>
  <c r="BN289" i="6"/>
  <c r="S289" i="6" s="1"/>
  <c r="BN89" i="6"/>
  <c r="S89" i="6" s="1"/>
  <c r="BI173" i="6"/>
  <c r="P173" i="6" s="1"/>
  <c r="BN269" i="6"/>
  <c r="S269" i="6" s="1"/>
  <c r="BI187" i="6"/>
  <c r="P187" i="6" s="1"/>
  <c r="BN283" i="6"/>
  <c r="S283" i="6" s="1"/>
  <c r="BI147" i="6"/>
  <c r="P147" i="6" s="1"/>
  <c r="BN147" i="6"/>
  <c r="S147" i="6" s="1"/>
  <c r="BI116" i="6"/>
  <c r="P116" i="6" s="1"/>
  <c r="S116" i="6"/>
  <c r="BI231" i="6"/>
  <c r="P231" i="6" s="1"/>
  <c r="BN231" i="6"/>
  <c r="S231" i="6" s="1"/>
  <c r="BI297" i="6"/>
  <c r="P297" i="6" s="1"/>
  <c r="BI16" i="6"/>
  <c r="P16" i="6" s="1"/>
  <c r="BN199" i="6"/>
  <c r="S199" i="6" s="1"/>
  <c r="BI28" i="6"/>
  <c r="P28" i="6" s="1"/>
  <c r="BI37" i="6"/>
  <c r="P37" i="6" s="1"/>
  <c r="BN20" i="6"/>
  <c r="S20" i="6" s="1"/>
  <c r="BI63" i="6"/>
  <c r="P63" i="6" s="1"/>
  <c r="BN102" i="6"/>
  <c r="S102" i="6" s="1"/>
  <c r="BI204" i="6"/>
  <c r="P204" i="6" s="1"/>
  <c r="BN80" i="6"/>
  <c r="S80" i="6" s="1"/>
  <c r="BN57" i="6"/>
  <c r="S57" i="6" s="1"/>
  <c r="BI57" i="6"/>
  <c r="P57" i="6" s="1"/>
  <c r="BN282" i="6"/>
  <c r="S282" i="6" s="1"/>
  <c r="BN113" i="6"/>
  <c r="S113" i="6" s="1"/>
  <c r="BN208" i="6"/>
  <c r="S208" i="6" s="1"/>
  <c r="M3" i="6"/>
  <c r="BI174" i="6"/>
  <c r="P174" i="6" s="1"/>
  <c r="BN285" i="6"/>
  <c r="S285" i="6" s="1"/>
  <c r="BI303" i="6"/>
  <c r="P303" i="6" s="1"/>
  <c r="BI117" i="6"/>
  <c r="P117" i="6" s="1"/>
  <c r="BN277" i="6"/>
  <c r="S277" i="6" s="1"/>
  <c r="BN131" i="6"/>
  <c r="S131" i="6" s="1"/>
  <c r="BI276" i="6"/>
  <c r="P276" i="6" s="1"/>
  <c r="BN276" i="6"/>
  <c r="S276" i="6" s="1"/>
  <c r="BN242" i="6"/>
  <c r="S242" i="6" s="1"/>
  <c r="BN236" i="6"/>
  <c r="S236" i="6" s="1"/>
  <c r="BI293" i="6"/>
  <c r="P293" i="6" s="1"/>
  <c r="BN293" i="6"/>
  <c r="S293" i="6" s="1"/>
  <c r="BN74" i="6"/>
  <c r="S74" i="6" s="1"/>
  <c r="BI31" i="6"/>
  <c r="P31" i="6" s="1"/>
  <c r="BN31" i="6"/>
  <c r="S31" i="6" s="1"/>
  <c r="BN28" i="6"/>
  <c r="S28" i="6" s="1"/>
  <c r="S132" i="6"/>
  <c r="BI216" i="6"/>
  <c r="P216" i="6" s="1"/>
  <c r="BN216" i="6"/>
  <c r="S216" i="6" s="1"/>
  <c r="BN115" i="6"/>
  <c r="S115" i="6" s="1"/>
  <c r="BN108" i="6"/>
  <c r="S108" i="6" s="1"/>
  <c r="BI108" i="6"/>
  <c r="P108" i="6" s="1"/>
  <c r="BI251" i="6"/>
  <c r="P251" i="6" s="1"/>
  <c r="BN251" i="6"/>
  <c r="S251" i="6" s="1"/>
  <c r="BI146" i="6"/>
  <c r="P146" i="6" s="1"/>
  <c r="BN294" i="6"/>
  <c r="S294" i="6" s="1"/>
  <c r="BI40" i="6"/>
  <c r="P40" i="6" s="1"/>
  <c r="BN144" i="6"/>
  <c r="S144" i="6" s="1"/>
  <c r="BN163" i="6"/>
  <c r="S163" i="6" s="1"/>
  <c r="BI302" i="6"/>
  <c r="P302" i="6" s="1"/>
  <c r="BN82" i="6"/>
  <c r="S82" i="6" s="1"/>
  <c r="BN302" i="6"/>
  <c r="S302" i="6" s="1"/>
  <c r="BN262" i="6"/>
  <c r="S262" i="6" s="1"/>
  <c r="BI151" i="6"/>
  <c r="P151" i="6" s="1"/>
  <c r="BN220" i="6"/>
  <c r="S220" i="6" s="1"/>
  <c r="BI244" i="6"/>
  <c r="P244" i="6" s="1"/>
  <c r="S284" i="6"/>
  <c r="BN159" i="6"/>
  <c r="S159" i="6" s="1"/>
  <c r="BN232" i="6"/>
  <c r="S232" i="6" s="1"/>
  <c r="BN185" i="6"/>
  <c r="S185" i="6" s="1"/>
  <c r="BI172" i="6"/>
  <c r="P172" i="6" s="1"/>
  <c r="BN172" i="6"/>
  <c r="S172" i="6" s="1"/>
  <c r="BN201" i="6"/>
  <c r="S201" i="6" s="1"/>
  <c r="BN99" i="6"/>
  <c r="S99" i="6" s="1"/>
  <c r="BI14" i="6"/>
  <c r="P14" i="6" s="1"/>
  <c r="BN179" i="6"/>
  <c r="S179" i="6" s="1"/>
  <c r="BI221" i="6"/>
  <c r="P221" i="6" s="1"/>
  <c r="S221" i="6"/>
  <c r="BN16" i="6"/>
  <c r="S16" i="6" s="1"/>
  <c r="BN18" i="6"/>
  <c r="S18" i="6" s="1"/>
  <c r="BN204" i="6"/>
  <c r="S204" i="6" s="1"/>
  <c r="BI134" i="6"/>
  <c r="P134" i="6" s="1"/>
  <c r="BI85" i="6"/>
  <c r="P85" i="6" s="1"/>
  <c r="BN85" i="6"/>
  <c r="S85" i="6" s="1"/>
  <c r="BN197" i="6"/>
  <c r="S197" i="6" s="1"/>
  <c r="BI233" i="6"/>
  <c r="P233" i="6" s="1"/>
  <c r="BN56" i="6"/>
  <c r="S56" i="6" s="1"/>
  <c r="BI33" i="6"/>
  <c r="P33" i="6" s="1"/>
  <c r="BN95" i="6"/>
  <c r="S95" i="6" s="1"/>
  <c r="BN264" i="6"/>
  <c r="S264" i="6" s="1"/>
  <c r="BN24" i="6"/>
  <c r="S24" i="6" s="1"/>
  <c r="BI24" i="6"/>
  <c r="P24" i="6" s="1"/>
  <c r="BI282" i="6"/>
  <c r="P282" i="6" s="1"/>
  <c r="BN62" i="6"/>
  <c r="S62" i="6" s="1"/>
  <c r="BI121" i="6"/>
  <c r="P121" i="6" s="1"/>
  <c r="BN121" i="6"/>
  <c r="S121" i="6" s="1"/>
  <c r="BN193" i="6"/>
  <c r="S193" i="6" s="1"/>
  <c r="BN73" i="6"/>
  <c r="S73" i="6" s="1"/>
  <c r="BN180" i="6"/>
  <c r="S180" i="6" s="1"/>
  <c r="BI275" i="6"/>
  <c r="P275" i="6" s="1"/>
  <c r="BN275" i="6"/>
  <c r="S275" i="6" s="1"/>
  <c r="BN100" i="6"/>
  <c r="S100" i="6" s="1"/>
  <c r="BN72" i="6"/>
  <c r="S72" i="6" s="1"/>
  <c r="BI104" i="6"/>
  <c r="P104" i="6" s="1"/>
  <c r="BI246" i="6"/>
  <c r="P246" i="6" s="1"/>
  <c r="BN22" i="6"/>
  <c r="S22" i="6" s="1"/>
  <c r="BN207" i="6"/>
  <c r="S207" i="6" s="1"/>
  <c r="BI99" i="6"/>
  <c r="P99" i="6" s="1"/>
  <c r="BN36" i="6"/>
  <c r="S36" i="6" s="1"/>
  <c r="BN15" i="6"/>
  <c r="S15" i="6" s="1"/>
  <c r="BN101" i="6"/>
  <c r="S101" i="6" s="1"/>
  <c r="BN30" i="6"/>
  <c r="S30" i="6" s="1"/>
  <c r="BN42" i="6"/>
  <c r="S42" i="6" s="1"/>
  <c r="BN75" i="6"/>
  <c r="S75" i="6" s="1"/>
  <c r="BI79" i="6"/>
  <c r="P79" i="6" s="1"/>
  <c r="BN79" i="6"/>
  <c r="S79" i="6" s="1"/>
  <c r="BN233" i="6"/>
  <c r="S233" i="6" s="1"/>
  <c r="BN246" i="6"/>
  <c r="S246" i="6" s="1"/>
  <c r="BN38" i="6"/>
  <c r="S38" i="6" s="1"/>
  <c r="BI301" i="6"/>
  <c r="P301" i="6" s="1"/>
  <c r="BI70" i="6"/>
  <c r="P70" i="6" s="1"/>
  <c r="BI304" i="6"/>
  <c r="P304" i="6" s="1"/>
  <c r="BN149" i="6"/>
  <c r="S149" i="6" s="1"/>
  <c r="BN111" i="6"/>
  <c r="S111" i="6" s="1"/>
  <c r="BI255" i="6"/>
  <c r="P255" i="6" s="1"/>
  <c r="BN296" i="6"/>
  <c r="S296" i="6" s="1"/>
  <c r="BI227" i="6"/>
  <c r="P227" i="6" s="1"/>
  <c r="S227" i="6"/>
  <c r="BI195" i="6"/>
  <c r="P195" i="6" s="1"/>
  <c r="BN195" i="6"/>
  <c r="S195" i="6" s="1"/>
  <c r="BN305" i="6"/>
  <c r="S305" i="6" s="1"/>
  <c r="BN281" i="6"/>
  <c r="S281" i="6" s="1"/>
  <c r="BN165" i="6"/>
  <c r="S165" i="6" s="1"/>
  <c r="BI155" i="6"/>
  <c r="P155" i="6" s="1"/>
  <c r="BN224" i="6"/>
  <c r="S224" i="6" s="1"/>
  <c r="BN297" i="6"/>
  <c r="S297" i="6" s="1"/>
  <c r="BN50" i="6"/>
  <c r="S50" i="6" s="1"/>
  <c r="N11" i="6"/>
  <c r="BE11" i="6"/>
  <c r="BG11" i="6"/>
  <c r="BF11" i="6"/>
  <c r="BI307" i="6"/>
  <c r="P307" i="6" s="1"/>
  <c r="BI286" i="6"/>
  <c r="P286" i="6" s="1"/>
  <c r="BN286" i="6"/>
  <c r="S286" i="6" s="1"/>
  <c r="BI86" i="6"/>
  <c r="P86" i="6" s="1"/>
  <c r="BN104" i="6"/>
  <c r="S104" i="6" s="1"/>
  <c r="J3" i="6"/>
  <c r="BG9" i="6"/>
  <c r="BF9" i="6"/>
  <c r="N9" i="6"/>
  <c r="BE9" i="6"/>
  <c r="BI217" i="6"/>
  <c r="P217" i="6" s="1"/>
  <c r="BN26" i="6"/>
  <c r="S26" i="6" s="1"/>
  <c r="BI26" i="6"/>
  <c r="P26" i="6" s="1"/>
  <c r="BI125" i="6"/>
  <c r="P125" i="6" s="1"/>
  <c r="BI159" i="6"/>
  <c r="P159" i="6" s="1"/>
  <c r="BN215" i="6"/>
  <c r="S215" i="6" s="1"/>
  <c r="BI290" i="6"/>
  <c r="P290" i="6" s="1"/>
  <c r="BI78" i="6"/>
  <c r="P78" i="6" s="1"/>
  <c r="BN78" i="6"/>
  <c r="S78" i="6" s="1"/>
  <c r="BN146" i="6"/>
  <c r="S146" i="6" s="1"/>
  <c r="BG10" i="6"/>
  <c r="BF10" i="6"/>
  <c r="BE10" i="6"/>
  <c r="N10" i="6"/>
  <c r="BN34" i="6"/>
  <c r="S34" i="6" s="1"/>
  <c r="S192" i="6"/>
  <c r="BI192" i="6"/>
  <c r="P192" i="6" s="1"/>
  <c r="BN235" i="6"/>
  <c r="S235" i="6" s="1"/>
  <c r="BI257" i="6"/>
  <c r="P257" i="6" s="1"/>
  <c r="BN290" i="6"/>
  <c r="S290" i="6" s="1"/>
  <c r="BI118" i="6"/>
  <c r="P118" i="6" s="1"/>
  <c r="BN252" i="6"/>
  <c r="S252" i="6" s="1"/>
  <c r="BI270" i="6"/>
  <c r="P270" i="6" s="1"/>
  <c r="BN270" i="6"/>
  <c r="S270" i="6" s="1"/>
  <c r="BI291" i="6"/>
  <c r="P291" i="6" s="1"/>
  <c r="BN157" i="6"/>
  <c r="S157" i="6" s="1"/>
  <c r="BI252" i="6"/>
  <c r="P252" i="6" s="1"/>
  <c r="BI266" i="6"/>
  <c r="P266" i="6" s="1"/>
  <c r="BN266" i="6"/>
  <c r="S266" i="6" s="1"/>
  <c r="BI12" i="6"/>
  <c r="P12" i="6" s="1"/>
  <c r="BN14" i="6"/>
  <c r="S14" i="6" s="1"/>
  <c r="BI145" i="6"/>
  <c r="P145" i="6" s="1"/>
  <c r="BN145" i="6"/>
  <c r="S145" i="6" s="1"/>
  <c r="BN191" i="6"/>
  <c r="S191" i="6" s="1"/>
  <c r="BN226" i="6"/>
  <c r="S226" i="6" s="1"/>
  <c r="BI129" i="6"/>
  <c r="P129" i="6" s="1"/>
  <c r="BN129" i="6"/>
  <c r="S129" i="6" s="1"/>
  <c r="BI285" i="6"/>
  <c r="P285" i="6" s="1"/>
  <c r="BI284" i="6"/>
  <c r="P284" i="6" s="1"/>
  <c r="BI92" i="6"/>
  <c r="P92" i="6" s="1"/>
  <c r="BI54" i="6"/>
  <c r="P54" i="6" s="1"/>
  <c r="BI214" i="6"/>
  <c r="P214" i="6" s="1"/>
  <c r="BN161" i="6"/>
  <c r="S161" i="6" s="1"/>
  <c r="BI74" i="6"/>
  <c r="P74" i="6" s="1"/>
  <c r="S304" i="6"/>
  <c r="BI175" i="6"/>
  <c r="P175" i="6" s="1"/>
  <c r="BI219" i="6"/>
  <c r="P219" i="6" s="1"/>
  <c r="BI52" i="6"/>
  <c r="P52" i="6" s="1"/>
  <c r="BN205" i="6"/>
  <c r="S205" i="6" s="1"/>
  <c r="BI62" i="6"/>
  <c r="P62" i="6" s="1"/>
  <c r="BI168" i="6"/>
  <c r="P168" i="6" s="1"/>
  <c r="BN168" i="6"/>
  <c r="S168" i="6" s="1"/>
  <c r="BN250" i="6"/>
  <c r="S250" i="6" s="1"/>
  <c r="BN268" i="6"/>
  <c r="S268" i="6" s="1"/>
  <c r="BI66" i="6"/>
  <c r="P66" i="6" s="1"/>
  <c r="BN137" i="6"/>
  <c r="S137" i="6" s="1"/>
  <c r="BI34" i="6"/>
  <c r="P34" i="6" s="1"/>
  <c r="BI89" i="6"/>
  <c r="P89" i="6" s="1"/>
  <c r="BI126" i="6"/>
  <c r="P126" i="6" s="1"/>
  <c r="BN126" i="6"/>
  <c r="S126" i="6" s="1"/>
  <c r="BI13" i="6"/>
  <c r="P13" i="6" s="1"/>
  <c r="BN68" i="6"/>
  <c r="S68" i="6" s="1"/>
  <c r="BI209" i="6"/>
  <c r="P209" i="6" s="1"/>
  <c r="BN209" i="6"/>
  <c r="S209" i="6" s="1"/>
  <c r="BN148" i="6"/>
  <c r="S148" i="6" s="1"/>
  <c r="BI20" i="6"/>
  <c r="P20" i="6" s="1"/>
  <c r="S120" i="6"/>
  <c r="BI120" i="6"/>
  <c r="P120" i="6" s="1"/>
  <c r="BN301" i="6"/>
  <c r="S301" i="6" s="1"/>
  <c r="S134" i="6"/>
  <c r="BN225" i="6"/>
  <c r="S225" i="6" s="1"/>
  <c r="BI153" i="6"/>
  <c r="P153" i="6" s="1"/>
  <c r="BN125" i="6"/>
  <c r="S125" i="6" s="1"/>
  <c r="BI268" i="6"/>
  <c r="P268" i="6" s="1"/>
  <c r="BN203" i="6"/>
  <c r="S203" i="6" s="1"/>
  <c r="BN303" i="6"/>
  <c r="S303" i="6" s="1"/>
  <c r="BI156" i="6"/>
  <c r="P156" i="6" s="1"/>
  <c r="BN156" i="6"/>
  <c r="S156" i="6" s="1"/>
  <c r="B12" i="6" l="1"/>
  <c r="A12" i="6"/>
  <c r="V3" i="6"/>
  <c r="A5" i="6"/>
  <c r="BN10" i="6"/>
  <c r="S10" i="6" s="1"/>
  <c r="D5" i="6"/>
  <c r="BI10" i="6"/>
  <c r="B10" i="6" s="1"/>
  <c r="BI9" i="6"/>
  <c r="BN9" i="6"/>
  <c r="S9" i="6" s="1"/>
  <c r="BI11" i="6"/>
  <c r="BN11" i="6"/>
  <c r="S11" i="6" s="1"/>
  <c r="B11" i="6" l="1"/>
  <c r="A10" i="6"/>
  <c r="BT12" i="6"/>
  <c r="BU12" i="6"/>
  <c r="A9" i="6"/>
  <c r="BU9" i="6" s="1"/>
  <c r="P10" i="6"/>
  <c r="P9" i="6"/>
  <c r="B9" i="6"/>
  <c r="A11" i="6"/>
  <c r="BT11" i="6" s="1"/>
  <c r="BT10" i="6"/>
  <c r="BU10" i="6"/>
  <c r="BT9" i="6"/>
  <c r="P11" i="6"/>
  <c r="S5" i="6" l="1"/>
  <c r="BU11" i="6"/>
  <c r="V5" i="6" s="1"/>
</calcChain>
</file>

<file path=xl/sharedStrings.xml><?xml version="1.0" encoding="utf-8"?>
<sst xmlns="http://schemas.openxmlformats.org/spreadsheetml/2006/main" count="311" uniqueCount="207">
  <si>
    <t>CODICE COMMESSA</t>
  </si>
  <si>
    <t>CLIENTE</t>
  </si>
  <si>
    <t>DESCRIZIONE / CANTIERE</t>
  </si>
  <si>
    <t>RAMO DI ATTIVITÀ</t>
  </si>
  <si>
    <t>TECNICO</t>
  </si>
  <si>
    <t>PREPOSTO</t>
  </si>
  <si>
    <t>STATO CANTIERE</t>
  </si>
  <si>
    <t>RITENUTE PREVISTE</t>
  </si>
  <si>
    <t>CONTRATTO INIZIALE</t>
  </si>
  <si>
    <t>INTEGRAZIONI</t>
  </si>
  <si>
    <t>CONTRATTO AGGIORNATO</t>
  </si>
  <si>
    <t>CAUSA AGGIORNAMENTO DATA FINE</t>
  </si>
  <si>
    <t>CONTROLLO DUPLICAZIONE</t>
  </si>
  <si>
    <t>C042</t>
  </si>
  <si>
    <t>CARRON BAU</t>
  </si>
  <si>
    <t>MURATURE IN LATERIZIO C/O COSMO SPA - PESCHIERA DEL GARDA</t>
  </si>
  <si>
    <t>MURATURA</t>
  </si>
  <si>
    <t>DAVIDE</t>
  </si>
  <si>
    <t>AHMET MOUSTAFA</t>
  </si>
  <si>
    <t>In corso</t>
  </si>
  <si>
    <t>SI</t>
  </si>
  <si>
    <t>Proroga/Sospensione autorizzata</t>
  </si>
  <si>
    <t>C011</t>
  </si>
  <si>
    <t>CARRON</t>
  </si>
  <si>
    <t>ZABARELLA 2023 - COD. CANTIERE 774</t>
  </si>
  <si>
    <t>MURATURA+ECONOMIE</t>
  </si>
  <si>
    <t>ALBAN</t>
  </si>
  <si>
    <t>NA</t>
  </si>
  <si>
    <t>Finito ritenute non previste</t>
  </si>
  <si>
    <t>NO</t>
  </si>
  <si>
    <t>TEST10</t>
  </si>
  <si>
    <t>COMMESSA DIMOSTRATIVA</t>
  </si>
  <si>
    <t>TEST REV.10 - PERDITE SAL E COSTI MENSILI</t>
  </si>
  <si>
    <t>TEST</t>
  </si>
  <si>
    <t>DIREZIONE</t>
  </si>
  <si>
    <t>PREPOSTO TEST</t>
  </si>
  <si>
    <t>Nessuna variazione</t>
  </si>
  <si>
    <t>COMMESSA</t>
  </si>
  <si>
    <t>SAL MATURATO</t>
  </si>
  <si>
    <t>FATTURATO LORDO</t>
  </si>
  <si>
    <t>RITENUTE</t>
  </si>
  <si>
    <t>SVINCOLI</t>
  </si>
  <si>
    <t>PERDITE SAL</t>
  </si>
  <si>
    <t>ORE</t>
  </si>
  <si>
    <t>COSTI DIRETTI</t>
  </si>
  <si>
    <t>RIGHE</t>
  </si>
  <si>
    <t>TUTTE</t>
  </si>
  <si>
    <t>DATA SALDO</t>
  </si>
  <si>
    <t>PERDITE SAL ACCETTATE</t>
  </si>
  <si>
    <t>CONTROLLO DUPLICATO</t>
  </si>
  <si>
    <t>Budget tecnico per commessa. Codice, cliente e cantiere provengono esclusivamente dall'ANAGRAFICA.</t>
  </si>
  <si>
    <t>ORE PREVISTE</t>
  </si>
  <si>
    <t>COSTO ORARIO</t>
  </si>
  <si>
    <t>COSTO ORE</t>
  </si>
  <si>
    <t>COSTI DIRETTI PREVISTI</t>
  </si>
  <si>
    <t>COSTO TOTALE PREVISTO</t>
  </si>
  <si>
    <t>MARGINE TEORICO</t>
  </si>
  <si>
    <t>NOTE</t>
  </si>
  <si>
    <t>DATI DIMOSTRATIVI — da sostituire con l'Analisi di fattibilità approvata</t>
  </si>
  <si>
    <t>MESE INIZIALE</t>
  </si>
  <si>
    <t>MESE FINALE</t>
  </si>
  <si>
    <t>FATTURATO NETTO</t>
  </si>
  <si>
    <t>Gennaio</t>
  </si>
  <si>
    <t>Dicembre</t>
  </si>
  <si>
    <t>Dashboard = soli movimenti dell'anno corrente. I saldi al 31/12/2025 restano esclusi. Filtrare la tabella sottostante per analisi di dettaglio.</t>
  </si>
  <si>
    <t>SELEZIONA COMMESSA</t>
  </si>
  <si>
    <t>CANTIERE</t>
  </si>
  <si>
    <t>TIPO MOVIMENTO</t>
  </si>
  <si>
    <t>NUMERO DOCUMENTO</t>
  </si>
  <si>
    <t>DESCRIZIONE</t>
  </si>
  <si>
    <t>RITENUTA</t>
  </si>
  <si>
    <t>SVINCOLO RITENUTA</t>
  </si>
  <si>
    <t>ORE EFFETTIVE</t>
  </si>
  <si>
    <t>PERDITA SAL ACCETTATA</t>
  </si>
  <si>
    <t>SAL + FATTURA</t>
  </si>
  <si>
    <t>T10-01</t>
  </si>
  <si>
    <t>SAL/Fattura test gennaio</t>
  </si>
  <si>
    <t>TEST REV.10 - MESE 1</t>
  </si>
  <si>
    <t>T10-02</t>
  </si>
  <si>
    <t>SAL/Fattura e perdita accettata</t>
  </si>
  <si>
    <t>TEST REV.10 - PERDITA DEFINITIVA</t>
  </si>
  <si>
    <t>T10-03</t>
  </si>
  <si>
    <t>SAL/Fattura test marzo</t>
  </si>
  <si>
    <t>TEST REV.10 - MESE 3</t>
  </si>
  <si>
    <t>210</t>
  </si>
  <si>
    <t>SAL 1</t>
  </si>
  <si>
    <t>PRIMO MOVIMENTO DI PROVA</t>
  </si>
  <si>
    <t>259</t>
  </si>
  <si>
    <t>SAL 2</t>
  </si>
  <si>
    <t>SECONDO MOVIMENTO DELLA STESSA COMMESSA</t>
  </si>
  <si>
    <t>SV-01</t>
  </si>
  <si>
    <t>SVINCOLO PARZIALE</t>
  </si>
  <si>
    <t>SVINCOLO PARZIALE DI PROVA</t>
  </si>
  <si>
    <t>Registrare esclusivamente i costi specifici della commessa non già assorbiti dal costo orario aziendale.</t>
  </si>
  <si>
    <t>TOTALE COSTI</t>
  </si>
  <si>
    <t>ULTIMA DATA</t>
  </si>
  <si>
    <t>IMPORTO</t>
  </si>
  <si>
    <t>Materiali e attrezzature</t>
  </si>
  <si>
    <t>Laterizi e malte</t>
  </si>
  <si>
    <t>Fornitore di prova</t>
  </si>
  <si>
    <t>VALORE DIMOSTRATIVO</t>
  </si>
  <si>
    <t>Piattaforma dedicata</t>
  </si>
  <si>
    <t>Noleggio di prova</t>
  </si>
  <si>
    <t>Trasporto straordinario</t>
  </si>
  <si>
    <t>Documento di prova</t>
  </si>
  <si>
    <t>Fornitura aggiuntiva di prova</t>
  </si>
  <si>
    <t>VALORE DIMOSTRATIVO PER TEST SFORAMENTO</t>
  </si>
  <si>
    <t>Costo diretto test gennaio</t>
  </si>
  <si>
    <t>Costo diretto test febbraio</t>
  </si>
  <si>
    <t>Costo diretto test aprile senza ore</t>
  </si>
  <si>
    <t>VALORE RECUPERABILE</t>
  </si>
  <si>
    <t>SAL NON FATTURATO</t>
  </si>
  <si>
    <t>RESIDUO LAVORI EFFETTIVO</t>
  </si>
  <si>
    <t>MESE</t>
  </si>
  <si>
    <t>COSTO MESE</t>
  </si>
  <si>
    <t>COSTO CUMULATO</t>
  </si>
  <si>
    <t>RESIDUO DA FATTURARE</t>
  </si>
  <si>
    <t>FATTURATO OLTRE RECUPERABILE</t>
  </si>
  <si>
    <t>RITENUTE DA SBLOCCARE</t>
  </si>
  <si>
    <t>COSTO EFFETTIVO CUMULATO</t>
  </si>
  <si>
    <t>STATO / ALLERTA</t>
  </si>
  <si>
    <t>AGGIORNATO AL</t>
  </si>
  <si>
    <t>CANTIERI CRITICI</t>
  </si>
  <si>
    <t>CANTIERI IN ATTENZIONE</t>
  </si>
  <si>
    <t>Febbraio</t>
  </si>
  <si>
    <t>Marzo</t>
  </si>
  <si>
    <t>Giallo = selezione/input • Azzurro = calcolo automatico • CANTIERI mostra saldi al 31/12/2025 + movimenti 2026 • AGGIORNATO AL è una data manuale per singola commessa.</t>
  </si>
  <si>
    <t>Aprile</t>
  </si>
  <si>
    <t>ALLERTE</t>
  </si>
  <si>
    <t>IDENTIFICAZIONE</t>
  </si>
  <si>
    <t>CONTRATTO / SAL</t>
  </si>
  <si>
    <t>TEMPO</t>
  </si>
  <si>
    <t>ORE / PRODUTTIVITÀ</t>
  </si>
  <si>
    <t>COSTI DIRETTI / CONSUNTIVO</t>
  </si>
  <si>
    <t>PERDITE / RECUPERABILE</t>
  </si>
  <si>
    <t>AZIONI</t>
  </si>
  <si>
    <t>CONTROLLO</t>
  </si>
  <si>
    <t>Maggio</t>
  </si>
  <si>
    <t>ALLERTA</t>
  </si>
  <si>
    <t>MOTIVO DELL'ALLERTA</t>
  </si>
  <si>
    <t>RESIDUO LAVORI</t>
  </si>
  <si>
    <t>SAL % / TEMPO % / SCOSTAMENTO - RISCHIO RITARDO DELLA COMMESSA</t>
  </si>
  <si>
    <t>GIORNI DI RITARDO PRODUTTIVO</t>
  </si>
  <si>
    <t>ORE PREVISTE / USATE / RESIDUE</t>
  </si>
  <si>
    <t>% ORE / % SAL / SCOSTAMENTO - RISCHIO CONSUMO ECCESSIVO DI ORE</t>
  </si>
  <si>
    <t>COSTI DIRETTI: BUDGET / SOSTENUTI / RESIDUO-SFORAMENTO</t>
  </si>
  <si>
    <t>NOTE / AZIONE</t>
  </si>
  <si>
    <t>Giugno</t>
  </si>
  <si>
    <t>Luglio</t>
  </si>
  <si>
    <t>Agosto</t>
  </si>
  <si>
    <t>Settembre</t>
  </si>
  <si>
    <t>Ottobre</t>
  </si>
  <si>
    <t>Novembre</t>
  </si>
  <si>
    <t>COMMESSE</t>
  </si>
  <si>
    <t>SELEZIONE RIGHE</t>
  </si>
  <si>
    <t>COMMESSE PREGRESSE</t>
  </si>
  <si>
    <t>MESI</t>
  </si>
  <si>
    <t>TIPI MOVIMENTO</t>
  </si>
  <si>
    <t>RIGHE PREGRESSE</t>
  </si>
  <si>
    <t>ANAGRAFICA COMMESSE — REV.14</t>
  </si>
  <si>
    <t>Unica fonte master. Utilizzare i filtri della tabella (tecnico e date): il conteggio delle commesse visibili si aggiorna automaticamente.</t>
  </si>
  <si>
    <t>COMMESSE TOTALI</t>
  </si>
  <si>
    <t>VISIBILI DOPO I FILTRI</t>
  </si>
  <si>
    <t>DATA DI INSERIMENTO *</t>
  </si>
  <si>
    <t>DATA DI INIZIO PREVISTO</t>
  </si>
  <si>
    <t>DATA DI INIZIO EFFETTIVO</t>
  </si>
  <si>
    <t>DATA DI FINE PREVISTA</t>
  </si>
  <si>
    <t>DATA DI FINE EFFETTIVA</t>
  </si>
  <si>
    <t>CODICE | CLIENTE | CANTIERE</t>
  </si>
  <si>
    <t>SALDI AL 31.12.2025 — REV.14</t>
  </si>
  <si>
    <t>BUDGET COMMESSA — REV.14</t>
  </si>
  <si>
    <t>PERIODO DA</t>
  </si>
  <si>
    <t>PERIODO A</t>
  </si>
  <si>
    <t>COMMESSE APERTE</t>
  </si>
  <si>
    <t>La dashboard considera le commesse ancora aperte con DATA DI FINE PREVISTA compresa nel periodo selezionato.</t>
  </si>
  <si>
    <t>MOVIMENTI 2026 — ARCHIVIO UNICO — REV.14</t>
  </si>
  <si>
    <t>COMMESSA (CODICE | CLIENTE | CANTIERE)</t>
  </si>
  <si>
    <t>DATA MOVIMENTO *</t>
  </si>
  <si>
    <t>TEST10 | COMMESSA DIMOSTRATIVA | TEST REV.10 - PERDITE SAL E COSTI MENSILI</t>
  </si>
  <si>
    <t>C042 | CARRON BAU | MURATURE IN LATERIZIO C/O COSMO SPA - PESCHIERA DEL GARDA</t>
  </si>
  <si>
    <t>C011 | CARRON | ZABARELLA 2023 - COD. CANTIERE 774</t>
  </si>
  <si>
    <t>COSTI DIRETTI 2026 — REV.14</t>
  </si>
  <si>
    <t>DATA COSTO</t>
  </si>
  <si>
    <t>MACRO-CATEGORIA DA ANALISI</t>
  </si>
  <si>
    <t>FORNITORE / DOCUMENTO</t>
  </si>
  <si>
    <t>CONTROLLO ECONOMICO E PRODUTTIVO CANTIERI 2026 — REV.14</t>
  </si>
  <si>
    <t>PARAMETRI DI CONTROLLO – REV.14</t>
  </si>
  <si>
    <t>PARAMETRO</t>
  </si>
  <si>
    <t>VALORE</t>
  </si>
  <si>
    <t>NOTA / FUNZIONE DEL PARAMETRO</t>
  </si>
  <si>
    <t>SAL</t>
  </si>
  <si>
    <t>Costo strutturale aziendale corrente</t>
  </si>
  <si>
    <t>Parametro unico FIDA EDILE utilizzato per valorizzare economicamente le ore effettive delle commesse. Il costo effettivo cumulato è determinato da: ore effettive cumulative × costo strutturale corrente + costi diretti cumulativi.</t>
  </si>
  <si>
    <t>FATTURA</t>
  </si>
  <si>
    <t>Scarto tempo – attenzione</t>
  </si>
  <si>
    <t>Soglia di attenzione quando la % di SAL maturato risulta inferiore alla % di avanzamento temporale della commessa oltre questo scostamento.</t>
  </si>
  <si>
    <t>Scarto tempo – critico</t>
  </si>
  <si>
    <t>Soglia critica quando la % di SAL maturato risulta inferiore alla % di avanzamento temporale della commessa oltre questo scostamento.</t>
  </si>
  <si>
    <t>Scarto ore – attenzione</t>
  </si>
  <si>
    <t>Soglia di attenzione quando la % di ore consumate supera la % di SAL maturato oltre questo scostamento.</t>
  </si>
  <si>
    <t>Scarto ore – critico</t>
  </si>
  <si>
    <t>Soglia critica quando la % di ore consumate supera la % di SAL maturato oltre questo scostamento.</t>
  </si>
  <si>
    <t>Soglia SAL non fatturato</t>
  </si>
  <si>
    <t>Percentuale del valore contrattuale utilizzata come soglia per segnalare un SAL maturato non ancora fatturato di importo significativo.</t>
  </si>
  <si>
    <t>ALTRO</t>
  </si>
  <si>
    <t>Anno di gestione</t>
  </si>
  <si>
    <t>Anno di riferimento del Database. Determina l'esercizio considerato dalla dashboard MOVIMENTI, il limite temporale per individuare le commesse pregresse da riportare nei SALDI e le elaborazioni annuali collegate ai costi diretti.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</si>
</sst>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\-??_);_(@_)"/>
    <numFmt numFmtId="165" formatCode="_(* #,##0_);_(* \(#,##0\);_(* \-_);_(@_)"/>
    <numFmt numFmtId="166" formatCode="_(\$* #,##0.00_);_(\$* \(#,##0.00\);_(\$* \-??_);_(@_)"/>
    <numFmt numFmtId="167" formatCode="_(\$* #,##0_);_(\$* \(#,##0\);_(\$* \-_);_(@_)"/>
    <numFmt numFmtId="168" formatCode="dd/mm/yyyy"/>
    <numFmt numFmtId="169" formatCode="&quot;€ &quot;#,##0.00"/>
    <numFmt numFmtId="170" formatCode="0.0%"/>
    <numFmt numFmtId="171" formatCode="mm/dd/yy"/>
    <numFmt numFmtId="172" formatCode="\€\ #,##0.00"/>
  </numFmts>
  <fonts count="8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44546A"/>
      <name val="Calibri"/>
      <family val="2"/>
    </font>
    <font>
      <sz val="11"/>
      <color rgb="FF1F1F1F"/>
      <name val="Calibri"/>
      <family val="2"/>
    </font>
    <font>
      <b/>
      <sz val="11"/>
      <color rgb="FF1F1F1F"/>
      <name val="Calibri"/>
      <family val="2"/>
    </font>
    <font>
      <b/>
      <sz val="16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6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</cellStyleXfs>
  <cellXfs count="42">
    <xf numFmtId="0" fontId="0" fillId="0" borderId="0" xfId="0"/>
    <xf numFmtId="0" fontId="7" fillId="8" borderId="0" xfId="17" applyFont="1" applyFill="1" applyAlignment="1">
      <alignment horizontal="center" vertical="center"/>
    </xf>
    <xf numFmtId="168" fontId="6" fillId="7" borderId="1" xfId="18" applyNumberFormat="1" applyFont="1" applyFill="1" applyBorder="1" applyAlignment="1">
      <alignment horizontal="center" vertical="center"/>
    </xf>
    <xf numFmtId="0" fontId="6" fillId="7" borderId="1" xfId="18" applyFont="1" applyFill="1" applyBorder="1" applyAlignment="1">
      <alignment horizontal="center" vertical="center"/>
    </xf>
    <xf numFmtId="169" fontId="6" fillId="7" borderId="1" xfId="18" applyNumberFormat="1" applyFont="1" applyFill="1" applyBorder="1" applyAlignment="1">
      <alignment horizontal="center" vertical="center"/>
    </xf>
    <xf numFmtId="0" fontId="5" fillId="4" borderId="2" xfId="18" applyFont="1" applyFill="1" applyBorder="1" applyAlignment="1">
      <alignment vertical="center"/>
    </xf>
    <xf numFmtId="0" fontId="3" fillId="6" borderId="1" xfId="18" applyFont="1" applyFill="1" applyBorder="1" applyAlignment="1">
      <alignment horizontal="center" vertical="center" wrapText="1"/>
    </xf>
    <xf numFmtId="0" fontId="0" fillId="0" borderId="0" xfId="0"/>
    <xf numFmtId="0" fontId="5" fillId="4" borderId="2" xfId="18" applyFont="1" applyFill="1" applyBorder="1" applyAlignment="1">
      <alignment horizontal="center" vertical="center"/>
    </xf>
    <xf numFmtId="0" fontId="4" fillId="3" borderId="0" xfId="18" applyFont="1" applyFill="1" applyAlignment="1">
      <alignment vertical="center" wrapText="1"/>
    </xf>
    <xf numFmtId="0" fontId="3" fillId="2" borderId="0" xfId="18" applyFont="1" applyFill="1" applyAlignment="1">
      <alignment horizontal="left" vertical="center"/>
    </xf>
    <xf numFmtId="0" fontId="3" fillId="2" borderId="0" xfId="18" applyFont="1" applyFill="1" applyAlignment="1">
      <alignment horizontal="left" vertical="center"/>
    </xf>
    <xf numFmtId="0" fontId="3" fillId="2" borderId="1" xfId="18" applyFont="1" applyFill="1" applyBorder="1" applyAlignment="1">
      <alignment horizontal="center" vertical="center" wrapText="1"/>
    </xf>
    <xf numFmtId="0" fontId="5" fillId="4" borderId="2" xfId="18" applyFont="1" applyFill="1" applyBorder="1" applyAlignment="1">
      <alignment vertical="center" wrapText="1"/>
    </xf>
    <xf numFmtId="168" fontId="5" fillId="4" borderId="2" xfId="18" applyNumberFormat="1" applyFont="1" applyFill="1" applyBorder="1" applyAlignment="1">
      <alignment vertical="center" wrapText="1"/>
    </xf>
    <xf numFmtId="169" fontId="5" fillId="4" borderId="2" xfId="18" applyNumberFormat="1" applyFont="1" applyFill="1" applyBorder="1" applyAlignment="1">
      <alignment vertical="center" wrapText="1"/>
    </xf>
    <xf numFmtId="169" fontId="5" fillId="5" borderId="2" xfId="18" applyNumberFormat="1" applyFont="1" applyFill="1" applyBorder="1" applyAlignment="1">
      <alignment vertical="center" wrapText="1"/>
    </xf>
    <xf numFmtId="0" fontId="5" fillId="5" borderId="2" xfId="18" applyFont="1" applyFill="1" applyBorder="1" applyAlignment="1">
      <alignment vertical="center" wrapText="1"/>
    </xf>
    <xf numFmtId="0" fontId="3" fillId="6" borderId="1" xfId="18" applyFont="1" applyFill="1" applyBorder="1" applyAlignment="1">
      <alignment horizontal="center" vertical="center" wrapText="1"/>
    </xf>
    <xf numFmtId="169" fontId="6" fillId="7" borderId="1" xfId="18" applyNumberFormat="1" applyFont="1" applyFill="1" applyBorder="1" applyAlignment="1">
      <alignment horizontal="center" vertical="center"/>
    </xf>
    <xf numFmtId="4" fontId="6" fillId="7" borderId="1" xfId="18" applyNumberFormat="1" applyFont="1" applyFill="1" applyBorder="1" applyAlignment="1">
      <alignment horizontal="center" vertical="center"/>
    </xf>
    <xf numFmtId="0" fontId="6" fillId="7" borderId="1" xfId="18" applyFont="1" applyFill="1" applyBorder="1" applyAlignment="1">
      <alignment horizontal="center" vertical="center"/>
    </xf>
    <xf numFmtId="0" fontId="5" fillId="4" borderId="2" xfId="18" applyFont="1" applyFill="1" applyBorder="1" applyAlignment="1">
      <alignment vertical="center"/>
    </xf>
    <xf numFmtId="168" fontId="5" fillId="5" borderId="2" xfId="18" applyNumberFormat="1" applyFont="1" applyFill="1" applyBorder="1" applyAlignment="1">
      <alignment vertical="center"/>
    </xf>
    <xf numFmtId="169" fontId="5" fillId="4" borderId="2" xfId="18" applyNumberFormat="1" applyFont="1" applyFill="1" applyBorder="1" applyAlignment="1">
      <alignment vertical="center"/>
    </xf>
    <xf numFmtId="4" fontId="5" fillId="4" borderId="2" xfId="18" applyNumberFormat="1" applyFont="1" applyFill="1" applyBorder="1" applyAlignment="1">
      <alignment vertical="center"/>
    </xf>
    <xf numFmtId="0" fontId="5" fillId="5" borderId="2" xfId="18" applyFont="1" applyFill="1" applyBorder="1" applyAlignment="1">
      <alignment vertical="center"/>
    </xf>
    <xf numFmtId="169" fontId="5" fillId="5" borderId="2" xfId="18" applyNumberFormat="1" applyFont="1" applyFill="1" applyBorder="1" applyAlignment="1">
      <alignment vertical="center"/>
    </xf>
    <xf numFmtId="170" fontId="5" fillId="5" borderId="2" xfId="18" applyNumberFormat="1" applyFont="1" applyFill="1" applyBorder="1" applyAlignment="1">
      <alignment vertical="center"/>
    </xf>
    <xf numFmtId="168" fontId="5" fillId="4" borderId="2" xfId="18" applyNumberFormat="1" applyFont="1" applyFill="1" applyBorder="1" applyAlignment="1">
      <alignment vertical="center"/>
    </xf>
    <xf numFmtId="168" fontId="6" fillId="7" borderId="1" xfId="18" applyNumberFormat="1" applyFont="1" applyFill="1" applyBorder="1" applyAlignment="1">
      <alignment horizontal="center" vertical="center"/>
    </xf>
    <xf numFmtId="1" fontId="5" fillId="5" borderId="2" xfId="18" applyNumberFormat="1" applyFont="1" applyFill="1" applyBorder="1" applyAlignment="1">
      <alignment vertical="center" wrapText="1"/>
    </xf>
    <xf numFmtId="4" fontId="1" fillId="0" borderId="0" xfId="19" applyNumberFormat="1"/>
    <xf numFmtId="169" fontId="1" fillId="0" borderId="0" xfId="19" applyNumberFormat="1"/>
    <xf numFmtId="171" fontId="5" fillId="5" borderId="2" xfId="18" applyNumberFormat="1" applyFont="1" applyFill="1" applyBorder="1" applyAlignment="1">
      <alignment vertical="center"/>
    </xf>
    <xf numFmtId="0" fontId="5" fillId="9" borderId="2" xfId="17" applyFont="1" applyFill="1" applyBorder="1" applyAlignment="1">
      <alignment vertical="center"/>
    </xf>
    <xf numFmtId="172" fontId="5" fillId="10" borderId="2" xfId="17" applyNumberFormat="1" applyFont="1" applyFill="1" applyBorder="1" applyAlignment="1">
      <alignment vertical="center"/>
    </xf>
    <xf numFmtId="9" fontId="5" fillId="10" borderId="2" xfId="17" applyNumberFormat="1" applyFont="1" applyFill="1" applyBorder="1" applyAlignment="1">
      <alignment vertical="center"/>
    </xf>
    <xf numFmtId="1" fontId="5" fillId="10" borderId="2" xfId="17" applyNumberFormat="1" applyFont="1" applyFill="1" applyBorder="1" applyAlignment="1">
      <alignment vertical="center"/>
    </xf>
    <xf numFmtId="0" fontId="5" fillId="5" borderId="2" xfId="17" applyFont="1" applyFill="1" applyBorder="1" applyAlignment="1">
      <alignment vertical="center" wrapText="1"/>
    </xf>
    <xf numFmtId="0" fontId="5" fillId="10" borderId="2" xfId="17" applyFont="1" applyFill="1" applyBorder="1" applyAlignment="1">
      <alignment vertical="center" wrapText="1"/>
    </xf>
    <xf numFmtId="168" fontId="5" fillId="4" borderId="2" xfId="17" applyNumberFormat="1" applyFont="1" applyFill="1" applyBorder="1" applyAlignment="1">
      <alignment vertical="center"/>
    </xf>
  </cellXfs>
  <cellStyles count="26">
    <cellStyle name="Comma" xfId="1" xr:uid="{00000000-0005-0000-0000-000001000000}"/>
    <cellStyle name="Comma [0]" xfId="5" xr:uid="{00000000-0005-0000-0000-000002000000}"/>
    <cellStyle name="Comma [0] 2" xfId="6" xr:uid="{00000000-0005-0000-0000-000009000000}"/>
    <cellStyle name="Comma [0] 3" xfId="7" xr:uid="{00000000-0005-0000-0000-00000A000000}"/>
    <cellStyle name="Comma [0] 4" xfId="8" xr:uid="{00000000-0005-0000-0000-00000B000000}"/>
    <cellStyle name="Comma 1" xfId="2" xr:uid="{00000000-0005-0000-0000-000006000000}"/>
    <cellStyle name="Comma 2" xfId="3" xr:uid="{00000000-0005-0000-0000-000007000000}"/>
    <cellStyle name="Comma 3" xfId="4" xr:uid="{00000000-0005-0000-0000-000008000000}"/>
    <cellStyle name="Currency" xfId="9" xr:uid="{00000000-0005-0000-0000-000003000000}"/>
    <cellStyle name="Currency [0]" xfId="13" xr:uid="{00000000-0005-0000-0000-000004000000}"/>
    <cellStyle name="Currency [0] 4" xfId="14" xr:uid="{00000000-0005-0000-0000-00000F000000}"/>
    <cellStyle name="Currency [0] 5" xfId="15" xr:uid="{00000000-0005-0000-0000-000010000000}"/>
    <cellStyle name="Currency [0] 6" xfId="16" xr:uid="{00000000-0005-0000-0000-000011000000}"/>
    <cellStyle name="Currency 3" xfId="10" xr:uid="{00000000-0005-0000-0000-00000C000000}"/>
    <cellStyle name="Currency 4" xfId="11" xr:uid="{00000000-0005-0000-0000-00000D000000}"/>
    <cellStyle name="Currency 5" xfId="12" xr:uid="{00000000-0005-0000-0000-00000E000000}"/>
    <cellStyle name="Normal" xfId="17" xr:uid="{00000000-0005-0000-0000-000000000000}"/>
    <cellStyle name="Normal 1" xfId="18" xr:uid="{00000000-0005-0000-0000-000012000000}"/>
    <cellStyle name="Normal 5" xfId="19" xr:uid="{00000000-0005-0000-0000-000013000000}"/>
    <cellStyle name="Normal 6" xfId="20" xr:uid="{00000000-0005-0000-0000-000014000000}"/>
    <cellStyle name="Normal 7" xfId="21" xr:uid="{00000000-0005-0000-0000-000015000000}"/>
    <cellStyle name="Normale" xfId="0" builtinId="0"/>
    <cellStyle name="Percent" xfId="22" xr:uid="{00000000-0005-0000-0000-000005000000}"/>
    <cellStyle name="Percent 6" xfId="23" xr:uid="{00000000-0005-0000-0000-000016000000}"/>
    <cellStyle name="Percent 7" xfId="24" xr:uid="{00000000-0005-0000-0000-000017000000}"/>
    <cellStyle name="Percent 8" xfId="25" xr:uid="{00000000-0005-0000-0000-000018000000}"/>
  </cellStyles>
  <dxfs count="13"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8C4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E2F0D9"/>
      <rgbColor rgb="FFFCE4D6"/>
      <rgbColor rgb="FFD9E1E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7365D"/>
      <rgbColor rgb="FF339966"/>
      <rgbColor rgb="FF003300"/>
      <rgbColor rgb="FF333300"/>
      <rgbColor rgb="FF9C57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nagrafica" displayName="TblAnagrafica" ref="A5:S305" totalsRowShown="0">
  <autoFilter ref="A5:S305" xr:uid="{00000000-0009-0000-0100-000001000000}">
    <filterColumn colId="9">
      <customFilters>
        <customFilter operator="notEqual" val=" "/>
      </customFilters>
    </filterColumn>
  </autoFilter>
  <tableColumns count="19">
    <tableColumn id="1" xr3:uid="{00000000-0010-0000-0000-000001000000}" name="DATA DI INSERIMENTO *"/>
    <tableColumn id="2" xr3:uid="{00000000-0010-0000-0000-000002000000}" name="CODICE COMMESSA"/>
    <tableColumn id="3" xr3:uid="{00000000-0010-0000-0000-000003000000}" name="CLIENTE"/>
    <tableColumn id="4" xr3:uid="{00000000-0010-0000-0000-000004000000}" name="DESCRIZIONE / CANTIERE"/>
    <tableColumn id="5" xr3:uid="{00000000-0010-0000-0000-000005000000}" name="RAMO DI ATTIVITÀ"/>
    <tableColumn id="6" xr3:uid="{00000000-0010-0000-0000-000006000000}" name="TECNICO"/>
    <tableColumn id="7" xr3:uid="{00000000-0010-0000-0000-000007000000}" name="PREPOSTO"/>
    <tableColumn id="8" xr3:uid="{00000000-0010-0000-0000-000008000000}" name="DATA DI INIZIO PREVISTO"/>
    <tableColumn id="9" xr3:uid="{00000000-0010-0000-0000-000009000000}" name="DATA DI INIZIO EFFETTIVO"/>
    <tableColumn id="10" xr3:uid="{00000000-0010-0000-0000-00000A000000}" name="DATA DI FINE PREVISTA"/>
    <tableColumn id="11" xr3:uid="{00000000-0010-0000-0000-00000B000000}" name="DATA DI FINE EFFETTIVA"/>
    <tableColumn id="12" xr3:uid="{00000000-0010-0000-0000-00000C000000}" name="STATO CANTIERE"/>
    <tableColumn id="13" xr3:uid="{00000000-0010-0000-0000-00000D000000}" name="RITENUTE PREVISTE"/>
    <tableColumn id="14" xr3:uid="{00000000-0010-0000-0000-00000E000000}" name="CONTRATTO INIZIALE"/>
    <tableColumn id="15" xr3:uid="{00000000-0010-0000-0000-00000F000000}" name="INTEGRAZIONI"/>
    <tableColumn id="16" xr3:uid="{00000000-0010-0000-0000-000010000000}" name="CONTRATTO AGGIORNATO"/>
    <tableColumn id="17" xr3:uid="{00000000-0010-0000-0000-000011000000}" name="CODICE | CLIENTE | CANTIERE"/>
    <tableColumn id="18" xr3:uid="{00000000-0010-0000-0000-000012000000}" name="CAUSA AGGIORNAMENTO DATA FINE"/>
    <tableColumn id="19" xr3:uid="{00000000-0010-0000-0000-000013000000}" name="CONTROLLO DUPLICAZI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blSaldiApertura" displayName="TblSaldiApertura" ref="A5:J505" totalsRowShown="0">
  <autoFilter ref="A5:J505" xr:uid="{00000000-0009-0000-0100-000007000000}"/>
  <tableColumns count="10">
    <tableColumn id="1" xr3:uid="{00000000-0010-0000-0100-000001000000}" name="CODICE COMMESSA"/>
    <tableColumn id="2" xr3:uid="{00000000-0010-0000-0100-000002000000}" name="DATA SALDO"/>
    <tableColumn id="3" xr3:uid="{00000000-0010-0000-0100-000003000000}" name="SAL MATURATO"/>
    <tableColumn id="4" xr3:uid="{00000000-0010-0000-0100-000004000000}" name="FATTURATO LORDO"/>
    <tableColumn id="5" xr3:uid="{00000000-0010-0000-0100-000005000000}" name="RITENUTE"/>
    <tableColumn id="6" xr3:uid="{00000000-0010-0000-0100-000006000000}" name="SVINCOLI"/>
    <tableColumn id="7" xr3:uid="{00000000-0010-0000-0100-000007000000}" name="PERDITE SAL ACCETTATE"/>
    <tableColumn id="8" xr3:uid="{00000000-0010-0000-0100-000008000000}" name="ORE"/>
    <tableColumn id="9" xr3:uid="{00000000-0010-0000-0100-000009000000}" name="COSTI DIRETTI"/>
    <tableColumn id="10" xr3:uid="{00000000-0010-0000-0100-00000A000000}" name="CONTROLLO DUPLICAT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BudgetCommessa" displayName="TblBudgetCommessa" ref="A5:J305" totalsRowShown="0">
  <autoFilter ref="A5:J305" xr:uid="{00000000-0009-0000-0100-000002000000}"/>
  <tableColumns count="10">
    <tableColumn id="1" xr3:uid="{00000000-0010-0000-0200-000001000000}" name="CODICE COMMESSA"/>
    <tableColumn id="2" xr3:uid="{00000000-0010-0000-0200-000002000000}" name="CLIENTE"/>
    <tableColumn id="3" xr3:uid="{00000000-0010-0000-0200-000003000000}" name="DESCRIZIONE / CANTIERE"/>
    <tableColumn id="4" xr3:uid="{00000000-0010-0000-0200-000004000000}" name="ORE PREVISTE"/>
    <tableColumn id="5" xr3:uid="{00000000-0010-0000-0200-000005000000}" name="COSTO ORARIO"/>
    <tableColumn id="6" xr3:uid="{00000000-0010-0000-0200-000006000000}" name="COSTO ORE"/>
    <tableColumn id="7" xr3:uid="{00000000-0010-0000-0200-000007000000}" name="COSTI DIRETTI PREVISTI"/>
    <tableColumn id="8" xr3:uid="{00000000-0010-0000-0200-000008000000}" name="COSTO TOTALE PREVISTO"/>
    <tableColumn id="9" xr3:uid="{00000000-0010-0000-0200-000009000000}" name="MARGINE TEORICO"/>
    <tableColumn id="10" xr3:uid="{00000000-0010-0000-0200-00000A000000}" name="NO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blMovimenti2026" displayName="TblMovimenti2026" ref="A6:Q4206" totalsRowShown="0">
  <autoFilter ref="A6:Q4206" xr:uid="{00000000-0009-0000-0100-000006000000}"/>
  <tableColumns count="17">
    <tableColumn id="1" xr3:uid="{00000000-0010-0000-0300-000001000000}" name="COMMESSA (CODICE | CLIENTE | CANTIERE)"/>
    <tableColumn id="2" xr3:uid="{00000000-0010-0000-0300-000002000000}" name="CODICE COMMESSA"/>
    <tableColumn id="3" xr3:uid="{00000000-0010-0000-0300-000003000000}" name="CLIENTE"/>
    <tableColumn id="4" xr3:uid="{00000000-0010-0000-0300-000004000000}" name="CANTIERE"/>
    <tableColumn id="5" xr3:uid="{00000000-0010-0000-0300-000005000000}" name="DATA MOVIMENTO *"/>
    <tableColumn id="6" xr3:uid="{00000000-0010-0000-0300-000006000000}" name="TIPO MOVIMENTO"/>
    <tableColumn id="7" xr3:uid="{00000000-0010-0000-0300-000007000000}" name="NUMERO DOCUMENTO"/>
    <tableColumn id="8" xr3:uid="{00000000-0010-0000-0300-000008000000}" name="DESCRIZIONE"/>
    <tableColumn id="9" xr3:uid="{00000000-0010-0000-0300-000009000000}" name="SAL MATURATO"/>
    <tableColumn id="10" xr3:uid="{00000000-0010-0000-0300-00000A000000}" name="FATTURATO LORDO"/>
    <tableColumn id="11" xr3:uid="{00000000-0010-0000-0300-00000B000000}" name="RITENUTA"/>
    <tableColumn id="12" xr3:uid="{00000000-0010-0000-0300-00000C000000}" name="SVINCOLO RITENUTA"/>
    <tableColumn id="13" xr3:uid="{00000000-0010-0000-0300-00000D000000}" name="FATTURATO NETTO"/>
    <tableColumn id="14" xr3:uid="{00000000-0010-0000-0300-00000E000000}" name="ORE EFFETTIVE"/>
    <tableColumn id="15" xr3:uid="{00000000-0010-0000-0300-00000F000000}" name="NOTE"/>
    <tableColumn id="16" xr3:uid="{00000000-0010-0000-0300-000010000000}" name="PERDITA SAL ACCETTATA"/>
    <tableColumn id="17" xr3:uid="{00000000-0010-0000-0300-000011000000}" name="MES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CostiDiretti" displayName="TblCostiDiretti" ref="A5:J505" totalsRowShown="0">
  <autoFilter ref="A5:J505" xr:uid="{00000000-0009-0000-0100-000004000000}"/>
  <tableColumns count="10">
    <tableColumn id="1" xr3:uid="{00000000-0010-0000-0400-000001000000}" name="DATA COSTO"/>
    <tableColumn id="2" xr3:uid="{00000000-0010-0000-0400-000002000000}" name="COMMESSA (CODICE | CLIENTE | CANTIERE)"/>
    <tableColumn id="3" xr3:uid="{00000000-0010-0000-0400-000003000000}" name="CODICE COMMESSA"/>
    <tableColumn id="4" xr3:uid="{00000000-0010-0000-0400-000004000000}" name="CLIENTE"/>
    <tableColumn id="5" xr3:uid="{00000000-0010-0000-0400-000005000000}" name="CANTIERE"/>
    <tableColumn id="6" xr3:uid="{00000000-0010-0000-0400-000006000000}" name="MACRO-CATEGORIA DA ANALISI"/>
    <tableColumn id="7" xr3:uid="{00000000-0010-0000-0400-000007000000}" name="DESCRIZIONE"/>
    <tableColumn id="8" xr3:uid="{00000000-0010-0000-0400-000008000000}" name="IMPORTO"/>
    <tableColumn id="9" xr3:uid="{00000000-0010-0000-0400-000009000000}" name="FORNITORE / DOCUMENTO"/>
    <tableColumn id="10" xr3:uid="{00000000-0010-0000-0400-00000A000000}" name="NO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blCantieri" displayName="TblCantieri" ref="A8:Y308" totalsRowShown="0">
  <autoFilter ref="A8:Y308" xr:uid="{00000000-0009-0000-0100-000003000000}"/>
  <tableColumns count="25">
    <tableColumn id="1" xr3:uid="{00000000-0010-0000-0500-000001000000}" name="ALLERTA"/>
    <tableColumn id="2" xr3:uid="{00000000-0010-0000-0500-000002000000}" name="MOTIVO DELL'ALLERTA"/>
    <tableColumn id="3" xr3:uid="{00000000-0010-0000-0500-000003000000}" name="CODICE COMMESSA"/>
    <tableColumn id="4" xr3:uid="{00000000-0010-0000-0500-000004000000}" name="CLIENTE"/>
    <tableColumn id="5" xr3:uid="{00000000-0010-0000-0500-000005000000}" name="DESCRIZIONE"/>
    <tableColumn id="6" xr3:uid="{00000000-0010-0000-0500-000006000000}" name="RAMO DI ATTIVITÀ"/>
    <tableColumn id="7" xr3:uid="{00000000-0010-0000-0500-000007000000}" name="TECNICO"/>
    <tableColumn id="8" xr3:uid="{00000000-0010-0000-0500-000008000000}" name="PREPOSTO"/>
    <tableColumn id="9" xr3:uid="{00000000-0010-0000-0500-000009000000}" name="STATO CANTIERE"/>
    <tableColumn id="10" xr3:uid="{00000000-0010-0000-0500-00000A000000}" name="CONTRATTO AGGIORNATO"/>
    <tableColumn id="11" xr3:uid="{00000000-0010-0000-0500-00000B000000}" name="SAL MATURATO"/>
    <tableColumn id="12" xr3:uid="{00000000-0010-0000-0500-00000C000000}" name="FATTURATO LORDO"/>
    <tableColumn id="13" xr3:uid="{00000000-0010-0000-0500-00000D000000}" name="SAL NON FATTURATO"/>
    <tableColumn id="14" xr3:uid="{00000000-0010-0000-0500-00000E000000}" name="RESIDUO LAVORI"/>
    <tableColumn id="15" xr3:uid="{00000000-0010-0000-0500-00000F000000}" name="RITENUTE DA SBLOCCARE"/>
    <tableColumn id="16" xr3:uid="{00000000-0010-0000-0500-000010000000}" name="SAL % / TEMPO % / SCOSTAMENTO - RISCHIO RITARDO DELLA COMMESSA"/>
    <tableColumn id="17" xr3:uid="{00000000-0010-0000-0500-000011000000}" name="GIORNI DI RITARDO PRODUTTIVO"/>
    <tableColumn id="18" xr3:uid="{00000000-0010-0000-0500-000012000000}" name="ORE PREVISTE / USATE / RESIDUE"/>
    <tableColumn id="19" xr3:uid="{00000000-0010-0000-0500-000013000000}" name="% ORE / % SAL / SCOSTAMENTO - RISCHIO CONSUMO ECCESSIVO DI ORE"/>
    <tableColumn id="20" xr3:uid="{00000000-0010-0000-0500-000014000000}" name="COSTI DIRETTI: BUDGET / SOSTENUTI / RESIDUO-SFORAMENTO"/>
    <tableColumn id="21" xr3:uid="{00000000-0010-0000-0500-000015000000}" name="COSTO EFFETTIVO CUMULATO"/>
    <tableColumn id="22" xr3:uid="{00000000-0010-0000-0500-000016000000}" name="PERDITE SAL ACCETTATE"/>
    <tableColumn id="23" xr3:uid="{00000000-0010-0000-0500-000017000000}" name="VALORE RECUPERABILE"/>
    <tableColumn id="24" xr3:uid="{00000000-0010-0000-0500-000018000000}" name="NOTE / AZIONE"/>
    <tableColumn id="25" xr3:uid="{00000000-0010-0000-0500-000019000000}" name="AGGIORNATO AL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blCostoMensile" displayName="TblCostoMensile" ref="AA2:AC14" totalsRowShown="0">
  <autoFilter ref="AA2:AC14" xr:uid="{00000000-0009-0000-0100-000005000000}"/>
  <tableColumns count="3">
    <tableColumn id="1" xr3:uid="{00000000-0010-0000-0600-000001000000}" name="MESE"/>
    <tableColumn id="2" xr3:uid="{00000000-0010-0000-0600-000002000000}" name="COSTO MESE"/>
    <tableColumn id="3" xr3:uid="{00000000-0010-0000-0600-000003000000}" name="COSTO CUMULA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5"/>
  <sheetViews>
    <sheetView tabSelected="1" workbookViewId="0">
      <pane ySplit="5" topLeftCell="A6" activePane="bottomLeft" state="frozen"/>
      <selection pane="bottomLeft" activeCell="B320" sqref="B320"/>
    </sheetView>
  </sheetViews>
  <sheetFormatPr baseColWidth="10" defaultColWidth="8.6640625" defaultRowHeight="13" x14ac:dyDescent="0.15"/>
  <cols>
    <col min="1" max="1" width="15" customWidth="1"/>
    <col min="2" max="2" width="16" customWidth="1"/>
    <col min="3" max="3" width="25" customWidth="1"/>
    <col min="4" max="4" width="43" customWidth="1"/>
    <col min="5" max="5" width="20" customWidth="1"/>
    <col min="6" max="7" width="17" customWidth="1"/>
    <col min="8" max="11" width="15" customWidth="1"/>
    <col min="12" max="12" width="30" customWidth="1"/>
    <col min="13" max="13" width="16" customWidth="1"/>
    <col min="14" max="16" width="17" customWidth="1"/>
    <col min="17" max="17" width="43" customWidth="1"/>
    <col min="18" max="18" width="32" customWidth="1"/>
    <col min="19" max="19" width="20" customWidth="1"/>
    <col min="20" max="20" width="15" hidden="1" customWidth="1"/>
  </cols>
  <sheetData>
    <row r="1" spans="1:20" ht="15" x14ac:dyDescent="0.15">
      <c r="A1" s="10" t="s">
        <v>159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0" ht="15" customHeight="1" x14ac:dyDescent="0.15">
      <c r="A2" s="9" t="s">
        <v>160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0" ht="24" customHeight="1" x14ac:dyDescent="0.15">
      <c r="A3" s="18" t="s">
        <v>161</v>
      </c>
      <c r="B3" s="21">
        <f>COUNTA($B$6:$B$305)</f>
        <v>4</v>
      </c>
    </row>
    <row r="4" spans="1:20" ht="28" customHeight="1" x14ac:dyDescent="0.15">
      <c r="A4" s="18" t="s">
        <v>162</v>
      </c>
      <c r="B4" s="21">
        <f>SUBTOTAL(103,$B$6:$B$305)</f>
        <v>3</v>
      </c>
    </row>
    <row r="5" spans="1:20" ht="32" x14ac:dyDescent="0.15">
      <c r="A5" s="12" t="s">
        <v>163</v>
      </c>
      <c r="B5" s="12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2" t="s">
        <v>164</v>
      </c>
      <c r="I5" s="12" t="s">
        <v>165</v>
      </c>
      <c r="J5" s="12" t="s">
        <v>166</v>
      </c>
      <c r="K5" s="12" t="s">
        <v>167</v>
      </c>
      <c r="L5" s="12" t="s">
        <v>6</v>
      </c>
      <c r="M5" s="12" t="s">
        <v>7</v>
      </c>
      <c r="N5" s="12" t="s">
        <v>8</v>
      </c>
      <c r="O5" s="12" t="s">
        <v>9</v>
      </c>
      <c r="P5" s="12" t="s">
        <v>10</v>
      </c>
      <c r="Q5" s="12" t="s">
        <v>168</v>
      </c>
      <c r="R5" s="12" t="s">
        <v>11</v>
      </c>
      <c r="S5" s="12" t="s">
        <v>12</v>
      </c>
    </row>
    <row r="6" spans="1:20" ht="32" x14ac:dyDescent="0.15">
      <c r="A6" s="14"/>
      <c r="B6" s="13" t="s">
        <v>13</v>
      </c>
      <c r="C6" s="13" t="s">
        <v>14</v>
      </c>
      <c r="D6" s="13" t="s">
        <v>15</v>
      </c>
      <c r="E6" s="13" t="s">
        <v>16</v>
      </c>
      <c r="F6" s="13" t="s">
        <v>17</v>
      </c>
      <c r="G6" s="13" t="s">
        <v>18</v>
      </c>
      <c r="H6" s="14"/>
      <c r="I6" s="14">
        <v>46181</v>
      </c>
      <c r="J6" s="14">
        <v>46259</v>
      </c>
      <c r="K6" s="14"/>
      <c r="L6" s="13" t="s">
        <v>19</v>
      </c>
      <c r="M6" s="13" t="s">
        <v>20</v>
      </c>
      <c r="N6" s="15">
        <v>143061.41</v>
      </c>
      <c r="O6" s="15"/>
      <c r="P6" s="16">
        <f t="shared" ref="P6:P69" si="0">IF($B6="","",IF(AND($N6="",$O6=""),"",SUM($N6:$O6)))</f>
        <v>143061.41</v>
      </c>
      <c r="Q6" s="17" t="str">
        <f t="shared" ref="Q6:Q69" si="1">IF($B6="","",$B6&amp;" | "&amp;$C6&amp;" | "&amp;$D6)</f>
        <v>C042 | CARRON BAU | MURATURE IN LATERIZIO C/O COSMO SPA - PESCHIERA DEL GARDA</v>
      </c>
      <c r="R6" s="13" t="s">
        <v>21</v>
      </c>
      <c r="S6" s="17" t="str">
        <f t="shared" ref="S6:S69" si="2">IF($B6="","",IF(COUNTIF($B$6:$B$305,$B6)&gt;1,"DUPLICATO","OK"))</f>
        <v>DUPLICATO</v>
      </c>
      <c r="T6" s="14">
        <v>46249</v>
      </c>
    </row>
    <row r="7" spans="1:20" ht="32" x14ac:dyDescent="0.15">
      <c r="A7" s="14"/>
      <c r="B7" s="13" t="s">
        <v>22</v>
      </c>
      <c r="C7" s="13" t="s">
        <v>23</v>
      </c>
      <c r="D7" s="13" t="s">
        <v>24</v>
      </c>
      <c r="E7" s="13" t="s">
        <v>25</v>
      </c>
      <c r="F7" s="13" t="s">
        <v>26</v>
      </c>
      <c r="G7" s="13" t="s">
        <v>27</v>
      </c>
      <c r="H7" s="14"/>
      <c r="I7" s="14">
        <v>46037</v>
      </c>
      <c r="J7" s="14">
        <v>46112</v>
      </c>
      <c r="K7" s="14"/>
      <c r="L7" s="13" t="s">
        <v>28</v>
      </c>
      <c r="M7" s="13" t="s">
        <v>29</v>
      </c>
      <c r="N7" s="15">
        <v>55228</v>
      </c>
      <c r="O7" s="15">
        <v>127530</v>
      </c>
      <c r="P7" s="16">
        <f t="shared" si="0"/>
        <v>182758</v>
      </c>
      <c r="Q7" s="17" t="str">
        <f t="shared" si="1"/>
        <v>C011 | CARRON | ZABARELLA 2023 - COD. CANTIERE 774</v>
      </c>
      <c r="R7" s="13"/>
      <c r="S7" s="17" t="str">
        <f t="shared" si="2"/>
        <v>OK</v>
      </c>
      <c r="T7" s="14">
        <v>46112</v>
      </c>
    </row>
    <row r="8" spans="1:20" ht="32" x14ac:dyDescent="0.15">
      <c r="A8" s="14"/>
      <c r="B8" s="13" t="s">
        <v>30</v>
      </c>
      <c r="C8" s="13" t="s">
        <v>31</v>
      </c>
      <c r="D8" s="13" t="s">
        <v>32</v>
      </c>
      <c r="E8" s="13" t="s">
        <v>33</v>
      </c>
      <c r="F8" s="13" t="s">
        <v>34</v>
      </c>
      <c r="G8" s="13" t="s">
        <v>35</v>
      </c>
      <c r="H8" s="14"/>
      <c r="I8" s="14">
        <v>46023</v>
      </c>
      <c r="J8" s="14">
        <v>46387</v>
      </c>
      <c r="K8" s="14"/>
      <c r="L8" s="13" t="s">
        <v>19</v>
      </c>
      <c r="M8" s="13" t="s">
        <v>29</v>
      </c>
      <c r="N8" s="15">
        <v>100000</v>
      </c>
      <c r="O8" s="15">
        <v>0</v>
      </c>
      <c r="P8" s="16">
        <f t="shared" si="0"/>
        <v>100000</v>
      </c>
      <c r="Q8" s="17" t="str">
        <f t="shared" si="1"/>
        <v>TEST10 | COMMESSA DIMOSTRATIVA | TEST REV.10 - PERDITE SAL E COSTI MENSILI</v>
      </c>
      <c r="R8" s="13" t="s">
        <v>36</v>
      </c>
      <c r="S8" s="17" t="str">
        <f t="shared" si="2"/>
        <v>OK</v>
      </c>
      <c r="T8" s="14">
        <v>46387</v>
      </c>
    </row>
    <row r="9" spans="1:20" ht="16" hidden="1" x14ac:dyDescent="0.15">
      <c r="A9" s="14"/>
      <c r="B9" s="13" t="s">
        <v>13</v>
      </c>
      <c r="C9" s="13"/>
      <c r="D9" s="13"/>
      <c r="E9" s="13"/>
      <c r="F9" s="13"/>
      <c r="G9" s="13"/>
      <c r="H9" s="14"/>
      <c r="I9" s="14"/>
      <c r="J9" s="14"/>
      <c r="K9" s="14"/>
      <c r="L9" s="13"/>
      <c r="M9" s="13"/>
      <c r="N9" s="15"/>
      <c r="O9" s="15"/>
      <c r="P9" s="16" t="str">
        <f t="shared" si="0"/>
        <v/>
      </c>
      <c r="Q9" s="17" t="str">
        <f t="shared" si="1"/>
        <v xml:space="preserve">C042 |  | </v>
      </c>
      <c r="R9" s="13"/>
      <c r="S9" s="17" t="str">
        <f t="shared" si="2"/>
        <v>DUPLICATO</v>
      </c>
      <c r="T9" s="14"/>
    </row>
    <row r="10" spans="1:20" ht="16" hidden="1" x14ac:dyDescent="0.15">
      <c r="A10" s="14"/>
      <c r="B10" s="13"/>
      <c r="C10" s="13"/>
      <c r="D10" s="13"/>
      <c r="E10" s="13"/>
      <c r="F10" s="13"/>
      <c r="G10" s="13"/>
      <c r="H10" s="14"/>
      <c r="I10" s="14"/>
      <c r="J10" s="14"/>
      <c r="K10" s="14"/>
      <c r="L10" s="13"/>
      <c r="M10" s="13"/>
      <c r="N10" s="15"/>
      <c r="O10" s="15"/>
      <c r="P10" s="16" t="str">
        <f t="shared" si="0"/>
        <v/>
      </c>
      <c r="Q10" s="17" t="str">
        <f t="shared" si="1"/>
        <v/>
      </c>
      <c r="R10" s="13"/>
      <c r="S10" s="17" t="str">
        <f t="shared" si="2"/>
        <v/>
      </c>
      <c r="T10" s="14"/>
    </row>
    <row r="11" spans="1:20" ht="16" hidden="1" x14ac:dyDescent="0.15">
      <c r="A11" s="14"/>
      <c r="B11" s="13"/>
      <c r="C11" s="13"/>
      <c r="D11" s="13"/>
      <c r="E11" s="13"/>
      <c r="F11" s="13"/>
      <c r="G11" s="13"/>
      <c r="H11" s="14"/>
      <c r="I11" s="14"/>
      <c r="J11" s="14"/>
      <c r="K11" s="14"/>
      <c r="L11" s="13"/>
      <c r="M11" s="13"/>
      <c r="N11" s="15"/>
      <c r="O11" s="15"/>
      <c r="P11" s="16" t="str">
        <f t="shared" si="0"/>
        <v/>
      </c>
      <c r="Q11" s="17" t="str">
        <f t="shared" si="1"/>
        <v/>
      </c>
      <c r="R11" s="13"/>
      <c r="S11" s="17" t="str">
        <f t="shared" si="2"/>
        <v/>
      </c>
      <c r="T11" s="14"/>
    </row>
    <row r="12" spans="1:20" ht="16" hidden="1" x14ac:dyDescent="0.15">
      <c r="A12" s="14"/>
      <c r="B12" s="13"/>
      <c r="C12" s="13"/>
      <c r="D12" s="13"/>
      <c r="E12" s="13"/>
      <c r="F12" s="13"/>
      <c r="G12" s="13"/>
      <c r="H12" s="14"/>
      <c r="I12" s="14"/>
      <c r="J12" s="14"/>
      <c r="K12" s="14"/>
      <c r="L12" s="13"/>
      <c r="M12" s="13"/>
      <c r="N12" s="15"/>
      <c r="O12" s="15"/>
      <c r="P12" s="16" t="str">
        <f t="shared" si="0"/>
        <v/>
      </c>
      <c r="Q12" s="17" t="str">
        <f t="shared" si="1"/>
        <v/>
      </c>
      <c r="R12" s="13"/>
      <c r="S12" s="17" t="str">
        <f t="shared" si="2"/>
        <v/>
      </c>
      <c r="T12" s="14"/>
    </row>
    <row r="13" spans="1:20" ht="16" hidden="1" x14ac:dyDescent="0.15">
      <c r="A13" s="14"/>
      <c r="B13" s="13"/>
      <c r="C13" s="13"/>
      <c r="D13" s="13"/>
      <c r="E13" s="13"/>
      <c r="F13" s="13"/>
      <c r="G13" s="13"/>
      <c r="H13" s="14"/>
      <c r="I13" s="14"/>
      <c r="J13" s="14"/>
      <c r="K13" s="14"/>
      <c r="L13" s="13"/>
      <c r="M13" s="13"/>
      <c r="N13" s="15"/>
      <c r="O13" s="15"/>
      <c r="P13" s="16" t="str">
        <f t="shared" si="0"/>
        <v/>
      </c>
      <c r="Q13" s="17" t="str">
        <f t="shared" si="1"/>
        <v/>
      </c>
      <c r="R13" s="13"/>
      <c r="S13" s="17" t="str">
        <f t="shared" si="2"/>
        <v/>
      </c>
      <c r="T13" s="14"/>
    </row>
    <row r="14" spans="1:20" ht="16" hidden="1" x14ac:dyDescent="0.15">
      <c r="A14" s="14"/>
      <c r="B14" s="13"/>
      <c r="C14" s="13"/>
      <c r="D14" s="13"/>
      <c r="E14" s="13"/>
      <c r="F14" s="13"/>
      <c r="G14" s="13"/>
      <c r="H14" s="14"/>
      <c r="I14" s="14"/>
      <c r="J14" s="14"/>
      <c r="K14" s="14"/>
      <c r="L14" s="13"/>
      <c r="M14" s="13"/>
      <c r="N14" s="15"/>
      <c r="O14" s="15"/>
      <c r="P14" s="16" t="str">
        <f t="shared" si="0"/>
        <v/>
      </c>
      <c r="Q14" s="17" t="str">
        <f t="shared" si="1"/>
        <v/>
      </c>
      <c r="R14" s="13"/>
      <c r="S14" s="17" t="str">
        <f t="shared" si="2"/>
        <v/>
      </c>
      <c r="T14" s="14"/>
    </row>
    <row r="15" spans="1:20" ht="16" hidden="1" x14ac:dyDescent="0.15">
      <c r="A15" s="14"/>
      <c r="B15" s="13"/>
      <c r="C15" s="13"/>
      <c r="D15" s="13"/>
      <c r="E15" s="13"/>
      <c r="F15" s="13"/>
      <c r="G15" s="13"/>
      <c r="H15" s="14"/>
      <c r="I15" s="14"/>
      <c r="J15" s="14"/>
      <c r="K15" s="14"/>
      <c r="L15" s="13"/>
      <c r="M15" s="13"/>
      <c r="N15" s="15"/>
      <c r="O15" s="15"/>
      <c r="P15" s="16" t="str">
        <f t="shared" si="0"/>
        <v/>
      </c>
      <c r="Q15" s="17" t="str">
        <f t="shared" si="1"/>
        <v/>
      </c>
      <c r="R15" s="13"/>
      <c r="S15" s="17" t="str">
        <f t="shared" si="2"/>
        <v/>
      </c>
      <c r="T15" s="14"/>
    </row>
    <row r="16" spans="1:20" ht="16" hidden="1" x14ac:dyDescent="0.15">
      <c r="A16" s="14"/>
      <c r="B16" s="13"/>
      <c r="C16" s="13"/>
      <c r="D16" s="13"/>
      <c r="E16" s="13"/>
      <c r="F16" s="13"/>
      <c r="G16" s="13"/>
      <c r="H16" s="14"/>
      <c r="I16" s="14"/>
      <c r="J16" s="14"/>
      <c r="K16" s="14"/>
      <c r="L16" s="13"/>
      <c r="M16" s="13"/>
      <c r="N16" s="15"/>
      <c r="O16" s="15"/>
      <c r="P16" s="16" t="str">
        <f t="shared" si="0"/>
        <v/>
      </c>
      <c r="Q16" s="17" t="str">
        <f t="shared" si="1"/>
        <v/>
      </c>
      <c r="R16" s="13"/>
      <c r="S16" s="17" t="str">
        <f t="shared" si="2"/>
        <v/>
      </c>
      <c r="T16" s="14"/>
    </row>
    <row r="17" spans="1:20" ht="16" hidden="1" x14ac:dyDescent="0.15">
      <c r="A17" s="14"/>
      <c r="B17" s="13"/>
      <c r="C17" s="13"/>
      <c r="D17" s="13"/>
      <c r="E17" s="13"/>
      <c r="F17" s="13"/>
      <c r="G17" s="13"/>
      <c r="H17" s="14"/>
      <c r="I17" s="14"/>
      <c r="J17" s="14"/>
      <c r="K17" s="14"/>
      <c r="L17" s="13"/>
      <c r="M17" s="13"/>
      <c r="N17" s="15"/>
      <c r="O17" s="15"/>
      <c r="P17" s="16" t="str">
        <f t="shared" si="0"/>
        <v/>
      </c>
      <c r="Q17" s="17" t="str">
        <f t="shared" si="1"/>
        <v/>
      </c>
      <c r="R17" s="13"/>
      <c r="S17" s="17" t="str">
        <f t="shared" si="2"/>
        <v/>
      </c>
      <c r="T17" s="14"/>
    </row>
    <row r="18" spans="1:20" ht="16" hidden="1" x14ac:dyDescent="0.15">
      <c r="A18" s="14"/>
      <c r="B18" s="13"/>
      <c r="C18" s="13"/>
      <c r="D18" s="13"/>
      <c r="E18" s="13"/>
      <c r="F18" s="13"/>
      <c r="G18" s="13"/>
      <c r="H18" s="14"/>
      <c r="I18" s="14"/>
      <c r="J18" s="14"/>
      <c r="K18" s="14"/>
      <c r="L18" s="13"/>
      <c r="M18" s="13"/>
      <c r="N18" s="15"/>
      <c r="O18" s="15"/>
      <c r="P18" s="16" t="str">
        <f t="shared" si="0"/>
        <v/>
      </c>
      <c r="Q18" s="17" t="str">
        <f t="shared" si="1"/>
        <v/>
      </c>
      <c r="R18" s="13"/>
      <c r="S18" s="17" t="str">
        <f t="shared" si="2"/>
        <v/>
      </c>
      <c r="T18" s="14"/>
    </row>
    <row r="19" spans="1:20" ht="16" hidden="1" x14ac:dyDescent="0.15">
      <c r="A19" s="14"/>
      <c r="B19" s="13"/>
      <c r="C19" s="13"/>
      <c r="D19" s="13"/>
      <c r="E19" s="13"/>
      <c r="F19" s="13"/>
      <c r="G19" s="13"/>
      <c r="H19" s="14"/>
      <c r="I19" s="14"/>
      <c r="J19" s="14"/>
      <c r="K19" s="14"/>
      <c r="L19" s="13"/>
      <c r="M19" s="13"/>
      <c r="N19" s="15"/>
      <c r="O19" s="15"/>
      <c r="P19" s="16" t="str">
        <f t="shared" si="0"/>
        <v/>
      </c>
      <c r="Q19" s="17" t="str">
        <f t="shared" si="1"/>
        <v/>
      </c>
      <c r="R19" s="13"/>
      <c r="S19" s="17" t="str">
        <f t="shared" si="2"/>
        <v/>
      </c>
      <c r="T19" s="14"/>
    </row>
    <row r="20" spans="1:20" ht="16" hidden="1" x14ac:dyDescent="0.15">
      <c r="A20" s="14"/>
      <c r="B20" s="13"/>
      <c r="C20" s="13"/>
      <c r="D20" s="13"/>
      <c r="E20" s="13"/>
      <c r="F20" s="13"/>
      <c r="G20" s="13"/>
      <c r="H20" s="14"/>
      <c r="I20" s="14"/>
      <c r="J20" s="14"/>
      <c r="K20" s="14"/>
      <c r="L20" s="13"/>
      <c r="M20" s="13"/>
      <c r="N20" s="15"/>
      <c r="O20" s="15"/>
      <c r="P20" s="16" t="str">
        <f t="shared" si="0"/>
        <v/>
      </c>
      <c r="Q20" s="17" t="str">
        <f t="shared" si="1"/>
        <v/>
      </c>
      <c r="R20" s="13"/>
      <c r="S20" s="17" t="str">
        <f t="shared" si="2"/>
        <v/>
      </c>
      <c r="T20" s="14"/>
    </row>
    <row r="21" spans="1:20" ht="16" hidden="1" x14ac:dyDescent="0.15">
      <c r="A21" s="14"/>
      <c r="B21" s="13"/>
      <c r="C21" s="13"/>
      <c r="D21" s="13"/>
      <c r="E21" s="13"/>
      <c r="F21" s="13"/>
      <c r="G21" s="13"/>
      <c r="H21" s="14"/>
      <c r="I21" s="14"/>
      <c r="J21" s="14"/>
      <c r="K21" s="14"/>
      <c r="L21" s="13"/>
      <c r="M21" s="13"/>
      <c r="N21" s="15"/>
      <c r="O21" s="15"/>
      <c r="P21" s="16" t="str">
        <f t="shared" si="0"/>
        <v/>
      </c>
      <c r="Q21" s="17" t="str">
        <f t="shared" si="1"/>
        <v/>
      </c>
      <c r="R21" s="13"/>
      <c r="S21" s="17" t="str">
        <f t="shared" si="2"/>
        <v/>
      </c>
      <c r="T21" s="14"/>
    </row>
    <row r="22" spans="1:20" ht="16" hidden="1" x14ac:dyDescent="0.15">
      <c r="A22" s="14"/>
      <c r="B22" s="13"/>
      <c r="C22" s="13"/>
      <c r="D22" s="13"/>
      <c r="E22" s="13"/>
      <c r="F22" s="13"/>
      <c r="G22" s="13"/>
      <c r="H22" s="14"/>
      <c r="I22" s="14"/>
      <c r="J22" s="14"/>
      <c r="K22" s="14"/>
      <c r="L22" s="13"/>
      <c r="M22" s="13"/>
      <c r="N22" s="15"/>
      <c r="O22" s="15"/>
      <c r="P22" s="16" t="str">
        <f t="shared" si="0"/>
        <v/>
      </c>
      <c r="Q22" s="17" t="str">
        <f t="shared" si="1"/>
        <v/>
      </c>
      <c r="R22" s="13"/>
      <c r="S22" s="17" t="str">
        <f t="shared" si="2"/>
        <v/>
      </c>
      <c r="T22" s="14"/>
    </row>
    <row r="23" spans="1:20" ht="16" hidden="1" x14ac:dyDescent="0.15">
      <c r="A23" s="14"/>
      <c r="B23" s="13"/>
      <c r="C23" s="13"/>
      <c r="D23" s="13"/>
      <c r="E23" s="13"/>
      <c r="F23" s="13"/>
      <c r="G23" s="13"/>
      <c r="H23" s="14"/>
      <c r="I23" s="14"/>
      <c r="J23" s="14"/>
      <c r="K23" s="14"/>
      <c r="L23" s="13"/>
      <c r="M23" s="13"/>
      <c r="N23" s="15"/>
      <c r="O23" s="15"/>
      <c r="P23" s="16" t="str">
        <f t="shared" si="0"/>
        <v/>
      </c>
      <c r="Q23" s="17" t="str">
        <f t="shared" si="1"/>
        <v/>
      </c>
      <c r="R23" s="13"/>
      <c r="S23" s="17" t="str">
        <f t="shared" si="2"/>
        <v/>
      </c>
      <c r="T23" s="14"/>
    </row>
    <row r="24" spans="1:20" ht="16" hidden="1" x14ac:dyDescent="0.15">
      <c r="A24" s="14"/>
      <c r="B24" s="13"/>
      <c r="C24" s="13"/>
      <c r="D24" s="13"/>
      <c r="E24" s="13"/>
      <c r="F24" s="13"/>
      <c r="G24" s="13"/>
      <c r="H24" s="14"/>
      <c r="I24" s="14"/>
      <c r="J24" s="14"/>
      <c r="K24" s="14"/>
      <c r="L24" s="13"/>
      <c r="M24" s="13"/>
      <c r="N24" s="15"/>
      <c r="O24" s="15"/>
      <c r="P24" s="16" t="str">
        <f t="shared" si="0"/>
        <v/>
      </c>
      <c r="Q24" s="17" t="str">
        <f t="shared" si="1"/>
        <v/>
      </c>
      <c r="R24" s="13"/>
      <c r="S24" s="17" t="str">
        <f t="shared" si="2"/>
        <v/>
      </c>
      <c r="T24" s="14"/>
    </row>
    <row r="25" spans="1:20" ht="16" hidden="1" x14ac:dyDescent="0.15">
      <c r="A25" s="14"/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3"/>
      <c r="M25" s="13"/>
      <c r="N25" s="15"/>
      <c r="O25" s="15"/>
      <c r="P25" s="16" t="str">
        <f t="shared" si="0"/>
        <v/>
      </c>
      <c r="Q25" s="17" t="str">
        <f t="shared" si="1"/>
        <v/>
      </c>
      <c r="R25" s="13"/>
      <c r="S25" s="17" t="str">
        <f t="shared" si="2"/>
        <v/>
      </c>
      <c r="T25" s="14"/>
    </row>
    <row r="26" spans="1:20" ht="16" hidden="1" x14ac:dyDescent="0.15">
      <c r="A26" s="14"/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3"/>
      <c r="M26" s="13"/>
      <c r="N26" s="15"/>
      <c r="O26" s="15"/>
      <c r="P26" s="16" t="str">
        <f t="shared" si="0"/>
        <v/>
      </c>
      <c r="Q26" s="17" t="str">
        <f t="shared" si="1"/>
        <v/>
      </c>
      <c r="R26" s="13"/>
      <c r="S26" s="17" t="str">
        <f t="shared" si="2"/>
        <v/>
      </c>
      <c r="T26" s="14"/>
    </row>
    <row r="27" spans="1:20" ht="16" hidden="1" x14ac:dyDescent="0.15">
      <c r="A27" s="14"/>
      <c r="B27" s="13"/>
      <c r="C27" s="13"/>
      <c r="D27" s="13"/>
      <c r="E27" s="13"/>
      <c r="F27" s="13"/>
      <c r="G27" s="13"/>
      <c r="H27" s="14"/>
      <c r="I27" s="14"/>
      <c r="J27" s="14"/>
      <c r="K27" s="14"/>
      <c r="L27" s="13"/>
      <c r="M27" s="13"/>
      <c r="N27" s="15"/>
      <c r="O27" s="15"/>
      <c r="P27" s="16" t="str">
        <f t="shared" si="0"/>
        <v/>
      </c>
      <c r="Q27" s="17" t="str">
        <f t="shared" si="1"/>
        <v/>
      </c>
      <c r="R27" s="13"/>
      <c r="S27" s="17" t="str">
        <f t="shared" si="2"/>
        <v/>
      </c>
      <c r="T27" s="14"/>
    </row>
    <row r="28" spans="1:20" ht="16" hidden="1" x14ac:dyDescent="0.15">
      <c r="A28" s="14"/>
      <c r="B28" s="13"/>
      <c r="C28" s="13"/>
      <c r="D28" s="13"/>
      <c r="E28" s="13"/>
      <c r="F28" s="13"/>
      <c r="G28" s="13"/>
      <c r="H28" s="14"/>
      <c r="I28" s="14"/>
      <c r="J28" s="14"/>
      <c r="K28" s="14"/>
      <c r="L28" s="13"/>
      <c r="M28" s="13"/>
      <c r="N28" s="15"/>
      <c r="O28" s="15"/>
      <c r="P28" s="16" t="str">
        <f t="shared" si="0"/>
        <v/>
      </c>
      <c r="Q28" s="17" t="str">
        <f t="shared" si="1"/>
        <v/>
      </c>
      <c r="R28" s="13"/>
      <c r="S28" s="17" t="str">
        <f t="shared" si="2"/>
        <v/>
      </c>
      <c r="T28" s="14"/>
    </row>
    <row r="29" spans="1:20" ht="16" hidden="1" x14ac:dyDescent="0.15">
      <c r="A29" s="14"/>
      <c r="B29" s="13"/>
      <c r="C29" s="13"/>
      <c r="D29" s="13"/>
      <c r="E29" s="13"/>
      <c r="F29" s="13"/>
      <c r="G29" s="13"/>
      <c r="H29" s="14"/>
      <c r="I29" s="14"/>
      <c r="J29" s="14"/>
      <c r="K29" s="14"/>
      <c r="L29" s="13"/>
      <c r="M29" s="13"/>
      <c r="N29" s="15"/>
      <c r="O29" s="15"/>
      <c r="P29" s="16" t="str">
        <f t="shared" si="0"/>
        <v/>
      </c>
      <c r="Q29" s="17" t="str">
        <f t="shared" si="1"/>
        <v/>
      </c>
      <c r="R29" s="13"/>
      <c r="S29" s="17" t="str">
        <f t="shared" si="2"/>
        <v/>
      </c>
      <c r="T29" s="14"/>
    </row>
    <row r="30" spans="1:20" ht="16" hidden="1" x14ac:dyDescent="0.15">
      <c r="A30" s="14"/>
      <c r="B30" s="13"/>
      <c r="C30" s="13"/>
      <c r="D30" s="13"/>
      <c r="E30" s="13"/>
      <c r="F30" s="13"/>
      <c r="G30" s="13"/>
      <c r="H30" s="14"/>
      <c r="I30" s="14"/>
      <c r="J30" s="14"/>
      <c r="K30" s="14"/>
      <c r="L30" s="13"/>
      <c r="M30" s="13"/>
      <c r="N30" s="15"/>
      <c r="O30" s="15"/>
      <c r="P30" s="16" t="str">
        <f t="shared" si="0"/>
        <v/>
      </c>
      <c r="Q30" s="17" t="str">
        <f t="shared" si="1"/>
        <v/>
      </c>
      <c r="R30" s="13"/>
      <c r="S30" s="17" t="str">
        <f t="shared" si="2"/>
        <v/>
      </c>
      <c r="T30" s="14"/>
    </row>
    <row r="31" spans="1:20" ht="16" hidden="1" x14ac:dyDescent="0.15">
      <c r="A31" s="14"/>
      <c r="B31" s="13"/>
      <c r="C31" s="13"/>
      <c r="D31" s="13"/>
      <c r="E31" s="13"/>
      <c r="F31" s="13"/>
      <c r="G31" s="13"/>
      <c r="H31" s="14"/>
      <c r="I31" s="14"/>
      <c r="J31" s="14"/>
      <c r="K31" s="14"/>
      <c r="L31" s="13"/>
      <c r="M31" s="13"/>
      <c r="N31" s="15"/>
      <c r="O31" s="15"/>
      <c r="P31" s="16" t="str">
        <f t="shared" si="0"/>
        <v/>
      </c>
      <c r="Q31" s="17" t="str">
        <f t="shared" si="1"/>
        <v/>
      </c>
      <c r="R31" s="13"/>
      <c r="S31" s="17" t="str">
        <f t="shared" si="2"/>
        <v/>
      </c>
      <c r="T31" s="14"/>
    </row>
    <row r="32" spans="1:20" ht="16" hidden="1" x14ac:dyDescent="0.15">
      <c r="A32" s="14"/>
      <c r="B32" s="13"/>
      <c r="C32" s="13"/>
      <c r="D32" s="13"/>
      <c r="E32" s="13"/>
      <c r="F32" s="13"/>
      <c r="G32" s="13"/>
      <c r="H32" s="14"/>
      <c r="I32" s="14"/>
      <c r="J32" s="14"/>
      <c r="K32" s="14"/>
      <c r="L32" s="13"/>
      <c r="M32" s="13"/>
      <c r="N32" s="15"/>
      <c r="O32" s="15"/>
      <c r="P32" s="16" t="str">
        <f t="shared" si="0"/>
        <v/>
      </c>
      <c r="Q32" s="17" t="str">
        <f t="shared" si="1"/>
        <v/>
      </c>
      <c r="R32" s="13"/>
      <c r="S32" s="17" t="str">
        <f t="shared" si="2"/>
        <v/>
      </c>
      <c r="T32" s="14"/>
    </row>
    <row r="33" spans="1:20" ht="16" hidden="1" x14ac:dyDescent="0.15">
      <c r="A33" s="14"/>
      <c r="B33" s="13"/>
      <c r="C33" s="13"/>
      <c r="D33" s="13"/>
      <c r="E33" s="13"/>
      <c r="F33" s="13"/>
      <c r="G33" s="13"/>
      <c r="H33" s="14"/>
      <c r="I33" s="14"/>
      <c r="J33" s="14"/>
      <c r="K33" s="14"/>
      <c r="L33" s="13"/>
      <c r="M33" s="13"/>
      <c r="N33" s="15"/>
      <c r="O33" s="15"/>
      <c r="P33" s="16" t="str">
        <f t="shared" si="0"/>
        <v/>
      </c>
      <c r="Q33" s="17" t="str">
        <f t="shared" si="1"/>
        <v/>
      </c>
      <c r="R33" s="13"/>
      <c r="S33" s="17" t="str">
        <f t="shared" si="2"/>
        <v/>
      </c>
      <c r="T33" s="14"/>
    </row>
    <row r="34" spans="1:20" ht="16" hidden="1" x14ac:dyDescent="0.15">
      <c r="A34" s="14"/>
      <c r="B34" s="13"/>
      <c r="C34" s="13"/>
      <c r="D34" s="13"/>
      <c r="E34" s="13"/>
      <c r="F34" s="13"/>
      <c r="G34" s="13"/>
      <c r="H34" s="14"/>
      <c r="I34" s="14"/>
      <c r="J34" s="14"/>
      <c r="K34" s="14"/>
      <c r="L34" s="13"/>
      <c r="M34" s="13"/>
      <c r="N34" s="15"/>
      <c r="O34" s="15"/>
      <c r="P34" s="16" t="str">
        <f t="shared" si="0"/>
        <v/>
      </c>
      <c r="Q34" s="17" t="str">
        <f t="shared" si="1"/>
        <v/>
      </c>
      <c r="R34" s="13"/>
      <c r="S34" s="17" t="str">
        <f t="shared" si="2"/>
        <v/>
      </c>
      <c r="T34" s="14"/>
    </row>
    <row r="35" spans="1:20" ht="16" hidden="1" x14ac:dyDescent="0.15">
      <c r="A35" s="14"/>
      <c r="B35" s="13"/>
      <c r="C35" s="13"/>
      <c r="D35" s="13"/>
      <c r="E35" s="13"/>
      <c r="F35" s="13"/>
      <c r="G35" s="13"/>
      <c r="H35" s="14"/>
      <c r="I35" s="14"/>
      <c r="J35" s="14"/>
      <c r="K35" s="14"/>
      <c r="L35" s="13"/>
      <c r="M35" s="13"/>
      <c r="N35" s="15"/>
      <c r="O35" s="15"/>
      <c r="P35" s="16" t="str">
        <f t="shared" si="0"/>
        <v/>
      </c>
      <c r="Q35" s="17" t="str">
        <f t="shared" si="1"/>
        <v/>
      </c>
      <c r="R35" s="13"/>
      <c r="S35" s="17" t="str">
        <f t="shared" si="2"/>
        <v/>
      </c>
      <c r="T35" s="14"/>
    </row>
    <row r="36" spans="1:20" ht="16" hidden="1" x14ac:dyDescent="0.15">
      <c r="A36" s="14"/>
      <c r="B36" s="13"/>
      <c r="C36" s="13"/>
      <c r="D36" s="13"/>
      <c r="E36" s="13"/>
      <c r="F36" s="13"/>
      <c r="G36" s="13"/>
      <c r="H36" s="14"/>
      <c r="I36" s="14"/>
      <c r="J36" s="14"/>
      <c r="K36" s="14"/>
      <c r="L36" s="13"/>
      <c r="M36" s="13"/>
      <c r="N36" s="15"/>
      <c r="O36" s="15"/>
      <c r="P36" s="16" t="str">
        <f t="shared" si="0"/>
        <v/>
      </c>
      <c r="Q36" s="17" t="str">
        <f t="shared" si="1"/>
        <v/>
      </c>
      <c r="R36" s="13"/>
      <c r="S36" s="17" t="str">
        <f t="shared" si="2"/>
        <v/>
      </c>
      <c r="T36" s="14"/>
    </row>
    <row r="37" spans="1:20" ht="16" hidden="1" x14ac:dyDescent="0.15">
      <c r="A37" s="14"/>
      <c r="B37" s="13"/>
      <c r="C37" s="13"/>
      <c r="D37" s="13"/>
      <c r="E37" s="13"/>
      <c r="F37" s="13"/>
      <c r="G37" s="13"/>
      <c r="H37" s="14"/>
      <c r="I37" s="14"/>
      <c r="J37" s="14"/>
      <c r="K37" s="14"/>
      <c r="L37" s="13"/>
      <c r="M37" s="13"/>
      <c r="N37" s="15"/>
      <c r="O37" s="15"/>
      <c r="P37" s="16" t="str">
        <f t="shared" si="0"/>
        <v/>
      </c>
      <c r="Q37" s="17" t="str">
        <f t="shared" si="1"/>
        <v/>
      </c>
      <c r="R37" s="13"/>
      <c r="S37" s="17" t="str">
        <f t="shared" si="2"/>
        <v/>
      </c>
      <c r="T37" s="14"/>
    </row>
    <row r="38" spans="1:20" ht="16" hidden="1" x14ac:dyDescent="0.15">
      <c r="A38" s="14"/>
      <c r="B38" s="13"/>
      <c r="C38" s="13"/>
      <c r="D38" s="13"/>
      <c r="E38" s="13"/>
      <c r="F38" s="13"/>
      <c r="G38" s="13"/>
      <c r="H38" s="14"/>
      <c r="I38" s="14"/>
      <c r="J38" s="14"/>
      <c r="K38" s="14"/>
      <c r="L38" s="13"/>
      <c r="M38" s="13"/>
      <c r="N38" s="15"/>
      <c r="O38" s="15"/>
      <c r="P38" s="16" t="str">
        <f t="shared" si="0"/>
        <v/>
      </c>
      <c r="Q38" s="17" t="str">
        <f t="shared" si="1"/>
        <v/>
      </c>
      <c r="R38" s="13"/>
      <c r="S38" s="17" t="str">
        <f t="shared" si="2"/>
        <v/>
      </c>
      <c r="T38" s="14"/>
    </row>
    <row r="39" spans="1:20" ht="16" hidden="1" x14ac:dyDescent="0.15">
      <c r="A39" s="14"/>
      <c r="B39" s="13"/>
      <c r="C39" s="13"/>
      <c r="D39" s="13"/>
      <c r="E39" s="13"/>
      <c r="F39" s="13"/>
      <c r="G39" s="13"/>
      <c r="H39" s="14"/>
      <c r="I39" s="14"/>
      <c r="J39" s="14"/>
      <c r="K39" s="14"/>
      <c r="L39" s="13"/>
      <c r="M39" s="13"/>
      <c r="N39" s="15"/>
      <c r="O39" s="15"/>
      <c r="P39" s="16" t="str">
        <f t="shared" si="0"/>
        <v/>
      </c>
      <c r="Q39" s="17" t="str">
        <f t="shared" si="1"/>
        <v/>
      </c>
      <c r="R39" s="13"/>
      <c r="S39" s="17" t="str">
        <f t="shared" si="2"/>
        <v/>
      </c>
      <c r="T39" s="14"/>
    </row>
    <row r="40" spans="1:20" ht="16" hidden="1" x14ac:dyDescent="0.15">
      <c r="A40" s="14"/>
      <c r="B40" s="13"/>
      <c r="C40" s="13"/>
      <c r="D40" s="13"/>
      <c r="E40" s="13"/>
      <c r="F40" s="13"/>
      <c r="G40" s="13"/>
      <c r="H40" s="14"/>
      <c r="I40" s="14"/>
      <c r="J40" s="14"/>
      <c r="K40" s="14"/>
      <c r="L40" s="13"/>
      <c r="M40" s="13"/>
      <c r="N40" s="15"/>
      <c r="O40" s="15"/>
      <c r="P40" s="16" t="str">
        <f t="shared" si="0"/>
        <v/>
      </c>
      <c r="Q40" s="17" t="str">
        <f t="shared" si="1"/>
        <v/>
      </c>
      <c r="R40" s="13"/>
      <c r="S40" s="17" t="str">
        <f t="shared" si="2"/>
        <v/>
      </c>
      <c r="T40" s="14"/>
    </row>
    <row r="41" spans="1:20" ht="16" hidden="1" x14ac:dyDescent="0.15">
      <c r="A41" s="14"/>
      <c r="B41" s="13"/>
      <c r="C41" s="13"/>
      <c r="D41" s="13"/>
      <c r="E41" s="13"/>
      <c r="F41" s="13"/>
      <c r="G41" s="13"/>
      <c r="H41" s="14"/>
      <c r="I41" s="14"/>
      <c r="J41" s="14"/>
      <c r="K41" s="14"/>
      <c r="L41" s="13"/>
      <c r="M41" s="13"/>
      <c r="N41" s="15"/>
      <c r="O41" s="15"/>
      <c r="P41" s="16" t="str">
        <f t="shared" si="0"/>
        <v/>
      </c>
      <c r="Q41" s="17" t="str">
        <f t="shared" si="1"/>
        <v/>
      </c>
      <c r="R41" s="13"/>
      <c r="S41" s="17" t="str">
        <f t="shared" si="2"/>
        <v/>
      </c>
      <c r="T41" s="14"/>
    </row>
    <row r="42" spans="1:20" ht="16" hidden="1" x14ac:dyDescent="0.15">
      <c r="A42" s="14"/>
      <c r="B42" s="13"/>
      <c r="C42" s="13"/>
      <c r="D42" s="13"/>
      <c r="E42" s="13"/>
      <c r="F42" s="13"/>
      <c r="G42" s="13"/>
      <c r="H42" s="14"/>
      <c r="I42" s="14"/>
      <c r="J42" s="14"/>
      <c r="K42" s="14"/>
      <c r="L42" s="13"/>
      <c r="M42" s="13"/>
      <c r="N42" s="15"/>
      <c r="O42" s="15"/>
      <c r="P42" s="16" t="str">
        <f t="shared" si="0"/>
        <v/>
      </c>
      <c r="Q42" s="17" t="str">
        <f t="shared" si="1"/>
        <v/>
      </c>
      <c r="R42" s="13"/>
      <c r="S42" s="17" t="str">
        <f t="shared" si="2"/>
        <v/>
      </c>
      <c r="T42" s="14"/>
    </row>
    <row r="43" spans="1:20" ht="16" hidden="1" x14ac:dyDescent="0.15">
      <c r="A43" s="14"/>
      <c r="B43" s="13"/>
      <c r="C43" s="13"/>
      <c r="D43" s="13"/>
      <c r="E43" s="13"/>
      <c r="F43" s="13"/>
      <c r="G43" s="13"/>
      <c r="H43" s="14"/>
      <c r="I43" s="14"/>
      <c r="J43" s="14"/>
      <c r="K43" s="14"/>
      <c r="L43" s="13"/>
      <c r="M43" s="13"/>
      <c r="N43" s="15"/>
      <c r="O43" s="15"/>
      <c r="P43" s="16" t="str">
        <f t="shared" si="0"/>
        <v/>
      </c>
      <c r="Q43" s="17" t="str">
        <f t="shared" si="1"/>
        <v/>
      </c>
      <c r="R43" s="13"/>
      <c r="S43" s="17" t="str">
        <f t="shared" si="2"/>
        <v/>
      </c>
      <c r="T43" s="14"/>
    </row>
    <row r="44" spans="1:20" ht="16" hidden="1" x14ac:dyDescent="0.15">
      <c r="A44" s="14"/>
      <c r="B44" s="13"/>
      <c r="C44" s="13"/>
      <c r="D44" s="13"/>
      <c r="E44" s="13"/>
      <c r="F44" s="13"/>
      <c r="G44" s="13"/>
      <c r="H44" s="14"/>
      <c r="I44" s="14"/>
      <c r="J44" s="14"/>
      <c r="K44" s="14"/>
      <c r="L44" s="13"/>
      <c r="M44" s="13"/>
      <c r="N44" s="15"/>
      <c r="O44" s="15"/>
      <c r="P44" s="16" t="str">
        <f t="shared" si="0"/>
        <v/>
      </c>
      <c r="Q44" s="17" t="str">
        <f t="shared" si="1"/>
        <v/>
      </c>
      <c r="R44" s="13"/>
      <c r="S44" s="17" t="str">
        <f t="shared" si="2"/>
        <v/>
      </c>
      <c r="T44" s="14"/>
    </row>
    <row r="45" spans="1:20" ht="16" hidden="1" x14ac:dyDescent="0.15">
      <c r="A45" s="14"/>
      <c r="B45" s="13"/>
      <c r="C45" s="13"/>
      <c r="D45" s="13"/>
      <c r="E45" s="13"/>
      <c r="F45" s="13"/>
      <c r="G45" s="13"/>
      <c r="H45" s="14"/>
      <c r="I45" s="14"/>
      <c r="J45" s="14"/>
      <c r="K45" s="14"/>
      <c r="L45" s="13"/>
      <c r="M45" s="13"/>
      <c r="N45" s="15"/>
      <c r="O45" s="15"/>
      <c r="P45" s="16" t="str">
        <f t="shared" si="0"/>
        <v/>
      </c>
      <c r="Q45" s="17" t="str">
        <f t="shared" si="1"/>
        <v/>
      </c>
      <c r="R45" s="13"/>
      <c r="S45" s="17" t="str">
        <f t="shared" si="2"/>
        <v/>
      </c>
      <c r="T45" s="14"/>
    </row>
    <row r="46" spans="1:20" ht="16" hidden="1" x14ac:dyDescent="0.15">
      <c r="A46" s="14"/>
      <c r="B46" s="13"/>
      <c r="C46" s="13"/>
      <c r="D46" s="13"/>
      <c r="E46" s="13"/>
      <c r="F46" s="13"/>
      <c r="G46" s="13"/>
      <c r="H46" s="14"/>
      <c r="I46" s="14"/>
      <c r="J46" s="14"/>
      <c r="K46" s="14"/>
      <c r="L46" s="13"/>
      <c r="M46" s="13"/>
      <c r="N46" s="15"/>
      <c r="O46" s="15"/>
      <c r="P46" s="16" t="str">
        <f t="shared" si="0"/>
        <v/>
      </c>
      <c r="Q46" s="17" t="str">
        <f t="shared" si="1"/>
        <v/>
      </c>
      <c r="R46" s="13"/>
      <c r="S46" s="17" t="str">
        <f t="shared" si="2"/>
        <v/>
      </c>
      <c r="T46" s="14"/>
    </row>
    <row r="47" spans="1:20" ht="16" hidden="1" x14ac:dyDescent="0.15">
      <c r="A47" s="14"/>
      <c r="B47" s="13"/>
      <c r="C47" s="13"/>
      <c r="D47" s="13"/>
      <c r="E47" s="13"/>
      <c r="F47" s="13"/>
      <c r="G47" s="13"/>
      <c r="H47" s="14"/>
      <c r="I47" s="14"/>
      <c r="J47" s="14"/>
      <c r="K47" s="14"/>
      <c r="L47" s="13"/>
      <c r="M47" s="13"/>
      <c r="N47" s="15"/>
      <c r="O47" s="15"/>
      <c r="P47" s="16" t="str">
        <f t="shared" si="0"/>
        <v/>
      </c>
      <c r="Q47" s="17" t="str">
        <f t="shared" si="1"/>
        <v/>
      </c>
      <c r="R47" s="13"/>
      <c r="S47" s="17" t="str">
        <f t="shared" si="2"/>
        <v/>
      </c>
      <c r="T47" s="14"/>
    </row>
    <row r="48" spans="1:20" ht="16" hidden="1" x14ac:dyDescent="0.15">
      <c r="A48" s="14"/>
      <c r="B48" s="13"/>
      <c r="C48" s="13"/>
      <c r="D48" s="13"/>
      <c r="E48" s="13"/>
      <c r="F48" s="13"/>
      <c r="G48" s="13"/>
      <c r="H48" s="14"/>
      <c r="I48" s="14"/>
      <c r="J48" s="14"/>
      <c r="K48" s="14"/>
      <c r="L48" s="13"/>
      <c r="M48" s="13"/>
      <c r="N48" s="15"/>
      <c r="O48" s="15"/>
      <c r="P48" s="16" t="str">
        <f t="shared" si="0"/>
        <v/>
      </c>
      <c r="Q48" s="17" t="str">
        <f t="shared" si="1"/>
        <v/>
      </c>
      <c r="R48" s="13"/>
      <c r="S48" s="17" t="str">
        <f t="shared" si="2"/>
        <v/>
      </c>
      <c r="T48" s="14"/>
    </row>
    <row r="49" spans="1:20" ht="16" hidden="1" x14ac:dyDescent="0.15">
      <c r="A49" s="14"/>
      <c r="B49" s="13"/>
      <c r="C49" s="13"/>
      <c r="D49" s="13"/>
      <c r="E49" s="13"/>
      <c r="F49" s="13"/>
      <c r="G49" s="13"/>
      <c r="H49" s="14"/>
      <c r="I49" s="14"/>
      <c r="J49" s="14"/>
      <c r="K49" s="14"/>
      <c r="L49" s="13"/>
      <c r="M49" s="13"/>
      <c r="N49" s="15"/>
      <c r="O49" s="15"/>
      <c r="P49" s="16" t="str">
        <f t="shared" si="0"/>
        <v/>
      </c>
      <c r="Q49" s="17" t="str">
        <f t="shared" si="1"/>
        <v/>
      </c>
      <c r="R49" s="13"/>
      <c r="S49" s="17" t="str">
        <f t="shared" si="2"/>
        <v/>
      </c>
      <c r="T49" s="14"/>
    </row>
    <row r="50" spans="1:20" ht="16" hidden="1" x14ac:dyDescent="0.15">
      <c r="A50" s="14"/>
      <c r="B50" s="13"/>
      <c r="C50" s="13"/>
      <c r="D50" s="13"/>
      <c r="E50" s="13"/>
      <c r="F50" s="13"/>
      <c r="G50" s="13"/>
      <c r="H50" s="14"/>
      <c r="I50" s="14"/>
      <c r="J50" s="14"/>
      <c r="K50" s="14"/>
      <c r="L50" s="13"/>
      <c r="M50" s="13"/>
      <c r="N50" s="15"/>
      <c r="O50" s="15"/>
      <c r="P50" s="16" t="str">
        <f t="shared" si="0"/>
        <v/>
      </c>
      <c r="Q50" s="17" t="str">
        <f t="shared" si="1"/>
        <v/>
      </c>
      <c r="R50" s="13"/>
      <c r="S50" s="17" t="str">
        <f t="shared" si="2"/>
        <v/>
      </c>
      <c r="T50" s="14"/>
    </row>
    <row r="51" spans="1:20" ht="16" hidden="1" x14ac:dyDescent="0.15">
      <c r="A51" s="14"/>
      <c r="B51" s="13"/>
      <c r="C51" s="13"/>
      <c r="D51" s="13"/>
      <c r="E51" s="13"/>
      <c r="F51" s="13"/>
      <c r="G51" s="13"/>
      <c r="H51" s="14"/>
      <c r="I51" s="14"/>
      <c r="J51" s="14"/>
      <c r="K51" s="14"/>
      <c r="L51" s="13"/>
      <c r="M51" s="13"/>
      <c r="N51" s="15"/>
      <c r="O51" s="15"/>
      <c r="P51" s="16" t="str">
        <f t="shared" si="0"/>
        <v/>
      </c>
      <c r="Q51" s="17" t="str">
        <f t="shared" si="1"/>
        <v/>
      </c>
      <c r="R51" s="13"/>
      <c r="S51" s="17" t="str">
        <f t="shared" si="2"/>
        <v/>
      </c>
      <c r="T51" s="14"/>
    </row>
    <row r="52" spans="1:20" ht="16" hidden="1" x14ac:dyDescent="0.15">
      <c r="A52" s="14"/>
      <c r="B52" s="13"/>
      <c r="C52" s="13"/>
      <c r="D52" s="13"/>
      <c r="E52" s="13"/>
      <c r="F52" s="13"/>
      <c r="G52" s="13"/>
      <c r="H52" s="14"/>
      <c r="I52" s="14"/>
      <c r="J52" s="14"/>
      <c r="K52" s="14"/>
      <c r="L52" s="13"/>
      <c r="M52" s="13"/>
      <c r="N52" s="15"/>
      <c r="O52" s="15"/>
      <c r="P52" s="16" t="str">
        <f t="shared" si="0"/>
        <v/>
      </c>
      <c r="Q52" s="17" t="str">
        <f t="shared" si="1"/>
        <v/>
      </c>
      <c r="R52" s="13"/>
      <c r="S52" s="17" t="str">
        <f t="shared" si="2"/>
        <v/>
      </c>
      <c r="T52" s="14"/>
    </row>
    <row r="53" spans="1:20" ht="16" hidden="1" x14ac:dyDescent="0.15">
      <c r="A53" s="14"/>
      <c r="B53" s="13"/>
      <c r="C53" s="13"/>
      <c r="D53" s="13"/>
      <c r="E53" s="13"/>
      <c r="F53" s="13"/>
      <c r="G53" s="13"/>
      <c r="H53" s="14"/>
      <c r="I53" s="14"/>
      <c r="J53" s="14"/>
      <c r="K53" s="14"/>
      <c r="L53" s="13"/>
      <c r="M53" s="13"/>
      <c r="N53" s="15"/>
      <c r="O53" s="15"/>
      <c r="P53" s="16" t="str">
        <f t="shared" si="0"/>
        <v/>
      </c>
      <c r="Q53" s="17" t="str">
        <f t="shared" si="1"/>
        <v/>
      </c>
      <c r="R53" s="13"/>
      <c r="S53" s="17" t="str">
        <f t="shared" si="2"/>
        <v/>
      </c>
      <c r="T53" s="14"/>
    </row>
    <row r="54" spans="1:20" ht="16" hidden="1" x14ac:dyDescent="0.15">
      <c r="A54" s="14"/>
      <c r="B54" s="13"/>
      <c r="C54" s="13"/>
      <c r="D54" s="13"/>
      <c r="E54" s="13"/>
      <c r="F54" s="13"/>
      <c r="G54" s="13"/>
      <c r="H54" s="14"/>
      <c r="I54" s="14"/>
      <c r="J54" s="14"/>
      <c r="K54" s="14"/>
      <c r="L54" s="13"/>
      <c r="M54" s="13"/>
      <c r="N54" s="15"/>
      <c r="O54" s="15"/>
      <c r="P54" s="16" t="str">
        <f t="shared" si="0"/>
        <v/>
      </c>
      <c r="Q54" s="17" t="str">
        <f t="shared" si="1"/>
        <v/>
      </c>
      <c r="R54" s="13"/>
      <c r="S54" s="17" t="str">
        <f t="shared" si="2"/>
        <v/>
      </c>
      <c r="T54" s="14"/>
    </row>
    <row r="55" spans="1:20" ht="16" hidden="1" x14ac:dyDescent="0.15">
      <c r="A55" s="14"/>
      <c r="B55" s="13"/>
      <c r="C55" s="13"/>
      <c r="D55" s="13"/>
      <c r="E55" s="13"/>
      <c r="F55" s="13"/>
      <c r="G55" s="13"/>
      <c r="H55" s="14"/>
      <c r="I55" s="14"/>
      <c r="J55" s="14"/>
      <c r="K55" s="14"/>
      <c r="L55" s="13"/>
      <c r="M55" s="13"/>
      <c r="N55" s="15"/>
      <c r="O55" s="15"/>
      <c r="P55" s="16" t="str">
        <f t="shared" si="0"/>
        <v/>
      </c>
      <c r="Q55" s="17" t="str">
        <f t="shared" si="1"/>
        <v/>
      </c>
      <c r="R55" s="13"/>
      <c r="S55" s="17" t="str">
        <f t="shared" si="2"/>
        <v/>
      </c>
      <c r="T55" s="14"/>
    </row>
    <row r="56" spans="1:20" ht="16" hidden="1" x14ac:dyDescent="0.15">
      <c r="A56" s="14"/>
      <c r="B56" s="13"/>
      <c r="C56" s="13"/>
      <c r="D56" s="13"/>
      <c r="E56" s="13"/>
      <c r="F56" s="13"/>
      <c r="G56" s="13"/>
      <c r="H56" s="14"/>
      <c r="I56" s="14"/>
      <c r="J56" s="14"/>
      <c r="K56" s="14"/>
      <c r="L56" s="13"/>
      <c r="M56" s="13"/>
      <c r="N56" s="15"/>
      <c r="O56" s="15"/>
      <c r="P56" s="16" t="str">
        <f t="shared" si="0"/>
        <v/>
      </c>
      <c r="Q56" s="17" t="str">
        <f t="shared" si="1"/>
        <v/>
      </c>
      <c r="R56" s="13"/>
      <c r="S56" s="17" t="str">
        <f t="shared" si="2"/>
        <v/>
      </c>
      <c r="T56" s="14"/>
    </row>
    <row r="57" spans="1:20" ht="16" hidden="1" x14ac:dyDescent="0.15">
      <c r="A57" s="14"/>
      <c r="B57" s="13"/>
      <c r="C57" s="13"/>
      <c r="D57" s="13"/>
      <c r="E57" s="13"/>
      <c r="F57" s="13"/>
      <c r="G57" s="13"/>
      <c r="H57" s="14"/>
      <c r="I57" s="14"/>
      <c r="J57" s="14"/>
      <c r="K57" s="14"/>
      <c r="L57" s="13"/>
      <c r="M57" s="13"/>
      <c r="N57" s="15"/>
      <c r="O57" s="15"/>
      <c r="P57" s="16" t="str">
        <f t="shared" si="0"/>
        <v/>
      </c>
      <c r="Q57" s="17" t="str">
        <f t="shared" si="1"/>
        <v/>
      </c>
      <c r="R57" s="13"/>
      <c r="S57" s="17" t="str">
        <f t="shared" si="2"/>
        <v/>
      </c>
      <c r="T57" s="14"/>
    </row>
    <row r="58" spans="1:20" ht="16" hidden="1" x14ac:dyDescent="0.15">
      <c r="A58" s="14"/>
      <c r="B58" s="13"/>
      <c r="C58" s="13"/>
      <c r="D58" s="13"/>
      <c r="E58" s="13"/>
      <c r="F58" s="13"/>
      <c r="G58" s="13"/>
      <c r="H58" s="14"/>
      <c r="I58" s="14"/>
      <c r="J58" s="14"/>
      <c r="K58" s="14"/>
      <c r="L58" s="13"/>
      <c r="M58" s="13"/>
      <c r="N58" s="15"/>
      <c r="O58" s="15"/>
      <c r="P58" s="16" t="str">
        <f t="shared" si="0"/>
        <v/>
      </c>
      <c r="Q58" s="17" t="str">
        <f t="shared" si="1"/>
        <v/>
      </c>
      <c r="R58" s="13"/>
      <c r="S58" s="17" t="str">
        <f t="shared" si="2"/>
        <v/>
      </c>
      <c r="T58" s="14"/>
    </row>
    <row r="59" spans="1:20" ht="16" hidden="1" x14ac:dyDescent="0.15">
      <c r="A59" s="14"/>
      <c r="B59" s="13"/>
      <c r="C59" s="13"/>
      <c r="D59" s="13"/>
      <c r="E59" s="13"/>
      <c r="F59" s="13"/>
      <c r="G59" s="13"/>
      <c r="H59" s="14"/>
      <c r="I59" s="14"/>
      <c r="J59" s="14"/>
      <c r="K59" s="14"/>
      <c r="L59" s="13"/>
      <c r="M59" s="13"/>
      <c r="N59" s="15"/>
      <c r="O59" s="15"/>
      <c r="P59" s="16" t="str">
        <f t="shared" si="0"/>
        <v/>
      </c>
      <c r="Q59" s="17" t="str">
        <f t="shared" si="1"/>
        <v/>
      </c>
      <c r="R59" s="13"/>
      <c r="S59" s="17" t="str">
        <f t="shared" si="2"/>
        <v/>
      </c>
      <c r="T59" s="14"/>
    </row>
    <row r="60" spans="1:20" ht="16" hidden="1" x14ac:dyDescent="0.15">
      <c r="A60" s="14"/>
      <c r="B60" s="13"/>
      <c r="C60" s="13"/>
      <c r="D60" s="13"/>
      <c r="E60" s="13"/>
      <c r="F60" s="13"/>
      <c r="G60" s="13"/>
      <c r="H60" s="14"/>
      <c r="I60" s="14"/>
      <c r="J60" s="14"/>
      <c r="K60" s="14"/>
      <c r="L60" s="13"/>
      <c r="M60" s="13"/>
      <c r="N60" s="15"/>
      <c r="O60" s="15"/>
      <c r="P60" s="16" t="str">
        <f t="shared" si="0"/>
        <v/>
      </c>
      <c r="Q60" s="17" t="str">
        <f t="shared" si="1"/>
        <v/>
      </c>
      <c r="R60" s="13"/>
      <c r="S60" s="17" t="str">
        <f t="shared" si="2"/>
        <v/>
      </c>
      <c r="T60" s="14"/>
    </row>
    <row r="61" spans="1:20" ht="16" hidden="1" x14ac:dyDescent="0.15">
      <c r="A61" s="14"/>
      <c r="B61" s="13"/>
      <c r="C61" s="13"/>
      <c r="D61" s="13"/>
      <c r="E61" s="13"/>
      <c r="F61" s="13"/>
      <c r="G61" s="13"/>
      <c r="H61" s="14"/>
      <c r="I61" s="14"/>
      <c r="J61" s="14"/>
      <c r="K61" s="14"/>
      <c r="L61" s="13"/>
      <c r="M61" s="13"/>
      <c r="N61" s="15"/>
      <c r="O61" s="15"/>
      <c r="P61" s="16" t="str">
        <f t="shared" si="0"/>
        <v/>
      </c>
      <c r="Q61" s="17" t="str">
        <f t="shared" si="1"/>
        <v/>
      </c>
      <c r="R61" s="13"/>
      <c r="S61" s="17" t="str">
        <f t="shared" si="2"/>
        <v/>
      </c>
      <c r="T61" s="14"/>
    </row>
    <row r="62" spans="1:20" ht="16" hidden="1" x14ac:dyDescent="0.15">
      <c r="A62" s="14"/>
      <c r="B62" s="13"/>
      <c r="C62" s="13"/>
      <c r="D62" s="13"/>
      <c r="E62" s="13"/>
      <c r="F62" s="13"/>
      <c r="G62" s="13"/>
      <c r="H62" s="14"/>
      <c r="I62" s="14"/>
      <c r="J62" s="14"/>
      <c r="K62" s="14"/>
      <c r="L62" s="13"/>
      <c r="M62" s="13"/>
      <c r="N62" s="15"/>
      <c r="O62" s="15"/>
      <c r="P62" s="16" t="str">
        <f t="shared" si="0"/>
        <v/>
      </c>
      <c r="Q62" s="17" t="str">
        <f t="shared" si="1"/>
        <v/>
      </c>
      <c r="R62" s="13"/>
      <c r="S62" s="17" t="str">
        <f t="shared" si="2"/>
        <v/>
      </c>
      <c r="T62" s="14"/>
    </row>
    <row r="63" spans="1:20" ht="16" hidden="1" x14ac:dyDescent="0.15">
      <c r="A63" s="14"/>
      <c r="B63" s="13"/>
      <c r="C63" s="13"/>
      <c r="D63" s="13"/>
      <c r="E63" s="13"/>
      <c r="F63" s="13"/>
      <c r="G63" s="13"/>
      <c r="H63" s="14"/>
      <c r="I63" s="14"/>
      <c r="J63" s="14"/>
      <c r="K63" s="14"/>
      <c r="L63" s="13"/>
      <c r="M63" s="13"/>
      <c r="N63" s="15"/>
      <c r="O63" s="15"/>
      <c r="P63" s="16" t="str">
        <f t="shared" si="0"/>
        <v/>
      </c>
      <c r="Q63" s="17" t="str">
        <f t="shared" si="1"/>
        <v/>
      </c>
      <c r="R63" s="13"/>
      <c r="S63" s="17" t="str">
        <f t="shared" si="2"/>
        <v/>
      </c>
      <c r="T63" s="14"/>
    </row>
    <row r="64" spans="1:20" ht="16" hidden="1" x14ac:dyDescent="0.15">
      <c r="A64" s="14"/>
      <c r="B64" s="13"/>
      <c r="C64" s="13"/>
      <c r="D64" s="13"/>
      <c r="E64" s="13"/>
      <c r="F64" s="13"/>
      <c r="G64" s="13"/>
      <c r="H64" s="14"/>
      <c r="I64" s="14"/>
      <c r="J64" s="14"/>
      <c r="K64" s="14"/>
      <c r="L64" s="13"/>
      <c r="M64" s="13"/>
      <c r="N64" s="15"/>
      <c r="O64" s="15"/>
      <c r="P64" s="16" t="str">
        <f t="shared" si="0"/>
        <v/>
      </c>
      <c r="Q64" s="17" t="str">
        <f t="shared" si="1"/>
        <v/>
      </c>
      <c r="R64" s="13"/>
      <c r="S64" s="17" t="str">
        <f t="shared" si="2"/>
        <v/>
      </c>
      <c r="T64" s="14"/>
    </row>
    <row r="65" spans="1:20" ht="16" hidden="1" x14ac:dyDescent="0.15">
      <c r="A65" s="14"/>
      <c r="B65" s="13"/>
      <c r="C65" s="13"/>
      <c r="D65" s="13"/>
      <c r="E65" s="13"/>
      <c r="F65" s="13"/>
      <c r="G65" s="13"/>
      <c r="H65" s="14"/>
      <c r="I65" s="14"/>
      <c r="J65" s="14"/>
      <c r="K65" s="14"/>
      <c r="L65" s="13"/>
      <c r="M65" s="13"/>
      <c r="N65" s="15"/>
      <c r="O65" s="15"/>
      <c r="P65" s="16" t="str">
        <f t="shared" si="0"/>
        <v/>
      </c>
      <c r="Q65" s="17" t="str">
        <f t="shared" si="1"/>
        <v/>
      </c>
      <c r="R65" s="13"/>
      <c r="S65" s="17" t="str">
        <f t="shared" si="2"/>
        <v/>
      </c>
      <c r="T65" s="14"/>
    </row>
    <row r="66" spans="1:20" ht="16" hidden="1" x14ac:dyDescent="0.15">
      <c r="A66" s="14"/>
      <c r="B66" s="13"/>
      <c r="C66" s="13"/>
      <c r="D66" s="13"/>
      <c r="E66" s="13"/>
      <c r="F66" s="13"/>
      <c r="G66" s="13"/>
      <c r="H66" s="14"/>
      <c r="I66" s="14"/>
      <c r="J66" s="14"/>
      <c r="K66" s="14"/>
      <c r="L66" s="13"/>
      <c r="M66" s="13"/>
      <c r="N66" s="15"/>
      <c r="O66" s="15"/>
      <c r="P66" s="16" t="str">
        <f t="shared" si="0"/>
        <v/>
      </c>
      <c r="Q66" s="17" t="str">
        <f t="shared" si="1"/>
        <v/>
      </c>
      <c r="R66" s="13"/>
      <c r="S66" s="17" t="str">
        <f t="shared" si="2"/>
        <v/>
      </c>
      <c r="T66" s="14"/>
    </row>
    <row r="67" spans="1:20" ht="16" hidden="1" x14ac:dyDescent="0.15">
      <c r="A67" s="14"/>
      <c r="B67" s="13"/>
      <c r="C67" s="13"/>
      <c r="D67" s="13"/>
      <c r="E67" s="13"/>
      <c r="F67" s="13"/>
      <c r="G67" s="13"/>
      <c r="H67" s="14"/>
      <c r="I67" s="14"/>
      <c r="J67" s="14"/>
      <c r="K67" s="14"/>
      <c r="L67" s="13"/>
      <c r="M67" s="13"/>
      <c r="N67" s="15"/>
      <c r="O67" s="15"/>
      <c r="P67" s="16" t="str">
        <f t="shared" si="0"/>
        <v/>
      </c>
      <c r="Q67" s="17" t="str">
        <f t="shared" si="1"/>
        <v/>
      </c>
      <c r="R67" s="13"/>
      <c r="S67" s="17" t="str">
        <f t="shared" si="2"/>
        <v/>
      </c>
      <c r="T67" s="14"/>
    </row>
    <row r="68" spans="1:20" ht="16" hidden="1" x14ac:dyDescent="0.15">
      <c r="A68" s="14"/>
      <c r="B68" s="13"/>
      <c r="C68" s="13"/>
      <c r="D68" s="13"/>
      <c r="E68" s="13"/>
      <c r="F68" s="13"/>
      <c r="G68" s="13"/>
      <c r="H68" s="14"/>
      <c r="I68" s="14"/>
      <c r="J68" s="14"/>
      <c r="K68" s="14"/>
      <c r="L68" s="13"/>
      <c r="M68" s="13"/>
      <c r="N68" s="15"/>
      <c r="O68" s="15"/>
      <c r="P68" s="16" t="str">
        <f t="shared" si="0"/>
        <v/>
      </c>
      <c r="Q68" s="17" t="str">
        <f t="shared" si="1"/>
        <v/>
      </c>
      <c r="R68" s="13"/>
      <c r="S68" s="17" t="str">
        <f t="shared" si="2"/>
        <v/>
      </c>
      <c r="T68" s="14"/>
    </row>
    <row r="69" spans="1:20" ht="16" hidden="1" x14ac:dyDescent="0.15">
      <c r="A69" s="14"/>
      <c r="B69" s="13"/>
      <c r="C69" s="13"/>
      <c r="D69" s="13"/>
      <c r="E69" s="13"/>
      <c r="F69" s="13"/>
      <c r="G69" s="13"/>
      <c r="H69" s="14"/>
      <c r="I69" s="14"/>
      <c r="J69" s="14"/>
      <c r="K69" s="14"/>
      <c r="L69" s="13"/>
      <c r="M69" s="13"/>
      <c r="N69" s="15"/>
      <c r="O69" s="15"/>
      <c r="P69" s="16" t="str">
        <f t="shared" si="0"/>
        <v/>
      </c>
      <c r="Q69" s="17" t="str">
        <f t="shared" si="1"/>
        <v/>
      </c>
      <c r="R69" s="13"/>
      <c r="S69" s="17" t="str">
        <f t="shared" si="2"/>
        <v/>
      </c>
      <c r="T69" s="14"/>
    </row>
    <row r="70" spans="1:20" ht="16" hidden="1" x14ac:dyDescent="0.15">
      <c r="A70" s="14"/>
      <c r="B70" s="13"/>
      <c r="C70" s="13"/>
      <c r="D70" s="13"/>
      <c r="E70" s="13"/>
      <c r="F70" s="13"/>
      <c r="G70" s="13"/>
      <c r="H70" s="14"/>
      <c r="I70" s="14"/>
      <c r="J70" s="14"/>
      <c r="K70" s="14"/>
      <c r="L70" s="13"/>
      <c r="M70" s="13"/>
      <c r="N70" s="15"/>
      <c r="O70" s="15"/>
      <c r="P70" s="16" t="str">
        <f t="shared" ref="P70:P133" si="3">IF($B70="","",IF(AND($N70="",$O70=""),"",SUM($N70:$O70)))</f>
        <v/>
      </c>
      <c r="Q70" s="17" t="str">
        <f t="shared" ref="Q70:Q133" si="4">IF($B70="","",$B70&amp;" | "&amp;$C70&amp;" | "&amp;$D70)</f>
        <v/>
      </c>
      <c r="R70" s="13"/>
      <c r="S70" s="17" t="str">
        <f t="shared" ref="S70:S133" si="5">IF($B70="","",IF(COUNTIF($B$6:$B$305,$B70)&gt;1,"DUPLICATO","OK"))</f>
        <v/>
      </c>
      <c r="T70" s="14"/>
    </row>
    <row r="71" spans="1:20" ht="16" hidden="1" x14ac:dyDescent="0.15">
      <c r="A71" s="14"/>
      <c r="B71" s="13"/>
      <c r="C71" s="13"/>
      <c r="D71" s="13"/>
      <c r="E71" s="13"/>
      <c r="F71" s="13"/>
      <c r="G71" s="13"/>
      <c r="H71" s="14"/>
      <c r="I71" s="14"/>
      <c r="J71" s="14"/>
      <c r="K71" s="14"/>
      <c r="L71" s="13"/>
      <c r="M71" s="13"/>
      <c r="N71" s="15"/>
      <c r="O71" s="15"/>
      <c r="P71" s="16" t="str">
        <f t="shared" si="3"/>
        <v/>
      </c>
      <c r="Q71" s="17" t="str">
        <f t="shared" si="4"/>
        <v/>
      </c>
      <c r="R71" s="13"/>
      <c r="S71" s="17" t="str">
        <f t="shared" si="5"/>
        <v/>
      </c>
      <c r="T71" s="14"/>
    </row>
    <row r="72" spans="1:20" ht="16" hidden="1" x14ac:dyDescent="0.15">
      <c r="A72" s="14"/>
      <c r="B72" s="13"/>
      <c r="C72" s="13"/>
      <c r="D72" s="13"/>
      <c r="E72" s="13"/>
      <c r="F72" s="13"/>
      <c r="G72" s="13"/>
      <c r="H72" s="14"/>
      <c r="I72" s="14"/>
      <c r="J72" s="14"/>
      <c r="K72" s="14"/>
      <c r="L72" s="13"/>
      <c r="M72" s="13"/>
      <c r="N72" s="15"/>
      <c r="O72" s="15"/>
      <c r="P72" s="16" t="str">
        <f t="shared" si="3"/>
        <v/>
      </c>
      <c r="Q72" s="17" t="str">
        <f t="shared" si="4"/>
        <v/>
      </c>
      <c r="R72" s="13"/>
      <c r="S72" s="17" t="str">
        <f t="shared" si="5"/>
        <v/>
      </c>
      <c r="T72" s="14"/>
    </row>
    <row r="73" spans="1:20" ht="16" hidden="1" x14ac:dyDescent="0.15">
      <c r="A73" s="14"/>
      <c r="B73" s="13"/>
      <c r="C73" s="13"/>
      <c r="D73" s="13"/>
      <c r="E73" s="13"/>
      <c r="F73" s="13"/>
      <c r="G73" s="13"/>
      <c r="H73" s="14"/>
      <c r="I73" s="14"/>
      <c r="J73" s="14"/>
      <c r="K73" s="14"/>
      <c r="L73" s="13"/>
      <c r="M73" s="13"/>
      <c r="N73" s="15"/>
      <c r="O73" s="15"/>
      <c r="P73" s="16" t="str">
        <f t="shared" si="3"/>
        <v/>
      </c>
      <c r="Q73" s="17" t="str">
        <f t="shared" si="4"/>
        <v/>
      </c>
      <c r="R73" s="13"/>
      <c r="S73" s="17" t="str">
        <f t="shared" si="5"/>
        <v/>
      </c>
      <c r="T73" s="14"/>
    </row>
    <row r="74" spans="1:20" ht="16" hidden="1" x14ac:dyDescent="0.15">
      <c r="A74" s="14"/>
      <c r="B74" s="13"/>
      <c r="C74" s="13"/>
      <c r="D74" s="13"/>
      <c r="E74" s="13"/>
      <c r="F74" s="13"/>
      <c r="G74" s="13"/>
      <c r="H74" s="14"/>
      <c r="I74" s="14"/>
      <c r="J74" s="14"/>
      <c r="K74" s="14"/>
      <c r="L74" s="13"/>
      <c r="M74" s="13"/>
      <c r="N74" s="15"/>
      <c r="O74" s="15"/>
      <c r="P74" s="16" t="str">
        <f t="shared" si="3"/>
        <v/>
      </c>
      <c r="Q74" s="17" t="str">
        <f t="shared" si="4"/>
        <v/>
      </c>
      <c r="R74" s="13"/>
      <c r="S74" s="17" t="str">
        <f t="shared" si="5"/>
        <v/>
      </c>
      <c r="T74" s="14"/>
    </row>
    <row r="75" spans="1:20" ht="16" hidden="1" x14ac:dyDescent="0.15">
      <c r="A75" s="14"/>
      <c r="B75" s="13"/>
      <c r="C75" s="13"/>
      <c r="D75" s="13"/>
      <c r="E75" s="13"/>
      <c r="F75" s="13"/>
      <c r="G75" s="13"/>
      <c r="H75" s="14"/>
      <c r="I75" s="14"/>
      <c r="J75" s="14"/>
      <c r="K75" s="14"/>
      <c r="L75" s="13"/>
      <c r="M75" s="13"/>
      <c r="N75" s="15"/>
      <c r="O75" s="15"/>
      <c r="P75" s="16" t="str">
        <f t="shared" si="3"/>
        <v/>
      </c>
      <c r="Q75" s="17" t="str">
        <f t="shared" si="4"/>
        <v/>
      </c>
      <c r="R75" s="13"/>
      <c r="S75" s="17" t="str">
        <f t="shared" si="5"/>
        <v/>
      </c>
      <c r="T75" s="14"/>
    </row>
    <row r="76" spans="1:20" ht="16" hidden="1" x14ac:dyDescent="0.15">
      <c r="A76" s="14"/>
      <c r="B76" s="13"/>
      <c r="C76" s="13"/>
      <c r="D76" s="13"/>
      <c r="E76" s="13"/>
      <c r="F76" s="13"/>
      <c r="G76" s="13"/>
      <c r="H76" s="14"/>
      <c r="I76" s="14"/>
      <c r="J76" s="14"/>
      <c r="K76" s="14"/>
      <c r="L76" s="13"/>
      <c r="M76" s="13"/>
      <c r="N76" s="15"/>
      <c r="O76" s="15"/>
      <c r="P76" s="16" t="str">
        <f t="shared" si="3"/>
        <v/>
      </c>
      <c r="Q76" s="17" t="str">
        <f t="shared" si="4"/>
        <v/>
      </c>
      <c r="R76" s="13"/>
      <c r="S76" s="17" t="str">
        <f t="shared" si="5"/>
        <v/>
      </c>
      <c r="T76" s="14"/>
    </row>
    <row r="77" spans="1:20" ht="16" hidden="1" x14ac:dyDescent="0.15">
      <c r="A77" s="14"/>
      <c r="B77" s="13"/>
      <c r="C77" s="13"/>
      <c r="D77" s="13"/>
      <c r="E77" s="13"/>
      <c r="F77" s="13"/>
      <c r="G77" s="13"/>
      <c r="H77" s="14"/>
      <c r="I77" s="14"/>
      <c r="J77" s="14"/>
      <c r="K77" s="14"/>
      <c r="L77" s="13"/>
      <c r="M77" s="13"/>
      <c r="N77" s="15"/>
      <c r="O77" s="15"/>
      <c r="P77" s="16" t="str">
        <f t="shared" si="3"/>
        <v/>
      </c>
      <c r="Q77" s="17" t="str">
        <f t="shared" si="4"/>
        <v/>
      </c>
      <c r="R77" s="13"/>
      <c r="S77" s="17" t="str">
        <f t="shared" si="5"/>
        <v/>
      </c>
      <c r="T77" s="14"/>
    </row>
    <row r="78" spans="1:20" ht="16" hidden="1" x14ac:dyDescent="0.15">
      <c r="A78" s="14"/>
      <c r="B78" s="13"/>
      <c r="C78" s="13"/>
      <c r="D78" s="13"/>
      <c r="E78" s="13"/>
      <c r="F78" s="13"/>
      <c r="G78" s="13"/>
      <c r="H78" s="14"/>
      <c r="I78" s="14"/>
      <c r="J78" s="14"/>
      <c r="K78" s="14"/>
      <c r="L78" s="13"/>
      <c r="M78" s="13"/>
      <c r="N78" s="15"/>
      <c r="O78" s="15"/>
      <c r="P78" s="16" t="str">
        <f t="shared" si="3"/>
        <v/>
      </c>
      <c r="Q78" s="17" t="str">
        <f t="shared" si="4"/>
        <v/>
      </c>
      <c r="R78" s="13"/>
      <c r="S78" s="17" t="str">
        <f t="shared" si="5"/>
        <v/>
      </c>
      <c r="T78" s="14"/>
    </row>
    <row r="79" spans="1:20" ht="16" hidden="1" x14ac:dyDescent="0.15">
      <c r="A79" s="14"/>
      <c r="B79" s="13"/>
      <c r="C79" s="13"/>
      <c r="D79" s="13"/>
      <c r="E79" s="13"/>
      <c r="F79" s="13"/>
      <c r="G79" s="13"/>
      <c r="H79" s="14"/>
      <c r="I79" s="14"/>
      <c r="J79" s="14"/>
      <c r="K79" s="14"/>
      <c r="L79" s="13"/>
      <c r="M79" s="13"/>
      <c r="N79" s="15"/>
      <c r="O79" s="15"/>
      <c r="P79" s="16" t="str">
        <f t="shared" si="3"/>
        <v/>
      </c>
      <c r="Q79" s="17" t="str">
        <f t="shared" si="4"/>
        <v/>
      </c>
      <c r="R79" s="13"/>
      <c r="S79" s="17" t="str">
        <f t="shared" si="5"/>
        <v/>
      </c>
      <c r="T79" s="14"/>
    </row>
    <row r="80" spans="1:20" ht="16" hidden="1" x14ac:dyDescent="0.15">
      <c r="A80" s="14"/>
      <c r="B80" s="13"/>
      <c r="C80" s="13"/>
      <c r="D80" s="13"/>
      <c r="E80" s="13"/>
      <c r="F80" s="13"/>
      <c r="G80" s="13"/>
      <c r="H80" s="14"/>
      <c r="I80" s="14"/>
      <c r="J80" s="14"/>
      <c r="K80" s="14"/>
      <c r="L80" s="13"/>
      <c r="M80" s="13"/>
      <c r="N80" s="15"/>
      <c r="O80" s="15"/>
      <c r="P80" s="16" t="str">
        <f t="shared" si="3"/>
        <v/>
      </c>
      <c r="Q80" s="17" t="str">
        <f t="shared" si="4"/>
        <v/>
      </c>
      <c r="R80" s="13"/>
      <c r="S80" s="17" t="str">
        <f t="shared" si="5"/>
        <v/>
      </c>
      <c r="T80" s="14"/>
    </row>
    <row r="81" spans="1:20" ht="16" hidden="1" x14ac:dyDescent="0.15">
      <c r="A81" s="14"/>
      <c r="B81" s="13"/>
      <c r="C81" s="13"/>
      <c r="D81" s="13"/>
      <c r="E81" s="13"/>
      <c r="F81" s="13"/>
      <c r="G81" s="13"/>
      <c r="H81" s="14"/>
      <c r="I81" s="14"/>
      <c r="J81" s="14"/>
      <c r="K81" s="14"/>
      <c r="L81" s="13"/>
      <c r="M81" s="13"/>
      <c r="N81" s="15"/>
      <c r="O81" s="15"/>
      <c r="P81" s="16" t="str">
        <f t="shared" si="3"/>
        <v/>
      </c>
      <c r="Q81" s="17" t="str">
        <f t="shared" si="4"/>
        <v/>
      </c>
      <c r="R81" s="13"/>
      <c r="S81" s="17" t="str">
        <f t="shared" si="5"/>
        <v/>
      </c>
      <c r="T81" s="14"/>
    </row>
    <row r="82" spans="1:20" ht="16" hidden="1" x14ac:dyDescent="0.15">
      <c r="A82" s="14"/>
      <c r="B82" s="13"/>
      <c r="C82" s="13"/>
      <c r="D82" s="13"/>
      <c r="E82" s="13"/>
      <c r="F82" s="13"/>
      <c r="G82" s="13"/>
      <c r="H82" s="14"/>
      <c r="I82" s="14"/>
      <c r="J82" s="14"/>
      <c r="K82" s="14"/>
      <c r="L82" s="13"/>
      <c r="M82" s="13"/>
      <c r="N82" s="15"/>
      <c r="O82" s="15"/>
      <c r="P82" s="16" t="str">
        <f t="shared" si="3"/>
        <v/>
      </c>
      <c r="Q82" s="17" t="str">
        <f t="shared" si="4"/>
        <v/>
      </c>
      <c r="R82" s="13"/>
      <c r="S82" s="17" t="str">
        <f t="shared" si="5"/>
        <v/>
      </c>
      <c r="T82" s="14"/>
    </row>
    <row r="83" spans="1:20" ht="16" hidden="1" x14ac:dyDescent="0.15">
      <c r="A83" s="14"/>
      <c r="B83" s="13"/>
      <c r="C83" s="13"/>
      <c r="D83" s="13"/>
      <c r="E83" s="13"/>
      <c r="F83" s="13"/>
      <c r="G83" s="13"/>
      <c r="H83" s="14"/>
      <c r="I83" s="14"/>
      <c r="J83" s="14"/>
      <c r="K83" s="14"/>
      <c r="L83" s="13"/>
      <c r="M83" s="13"/>
      <c r="N83" s="15"/>
      <c r="O83" s="15"/>
      <c r="P83" s="16" t="str">
        <f t="shared" si="3"/>
        <v/>
      </c>
      <c r="Q83" s="17" t="str">
        <f t="shared" si="4"/>
        <v/>
      </c>
      <c r="R83" s="13"/>
      <c r="S83" s="17" t="str">
        <f t="shared" si="5"/>
        <v/>
      </c>
      <c r="T83" s="14"/>
    </row>
    <row r="84" spans="1:20" ht="16" hidden="1" x14ac:dyDescent="0.15">
      <c r="A84" s="14"/>
      <c r="B84" s="13"/>
      <c r="C84" s="13"/>
      <c r="D84" s="13"/>
      <c r="E84" s="13"/>
      <c r="F84" s="13"/>
      <c r="G84" s="13"/>
      <c r="H84" s="14"/>
      <c r="I84" s="14"/>
      <c r="J84" s="14"/>
      <c r="K84" s="14"/>
      <c r="L84" s="13"/>
      <c r="M84" s="13"/>
      <c r="N84" s="15"/>
      <c r="O84" s="15"/>
      <c r="P84" s="16" t="str">
        <f t="shared" si="3"/>
        <v/>
      </c>
      <c r="Q84" s="17" t="str">
        <f t="shared" si="4"/>
        <v/>
      </c>
      <c r="R84" s="13"/>
      <c r="S84" s="17" t="str">
        <f t="shared" si="5"/>
        <v/>
      </c>
      <c r="T84" s="14"/>
    </row>
    <row r="85" spans="1:20" ht="16" hidden="1" x14ac:dyDescent="0.15">
      <c r="A85" s="14"/>
      <c r="B85" s="13"/>
      <c r="C85" s="13"/>
      <c r="D85" s="13"/>
      <c r="E85" s="13"/>
      <c r="F85" s="13"/>
      <c r="G85" s="13"/>
      <c r="H85" s="14"/>
      <c r="I85" s="14"/>
      <c r="J85" s="14"/>
      <c r="K85" s="14"/>
      <c r="L85" s="13"/>
      <c r="M85" s="13"/>
      <c r="N85" s="15"/>
      <c r="O85" s="15"/>
      <c r="P85" s="16" t="str">
        <f t="shared" si="3"/>
        <v/>
      </c>
      <c r="Q85" s="17" t="str">
        <f t="shared" si="4"/>
        <v/>
      </c>
      <c r="R85" s="13"/>
      <c r="S85" s="17" t="str">
        <f t="shared" si="5"/>
        <v/>
      </c>
      <c r="T85" s="14"/>
    </row>
    <row r="86" spans="1:20" ht="16" hidden="1" x14ac:dyDescent="0.15">
      <c r="A86" s="14"/>
      <c r="B86" s="13"/>
      <c r="C86" s="13"/>
      <c r="D86" s="13"/>
      <c r="E86" s="13"/>
      <c r="F86" s="13"/>
      <c r="G86" s="13"/>
      <c r="H86" s="14"/>
      <c r="I86" s="14"/>
      <c r="J86" s="14"/>
      <c r="K86" s="14"/>
      <c r="L86" s="13"/>
      <c r="M86" s="13"/>
      <c r="N86" s="15"/>
      <c r="O86" s="15"/>
      <c r="P86" s="16" t="str">
        <f t="shared" si="3"/>
        <v/>
      </c>
      <c r="Q86" s="17" t="str">
        <f t="shared" si="4"/>
        <v/>
      </c>
      <c r="R86" s="13"/>
      <c r="S86" s="17" t="str">
        <f t="shared" si="5"/>
        <v/>
      </c>
      <c r="T86" s="14"/>
    </row>
    <row r="87" spans="1:20" ht="16" hidden="1" x14ac:dyDescent="0.15">
      <c r="A87" s="14"/>
      <c r="B87" s="13"/>
      <c r="C87" s="13"/>
      <c r="D87" s="13"/>
      <c r="E87" s="13"/>
      <c r="F87" s="13"/>
      <c r="G87" s="13"/>
      <c r="H87" s="14"/>
      <c r="I87" s="14"/>
      <c r="J87" s="14"/>
      <c r="K87" s="14"/>
      <c r="L87" s="13"/>
      <c r="M87" s="13"/>
      <c r="N87" s="15"/>
      <c r="O87" s="15"/>
      <c r="P87" s="16" t="str">
        <f t="shared" si="3"/>
        <v/>
      </c>
      <c r="Q87" s="17" t="str">
        <f t="shared" si="4"/>
        <v/>
      </c>
      <c r="R87" s="13"/>
      <c r="S87" s="17" t="str">
        <f t="shared" si="5"/>
        <v/>
      </c>
      <c r="T87" s="14"/>
    </row>
    <row r="88" spans="1:20" ht="16" hidden="1" x14ac:dyDescent="0.15">
      <c r="A88" s="14"/>
      <c r="B88" s="13"/>
      <c r="C88" s="13"/>
      <c r="D88" s="13"/>
      <c r="E88" s="13"/>
      <c r="F88" s="13"/>
      <c r="G88" s="13"/>
      <c r="H88" s="14"/>
      <c r="I88" s="14"/>
      <c r="J88" s="14"/>
      <c r="K88" s="14"/>
      <c r="L88" s="13"/>
      <c r="M88" s="13"/>
      <c r="N88" s="15"/>
      <c r="O88" s="15"/>
      <c r="P88" s="16" t="str">
        <f t="shared" si="3"/>
        <v/>
      </c>
      <c r="Q88" s="17" t="str">
        <f t="shared" si="4"/>
        <v/>
      </c>
      <c r="R88" s="13"/>
      <c r="S88" s="17" t="str">
        <f t="shared" si="5"/>
        <v/>
      </c>
      <c r="T88" s="14"/>
    </row>
    <row r="89" spans="1:20" ht="16" hidden="1" x14ac:dyDescent="0.15">
      <c r="A89" s="14"/>
      <c r="B89" s="13"/>
      <c r="C89" s="13"/>
      <c r="D89" s="13"/>
      <c r="E89" s="13"/>
      <c r="F89" s="13"/>
      <c r="G89" s="13"/>
      <c r="H89" s="14"/>
      <c r="I89" s="14"/>
      <c r="J89" s="14"/>
      <c r="K89" s="14"/>
      <c r="L89" s="13"/>
      <c r="M89" s="13"/>
      <c r="N89" s="15"/>
      <c r="O89" s="15"/>
      <c r="P89" s="16" t="str">
        <f t="shared" si="3"/>
        <v/>
      </c>
      <c r="Q89" s="17" t="str">
        <f t="shared" si="4"/>
        <v/>
      </c>
      <c r="R89" s="13"/>
      <c r="S89" s="17" t="str">
        <f t="shared" si="5"/>
        <v/>
      </c>
      <c r="T89" s="14"/>
    </row>
    <row r="90" spans="1:20" ht="16" hidden="1" x14ac:dyDescent="0.15">
      <c r="A90" s="14"/>
      <c r="B90" s="13"/>
      <c r="C90" s="13"/>
      <c r="D90" s="13"/>
      <c r="E90" s="13"/>
      <c r="F90" s="13"/>
      <c r="G90" s="13"/>
      <c r="H90" s="14"/>
      <c r="I90" s="14"/>
      <c r="J90" s="14"/>
      <c r="K90" s="14"/>
      <c r="L90" s="13"/>
      <c r="M90" s="13"/>
      <c r="N90" s="15"/>
      <c r="O90" s="15"/>
      <c r="P90" s="16" t="str">
        <f t="shared" si="3"/>
        <v/>
      </c>
      <c r="Q90" s="17" t="str">
        <f t="shared" si="4"/>
        <v/>
      </c>
      <c r="R90" s="13"/>
      <c r="S90" s="17" t="str">
        <f t="shared" si="5"/>
        <v/>
      </c>
      <c r="T90" s="14"/>
    </row>
    <row r="91" spans="1:20" ht="16" hidden="1" x14ac:dyDescent="0.15">
      <c r="A91" s="14"/>
      <c r="B91" s="13"/>
      <c r="C91" s="13"/>
      <c r="D91" s="13"/>
      <c r="E91" s="13"/>
      <c r="F91" s="13"/>
      <c r="G91" s="13"/>
      <c r="H91" s="14"/>
      <c r="I91" s="14"/>
      <c r="J91" s="14"/>
      <c r="K91" s="14"/>
      <c r="L91" s="13"/>
      <c r="M91" s="13"/>
      <c r="N91" s="15"/>
      <c r="O91" s="15"/>
      <c r="P91" s="16" t="str">
        <f t="shared" si="3"/>
        <v/>
      </c>
      <c r="Q91" s="17" t="str">
        <f t="shared" si="4"/>
        <v/>
      </c>
      <c r="R91" s="13"/>
      <c r="S91" s="17" t="str">
        <f t="shared" si="5"/>
        <v/>
      </c>
      <c r="T91" s="14"/>
    </row>
    <row r="92" spans="1:20" ht="16" hidden="1" x14ac:dyDescent="0.15">
      <c r="A92" s="14"/>
      <c r="B92" s="13"/>
      <c r="C92" s="13"/>
      <c r="D92" s="13"/>
      <c r="E92" s="13"/>
      <c r="F92" s="13"/>
      <c r="G92" s="13"/>
      <c r="H92" s="14"/>
      <c r="I92" s="14"/>
      <c r="J92" s="14"/>
      <c r="K92" s="14"/>
      <c r="L92" s="13"/>
      <c r="M92" s="13"/>
      <c r="N92" s="15"/>
      <c r="O92" s="15"/>
      <c r="P92" s="16" t="str">
        <f t="shared" si="3"/>
        <v/>
      </c>
      <c r="Q92" s="17" t="str">
        <f t="shared" si="4"/>
        <v/>
      </c>
      <c r="R92" s="13"/>
      <c r="S92" s="17" t="str">
        <f t="shared" si="5"/>
        <v/>
      </c>
      <c r="T92" s="14"/>
    </row>
    <row r="93" spans="1:20" ht="16" hidden="1" x14ac:dyDescent="0.15">
      <c r="A93" s="14"/>
      <c r="B93" s="13"/>
      <c r="C93" s="13"/>
      <c r="D93" s="13"/>
      <c r="E93" s="13"/>
      <c r="F93" s="13"/>
      <c r="G93" s="13"/>
      <c r="H93" s="14"/>
      <c r="I93" s="14"/>
      <c r="J93" s="14"/>
      <c r="K93" s="14"/>
      <c r="L93" s="13"/>
      <c r="M93" s="13"/>
      <c r="N93" s="15"/>
      <c r="O93" s="15"/>
      <c r="P93" s="16" t="str">
        <f t="shared" si="3"/>
        <v/>
      </c>
      <c r="Q93" s="17" t="str">
        <f t="shared" si="4"/>
        <v/>
      </c>
      <c r="R93" s="13"/>
      <c r="S93" s="17" t="str">
        <f t="shared" si="5"/>
        <v/>
      </c>
      <c r="T93" s="14"/>
    </row>
    <row r="94" spans="1:20" ht="16" hidden="1" x14ac:dyDescent="0.15">
      <c r="A94" s="14"/>
      <c r="B94" s="13"/>
      <c r="C94" s="13"/>
      <c r="D94" s="13"/>
      <c r="E94" s="13"/>
      <c r="F94" s="13"/>
      <c r="G94" s="13"/>
      <c r="H94" s="14"/>
      <c r="I94" s="14"/>
      <c r="J94" s="14"/>
      <c r="K94" s="14"/>
      <c r="L94" s="13"/>
      <c r="M94" s="13"/>
      <c r="N94" s="15"/>
      <c r="O94" s="15"/>
      <c r="P94" s="16" t="str">
        <f t="shared" si="3"/>
        <v/>
      </c>
      <c r="Q94" s="17" t="str">
        <f t="shared" si="4"/>
        <v/>
      </c>
      <c r="R94" s="13"/>
      <c r="S94" s="17" t="str">
        <f t="shared" si="5"/>
        <v/>
      </c>
      <c r="T94" s="14"/>
    </row>
    <row r="95" spans="1:20" ht="16" hidden="1" x14ac:dyDescent="0.15">
      <c r="A95" s="14"/>
      <c r="B95" s="13"/>
      <c r="C95" s="13"/>
      <c r="D95" s="13"/>
      <c r="E95" s="13"/>
      <c r="F95" s="13"/>
      <c r="G95" s="13"/>
      <c r="H95" s="14"/>
      <c r="I95" s="14"/>
      <c r="J95" s="14"/>
      <c r="K95" s="14"/>
      <c r="L95" s="13"/>
      <c r="M95" s="13"/>
      <c r="N95" s="15"/>
      <c r="O95" s="15"/>
      <c r="P95" s="16" t="str">
        <f t="shared" si="3"/>
        <v/>
      </c>
      <c r="Q95" s="17" t="str">
        <f t="shared" si="4"/>
        <v/>
      </c>
      <c r="R95" s="13"/>
      <c r="S95" s="17" t="str">
        <f t="shared" si="5"/>
        <v/>
      </c>
      <c r="T95" s="14"/>
    </row>
    <row r="96" spans="1:20" ht="16" hidden="1" x14ac:dyDescent="0.15">
      <c r="A96" s="14"/>
      <c r="B96" s="13"/>
      <c r="C96" s="13"/>
      <c r="D96" s="13"/>
      <c r="E96" s="13"/>
      <c r="F96" s="13"/>
      <c r="G96" s="13"/>
      <c r="H96" s="14"/>
      <c r="I96" s="14"/>
      <c r="J96" s="14"/>
      <c r="K96" s="14"/>
      <c r="L96" s="13"/>
      <c r="M96" s="13"/>
      <c r="N96" s="15"/>
      <c r="O96" s="15"/>
      <c r="P96" s="16" t="str">
        <f t="shared" si="3"/>
        <v/>
      </c>
      <c r="Q96" s="17" t="str">
        <f t="shared" si="4"/>
        <v/>
      </c>
      <c r="R96" s="13"/>
      <c r="S96" s="17" t="str">
        <f t="shared" si="5"/>
        <v/>
      </c>
      <c r="T96" s="14"/>
    </row>
    <row r="97" spans="1:20" ht="16" hidden="1" x14ac:dyDescent="0.15">
      <c r="A97" s="14"/>
      <c r="B97" s="13"/>
      <c r="C97" s="13"/>
      <c r="D97" s="13"/>
      <c r="E97" s="13"/>
      <c r="F97" s="13"/>
      <c r="G97" s="13"/>
      <c r="H97" s="14"/>
      <c r="I97" s="14"/>
      <c r="J97" s="14"/>
      <c r="K97" s="14"/>
      <c r="L97" s="13"/>
      <c r="M97" s="13"/>
      <c r="N97" s="15"/>
      <c r="O97" s="15"/>
      <c r="P97" s="16" t="str">
        <f t="shared" si="3"/>
        <v/>
      </c>
      <c r="Q97" s="17" t="str">
        <f t="shared" si="4"/>
        <v/>
      </c>
      <c r="R97" s="13"/>
      <c r="S97" s="17" t="str">
        <f t="shared" si="5"/>
        <v/>
      </c>
      <c r="T97" s="14"/>
    </row>
    <row r="98" spans="1:20" ht="16" hidden="1" x14ac:dyDescent="0.15">
      <c r="A98" s="14"/>
      <c r="B98" s="13"/>
      <c r="C98" s="13"/>
      <c r="D98" s="13"/>
      <c r="E98" s="13"/>
      <c r="F98" s="13"/>
      <c r="G98" s="13"/>
      <c r="H98" s="14"/>
      <c r="I98" s="14"/>
      <c r="J98" s="14"/>
      <c r="K98" s="14"/>
      <c r="L98" s="13"/>
      <c r="M98" s="13"/>
      <c r="N98" s="15"/>
      <c r="O98" s="15"/>
      <c r="P98" s="16" t="str">
        <f t="shared" si="3"/>
        <v/>
      </c>
      <c r="Q98" s="17" t="str">
        <f t="shared" si="4"/>
        <v/>
      </c>
      <c r="R98" s="13"/>
      <c r="S98" s="17" t="str">
        <f t="shared" si="5"/>
        <v/>
      </c>
      <c r="T98" s="14"/>
    </row>
    <row r="99" spans="1:20" ht="16" hidden="1" x14ac:dyDescent="0.15">
      <c r="A99" s="14"/>
      <c r="B99" s="13"/>
      <c r="C99" s="13"/>
      <c r="D99" s="13"/>
      <c r="E99" s="13"/>
      <c r="F99" s="13"/>
      <c r="G99" s="13"/>
      <c r="H99" s="14"/>
      <c r="I99" s="14"/>
      <c r="J99" s="14"/>
      <c r="K99" s="14"/>
      <c r="L99" s="13"/>
      <c r="M99" s="13"/>
      <c r="N99" s="15"/>
      <c r="O99" s="15"/>
      <c r="P99" s="16" t="str">
        <f t="shared" si="3"/>
        <v/>
      </c>
      <c r="Q99" s="17" t="str">
        <f t="shared" si="4"/>
        <v/>
      </c>
      <c r="R99" s="13"/>
      <c r="S99" s="17" t="str">
        <f t="shared" si="5"/>
        <v/>
      </c>
      <c r="T99" s="14"/>
    </row>
    <row r="100" spans="1:20" ht="16" hidden="1" x14ac:dyDescent="0.15">
      <c r="A100" s="14"/>
      <c r="B100" s="13"/>
      <c r="C100" s="13"/>
      <c r="D100" s="13"/>
      <c r="E100" s="13"/>
      <c r="F100" s="13"/>
      <c r="G100" s="13"/>
      <c r="H100" s="14"/>
      <c r="I100" s="14"/>
      <c r="J100" s="14"/>
      <c r="K100" s="14"/>
      <c r="L100" s="13"/>
      <c r="M100" s="13"/>
      <c r="N100" s="15"/>
      <c r="O100" s="15"/>
      <c r="P100" s="16" t="str">
        <f t="shared" si="3"/>
        <v/>
      </c>
      <c r="Q100" s="17" t="str">
        <f t="shared" si="4"/>
        <v/>
      </c>
      <c r="R100" s="13"/>
      <c r="S100" s="17" t="str">
        <f t="shared" si="5"/>
        <v/>
      </c>
      <c r="T100" s="14"/>
    </row>
    <row r="101" spans="1:20" ht="16" hidden="1" x14ac:dyDescent="0.15">
      <c r="A101" s="14"/>
      <c r="B101" s="13"/>
      <c r="C101" s="13"/>
      <c r="D101" s="13"/>
      <c r="E101" s="13"/>
      <c r="F101" s="13"/>
      <c r="G101" s="13"/>
      <c r="H101" s="14"/>
      <c r="I101" s="14"/>
      <c r="J101" s="14"/>
      <c r="K101" s="14"/>
      <c r="L101" s="13"/>
      <c r="M101" s="13"/>
      <c r="N101" s="15"/>
      <c r="O101" s="15"/>
      <c r="P101" s="16" t="str">
        <f t="shared" si="3"/>
        <v/>
      </c>
      <c r="Q101" s="17" t="str">
        <f t="shared" si="4"/>
        <v/>
      </c>
      <c r="R101" s="13"/>
      <c r="S101" s="17" t="str">
        <f t="shared" si="5"/>
        <v/>
      </c>
      <c r="T101" s="14"/>
    </row>
    <row r="102" spans="1:20" ht="16" hidden="1" x14ac:dyDescent="0.15">
      <c r="A102" s="14"/>
      <c r="B102" s="13"/>
      <c r="C102" s="13"/>
      <c r="D102" s="13"/>
      <c r="E102" s="13"/>
      <c r="F102" s="13"/>
      <c r="G102" s="13"/>
      <c r="H102" s="14"/>
      <c r="I102" s="14"/>
      <c r="J102" s="14"/>
      <c r="K102" s="14"/>
      <c r="L102" s="13"/>
      <c r="M102" s="13"/>
      <c r="N102" s="15"/>
      <c r="O102" s="15"/>
      <c r="P102" s="16" t="str">
        <f t="shared" si="3"/>
        <v/>
      </c>
      <c r="Q102" s="17" t="str">
        <f t="shared" si="4"/>
        <v/>
      </c>
      <c r="R102" s="13"/>
      <c r="S102" s="17" t="str">
        <f t="shared" si="5"/>
        <v/>
      </c>
      <c r="T102" s="14"/>
    </row>
    <row r="103" spans="1:20" ht="16" hidden="1" x14ac:dyDescent="0.15">
      <c r="A103" s="14"/>
      <c r="B103" s="13"/>
      <c r="C103" s="13"/>
      <c r="D103" s="13"/>
      <c r="E103" s="13"/>
      <c r="F103" s="13"/>
      <c r="G103" s="13"/>
      <c r="H103" s="14"/>
      <c r="I103" s="14"/>
      <c r="J103" s="14"/>
      <c r="K103" s="14"/>
      <c r="L103" s="13"/>
      <c r="M103" s="13"/>
      <c r="N103" s="15"/>
      <c r="O103" s="15"/>
      <c r="P103" s="16" t="str">
        <f t="shared" si="3"/>
        <v/>
      </c>
      <c r="Q103" s="17" t="str">
        <f t="shared" si="4"/>
        <v/>
      </c>
      <c r="R103" s="13"/>
      <c r="S103" s="17" t="str">
        <f t="shared" si="5"/>
        <v/>
      </c>
      <c r="T103" s="14"/>
    </row>
    <row r="104" spans="1:20" ht="16" hidden="1" x14ac:dyDescent="0.15">
      <c r="A104" s="14"/>
      <c r="B104" s="13"/>
      <c r="C104" s="13"/>
      <c r="D104" s="13"/>
      <c r="E104" s="13"/>
      <c r="F104" s="13"/>
      <c r="G104" s="13"/>
      <c r="H104" s="14"/>
      <c r="I104" s="14"/>
      <c r="J104" s="14"/>
      <c r="K104" s="14"/>
      <c r="L104" s="13"/>
      <c r="M104" s="13"/>
      <c r="N104" s="15"/>
      <c r="O104" s="15"/>
      <c r="P104" s="16" t="str">
        <f t="shared" si="3"/>
        <v/>
      </c>
      <c r="Q104" s="17" t="str">
        <f t="shared" si="4"/>
        <v/>
      </c>
      <c r="R104" s="13"/>
      <c r="S104" s="17" t="str">
        <f t="shared" si="5"/>
        <v/>
      </c>
      <c r="T104" s="14"/>
    </row>
    <row r="105" spans="1:20" ht="16" hidden="1" x14ac:dyDescent="0.15">
      <c r="A105" s="14"/>
      <c r="B105" s="13"/>
      <c r="C105" s="13"/>
      <c r="D105" s="13"/>
      <c r="E105" s="13"/>
      <c r="F105" s="13"/>
      <c r="G105" s="13"/>
      <c r="H105" s="14"/>
      <c r="I105" s="14"/>
      <c r="J105" s="14"/>
      <c r="K105" s="14"/>
      <c r="L105" s="13"/>
      <c r="M105" s="13"/>
      <c r="N105" s="15"/>
      <c r="O105" s="15"/>
      <c r="P105" s="16" t="str">
        <f t="shared" si="3"/>
        <v/>
      </c>
      <c r="Q105" s="17" t="str">
        <f t="shared" si="4"/>
        <v/>
      </c>
      <c r="R105" s="13"/>
      <c r="S105" s="17" t="str">
        <f t="shared" si="5"/>
        <v/>
      </c>
      <c r="T105" s="14"/>
    </row>
    <row r="106" spans="1:20" ht="16" hidden="1" x14ac:dyDescent="0.15">
      <c r="A106" s="14"/>
      <c r="B106" s="13"/>
      <c r="C106" s="13"/>
      <c r="D106" s="13"/>
      <c r="E106" s="13"/>
      <c r="F106" s="13"/>
      <c r="G106" s="13"/>
      <c r="H106" s="14"/>
      <c r="I106" s="14"/>
      <c r="J106" s="14"/>
      <c r="K106" s="14"/>
      <c r="L106" s="13"/>
      <c r="M106" s="13"/>
      <c r="N106" s="15"/>
      <c r="O106" s="15"/>
      <c r="P106" s="16" t="str">
        <f t="shared" si="3"/>
        <v/>
      </c>
      <c r="Q106" s="17" t="str">
        <f t="shared" si="4"/>
        <v/>
      </c>
      <c r="R106" s="13"/>
      <c r="S106" s="17" t="str">
        <f t="shared" si="5"/>
        <v/>
      </c>
      <c r="T106" s="14"/>
    </row>
    <row r="107" spans="1:20" ht="16" hidden="1" x14ac:dyDescent="0.15">
      <c r="A107" s="14"/>
      <c r="B107" s="13"/>
      <c r="C107" s="13"/>
      <c r="D107" s="13"/>
      <c r="E107" s="13"/>
      <c r="F107" s="13"/>
      <c r="G107" s="13"/>
      <c r="H107" s="14"/>
      <c r="I107" s="14"/>
      <c r="J107" s="14"/>
      <c r="K107" s="14"/>
      <c r="L107" s="13"/>
      <c r="M107" s="13"/>
      <c r="N107" s="15"/>
      <c r="O107" s="15"/>
      <c r="P107" s="16" t="str">
        <f t="shared" si="3"/>
        <v/>
      </c>
      <c r="Q107" s="17" t="str">
        <f t="shared" si="4"/>
        <v/>
      </c>
      <c r="R107" s="13"/>
      <c r="S107" s="17" t="str">
        <f t="shared" si="5"/>
        <v/>
      </c>
      <c r="T107" s="14"/>
    </row>
    <row r="108" spans="1:20" ht="16" hidden="1" x14ac:dyDescent="0.15">
      <c r="A108" s="14"/>
      <c r="B108" s="13"/>
      <c r="C108" s="13"/>
      <c r="D108" s="13"/>
      <c r="E108" s="13"/>
      <c r="F108" s="13"/>
      <c r="G108" s="13"/>
      <c r="H108" s="14"/>
      <c r="I108" s="14"/>
      <c r="J108" s="14"/>
      <c r="K108" s="14"/>
      <c r="L108" s="13"/>
      <c r="M108" s="13"/>
      <c r="N108" s="15"/>
      <c r="O108" s="15"/>
      <c r="P108" s="16" t="str">
        <f t="shared" si="3"/>
        <v/>
      </c>
      <c r="Q108" s="17" t="str">
        <f t="shared" si="4"/>
        <v/>
      </c>
      <c r="R108" s="13"/>
      <c r="S108" s="17" t="str">
        <f t="shared" si="5"/>
        <v/>
      </c>
      <c r="T108" s="14"/>
    </row>
    <row r="109" spans="1:20" ht="16" hidden="1" x14ac:dyDescent="0.15">
      <c r="A109" s="14"/>
      <c r="B109" s="13"/>
      <c r="C109" s="13"/>
      <c r="D109" s="13"/>
      <c r="E109" s="13"/>
      <c r="F109" s="13"/>
      <c r="G109" s="13"/>
      <c r="H109" s="14"/>
      <c r="I109" s="14"/>
      <c r="J109" s="14"/>
      <c r="K109" s="14"/>
      <c r="L109" s="13"/>
      <c r="M109" s="13"/>
      <c r="N109" s="15"/>
      <c r="O109" s="15"/>
      <c r="P109" s="16" t="str">
        <f t="shared" si="3"/>
        <v/>
      </c>
      <c r="Q109" s="17" t="str">
        <f t="shared" si="4"/>
        <v/>
      </c>
      <c r="R109" s="13"/>
      <c r="S109" s="17" t="str">
        <f t="shared" si="5"/>
        <v/>
      </c>
      <c r="T109" s="14"/>
    </row>
    <row r="110" spans="1:20" ht="16" hidden="1" x14ac:dyDescent="0.15">
      <c r="A110" s="14"/>
      <c r="B110" s="13"/>
      <c r="C110" s="13"/>
      <c r="D110" s="13"/>
      <c r="E110" s="13"/>
      <c r="F110" s="13"/>
      <c r="G110" s="13"/>
      <c r="H110" s="14"/>
      <c r="I110" s="14"/>
      <c r="J110" s="14"/>
      <c r="K110" s="14"/>
      <c r="L110" s="13"/>
      <c r="M110" s="13"/>
      <c r="N110" s="15"/>
      <c r="O110" s="15"/>
      <c r="P110" s="16" t="str">
        <f t="shared" si="3"/>
        <v/>
      </c>
      <c r="Q110" s="17" t="str">
        <f t="shared" si="4"/>
        <v/>
      </c>
      <c r="R110" s="13"/>
      <c r="S110" s="17" t="str">
        <f t="shared" si="5"/>
        <v/>
      </c>
      <c r="T110" s="14"/>
    </row>
    <row r="111" spans="1:20" ht="16" hidden="1" x14ac:dyDescent="0.15">
      <c r="A111" s="14"/>
      <c r="B111" s="13"/>
      <c r="C111" s="13"/>
      <c r="D111" s="13"/>
      <c r="E111" s="13"/>
      <c r="F111" s="13"/>
      <c r="G111" s="13"/>
      <c r="H111" s="14"/>
      <c r="I111" s="14"/>
      <c r="J111" s="14"/>
      <c r="K111" s="14"/>
      <c r="L111" s="13"/>
      <c r="M111" s="13"/>
      <c r="N111" s="15"/>
      <c r="O111" s="15"/>
      <c r="P111" s="16" t="str">
        <f t="shared" si="3"/>
        <v/>
      </c>
      <c r="Q111" s="17" t="str">
        <f t="shared" si="4"/>
        <v/>
      </c>
      <c r="R111" s="13"/>
      <c r="S111" s="17" t="str">
        <f t="shared" si="5"/>
        <v/>
      </c>
      <c r="T111" s="14"/>
    </row>
    <row r="112" spans="1:20" ht="16" hidden="1" x14ac:dyDescent="0.15">
      <c r="A112" s="14"/>
      <c r="B112" s="13"/>
      <c r="C112" s="13"/>
      <c r="D112" s="13"/>
      <c r="E112" s="13"/>
      <c r="F112" s="13"/>
      <c r="G112" s="13"/>
      <c r="H112" s="14"/>
      <c r="I112" s="14"/>
      <c r="J112" s="14"/>
      <c r="K112" s="14"/>
      <c r="L112" s="13"/>
      <c r="M112" s="13"/>
      <c r="N112" s="15"/>
      <c r="O112" s="15"/>
      <c r="P112" s="16" t="str">
        <f t="shared" si="3"/>
        <v/>
      </c>
      <c r="Q112" s="17" t="str">
        <f t="shared" si="4"/>
        <v/>
      </c>
      <c r="R112" s="13"/>
      <c r="S112" s="17" t="str">
        <f t="shared" si="5"/>
        <v/>
      </c>
      <c r="T112" s="14"/>
    </row>
    <row r="113" spans="1:20" ht="16" hidden="1" x14ac:dyDescent="0.15">
      <c r="A113" s="14"/>
      <c r="B113" s="13"/>
      <c r="C113" s="13"/>
      <c r="D113" s="13"/>
      <c r="E113" s="13"/>
      <c r="F113" s="13"/>
      <c r="G113" s="13"/>
      <c r="H113" s="14"/>
      <c r="I113" s="14"/>
      <c r="J113" s="14"/>
      <c r="K113" s="14"/>
      <c r="L113" s="13"/>
      <c r="M113" s="13"/>
      <c r="N113" s="15"/>
      <c r="O113" s="15"/>
      <c r="P113" s="16" t="str">
        <f t="shared" si="3"/>
        <v/>
      </c>
      <c r="Q113" s="17" t="str">
        <f t="shared" si="4"/>
        <v/>
      </c>
      <c r="R113" s="13"/>
      <c r="S113" s="17" t="str">
        <f t="shared" si="5"/>
        <v/>
      </c>
      <c r="T113" s="14"/>
    </row>
    <row r="114" spans="1:20" ht="16" hidden="1" x14ac:dyDescent="0.15">
      <c r="A114" s="14"/>
      <c r="B114" s="13"/>
      <c r="C114" s="13"/>
      <c r="D114" s="13"/>
      <c r="E114" s="13"/>
      <c r="F114" s="13"/>
      <c r="G114" s="13"/>
      <c r="H114" s="14"/>
      <c r="I114" s="14"/>
      <c r="J114" s="14"/>
      <c r="K114" s="14"/>
      <c r="L114" s="13"/>
      <c r="M114" s="13"/>
      <c r="N114" s="15"/>
      <c r="O114" s="15"/>
      <c r="P114" s="16" t="str">
        <f t="shared" si="3"/>
        <v/>
      </c>
      <c r="Q114" s="17" t="str">
        <f t="shared" si="4"/>
        <v/>
      </c>
      <c r="R114" s="13"/>
      <c r="S114" s="17" t="str">
        <f t="shared" si="5"/>
        <v/>
      </c>
      <c r="T114" s="14"/>
    </row>
    <row r="115" spans="1:20" ht="16" hidden="1" x14ac:dyDescent="0.15">
      <c r="A115" s="14"/>
      <c r="B115" s="13"/>
      <c r="C115" s="13"/>
      <c r="D115" s="13"/>
      <c r="E115" s="13"/>
      <c r="F115" s="13"/>
      <c r="G115" s="13"/>
      <c r="H115" s="14"/>
      <c r="I115" s="14"/>
      <c r="J115" s="14"/>
      <c r="K115" s="14"/>
      <c r="L115" s="13"/>
      <c r="M115" s="13"/>
      <c r="N115" s="15"/>
      <c r="O115" s="15"/>
      <c r="P115" s="16" t="str">
        <f t="shared" si="3"/>
        <v/>
      </c>
      <c r="Q115" s="17" t="str">
        <f t="shared" si="4"/>
        <v/>
      </c>
      <c r="R115" s="13"/>
      <c r="S115" s="17" t="str">
        <f t="shared" si="5"/>
        <v/>
      </c>
      <c r="T115" s="14"/>
    </row>
    <row r="116" spans="1:20" ht="16" hidden="1" x14ac:dyDescent="0.15">
      <c r="A116" s="14"/>
      <c r="B116" s="13"/>
      <c r="C116" s="13"/>
      <c r="D116" s="13"/>
      <c r="E116" s="13"/>
      <c r="F116" s="13"/>
      <c r="G116" s="13"/>
      <c r="H116" s="14"/>
      <c r="I116" s="14"/>
      <c r="J116" s="14"/>
      <c r="K116" s="14"/>
      <c r="L116" s="13"/>
      <c r="M116" s="13"/>
      <c r="N116" s="15"/>
      <c r="O116" s="15"/>
      <c r="P116" s="16" t="str">
        <f t="shared" si="3"/>
        <v/>
      </c>
      <c r="Q116" s="17" t="str">
        <f t="shared" si="4"/>
        <v/>
      </c>
      <c r="R116" s="13"/>
      <c r="S116" s="17" t="str">
        <f t="shared" si="5"/>
        <v/>
      </c>
      <c r="T116" s="14"/>
    </row>
    <row r="117" spans="1:20" ht="16" hidden="1" x14ac:dyDescent="0.15">
      <c r="A117" s="14"/>
      <c r="B117" s="13"/>
      <c r="C117" s="13"/>
      <c r="D117" s="13"/>
      <c r="E117" s="13"/>
      <c r="F117" s="13"/>
      <c r="G117" s="13"/>
      <c r="H117" s="14"/>
      <c r="I117" s="14"/>
      <c r="J117" s="14"/>
      <c r="K117" s="14"/>
      <c r="L117" s="13"/>
      <c r="M117" s="13"/>
      <c r="N117" s="15"/>
      <c r="O117" s="15"/>
      <c r="P117" s="16" t="str">
        <f t="shared" si="3"/>
        <v/>
      </c>
      <c r="Q117" s="17" t="str">
        <f t="shared" si="4"/>
        <v/>
      </c>
      <c r="R117" s="13"/>
      <c r="S117" s="17" t="str">
        <f t="shared" si="5"/>
        <v/>
      </c>
      <c r="T117" s="14"/>
    </row>
    <row r="118" spans="1:20" ht="16" hidden="1" x14ac:dyDescent="0.15">
      <c r="A118" s="14"/>
      <c r="B118" s="13"/>
      <c r="C118" s="13"/>
      <c r="D118" s="13"/>
      <c r="E118" s="13"/>
      <c r="F118" s="13"/>
      <c r="G118" s="13"/>
      <c r="H118" s="14"/>
      <c r="I118" s="14"/>
      <c r="J118" s="14"/>
      <c r="K118" s="14"/>
      <c r="L118" s="13"/>
      <c r="M118" s="13"/>
      <c r="N118" s="15"/>
      <c r="O118" s="15"/>
      <c r="P118" s="16" t="str">
        <f t="shared" si="3"/>
        <v/>
      </c>
      <c r="Q118" s="17" t="str">
        <f t="shared" si="4"/>
        <v/>
      </c>
      <c r="R118" s="13"/>
      <c r="S118" s="17" t="str">
        <f t="shared" si="5"/>
        <v/>
      </c>
      <c r="T118" s="14"/>
    </row>
    <row r="119" spans="1:20" ht="16" hidden="1" x14ac:dyDescent="0.15">
      <c r="A119" s="14"/>
      <c r="B119" s="13"/>
      <c r="C119" s="13"/>
      <c r="D119" s="13"/>
      <c r="E119" s="13"/>
      <c r="F119" s="13"/>
      <c r="G119" s="13"/>
      <c r="H119" s="14"/>
      <c r="I119" s="14"/>
      <c r="J119" s="14"/>
      <c r="K119" s="14"/>
      <c r="L119" s="13"/>
      <c r="M119" s="13"/>
      <c r="N119" s="15"/>
      <c r="O119" s="15"/>
      <c r="P119" s="16" t="str">
        <f t="shared" si="3"/>
        <v/>
      </c>
      <c r="Q119" s="17" t="str">
        <f t="shared" si="4"/>
        <v/>
      </c>
      <c r="R119" s="13"/>
      <c r="S119" s="17" t="str">
        <f t="shared" si="5"/>
        <v/>
      </c>
      <c r="T119" s="14"/>
    </row>
    <row r="120" spans="1:20" ht="16" hidden="1" x14ac:dyDescent="0.15">
      <c r="A120" s="14"/>
      <c r="B120" s="13"/>
      <c r="C120" s="13"/>
      <c r="D120" s="13"/>
      <c r="E120" s="13"/>
      <c r="F120" s="13"/>
      <c r="G120" s="13"/>
      <c r="H120" s="14"/>
      <c r="I120" s="14"/>
      <c r="J120" s="14"/>
      <c r="K120" s="14"/>
      <c r="L120" s="13"/>
      <c r="M120" s="13"/>
      <c r="N120" s="15"/>
      <c r="O120" s="15"/>
      <c r="P120" s="16" t="str">
        <f t="shared" si="3"/>
        <v/>
      </c>
      <c r="Q120" s="17" t="str">
        <f t="shared" si="4"/>
        <v/>
      </c>
      <c r="R120" s="13"/>
      <c r="S120" s="17" t="str">
        <f t="shared" si="5"/>
        <v/>
      </c>
      <c r="T120" s="14"/>
    </row>
    <row r="121" spans="1:20" ht="16" hidden="1" x14ac:dyDescent="0.15">
      <c r="A121" s="14"/>
      <c r="B121" s="13"/>
      <c r="C121" s="13"/>
      <c r="D121" s="13"/>
      <c r="E121" s="13"/>
      <c r="F121" s="13"/>
      <c r="G121" s="13"/>
      <c r="H121" s="14"/>
      <c r="I121" s="14"/>
      <c r="J121" s="14"/>
      <c r="K121" s="14"/>
      <c r="L121" s="13"/>
      <c r="M121" s="13"/>
      <c r="N121" s="15"/>
      <c r="O121" s="15"/>
      <c r="P121" s="16" t="str">
        <f t="shared" si="3"/>
        <v/>
      </c>
      <c r="Q121" s="17" t="str">
        <f t="shared" si="4"/>
        <v/>
      </c>
      <c r="R121" s="13"/>
      <c r="S121" s="17" t="str">
        <f t="shared" si="5"/>
        <v/>
      </c>
      <c r="T121" s="14"/>
    </row>
    <row r="122" spans="1:20" ht="16" hidden="1" x14ac:dyDescent="0.15">
      <c r="A122" s="14"/>
      <c r="B122" s="13"/>
      <c r="C122" s="13"/>
      <c r="D122" s="13"/>
      <c r="E122" s="13"/>
      <c r="F122" s="13"/>
      <c r="G122" s="13"/>
      <c r="H122" s="14"/>
      <c r="I122" s="14"/>
      <c r="J122" s="14"/>
      <c r="K122" s="14"/>
      <c r="L122" s="13"/>
      <c r="M122" s="13"/>
      <c r="N122" s="15"/>
      <c r="O122" s="15"/>
      <c r="P122" s="16" t="str">
        <f t="shared" si="3"/>
        <v/>
      </c>
      <c r="Q122" s="17" t="str">
        <f t="shared" si="4"/>
        <v/>
      </c>
      <c r="R122" s="13"/>
      <c r="S122" s="17" t="str">
        <f t="shared" si="5"/>
        <v/>
      </c>
      <c r="T122" s="14"/>
    </row>
    <row r="123" spans="1:20" ht="16" hidden="1" x14ac:dyDescent="0.15">
      <c r="A123" s="14"/>
      <c r="B123" s="13"/>
      <c r="C123" s="13"/>
      <c r="D123" s="13"/>
      <c r="E123" s="13"/>
      <c r="F123" s="13"/>
      <c r="G123" s="13"/>
      <c r="H123" s="14"/>
      <c r="I123" s="14"/>
      <c r="J123" s="14"/>
      <c r="K123" s="14"/>
      <c r="L123" s="13"/>
      <c r="M123" s="13"/>
      <c r="N123" s="15"/>
      <c r="O123" s="15"/>
      <c r="P123" s="16" t="str">
        <f t="shared" si="3"/>
        <v/>
      </c>
      <c r="Q123" s="17" t="str">
        <f t="shared" si="4"/>
        <v/>
      </c>
      <c r="R123" s="13"/>
      <c r="S123" s="17" t="str">
        <f t="shared" si="5"/>
        <v/>
      </c>
      <c r="T123" s="14"/>
    </row>
    <row r="124" spans="1:20" ht="16" hidden="1" x14ac:dyDescent="0.15">
      <c r="A124" s="14"/>
      <c r="B124" s="13"/>
      <c r="C124" s="13"/>
      <c r="D124" s="13"/>
      <c r="E124" s="13"/>
      <c r="F124" s="13"/>
      <c r="G124" s="13"/>
      <c r="H124" s="14"/>
      <c r="I124" s="14"/>
      <c r="J124" s="14"/>
      <c r="K124" s="14"/>
      <c r="L124" s="13"/>
      <c r="M124" s="13"/>
      <c r="N124" s="15"/>
      <c r="O124" s="15"/>
      <c r="P124" s="16" t="str">
        <f t="shared" si="3"/>
        <v/>
      </c>
      <c r="Q124" s="17" t="str">
        <f t="shared" si="4"/>
        <v/>
      </c>
      <c r="R124" s="13"/>
      <c r="S124" s="17" t="str">
        <f t="shared" si="5"/>
        <v/>
      </c>
      <c r="T124" s="14"/>
    </row>
    <row r="125" spans="1:20" ht="16" hidden="1" x14ac:dyDescent="0.15">
      <c r="A125" s="14"/>
      <c r="B125" s="13"/>
      <c r="C125" s="13"/>
      <c r="D125" s="13"/>
      <c r="E125" s="13"/>
      <c r="F125" s="13"/>
      <c r="G125" s="13"/>
      <c r="H125" s="14"/>
      <c r="I125" s="14"/>
      <c r="J125" s="14"/>
      <c r="K125" s="14"/>
      <c r="L125" s="13"/>
      <c r="M125" s="13"/>
      <c r="N125" s="15"/>
      <c r="O125" s="15"/>
      <c r="P125" s="16" t="str">
        <f t="shared" si="3"/>
        <v/>
      </c>
      <c r="Q125" s="17" t="str">
        <f t="shared" si="4"/>
        <v/>
      </c>
      <c r="R125" s="13"/>
      <c r="S125" s="17" t="str">
        <f t="shared" si="5"/>
        <v/>
      </c>
      <c r="T125" s="14"/>
    </row>
    <row r="126" spans="1:20" ht="16" hidden="1" x14ac:dyDescent="0.15">
      <c r="A126" s="14"/>
      <c r="B126" s="13"/>
      <c r="C126" s="13"/>
      <c r="D126" s="13"/>
      <c r="E126" s="13"/>
      <c r="F126" s="13"/>
      <c r="G126" s="13"/>
      <c r="H126" s="14"/>
      <c r="I126" s="14"/>
      <c r="J126" s="14"/>
      <c r="K126" s="14"/>
      <c r="L126" s="13"/>
      <c r="M126" s="13"/>
      <c r="N126" s="15"/>
      <c r="O126" s="15"/>
      <c r="P126" s="16" t="str">
        <f t="shared" si="3"/>
        <v/>
      </c>
      <c r="Q126" s="17" t="str">
        <f t="shared" si="4"/>
        <v/>
      </c>
      <c r="R126" s="13"/>
      <c r="S126" s="17" t="str">
        <f t="shared" si="5"/>
        <v/>
      </c>
      <c r="T126" s="14"/>
    </row>
    <row r="127" spans="1:20" ht="16" hidden="1" x14ac:dyDescent="0.15">
      <c r="A127" s="14"/>
      <c r="B127" s="13"/>
      <c r="C127" s="13"/>
      <c r="D127" s="13"/>
      <c r="E127" s="13"/>
      <c r="F127" s="13"/>
      <c r="G127" s="13"/>
      <c r="H127" s="14"/>
      <c r="I127" s="14"/>
      <c r="J127" s="14"/>
      <c r="K127" s="14"/>
      <c r="L127" s="13"/>
      <c r="M127" s="13"/>
      <c r="N127" s="15"/>
      <c r="O127" s="15"/>
      <c r="P127" s="16" t="str">
        <f t="shared" si="3"/>
        <v/>
      </c>
      <c r="Q127" s="17" t="str">
        <f t="shared" si="4"/>
        <v/>
      </c>
      <c r="R127" s="13"/>
      <c r="S127" s="17" t="str">
        <f t="shared" si="5"/>
        <v/>
      </c>
      <c r="T127" s="14"/>
    </row>
    <row r="128" spans="1:20" ht="16" hidden="1" x14ac:dyDescent="0.15">
      <c r="A128" s="14"/>
      <c r="B128" s="13"/>
      <c r="C128" s="13"/>
      <c r="D128" s="13"/>
      <c r="E128" s="13"/>
      <c r="F128" s="13"/>
      <c r="G128" s="13"/>
      <c r="H128" s="14"/>
      <c r="I128" s="14"/>
      <c r="J128" s="14"/>
      <c r="K128" s="14"/>
      <c r="L128" s="13"/>
      <c r="M128" s="13"/>
      <c r="N128" s="15"/>
      <c r="O128" s="15"/>
      <c r="P128" s="16" t="str">
        <f t="shared" si="3"/>
        <v/>
      </c>
      <c r="Q128" s="17" t="str">
        <f t="shared" si="4"/>
        <v/>
      </c>
      <c r="R128" s="13"/>
      <c r="S128" s="17" t="str">
        <f t="shared" si="5"/>
        <v/>
      </c>
      <c r="T128" s="14"/>
    </row>
    <row r="129" spans="1:20" ht="16" hidden="1" x14ac:dyDescent="0.15">
      <c r="A129" s="14"/>
      <c r="B129" s="13"/>
      <c r="C129" s="13"/>
      <c r="D129" s="13"/>
      <c r="E129" s="13"/>
      <c r="F129" s="13"/>
      <c r="G129" s="13"/>
      <c r="H129" s="14"/>
      <c r="I129" s="14"/>
      <c r="J129" s="14"/>
      <c r="K129" s="14"/>
      <c r="L129" s="13"/>
      <c r="M129" s="13"/>
      <c r="N129" s="15"/>
      <c r="O129" s="15"/>
      <c r="P129" s="16" t="str">
        <f t="shared" si="3"/>
        <v/>
      </c>
      <c r="Q129" s="17" t="str">
        <f t="shared" si="4"/>
        <v/>
      </c>
      <c r="R129" s="13"/>
      <c r="S129" s="17" t="str">
        <f t="shared" si="5"/>
        <v/>
      </c>
      <c r="T129" s="14"/>
    </row>
    <row r="130" spans="1:20" ht="16" hidden="1" x14ac:dyDescent="0.15">
      <c r="A130" s="14"/>
      <c r="B130" s="13"/>
      <c r="C130" s="13"/>
      <c r="D130" s="13"/>
      <c r="E130" s="13"/>
      <c r="F130" s="13"/>
      <c r="G130" s="13"/>
      <c r="H130" s="14"/>
      <c r="I130" s="14"/>
      <c r="J130" s="14"/>
      <c r="K130" s="14"/>
      <c r="L130" s="13"/>
      <c r="M130" s="13"/>
      <c r="N130" s="15"/>
      <c r="O130" s="15"/>
      <c r="P130" s="16" t="str">
        <f t="shared" si="3"/>
        <v/>
      </c>
      <c r="Q130" s="17" t="str">
        <f t="shared" si="4"/>
        <v/>
      </c>
      <c r="R130" s="13"/>
      <c r="S130" s="17" t="str">
        <f t="shared" si="5"/>
        <v/>
      </c>
      <c r="T130" s="14"/>
    </row>
    <row r="131" spans="1:20" ht="16" hidden="1" x14ac:dyDescent="0.15">
      <c r="A131" s="14"/>
      <c r="B131" s="13"/>
      <c r="C131" s="13"/>
      <c r="D131" s="13"/>
      <c r="E131" s="13"/>
      <c r="F131" s="13"/>
      <c r="G131" s="13"/>
      <c r="H131" s="14"/>
      <c r="I131" s="14"/>
      <c r="J131" s="14"/>
      <c r="K131" s="14"/>
      <c r="L131" s="13"/>
      <c r="M131" s="13"/>
      <c r="N131" s="15"/>
      <c r="O131" s="15"/>
      <c r="P131" s="16" t="str">
        <f t="shared" si="3"/>
        <v/>
      </c>
      <c r="Q131" s="17" t="str">
        <f t="shared" si="4"/>
        <v/>
      </c>
      <c r="R131" s="13"/>
      <c r="S131" s="17" t="str">
        <f t="shared" si="5"/>
        <v/>
      </c>
      <c r="T131" s="14"/>
    </row>
    <row r="132" spans="1:20" ht="16" hidden="1" x14ac:dyDescent="0.15">
      <c r="A132" s="14"/>
      <c r="B132" s="13"/>
      <c r="C132" s="13"/>
      <c r="D132" s="13"/>
      <c r="E132" s="13"/>
      <c r="F132" s="13"/>
      <c r="G132" s="13"/>
      <c r="H132" s="14"/>
      <c r="I132" s="14"/>
      <c r="J132" s="14"/>
      <c r="K132" s="14"/>
      <c r="L132" s="13"/>
      <c r="M132" s="13"/>
      <c r="N132" s="15"/>
      <c r="O132" s="15"/>
      <c r="P132" s="16" t="str">
        <f t="shared" si="3"/>
        <v/>
      </c>
      <c r="Q132" s="17" t="str">
        <f t="shared" si="4"/>
        <v/>
      </c>
      <c r="R132" s="13"/>
      <c r="S132" s="17" t="str">
        <f t="shared" si="5"/>
        <v/>
      </c>
      <c r="T132" s="14"/>
    </row>
    <row r="133" spans="1:20" ht="16" hidden="1" x14ac:dyDescent="0.15">
      <c r="A133" s="14"/>
      <c r="B133" s="13"/>
      <c r="C133" s="13"/>
      <c r="D133" s="13"/>
      <c r="E133" s="13"/>
      <c r="F133" s="13"/>
      <c r="G133" s="13"/>
      <c r="H133" s="14"/>
      <c r="I133" s="14"/>
      <c r="J133" s="14"/>
      <c r="K133" s="14"/>
      <c r="L133" s="13"/>
      <c r="M133" s="13"/>
      <c r="N133" s="15"/>
      <c r="O133" s="15"/>
      <c r="P133" s="16" t="str">
        <f t="shared" si="3"/>
        <v/>
      </c>
      <c r="Q133" s="17" t="str">
        <f t="shared" si="4"/>
        <v/>
      </c>
      <c r="R133" s="13"/>
      <c r="S133" s="17" t="str">
        <f t="shared" si="5"/>
        <v/>
      </c>
      <c r="T133" s="14"/>
    </row>
    <row r="134" spans="1:20" ht="16" hidden="1" x14ac:dyDescent="0.15">
      <c r="A134" s="14"/>
      <c r="B134" s="13"/>
      <c r="C134" s="13"/>
      <c r="D134" s="13"/>
      <c r="E134" s="13"/>
      <c r="F134" s="13"/>
      <c r="G134" s="13"/>
      <c r="H134" s="14"/>
      <c r="I134" s="14"/>
      <c r="J134" s="14"/>
      <c r="K134" s="14"/>
      <c r="L134" s="13"/>
      <c r="M134" s="13"/>
      <c r="N134" s="15"/>
      <c r="O134" s="15"/>
      <c r="P134" s="16" t="str">
        <f t="shared" ref="P134:P197" si="6">IF($B134="","",IF(AND($N134="",$O134=""),"",SUM($N134:$O134)))</f>
        <v/>
      </c>
      <c r="Q134" s="17" t="str">
        <f t="shared" ref="Q134:Q197" si="7">IF($B134="","",$B134&amp;" | "&amp;$C134&amp;" | "&amp;$D134)</f>
        <v/>
      </c>
      <c r="R134" s="13"/>
      <c r="S134" s="17" t="str">
        <f t="shared" ref="S134:S197" si="8">IF($B134="","",IF(COUNTIF($B$6:$B$305,$B134)&gt;1,"DUPLICATO","OK"))</f>
        <v/>
      </c>
      <c r="T134" s="14"/>
    </row>
    <row r="135" spans="1:20" ht="16" hidden="1" x14ac:dyDescent="0.15">
      <c r="A135" s="14"/>
      <c r="B135" s="13"/>
      <c r="C135" s="13"/>
      <c r="D135" s="13"/>
      <c r="E135" s="13"/>
      <c r="F135" s="13"/>
      <c r="G135" s="13"/>
      <c r="H135" s="14"/>
      <c r="I135" s="14"/>
      <c r="J135" s="14"/>
      <c r="K135" s="14"/>
      <c r="L135" s="13"/>
      <c r="M135" s="13"/>
      <c r="N135" s="15"/>
      <c r="O135" s="15"/>
      <c r="P135" s="16" t="str">
        <f t="shared" si="6"/>
        <v/>
      </c>
      <c r="Q135" s="17" t="str">
        <f t="shared" si="7"/>
        <v/>
      </c>
      <c r="R135" s="13"/>
      <c r="S135" s="17" t="str">
        <f t="shared" si="8"/>
        <v/>
      </c>
      <c r="T135" s="14"/>
    </row>
    <row r="136" spans="1:20" ht="16" hidden="1" x14ac:dyDescent="0.15">
      <c r="A136" s="14"/>
      <c r="B136" s="13"/>
      <c r="C136" s="13"/>
      <c r="D136" s="13"/>
      <c r="E136" s="13"/>
      <c r="F136" s="13"/>
      <c r="G136" s="13"/>
      <c r="H136" s="14"/>
      <c r="I136" s="14"/>
      <c r="J136" s="14"/>
      <c r="K136" s="14"/>
      <c r="L136" s="13"/>
      <c r="M136" s="13"/>
      <c r="N136" s="15"/>
      <c r="O136" s="15"/>
      <c r="P136" s="16" t="str">
        <f t="shared" si="6"/>
        <v/>
      </c>
      <c r="Q136" s="17" t="str">
        <f t="shared" si="7"/>
        <v/>
      </c>
      <c r="R136" s="13"/>
      <c r="S136" s="17" t="str">
        <f t="shared" si="8"/>
        <v/>
      </c>
      <c r="T136" s="14"/>
    </row>
    <row r="137" spans="1:20" ht="16" hidden="1" x14ac:dyDescent="0.15">
      <c r="A137" s="14"/>
      <c r="B137" s="13"/>
      <c r="C137" s="13"/>
      <c r="D137" s="13"/>
      <c r="E137" s="13"/>
      <c r="F137" s="13"/>
      <c r="G137" s="13"/>
      <c r="H137" s="14"/>
      <c r="I137" s="14"/>
      <c r="J137" s="14"/>
      <c r="K137" s="14"/>
      <c r="L137" s="13"/>
      <c r="M137" s="13"/>
      <c r="N137" s="15"/>
      <c r="O137" s="15"/>
      <c r="P137" s="16" t="str">
        <f t="shared" si="6"/>
        <v/>
      </c>
      <c r="Q137" s="17" t="str">
        <f t="shared" si="7"/>
        <v/>
      </c>
      <c r="R137" s="13"/>
      <c r="S137" s="17" t="str">
        <f t="shared" si="8"/>
        <v/>
      </c>
      <c r="T137" s="14"/>
    </row>
    <row r="138" spans="1:20" ht="16" hidden="1" x14ac:dyDescent="0.15">
      <c r="A138" s="14"/>
      <c r="B138" s="13"/>
      <c r="C138" s="13"/>
      <c r="D138" s="13"/>
      <c r="E138" s="13"/>
      <c r="F138" s="13"/>
      <c r="G138" s="13"/>
      <c r="H138" s="14"/>
      <c r="I138" s="14"/>
      <c r="J138" s="14"/>
      <c r="K138" s="14"/>
      <c r="L138" s="13"/>
      <c r="M138" s="13"/>
      <c r="N138" s="15"/>
      <c r="O138" s="15"/>
      <c r="P138" s="16" t="str">
        <f t="shared" si="6"/>
        <v/>
      </c>
      <c r="Q138" s="17" t="str">
        <f t="shared" si="7"/>
        <v/>
      </c>
      <c r="R138" s="13"/>
      <c r="S138" s="17" t="str">
        <f t="shared" si="8"/>
        <v/>
      </c>
      <c r="T138" s="14"/>
    </row>
    <row r="139" spans="1:20" ht="16" hidden="1" x14ac:dyDescent="0.15">
      <c r="A139" s="14"/>
      <c r="B139" s="13"/>
      <c r="C139" s="13"/>
      <c r="D139" s="13"/>
      <c r="E139" s="13"/>
      <c r="F139" s="13"/>
      <c r="G139" s="13"/>
      <c r="H139" s="14"/>
      <c r="I139" s="14"/>
      <c r="J139" s="14"/>
      <c r="K139" s="14"/>
      <c r="L139" s="13"/>
      <c r="M139" s="13"/>
      <c r="N139" s="15"/>
      <c r="O139" s="15"/>
      <c r="P139" s="16" t="str">
        <f t="shared" si="6"/>
        <v/>
      </c>
      <c r="Q139" s="17" t="str">
        <f t="shared" si="7"/>
        <v/>
      </c>
      <c r="R139" s="13"/>
      <c r="S139" s="17" t="str">
        <f t="shared" si="8"/>
        <v/>
      </c>
      <c r="T139" s="14"/>
    </row>
    <row r="140" spans="1:20" ht="16" hidden="1" x14ac:dyDescent="0.15">
      <c r="A140" s="14"/>
      <c r="B140" s="13"/>
      <c r="C140" s="13"/>
      <c r="D140" s="13"/>
      <c r="E140" s="13"/>
      <c r="F140" s="13"/>
      <c r="G140" s="13"/>
      <c r="H140" s="14"/>
      <c r="I140" s="14"/>
      <c r="J140" s="14"/>
      <c r="K140" s="14"/>
      <c r="L140" s="13"/>
      <c r="M140" s="13"/>
      <c r="N140" s="15"/>
      <c r="O140" s="15"/>
      <c r="P140" s="16" t="str">
        <f t="shared" si="6"/>
        <v/>
      </c>
      <c r="Q140" s="17" t="str">
        <f t="shared" si="7"/>
        <v/>
      </c>
      <c r="R140" s="13"/>
      <c r="S140" s="17" t="str">
        <f t="shared" si="8"/>
        <v/>
      </c>
      <c r="T140" s="14"/>
    </row>
    <row r="141" spans="1:20" ht="16" hidden="1" x14ac:dyDescent="0.15">
      <c r="A141" s="14"/>
      <c r="B141" s="13"/>
      <c r="C141" s="13"/>
      <c r="D141" s="13"/>
      <c r="E141" s="13"/>
      <c r="F141" s="13"/>
      <c r="G141" s="13"/>
      <c r="H141" s="14"/>
      <c r="I141" s="14"/>
      <c r="J141" s="14"/>
      <c r="K141" s="14"/>
      <c r="L141" s="13"/>
      <c r="M141" s="13"/>
      <c r="N141" s="15"/>
      <c r="O141" s="15"/>
      <c r="P141" s="16" t="str">
        <f t="shared" si="6"/>
        <v/>
      </c>
      <c r="Q141" s="17" t="str">
        <f t="shared" si="7"/>
        <v/>
      </c>
      <c r="R141" s="13"/>
      <c r="S141" s="17" t="str">
        <f t="shared" si="8"/>
        <v/>
      </c>
      <c r="T141" s="14"/>
    </row>
    <row r="142" spans="1:20" ht="16" hidden="1" x14ac:dyDescent="0.15">
      <c r="A142" s="14"/>
      <c r="B142" s="13"/>
      <c r="C142" s="13"/>
      <c r="D142" s="13"/>
      <c r="E142" s="13"/>
      <c r="F142" s="13"/>
      <c r="G142" s="13"/>
      <c r="H142" s="14"/>
      <c r="I142" s="14"/>
      <c r="J142" s="14"/>
      <c r="K142" s="14"/>
      <c r="L142" s="13"/>
      <c r="M142" s="13"/>
      <c r="N142" s="15"/>
      <c r="O142" s="15"/>
      <c r="P142" s="16" t="str">
        <f t="shared" si="6"/>
        <v/>
      </c>
      <c r="Q142" s="17" t="str">
        <f t="shared" si="7"/>
        <v/>
      </c>
      <c r="R142" s="13"/>
      <c r="S142" s="17" t="str">
        <f t="shared" si="8"/>
        <v/>
      </c>
      <c r="T142" s="14"/>
    </row>
    <row r="143" spans="1:20" ht="16" hidden="1" x14ac:dyDescent="0.15">
      <c r="A143" s="14"/>
      <c r="B143" s="13"/>
      <c r="C143" s="13"/>
      <c r="D143" s="13"/>
      <c r="E143" s="13"/>
      <c r="F143" s="13"/>
      <c r="G143" s="13"/>
      <c r="H143" s="14"/>
      <c r="I143" s="14"/>
      <c r="J143" s="14"/>
      <c r="K143" s="14"/>
      <c r="L143" s="13"/>
      <c r="M143" s="13"/>
      <c r="N143" s="15"/>
      <c r="O143" s="15"/>
      <c r="P143" s="16" t="str">
        <f t="shared" si="6"/>
        <v/>
      </c>
      <c r="Q143" s="17" t="str">
        <f t="shared" si="7"/>
        <v/>
      </c>
      <c r="R143" s="13"/>
      <c r="S143" s="17" t="str">
        <f t="shared" si="8"/>
        <v/>
      </c>
      <c r="T143" s="14"/>
    </row>
    <row r="144" spans="1:20" ht="16" hidden="1" x14ac:dyDescent="0.15">
      <c r="A144" s="14"/>
      <c r="B144" s="13"/>
      <c r="C144" s="13"/>
      <c r="D144" s="13"/>
      <c r="E144" s="13"/>
      <c r="F144" s="13"/>
      <c r="G144" s="13"/>
      <c r="H144" s="14"/>
      <c r="I144" s="14"/>
      <c r="J144" s="14"/>
      <c r="K144" s="14"/>
      <c r="L144" s="13"/>
      <c r="M144" s="13"/>
      <c r="N144" s="15"/>
      <c r="O144" s="15"/>
      <c r="P144" s="16" t="str">
        <f t="shared" si="6"/>
        <v/>
      </c>
      <c r="Q144" s="17" t="str">
        <f t="shared" si="7"/>
        <v/>
      </c>
      <c r="R144" s="13"/>
      <c r="S144" s="17" t="str">
        <f t="shared" si="8"/>
        <v/>
      </c>
      <c r="T144" s="14"/>
    </row>
    <row r="145" spans="1:20" ht="16" hidden="1" x14ac:dyDescent="0.15">
      <c r="A145" s="14"/>
      <c r="B145" s="13"/>
      <c r="C145" s="13"/>
      <c r="D145" s="13"/>
      <c r="E145" s="13"/>
      <c r="F145" s="13"/>
      <c r="G145" s="13"/>
      <c r="H145" s="14"/>
      <c r="I145" s="14"/>
      <c r="J145" s="14"/>
      <c r="K145" s="14"/>
      <c r="L145" s="13"/>
      <c r="M145" s="13"/>
      <c r="N145" s="15"/>
      <c r="O145" s="15"/>
      <c r="P145" s="16" t="str">
        <f t="shared" si="6"/>
        <v/>
      </c>
      <c r="Q145" s="17" t="str">
        <f t="shared" si="7"/>
        <v/>
      </c>
      <c r="R145" s="13"/>
      <c r="S145" s="17" t="str">
        <f t="shared" si="8"/>
        <v/>
      </c>
      <c r="T145" s="14"/>
    </row>
    <row r="146" spans="1:20" ht="16" hidden="1" x14ac:dyDescent="0.15">
      <c r="A146" s="14"/>
      <c r="B146" s="13"/>
      <c r="C146" s="13"/>
      <c r="D146" s="13"/>
      <c r="E146" s="13"/>
      <c r="F146" s="13"/>
      <c r="G146" s="13"/>
      <c r="H146" s="14"/>
      <c r="I146" s="14"/>
      <c r="J146" s="14"/>
      <c r="K146" s="14"/>
      <c r="L146" s="13"/>
      <c r="M146" s="13"/>
      <c r="N146" s="15"/>
      <c r="O146" s="15"/>
      <c r="P146" s="16" t="str">
        <f t="shared" si="6"/>
        <v/>
      </c>
      <c r="Q146" s="17" t="str">
        <f t="shared" si="7"/>
        <v/>
      </c>
      <c r="R146" s="13"/>
      <c r="S146" s="17" t="str">
        <f t="shared" si="8"/>
        <v/>
      </c>
      <c r="T146" s="14"/>
    </row>
    <row r="147" spans="1:20" ht="16" hidden="1" x14ac:dyDescent="0.15">
      <c r="A147" s="14"/>
      <c r="B147" s="13"/>
      <c r="C147" s="13"/>
      <c r="D147" s="13"/>
      <c r="E147" s="13"/>
      <c r="F147" s="13"/>
      <c r="G147" s="13"/>
      <c r="H147" s="14"/>
      <c r="I147" s="14"/>
      <c r="J147" s="14"/>
      <c r="K147" s="14"/>
      <c r="L147" s="13"/>
      <c r="M147" s="13"/>
      <c r="N147" s="15"/>
      <c r="O147" s="15"/>
      <c r="P147" s="16" t="str">
        <f t="shared" si="6"/>
        <v/>
      </c>
      <c r="Q147" s="17" t="str">
        <f t="shared" si="7"/>
        <v/>
      </c>
      <c r="R147" s="13"/>
      <c r="S147" s="17" t="str">
        <f t="shared" si="8"/>
        <v/>
      </c>
      <c r="T147" s="14"/>
    </row>
    <row r="148" spans="1:20" ht="16" hidden="1" x14ac:dyDescent="0.15">
      <c r="A148" s="14"/>
      <c r="B148" s="13"/>
      <c r="C148" s="13"/>
      <c r="D148" s="13"/>
      <c r="E148" s="13"/>
      <c r="F148" s="13"/>
      <c r="G148" s="13"/>
      <c r="H148" s="14"/>
      <c r="I148" s="14"/>
      <c r="J148" s="14"/>
      <c r="K148" s="14"/>
      <c r="L148" s="13"/>
      <c r="M148" s="13"/>
      <c r="N148" s="15"/>
      <c r="O148" s="15"/>
      <c r="P148" s="16" t="str">
        <f t="shared" si="6"/>
        <v/>
      </c>
      <c r="Q148" s="17" t="str">
        <f t="shared" si="7"/>
        <v/>
      </c>
      <c r="R148" s="13"/>
      <c r="S148" s="17" t="str">
        <f t="shared" si="8"/>
        <v/>
      </c>
      <c r="T148" s="14"/>
    </row>
    <row r="149" spans="1:20" ht="16" hidden="1" x14ac:dyDescent="0.15">
      <c r="A149" s="14"/>
      <c r="B149" s="13"/>
      <c r="C149" s="13"/>
      <c r="D149" s="13"/>
      <c r="E149" s="13"/>
      <c r="F149" s="13"/>
      <c r="G149" s="13"/>
      <c r="H149" s="14"/>
      <c r="I149" s="14"/>
      <c r="J149" s="14"/>
      <c r="K149" s="14"/>
      <c r="L149" s="13"/>
      <c r="M149" s="13"/>
      <c r="N149" s="15"/>
      <c r="O149" s="15"/>
      <c r="P149" s="16" t="str">
        <f t="shared" si="6"/>
        <v/>
      </c>
      <c r="Q149" s="17" t="str">
        <f t="shared" si="7"/>
        <v/>
      </c>
      <c r="R149" s="13"/>
      <c r="S149" s="17" t="str">
        <f t="shared" si="8"/>
        <v/>
      </c>
      <c r="T149" s="14"/>
    </row>
    <row r="150" spans="1:20" ht="16" hidden="1" x14ac:dyDescent="0.15">
      <c r="A150" s="14"/>
      <c r="B150" s="13"/>
      <c r="C150" s="13"/>
      <c r="D150" s="13"/>
      <c r="E150" s="13"/>
      <c r="F150" s="13"/>
      <c r="G150" s="13"/>
      <c r="H150" s="14"/>
      <c r="I150" s="14"/>
      <c r="J150" s="14"/>
      <c r="K150" s="14"/>
      <c r="L150" s="13"/>
      <c r="M150" s="13"/>
      <c r="N150" s="15"/>
      <c r="O150" s="15"/>
      <c r="P150" s="16" t="str">
        <f t="shared" si="6"/>
        <v/>
      </c>
      <c r="Q150" s="17" t="str">
        <f t="shared" si="7"/>
        <v/>
      </c>
      <c r="R150" s="13"/>
      <c r="S150" s="17" t="str">
        <f t="shared" si="8"/>
        <v/>
      </c>
      <c r="T150" s="14"/>
    </row>
    <row r="151" spans="1:20" ht="16" hidden="1" x14ac:dyDescent="0.15">
      <c r="A151" s="14"/>
      <c r="B151" s="13"/>
      <c r="C151" s="13"/>
      <c r="D151" s="13"/>
      <c r="E151" s="13"/>
      <c r="F151" s="13"/>
      <c r="G151" s="13"/>
      <c r="H151" s="14"/>
      <c r="I151" s="14"/>
      <c r="J151" s="14"/>
      <c r="K151" s="14"/>
      <c r="L151" s="13"/>
      <c r="M151" s="13"/>
      <c r="N151" s="15"/>
      <c r="O151" s="15"/>
      <c r="P151" s="16" t="str">
        <f t="shared" si="6"/>
        <v/>
      </c>
      <c r="Q151" s="17" t="str">
        <f t="shared" si="7"/>
        <v/>
      </c>
      <c r="R151" s="13"/>
      <c r="S151" s="17" t="str">
        <f t="shared" si="8"/>
        <v/>
      </c>
      <c r="T151" s="14"/>
    </row>
    <row r="152" spans="1:20" ht="16" hidden="1" x14ac:dyDescent="0.15">
      <c r="A152" s="14"/>
      <c r="B152" s="13"/>
      <c r="C152" s="13"/>
      <c r="D152" s="13"/>
      <c r="E152" s="13"/>
      <c r="F152" s="13"/>
      <c r="G152" s="13"/>
      <c r="H152" s="14"/>
      <c r="I152" s="14"/>
      <c r="J152" s="14"/>
      <c r="K152" s="14"/>
      <c r="L152" s="13"/>
      <c r="M152" s="13"/>
      <c r="N152" s="15"/>
      <c r="O152" s="15"/>
      <c r="P152" s="16" t="str">
        <f t="shared" si="6"/>
        <v/>
      </c>
      <c r="Q152" s="17" t="str">
        <f t="shared" si="7"/>
        <v/>
      </c>
      <c r="R152" s="13"/>
      <c r="S152" s="17" t="str">
        <f t="shared" si="8"/>
        <v/>
      </c>
      <c r="T152" s="14"/>
    </row>
    <row r="153" spans="1:20" ht="16" hidden="1" x14ac:dyDescent="0.15">
      <c r="A153" s="14"/>
      <c r="B153" s="13"/>
      <c r="C153" s="13"/>
      <c r="D153" s="13"/>
      <c r="E153" s="13"/>
      <c r="F153" s="13"/>
      <c r="G153" s="13"/>
      <c r="H153" s="14"/>
      <c r="I153" s="14"/>
      <c r="J153" s="14"/>
      <c r="K153" s="14"/>
      <c r="L153" s="13"/>
      <c r="M153" s="13"/>
      <c r="N153" s="15"/>
      <c r="O153" s="15"/>
      <c r="P153" s="16" t="str">
        <f t="shared" si="6"/>
        <v/>
      </c>
      <c r="Q153" s="17" t="str">
        <f t="shared" si="7"/>
        <v/>
      </c>
      <c r="R153" s="13"/>
      <c r="S153" s="17" t="str">
        <f t="shared" si="8"/>
        <v/>
      </c>
      <c r="T153" s="14"/>
    </row>
    <row r="154" spans="1:20" ht="16" hidden="1" x14ac:dyDescent="0.15">
      <c r="A154" s="14"/>
      <c r="B154" s="13"/>
      <c r="C154" s="13"/>
      <c r="D154" s="13"/>
      <c r="E154" s="13"/>
      <c r="F154" s="13"/>
      <c r="G154" s="13"/>
      <c r="H154" s="14"/>
      <c r="I154" s="14"/>
      <c r="J154" s="14"/>
      <c r="K154" s="14"/>
      <c r="L154" s="13"/>
      <c r="M154" s="13"/>
      <c r="N154" s="15"/>
      <c r="O154" s="15"/>
      <c r="P154" s="16" t="str">
        <f t="shared" si="6"/>
        <v/>
      </c>
      <c r="Q154" s="17" t="str">
        <f t="shared" si="7"/>
        <v/>
      </c>
      <c r="R154" s="13"/>
      <c r="S154" s="17" t="str">
        <f t="shared" si="8"/>
        <v/>
      </c>
      <c r="T154" s="14"/>
    </row>
    <row r="155" spans="1:20" ht="16" hidden="1" x14ac:dyDescent="0.15">
      <c r="A155" s="14"/>
      <c r="B155" s="13"/>
      <c r="C155" s="13"/>
      <c r="D155" s="13"/>
      <c r="E155" s="13"/>
      <c r="F155" s="13"/>
      <c r="G155" s="13"/>
      <c r="H155" s="14"/>
      <c r="I155" s="14"/>
      <c r="J155" s="14"/>
      <c r="K155" s="14"/>
      <c r="L155" s="13"/>
      <c r="M155" s="13"/>
      <c r="N155" s="15"/>
      <c r="O155" s="15"/>
      <c r="P155" s="16" t="str">
        <f t="shared" si="6"/>
        <v/>
      </c>
      <c r="Q155" s="17" t="str">
        <f t="shared" si="7"/>
        <v/>
      </c>
      <c r="R155" s="13"/>
      <c r="S155" s="17" t="str">
        <f t="shared" si="8"/>
        <v/>
      </c>
      <c r="T155" s="14"/>
    </row>
    <row r="156" spans="1:20" ht="16" hidden="1" x14ac:dyDescent="0.15">
      <c r="A156" s="14"/>
      <c r="B156" s="13"/>
      <c r="C156" s="13"/>
      <c r="D156" s="13"/>
      <c r="E156" s="13"/>
      <c r="F156" s="13"/>
      <c r="G156" s="13"/>
      <c r="H156" s="14"/>
      <c r="I156" s="14"/>
      <c r="J156" s="14"/>
      <c r="K156" s="14"/>
      <c r="L156" s="13"/>
      <c r="M156" s="13"/>
      <c r="N156" s="15"/>
      <c r="O156" s="15"/>
      <c r="P156" s="16" t="str">
        <f t="shared" si="6"/>
        <v/>
      </c>
      <c r="Q156" s="17" t="str">
        <f t="shared" si="7"/>
        <v/>
      </c>
      <c r="R156" s="13"/>
      <c r="S156" s="17" t="str">
        <f t="shared" si="8"/>
        <v/>
      </c>
      <c r="T156" s="14"/>
    </row>
    <row r="157" spans="1:20" ht="16" hidden="1" x14ac:dyDescent="0.15">
      <c r="A157" s="14"/>
      <c r="B157" s="13"/>
      <c r="C157" s="13"/>
      <c r="D157" s="13"/>
      <c r="E157" s="13"/>
      <c r="F157" s="13"/>
      <c r="G157" s="13"/>
      <c r="H157" s="14"/>
      <c r="I157" s="14"/>
      <c r="J157" s="14"/>
      <c r="K157" s="14"/>
      <c r="L157" s="13"/>
      <c r="M157" s="13"/>
      <c r="N157" s="15"/>
      <c r="O157" s="15"/>
      <c r="P157" s="16" t="str">
        <f t="shared" si="6"/>
        <v/>
      </c>
      <c r="Q157" s="17" t="str">
        <f t="shared" si="7"/>
        <v/>
      </c>
      <c r="R157" s="13"/>
      <c r="S157" s="17" t="str">
        <f t="shared" si="8"/>
        <v/>
      </c>
      <c r="T157" s="14"/>
    </row>
    <row r="158" spans="1:20" ht="16" hidden="1" x14ac:dyDescent="0.15">
      <c r="A158" s="14"/>
      <c r="B158" s="13"/>
      <c r="C158" s="13"/>
      <c r="D158" s="13"/>
      <c r="E158" s="13"/>
      <c r="F158" s="13"/>
      <c r="G158" s="13"/>
      <c r="H158" s="14"/>
      <c r="I158" s="14"/>
      <c r="J158" s="14"/>
      <c r="K158" s="14"/>
      <c r="L158" s="13"/>
      <c r="M158" s="13"/>
      <c r="N158" s="15"/>
      <c r="O158" s="15"/>
      <c r="P158" s="16" t="str">
        <f t="shared" si="6"/>
        <v/>
      </c>
      <c r="Q158" s="17" t="str">
        <f t="shared" si="7"/>
        <v/>
      </c>
      <c r="R158" s="13"/>
      <c r="S158" s="17" t="str">
        <f t="shared" si="8"/>
        <v/>
      </c>
      <c r="T158" s="14"/>
    </row>
    <row r="159" spans="1:20" ht="16" hidden="1" x14ac:dyDescent="0.15">
      <c r="A159" s="14"/>
      <c r="B159" s="13"/>
      <c r="C159" s="13"/>
      <c r="D159" s="13"/>
      <c r="E159" s="13"/>
      <c r="F159" s="13"/>
      <c r="G159" s="13"/>
      <c r="H159" s="14"/>
      <c r="I159" s="14"/>
      <c r="J159" s="14"/>
      <c r="K159" s="14"/>
      <c r="L159" s="13"/>
      <c r="M159" s="13"/>
      <c r="N159" s="15"/>
      <c r="O159" s="15"/>
      <c r="P159" s="16" t="str">
        <f t="shared" si="6"/>
        <v/>
      </c>
      <c r="Q159" s="17" t="str">
        <f t="shared" si="7"/>
        <v/>
      </c>
      <c r="R159" s="13"/>
      <c r="S159" s="17" t="str">
        <f t="shared" si="8"/>
        <v/>
      </c>
      <c r="T159" s="14"/>
    </row>
    <row r="160" spans="1:20" ht="16" hidden="1" x14ac:dyDescent="0.15">
      <c r="A160" s="14"/>
      <c r="B160" s="13"/>
      <c r="C160" s="13"/>
      <c r="D160" s="13"/>
      <c r="E160" s="13"/>
      <c r="F160" s="13"/>
      <c r="G160" s="13"/>
      <c r="H160" s="14"/>
      <c r="I160" s="14"/>
      <c r="J160" s="14"/>
      <c r="K160" s="14"/>
      <c r="L160" s="13"/>
      <c r="M160" s="13"/>
      <c r="N160" s="15"/>
      <c r="O160" s="15"/>
      <c r="P160" s="16" t="str">
        <f t="shared" si="6"/>
        <v/>
      </c>
      <c r="Q160" s="17" t="str">
        <f t="shared" si="7"/>
        <v/>
      </c>
      <c r="R160" s="13"/>
      <c r="S160" s="17" t="str">
        <f t="shared" si="8"/>
        <v/>
      </c>
      <c r="T160" s="14"/>
    </row>
    <row r="161" spans="1:20" ht="16" hidden="1" x14ac:dyDescent="0.15">
      <c r="A161" s="14"/>
      <c r="B161" s="13"/>
      <c r="C161" s="13"/>
      <c r="D161" s="13"/>
      <c r="E161" s="13"/>
      <c r="F161" s="13"/>
      <c r="G161" s="13"/>
      <c r="H161" s="14"/>
      <c r="I161" s="14"/>
      <c r="J161" s="14"/>
      <c r="K161" s="14"/>
      <c r="L161" s="13"/>
      <c r="M161" s="13"/>
      <c r="N161" s="15"/>
      <c r="O161" s="15"/>
      <c r="P161" s="16" t="str">
        <f t="shared" si="6"/>
        <v/>
      </c>
      <c r="Q161" s="17" t="str">
        <f t="shared" si="7"/>
        <v/>
      </c>
      <c r="R161" s="13"/>
      <c r="S161" s="17" t="str">
        <f t="shared" si="8"/>
        <v/>
      </c>
      <c r="T161" s="14"/>
    </row>
    <row r="162" spans="1:20" ht="16" hidden="1" x14ac:dyDescent="0.15">
      <c r="A162" s="14"/>
      <c r="B162" s="13"/>
      <c r="C162" s="13"/>
      <c r="D162" s="13"/>
      <c r="E162" s="13"/>
      <c r="F162" s="13"/>
      <c r="G162" s="13"/>
      <c r="H162" s="14"/>
      <c r="I162" s="14"/>
      <c r="J162" s="14"/>
      <c r="K162" s="14"/>
      <c r="L162" s="13"/>
      <c r="M162" s="13"/>
      <c r="N162" s="15"/>
      <c r="O162" s="15"/>
      <c r="P162" s="16" t="str">
        <f t="shared" si="6"/>
        <v/>
      </c>
      <c r="Q162" s="17" t="str">
        <f t="shared" si="7"/>
        <v/>
      </c>
      <c r="R162" s="13"/>
      <c r="S162" s="17" t="str">
        <f t="shared" si="8"/>
        <v/>
      </c>
      <c r="T162" s="14"/>
    </row>
    <row r="163" spans="1:20" ht="16" hidden="1" x14ac:dyDescent="0.15">
      <c r="A163" s="14"/>
      <c r="B163" s="13"/>
      <c r="C163" s="13"/>
      <c r="D163" s="13"/>
      <c r="E163" s="13"/>
      <c r="F163" s="13"/>
      <c r="G163" s="13"/>
      <c r="H163" s="14"/>
      <c r="I163" s="14"/>
      <c r="J163" s="14"/>
      <c r="K163" s="14"/>
      <c r="L163" s="13"/>
      <c r="M163" s="13"/>
      <c r="N163" s="15"/>
      <c r="O163" s="15"/>
      <c r="P163" s="16" t="str">
        <f t="shared" si="6"/>
        <v/>
      </c>
      <c r="Q163" s="17" t="str">
        <f t="shared" si="7"/>
        <v/>
      </c>
      <c r="R163" s="13"/>
      <c r="S163" s="17" t="str">
        <f t="shared" si="8"/>
        <v/>
      </c>
      <c r="T163" s="14"/>
    </row>
    <row r="164" spans="1:20" ht="16" hidden="1" x14ac:dyDescent="0.15">
      <c r="A164" s="14"/>
      <c r="B164" s="13"/>
      <c r="C164" s="13"/>
      <c r="D164" s="13"/>
      <c r="E164" s="13"/>
      <c r="F164" s="13"/>
      <c r="G164" s="13"/>
      <c r="H164" s="14"/>
      <c r="I164" s="14"/>
      <c r="J164" s="14"/>
      <c r="K164" s="14"/>
      <c r="L164" s="13"/>
      <c r="M164" s="13"/>
      <c r="N164" s="15"/>
      <c r="O164" s="15"/>
      <c r="P164" s="16" t="str">
        <f t="shared" si="6"/>
        <v/>
      </c>
      <c r="Q164" s="17" t="str">
        <f t="shared" si="7"/>
        <v/>
      </c>
      <c r="R164" s="13"/>
      <c r="S164" s="17" t="str">
        <f t="shared" si="8"/>
        <v/>
      </c>
      <c r="T164" s="14"/>
    </row>
    <row r="165" spans="1:20" ht="16" hidden="1" x14ac:dyDescent="0.15">
      <c r="A165" s="14"/>
      <c r="B165" s="13"/>
      <c r="C165" s="13"/>
      <c r="D165" s="13"/>
      <c r="E165" s="13"/>
      <c r="F165" s="13"/>
      <c r="G165" s="13"/>
      <c r="H165" s="14"/>
      <c r="I165" s="14"/>
      <c r="J165" s="14"/>
      <c r="K165" s="14"/>
      <c r="L165" s="13"/>
      <c r="M165" s="13"/>
      <c r="N165" s="15"/>
      <c r="O165" s="15"/>
      <c r="P165" s="16" t="str">
        <f t="shared" si="6"/>
        <v/>
      </c>
      <c r="Q165" s="17" t="str">
        <f t="shared" si="7"/>
        <v/>
      </c>
      <c r="R165" s="13"/>
      <c r="S165" s="17" t="str">
        <f t="shared" si="8"/>
        <v/>
      </c>
      <c r="T165" s="14"/>
    </row>
    <row r="166" spans="1:20" ht="16" hidden="1" x14ac:dyDescent="0.15">
      <c r="A166" s="14"/>
      <c r="B166" s="13"/>
      <c r="C166" s="13"/>
      <c r="D166" s="13"/>
      <c r="E166" s="13"/>
      <c r="F166" s="13"/>
      <c r="G166" s="13"/>
      <c r="H166" s="14"/>
      <c r="I166" s="14"/>
      <c r="J166" s="14"/>
      <c r="K166" s="14"/>
      <c r="L166" s="13"/>
      <c r="M166" s="13"/>
      <c r="N166" s="15"/>
      <c r="O166" s="15"/>
      <c r="P166" s="16" t="str">
        <f t="shared" si="6"/>
        <v/>
      </c>
      <c r="Q166" s="17" t="str">
        <f t="shared" si="7"/>
        <v/>
      </c>
      <c r="R166" s="13"/>
      <c r="S166" s="17" t="str">
        <f t="shared" si="8"/>
        <v/>
      </c>
      <c r="T166" s="14"/>
    </row>
    <row r="167" spans="1:20" ht="16" hidden="1" x14ac:dyDescent="0.15">
      <c r="A167" s="14"/>
      <c r="B167" s="13"/>
      <c r="C167" s="13"/>
      <c r="D167" s="13"/>
      <c r="E167" s="13"/>
      <c r="F167" s="13"/>
      <c r="G167" s="13"/>
      <c r="H167" s="14"/>
      <c r="I167" s="14"/>
      <c r="J167" s="14"/>
      <c r="K167" s="14"/>
      <c r="L167" s="13"/>
      <c r="M167" s="13"/>
      <c r="N167" s="15"/>
      <c r="O167" s="15"/>
      <c r="P167" s="16" t="str">
        <f t="shared" si="6"/>
        <v/>
      </c>
      <c r="Q167" s="17" t="str">
        <f t="shared" si="7"/>
        <v/>
      </c>
      <c r="R167" s="13"/>
      <c r="S167" s="17" t="str">
        <f t="shared" si="8"/>
        <v/>
      </c>
      <c r="T167" s="14"/>
    </row>
    <row r="168" spans="1:20" ht="16" hidden="1" x14ac:dyDescent="0.15">
      <c r="A168" s="14"/>
      <c r="B168" s="13"/>
      <c r="C168" s="13"/>
      <c r="D168" s="13"/>
      <c r="E168" s="13"/>
      <c r="F168" s="13"/>
      <c r="G168" s="13"/>
      <c r="H168" s="14"/>
      <c r="I168" s="14"/>
      <c r="J168" s="14"/>
      <c r="K168" s="14"/>
      <c r="L168" s="13"/>
      <c r="M168" s="13"/>
      <c r="N168" s="15"/>
      <c r="O168" s="15"/>
      <c r="P168" s="16" t="str">
        <f t="shared" si="6"/>
        <v/>
      </c>
      <c r="Q168" s="17" t="str">
        <f t="shared" si="7"/>
        <v/>
      </c>
      <c r="R168" s="13"/>
      <c r="S168" s="17" t="str">
        <f t="shared" si="8"/>
        <v/>
      </c>
      <c r="T168" s="14"/>
    </row>
    <row r="169" spans="1:20" ht="16" hidden="1" x14ac:dyDescent="0.15">
      <c r="A169" s="14"/>
      <c r="B169" s="13"/>
      <c r="C169" s="13"/>
      <c r="D169" s="13"/>
      <c r="E169" s="13"/>
      <c r="F169" s="13"/>
      <c r="G169" s="13"/>
      <c r="H169" s="14"/>
      <c r="I169" s="14"/>
      <c r="J169" s="14"/>
      <c r="K169" s="14"/>
      <c r="L169" s="13"/>
      <c r="M169" s="13"/>
      <c r="N169" s="15"/>
      <c r="O169" s="15"/>
      <c r="P169" s="16" t="str">
        <f t="shared" si="6"/>
        <v/>
      </c>
      <c r="Q169" s="17" t="str">
        <f t="shared" si="7"/>
        <v/>
      </c>
      <c r="R169" s="13"/>
      <c r="S169" s="17" t="str">
        <f t="shared" si="8"/>
        <v/>
      </c>
      <c r="T169" s="14"/>
    </row>
    <row r="170" spans="1:20" ht="16" hidden="1" x14ac:dyDescent="0.15">
      <c r="A170" s="14"/>
      <c r="B170" s="13"/>
      <c r="C170" s="13"/>
      <c r="D170" s="13"/>
      <c r="E170" s="13"/>
      <c r="F170" s="13"/>
      <c r="G170" s="13"/>
      <c r="H170" s="14"/>
      <c r="I170" s="14"/>
      <c r="J170" s="14"/>
      <c r="K170" s="14"/>
      <c r="L170" s="13"/>
      <c r="M170" s="13"/>
      <c r="N170" s="15"/>
      <c r="O170" s="15"/>
      <c r="P170" s="16" t="str">
        <f t="shared" si="6"/>
        <v/>
      </c>
      <c r="Q170" s="17" t="str">
        <f t="shared" si="7"/>
        <v/>
      </c>
      <c r="R170" s="13"/>
      <c r="S170" s="17" t="str">
        <f t="shared" si="8"/>
        <v/>
      </c>
      <c r="T170" s="14"/>
    </row>
    <row r="171" spans="1:20" ht="16" hidden="1" x14ac:dyDescent="0.15">
      <c r="A171" s="14"/>
      <c r="B171" s="13"/>
      <c r="C171" s="13"/>
      <c r="D171" s="13"/>
      <c r="E171" s="13"/>
      <c r="F171" s="13"/>
      <c r="G171" s="13"/>
      <c r="H171" s="14"/>
      <c r="I171" s="14"/>
      <c r="J171" s="14"/>
      <c r="K171" s="14"/>
      <c r="L171" s="13"/>
      <c r="M171" s="13"/>
      <c r="N171" s="15"/>
      <c r="O171" s="15"/>
      <c r="P171" s="16" t="str">
        <f t="shared" si="6"/>
        <v/>
      </c>
      <c r="Q171" s="17" t="str">
        <f t="shared" si="7"/>
        <v/>
      </c>
      <c r="R171" s="13"/>
      <c r="S171" s="17" t="str">
        <f t="shared" si="8"/>
        <v/>
      </c>
      <c r="T171" s="14"/>
    </row>
    <row r="172" spans="1:20" ht="16" hidden="1" x14ac:dyDescent="0.15">
      <c r="A172" s="14"/>
      <c r="B172" s="13"/>
      <c r="C172" s="13"/>
      <c r="D172" s="13"/>
      <c r="E172" s="13"/>
      <c r="F172" s="13"/>
      <c r="G172" s="13"/>
      <c r="H172" s="14"/>
      <c r="I172" s="14"/>
      <c r="J172" s="14"/>
      <c r="K172" s="14"/>
      <c r="L172" s="13"/>
      <c r="M172" s="13"/>
      <c r="N172" s="15"/>
      <c r="O172" s="15"/>
      <c r="P172" s="16" t="str">
        <f t="shared" si="6"/>
        <v/>
      </c>
      <c r="Q172" s="17" t="str">
        <f t="shared" si="7"/>
        <v/>
      </c>
      <c r="R172" s="13"/>
      <c r="S172" s="17" t="str">
        <f t="shared" si="8"/>
        <v/>
      </c>
      <c r="T172" s="14"/>
    </row>
    <row r="173" spans="1:20" ht="16" hidden="1" x14ac:dyDescent="0.15">
      <c r="A173" s="14"/>
      <c r="B173" s="13"/>
      <c r="C173" s="13"/>
      <c r="D173" s="13"/>
      <c r="E173" s="13"/>
      <c r="F173" s="13"/>
      <c r="G173" s="13"/>
      <c r="H173" s="14"/>
      <c r="I173" s="14"/>
      <c r="J173" s="14"/>
      <c r="K173" s="14"/>
      <c r="L173" s="13"/>
      <c r="M173" s="13"/>
      <c r="N173" s="15"/>
      <c r="O173" s="15"/>
      <c r="P173" s="16" t="str">
        <f t="shared" si="6"/>
        <v/>
      </c>
      <c r="Q173" s="17" t="str">
        <f t="shared" si="7"/>
        <v/>
      </c>
      <c r="R173" s="13"/>
      <c r="S173" s="17" t="str">
        <f t="shared" si="8"/>
        <v/>
      </c>
      <c r="T173" s="14"/>
    </row>
    <row r="174" spans="1:20" ht="16" hidden="1" x14ac:dyDescent="0.15">
      <c r="A174" s="14"/>
      <c r="B174" s="13"/>
      <c r="C174" s="13"/>
      <c r="D174" s="13"/>
      <c r="E174" s="13"/>
      <c r="F174" s="13"/>
      <c r="G174" s="13"/>
      <c r="H174" s="14"/>
      <c r="I174" s="14"/>
      <c r="J174" s="14"/>
      <c r="K174" s="14"/>
      <c r="L174" s="13"/>
      <c r="M174" s="13"/>
      <c r="N174" s="15"/>
      <c r="O174" s="15"/>
      <c r="P174" s="16" t="str">
        <f t="shared" si="6"/>
        <v/>
      </c>
      <c r="Q174" s="17" t="str">
        <f t="shared" si="7"/>
        <v/>
      </c>
      <c r="R174" s="13"/>
      <c r="S174" s="17" t="str">
        <f t="shared" si="8"/>
        <v/>
      </c>
      <c r="T174" s="14"/>
    </row>
    <row r="175" spans="1:20" ht="16" hidden="1" x14ac:dyDescent="0.15">
      <c r="A175" s="14"/>
      <c r="B175" s="13"/>
      <c r="C175" s="13"/>
      <c r="D175" s="13"/>
      <c r="E175" s="13"/>
      <c r="F175" s="13"/>
      <c r="G175" s="13"/>
      <c r="H175" s="14"/>
      <c r="I175" s="14"/>
      <c r="J175" s="14"/>
      <c r="K175" s="14"/>
      <c r="L175" s="13"/>
      <c r="M175" s="13"/>
      <c r="N175" s="15"/>
      <c r="O175" s="15"/>
      <c r="P175" s="16" t="str">
        <f t="shared" si="6"/>
        <v/>
      </c>
      <c r="Q175" s="17" t="str">
        <f t="shared" si="7"/>
        <v/>
      </c>
      <c r="R175" s="13"/>
      <c r="S175" s="17" t="str">
        <f t="shared" si="8"/>
        <v/>
      </c>
      <c r="T175" s="14"/>
    </row>
    <row r="176" spans="1:20" ht="16" hidden="1" x14ac:dyDescent="0.15">
      <c r="A176" s="14"/>
      <c r="B176" s="13"/>
      <c r="C176" s="13"/>
      <c r="D176" s="13"/>
      <c r="E176" s="13"/>
      <c r="F176" s="13"/>
      <c r="G176" s="13"/>
      <c r="H176" s="14"/>
      <c r="I176" s="14"/>
      <c r="J176" s="14"/>
      <c r="K176" s="14"/>
      <c r="L176" s="13"/>
      <c r="M176" s="13"/>
      <c r="N176" s="15"/>
      <c r="O176" s="15"/>
      <c r="P176" s="16" t="str">
        <f t="shared" si="6"/>
        <v/>
      </c>
      <c r="Q176" s="17" t="str">
        <f t="shared" si="7"/>
        <v/>
      </c>
      <c r="R176" s="13"/>
      <c r="S176" s="17" t="str">
        <f t="shared" si="8"/>
        <v/>
      </c>
      <c r="T176" s="14"/>
    </row>
    <row r="177" spans="1:20" ht="16" hidden="1" x14ac:dyDescent="0.15">
      <c r="A177" s="14"/>
      <c r="B177" s="13"/>
      <c r="C177" s="13"/>
      <c r="D177" s="13"/>
      <c r="E177" s="13"/>
      <c r="F177" s="13"/>
      <c r="G177" s="13"/>
      <c r="H177" s="14"/>
      <c r="I177" s="14"/>
      <c r="J177" s="14"/>
      <c r="K177" s="14"/>
      <c r="L177" s="13"/>
      <c r="M177" s="13"/>
      <c r="N177" s="15"/>
      <c r="O177" s="15"/>
      <c r="P177" s="16" t="str">
        <f t="shared" si="6"/>
        <v/>
      </c>
      <c r="Q177" s="17" t="str">
        <f t="shared" si="7"/>
        <v/>
      </c>
      <c r="R177" s="13"/>
      <c r="S177" s="17" t="str">
        <f t="shared" si="8"/>
        <v/>
      </c>
      <c r="T177" s="14"/>
    </row>
    <row r="178" spans="1:20" ht="16" hidden="1" x14ac:dyDescent="0.15">
      <c r="A178" s="14"/>
      <c r="B178" s="13"/>
      <c r="C178" s="13"/>
      <c r="D178" s="13"/>
      <c r="E178" s="13"/>
      <c r="F178" s="13"/>
      <c r="G178" s="13"/>
      <c r="H178" s="14"/>
      <c r="I178" s="14"/>
      <c r="J178" s="14"/>
      <c r="K178" s="14"/>
      <c r="L178" s="13"/>
      <c r="M178" s="13"/>
      <c r="N178" s="15"/>
      <c r="O178" s="15"/>
      <c r="P178" s="16" t="str">
        <f t="shared" si="6"/>
        <v/>
      </c>
      <c r="Q178" s="17" t="str">
        <f t="shared" si="7"/>
        <v/>
      </c>
      <c r="R178" s="13"/>
      <c r="S178" s="17" t="str">
        <f t="shared" si="8"/>
        <v/>
      </c>
      <c r="T178" s="14"/>
    </row>
    <row r="179" spans="1:20" ht="16" hidden="1" x14ac:dyDescent="0.15">
      <c r="A179" s="14"/>
      <c r="B179" s="13"/>
      <c r="C179" s="13"/>
      <c r="D179" s="13"/>
      <c r="E179" s="13"/>
      <c r="F179" s="13"/>
      <c r="G179" s="13"/>
      <c r="H179" s="14"/>
      <c r="I179" s="14"/>
      <c r="J179" s="14"/>
      <c r="K179" s="14"/>
      <c r="L179" s="13"/>
      <c r="M179" s="13"/>
      <c r="N179" s="15"/>
      <c r="O179" s="15"/>
      <c r="P179" s="16" t="str">
        <f t="shared" si="6"/>
        <v/>
      </c>
      <c r="Q179" s="17" t="str">
        <f t="shared" si="7"/>
        <v/>
      </c>
      <c r="R179" s="13"/>
      <c r="S179" s="17" t="str">
        <f t="shared" si="8"/>
        <v/>
      </c>
      <c r="T179" s="14"/>
    </row>
    <row r="180" spans="1:20" ht="16" hidden="1" x14ac:dyDescent="0.15">
      <c r="A180" s="14"/>
      <c r="B180" s="13"/>
      <c r="C180" s="13"/>
      <c r="D180" s="13"/>
      <c r="E180" s="13"/>
      <c r="F180" s="13"/>
      <c r="G180" s="13"/>
      <c r="H180" s="14"/>
      <c r="I180" s="14"/>
      <c r="J180" s="14"/>
      <c r="K180" s="14"/>
      <c r="L180" s="13"/>
      <c r="M180" s="13"/>
      <c r="N180" s="15"/>
      <c r="O180" s="15"/>
      <c r="P180" s="16" t="str">
        <f t="shared" si="6"/>
        <v/>
      </c>
      <c r="Q180" s="17" t="str">
        <f t="shared" si="7"/>
        <v/>
      </c>
      <c r="R180" s="13"/>
      <c r="S180" s="17" t="str">
        <f t="shared" si="8"/>
        <v/>
      </c>
      <c r="T180" s="14"/>
    </row>
    <row r="181" spans="1:20" ht="16" hidden="1" x14ac:dyDescent="0.15">
      <c r="A181" s="14"/>
      <c r="B181" s="13"/>
      <c r="C181" s="13"/>
      <c r="D181" s="13"/>
      <c r="E181" s="13"/>
      <c r="F181" s="13"/>
      <c r="G181" s="13"/>
      <c r="H181" s="14"/>
      <c r="I181" s="14"/>
      <c r="J181" s="14"/>
      <c r="K181" s="14"/>
      <c r="L181" s="13"/>
      <c r="M181" s="13"/>
      <c r="N181" s="15"/>
      <c r="O181" s="15"/>
      <c r="P181" s="16" t="str">
        <f t="shared" si="6"/>
        <v/>
      </c>
      <c r="Q181" s="17" t="str">
        <f t="shared" si="7"/>
        <v/>
      </c>
      <c r="R181" s="13"/>
      <c r="S181" s="17" t="str">
        <f t="shared" si="8"/>
        <v/>
      </c>
      <c r="T181" s="14"/>
    </row>
    <row r="182" spans="1:20" ht="16" hidden="1" x14ac:dyDescent="0.15">
      <c r="A182" s="14"/>
      <c r="B182" s="13"/>
      <c r="C182" s="13"/>
      <c r="D182" s="13"/>
      <c r="E182" s="13"/>
      <c r="F182" s="13"/>
      <c r="G182" s="13"/>
      <c r="H182" s="14"/>
      <c r="I182" s="14"/>
      <c r="J182" s="14"/>
      <c r="K182" s="14"/>
      <c r="L182" s="13"/>
      <c r="M182" s="13"/>
      <c r="N182" s="15"/>
      <c r="O182" s="15"/>
      <c r="P182" s="16" t="str">
        <f t="shared" si="6"/>
        <v/>
      </c>
      <c r="Q182" s="17" t="str">
        <f t="shared" si="7"/>
        <v/>
      </c>
      <c r="R182" s="13"/>
      <c r="S182" s="17" t="str">
        <f t="shared" si="8"/>
        <v/>
      </c>
      <c r="T182" s="14"/>
    </row>
    <row r="183" spans="1:20" ht="16" hidden="1" x14ac:dyDescent="0.15">
      <c r="A183" s="14"/>
      <c r="B183" s="13"/>
      <c r="C183" s="13"/>
      <c r="D183" s="13"/>
      <c r="E183" s="13"/>
      <c r="F183" s="13"/>
      <c r="G183" s="13"/>
      <c r="H183" s="14"/>
      <c r="I183" s="14"/>
      <c r="J183" s="14"/>
      <c r="K183" s="14"/>
      <c r="L183" s="13"/>
      <c r="M183" s="13"/>
      <c r="N183" s="15"/>
      <c r="O183" s="15"/>
      <c r="P183" s="16" t="str">
        <f t="shared" si="6"/>
        <v/>
      </c>
      <c r="Q183" s="17" t="str">
        <f t="shared" si="7"/>
        <v/>
      </c>
      <c r="R183" s="13"/>
      <c r="S183" s="17" t="str">
        <f t="shared" si="8"/>
        <v/>
      </c>
      <c r="T183" s="14"/>
    </row>
    <row r="184" spans="1:20" ht="16" hidden="1" x14ac:dyDescent="0.15">
      <c r="A184" s="14"/>
      <c r="B184" s="13"/>
      <c r="C184" s="13"/>
      <c r="D184" s="13"/>
      <c r="E184" s="13"/>
      <c r="F184" s="13"/>
      <c r="G184" s="13"/>
      <c r="H184" s="14"/>
      <c r="I184" s="14"/>
      <c r="J184" s="14"/>
      <c r="K184" s="14"/>
      <c r="L184" s="13"/>
      <c r="M184" s="13"/>
      <c r="N184" s="15"/>
      <c r="O184" s="15"/>
      <c r="P184" s="16" t="str">
        <f t="shared" si="6"/>
        <v/>
      </c>
      <c r="Q184" s="17" t="str">
        <f t="shared" si="7"/>
        <v/>
      </c>
      <c r="R184" s="13"/>
      <c r="S184" s="17" t="str">
        <f t="shared" si="8"/>
        <v/>
      </c>
      <c r="T184" s="14"/>
    </row>
    <row r="185" spans="1:20" ht="16" hidden="1" x14ac:dyDescent="0.15">
      <c r="A185" s="14"/>
      <c r="B185" s="13"/>
      <c r="C185" s="13"/>
      <c r="D185" s="13"/>
      <c r="E185" s="13"/>
      <c r="F185" s="13"/>
      <c r="G185" s="13"/>
      <c r="H185" s="14"/>
      <c r="I185" s="14"/>
      <c r="J185" s="14"/>
      <c r="K185" s="14"/>
      <c r="L185" s="13"/>
      <c r="M185" s="13"/>
      <c r="N185" s="15"/>
      <c r="O185" s="15"/>
      <c r="P185" s="16" t="str">
        <f t="shared" si="6"/>
        <v/>
      </c>
      <c r="Q185" s="17" t="str">
        <f t="shared" si="7"/>
        <v/>
      </c>
      <c r="R185" s="13"/>
      <c r="S185" s="17" t="str">
        <f t="shared" si="8"/>
        <v/>
      </c>
      <c r="T185" s="14"/>
    </row>
    <row r="186" spans="1:20" ht="16" hidden="1" x14ac:dyDescent="0.15">
      <c r="A186" s="14"/>
      <c r="B186" s="13"/>
      <c r="C186" s="13"/>
      <c r="D186" s="13"/>
      <c r="E186" s="13"/>
      <c r="F186" s="13"/>
      <c r="G186" s="13"/>
      <c r="H186" s="14"/>
      <c r="I186" s="14"/>
      <c r="J186" s="14"/>
      <c r="K186" s="14"/>
      <c r="L186" s="13"/>
      <c r="M186" s="13"/>
      <c r="N186" s="15"/>
      <c r="O186" s="15"/>
      <c r="P186" s="16" t="str">
        <f t="shared" si="6"/>
        <v/>
      </c>
      <c r="Q186" s="17" t="str">
        <f t="shared" si="7"/>
        <v/>
      </c>
      <c r="R186" s="13"/>
      <c r="S186" s="17" t="str">
        <f t="shared" si="8"/>
        <v/>
      </c>
      <c r="T186" s="14"/>
    </row>
    <row r="187" spans="1:20" ht="16" hidden="1" x14ac:dyDescent="0.15">
      <c r="A187" s="14"/>
      <c r="B187" s="13"/>
      <c r="C187" s="13"/>
      <c r="D187" s="13"/>
      <c r="E187" s="13"/>
      <c r="F187" s="13"/>
      <c r="G187" s="13"/>
      <c r="H187" s="14"/>
      <c r="I187" s="14"/>
      <c r="J187" s="14"/>
      <c r="K187" s="14"/>
      <c r="L187" s="13"/>
      <c r="M187" s="13"/>
      <c r="N187" s="15"/>
      <c r="O187" s="15"/>
      <c r="P187" s="16" t="str">
        <f t="shared" si="6"/>
        <v/>
      </c>
      <c r="Q187" s="17" t="str">
        <f t="shared" si="7"/>
        <v/>
      </c>
      <c r="R187" s="13"/>
      <c r="S187" s="17" t="str">
        <f t="shared" si="8"/>
        <v/>
      </c>
      <c r="T187" s="14"/>
    </row>
    <row r="188" spans="1:20" ht="16" hidden="1" x14ac:dyDescent="0.15">
      <c r="A188" s="14"/>
      <c r="B188" s="13"/>
      <c r="C188" s="13"/>
      <c r="D188" s="13"/>
      <c r="E188" s="13"/>
      <c r="F188" s="13"/>
      <c r="G188" s="13"/>
      <c r="H188" s="14"/>
      <c r="I188" s="14"/>
      <c r="J188" s="14"/>
      <c r="K188" s="14"/>
      <c r="L188" s="13"/>
      <c r="M188" s="13"/>
      <c r="N188" s="15"/>
      <c r="O188" s="15"/>
      <c r="P188" s="16" t="str">
        <f t="shared" si="6"/>
        <v/>
      </c>
      <c r="Q188" s="17" t="str">
        <f t="shared" si="7"/>
        <v/>
      </c>
      <c r="R188" s="13"/>
      <c r="S188" s="17" t="str">
        <f t="shared" si="8"/>
        <v/>
      </c>
      <c r="T188" s="14"/>
    </row>
    <row r="189" spans="1:20" ht="16" hidden="1" x14ac:dyDescent="0.15">
      <c r="A189" s="14"/>
      <c r="B189" s="13"/>
      <c r="C189" s="13"/>
      <c r="D189" s="13"/>
      <c r="E189" s="13"/>
      <c r="F189" s="13"/>
      <c r="G189" s="13"/>
      <c r="H189" s="14"/>
      <c r="I189" s="14"/>
      <c r="J189" s="14"/>
      <c r="K189" s="14"/>
      <c r="L189" s="13"/>
      <c r="M189" s="13"/>
      <c r="N189" s="15"/>
      <c r="O189" s="15"/>
      <c r="P189" s="16" t="str">
        <f t="shared" si="6"/>
        <v/>
      </c>
      <c r="Q189" s="17" t="str">
        <f t="shared" si="7"/>
        <v/>
      </c>
      <c r="R189" s="13"/>
      <c r="S189" s="17" t="str">
        <f t="shared" si="8"/>
        <v/>
      </c>
      <c r="T189" s="14"/>
    </row>
    <row r="190" spans="1:20" ht="16" hidden="1" x14ac:dyDescent="0.15">
      <c r="A190" s="14"/>
      <c r="B190" s="13"/>
      <c r="C190" s="13"/>
      <c r="D190" s="13"/>
      <c r="E190" s="13"/>
      <c r="F190" s="13"/>
      <c r="G190" s="13"/>
      <c r="H190" s="14"/>
      <c r="I190" s="14"/>
      <c r="J190" s="14"/>
      <c r="K190" s="14"/>
      <c r="L190" s="13"/>
      <c r="M190" s="13"/>
      <c r="N190" s="15"/>
      <c r="O190" s="15"/>
      <c r="P190" s="16" t="str">
        <f t="shared" si="6"/>
        <v/>
      </c>
      <c r="Q190" s="17" t="str">
        <f t="shared" si="7"/>
        <v/>
      </c>
      <c r="R190" s="13"/>
      <c r="S190" s="17" t="str">
        <f t="shared" si="8"/>
        <v/>
      </c>
      <c r="T190" s="14"/>
    </row>
    <row r="191" spans="1:20" ht="16" hidden="1" x14ac:dyDescent="0.15">
      <c r="A191" s="14"/>
      <c r="B191" s="13"/>
      <c r="C191" s="13"/>
      <c r="D191" s="13"/>
      <c r="E191" s="13"/>
      <c r="F191" s="13"/>
      <c r="G191" s="13"/>
      <c r="H191" s="14"/>
      <c r="I191" s="14"/>
      <c r="J191" s="14"/>
      <c r="K191" s="14"/>
      <c r="L191" s="13"/>
      <c r="M191" s="13"/>
      <c r="N191" s="15"/>
      <c r="O191" s="15"/>
      <c r="P191" s="16" t="str">
        <f t="shared" si="6"/>
        <v/>
      </c>
      <c r="Q191" s="17" t="str">
        <f t="shared" si="7"/>
        <v/>
      </c>
      <c r="R191" s="13"/>
      <c r="S191" s="17" t="str">
        <f t="shared" si="8"/>
        <v/>
      </c>
      <c r="T191" s="14"/>
    </row>
    <row r="192" spans="1:20" ht="16" hidden="1" x14ac:dyDescent="0.15">
      <c r="A192" s="14"/>
      <c r="B192" s="13"/>
      <c r="C192" s="13"/>
      <c r="D192" s="13"/>
      <c r="E192" s="13"/>
      <c r="F192" s="13"/>
      <c r="G192" s="13"/>
      <c r="H192" s="14"/>
      <c r="I192" s="14"/>
      <c r="J192" s="14"/>
      <c r="K192" s="14"/>
      <c r="L192" s="13"/>
      <c r="M192" s="13"/>
      <c r="N192" s="15"/>
      <c r="O192" s="15"/>
      <c r="P192" s="16" t="str">
        <f t="shared" si="6"/>
        <v/>
      </c>
      <c r="Q192" s="17" t="str">
        <f t="shared" si="7"/>
        <v/>
      </c>
      <c r="R192" s="13"/>
      <c r="S192" s="17" t="str">
        <f t="shared" si="8"/>
        <v/>
      </c>
      <c r="T192" s="14"/>
    </row>
    <row r="193" spans="1:20" ht="16" hidden="1" x14ac:dyDescent="0.15">
      <c r="A193" s="14"/>
      <c r="B193" s="13"/>
      <c r="C193" s="13"/>
      <c r="D193" s="13"/>
      <c r="E193" s="13"/>
      <c r="F193" s="13"/>
      <c r="G193" s="13"/>
      <c r="H193" s="14"/>
      <c r="I193" s="14"/>
      <c r="J193" s="14"/>
      <c r="K193" s="14"/>
      <c r="L193" s="13"/>
      <c r="M193" s="13"/>
      <c r="N193" s="15"/>
      <c r="O193" s="15"/>
      <c r="P193" s="16" t="str">
        <f t="shared" si="6"/>
        <v/>
      </c>
      <c r="Q193" s="17" t="str">
        <f t="shared" si="7"/>
        <v/>
      </c>
      <c r="R193" s="13"/>
      <c r="S193" s="17" t="str">
        <f t="shared" si="8"/>
        <v/>
      </c>
      <c r="T193" s="14"/>
    </row>
    <row r="194" spans="1:20" ht="16" hidden="1" x14ac:dyDescent="0.15">
      <c r="A194" s="14"/>
      <c r="B194" s="13"/>
      <c r="C194" s="13"/>
      <c r="D194" s="13"/>
      <c r="E194" s="13"/>
      <c r="F194" s="13"/>
      <c r="G194" s="13"/>
      <c r="H194" s="14"/>
      <c r="I194" s="14"/>
      <c r="J194" s="14"/>
      <c r="K194" s="14"/>
      <c r="L194" s="13"/>
      <c r="M194" s="13"/>
      <c r="N194" s="15"/>
      <c r="O194" s="15"/>
      <c r="P194" s="16" t="str">
        <f t="shared" si="6"/>
        <v/>
      </c>
      <c r="Q194" s="17" t="str">
        <f t="shared" si="7"/>
        <v/>
      </c>
      <c r="R194" s="13"/>
      <c r="S194" s="17" t="str">
        <f t="shared" si="8"/>
        <v/>
      </c>
      <c r="T194" s="14"/>
    </row>
    <row r="195" spans="1:20" ht="16" hidden="1" x14ac:dyDescent="0.15">
      <c r="A195" s="14"/>
      <c r="B195" s="13"/>
      <c r="C195" s="13"/>
      <c r="D195" s="13"/>
      <c r="E195" s="13"/>
      <c r="F195" s="13"/>
      <c r="G195" s="13"/>
      <c r="H195" s="14"/>
      <c r="I195" s="14"/>
      <c r="J195" s="14"/>
      <c r="K195" s="14"/>
      <c r="L195" s="13"/>
      <c r="M195" s="13"/>
      <c r="N195" s="15"/>
      <c r="O195" s="15"/>
      <c r="P195" s="16" t="str">
        <f t="shared" si="6"/>
        <v/>
      </c>
      <c r="Q195" s="17" t="str">
        <f t="shared" si="7"/>
        <v/>
      </c>
      <c r="R195" s="13"/>
      <c r="S195" s="17" t="str">
        <f t="shared" si="8"/>
        <v/>
      </c>
      <c r="T195" s="14"/>
    </row>
    <row r="196" spans="1:20" ht="16" hidden="1" x14ac:dyDescent="0.15">
      <c r="A196" s="14"/>
      <c r="B196" s="13"/>
      <c r="C196" s="13"/>
      <c r="D196" s="13"/>
      <c r="E196" s="13"/>
      <c r="F196" s="13"/>
      <c r="G196" s="13"/>
      <c r="H196" s="14"/>
      <c r="I196" s="14"/>
      <c r="J196" s="14"/>
      <c r="K196" s="14"/>
      <c r="L196" s="13"/>
      <c r="M196" s="13"/>
      <c r="N196" s="15"/>
      <c r="O196" s="15"/>
      <c r="P196" s="16" t="str">
        <f t="shared" si="6"/>
        <v/>
      </c>
      <c r="Q196" s="17" t="str">
        <f t="shared" si="7"/>
        <v/>
      </c>
      <c r="R196" s="13"/>
      <c r="S196" s="17" t="str">
        <f t="shared" si="8"/>
        <v/>
      </c>
      <c r="T196" s="14"/>
    </row>
    <row r="197" spans="1:20" ht="16" hidden="1" x14ac:dyDescent="0.15">
      <c r="A197" s="14"/>
      <c r="B197" s="13"/>
      <c r="C197" s="13"/>
      <c r="D197" s="13"/>
      <c r="E197" s="13"/>
      <c r="F197" s="13"/>
      <c r="G197" s="13"/>
      <c r="H197" s="14"/>
      <c r="I197" s="14"/>
      <c r="J197" s="14"/>
      <c r="K197" s="14"/>
      <c r="L197" s="13"/>
      <c r="M197" s="13"/>
      <c r="N197" s="15"/>
      <c r="O197" s="15"/>
      <c r="P197" s="16" t="str">
        <f t="shared" si="6"/>
        <v/>
      </c>
      <c r="Q197" s="17" t="str">
        <f t="shared" si="7"/>
        <v/>
      </c>
      <c r="R197" s="13"/>
      <c r="S197" s="17" t="str">
        <f t="shared" si="8"/>
        <v/>
      </c>
      <c r="T197" s="14"/>
    </row>
    <row r="198" spans="1:20" ht="16" hidden="1" x14ac:dyDescent="0.15">
      <c r="A198" s="14"/>
      <c r="B198" s="13"/>
      <c r="C198" s="13"/>
      <c r="D198" s="13"/>
      <c r="E198" s="13"/>
      <c r="F198" s="13"/>
      <c r="G198" s="13"/>
      <c r="H198" s="14"/>
      <c r="I198" s="14"/>
      <c r="J198" s="14"/>
      <c r="K198" s="14"/>
      <c r="L198" s="13"/>
      <c r="M198" s="13"/>
      <c r="N198" s="15"/>
      <c r="O198" s="15"/>
      <c r="P198" s="16" t="str">
        <f t="shared" ref="P198:P261" si="9">IF($B198="","",IF(AND($N198="",$O198=""),"",SUM($N198:$O198)))</f>
        <v/>
      </c>
      <c r="Q198" s="17" t="str">
        <f t="shared" ref="Q198:Q261" si="10">IF($B198="","",$B198&amp;" | "&amp;$C198&amp;" | "&amp;$D198)</f>
        <v/>
      </c>
      <c r="R198" s="13"/>
      <c r="S198" s="17" t="str">
        <f t="shared" ref="S198:S261" si="11">IF($B198="","",IF(COUNTIF($B$6:$B$305,$B198)&gt;1,"DUPLICATO","OK"))</f>
        <v/>
      </c>
      <c r="T198" s="14"/>
    </row>
    <row r="199" spans="1:20" ht="16" hidden="1" x14ac:dyDescent="0.15">
      <c r="A199" s="14"/>
      <c r="B199" s="13"/>
      <c r="C199" s="13"/>
      <c r="D199" s="13"/>
      <c r="E199" s="13"/>
      <c r="F199" s="13"/>
      <c r="G199" s="13"/>
      <c r="H199" s="14"/>
      <c r="I199" s="14"/>
      <c r="J199" s="14"/>
      <c r="K199" s="14"/>
      <c r="L199" s="13"/>
      <c r="M199" s="13"/>
      <c r="N199" s="15"/>
      <c r="O199" s="15"/>
      <c r="P199" s="16" t="str">
        <f t="shared" si="9"/>
        <v/>
      </c>
      <c r="Q199" s="17" t="str">
        <f t="shared" si="10"/>
        <v/>
      </c>
      <c r="R199" s="13"/>
      <c r="S199" s="17" t="str">
        <f t="shared" si="11"/>
        <v/>
      </c>
      <c r="T199" s="14"/>
    </row>
    <row r="200" spans="1:20" ht="16" hidden="1" x14ac:dyDescent="0.15">
      <c r="A200" s="14"/>
      <c r="B200" s="13"/>
      <c r="C200" s="13"/>
      <c r="D200" s="13"/>
      <c r="E200" s="13"/>
      <c r="F200" s="13"/>
      <c r="G200" s="13"/>
      <c r="H200" s="14"/>
      <c r="I200" s="14"/>
      <c r="J200" s="14"/>
      <c r="K200" s="14"/>
      <c r="L200" s="13"/>
      <c r="M200" s="13"/>
      <c r="N200" s="15"/>
      <c r="O200" s="15"/>
      <c r="P200" s="16" t="str">
        <f t="shared" si="9"/>
        <v/>
      </c>
      <c r="Q200" s="17" t="str">
        <f t="shared" si="10"/>
        <v/>
      </c>
      <c r="R200" s="13"/>
      <c r="S200" s="17" t="str">
        <f t="shared" si="11"/>
        <v/>
      </c>
      <c r="T200" s="14"/>
    </row>
    <row r="201" spans="1:20" ht="16" hidden="1" x14ac:dyDescent="0.15">
      <c r="A201" s="14"/>
      <c r="B201" s="13"/>
      <c r="C201" s="13"/>
      <c r="D201" s="13"/>
      <c r="E201" s="13"/>
      <c r="F201" s="13"/>
      <c r="G201" s="13"/>
      <c r="H201" s="14"/>
      <c r="I201" s="14"/>
      <c r="J201" s="14"/>
      <c r="K201" s="14"/>
      <c r="L201" s="13"/>
      <c r="M201" s="13"/>
      <c r="N201" s="15"/>
      <c r="O201" s="15"/>
      <c r="P201" s="16" t="str">
        <f t="shared" si="9"/>
        <v/>
      </c>
      <c r="Q201" s="17" t="str">
        <f t="shared" si="10"/>
        <v/>
      </c>
      <c r="R201" s="13"/>
      <c r="S201" s="17" t="str">
        <f t="shared" si="11"/>
        <v/>
      </c>
      <c r="T201" s="14"/>
    </row>
    <row r="202" spans="1:20" ht="16" hidden="1" x14ac:dyDescent="0.15">
      <c r="A202" s="14"/>
      <c r="B202" s="13"/>
      <c r="C202" s="13"/>
      <c r="D202" s="13"/>
      <c r="E202" s="13"/>
      <c r="F202" s="13"/>
      <c r="G202" s="13"/>
      <c r="H202" s="14"/>
      <c r="I202" s="14"/>
      <c r="J202" s="14"/>
      <c r="K202" s="14"/>
      <c r="L202" s="13"/>
      <c r="M202" s="13"/>
      <c r="N202" s="15"/>
      <c r="O202" s="15"/>
      <c r="P202" s="16" t="str">
        <f t="shared" si="9"/>
        <v/>
      </c>
      <c r="Q202" s="17" t="str">
        <f t="shared" si="10"/>
        <v/>
      </c>
      <c r="R202" s="13"/>
      <c r="S202" s="17" t="str">
        <f t="shared" si="11"/>
        <v/>
      </c>
      <c r="T202" s="14"/>
    </row>
    <row r="203" spans="1:20" ht="16" hidden="1" x14ac:dyDescent="0.15">
      <c r="A203" s="14"/>
      <c r="B203" s="13"/>
      <c r="C203" s="13"/>
      <c r="D203" s="13"/>
      <c r="E203" s="13"/>
      <c r="F203" s="13"/>
      <c r="G203" s="13"/>
      <c r="H203" s="14"/>
      <c r="I203" s="14"/>
      <c r="J203" s="14"/>
      <c r="K203" s="14"/>
      <c r="L203" s="13"/>
      <c r="M203" s="13"/>
      <c r="N203" s="15"/>
      <c r="O203" s="15"/>
      <c r="P203" s="16" t="str">
        <f t="shared" si="9"/>
        <v/>
      </c>
      <c r="Q203" s="17" t="str">
        <f t="shared" si="10"/>
        <v/>
      </c>
      <c r="R203" s="13"/>
      <c r="S203" s="17" t="str">
        <f t="shared" si="11"/>
        <v/>
      </c>
      <c r="T203" s="14"/>
    </row>
    <row r="204" spans="1:20" ht="16" hidden="1" x14ac:dyDescent="0.15">
      <c r="A204" s="14"/>
      <c r="B204" s="13"/>
      <c r="C204" s="13"/>
      <c r="D204" s="13"/>
      <c r="E204" s="13"/>
      <c r="F204" s="13"/>
      <c r="G204" s="13"/>
      <c r="H204" s="14"/>
      <c r="I204" s="14"/>
      <c r="J204" s="14"/>
      <c r="K204" s="14"/>
      <c r="L204" s="13"/>
      <c r="M204" s="13"/>
      <c r="N204" s="15"/>
      <c r="O204" s="15"/>
      <c r="P204" s="16" t="str">
        <f t="shared" si="9"/>
        <v/>
      </c>
      <c r="Q204" s="17" t="str">
        <f t="shared" si="10"/>
        <v/>
      </c>
      <c r="R204" s="13"/>
      <c r="S204" s="17" t="str">
        <f t="shared" si="11"/>
        <v/>
      </c>
      <c r="T204" s="14"/>
    </row>
    <row r="205" spans="1:20" ht="16" hidden="1" x14ac:dyDescent="0.15">
      <c r="A205" s="14"/>
      <c r="B205" s="13"/>
      <c r="C205" s="13"/>
      <c r="D205" s="13"/>
      <c r="E205" s="13"/>
      <c r="F205" s="13"/>
      <c r="G205" s="13"/>
      <c r="H205" s="14"/>
      <c r="I205" s="14"/>
      <c r="J205" s="14"/>
      <c r="K205" s="14"/>
      <c r="L205" s="13"/>
      <c r="M205" s="13"/>
      <c r="N205" s="15"/>
      <c r="O205" s="15"/>
      <c r="P205" s="16" t="str">
        <f t="shared" si="9"/>
        <v/>
      </c>
      <c r="Q205" s="17" t="str">
        <f t="shared" si="10"/>
        <v/>
      </c>
      <c r="R205" s="13"/>
      <c r="S205" s="17" t="str">
        <f t="shared" si="11"/>
        <v/>
      </c>
      <c r="T205" s="14"/>
    </row>
    <row r="206" spans="1:20" ht="16" hidden="1" x14ac:dyDescent="0.15">
      <c r="A206" s="14"/>
      <c r="B206" s="13"/>
      <c r="C206" s="13"/>
      <c r="D206" s="13"/>
      <c r="E206" s="13"/>
      <c r="F206" s="13"/>
      <c r="G206" s="13"/>
      <c r="H206" s="14"/>
      <c r="I206" s="14"/>
      <c r="J206" s="14"/>
      <c r="K206" s="14"/>
      <c r="L206" s="13"/>
      <c r="M206" s="13"/>
      <c r="N206" s="15"/>
      <c r="O206" s="15"/>
      <c r="P206" s="16" t="str">
        <f t="shared" si="9"/>
        <v/>
      </c>
      <c r="Q206" s="17" t="str">
        <f t="shared" si="10"/>
        <v/>
      </c>
      <c r="R206" s="13"/>
      <c r="S206" s="17" t="str">
        <f t="shared" si="11"/>
        <v/>
      </c>
      <c r="T206" s="14"/>
    </row>
    <row r="207" spans="1:20" ht="16" hidden="1" x14ac:dyDescent="0.15">
      <c r="A207" s="14"/>
      <c r="B207" s="13"/>
      <c r="C207" s="13"/>
      <c r="D207" s="13"/>
      <c r="E207" s="13"/>
      <c r="F207" s="13"/>
      <c r="G207" s="13"/>
      <c r="H207" s="14"/>
      <c r="I207" s="14"/>
      <c r="J207" s="14"/>
      <c r="K207" s="14"/>
      <c r="L207" s="13"/>
      <c r="M207" s="13"/>
      <c r="N207" s="15"/>
      <c r="O207" s="15"/>
      <c r="P207" s="16" t="str">
        <f t="shared" si="9"/>
        <v/>
      </c>
      <c r="Q207" s="17" t="str">
        <f t="shared" si="10"/>
        <v/>
      </c>
      <c r="R207" s="13"/>
      <c r="S207" s="17" t="str">
        <f t="shared" si="11"/>
        <v/>
      </c>
      <c r="T207" s="14"/>
    </row>
    <row r="208" spans="1:20" ht="16" hidden="1" x14ac:dyDescent="0.15">
      <c r="A208" s="14"/>
      <c r="B208" s="13"/>
      <c r="C208" s="13"/>
      <c r="D208" s="13"/>
      <c r="E208" s="13"/>
      <c r="F208" s="13"/>
      <c r="G208" s="13"/>
      <c r="H208" s="14"/>
      <c r="I208" s="14"/>
      <c r="J208" s="14"/>
      <c r="K208" s="14"/>
      <c r="L208" s="13"/>
      <c r="M208" s="13"/>
      <c r="N208" s="15"/>
      <c r="O208" s="15"/>
      <c r="P208" s="16" t="str">
        <f t="shared" si="9"/>
        <v/>
      </c>
      <c r="Q208" s="17" t="str">
        <f t="shared" si="10"/>
        <v/>
      </c>
      <c r="R208" s="13"/>
      <c r="S208" s="17" t="str">
        <f t="shared" si="11"/>
        <v/>
      </c>
      <c r="T208" s="14"/>
    </row>
    <row r="209" spans="1:20" ht="16" hidden="1" x14ac:dyDescent="0.15">
      <c r="A209" s="14"/>
      <c r="B209" s="13"/>
      <c r="C209" s="13"/>
      <c r="D209" s="13"/>
      <c r="E209" s="13"/>
      <c r="F209" s="13"/>
      <c r="G209" s="13"/>
      <c r="H209" s="14"/>
      <c r="I209" s="14"/>
      <c r="J209" s="14"/>
      <c r="K209" s="14"/>
      <c r="L209" s="13"/>
      <c r="M209" s="13"/>
      <c r="N209" s="15"/>
      <c r="O209" s="15"/>
      <c r="P209" s="16" t="str">
        <f t="shared" si="9"/>
        <v/>
      </c>
      <c r="Q209" s="17" t="str">
        <f t="shared" si="10"/>
        <v/>
      </c>
      <c r="R209" s="13"/>
      <c r="S209" s="17" t="str">
        <f t="shared" si="11"/>
        <v/>
      </c>
      <c r="T209" s="14"/>
    </row>
    <row r="210" spans="1:20" ht="16" hidden="1" x14ac:dyDescent="0.15">
      <c r="A210" s="14"/>
      <c r="B210" s="13"/>
      <c r="C210" s="13"/>
      <c r="D210" s="13"/>
      <c r="E210" s="13"/>
      <c r="F210" s="13"/>
      <c r="G210" s="13"/>
      <c r="H210" s="14"/>
      <c r="I210" s="14"/>
      <c r="J210" s="14"/>
      <c r="K210" s="14"/>
      <c r="L210" s="13"/>
      <c r="M210" s="13"/>
      <c r="N210" s="15"/>
      <c r="O210" s="15"/>
      <c r="P210" s="16" t="str">
        <f t="shared" si="9"/>
        <v/>
      </c>
      <c r="Q210" s="17" t="str">
        <f t="shared" si="10"/>
        <v/>
      </c>
      <c r="R210" s="13"/>
      <c r="S210" s="17" t="str">
        <f t="shared" si="11"/>
        <v/>
      </c>
      <c r="T210" s="14"/>
    </row>
    <row r="211" spans="1:20" ht="16" hidden="1" x14ac:dyDescent="0.15">
      <c r="A211" s="14"/>
      <c r="B211" s="13"/>
      <c r="C211" s="13"/>
      <c r="D211" s="13"/>
      <c r="E211" s="13"/>
      <c r="F211" s="13"/>
      <c r="G211" s="13"/>
      <c r="H211" s="14"/>
      <c r="I211" s="14"/>
      <c r="J211" s="14"/>
      <c r="K211" s="14"/>
      <c r="L211" s="13"/>
      <c r="M211" s="13"/>
      <c r="N211" s="15"/>
      <c r="O211" s="15"/>
      <c r="P211" s="16" t="str">
        <f t="shared" si="9"/>
        <v/>
      </c>
      <c r="Q211" s="17" t="str">
        <f t="shared" si="10"/>
        <v/>
      </c>
      <c r="R211" s="13"/>
      <c r="S211" s="17" t="str">
        <f t="shared" si="11"/>
        <v/>
      </c>
      <c r="T211" s="14"/>
    </row>
    <row r="212" spans="1:20" ht="16" hidden="1" x14ac:dyDescent="0.15">
      <c r="A212" s="14"/>
      <c r="B212" s="13"/>
      <c r="C212" s="13"/>
      <c r="D212" s="13"/>
      <c r="E212" s="13"/>
      <c r="F212" s="13"/>
      <c r="G212" s="13"/>
      <c r="H212" s="14"/>
      <c r="I212" s="14"/>
      <c r="J212" s="14"/>
      <c r="K212" s="14"/>
      <c r="L212" s="13"/>
      <c r="M212" s="13"/>
      <c r="N212" s="15"/>
      <c r="O212" s="15"/>
      <c r="P212" s="16" t="str">
        <f t="shared" si="9"/>
        <v/>
      </c>
      <c r="Q212" s="17" t="str">
        <f t="shared" si="10"/>
        <v/>
      </c>
      <c r="R212" s="13"/>
      <c r="S212" s="17" t="str">
        <f t="shared" si="11"/>
        <v/>
      </c>
      <c r="T212" s="14"/>
    </row>
    <row r="213" spans="1:20" ht="16" hidden="1" x14ac:dyDescent="0.15">
      <c r="A213" s="14"/>
      <c r="B213" s="13"/>
      <c r="C213" s="13"/>
      <c r="D213" s="13"/>
      <c r="E213" s="13"/>
      <c r="F213" s="13"/>
      <c r="G213" s="13"/>
      <c r="H213" s="14"/>
      <c r="I213" s="14"/>
      <c r="J213" s="14"/>
      <c r="K213" s="14"/>
      <c r="L213" s="13"/>
      <c r="M213" s="13"/>
      <c r="N213" s="15"/>
      <c r="O213" s="15"/>
      <c r="P213" s="16" t="str">
        <f t="shared" si="9"/>
        <v/>
      </c>
      <c r="Q213" s="17" t="str">
        <f t="shared" si="10"/>
        <v/>
      </c>
      <c r="R213" s="13"/>
      <c r="S213" s="17" t="str">
        <f t="shared" si="11"/>
        <v/>
      </c>
      <c r="T213" s="14"/>
    </row>
    <row r="214" spans="1:20" ht="16" hidden="1" x14ac:dyDescent="0.15">
      <c r="A214" s="14"/>
      <c r="B214" s="13"/>
      <c r="C214" s="13"/>
      <c r="D214" s="13"/>
      <c r="E214" s="13"/>
      <c r="F214" s="13"/>
      <c r="G214" s="13"/>
      <c r="H214" s="14"/>
      <c r="I214" s="14"/>
      <c r="J214" s="14"/>
      <c r="K214" s="14"/>
      <c r="L214" s="13"/>
      <c r="M214" s="13"/>
      <c r="N214" s="15"/>
      <c r="O214" s="15"/>
      <c r="P214" s="16" t="str">
        <f t="shared" si="9"/>
        <v/>
      </c>
      <c r="Q214" s="17" t="str">
        <f t="shared" si="10"/>
        <v/>
      </c>
      <c r="R214" s="13"/>
      <c r="S214" s="17" t="str">
        <f t="shared" si="11"/>
        <v/>
      </c>
      <c r="T214" s="14"/>
    </row>
    <row r="215" spans="1:20" ht="16" hidden="1" x14ac:dyDescent="0.15">
      <c r="A215" s="14"/>
      <c r="B215" s="13"/>
      <c r="C215" s="13"/>
      <c r="D215" s="13"/>
      <c r="E215" s="13"/>
      <c r="F215" s="13"/>
      <c r="G215" s="13"/>
      <c r="H215" s="14"/>
      <c r="I215" s="14"/>
      <c r="J215" s="14"/>
      <c r="K215" s="14"/>
      <c r="L215" s="13"/>
      <c r="M215" s="13"/>
      <c r="N215" s="15"/>
      <c r="O215" s="15"/>
      <c r="P215" s="16" t="str">
        <f t="shared" si="9"/>
        <v/>
      </c>
      <c r="Q215" s="17" t="str">
        <f t="shared" si="10"/>
        <v/>
      </c>
      <c r="R215" s="13"/>
      <c r="S215" s="17" t="str">
        <f t="shared" si="11"/>
        <v/>
      </c>
      <c r="T215" s="14"/>
    </row>
    <row r="216" spans="1:20" ht="16" hidden="1" x14ac:dyDescent="0.15">
      <c r="A216" s="14"/>
      <c r="B216" s="13"/>
      <c r="C216" s="13"/>
      <c r="D216" s="13"/>
      <c r="E216" s="13"/>
      <c r="F216" s="13"/>
      <c r="G216" s="13"/>
      <c r="H216" s="14"/>
      <c r="I216" s="14"/>
      <c r="J216" s="14"/>
      <c r="K216" s="14"/>
      <c r="L216" s="13"/>
      <c r="M216" s="13"/>
      <c r="N216" s="15"/>
      <c r="O216" s="15"/>
      <c r="P216" s="16" t="str">
        <f t="shared" si="9"/>
        <v/>
      </c>
      <c r="Q216" s="17" t="str">
        <f t="shared" si="10"/>
        <v/>
      </c>
      <c r="R216" s="13"/>
      <c r="S216" s="17" t="str">
        <f t="shared" si="11"/>
        <v/>
      </c>
      <c r="T216" s="14"/>
    </row>
    <row r="217" spans="1:20" ht="16" hidden="1" x14ac:dyDescent="0.15">
      <c r="A217" s="14"/>
      <c r="B217" s="13"/>
      <c r="C217" s="13"/>
      <c r="D217" s="13"/>
      <c r="E217" s="13"/>
      <c r="F217" s="13"/>
      <c r="G217" s="13"/>
      <c r="H217" s="14"/>
      <c r="I217" s="14"/>
      <c r="J217" s="14"/>
      <c r="K217" s="14"/>
      <c r="L217" s="13"/>
      <c r="M217" s="13"/>
      <c r="N217" s="15"/>
      <c r="O217" s="15"/>
      <c r="P217" s="16" t="str">
        <f t="shared" si="9"/>
        <v/>
      </c>
      <c r="Q217" s="17" t="str">
        <f t="shared" si="10"/>
        <v/>
      </c>
      <c r="R217" s="13"/>
      <c r="S217" s="17" t="str">
        <f t="shared" si="11"/>
        <v/>
      </c>
      <c r="T217" s="14"/>
    </row>
    <row r="218" spans="1:20" ht="16" hidden="1" x14ac:dyDescent="0.15">
      <c r="A218" s="14"/>
      <c r="B218" s="13"/>
      <c r="C218" s="13"/>
      <c r="D218" s="13"/>
      <c r="E218" s="13"/>
      <c r="F218" s="13"/>
      <c r="G218" s="13"/>
      <c r="H218" s="14"/>
      <c r="I218" s="14"/>
      <c r="J218" s="14"/>
      <c r="K218" s="14"/>
      <c r="L218" s="13"/>
      <c r="M218" s="13"/>
      <c r="N218" s="15"/>
      <c r="O218" s="15"/>
      <c r="P218" s="16" t="str">
        <f t="shared" si="9"/>
        <v/>
      </c>
      <c r="Q218" s="17" t="str">
        <f t="shared" si="10"/>
        <v/>
      </c>
      <c r="R218" s="13"/>
      <c r="S218" s="17" t="str">
        <f t="shared" si="11"/>
        <v/>
      </c>
      <c r="T218" s="14"/>
    </row>
    <row r="219" spans="1:20" ht="16" hidden="1" x14ac:dyDescent="0.15">
      <c r="A219" s="14"/>
      <c r="B219" s="13"/>
      <c r="C219" s="13"/>
      <c r="D219" s="13"/>
      <c r="E219" s="13"/>
      <c r="F219" s="13"/>
      <c r="G219" s="13"/>
      <c r="H219" s="14"/>
      <c r="I219" s="14"/>
      <c r="J219" s="14"/>
      <c r="K219" s="14"/>
      <c r="L219" s="13"/>
      <c r="M219" s="13"/>
      <c r="N219" s="15"/>
      <c r="O219" s="15"/>
      <c r="P219" s="16" t="str">
        <f t="shared" si="9"/>
        <v/>
      </c>
      <c r="Q219" s="17" t="str">
        <f t="shared" si="10"/>
        <v/>
      </c>
      <c r="R219" s="13"/>
      <c r="S219" s="17" t="str">
        <f t="shared" si="11"/>
        <v/>
      </c>
      <c r="T219" s="14"/>
    </row>
    <row r="220" spans="1:20" ht="16" hidden="1" x14ac:dyDescent="0.15">
      <c r="A220" s="14"/>
      <c r="B220" s="13"/>
      <c r="C220" s="13"/>
      <c r="D220" s="13"/>
      <c r="E220" s="13"/>
      <c r="F220" s="13"/>
      <c r="G220" s="13"/>
      <c r="H220" s="14"/>
      <c r="I220" s="14"/>
      <c r="J220" s="14"/>
      <c r="K220" s="14"/>
      <c r="L220" s="13"/>
      <c r="M220" s="13"/>
      <c r="N220" s="15"/>
      <c r="O220" s="15"/>
      <c r="P220" s="16" t="str">
        <f t="shared" si="9"/>
        <v/>
      </c>
      <c r="Q220" s="17" t="str">
        <f t="shared" si="10"/>
        <v/>
      </c>
      <c r="R220" s="13"/>
      <c r="S220" s="17" t="str">
        <f t="shared" si="11"/>
        <v/>
      </c>
      <c r="T220" s="14"/>
    </row>
    <row r="221" spans="1:20" ht="16" hidden="1" x14ac:dyDescent="0.15">
      <c r="A221" s="14"/>
      <c r="B221" s="13"/>
      <c r="C221" s="13"/>
      <c r="D221" s="13"/>
      <c r="E221" s="13"/>
      <c r="F221" s="13"/>
      <c r="G221" s="13"/>
      <c r="H221" s="14"/>
      <c r="I221" s="14"/>
      <c r="J221" s="14"/>
      <c r="K221" s="14"/>
      <c r="L221" s="13"/>
      <c r="M221" s="13"/>
      <c r="N221" s="15"/>
      <c r="O221" s="15"/>
      <c r="P221" s="16" t="str">
        <f t="shared" si="9"/>
        <v/>
      </c>
      <c r="Q221" s="17" t="str">
        <f t="shared" si="10"/>
        <v/>
      </c>
      <c r="R221" s="13"/>
      <c r="S221" s="17" t="str">
        <f t="shared" si="11"/>
        <v/>
      </c>
      <c r="T221" s="14"/>
    </row>
    <row r="222" spans="1:20" ht="16" hidden="1" x14ac:dyDescent="0.15">
      <c r="A222" s="14"/>
      <c r="B222" s="13"/>
      <c r="C222" s="13"/>
      <c r="D222" s="13"/>
      <c r="E222" s="13"/>
      <c r="F222" s="13"/>
      <c r="G222" s="13"/>
      <c r="H222" s="14"/>
      <c r="I222" s="14"/>
      <c r="J222" s="14"/>
      <c r="K222" s="14"/>
      <c r="L222" s="13"/>
      <c r="M222" s="13"/>
      <c r="N222" s="15"/>
      <c r="O222" s="15"/>
      <c r="P222" s="16" t="str">
        <f t="shared" si="9"/>
        <v/>
      </c>
      <c r="Q222" s="17" t="str">
        <f t="shared" si="10"/>
        <v/>
      </c>
      <c r="R222" s="13"/>
      <c r="S222" s="17" t="str">
        <f t="shared" si="11"/>
        <v/>
      </c>
      <c r="T222" s="14"/>
    </row>
    <row r="223" spans="1:20" ht="16" hidden="1" x14ac:dyDescent="0.15">
      <c r="A223" s="14"/>
      <c r="B223" s="13"/>
      <c r="C223" s="13"/>
      <c r="D223" s="13"/>
      <c r="E223" s="13"/>
      <c r="F223" s="13"/>
      <c r="G223" s="13"/>
      <c r="H223" s="14"/>
      <c r="I223" s="14"/>
      <c r="J223" s="14"/>
      <c r="K223" s="14"/>
      <c r="L223" s="13"/>
      <c r="M223" s="13"/>
      <c r="N223" s="15"/>
      <c r="O223" s="15"/>
      <c r="P223" s="16" t="str">
        <f t="shared" si="9"/>
        <v/>
      </c>
      <c r="Q223" s="17" t="str">
        <f t="shared" si="10"/>
        <v/>
      </c>
      <c r="R223" s="13"/>
      <c r="S223" s="17" t="str">
        <f t="shared" si="11"/>
        <v/>
      </c>
      <c r="T223" s="14"/>
    </row>
    <row r="224" spans="1:20" ht="16" hidden="1" x14ac:dyDescent="0.15">
      <c r="A224" s="14"/>
      <c r="B224" s="13"/>
      <c r="C224" s="13"/>
      <c r="D224" s="13"/>
      <c r="E224" s="13"/>
      <c r="F224" s="13"/>
      <c r="G224" s="13"/>
      <c r="H224" s="14"/>
      <c r="I224" s="14"/>
      <c r="J224" s="14"/>
      <c r="K224" s="14"/>
      <c r="L224" s="13"/>
      <c r="M224" s="13"/>
      <c r="N224" s="15"/>
      <c r="O224" s="15"/>
      <c r="P224" s="16" t="str">
        <f t="shared" si="9"/>
        <v/>
      </c>
      <c r="Q224" s="17" t="str">
        <f t="shared" si="10"/>
        <v/>
      </c>
      <c r="R224" s="13"/>
      <c r="S224" s="17" t="str">
        <f t="shared" si="11"/>
        <v/>
      </c>
      <c r="T224" s="14"/>
    </row>
    <row r="225" spans="1:20" ht="16" hidden="1" x14ac:dyDescent="0.15">
      <c r="A225" s="14"/>
      <c r="B225" s="13"/>
      <c r="C225" s="13"/>
      <c r="D225" s="13"/>
      <c r="E225" s="13"/>
      <c r="F225" s="13"/>
      <c r="G225" s="13"/>
      <c r="H225" s="14"/>
      <c r="I225" s="14"/>
      <c r="J225" s="14"/>
      <c r="K225" s="14"/>
      <c r="L225" s="13"/>
      <c r="M225" s="13"/>
      <c r="N225" s="15"/>
      <c r="O225" s="15"/>
      <c r="P225" s="16" t="str">
        <f t="shared" si="9"/>
        <v/>
      </c>
      <c r="Q225" s="17" t="str">
        <f t="shared" si="10"/>
        <v/>
      </c>
      <c r="R225" s="13"/>
      <c r="S225" s="17" t="str">
        <f t="shared" si="11"/>
        <v/>
      </c>
      <c r="T225" s="14"/>
    </row>
    <row r="226" spans="1:20" ht="16" hidden="1" x14ac:dyDescent="0.15">
      <c r="A226" s="14"/>
      <c r="B226" s="13"/>
      <c r="C226" s="13"/>
      <c r="D226" s="13"/>
      <c r="E226" s="13"/>
      <c r="F226" s="13"/>
      <c r="G226" s="13"/>
      <c r="H226" s="14"/>
      <c r="I226" s="14"/>
      <c r="J226" s="14"/>
      <c r="K226" s="14"/>
      <c r="L226" s="13"/>
      <c r="M226" s="13"/>
      <c r="N226" s="15"/>
      <c r="O226" s="15"/>
      <c r="P226" s="16" t="str">
        <f t="shared" si="9"/>
        <v/>
      </c>
      <c r="Q226" s="17" t="str">
        <f t="shared" si="10"/>
        <v/>
      </c>
      <c r="R226" s="13"/>
      <c r="S226" s="17" t="str">
        <f t="shared" si="11"/>
        <v/>
      </c>
      <c r="T226" s="14"/>
    </row>
    <row r="227" spans="1:20" ht="16" hidden="1" x14ac:dyDescent="0.15">
      <c r="A227" s="14"/>
      <c r="B227" s="13"/>
      <c r="C227" s="13"/>
      <c r="D227" s="13"/>
      <c r="E227" s="13"/>
      <c r="F227" s="13"/>
      <c r="G227" s="13"/>
      <c r="H227" s="14"/>
      <c r="I227" s="14"/>
      <c r="J227" s="14"/>
      <c r="K227" s="14"/>
      <c r="L227" s="13"/>
      <c r="M227" s="13"/>
      <c r="N227" s="15"/>
      <c r="O227" s="15"/>
      <c r="P227" s="16" t="str">
        <f t="shared" si="9"/>
        <v/>
      </c>
      <c r="Q227" s="17" t="str">
        <f t="shared" si="10"/>
        <v/>
      </c>
      <c r="R227" s="13"/>
      <c r="S227" s="17" t="str">
        <f t="shared" si="11"/>
        <v/>
      </c>
      <c r="T227" s="14"/>
    </row>
    <row r="228" spans="1:20" ht="16" hidden="1" x14ac:dyDescent="0.15">
      <c r="A228" s="14"/>
      <c r="B228" s="13"/>
      <c r="C228" s="13"/>
      <c r="D228" s="13"/>
      <c r="E228" s="13"/>
      <c r="F228" s="13"/>
      <c r="G228" s="13"/>
      <c r="H228" s="14"/>
      <c r="I228" s="14"/>
      <c r="J228" s="14"/>
      <c r="K228" s="14"/>
      <c r="L228" s="13"/>
      <c r="M228" s="13"/>
      <c r="N228" s="15"/>
      <c r="O228" s="15"/>
      <c r="P228" s="16" t="str">
        <f t="shared" si="9"/>
        <v/>
      </c>
      <c r="Q228" s="17" t="str">
        <f t="shared" si="10"/>
        <v/>
      </c>
      <c r="R228" s="13"/>
      <c r="S228" s="17" t="str">
        <f t="shared" si="11"/>
        <v/>
      </c>
      <c r="T228" s="14"/>
    </row>
    <row r="229" spans="1:20" ht="16" hidden="1" x14ac:dyDescent="0.15">
      <c r="A229" s="14"/>
      <c r="B229" s="13"/>
      <c r="C229" s="13"/>
      <c r="D229" s="13"/>
      <c r="E229" s="13"/>
      <c r="F229" s="13"/>
      <c r="G229" s="13"/>
      <c r="H229" s="14"/>
      <c r="I229" s="14"/>
      <c r="J229" s="14"/>
      <c r="K229" s="14"/>
      <c r="L229" s="13"/>
      <c r="M229" s="13"/>
      <c r="N229" s="15"/>
      <c r="O229" s="15"/>
      <c r="P229" s="16" t="str">
        <f t="shared" si="9"/>
        <v/>
      </c>
      <c r="Q229" s="17" t="str">
        <f t="shared" si="10"/>
        <v/>
      </c>
      <c r="R229" s="13"/>
      <c r="S229" s="17" t="str">
        <f t="shared" si="11"/>
        <v/>
      </c>
      <c r="T229" s="14"/>
    </row>
    <row r="230" spans="1:20" ht="16" hidden="1" x14ac:dyDescent="0.15">
      <c r="A230" s="14"/>
      <c r="B230" s="13"/>
      <c r="C230" s="13"/>
      <c r="D230" s="13"/>
      <c r="E230" s="13"/>
      <c r="F230" s="13"/>
      <c r="G230" s="13"/>
      <c r="H230" s="14"/>
      <c r="I230" s="14"/>
      <c r="J230" s="14"/>
      <c r="K230" s="14"/>
      <c r="L230" s="13"/>
      <c r="M230" s="13"/>
      <c r="N230" s="15"/>
      <c r="O230" s="15"/>
      <c r="P230" s="16" t="str">
        <f t="shared" si="9"/>
        <v/>
      </c>
      <c r="Q230" s="17" t="str">
        <f t="shared" si="10"/>
        <v/>
      </c>
      <c r="R230" s="13"/>
      <c r="S230" s="17" t="str">
        <f t="shared" si="11"/>
        <v/>
      </c>
      <c r="T230" s="14"/>
    </row>
    <row r="231" spans="1:20" ht="16" hidden="1" x14ac:dyDescent="0.15">
      <c r="A231" s="14"/>
      <c r="B231" s="13"/>
      <c r="C231" s="13"/>
      <c r="D231" s="13"/>
      <c r="E231" s="13"/>
      <c r="F231" s="13"/>
      <c r="G231" s="13"/>
      <c r="H231" s="14"/>
      <c r="I231" s="14"/>
      <c r="J231" s="14"/>
      <c r="K231" s="14"/>
      <c r="L231" s="13"/>
      <c r="M231" s="13"/>
      <c r="N231" s="15"/>
      <c r="O231" s="15"/>
      <c r="P231" s="16" t="str">
        <f t="shared" si="9"/>
        <v/>
      </c>
      <c r="Q231" s="17" t="str">
        <f t="shared" si="10"/>
        <v/>
      </c>
      <c r="R231" s="13"/>
      <c r="S231" s="17" t="str">
        <f t="shared" si="11"/>
        <v/>
      </c>
      <c r="T231" s="14"/>
    </row>
    <row r="232" spans="1:20" ht="16" hidden="1" x14ac:dyDescent="0.15">
      <c r="A232" s="14"/>
      <c r="B232" s="13"/>
      <c r="C232" s="13"/>
      <c r="D232" s="13"/>
      <c r="E232" s="13"/>
      <c r="F232" s="13"/>
      <c r="G232" s="13"/>
      <c r="H232" s="14"/>
      <c r="I232" s="14"/>
      <c r="J232" s="14"/>
      <c r="K232" s="14"/>
      <c r="L232" s="13"/>
      <c r="M232" s="13"/>
      <c r="N232" s="15"/>
      <c r="O232" s="15"/>
      <c r="P232" s="16" t="str">
        <f t="shared" si="9"/>
        <v/>
      </c>
      <c r="Q232" s="17" t="str">
        <f t="shared" si="10"/>
        <v/>
      </c>
      <c r="R232" s="13"/>
      <c r="S232" s="17" t="str">
        <f t="shared" si="11"/>
        <v/>
      </c>
      <c r="T232" s="14"/>
    </row>
    <row r="233" spans="1:20" ht="16" hidden="1" x14ac:dyDescent="0.15">
      <c r="A233" s="14"/>
      <c r="B233" s="13"/>
      <c r="C233" s="13"/>
      <c r="D233" s="13"/>
      <c r="E233" s="13"/>
      <c r="F233" s="13"/>
      <c r="G233" s="13"/>
      <c r="H233" s="14"/>
      <c r="I233" s="14"/>
      <c r="J233" s="14"/>
      <c r="K233" s="14"/>
      <c r="L233" s="13"/>
      <c r="M233" s="13"/>
      <c r="N233" s="15"/>
      <c r="O233" s="15"/>
      <c r="P233" s="16" t="str">
        <f t="shared" si="9"/>
        <v/>
      </c>
      <c r="Q233" s="17" t="str">
        <f t="shared" si="10"/>
        <v/>
      </c>
      <c r="R233" s="13"/>
      <c r="S233" s="17" t="str">
        <f t="shared" si="11"/>
        <v/>
      </c>
      <c r="T233" s="14"/>
    </row>
    <row r="234" spans="1:20" ht="16" hidden="1" x14ac:dyDescent="0.15">
      <c r="A234" s="14"/>
      <c r="B234" s="13"/>
      <c r="C234" s="13"/>
      <c r="D234" s="13"/>
      <c r="E234" s="13"/>
      <c r="F234" s="13"/>
      <c r="G234" s="13"/>
      <c r="H234" s="14"/>
      <c r="I234" s="14"/>
      <c r="J234" s="14"/>
      <c r="K234" s="14"/>
      <c r="L234" s="13"/>
      <c r="M234" s="13"/>
      <c r="N234" s="15"/>
      <c r="O234" s="15"/>
      <c r="P234" s="16" t="str">
        <f t="shared" si="9"/>
        <v/>
      </c>
      <c r="Q234" s="17" t="str">
        <f t="shared" si="10"/>
        <v/>
      </c>
      <c r="R234" s="13"/>
      <c r="S234" s="17" t="str">
        <f t="shared" si="11"/>
        <v/>
      </c>
      <c r="T234" s="14"/>
    </row>
    <row r="235" spans="1:20" ht="16" hidden="1" x14ac:dyDescent="0.15">
      <c r="A235" s="14"/>
      <c r="B235" s="13"/>
      <c r="C235" s="13"/>
      <c r="D235" s="13"/>
      <c r="E235" s="13"/>
      <c r="F235" s="13"/>
      <c r="G235" s="13"/>
      <c r="H235" s="14"/>
      <c r="I235" s="14"/>
      <c r="J235" s="14"/>
      <c r="K235" s="14"/>
      <c r="L235" s="13"/>
      <c r="M235" s="13"/>
      <c r="N235" s="15"/>
      <c r="O235" s="15"/>
      <c r="P235" s="16" t="str">
        <f t="shared" si="9"/>
        <v/>
      </c>
      <c r="Q235" s="17" t="str">
        <f t="shared" si="10"/>
        <v/>
      </c>
      <c r="R235" s="13"/>
      <c r="S235" s="17" t="str">
        <f t="shared" si="11"/>
        <v/>
      </c>
      <c r="T235" s="14"/>
    </row>
    <row r="236" spans="1:20" ht="16" hidden="1" x14ac:dyDescent="0.15">
      <c r="A236" s="14"/>
      <c r="B236" s="13"/>
      <c r="C236" s="13"/>
      <c r="D236" s="13"/>
      <c r="E236" s="13"/>
      <c r="F236" s="13"/>
      <c r="G236" s="13"/>
      <c r="H236" s="14"/>
      <c r="I236" s="14"/>
      <c r="J236" s="14"/>
      <c r="K236" s="14"/>
      <c r="L236" s="13"/>
      <c r="M236" s="13"/>
      <c r="N236" s="15"/>
      <c r="O236" s="15"/>
      <c r="P236" s="16" t="str">
        <f t="shared" si="9"/>
        <v/>
      </c>
      <c r="Q236" s="17" t="str">
        <f t="shared" si="10"/>
        <v/>
      </c>
      <c r="R236" s="13"/>
      <c r="S236" s="17" t="str">
        <f t="shared" si="11"/>
        <v/>
      </c>
      <c r="T236" s="14"/>
    </row>
    <row r="237" spans="1:20" ht="16" hidden="1" x14ac:dyDescent="0.15">
      <c r="A237" s="14"/>
      <c r="B237" s="13"/>
      <c r="C237" s="13"/>
      <c r="D237" s="13"/>
      <c r="E237" s="13"/>
      <c r="F237" s="13"/>
      <c r="G237" s="13"/>
      <c r="H237" s="14"/>
      <c r="I237" s="14"/>
      <c r="J237" s="14"/>
      <c r="K237" s="14"/>
      <c r="L237" s="13"/>
      <c r="M237" s="13"/>
      <c r="N237" s="15"/>
      <c r="O237" s="15"/>
      <c r="P237" s="16" t="str">
        <f t="shared" si="9"/>
        <v/>
      </c>
      <c r="Q237" s="17" t="str">
        <f t="shared" si="10"/>
        <v/>
      </c>
      <c r="R237" s="13"/>
      <c r="S237" s="17" t="str">
        <f t="shared" si="11"/>
        <v/>
      </c>
      <c r="T237" s="14"/>
    </row>
    <row r="238" spans="1:20" ht="16" hidden="1" x14ac:dyDescent="0.15">
      <c r="A238" s="14"/>
      <c r="B238" s="13"/>
      <c r="C238" s="13"/>
      <c r="D238" s="13"/>
      <c r="E238" s="13"/>
      <c r="F238" s="13"/>
      <c r="G238" s="13"/>
      <c r="H238" s="14"/>
      <c r="I238" s="14"/>
      <c r="J238" s="14"/>
      <c r="K238" s="14"/>
      <c r="L238" s="13"/>
      <c r="M238" s="13"/>
      <c r="N238" s="15"/>
      <c r="O238" s="15"/>
      <c r="P238" s="16" t="str">
        <f t="shared" si="9"/>
        <v/>
      </c>
      <c r="Q238" s="17" t="str">
        <f t="shared" si="10"/>
        <v/>
      </c>
      <c r="R238" s="13"/>
      <c r="S238" s="17" t="str">
        <f t="shared" si="11"/>
        <v/>
      </c>
      <c r="T238" s="14"/>
    </row>
    <row r="239" spans="1:20" ht="16" hidden="1" x14ac:dyDescent="0.15">
      <c r="A239" s="14"/>
      <c r="B239" s="13"/>
      <c r="C239" s="13"/>
      <c r="D239" s="13"/>
      <c r="E239" s="13"/>
      <c r="F239" s="13"/>
      <c r="G239" s="13"/>
      <c r="H239" s="14"/>
      <c r="I239" s="14"/>
      <c r="J239" s="14"/>
      <c r="K239" s="14"/>
      <c r="L239" s="13"/>
      <c r="M239" s="13"/>
      <c r="N239" s="15"/>
      <c r="O239" s="15"/>
      <c r="P239" s="16" t="str">
        <f t="shared" si="9"/>
        <v/>
      </c>
      <c r="Q239" s="17" t="str">
        <f t="shared" si="10"/>
        <v/>
      </c>
      <c r="R239" s="13"/>
      <c r="S239" s="17" t="str">
        <f t="shared" si="11"/>
        <v/>
      </c>
      <c r="T239" s="14"/>
    </row>
    <row r="240" spans="1:20" ht="16" hidden="1" x14ac:dyDescent="0.15">
      <c r="A240" s="14"/>
      <c r="B240" s="13"/>
      <c r="C240" s="13"/>
      <c r="D240" s="13"/>
      <c r="E240" s="13"/>
      <c r="F240" s="13"/>
      <c r="G240" s="13"/>
      <c r="H240" s="14"/>
      <c r="I240" s="14"/>
      <c r="J240" s="14"/>
      <c r="K240" s="14"/>
      <c r="L240" s="13"/>
      <c r="M240" s="13"/>
      <c r="N240" s="15"/>
      <c r="O240" s="15"/>
      <c r="P240" s="16" t="str">
        <f t="shared" si="9"/>
        <v/>
      </c>
      <c r="Q240" s="17" t="str">
        <f t="shared" si="10"/>
        <v/>
      </c>
      <c r="R240" s="13"/>
      <c r="S240" s="17" t="str">
        <f t="shared" si="11"/>
        <v/>
      </c>
      <c r="T240" s="14"/>
    </row>
    <row r="241" spans="1:20" ht="16" hidden="1" x14ac:dyDescent="0.15">
      <c r="A241" s="14"/>
      <c r="B241" s="13"/>
      <c r="C241" s="13"/>
      <c r="D241" s="13"/>
      <c r="E241" s="13"/>
      <c r="F241" s="13"/>
      <c r="G241" s="13"/>
      <c r="H241" s="14"/>
      <c r="I241" s="14"/>
      <c r="J241" s="14"/>
      <c r="K241" s="14"/>
      <c r="L241" s="13"/>
      <c r="M241" s="13"/>
      <c r="N241" s="15"/>
      <c r="O241" s="15"/>
      <c r="P241" s="16" t="str">
        <f t="shared" si="9"/>
        <v/>
      </c>
      <c r="Q241" s="17" t="str">
        <f t="shared" si="10"/>
        <v/>
      </c>
      <c r="R241" s="13"/>
      <c r="S241" s="17" t="str">
        <f t="shared" si="11"/>
        <v/>
      </c>
      <c r="T241" s="14"/>
    </row>
    <row r="242" spans="1:20" ht="16" hidden="1" x14ac:dyDescent="0.15">
      <c r="A242" s="14"/>
      <c r="B242" s="13"/>
      <c r="C242" s="13"/>
      <c r="D242" s="13"/>
      <c r="E242" s="13"/>
      <c r="F242" s="13"/>
      <c r="G242" s="13"/>
      <c r="H242" s="14"/>
      <c r="I242" s="14"/>
      <c r="J242" s="14"/>
      <c r="K242" s="14"/>
      <c r="L242" s="13"/>
      <c r="M242" s="13"/>
      <c r="N242" s="15"/>
      <c r="O242" s="15"/>
      <c r="P242" s="16" t="str">
        <f t="shared" si="9"/>
        <v/>
      </c>
      <c r="Q242" s="17" t="str">
        <f t="shared" si="10"/>
        <v/>
      </c>
      <c r="R242" s="13"/>
      <c r="S242" s="17" t="str">
        <f t="shared" si="11"/>
        <v/>
      </c>
      <c r="T242" s="14"/>
    </row>
    <row r="243" spans="1:20" ht="16" hidden="1" x14ac:dyDescent="0.15">
      <c r="A243" s="14"/>
      <c r="B243" s="13"/>
      <c r="C243" s="13"/>
      <c r="D243" s="13"/>
      <c r="E243" s="13"/>
      <c r="F243" s="13"/>
      <c r="G243" s="13"/>
      <c r="H243" s="14"/>
      <c r="I243" s="14"/>
      <c r="J243" s="14"/>
      <c r="K243" s="14"/>
      <c r="L243" s="13"/>
      <c r="M243" s="13"/>
      <c r="N243" s="15"/>
      <c r="O243" s="15"/>
      <c r="P243" s="16" t="str">
        <f t="shared" si="9"/>
        <v/>
      </c>
      <c r="Q243" s="17" t="str">
        <f t="shared" si="10"/>
        <v/>
      </c>
      <c r="R243" s="13"/>
      <c r="S243" s="17" t="str">
        <f t="shared" si="11"/>
        <v/>
      </c>
      <c r="T243" s="14"/>
    </row>
    <row r="244" spans="1:20" ht="16" hidden="1" x14ac:dyDescent="0.15">
      <c r="A244" s="14"/>
      <c r="B244" s="13"/>
      <c r="C244" s="13"/>
      <c r="D244" s="13"/>
      <c r="E244" s="13"/>
      <c r="F244" s="13"/>
      <c r="G244" s="13"/>
      <c r="H244" s="14"/>
      <c r="I244" s="14"/>
      <c r="J244" s="14"/>
      <c r="K244" s="14"/>
      <c r="L244" s="13"/>
      <c r="M244" s="13"/>
      <c r="N244" s="15"/>
      <c r="O244" s="15"/>
      <c r="P244" s="16" t="str">
        <f t="shared" si="9"/>
        <v/>
      </c>
      <c r="Q244" s="17" t="str">
        <f t="shared" si="10"/>
        <v/>
      </c>
      <c r="R244" s="13"/>
      <c r="S244" s="17" t="str">
        <f t="shared" si="11"/>
        <v/>
      </c>
      <c r="T244" s="14"/>
    </row>
    <row r="245" spans="1:20" ht="16" hidden="1" x14ac:dyDescent="0.15">
      <c r="A245" s="14"/>
      <c r="B245" s="13"/>
      <c r="C245" s="13"/>
      <c r="D245" s="13"/>
      <c r="E245" s="13"/>
      <c r="F245" s="13"/>
      <c r="G245" s="13"/>
      <c r="H245" s="14"/>
      <c r="I245" s="14"/>
      <c r="J245" s="14"/>
      <c r="K245" s="14"/>
      <c r="L245" s="13"/>
      <c r="M245" s="13"/>
      <c r="N245" s="15"/>
      <c r="O245" s="15"/>
      <c r="P245" s="16" t="str">
        <f t="shared" si="9"/>
        <v/>
      </c>
      <c r="Q245" s="17" t="str">
        <f t="shared" si="10"/>
        <v/>
      </c>
      <c r="R245" s="13"/>
      <c r="S245" s="17" t="str">
        <f t="shared" si="11"/>
        <v/>
      </c>
      <c r="T245" s="14"/>
    </row>
    <row r="246" spans="1:20" ht="16" hidden="1" x14ac:dyDescent="0.15">
      <c r="A246" s="14"/>
      <c r="B246" s="13"/>
      <c r="C246" s="13"/>
      <c r="D246" s="13"/>
      <c r="E246" s="13"/>
      <c r="F246" s="13"/>
      <c r="G246" s="13"/>
      <c r="H246" s="14"/>
      <c r="I246" s="14"/>
      <c r="J246" s="14"/>
      <c r="K246" s="14"/>
      <c r="L246" s="13"/>
      <c r="M246" s="13"/>
      <c r="N246" s="15"/>
      <c r="O246" s="15"/>
      <c r="P246" s="16" t="str">
        <f t="shared" si="9"/>
        <v/>
      </c>
      <c r="Q246" s="17" t="str">
        <f t="shared" si="10"/>
        <v/>
      </c>
      <c r="R246" s="13"/>
      <c r="S246" s="17" t="str">
        <f t="shared" si="11"/>
        <v/>
      </c>
      <c r="T246" s="14"/>
    </row>
    <row r="247" spans="1:20" ht="16" hidden="1" x14ac:dyDescent="0.15">
      <c r="A247" s="14"/>
      <c r="B247" s="13"/>
      <c r="C247" s="13"/>
      <c r="D247" s="13"/>
      <c r="E247" s="13"/>
      <c r="F247" s="13"/>
      <c r="G247" s="13"/>
      <c r="H247" s="14"/>
      <c r="I247" s="14"/>
      <c r="J247" s="14"/>
      <c r="K247" s="14"/>
      <c r="L247" s="13"/>
      <c r="M247" s="13"/>
      <c r="N247" s="15"/>
      <c r="O247" s="15"/>
      <c r="P247" s="16" t="str">
        <f t="shared" si="9"/>
        <v/>
      </c>
      <c r="Q247" s="17" t="str">
        <f t="shared" si="10"/>
        <v/>
      </c>
      <c r="R247" s="13"/>
      <c r="S247" s="17" t="str">
        <f t="shared" si="11"/>
        <v/>
      </c>
      <c r="T247" s="14"/>
    </row>
    <row r="248" spans="1:20" ht="16" hidden="1" x14ac:dyDescent="0.15">
      <c r="A248" s="14"/>
      <c r="B248" s="13"/>
      <c r="C248" s="13"/>
      <c r="D248" s="13"/>
      <c r="E248" s="13"/>
      <c r="F248" s="13"/>
      <c r="G248" s="13"/>
      <c r="H248" s="14"/>
      <c r="I248" s="14"/>
      <c r="J248" s="14"/>
      <c r="K248" s="14"/>
      <c r="L248" s="13"/>
      <c r="M248" s="13"/>
      <c r="N248" s="15"/>
      <c r="O248" s="15"/>
      <c r="P248" s="16" t="str">
        <f t="shared" si="9"/>
        <v/>
      </c>
      <c r="Q248" s="17" t="str">
        <f t="shared" si="10"/>
        <v/>
      </c>
      <c r="R248" s="13"/>
      <c r="S248" s="17" t="str">
        <f t="shared" si="11"/>
        <v/>
      </c>
      <c r="T248" s="14"/>
    </row>
    <row r="249" spans="1:20" ht="16" hidden="1" x14ac:dyDescent="0.15">
      <c r="A249" s="14"/>
      <c r="B249" s="13"/>
      <c r="C249" s="13"/>
      <c r="D249" s="13"/>
      <c r="E249" s="13"/>
      <c r="F249" s="13"/>
      <c r="G249" s="13"/>
      <c r="H249" s="14"/>
      <c r="I249" s="14"/>
      <c r="J249" s="14"/>
      <c r="K249" s="14"/>
      <c r="L249" s="13"/>
      <c r="M249" s="13"/>
      <c r="N249" s="15"/>
      <c r="O249" s="15"/>
      <c r="P249" s="16" t="str">
        <f t="shared" si="9"/>
        <v/>
      </c>
      <c r="Q249" s="17" t="str">
        <f t="shared" si="10"/>
        <v/>
      </c>
      <c r="R249" s="13"/>
      <c r="S249" s="17" t="str">
        <f t="shared" si="11"/>
        <v/>
      </c>
      <c r="T249" s="14"/>
    </row>
    <row r="250" spans="1:20" ht="16" hidden="1" x14ac:dyDescent="0.15">
      <c r="A250" s="14"/>
      <c r="B250" s="13"/>
      <c r="C250" s="13"/>
      <c r="D250" s="13"/>
      <c r="E250" s="13"/>
      <c r="F250" s="13"/>
      <c r="G250" s="13"/>
      <c r="H250" s="14"/>
      <c r="I250" s="14"/>
      <c r="J250" s="14"/>
      <c r="K250" s="14"/>
      <c r="L250" s="13"/>
      <c r="M250" s="13"/>
      <c r="N250" s="15"/>
      <c r="O250" s="15"/>
      <c r="P250" s="16" t="str">
        <f t="shared" si="9"/>
        <v/>
      </c>
      <c r="Q250" s="17" t="str">
        <f t="shared" si="10"/>
        <v/>
      </c>
      <c r="R250" s="13"/>
      <c r="S250" s="17" t="str">
        <f t="shared" si="11"/>
        <v/>
      </c>
      <c r="T250" s="14"/>
    </row>
    <row r="251" spans="1:20" ht="16" hidden="1" x14ac:dyDescent="0.15">
      <c r="A251" s="14"/>
      <c r="B251" s="13"/>
      <c r="C251" s="13"/>
      <c r="D251" s="13"/>
      <c r="E251" s="13"/>
      <c r="F251" s="13"/>
      <c r="G251" s="13"/>
      <c r="H251" s="14"/>
      <c r="I251" s="14"/>
      <c r="J251" s="14"/>
      <c r="K251" s="14"/>
      <c r="L251" s="13"/>
      <c r="M251" s="13"/>
      <c r="N251" s="15"/>
      <c r="O251" s="15"/>
      <c r="P251" s="16" t="str">
        <f t="shared" si="9"/>
        <v/>
      </c>
      <c r="Q251" s="17" t="str">
        <f t="shared" si="10"/>
        <v/>
      </c>
      <c r="R251" s="13"/>
      <c r="S251" s="17" t="str">
        <f t="shared" si="11"/>
        <v/>
      </c>
      <c r="T251" s="14"/>
    </row>
    <row r="252" spans="1:20" ht="16" hidden="1" x14ac:dyDescent="0.15">
      <c r="A252" s="14"/>
      <c r="B252" s="13"/>
      <c r="C252" s="13"/>
      <c r="D252" s="13"/>
      <c r="E252" s="13"/>
      <c r="F252" s="13"/>
      <c r="G252" s="13"/>
      <c r="H252" s="14"/>
      <c r="I252" s="14"/>
      <c r="J252" s="14"/>
      <c r="K252" s="14"/>
      <c r="L252" s="13"/>
      <c r="M252" s="13"/>
      <c r="N252" s="15"/>
      <c r="O252" s="15"/>
      <c r="P252" s="16" t="str">
        <f t="shared" si="9"/>
        <v/>
      </c>
      <c r="Q252" s="17" t="str">
        <f t="shared" si="10"/>
        <v/>
      </c>
      <c r="R252" s="13"/>
      <c r="S252" s="17" t="str">
        <f t="shared" si="11"/>
        <v/>
      </c>
      <c r="T252" s="14"/>
    </row>
    <row r="253" spans="1:20" ht="16" hidden="1" x14ac:dyDescent="0.15">
      <c r="A253" s="14"/>
      <c r="B253" s="13"/>
      <c r="C253" s="13"/>
      <c r="D253" s="13"/>
      <c r="E253" s="13"/>
      <c r="F253" s="13"/>
      <c r="G253" s="13"/>
      <c r="H253" s="14"/>
      <c r="I253" s="14"/>
      <c r="J253" s="14"/>
      <c r="K253" s="14"/>
      <c r="L253" s="13"/>
      <c r="M253" s="13"/>
      <c r="N253" s="15"/>
      <c r="O253" s="15"/>
      <c r="P253" s="16" t="str">
        <f t="shared" si="9"/>
        <v/>
      </c>
      <c r="Q253" s="17" t="str">
        <f t="shared" si="10"/>
        <v/>
      </c>
      <c r="R253" s="13"/>
      <c r="S253" s="17" t="str">
        <f t="shared" si="11"/>
        <v/>
      </c>
      <c r="T253" s="14"/>
    </row>
    <row r="254" spans="1:20" ht="16" hidden="1" x14ac:dyDescent="0.15">
      <c r="A254" s="14"/>
      <c r="B254" s="13"/>
      <c r="C254" s="13"/>
      <c r="D254" s="13"/>
      <c r="E254" s="13"/>
      <c r="F254" s="13"/>
      <c r="G254" s="13"/>
      <c r="H254" s="14"/>
      <c r="I254" s="14"/>
      <c r="J254" s="14"/>
      <c r="K254" s="14"/>
      <c r="L254" s="13"/>
      <c r="M254" s="13"/>
      <c r="N254" s="15"/>
      <c r="O254" s="15"/>
      <c r="P254" s="16" t="str">
        <f t="shared" si="9"/>
        <v/>
      </c>
      <c r="Q254" s="17" t="str">
        <f t="shared" si="10"/>
        <v/>
      </c>
      <c r="R254" s="13"/>
      <c r="S254" s="17" t="str">
        <f t="shared" si="11"/>
        <v/>
      </c>
      <c r="T254" s="14"/>
    </row>
    <row r="255" spans="1:20" ht="16" hidden="1" x14ac:dyDescent="0.15">
      <c r="A255" s="14"/>
      <c r="B255" s="13"/>
      <c r="C255" s="13"/>
      <c r="D255" s="13"/>
      <c r="E255" s="13"/>
      <c r="F255" s="13"/>
      <c r="G255" s="13"/>
      <c r="H255" s="14"/>
      <c r="I255" s="14"/>
      <c r="J255" s="14"/>
      <c r="K255" s="14"/>
      <c r="L255" s="13"/>
      <c r="M255" s="13"/>
      <c r="N255" s="15"/>
      <c r="O255" s="15"/>
      <c r="P255" s="16" t="str">
        <f t="shared" si="9"/>
        <v/>
      </c>
      <c r="Q255" s="17" t="str">
        <f t="shared" si="10"/>
        <v/>
      </c>
      <c r="R255" s="13"/>
      <c r="S255" s="17" t="str">
        <f t="shared" si="11"/>
        <v/>
      </c>
      <c r="T255" s="14"/>
    </row>
    <row r="256" spans="1:20" ht="16" hidden="1" x14ac:dyDescent="0.15">
      <c r="A256" s="14"/>
      <c r="B256" s="13"/>
      <c r="C256" s="13"/>
      <c r="D256" s="13"/>
      <c r="E256" s="13"/>
      <c r="F256" s="13"/>
      <c r="G256" s="13"/>
      <c r="H256" s="14"/>
      <c r="I256" s="14"/>
      <c r="J256" s="14"/>
      <c r="K256" s="14"/>
      <c r="L256" s="13"/>
      <c r="M256" s="13"/>
      <c r="N256" s="15"/>
      <c r="O256" s="15"/>
      <c r="P256" s="16" t="str">
        <f t="shared" si="9"/>
        <v/>
      </c>
      <c r="Q256" s="17" t="str">
        <f t="shared" si="10"/>
        <v/>
      </c>
      <c r="R256" s="13"/>
      <c r="S256" s="17" t="str">
        <f t="shared" si="11"/>
        <v/>
      </c>
      <c r="T256" s="14"/>
    </row>
    <row r="257" spans="1:20" ht="16" hidden="1" x14ac:dyDescent="0.15">
      <c r="A257" s="14"/>
      <c r="B257" s="13"/>
      <c r="C257" s="13"/>
      <c r="D257" s="13"/>
      <c r="E257" s="13"/>
      <c r="F257" s="13"/>
      <c r="G257" s="13"/>
      <c r="H257" s="14"/>
      <c r="I257" s="14"/>
      <c r="J257" s="14"/>
      <c r="K257" s="14"/>
      <c r="L257" s="13"/>
      <c r="M257" s="13"/>
      <c r="N257" s="15"/>
      <c r="O257" s="15"/>
      <c r="P257" s="16" t="str">
        <f t="shared" si="9"/>
        <v/>
      </c>
      <c r="Q257" s="17" t="str">
        <f t="shared" si="10"/>
        <v/>
      </c>
      <c r="R257" s="13"/>
      <c r="S257" s="17" t="str">
        <f t="shared" si="11"/>
        <v/>
      </c>
      <c r="T257" s="14"/>
    </row>
    <row r="258" spans="1:20" ht="16" hidden="1" x14ac:dyDescent="0.15">
      <c r="A258" s="14"/>
      <c r="B258" s="13"/>
      <c r="C258" s="13"/>
      <c r="D258" s="13"/>
      <c r="E258" s="13"/>
      <c r="F258" s="13"/>
      <c r="G258" s="13"/>
      <c r="H258" s="14"/>
      <c r="I258" s="14"/>
      <c r="J258" s="14"/>
      <c r="K258" s="14"/>
      <c r="L258" s="13"/>
      <c r="M258" s="13"/>
      <c r="N258" s="15"/>
      <c r="O258" s="15"/>
      <c r="P258" s="16" t="str">
        <f t="shared" si="9"/>
        <v/>
      </c>
      <c r="Q258" s="17" t="str">
        <f t="shared" si="10"/>
        <v/>
      </c>
      <c r="R258" s="13"/>
      <c r="S258" s="17" t="str">
        <f t="shared" si="11"/>
        <v/>
      </c>
      <c r="T258" s="14"/>
    </row>
    <row r="259" spans="1:20" ht="16" hidden="1" x14ac:dyDescent="0.15">
      <c r="A259" s="14"/>
      <c r="B259" s="13"/>
      <c r="C259" s="13"/>
      <c r="D259" s="13"/>
      <c r="E259" s="13"/>
      <c r="F259" s="13"/>
      <c r="G259" s="13"/>
      <c r="H259" s="14"/>
      <c r="I259" s="14"/>
      <c r="J259" s="14"/>
      <c r="K259" s="14"/>
      <c r="L259" s="13"/>
      <c r="M259" s="13"/>
      <c r="N259" s="15"/>
      <c r="O259" s="15"/>
      <c r="P259" s="16" t="str">
        <f t="shared" si="9"/>
        <v/>
      </c>
      <c r="Q259" s="17" t="str">
        <f t="shared" si="10"/>
        <v/>
      </c>
      <c r="R259" s="13"/>
      <c r="S259" s="17" t="str">
        <f t="shared" si="11"/>
        <v/>
      </c>
      <c r="T259" s="14"/>
    </row>
    <row r="260" spans="1:20" ht="16" hidden="1" x14ac:dyDescent="0.15">
      <c r="A260" s="14"/>
      <c r="B260" s="13"/>
      <c r="C260" s="13"/>
      <c r="D260" s="13"/>
      <c r="E260" s="13"/>
      <c r="F260" s="13"/>
      <c r="G260" s="13"/>
      <c r="H260" s="14"/>
      <c r="I260" s="14"/>
      <c r="J260" s="14"/>
      <c r="K260" s="14"/>
      <c r="L260" s="13"/>
      <c r="M260" s="13"/>
      <c r="N260" s="15"/>
      <c r="O260" s="15"/>
      <c r="P260" s="16" t="str">
        <f t="shared" si="9"/>
        <v/>
      </c>
      <c r="Q260" s="17" t="str">
        <f t="shared" si="10"/>
        <v/>
      </c>
      <c r="R260" s="13"/>
      <c r="S260" s="17" t="str">
        <f t="shared" si="11"/>
        <v/>
      </c>
      <c r="T260" s="14"/>
    </row>
    <row r="261" spans="1:20" ht="16" hidden="1" x14ac:dyDescent="0.15">
      <c r="A261" s="14"/>
      <c r="B261" s="13"/>
      <c r="C261" s="13"/>
      <c r="D261" s="13"/>
      <c r="E261" s="13"/>
      <c r="F261" s="13"/>
      <c r="G261" s="13"/>
      <c r="H261" s="14"/>
      <c r="I261" s="14"/>
      <c r="J261" s="14"/>
      <c r="K261" s="14"/>
      <c r="L261" s="13"/>
      <c r="M261" s="13"/>
      <c r="N261" s="15"/>
      <c r="O261" s="15"/>
      <c r="P261" s="16" t="str">
        <f t="shared" si="9"/>
        <v/>
      </c>
      <c r="Q261" s="17" t="str">
        <f t="shared" si="10"/>
        <v/>
      </c>
      <c r="R261" s="13"/>
      <c r="S261" s="17" t="str">
        <f t="shared" si="11"/>
        <v/>
      </c>
      <c r="T261" s="14"/>
    </row>
    <row r="262" spans="1:20" ht="16" hidden="1" x14ac:dyDescent="0.15">
      <c r="A262" s="14"/>
      <c r="B262" s="13"/>
      <c r="C262" s="13"/>
      <c r="D262" s="13"/>
      <c r="E262" s="13"/>
      <c r="F262" s="13"/>
      <c r="G262" s="13"/>
      <c r="H262" s="14"/>
      <c r="I262" s="14"/>
      <c r="J262" s="14"/>
      <c r="K262" s="14"/>
      <c r="L262" s="13"/>
      <c r="M262" s="13"/>
      <c r="N262" s="15"/>
      <c r="O262" s="15"/>
      <c r="P262" s="16" t="str">
        <f t="shared" ref="P262:P305" si="12">IF($B262="","",IF(AND($N262="",$O262=""),"",SUM($N262:$O262)))</f>
        <v/>
      </c>
      <c r="Q262" s="17" t="str">
        <f t="shared" ref="Q262:Q305" si="13">IF($B262="","",$B262&amp;" | "&amp;$C262&amp;" | "&amp;$D262)</f>
        <v/>
      </c>
      <c r="R262" s="13"/>
      <c r="S262" s="17" t="str">
        <f t="shared" ref="S262:S305" si="14">IF($B262="","",IF(COUNTIF($B$6:$B$305,$B262)&gt;1,"DUPLICATO","OK"))</f>
        <v/>
      </c>
      <c r="T262" s="14"/>
    </row>
    <row r="263" spans="1:20" ht="16" hidden="1" x14ac:dyDescent="0.15">
      <c r="A263" s="14"/>
      <c r="B263" s="13"/>
      <c r="C263" s="13"/>
      <c r="D263" s="13"/>
      <c r="E263" s="13"/>
      <c r="F263" s="13"/>
      <c r="G263" s="13"/>
      <c r="H263" s="14"/>
      <c r="I263" s="14"/>
      <c r="J263" s="14"/>
      <c r="K263" s="14"/>
      <c r="L263" s="13"/>
      <c r="M263" s="13"/>
      <c r="N263" s="15"/>
      <c r="O263" s="15"/>
      <c r="P263" s="16" t="str">
        <f t="shared" si="12"/>
        <v/>
      </c>
      <c r="Q263" s="17" t="str">
        <f t="shared" si="13"/>
        <v/>
      </c>
      <c r="R263" s="13"/>
      <c r="S263" s="17" t="str">
        <f t="shared" si="14"/>
        <v/>
      </c>
      <c r="T263" s="14"/>
    </row>
    <row r="264" spans="1:20" ht="16" hidden="1" x14ac:dyDescent="0.15">
      <c r="A264" s="14"/>
      <c r="B264" s="13"/>
      <c r="C264" s="13"/>
      <c r="D264" s="13"/>
      <c r="E264" s="13"/>
      <c r="F264" s="13"/>
      <c r="G264" s="13"/>
      <c r="H264" s="14"/>
      <c r="I264" s="14"/>
      <c r="J264" s="14"/>
      <c r="K264" s="14"/>
      <c r="L264" s="13"/>
      <c r="M264" s="13"/>
      <c r="N264" s="15"/>
      <c r="O264" s="15"/>
      <c r="P264" s="16" t="str">
        <f t="shared" si="12"/>
        <v/>
      </c>
      <c r="Q264" s="17" t="str">
        <f t="shared" si="13"/>
        <v/>
      </c>
      <c r="R264" s="13"/>
      <c r="S264" s="17" t="str">
        <f t="shared" si="14"/>
        <v/>
      </c>
      <c r="T264" s="14"/>
    </row>
    <row r="265" spans="1:20" ht="16" hidden="1" x14ac:dyDescent="0.15">
      <c r="A265" s="14"/>
      <c r="B265" s="13"/>
      <c r="C265" s="13"/>
      <c r="D265" s="13"/>
      <c r="E265" s="13"/>
      <c r="F265" s="13"/>
      <c r="G265" s="13"/>
      <c r="H265" s="14"/>
      <c r="I265" s="14"/>
      <c r="J265" s="14"/>
      <c r="K265" s="14"/>
      <c r="L265" s="13"/>
      <c r="M265" s="13"/>
      <c r="N265" s="15"/>
      <c r="O265" s="15"/>
      <c r="P265" s="16" t="str">
        <f t="shared" si="12"/>
        <v/>
      </c>
      <c r="Q265" s="17" t="str">
        <f t="shared" si="13"/>
        <v/>
      </c>
      <c r="R265" s="13"/>
      <c r="S265" s="17" t="str">
        <f t="shared" si="14"/>
        <v/>
      </c>
      <c r="T265" s="14"/>
    </row>
    <row r="266" spans="1:20" ht="16" hidden="1" x14ac:dyDescent="0.15">
      <c r="A266" s="14"/>
      <c r="B266" s="13"/>
      <c r="C266" s="13"/>
      <c r="D266" s="13"/>
      <c r="E266" s="13"/>
      <c r="F266" s="13"/>
      <c r="G266" s="13"/>
      <c r="H266" s="14"/>
      <c r="I266" s="14"/>
      <c r="J266" s="14"/>
      <c r="K266" s="14"/>
      <c r="L266" s="13"/>
      <c r="M266" s="13"/>
      <c r="N266" s="15"/>
      <c r="O266" s="15"/>
      <c r="P266" s="16" t="str">
        <f t="shared" si="12"/>
        <v/>
      </c>
      <c r="Q266" s="17" t="str">
        <f t="shared" si="13"/>
        <v/>
      </c>
      <c r="R266" s="13"/>
      <c r="S266" s="17" t="str">
        <f t="shared" si="14"/>
        <v/>
      </c>
      <c r="T266" s="14"/>
    </row>
    <row r="267" spans="1:20" ht="16" hidden="1" x14ac:dyDescent="0.15">
      <c r="A267" s="14"/>
      <c r="B267" s="13"/>
      <c r="C267" s="13"/>
      <c r="D267" s="13"/>
      <c r="E267" s="13"/>
      <c r="F267" s="13"/>
      <c r="G267" s="13"/>
      <c r="H267" s="14"/>
      <c r="I267" s="14"/>
      <c r="J267" s="14"/>
      <c r="K267" s="14"/>
      <c r="L267" s="13"/>
      <c r="M267" s="13"/>
      <c r="N267" s="15"/>
      <c r="O267" s="15"/>
      <c r="P267" s="16" t="str">
        <f t="shared" si="12"/>
        <v/>
      </c>
      <c r="Q267" s="17" t="str">
        <f t="shared" si="13"/>
        <v/>
      </c>
      <c r="R267" s="13"/>
      <c r="S267" s="17" t="str">
        <f t="shared" si="14"/>
        <v/>
      </c>
      <c r="T267" s="14"/>
    </row>
    <row r="268" spans="1:20" ht="16" hidden="1" x14ac:dyDescent="0.15">
      <c r="A268" s="14"/>
      <c r="B268" s="13"/>
      <c r="C268" s="13"/>
      <c r="D268" s="13"/>
      <c r="E268" s="13"/>
      <c r="F268" s="13"/>
      <c r="G268" s="13"/>
      <c r="H268" s="14"/>
      <c r="I268" s="14"/>
      <c r="J268" s="14"/>
      <c r="K268" s="14"/>
      <c r="L268" s="13"/>
      <c r="M268" s="13"/>
      <c r="N268" s="15"/>
      <c r="O268" s="15"/>
      <c r="P268" s="16" t="str">
        <f t="shared" si="12"/>
        <v/>
      </c>
      <c r="Q268" s="17" t="str">
        <f t="shared" si="13"/>
        <v/>
      </c>
      <c r="R268" s="13"/>
      <c r="S268" s="17" t="str">
        <f t="shared" si="14"/>
        <v/>
      </c>
      <c r="T268" s="14"/>
    </row>
    <row r="269" spans="1:20" ht="16" hidden="1" x14ac:dyDescent="0.15">
      <c r="A269" s="14"/>
      <c r="B269" s="13"/>
      <c r="C269" s="13"/>
      <c r="D269" s="13"/>
      <c r="E269" s="13"/>
      <c r="F269" s="13"/>
      <c r="G269" s="13"/>
      <c r="H269" s="14"/>
      <c r="I269" s="14"/>
      <c r="J269" s="14"/>
      <c r="K269" s="14"/>
      <c r="L269" s="13"/>
      <c r="M269" s="13"/>
      <c r="N269" s="15"/>
      <c r="O269" s="15"/>
      <c r="P269" s="16" t="str">
        <f t="shared" si="12"/>
        <v/>
      </c>
      <c r="Q269" s="17" t="str">
        <f t="shared" si="13"/>
        <v/>
      </c>
      <c r="R269" s="13"/>
      <c r="S269" s="17" t="str">
        <f t="shared" si="14"/>
        <v/>
      </c>
      <c r="T269" s="14"/>
    </row>
    <row r="270" spans="1:20" ht="16" hidden="1" x14ac:dyDescent="0.15">
      <c r="A270" s="14"/>
      <c r="B270" s="13"/>
      <c r="C270" s="13"/>
      <c r="D270" s="13"/>
      <c r="E270" s="13"/>
      <c r="F270" s="13"/>
      <c r="G270" s="13"/>
      <c r="H270" s="14"/>
      <c r="I270" s="14"/>
      <c r="J270" s="14"/>
      <c r="K270" s="14"/>
      <c r="L270" s="13"/>
      <c r="M270" s="13"/>
      <c r="N270" s="15"/>
      <c r="O270" s="15"/>
      <c r="P270" s="16" t="str">
        <f t="shared" si="12"/>
        <v/>
      </c>
      <c r="Q270" s="17" t="str">
        <f t="shared" si="13"/>
        <v/>
      </c>
      <c r="R270" s="13"/>
      <c r="S270" s="17" t="str">
        <f t="shared" si="14"/>
        <v/>
      </c>
      <c r="T270" s="14"/>
    </row>
    <row r="271" spans="1:20" ht="16" hidden="1" x14ac:dyDescent="0.15">
      <c r="A271" s="14"/>
      <c r="B271" s="13"/>
      <c r="C271" s="13"/>
      <c r="D271" s="13"/>
      <c r="E271" s="13"/>
      <c r="F271" s="13"/>
      <c r="G271" s="13"/>
      <c r="H271" s="14"/>
      <c r="I271" s="14"/>
      <c r="J271" s="14"/>
      <c r="K271" s="14"/>
      <c r="L271" s="13"/>
      <c r="M271" s="13"/>
      <c r="N271" s="15"/>
      <c r="O271" s="15"/>
      <c r="P271" s="16" t="str">
        <f t="shared" si="12"/>
        <v/>
      </c>
      <c r="Q271" s="17" t="str">
        <f t="shared" si="13"/>
        <v/>
      </c>
      <c r="R271" s="13"/>
      <c r="S271" s="17" t="str">
        <f t="shared" si="14"/>
        <v/>
      </c>
      <c r="T271" s="14"/>
    </row>
    <row r="272" spans="1:20" ht="16" hidden="1" x14ac:dyDescent="0.15">
      <c r="A272" s="14"/>
      <c r="B272" s="13"/>
      <c r="C272" s="13"/>
      <c r="D272" s="13"/>
      <c r="E272" s="13"/>
      <c r="F272" s="13"/>
      <c r="G272" s="13"/>
      <c r="H272" s="14"/>
      <c r="I272" s="14"/>
      <c r="J272" s="14"/>
      <c r="K272" s="14"/>
      <c r="L272" s="13"/>
      <c r="M272" s="13"/>
      <c r="N272" s="15"/>
      <c r="O272" s="15"/>
      <c r="P272" s="16" t="str">
        <f t="shared" si="12"/>
        <v/>
      </c>
      <c r="Q272" s="17" t="str">
        <f t="shared" si="13"/>
        <v/>
      </c>
      <c r="R272" s="13"/>
      <c r="S272" s="17" t="str">
        <f t="shared" si="14"/>
        <v/>
      </c>
      <c r="T272" s="14"/>
    </row>
    <row r="273" spans="1:20" ht="16" hidden="1" x14ac:dyDescent="0.15">
      <c r="A273" s="14"/>
      <c r="B273" s="13"/>
      <c r="C273" s="13"/>
      <c r="D273" s="13"/>
      <c r="E273" s="13"/>
      <c r="F273" s="13"/>
      <c r="G273" s="13"/>
      <c r="H273" s="14"/>
      <c r="I273" s="14"/>
      <c r="J273" s="14"/>
      <c r="K273" s="14"/>
      <c r="L273" s="13"/>
      <c r="M273" s="13"/>
      <c r="N273" s="15"/>
      <c r="O273" s="15"/>
      <c r="P273" s="16" t="str">
        <f t="shared" si="12"/>
        <v/>
      </c>
      <c r="Q273" s="17" t="str">
        <f t="shared" si="13"/>
        <v/>
      </c>
      <c r="R273" s="13"/>
      <c r="S273" s="17" t="str">
        <f t="shared" si="14"/>
        <v/>
      </c>
      <c r="T273" s="14"/>
    </row>
    <row r="274" spans="1:20" ht="16" hidden="1" x14ac:dyDescent="0.15">
      <c r="A274" s="14"/>
      <c r="B274" s="13"/>
      <c r="C274" s="13"/>
      <c r="D274" s="13"/>
      <c r="E274" s="13"/>
      <c r="F274" s="13"/>
      <c r="G274" s="13"/>
      <c r="H274" s="14"/>
      <c r="I274" s="14"/>
      <c r="J274" s="14"/>
      <c r="K274" s="14"/>
      <c r="L274" s="13"/>
      <c r="M274" s="13"/>
      <c r="N274" s="15"/>
      <c r="O274" s="15"/>
      <c r="P274" s="16" t="str">
        <f t="shared" si="12"/>
        <v/>
      </c>
      <c r="Q274" s="17" t="str">
        <f t="shared" si="13"/>
        <v/>
      </c>
      <c r="R274" s="13"/>
      <c r="S274" s="17" t="str">
        <f t="shared" si="14"/>
        <v/>
      </c>
      <c r="T274" s="14"/>
    </row>
    <row r="275" spans="1:20" ht="16" hidden="1" x14ac:dyDescent="0.15">
      <c r="A275" s="14"/>
      <c r="B275" s="13"/>
      <c r="C275" s="13"/>
      <c r="D275" s="13"/>
      <c r="E275" s="13"/>
      <c r="F275" s="13"/>
      <c r="G275" s="13"/>
      <c r="H275" s="14"/>
      <c r="I275" s="14"/>
      <c r="J275" s="14"/>
      <c r="K275" s="14"/>
      <c r="L275" s="13"/>
      <c r="M275" s="13"/>
      <c r="N275" s="15"/>
      <c r="O275" s="15"/>
      <c r="P275" s="16" t="str">
        <f t="shared" si="12"/>
        <v/>
      </c>
      <c r="Q275" s="17" t="str">
        <f t="shared" si="13"/>
        <v/>
      </c>
      <c r="R275" s="13"/>
      <c r="S275" s="17" t="str">
        <f t="shared" si="14"/>
        <v/>
      </c>
      <c r="T275" s="14"/>
    </row>
    <row r="276" spans="1:20" ht="16" hidden="1" x14ac:dyDescent="0.15">
      <c r="A276" s="14"/>
      <c r="B276" s="13"/>
      <c r="C276" s="13"/>
      <c r="D276" s="13"/>
      <c r="E276" s="13"/>
      <c r="F276" s="13"/>
      <c r="G276" s="13"/>
      <c r="H276" s="14"/>
      <c r="I276" s="14"/>
      <c r="J276" s="14"/>
      <c r="K276" s="14"/>
      <c r="L276" s="13"/>
      <c r="M276" s="13"/>
      <c r="N276" s="15"/>
      <c r="O276" s="15"/>
      <c r="P276" s="16" t="str">
        <f t="shared" si="12"/>
        <v/>
      </c>
      <c r="Q276" s="17" t="str">
        <f t="shared" si="13"/>
        <v/>
      </c>
      <c r="R276" s="13"/>
      <c r="S276" s="17" t="str">
        <f t="shared" si="14"/>
        <v/>
      </c>
      <c r="T276" s="14"/>
    </row>
    <row r="277" spans="1:20" ht="16" hidden="1" x14ac:dyDescent="0.15">
      <c r="A277" s="14"/>
      <c r="B277" s="13"/>
      <c r="C277" s="13"/>
      <c r="D277" s="13"/>
      <c r="E277" s="13"/>
      <c r="F277" s="13"/>
      <c r="G277" s="13"/>
      <c r="H277" s="14"/>
      <c r="I277" s="14"/>
      <c r="J277" s="14"/>
      <c r="K277" s="14"/>
      <c r="L277" s="13"/>
      <c r="M277" s="13"/>
      <c r="N277" s="15"/>
      <c r="O277" s="15"/>
      <c r="P277" s="16" t="str">
        <f t="shared" si="12"/>
        <v/>
      </c>
      <c r="Q277" s="17" t="str">
        <f t="shared" si="13"/>
        <v/>
      </c>
      <c r="R277" s="13"/>
      <c r="S277" s="17" t="str">
        <f t="shared" si="14"/>
        <v/>
      </c>
      <c r="T277" s="14"/>
    </row>
    <row r="278" spans="1:20" ht="16" hidden="1" x14ac:dyDescent="0.15">
      <c r="A278" s="14"/>
      <c r="B278" s="13"/>
      <c r="C278" s="13"/>
      <c r="D278" s="13"/>
      <c r="E278" s="13"/>
      <c r="F278" s="13"/>
      <c r="G278" s="13"/>
      <c r="H278" s="14"/>
      <c r="I278" s="14"/>
      <c r="J278" s="14"/>
      <c r="K278" s="14"/>
      <c r="L278" s="13"/>
      <c r="M278" s="13"/>
      <c r="N278" s="15"/>
      <c r="O278" s="15"/>
      <c r="P278" s="16" t="str">
        <f t="shared" si="12"/>
        <v/>
      </c>
      <c r="Q278" s="17" t="str">
        <f t="shared" si="13"/>
        <v/>
      </c>
      <c r="R278" s="13"/>
      <c r="S278" s="17" t="str">
        <f t="shared" si="14"/>
        <v/>
      </c>
      <c r="T278" s="14"/>
    </row>
    <row r="279" spans="1:20" ht="16" hidden="1" x14ac:dyDescent="0.15">
      <c r="A279" s="14"/>
      <c r="B279" s="13"/>
      <c r="C279" s="13"/>
      <c r="D279" s="13"/>
      <c r="E279" s="13"/>
      <c r="F279" s="13"/>
      <c r="G279" s="13"/>
      <c r="H279" s="14"/>
      <c r="I279" s="14"/>
      <c r="J279" s="14"/>
      <c r="K279" s="14"/>
      <c r="L279" s="13"/>
      <c r="M279" s="13"/>
      <c r="N279" s="15"/>
      <c r="O279" s="15"/>
      <c r="P279" s="16" t="str">
        <f t="shared" si="12"/>
        <v/>
      </c>
      <c r="Q279" s="17" t="str">
        <f t="shared" si="13"/>
        <v/>
      </c>
      <c r="R279" s="13"/>
      <c r="S279" s="17" t="str">
        <f t="shared" si="14"/>
        <v/>
      </c>
      <c r="T279" s="14"/>
    </row>
    <row r="280" spans="1:20" ht="16" hidden="1" x14ac:dyDescent="0.15">
      <c r="A280" s="14"/>
      <c r="B280" s="13"/>
      <c r="C280" s="13"/>
      <c r="D280" s="13"/>
      <c r="E280" s="13"/>
      <c r="F280" s="13"/>
      <c r="G280" s="13"/>
      <c r="H280" s="14"/>
      <c r="I280" s="14"/>
      <c r="J280" s="14"/>
      <c r="K280" s="14"/>
      <c r="L280" s="13"/>
      <c r="M280" s="13"/>
      <c r="N280" s="15"/>
      <c r="O280" s="15"/>
      <c r="P280" s="16" t="str">
        <f t="shared" si="12"/>
        <v/>
      </c>
      <c r="Q280" s="17" t="str">
        <f t="shared" si="13"/>
        <v/>
      </c>
      <c r="R280" s="13"/>
      <c r="S280" s="17" t="str">
        <f t="shared" si="14"/>
        <v/>
      </c>
      <c r="T280" s="14"/>
    </row>
    <row r="281" spans="1:20" ht="16" hidden="1" x14ac:dyDescent="0.15">
      <c r="A281" s="14"/>
      <c r="B281" s="13"/>
      <c r="C281" s="13"/>
      <c r="D281" s="13"/>
      <c r="E281" s="13"/>
      <c r="F281" s="13"/>
      <c r="G281" s="13"/>
      <c r="H281" s="14"/>
      <c r="I281" s="14"/>
      <c r="J281" s="14"/>
      <c r="K281" s="14"/>
      <c r="L281" s="13"/>
      <c r="M281" s="13"/>
      <c r="N281" s="15"/>
      <c r="O281" s="15"/>
      <c r="P281" s="16" t="str">
        <f t="shared" si="12"/>
        <v/>
      </c>
      <c r="Q281" s="17" t="str">
        <f t="shared" si="13"/>
        <v/>
      </c>
      <c r="R281" s="13"/>
      <c r="S281" s="17" t="str">
        <f t="shared" si="14"/>
        <v/>
      </c>
      <c r="T281" s="14"/>
    </row>
    <row r="282" spans="1:20" ht="16" hidden="1" x14ac:dyDescent="0.15">
      <c r="A282" s="14"/>
      <c r="B282" s="13"/>
      <c r="C282" s="13"/>
      <c r="D282" s="13"/>
      <c r="E282" s="13"/>
      <c r="F282" s="13"/>
      <c r="G282" s="13"/>
      <c r="H282" s="14"/>
      <c r="I282" s="14"/>
      <c r="J282" s="14"/>
      <c r="K282" s="14"/>
      <c r="L282" s="13"/>
      <c r="M282" s="13"/>
      <c r="N282" s="15"/>
      <c r="O282" s="15"/>
      <c r="P282" s="16" t="str">
        <f t="shared" si="12"/>
        <v/>
      </c>
      <c r="Q282" s="17" t="str">
        <f t="shared" si="13"/>
        <v/>
      </c>
      <c r="R282" s="13"/>
      <c r="S282" s="17" t="str">
        <f t="shared" si="14"/>
        <v/>
      </c>
      <c r="T282" s="14"/>
    </row>
    <row r="283" spans="1:20" ht="16" hidden="1" x14ac:dyDescent="0.15">
      <c r="A283" s="14"/>
      <c r="B283" s="13"/>
      <c r="C283" s="13"/>
      <c r="D283" s="13"/>
      <c r="E283" s="13"/>
      <c r="F283" s="13"/>
      <c r="G283" s="13"/>
      <c r="H283" s="14"/>
      <c r="I283" s="14"/>
      <c r="J283" s="14"/>
      <c r="K283" s="14"/>
      <c r="L283" s="13"/>
      <c r="M283" s="13"/>
      <c r="N283" s="15"/>
      <c r="O283" s="15"/>
      <c r="P283" s="16" t="str">
        <f t="shared" si="12"/>
        <v/>
      </c>
      <c r="Q283" s="17" t="str">
        <f t="shared" si="13"/>
        <v/>
      </c>
      <c r="R283" s="13"/>
      <c r="S283" s="17" t="str">
        <f t="shared" si="14"/>
        <v/>
      </c>
      <c r="T283" s="14"/>
    </row>
    <row r="284" spans="1:20" ht="16" hidden="1" x14ac:dyDescent="0.15">
      <c r="A284" s="14"/>
      <c r="B284" s="13"/>
      <c r="C284" s="13"/>
      <c r="D284" s="13"/>
      <c r="E284" s="13"/>
      <c r="F284" s="13"/>
      <c r="G284" s="13"/>
      <c r="H284" s="14"/>
      <c r="I284" s="14"/>
      <c r="J284" s="14"/>
      <c r="K284" s="14"/>
      <c r="L284" s="13"/>
      <c r="M284" s="13"/>
      <c r="N284" s="15"/>
      <c r="O284" s="15"/>
      <c r="P284" s="16" t="str">
        <f t="shared" si="12"/>
        <v/>
      </c>
      <c r="Q284" s="17" t="str">
        <f t="shared" si="13"/>
        <v/>
      </c>
      <c r="R284" s="13"/>
      <c r="S284" s="17" t="str">
        <f t="shared" si="14"/>
        <v/>
      </c>
      <c r="T284" s="14"/>
    </row>
    <row r="285" spans="1:20" ht="16" hidden="1" x14ac:dyDescent="0.15">
      <c r="A285" s="14"/>
      <c r="B285" s="13"/>
      <c r="C285" s="13"/>
      <c r="D285" s="13"/>
      <c r="E285" s="13"/>
      <c r="F285" s="13"/>
      <c r="G285" s="13"/>
      <c r="H285" s="14"/>
      <c r="I285" s="14"/>
      <c r="J285" s="14"/>
      <c r="K285" s="14"/>
      <c r="L285" s="13"/>
      <c r="M285" s="13"/>
      <c r="N285" s="15"/>
      <c r="O285" s="15"/>
      <c r="P285" s="16" t="str">
        <f t="shared" si="12"/>
        <v/>
      </c>
      <c r="Q285" s="17" t="str">
        <f t="shared" si="13"/>
        <v/>
      </c>
      <c r="R285" s="13"/>
      <c r="S285" s="17" t="str">
        <f t="shared" si="14"/>
        <v/>
      </c>
      <c r="T285" s="14"/>
    </row>
    <row r="286" spans="1:20" ht="16" hidden="1" x14ac:dyDescent="0.15">
      <c r="A286" s="14"/>
      <c r="B286" s="13"/>
      <c r="C286" s="13"/>
      <c r="D286" s="13"/>
      <c r="E286" s="13"/>
      <c r="F286" s="13"/>
      <c r="G286" s="13"/>
      <c r="H286" s="14"/>
      <c r="I286" s="14"/>
      <c r="J286" s="14"/>
      <c r="K286" s="14"/>
      <c r="L286" s="13"/>
      <c r="M286" s="13"/>
      <c r="N286" s="15"/>
      <c r="O286" s="15"/>
      <c r="P286" s="16" t="str">
        <f t="shared" si="12"/>
        <v/>
      </c>
      <c r="Q286" s="17" t="str">
        <f t="shared" si="13"/>
        <v/>
      </c>
      <c r="R286" s="13"/>
      <c r="S286" s="17" t="str">
        <f t="shared" si="14"/>
        <v/>
      </c>
      <c r="T286" s="14"/>
    </row>
    <row r="287" spans="1:20" ht="16" hidden="1" x14ac:dyDescent="0.15">
      <c r="A287" s="14"/>
      <c r="B287" s="13"/>
      <c r="C287" s="13"/>
      <c r="D287" s="13"/>
      <c r="E287" s="13"/>
      <c r="F287" s="13"/>
      <c r="G287" s="13"/>
      <c r="H287" s="14"/>
      <c r="I287" s="14"/>
      <c r="J287" s="14"/>
      <c r="K287" s="14"/>
      <c r="L287" s="13"/>
      <c r="M287" s="13"/>
      <c r="N287" s="15"/>
      <c r="O287" s="15"/>
      <c r="P287" s="16" t="str">
        <f t="shared" si="12"/>
        <v/>
      </c>
      <c r="Q287" s="17" t="str">
        <f t="shared" si="13"/>
        <v/>
      </c>
      <c r="R287" s="13"/>
      <c r="S287" s="17" t="str">
        <f t="shared" si="14"/>
        <v/>
      </c>
      <c r="T287" s="14"/>
    </row>
    <row r="288" spans="1:20" ht="16" hidden="1" x14ac:dyDescent="0.15">
      <c r="A288" s="14"/>
      <c r="B288" s="13"/>
      <c r="C288" s="13"/>
      <c r="D288" s="13"/>
      <c r="E288" s="13"/>
      <c r="F288" s="13"/>
      <c r="G288" s="13"/>
      <c r="H288" s="14"/>
      <c r="I288" s="14"/>
      <c r="J288" s="14"/>
      <c r="K288" s="14"/>
      <c r="L288" s="13"/>
      <c r="M288" s="13"/>
      <c r="N288" s="15"/>
      <c r="O288" s="15"/>
      <c r="P288" s="16" t="str">
        <f t="shared" si="12"/>
        <v/>
      </c>
      <c r="Q288" s="17" t="str">
        <f t="shared" si="13"/>
        <v/>
      </c>
      <c r="R288" s="13"/>
      <c r="S288" s="17" t="str">
        <f t="shared" si="14"/>
        <v/>
      </c>
      <c r="T288" s="14"/>
    </row>
    <row r="289" spans="1:20" ht="16" hidden="1" x14ac:dyDescent="0.15">
      <c r="A289" s="14"/>
      <c r="B289" s="13"/>
      <c r="C289" s="13"/>
      <c r="D289" s="13"/>
      <c r="E289" s="13"/>
      <c r="F289" s="13"/>
      <c r="G289" s="13"/>
      <c r="H289" s="14"/>
      <c r="I289" s="14"/>
      <c r="J289" s="14"/>
      <c r="K289" s="14"/>
      <c r="L289" s="13"/>
      <c r="M289" s="13"/>
      <c r="N289" s="15"/>
      <c r="O289" s="15"/>
      <c r="P289" s="16" t="str">
        <f t="shared" si="12"/>
        <v/>
      </c>
      <c r="Q289" s="17" t="str">
        <f t="shared" si="13"/>
        <v/>
      </c>
      <c r="R289" s="13"/>
      <c r="S289" s="17" t="str">
        <f t="shared" si="14"/>
        <v/>
      </c>
      <c r="T289" s="14"/>
    </row>
    <row r="290" spans="1:20" ht="16" hidden="1" x14ac:dyDescent="0.15">
      <c r="A290" s="14"/>
      <c r="B290" s="13"/>
      <c r="C290" s="13"/>
      <c r="D290" s="13"/>
      <c r="E290" s="13"/>
      <c r="F290" s="13"/>
      <c r="G290" s="13"/>
      <c r="H290" s="14"/>
      <c r="I290" s="14"/>
      <c r="J290" s="14"/>
      <c r="K290" s="14"/>
      <c r="L290" s="13"/>
      <c r="M290" s="13"/>
      <c r="N290" s="15"/>
      <c r="O290" s="15"/>
      <c r="P290" s="16" t="str">
        <f t="shared" si="12"/>
        <v/>
      </c>
      <c r="Q290" s="17" t="str">
        <f t="shared" si="13"/>
        <v/>
      </c>
      <c r="R290" s="13"/>
      <c r="S290" s="17" t="str">
        <f t="shared" si="14"/>
        <v/>
      </c>
      <c r="T290" s="14"/>
    </row>
    <row r="291" spans="1:20" ht="16" hidden="1" x14ac:dyDescent="0.15">
      <c r="A291" s="14"/>
      <c r="B291" s="13"/>
      <c r="C291" s="13"/>
      <c r="D291" s="13"/>
      <c r="E291" s="13"/>
      <c r="F291" s="13"/>
      <c r="G291" s="13"/>
      <c r="H291" s="14"/>
      <c r="I291" s="14"/>
      <c r="J291" s="14"/>
      <c r="K291" s="14"/>
      <c r="L291" s="13"/>
      <c r="M291" s="13"/>
      <c r="N291" s="15"/>
      <c r="O291" s="15"/>
      <c r="P291" s="16" t="str">
        <f t="shared" si="12"/>
        <v/>
      </c>
      <c r="Q291" s="17" t="str">
        <f t="shared" si="13"/>
        <v/>
      </c>
      <c r="R291" s="13"/>
      <c r="S291" s="17" t="str">
        <f t="shared" si="14"/>
        <v/>
      </c>
      <c r="T291" s="14"/>
    </row>
    <row r="292" spans="1:20" ht="16" hidden="1" x14ac:dyDescent="0.15">
      <c r="A292" s="14"/>
      <c r="B292" s="13"/>
      <c r="C292" s="13"/>
      <c r="D292" s="13"/>
      <c r="E292" s="13"/>
      <c r="F292" s="13"/>
      <c r="G292" s="13"/>
      <c r="H292" s="14"/>
      <c r="I292" s="14"/>
      <c r="J292" s="14"/>
      <c r="K292" s="14"/>
      <c r="L292" s="13"/>
      <c r="M292" s="13"/>
      <c r="N292" s="15"/>
      <c r="O292" s="15"/>
      <c r="P292" s="16" t="str">
        <f t="shared" si="12"/>
        <v/>
      </c>
      <c r="Q292" s="17" t="str">
        <f t="shared" si="13"/>
        <v/>
      </c>
      <c r="R292" s="13"/>
      <c r="S292" s="17" t="str">
        <f t="shared" si="14"/>
        <v/>
      </c>
      <c r="T292" s="14"/>
    </row>
    <row r="293" spans="1:20" ht="16" hidden="1" x14ac:dyDescent="0.15">
      <c r="A293" s="14"/>
      <c r="B293" s="13"/>
      <c r="C293" s="13"/>
      <c r="D293" s="13"/>
      <c r="E293" s="13"/>
      <c r="F293" s="13"/>
      <c r="G293" s="13"/>
      <c r="H293" s="14"/>
      <c r="I293" s="14"/>
      <c r="J293" s="14"/>
      <c r="K293" s="14"/>
      <c r="L293" s="13"/>
      <c r="M293" s="13"/>
      <c r="N293" s="15"/>
      <c r="O293" s="15"/>
      <c r="P293" s="16" t="str">
        <f t="shared" si="12"/>
        <v/>
      </c>
      <c r="Q293" s="17" t="str">
        <f t="shared" si="13"/>
        <v/>
      </c>
      <c r="R293" s="13"/>
      <c r="S293" s="17" t="str">
        <f t="shared" si="14"/>
        <v/>
      </c>
      <c r="T293" s="14"/>
    </row>
    <row r="294" spans="1:20" ht="16" hidden="1" x14ac:dyDescent="0.15">
      <c r="A294" s="14"/>
      <c r="B294" s="13"/>
      <c r="C294" s="13"/>
      <c r="D294" s="13"/>
      <c r="E294" s="13"/>
      <c r="F294" s="13"/>
      <c r="G294" s="13"/>
      <c r="H294" s="14"/>
      <c r="I294" s="14"/>
      <c r="J294" s="14"/>
      <c r="K294" s="14"/>
      <c r="L294" s="13"/>
      <c r="M294" s="13"/>
      <c r="N294" s="15"/>
      <c r="O294" s="15"/>
      <c r="P294" s="16" t="str">
        <f t="shared" si="12"/>
        <v/>
      </c>
      <c r="Q294" s="17" t="str">
        <f t="shared" si="13"/>
        <v/>
      </c>
      <c r="R294" s="13"/>
      <c r="S294" s="17" t="str">
        <f t="shared" si="14"/>
        <v/>
      </c>
      <c r="T294" s="14"/>
    </row>
    <row r="295" spans="1:20" ht="16" hidden="1" x14ac:dyDescent="0.15">
      <c r="A295" s="14"/>
      <c r="B295" s="13"/>
      <c r="C295" s="13"/>
      <c r="D295" s="13"/>
      <c r="E295" s="13"/>
      <c r="F295" s="13"/>
      <c r="G295" s="13"/>
      <c r="H295" s="14"/>
      <c r="I295" s="14"/>
      <c r="J295" s="14"/>
      <c r="K295" s="14"/>
      <c r="L295" s="13"/>
      <c r="M295" s="13"/>
      <c r="N295" s="15"/>
      <c r="O295" s="15"/>
      <c r="P295" s="16" t="str">
        <f t="shared" si="12"/>
        <v/>
      </c>
      <c r="Q295" s="17" t="str">
        <f t="shared" si="13"/>
        <v/>
      </c>
      <c r="R295" s="13"/>
      <c r="S295" s="17" t="str">
        <f t="shared" si="14"/>
        <v/>
      </c>
      <c r="T295" s="14"/>
    </row>
    <row r="296" spans="1:20" ht="16" hidden="1" x14ac:dyDescent="0.15">
      <c r="A296" s="14"/>
      <c r="B296" s="13"/>
      <c r="C296" s="13"/>
      <c r="D296" s="13"/>
      <c r="E296" s="13"/>
      <c r="F296" s="13"/>
      <c r="G296" s="13"/>
      <c r="H296" s="14"/>
      <c r="I296" s="14"/>
      <c r="J296" s="14"/>
      <c r="K296" s="14"/>
      <c r="L296" s="13"/>
      <c r="M296" s="13"/>
      <c r="N296" s="15"/>
      <c r="O296" s="15"/>
      <c r="P296" s="16" t="str">
        <f t="shared" si="12"/>
        <v/>
      </c>
      <c r="Q296" s="17" t="str">
        <f t="shared" si="13"/>
        <v/>
      </c>
      <c r="R296" s="13"/>
      <c r="S296" s="17" t="str">
        <f t="shared" si="14"/>
        <v/>
      </c>
      <c r="T296" s="14"/>
    </row>
    <row r="297" spans="1:20" ht="16" hidden="1" x14ac:dyDescent="0.15">
      <c r="A297" s="14"/>
      <c r="B297" s="13"/>
      <c r="C297" s="13"/>
      <c r="D297" s="13"/>
      <c r="E297" s="13"/>
      <c r="F297" s="13"/>
      <c r="G297" s="13"/>
      <c r="H297" s="14"/>
      <c r="I297" s="14"/>
      <c r="J297" s="14"/>
      <c r="K297" s="14"/>
      <c r="L297" s="13"/>
      <c r="M297" s="13"/>
      <c r="N297" s="15"/>
      <c r="O297" s="15"/>
      <c r="P297" s="16" t="str">
        <f t="shared" si="12"/>
        <v/>
      </c>
      <c r="Q297" s="17" t="str">
        <f t="shared" si="13"/>
        <v/>
      </c>
      <c r="R297" s="13"/>
      <c r="S297" s="17" t="str">
        <f t="shared" si="14"/>
        <v/>
      </c>
      <c r="T297" s="14"/>
    </row>
    <row r="298" spans="1:20" ht="16" hidden="1" x14ac:dyDescent="0.15">
      <c r="A298" s="14"/>
      <c r="B298" s="13"/>
      <c r="C298" s="13"/>
      <c r="D298" s="13"/>
      <c r="E298" s="13"/>
      <c r="F298" s="13"/>
      <c r="G298" s="13"/>
      <c r="H298" s="14"/>
      <c r="I298" s="14"/>
      <c r="J298" s="14"/>
      <c r="K298" s="14"/>
      <c r="L298" s="13"/>
      <c r="M298" s="13"/>
      <c r="N298" s="15"/>
      <c r="O298" s="15"/>
      <c r="P298" s="16" t="str">
        <f t="shared" si="12"/>
        <v/>
      </c>
      <c r="Q298" s="17" t="str">
        <f t="shared" si="13"/>
        <v/>
      </c>
      <c r="R298" s="13"/>
      <c r="S298" s="17" t="str">
        <f t="shared" si="14"/>
        <v/>
      </c>
      <c r="T298" s="14"/>
    </row>
    <row r="299" spans="1:20" ht="16" hidden="1" x14ac:dyDescent="0.15">
      <c r="A299" s="14"/>
      <c r="B299" s="13"/>
      <c r="C299" s="13"/>
      <c r="D299" s="13"/>
      <c r="E299" s="13"/>
      <c r="F299" s="13"/>
      <c r="G299" s="13"/>
      <c r="H299" s="14"/>
      <c r="I299" s="14"/>
      <c r="J299" s="14"/>
      <c r="K299" s="14"/>
      <c r="L299" s="13"/>
      <c r="M299" s="13"/>
      <c r="N299" s="15"/>
      <c r="O299" s="15"/>
      <c r="P299" s="16" t="str">
        <f t="shared" si="12"/>
        <v/>
      </c>
      <c r="Q299" s="17" t="str">
        <f t="shared" si="13"/>
        <v/>
      </c>
      <c r="R299" s="13"/>
      <c r="S299" s="17" t="str">
        <f t="shared" si="14"/>
        <v/>
      </c>
      <c r="T299" s="14"/>
    </row>
    <row r="300" spans="1:20" ht="16" hidden="1" x14ac:dyDescent="0.15">
      <c r="A300" s="14"/>
      <c r="B300" s="13"/>
      <c r="C300" s="13"/>
      <c r="D300" s="13"/>
      <c r="E300" s="13"/>
      <c r="F300" s="13"/>
      <c r="G300" s="13"/>
      <c r="H300" s="14"/>
      <c r="I300" s="14"/>
      <c r="J300" s="14"/>
      <c r="K300" s="14"/>
      <c r="L300" s="13"/>
      <c r="M300" s="13"/>
      <c r="N300" s="15"/>
      <c r="O300" s="15"/>
      <c r="P300" s="16" t="str">
        <f t="shared" si="12"/>
        <v/>
      </c>
      <c r="Q300" s="17" t="str">
        <f t="shared" si="13"/>
        <v/>
      </c>
      <c r="R300" s="13"/>
      <c r="S300" s="17" t="str">
        <f t="shared" si="14"/>
        <v/>
      </c>
      <c r="T300" s="14"/>
    </row>
    <row r="301" spans="1:20" ht="16" hidden="1" x14ac:dyDescent="0.15">
      <c r="A301" s="14"/>
      <c r="B301" s="13"/>
      <c r="C301" s="13"/>
      <c r="D301" s="13"/>
      <c r="E301" s="13"/>
      <c r="F301" s="13"/>
      <c r="G301" s="13"/>
      <c r="H301" s="14"/>
      <c r="I301" s="14"/>
      <c r="J301" s="14"/>
      <c r="K301" s="14"/>
      <c r="L301" s="13"/>
      <c r="M301" s="13"/>
      <c r="N301" s="15"/>
      <c r="O301" s="15"/>
      <c r="P301" s="16" t="str">
        <f t="shared" si="12"/>
        <v/>
      </c>
      <c r="Q301" s="17" t="str">
        <f t="shared" si="13"/>
        <v/>
      </c>
      <c r="R301" s="13"/>
      <c r="S301" s="17" t="str">
        <f t="shared" si="14"/>
        <v/>
      </c>
      <c r="T301" s="14"/>
    </row>
    <row r="302" spans="1:20" ht="16" hidden="1" x14ac:dyDescent="0.15">
      <c r="A302" s="14"/>
      <c r="B302" s="13"/>
      <c r="C302" s="13"/>
      <c r="D302" s="13"/>
      <c r="E302" s="13"/>
      <c r="F302" s="13"/>
      <c r="G302" s="13"/>
      <c r="H302" s="14"/>
      <c r="I302" s="14"/>
      <c r="J302" s="14"/>
      <c r="K302" s="14"/>
      <c r="L302" s="13"/>
      <c r="M302" s="13"/>
      <c r="N302" s="15"/>
      <c r="O302" s="15"/>
      <c r="P302" s="16" t="str">
        <f t="shared" si="12"/>
        <v/>
      </c>
      <c r="Q302" s="17" t="str">
        <f t="shared" si="13"/>
        <v/>
      </c>
      <c r="R302" s="13"/>
      <c r="S302" s="17" t="str">
        <f t="shared" si="14"/>
        <v/>
      </c>
      <c r="T302" s="14"/>
    </row>
    <row r="303" spans="1:20" ht="16" hidden="1" x14ac:dyDescent="0.15">
      <c r="A303" s="14"/>
      <c r="B303" s="13"/>
      <c r="C303" s="13"/>
      <c r="D303" s="13"/>
      <c r="E303" s="13"/>
      <c r="F303" s="13"/>
      <c r="G303" s="13"/>
      <c r="H303" s="14"/>
      <c r="I303" s="14"/>
      <c r="J303" s="14"/>
      <c r="K303" s="14"/>
      <c r="L303" s="13"/>
      <c r="M303" s="13"/>
      <c r="N303" s="15"/>
      <c r="O303" s="15"/>
      <c r="P303" s="16" t="str">
        <f t="shared" si="12"/>
        <v/>
      </c>
      <c r="Q303" s="17" t="str">
        <f t="shared" si="13"/>
        <v/>
      </c>
      <c r="R303" s="13"/>
      <c r="S303" s="17" t="str">
        <f t="shared" si="14"/>
        <v/>
      </c>
      <c r="T303" s="14"/>
    </row>
    <row r="304" spans="1:20" ht="16" hidden="1" x14ac:dyDescent="0.15">
      <c r="A304" s="14"/>
      <c r="B304" s="13"/>
      <c r="C304" s="13"/>
      <c r="D304" s="13"/>
      <c r="E304" s="13"/>
      <c r="F304" s="13"/>
      <c r="G304" s="13"/>
      <c r="H304" s="14"/>
      <c r="I304" s="14"/>
      <c r="J304" s="14"/>
      <c r="K304" s="14"/>
      <c r="L304" s="13"/>
      <c r="M304" s="13"/>
      <c r="N304" s="15"/>
      <c r="O304" s="15"/>
      <c r="P304" s="16" t="str">
        <f t="shared" si="12"/>
        <v/>
      </c>
      <c r="Q304" s="17" t="str">
        <f t="shared" si="13"/>
        <v/>
      </c>
      <c r="R304" s="13"/>
      <c r="S304" s="17" t="str">
        <f t="shared" si="14"/>
        <v/>
      </c>
      <c r="T304" s="14"/>
    </row>
    <row r="305" spans="1:20" ht="16" hidden="1" x14ac:dyDescent="0.15">
      <c r="A305" s="14"/>
      <c r="B305" s="13"/>
      <c r="C305" s="13"/>
      <c r="D305" s="13"/>
      <c r="E305" s="13"/>
      <c r="F305" s="13"/>
      <c r="G305" s="13"/>
      <c r="H305" s="14"/>
      <c r="I305" s="14"/>
      <c r="J305" s="14"/>
      <c r="K305" s="14"/>
      <c r="L305" s="13"/>
      <c r="M305" s="13"/>
      <c r="N305" s="15"/>
      <c r="O305" s="15"/>
      <c r="P305" s="16" t="str">
        <f t="shared" si="12"/>
        <v/>
      </c>
      <c r="Q305" s="17" t="str">
        <f t="shared" si="13"/>
        <v/>
      </c>
      <c r="R305" s="13"/>
      <c r="S305" s="17" t="str">
        <f t="shared" si="14"/>
        <v/>
      </c>
      <c r="T305" s="14"/>
    </row>
  </sheetData>
  <mergeCells count="2">
    <mergeCell ref="A1:S1"/>
    <mergeCell ref="A2:S2"/>
  </mergeCells>
  <conditionalFormatting sqref="A6:A305">
    <cfRule type="expression" dxfId="12" priority="7">
      <formula>AND($B6&lt;&gt;"",$A6="")</formula>
    </cfRule>
  </conditionalFormatting>
  <conditionalFormatting sqref="J6:J305">
    <cfRule type="expression" dxfId="11" priority="5">
      <formula>AND($B6&lt;&gt;"",$T6&lt;&gt;"",$J6&lt;&gt;$T6,OR($R6="",$R6="Nessuna variazione"))</formula>
    </cfRule>
  </conditionalFormatting>
  <conditionalFormatting sqref="K6:K305">
    <cfRule type="expression" dxfId="10" priority="4">
      <formula>AND($B6&lt;&gt;"",OR($L6="Finito ritenute non previste",$L6="Finito con sblocco ritenute",$L6="Finito senza sblocco ritenute"),$K6="")</formula>
    </cfRule>
  </conditionalFormatting>
  <conditionalFormatting sqref="R6:R305">
    <cfRule type="expression" dxfId="9" priority="6">
      <formula>AND($B6&lt;&gt;"",$T6&lt;&gt;"",$J6=$T6,$R6&lt;&gt;"",$R6&lt;&gt;"Nessuna variazione")</formula>
    </cfRule>
  </conditionalFormatting>
  <conditionalFormatting sqref="S6:S305">
    <cfRule type="expression" dxfId="8" priority="2">
      <formula>$S6="DUPLICATO"</formula>
    </cfRule>
    <cfRule type="expression" dxfId="7" priority="3">
      <formula>$S6="OK"</formula>
    </cfRule>
  </conditionalFormatting>
  <dataValidations count="6">
    <dataValidation type="list" allowBlank="1" showErrorMessage="1" errorTitle="Valore non valido" error="Inserire un valore valido." sqref="L6:L305" xr:uid="{00000000-0002-0000-0000-000000000000}">
      <formula1>"Finito ritenute non previste,Finito con sblocco ritenute,Finito senza sblocco ritenute,Quasi finito,In corso,Da iniziare"</formula1>
    </dataValidation>
    <dataValidation type="list" allowBlank="1" showErrorMessage="1" errorTitle="Valore non valido" error="Inserire un valore valido." sqref="M6:M305" xr:uid="{00000000-0002-0000-0000-000001000000}">
      <formula1>"SI,NO"</formula1>
    </dataValidation>
    <dataValidation type="list" allowBlank="1" showErrorMessage="1" errorTitle="Valore non valido" error="Inserire un valore valido." sqref="R6:R305" xr:uid="{00000000-0002-0000-0000-000002000000}">
      <formula1>"Nessuna variazione,Proroga/Sospensione autorizzata,Ritardo produttivo FIDA,Altra causa"</formula1>
    </dataValidation>
    <dataValidation type="date" showErrorMessage="1" errorTitle="Data di inserimento obbligatoria" error="Inserire una data valida prima di creare la commessa." sqref="A6:A305" xr:uid="{00000000-0002-0000-0000-000003000000}">
      <formula1>DATE(2000,1,1)</formula1>
      <formula2>DATE(2099,12,31)</formula2>
    </dataValidation>
    <dataValidation type="custom" allowBlank="1" showErrorMessage="1" errorTitle="Data di inserimento mancante" error="Prima di inserire il codice commessa, compilare DATA DI INSERIMENTO." sqref="B6:B305" xr:uid="{00000000-0002-0000-0000-000004000000}">
      <formula1>OR(B6="",AND(ISNUMBER($A6),$A6&gt;=DATE(2000,1,1),$A6&lt;=DATE(2099,12,31)))</formula1>
    </dataValidation>
    <dataValidation type="date" allowBlank="1" showErrorMessage="1" errorTitle="Data non valida" error="Inserire una data valida." sqref="H6:K305" xr:uid="{00000000-0002-0000-0000-000005000000}">
      <formula1>DATE(2000,1,1)</formula1>
      <formula2>DATE(2099,12,31)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5"/>
  <sheetViews>
    <sheetView workbookViewId="0">
      <pane ySplit="5" topLeftCell="A6" activePane="bottomLeft" state="frozen"/>
      <selection pane="bottomLeft" sqref="A1:J1"/>
    </sheetView>
  </sheetViews>
  <sheetFormatPr baseColWidth="10" defaultColWidth="8.6640625" defaultRowHeight="13" x14ac:dyDescent="0.15"/>
  <cols>
    <col min="1" max="1" width="18" customWidth="1"/>
    <col min="2" max="2" width="14" customWidth="1"/>
    <col min="3" max="7" width="17" customWidth="1"/>
    <col min="8" max="8" width="12" customWidth="1"/>
    <col min="9" max="9" width="17" customWidth="1"/>
    <col min="10" max="10" width="20" customWidth="1"/>
  </cols>
  <sheetData>
    <row r="1" spans="1:10" ht="15" x14ac:dyDescent="0.15">
      <c r="A1" s="10" t="s">
        <v>169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6" x14ac:dyDescent="0.15">
      <c r="A2" s="18" t="s">
        <v>37</v>
      </c>
      <c r="B2" s="18"/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8" t="s">
        <v>45</v>
      </c>
    </row>
    <row r="3" spans="1:10" ht="15" x14ac:dyDescent="0.15">
      <c r="A3" s="8" t="s">
        <v>46</v>
      </c>
      <c r="B3" s="8"/>
      <c r="C3" s="19">
        <f>IF($A$3="TUTTE",SUM($C$6:$C$505),SUMIF($A$6:$A$505,$A$3,$C$6:$C$505))</f>
        <v>0</v>
      </c>
      <c r="D3" s="19">
        <f>IF($A$3="TUTTE",SUM($D$6:$D$505),SUMIF($A$6:$A$505,$A$3,$D$6:$D$505))</f>
        <v>0</v>
      </c>
      <c r="E3" s="19">
        <f>IF($A$3="TUTTE",SUM($E$6:$E$505),SUMIF($A$6:$A$505,$A$3,$E$6:$E$505))</f>
        <v>0</v>
      </c>
      <c r="F3" s="19">
        <f>IF($A$3="TUTTE",SUM($F$6:$F$505),SUMIF($A$6:$A$505,$A$3,$F$6:$F$505))</f>
        <v>0</v>
      </c>
      <c r="G3" s="19">
        <f>IF($A$3="TUTTE",SUM($G$6:$G$505),SUMIF($A$6:$A$505,$A$3,$G$6:$G$505))</f>
        <v>0</v>
      </c>
      <c r="H3" s="20">
        <f>IF($A$3="TUTTE",SUM($H$6:$H$505),SUMIF($A$6:$A$505,$A$3,$H$6:$H$505))</f>
        <v>0</v>
      </c>
      <c r="I3" s="19">
        <f>IF($A$3="TUTTE",SUM($I$6:$I$505),SUMIF($A$6:$A$505,$A$3,$I$6:$I$505))</f>
        <v>0</v>
      </c>
      <c r="J3" s="21">
        <f>IF($A$3="TUTTE",COUNTIF($A$6:$A$505,"&lt;&gt;"),COUNTIF($A$6:$A$505,$A$3))</f>
        <v>0</v>
      </c>
    </row>
    <row r="5" spans="1:10" ht="32" x14ac:dyDescent="0.15">
      <c r="A5" s="12" t="s">
        <v>0</v>
      </c>
      <c r="B5" s="12" t="s">
        <v>47</v>
      </c>
      <c r="C5" s="12" t="s">
        <v>38</v>
      </c>
      <c r="D5" s="12" t="s">
        <v>39</v>
      </c>
      <c r="E5" s="12" t="s">
        <v>40</v>
      </c>
      <c r="F5" s="12" t="s">
        <v>41</v>
      </c>
      <c r="G5" s="12" t="s">
        <v>48</v>
      </c>
      <c r="H5" s="12" t="s">
        <v>43</v>
      </c>
      <c r="I5" s="12" t="s">
        <v>44</v>
      </c>
      <c r="J5" s="12" t="s">
        <v>49</v>
      </c>
    </row>
    <row r="6" spans="1:10" ht="15" x14ac:dyDescent="0.15">
      <c r="A6" s="22"/>
      <c r="B6" s="23" t="str">
        <f>IF($A6="","",DATE(PARAMETRI!$B$11-1,12,31))</f>
        <v/>
      </c>
      <c r="C6" s="24"/>
      <c r="D6" s="24"/>
      <c r="E6" s="24"/>
      <c r="F6" s="24"/>
      <c r="G6" s="24"/>
      <c r="H6" s="25"/>
      <c r="I6" s="24"/>
      <c r="J6" s="26" t="str">
        <f t="shared" ref="J6:J69" si="0">IF($A6="","",IF(COUNTIF($A$6:$A$505,$A6)&gt;1,"DUPLICATO","OK"))</f>
        <v/>
      </c>
    </row>
    <row r="7" spans="1:10" ht="15" x14ac:dyDescent="0.15">
      <c r="A7" s="22"/>
      <c r="B7" s="23" t="str">
        <f>IF($A7="","",DATE(PARAMETRI!$B$11-1,12,31))</f>
        <v/>
      </c>
      <c r="C7" s="24"/>
      <c r="D7" s="24"/>
      <c r="E7" s="24"/>
      <c r="F7" s="24"/>
      <c r="G7" s="24"/>
      <c r="H7" s="25"/>
      <c r="I7" s="24"/>
      <c r="J7" s="26" t="str">
        <f t="shared" si="0"/>
        <v/>
      </c>
    </row>
    <row r="8" spans="1:10" ht="15" x14ac:dyDescent="0.15">
      <c r="A8" s="22"/>
      <c r="B8" s="23" t="str">
        <f>IF($A8="","",DATE(PARAMETRI!$B$11-1,12,31))</f>
        <v/>
      </c>
      <c r="C8" s="24"/>
      <c r="D8" s="24"/>
      <c r="E8" s="24"/>
      <c r="F8" s="24"/>
      <c r="G8" s="24"/>
      <c r="H8" s="25"/>
      <c r="I8" s="24"/>
      <c r="J8" s="26" t="str">
        <f t="shared" si="0"/>
        <v/>
      </c>
    </row>
    <row r="9" spans="1:10" ht="15" x14ac:dyDescent="0.15">
      <c r="A9" s="22"/>
      <c r="B9" s="23" t="str">
        <f>IF($A9="","",DATE(PARAMETRI!$B$11-1,12,31))</f>
        <v/>
      </c>
      <c r="C9" s="24"/>
      <c r="D9" s="24"/>
      <c r="E9" s="24"/>
      <c r="F9" s="24"/>
      <c r="G9" s="24"/>
      <c r="H9" s="25"/>
      <c r="I9" s="24"/>
      <c r="J9" s="26" t="str">
        <f t="shared" si="0"/>
        <v/>
      </c>
    </row>
    <row r="10" spans="1:10" ht="15" x14ac:dyDescent="0.15">
      <c r="A10" s="22"/>
      <c r="B10" s="23" t="str">
        <f>IF($A10="","",DATE(PARAMETRI!$B$11-1,12,31))</f>
        <v/>
      </c>
      <c r="C10" s="24"/>
      <c r="D10" s="24"/>
      <c r="E10" s="24"/>
      <c r="F10" s="24"/>
      <c r="G10" s="24"/>
      <c r="H10" s="25"/>
      <c r="I10" s="24"/>
      <c r="J10" s="26" t="str">
        <f t="shared" si="0"/>
        <v/>
      </c>
    </row>
    <row r="11" spans="1:10" ht="15" x14ac:dyDescent="0.15">
      <c r="A11" s="22"/>
      <c r="B11" s="23" t="str">
        <f>IF($A11="","",DATE(PARAMETRI!$B$11-1,12,31))</f>
        <v/>
      </c>
      <c r="C11" s="24"/>
      <c r="D11" s="24"/>
      <c r="E11" s="24"/>
      <c r="F11" s="24"/>
      <c r="G11" s="24"/>
      <c r="H11" s="25"/>
      <c r="I11" s="24"/>
      <c r="J11" s="26" t="str">
        <f t="shared" si="0"/>
        <v/>
      </c>
    </row>
    <row r="12" spans="1:10" ht="15" x14ac:dyDescent="0.15">
      <c r="A12" s="22"/>
      <c r="B12" s="23" t="str">
        <f>IF($A12="","",DATE(PARAMETRI!$B$11-1,12,31))</f>
        <v/>
      </c>
      <c r="C12" s="24"/>
      <c r="D12" s="24"/>
      <c r="E12" s="24"/>
      <c r="F12" s="24"/>
      <c r="G12" s="24"/>
      <c r="H12" s="25"/>
      <c r="I12" s="24"/>
      <c r="J12" s="26" t="str">
        <f t="shared" si="0"/>
        <v/>
      </c>
    </row>
    <row r="13" spans="1:10" ht="15" x14ac:dyDescent="0.15">
      <c r="A13" s="22"/>
      <c r="B13" s="23" t="str">
        <f>IF($A13="","",DATE(PARAMETRI!$B$11-1,12,31))</f>
        <v/>
      </c>
      <c r="C13" s="24"/>
      <c r="D13" s="24"/>
      <c r="E13" s="24"/>
      <c r="F13" s="24"/>
      <c r="G13" s="24"/>
      <c r="H13" s="25"/>
      <c r="I13" s="24"/>
      <c r="J13" s="26" t="str">
        <f t="shared" si="0"/>
        <v/>
      </c>
    </row>
    <row r="14" spans="1:10" ht="15" x14ac:dyDescent="0.15">
      <c r="A14" s="22"/>
      <c r="B14" s="23" t="str">
        <f>IF($A14="","",DATE(PARAMETRI!$B$11-1,12,31))</f>
        <v/>
      </c>
      <c r="C14" s="24"/>
      <c r="D14" s="24"/>
      <c r="E14" s="24"/>
      <c r="F14" s="24"/>
      <c r="G14" s="24"/>
      <c r="H14" s="25"/>
      <c r="I14" s="24"/>
      <c r="J14" s="26" t="str">
        <f t="shared" si="0"/>
        <v/>
      </c>
    </row>
    <row r="15" spans="1:10" ht="15" x14ac:dyDescent="0.15">
      <c r="A15" s="22"/>
      <c r="B15" s="23" t="str">
        <f>IF($A15="","",DATE(PARAMETRI!$B$11-1,12,31))</f>
        <v/>
      </c>
      <c r="C15" s="24"/>
      <c r="D15" s="24"/>
      <c r="E15" s="24"/>
      <c r="F15" s="24"/>
      <c r="G15" s="24"/>
      <c r="H15" s="25"/>
      <c r="I15" s="24"/>
      <c r="J15" s="26" t="str">
        <f t="shared" si="0"/>
        <v/>
      </c>
    </row>
    <row r="16" spans="1:10" ht="15" x14ac:dyDescent="0.15">
      <c r="A16" s="22"/>
      <c r="B16" s="23" t="str">
        <f>IF($A16="","",DATE(PARAMETRI!$B$11-1,12,31))</f>
        <v/>
      </c>
      <c r="C16" s="24"/>
      <c r="D16" s="24"/>
      <c r="E16" s="24"/>
      <c r="F16" s="24"/>
      <c r="G16" s="24"/>
      <c r="H16" s="25"/>
      <c r="I16" s="24"/>
      <c r="J16" s="26" t="str">
        <f t="shared" si="0"/>
        <v/>
      </c>
    </row>
    <row r="17" spans="1:10" ht="15" x14ac:dyDescent="0.15">
      <c r="A17" s="22"/>
      <c r="B17" s="23" t="str">
        <f>IF($A17="","",DATE(PARAMETRI!$B$11-1,12,31))</f>
        <v/>
      </c>
      <c r="C17" s="24"/>
      <c r="D17" s="24"/>
      <c r="E17" s="24"/>
      <c r="F17" s="24"/>
      <c r="G17" s="24"/>
      <c r="H17" s="25"/>
      <c r="I17" s="24"/>
      <c r="J17" s="26" t="str">
        <f t="shared" si="0"/>
        <v/>
      </c>
    </row>
    <row r="18" spans="1:10" ht="15" x14ac:dyDescent="0.15">
      <c r="A18" s="22"/>
      <c r="B18" s="23" t="str">
        <f>IF($A18="","",DATE(PARAMETRI!$B$11-1,12,31))</f>
        <v/>
      </c>
      <c r="C18" s="24"/>
      <c r="D18" s="24"/>
      <c r="E18" s="24"/>
      <c r="F18" s="24"/>
      <c r="G18" s="24"/>
      <c r="H18" s="25"/>
      <c r="I18" s="24"/>
      <c r="J18" s="26" t="str">
        <f t="shared" si="0"/>
        <v/>
      </c>
    </row>
    <row r="19" spans="1:10" ht="15" x14ac:dyDescent="0.15">
      <c r="A19" s="22"/>
      <c r="B19" s="23" t="str">
        <f>IF($A19="","",DATE(PARAMETRI!$B$11-1,12,31))</f>
        <v/>
      </c>
      <c r="C19" s="24"/>
      <c r="D19" s="24"/>
      <c r="E19" s="24"/>
      <c r="F19" s="24"/>
      <c r="G19" s="24"/>
      <c r="H19" s="25"/>
      <c r="I19" s="24"/>
      <c r="J19" s="26" t="str">
        <f t="shared" si="0"/>
        <v/>
      </c>
    </row>
    <row r="20" spans="1:10" ht="15" x14ac:dyDescent="0.15">
      <c r="A20" s="22"/>
      <c r="B20" s="23" t="str">
        <f>IF($A20="","",DATE(PARAMETRI!$B$11-1,12,31))</f>
        <v/>
      </c>
      <c r="C20" s="24"/>
      <c r="D20" s="24"/>
      <c r="E20" s="24"/>
      <c r="F20" s="24"/>
      <c r="G20" s="24"/>
      <c r="H20" s="25"/>
      <c r="I20" s="24"/>
      <c r="J20" s="26" t="str">
        <f t="shared" si="0"/>
        <v/>
      </c>
    </row>
    <row r="21" spans="1:10" ht="15" x14ac:dyDescent="0.15">
      <c r="A21" s="22"/>
      <c r="B21" s="23" t="str">
        <f>IF($A21="","",DATE(PARAMETRI!$B$11-1,12,31))</f>
        <v/>
      </c>
      <c r="C21" s="24"/>
      <c r="D21" s="24"/>
      <c r="E21" s="24"/>
      <c r="F21" s="24"/>
      <c r="G21" s="24"/>
      <c r="H21" s="25"/>
      <c r="I21" s="24"/>
      <c r="J21" s="26" t="str">
        <f t="shared" si="0"/>
        <v/>
      </c>
    </row>
    <row r="22" spans="1:10" ht="15" x14ac:dyDescent="0.15">
      <c r="A22" s="22"/>
      <c r="B22" s="23" t="str">
        <f>IF($A22="","",DATE(PARAMETRI!$B$11-1,12,31))</f>
        <v/>
      </c>
      <c r="C22" s="24"/>
      <c r="D22" s="24"/>
      <c r="E22" s="24"/>
      <c r="F22" s="24"/>
      <c r="G22" s="24"/>
      <c r="H22" s="25"/>
      <c r="I22" s="24"/>
      <c r="J22" s="26" t="str">
        <f t="shared" si="0"/>
        <v/>
      </c>
    </row>
    <row r="23" spans="1:10" ht="15" x14ac:dyDescent="0.15">
      <c r="A23" s="22"/>
      <c r="B23" s="23" t="str">
        <f>IF($A23="","",DATE(PARAMETRI!$B$11-1,12,31))</f>
        <v/>
      </c>
      <c r="C23" s="24"/>
      <c r="D23" s="24"/>
      <c r="E23" s="24"/>
      <c r="F23" s="24"/>
      <c r="G23" s="24"/>
      <c r="H23" s="25"/>
      <c r="I23" s="24"/>
      <c r="J23" s="26" t="str">
        <f t="shared" si="0"/>
        <v/>
      </c>
    </row>
    <row r="24" spans="1:10" ht="15" x14ac:dyDescent="0.15">
      <c r="A24" s="22"/>
      <c r="B24" s="23" t="str">
        <f>IF($A24="","",DATE(PARAMETRI!$B$11-1,12,31))</f>
        <v/>
      </c>
      <c r="C24" s="24"/>
      <c r="D24" s="24"/>
      <c r="E24" s="24"/>
      <c r="F24" s="24"/>
      <c r="G24" s="24"/>
      <c r="H24" s="25"/>
      <c r="I24" s="24"/>
      <c r="J24" s="26" t="str">
        <f t="shared" si="0"/>
        <v/>
      </c>
    </row>
    <row r="25" spans="1:10" ht="15" x14ac:dyDescent="0.15">
      <c r="A25" s="22"/>
      <c r="B25" s="23" t="str">
        <f>IF($A25="","",DATE(PARAMETRI!$B$11-1,12,31))</f>
        <v/>
      </c>
      <c r="C25" s="24"/>
      <c r="D25" s="24"/>
      <c r="E25" s="24"/>
      <c r="F25" s="24"/>
      <c r="G25" s="24"/>
      <c r="H25" s="25"/>
      <c r="I25" s="24"/>
      <c r="J25" s="26" t="str">
        <f t="shared" si="0"/>
        <v/>
      </c>
    </row>
    <row r="26" spans="1:10" ht="15" x14ac:dyDescent="0.15">
      <c r="A26" s="22"/>
      <c r="B26" s="23" t="str">
        <f>IF($A26="","",DATE(PARAMETRI!$B$11-1,12,31))</f>
        <v/>
      </c>
      <c r="C26" s="24"/>
      <c r="D26" s="24"/>
      <c r="E26" s="24"/>
      <c r="F26" s="24"/>
      <c r="G26" s="24"/>
      <c r="H26" s="25"/>
      <c r="I26" s="24"/>
      <c r="J26" s="26" t="str">
        <f t="shared" si="0"/>
        <v/>
      </c>
    </row>
    <row r="27" spans="1:10" ht="15" x14ac:dyDescent="0.15">
      <c r="A27" s="22"/>
      <c r="B27" s="23" t="str">
        <f>IF($A27="","",DATE(PARAMETRI!$B$11-1,12,31))</f>
        <v/>
      </c>
      <c r="C27" s="24"/>
      <c r="D27" s="24"/>
      <c r="E27" s="24"/>
      <c r="F27" s="24"/>
      <c r="G27" s="24"/>
      <c r="H27" s="25"/>
      <c r="I27" s="24"/>
      <c r="J27" s="26" t="str">
        <f t="shared" si="0"/>
        <v/>
      </c>
    </row>
    <row r="28" spans="1:10" ht="15" x14ac:dyDescent="0.15">
      <c r="A28" s="22"/>
      <c r="B28" s="23" t="str">
        <f>IF($A28="","",DATE(PARAMETRI!$B$11-1,12,31))</f>
        <v/>
      </c>
      <c r="C28" s="24"/>
      <c r="D28" s="24"/>
      <c r="E28" s="24"/>
      <c r="F28" s="24"/>
      <c r="G28" s="24"/>
      <c r="H28" s="25"/>
      <c r="I28" s="24"/>
      <c r="J28" s="26" t="str">
        <f t="shared" si="0"/>
        <v/>
      </c>
    </row>
    <row r="29" spans="1:10" ht="15" x14ac:dyDescent="0.15">
      <c r="A29" s="22"/>
      <c r="B29" s="23" t="str">
        <f>IF($A29="","",DATE(PARAMETRI!$B$11-1,12,31))</f>
        <v/>
      </c>
      <c r="C29" s="24"/>
      <c r="D29" s="24"/>
      <c r="E29" s="24"/>
      <c r="F29" s="24"/>
      <c r="G29" s="24"/>
      <c r="H29" s="25"/>
      <c r="I29" s="24"/>
      <c r="J29" s="26" t="str">
        <f t="shared" si="0"/>
        <v/>
      </c>
    </row>
    <row r="30" spans="1:10" ht="15" x14ac:dyDescent="0.15">
      <c r="A30" s="22"/>
      <c r="B30" s="23" t="str">
        <f>IF($A30="","",DATE(PARAMETRI!$B$11-1,12,31))</f>
        <v/>
      </c>
      <c r="C30" s="24"/>
      <c r="D30" s="24"/>
      <c r="E30" s="24"/>
      <c r="F30" s="24"/>
      <c r="G30" s="24"/>
      <c r="H30" s="25"/>
      <c r="I30" s="24"/>
      <c r="J30" s="26" t="str">
        <f t="shared" si="0"/>
        <v/>
      </c>
    </row>
    <row r="31" spans="1:10" ht="15" x14ac:dyDescent="0.15">
      <c r="A31" s="22"/>
      <c r="B31" s="23" t="str">
        <f>IF($A31="","",DATE(PARAMETRI!$B$11-1,12,31))</f>
        <v/>
      </c>
      <c r="C31" s="24"/>
      <c r="D31" s="24"/>
      <c r="E31" s="24"/>
      <c r="F31" s="24"/>
      <c r="G31" s="24"/>
      <c r="H31" s="25"/>
      <c r="I31" s="24"/>
      <c r="J31" s="26" t="str">
        <f t="shared" si="0"/>
        <v/>
      </c>
    </row>
    <row r="32" spans="1:10" ht="15" x14ac:dyDescent="0.15">
      <c r="A32" s="22"/>
      <c r="B32" s="23" t="str">
        <f>IF($A32="","",DATE(PARAMETRI!$B$11-1,12,31))</f>
        <v/>
      </c>
      <c r="C32" s="24"/>
      <c r="D32" s="24"/>
      <c r="E32" s="24"/>
      <c r="F32" s="24"/>
      <c r="G32" s="24"/>
      <c r="H32" s="25"/>
      <c r="I32" s="24"/>
      <c r="J32" s="26" t="str">
        <f t="shared" si="0"/>
        <v/>
      </c>
    </row>
    <row r="33" spans="1:10" ht="15" x14ac:dyDescent="0.15">
      <c r="A33" s="22"/>
      <c r="B33" s="23" t="str">
        <f>IF($A33="","",DATE(PARAMETRI!$B$11-1,12,31))</f>
        <v/>
      </c>
      <c r="C33" s="24"/>
      <c r="D33" s="24"/>
      <c r="E33" s="24"/>
      <c r="F33" s="24"/>
      <c r="G33" s="24"/>
      <c r="H33" s="25"/>
      <c r="I33" s="24"/>
      <c r="J33" s="26" t="str">
        <f t="shared" si="0"/>
        <v/>
      </c>
    </row>
    <row r="34" spans="1:10" ht="15" x14ac:dyDescent="0.15">
      <c r="A34" s="22"/>
      <c r="B34" s="23" t="str">
        <f>IF($A34="","",DATE(PARAMETRI!$B$11-1,12,31))</f>
        <v/>
      </c>
      <c r="C34" s="24"/>
      <c r="D34" s="24"/>
      <c r="E34" s="24"/>
      <c r="F34" s="24"/>
      <c r="G34" s="24"/>
      <c r="H34" s="25"/>
      <c r="I34" s="24"/>
      <c r="J34" s="26" t="str">
        <f t="shared" si="0"/>
        <v/>
      </c>
    </row>
    <row r="35" spans="1:10" ht="15" x14ac:dyDescent="0.15">
      <c r="A35" s="22"/>
      <c r="B35" s="23" t="str">
        <f>IF($A35="","",DATE(PARAMETRI!$B$11-1,12,31))</f>
        <v/>
      </c>
      <c r="C35" s="24"/>
      <c r="D35" s="24"/>
      <c r="E35" s="24"/>
      <c r="F35" s="24"/>
      <c r="G35" s="24"/>
      <c r="H35" s="25"/>
      <c r="I35" s="24"/>
      <c r="J35" s="26" t="str">
        <f t="shared" si="0"/>
        <v/>
      </c>
    </row>
    <row r="36" spans="1:10" ht="15" x14ac:dyDescent="0.15">
      <c r="A36" s="22"/>
      <c r="B36" s="23" t="str">
        <f>IF($A36="","",DATE(PARAMETRI!$B$11-1,12,31))</f>
        <v/>
      </c>
      <c r="C36" s="24"/>
      <c r="D36" s="24"/>
      <c r="E36" s="24"/>
      <c r="F36" s="24"/>
      <c r="G36" s="24"/>
      <c r="H36" s="25"/>
      <c r="I36" s="24"/>
      <c r="J36" s="26" t="str">
        <f t="shared" si="0"/>
        <v/>
      </c>
    </row>
    <row r="37" spans="1:10" ht="15" x14ac:dyDescent="0.15">
      <c r="A37" s="22"/>
      <c r="B37" s="23" t="str">
        <f>IF($A37="","",DATE(PARAMETRI!$B$11-1,12,31))</f>
        <v/>
      </c>
      <c r="C37" s="24"/>
      <c r="D37" s="24"/>
      <c r="E37" s="24"/>
      <c r="F37" s="24"/>
      <c r="G37" s="24"/>
      <c r="H37" s="25"/>
      <c r="I37" s="24"/>
      <c r="J37" s="26" t="str">
        <f t="shared" si="0"/>
        <v/>
      </c>
    </row>
    <row r="38" spans="1:10" ht="15" x14ac:dyDescent="0.15">
      <c r="A38" s="22"/>
      <c r="B38" s="23" t="str">
        <f>IF($A38="","",DATE(PARAMETRI!$B$11-1,12,31))</f>
        <v/>
      </c>
      <c r="C38" s="24"/>
      <c r="D38" s="24"/>
      <c r="E38" s="24"/>
      <c r="F38" s="24"/>
      <c r="G38" s="24"/>
      <c r="H38" s="25"/>
      <c r="I38" s="24"/>
      <c r="J38" s="26" t="str">
        <f t="shared" si="0"/>
        <v/>
      </c>
    </row>
    <row r="39" spans="1:10" ht="15" x14ac:dyDescent="0.15">
      <c r="A39" s="22"/>
      <c r="B39" s="23" t="str">
        <f>IF($A39="","",DATE(PARAMETRI!$B$11-1,12,31))</f>
        <v/>
      </c>
      <c r="C39" s="24"/>
      <c r="D39" s="24"/>
      <c r="E39" s="24"/>
      <c r="F39" s="24"/>
      <c r="G39" s="24"/>
      <c r="H39" s="25"/>
      <c r="I39" s="24"/>
      <c r="J39" s="26" t="str">
        <f t="shared" si="0"/>
        <v/>
      </c>
    </row>
    <row r="40" spans="1:10" ht="15" x14ac:dyDescent="0.15">
      <c r="A40" s="22"/>
      <c r="B40" s="23" t="str">
        <f>IF($A40="","",DATE(PARAMETRI!$B$11-1,12,31))</f>
        <v/>
      </c>
      <c r="C40" s="24"/>
      <c r="D40" s="24"/>
      <c r="E40" s="24"/>
      <c r="F40" s="24"/>
      <c r="G40" s="24"/>
      <c r="H40" s="25"/>
      <c r="I40" s="24"/>
      <c r="J40" s="26" t="str">
        <f t="shared" si="0"/>
        <v/>
      </c>
    </row>
    <row r="41" spans="1:10" ht="15" x14ac:dyDescent="0.15">
      <c r="A41" s="22"/>
      <c r="B41" s="23" t="str">
        <f>IF($A41="","",DATE(PARAMETRI!$B$11-1,12,31))</f>
        <v/>
      </c>
      <c r="C41" s="24"/>
      <c r="D41" s="24"/>
      <c r="E41" s="24"/>
      <c r="F41" s="24"/>
      <c r="G41" s="24"/>
      <c r="H41" s="25"/>
      <c r="I41" s="24"/>
      <c r="J41" s="26" t="str">
        <f t="shared" si="0"/>
        <v/>
      </c>
    </row>
    <row r="42" spans="1:10" ht="15" x14ac:dyDescent="0.15">
      <c r="A42" s="22"/>
      <c r="B42" s="23" t="str">
        <f>IF($A42="","",DATE(PARAMETRI!$B$11-1,12,31))</f>
        <v/>
      </c>
      <c r="C42" s="24"/>
      <c r="D42" s="24"/>
      <c r="E42" s="24"/>
      <c r="F42" s="24"/>
      <c r="G42" s="24"/>
      <c r="H42" s="25"/>
      <c r="I42" s="24"/>
      <c r="J42" s="26" t="str">
        <f t="shared" si="0"/>
        <v/>
      </c>
    </row>
    <row r="43" spans="1:10" ht="15" x14ac:dyDescent="0.15">
      <c r="A43" s="22"/>
      <c r="B43" s="23" t="str">
        <f>IF($A43="","",DATE(PARAMETRI!$B$11-1,12,31))</f>
        <v/>
      </c>
      <c r="C43" s="24"/>
      <c r="D43" s="24"/>
      <c r="E43" s="24"/>
      <c r="F43" s="24"/>
      <c r="G43" s="24"/>
      <c r="H43" s="25"/>
      <c r="I43" s="24"/>
      <c r="J43" s="26" t="str">
        <f t="shared" si="0"/>
        <v/>
      </c>
    </row>
    <row r="44" spans="1:10" ht="15" x14ac:dyDescent="0.15">
      <c r="A44" s="22"/>
      <c r="B44" s="23" t="str">
        <f>IF($A44="","",DATE(PARAMETRI!$B$11-1,12,31))</f>
        <v/>
      </c>
      <c r="C44" s="24"/>
      <c r="D44" s="24"/>
      <c r="E44" s="24"/>
      <c r="F44" s="24"/>
      <c r="G44" s="24"/>
      <c r="H44" s="25"/>
      <c r="I44" s="24"/>
      <c r="J44" s="26" t="str">
        <f t="shared" si="0"/>
        <v/>
      </c>
    </row>
    <row r="45" spans="1:10" ht="15" x14ac:dyDescent="0.15">
      <c r="A45" s="22"/>
      <c r="B45" s="23" t="str">
        <f>IF($A45="","",DATE(PARAMETRI!$B$11-1,12,31))</f>
        <v/>
      </c>
      <c r="C45" s="24"/>
      <c r="D45" s="24"/>
      <c r="E45" s="24"/>
      <c r="F45" s="24"/>
      <c r="G45" s="24"/>
      <c r="H45" s="25"/>
      <c r="I45" s="24"/>
      <c r="J45" s="26" t="str">
        <f t="shared" si="0"/>
        <v/>
      </c>
    </row>
    <row r="46" spans="1:10" ht="15" x14ac:dyDescent="0.15">
      <c r="A46" s="22"/>
      <c r="B46" s="23" t="str">
        <f>IF($A46="","",DATE(PARAMETRI!$B$11-1,12,31))</f>
        <v/>
      </c>
      <c r="C46" s="24"/>
      <c r="D46" s="24"/>
      <c r="E46" s="24"/>
      <c r="F46" s="24"/>
      <c r="G46" s="24"/>
      <c r="H46" s="25"/>
      <c r="I46" s="24"/>
      <c r="J46" s="26" t="str">
        <f t="shared" si="0"/>
        <v/>
      </c>
    </row>
    <row r="47" spans="1:10" ht="15" x14ac:dyDescent="0.15">
      <c r="A47" s="22"/>
      <c r="B47" s="23" t="str">
        <f>IF($A47="","",DATE(PARAMETRI!$B$11-1,12,31))</f>
        <v/>
      </c>
      <c r="C47" s="24"/>
      <c r="D47" s="24"/>
      <c r="E47" s="24"/>
      <c r="F47" s="24"/>
      <c r="G47" s="24"/>
      <c r="H47" s="25"/>
      <c r="I47" s="24"/>
      <c r="J47" s="26" t="str">
        <f t="shared" si="0"/>
        <v/>
      </c>
    </row>
    <row r="48" spans="1:10" ht="15" x14ac:dyDescent="0.15">
      <c r="A48" s="22"/>
      <c r="B48" s="23" t="str">
        <f>IF($A48="","",DATE(PARAMETRI!$B$11-1,12,31))</f>
        <v/>
      </c>
      <c r="C48" s="24"/>
      <c r="D48" s="24"/>
      <c r="E48" s="24"/>
      <c r="F48" s="24"/>
      <c r="G48" s="24"/>
      <c r="H48" s="25"/>
      <c r="I48" s="24"/>
      <c r="J48" s="26" t="str">
        <f t="shared" si="0"/>
        <v/>
      </c>
    </row>
    <row r="49" spans="1:10" ht="15" x14ac:dyDescent="0.15">
      <c r="A49" s="22"/>
      <c r="B49" s="23" t="str">
        <f>IF($A49="","",DATE(PARAMETRI!$B$11-1,12,31))</f>
        <v/>
      </c>
      <c r="C49" s="24"/>
      <c r="D49" s="24"/>
      <c r="E49" s="24"/>
      <c r="F49" s="24"/>
      <c r="G49" s="24"/>
      <c r="H49" s="25"/>
      <c r="I49" s="24"/>
      <c r="J49" s="26" t="str">
        <f t="shared" si="0"/>
        <v/>
      </c>
    </row>
    <row r="50" spans="1:10" ht="15" x14ac:dyDescent="0.15">
      <c r="A50" s="22"/>
      <c r="B50" s="23" t="str">
        <f>IF($A50="","",DATE(PARAMETRI!$B$11-1,12,31))</f>
        <v/>
      </c>
      <c r="C50" s="24"/>
      <c r="D50" s="24"/>
      <c r="E50" s="24"/>
      <c r="F50" s="24"/>
      <c r="G50" s="24"/>
      <c r="H50" s="25"/>
      <c r="I50" s="24"/>
      <c r="J50" s="26" t="str">
        <f t="shared" si="0"/>
        <v/>
      </c>
    </row>
    <row r="51" spans="1:10" ht="15" x14ac:dyDescent="0.15">
      <c r="A51" s="22"/>
      <c r="B51" s="23" t="str">
        <f>IF($A51="","",DATE(PARAMETRI!$B$11-1,12,31))</f>
        <v/>
      </c>
      <c r="C51" s="24"/>
      <c r="D51" s="24"/>
      <c r="E51" s="24"/>
      <c r="F51" s="24"/>
      <c r="G51" s="24"/>
      <c r="H51" s="25"/>
      <c r="I51" s="24"/>
      <c r="J51" s="26" t="str">
        <f t="shared" si="0"/>
        <v/>
      </c>
    </row>
    <row r="52" spans="1:10" ht="15" x14ac:dyDescent="0.15">
      <c r="A52" s="22"/>
      <c r="B52" s="23" t="str">
        <f>IF($A52="","",DATE(PARAMETRI!$B$11-1,12,31))</f>
        <v/>
      </c>
      <c r="C52" s="24"/>
      <c r="D52" s="24"/>
      <c r="E52" s="24"/>
      <c r="F52" s="24"/>
      <c r="G52" s="24"/>
      <c r="H52" s="25"/>
      <c r="I52" s="24"/>
      <c r="J52" s="26" t="str">
        <f t="shared" si="0"/>
        <v/>
      </c>
    </row>
    <row r="53" spans="1:10" ht="15" x14ac:dyDescent="0.15">
      <c r="A53" s="22"/>
      <c r="B53" s="23" t="str">
        <f>IF($A53="","",DATE(PARAMETRI!$B$11-1,12,31))</f>
        <v/>
      </c>
      <c r="C53" s="24"/>
      <c r="D53" s="24"/>
      <c r="E53" s="24"/>
      <c r="F53" s="24"/>
      <c r="G53" s="24"/>
      <c r="H53" s="25"/>
      <c r="I53" s="24"/>
      <c r="J53" s="26" t="str">
        <f t="shared" si="0"/>
        <v/>
      </c>
    </row>
    <row r="54" spans="1:10" ht="15" x14ac:dyDescent="0.15">
      <c r="A54" s="22"/>
      <c r="B54" s="23" t="str">
        <f>IF($A54="","",DATE(PARAMETRI!$B$11-1,12,31))</f>
        <v/>
      </c>
      <c r="C54" s="24"/>
      <c r="D54" s="24"/>
      <c r="E54" s="24"/>
      <c r="F54" s="24"/>
      <c r="G54" s="24"/>
      <c r="H54" s="25"/>
      <c r="I54" s="24"/>
      <c r="J54" s="26" t="str">
        <f t="shared" si="0"/>
        <v/>
      </c>
    </row>
    <row r="55" spans="1:10" ht="15" x14ac:dyDescent="0.15">
      <c r="A55" s="22"/>
      <c r="B55" s="23" t="str">
        <f>IF($A55="","",DATE(PARAMETRI!$B$11-1,12,31))</f>
        <v/>
      </c>
      <c r="C55" s="24"/>
      <c r="D55" s="24"/>
      <c r="E55" s="24"/>
      <c r="F55" s="24"/>
      <c r="G55" s="24"/>
      <c r="H55" s="25"/>
      <c r="I55" s="24"/>
      <c r="J55" s="26" t="str">
        <f t="shared" si="0"/>
        <v/>
      </c>
    </row>
    <row r="56" spans="1:10" ht="15" x14ac:dyDescent="0.15">
      <c r="A56" s="22"/>
      <c r="B56" s="23" t="str">
        <f>IF($A56="","",DATE(PARAMETRI!$B$11-1,12,31))</f>
        <v/>
      </c>
      <c r="C56" s="24"/>
      <c r="D56" s="24"/>
      <c r="E56" s="24"/>
      <c r="F56" s="24"/>
      <c r="G56" s="24"/>
      <c r="H56" s="25"/>
      <c r="I56" s="24"/>
      <c r="J56" s="26" t="str">
        <f t="shared" si="0"/>
        <v/>
      </c>
    </row>
    <row r="57" spans="1:10" ht="15" x14ac:dyDescent="0.15">
      <c r="A57" s="22"/>
      <c r="B57" s="23" t="str">
        <f>IF($A57="","",DATE(PARAMETRI!$B$11-1,12,31))</f>
        <v/>
      </c>
      <c r="C57" s="24"/>
      <c r="D57" s="24"/>
      <c r="E57" s="24"/>
      <c r="F57" s="24"/>
      <c r="G57" s="24"/>
      <c r="H57" s="25"/>
      <c r="I57" s="24"/>
      <c r="J57" s="26" t="str">
        <f t="shared" si="0"/>
        <v/>
      </c>
    </row>
    <row r="58" spans="1:10" ht="15" x14ac:dyDescent="0.15">
      <c r="A58" s="22"/>
      <c r="B58" s="23" t="str">
        <f>IF($A58="","",DATE(PARAMETRI!$B$11-1,12,31))</f>
        <v/>
      </c>
      <c r="C58" s="24"/>
      <c r="D58" s="24"/>
      <c r="E58" s="24"/>
      <c r="F58" s="24"/>
      <c r="G58" s="24"/>
      <c r="H58" s="25"/>
      <c r="I58" s="24"/>
      <c r="J58" s="26" t="str">
        <f t="shared" si="0"/>
        <v/>
      </c>
    </row>
    <row r="59" spans="1:10" ht="15" x14ac:dyDescent="0.15">
      <c r="A59" s="22"/>
      <c r="B59" s="23" t="str">
        <f>IF($A59="","",DATE(PARAMETRI!$B$11-1,12,31))</f>
        <v/>
      </c>
      <c r="C59" s="24"/>
      <c r="D59" s="24"/>
      <c r="E59" s="24"/>
      <c r="F59" s="24"/>
      <c r="G59" s="24"/>
      <c r="H59" s="25"/>
      <c r="I59" s="24"/>
      <c r="J59" s="26" t="str">
        <f t="shared" si="0"/>
        <v/>
      </c>
    </row>
    <row r="60" spans="1:10" ht="15" x14ac:dyDescent="0.15">
      <c r="A60" s="22"/>
      <c r="B60" s="23" t="str">
        <f>IF($A60="","",DATE(PARAMETRI!$B$11-1,12,31))</f>
        <v/>
      </c>
      <c r="C60" s="24"/>
      <c r="D60" s="24"/>
      <c r="E60" s="24"/>
      <c r="F60" s="24"/>
      <c r="G60" s="24"/>
      <c r="H60" s="25"/>
      <c r="I60" s="24"/>
      <c r="J60" s="26" t="str">
        <f t="shared" si="0"/>
        <v/>
      </c>
    </row>
    <row r="61" spans="1:10" ht="15" x14ac:dyDescent="0.15">
      <c r="A61" s="22"/>
      <c r="B61" s="23" t="str">
        <f>IF($A61="","",DATE(PARAMETRI!$B$11-1,12,31))</f>
        <v/>
      </c>
      <c r="C61" s="24"/>
      <c r="D61" s="24"/>
      <c r="E61" s="24"/>
      <c r="F61" s="24"/>
      <c r="G61" s="24"/>
      <c r="H61" s="25"/>
      <c r="I61" s="24"/>
      <c r="J61" s="26" t="str">
        <f t="shared" si="0"/>
        <v/>
      </c>
    </row>
    <row r="62" spans="1:10" ht="15" x14ac:dyDescent="0.15">
      <c r="A62" s="22"/>
      <c r="B62" s="23" t="str">
        <f>IF($A62="","",DATE(PARAMETRI!$B$11-1,12,31))</f>
        <v/>
      </c>
      <c r="C62" s="24"/>
      <c r="D62" s="24"/>
      <c r="E62" s="24"/>
      <c r="F62" s="24"/>
      <c r="G62" s="24"/>
      <c r="H62" s="25"/>
      <c r="I62" s="24"/>
      <c r="J62" s="26" t="str">
        <f t="shared" si="0"/>
        <v/>
      </c>
    </row>
    <row r="63" spans="1:10" ht="15" x14ac:dyDescent="0.15">
      <c r="A63" s="22"/>
      <c r="B63" s="23" t="str">
        <f>IF($A63="","",DATE(PARAMETRI!$B$11-1,12,31))</f>
        <v/>
      </c>
      <c r="C63" s="24"/>
      <c r="D63" s="24"/>
      <c r="E63" s="24"/>
      <c r="F63" s="24"/>
      <c r="G63" s="24"/>
      <c r="H63" s="25"/>
      <c r="I63" s="24"/>
      <c r="J63" s="26" t="str">
        <f t="shared" si="0"/>
        <v/>
      </c>
    </row>
    <row r="64" spans="1:10" ht="15" x14ac:dyDescent="0.15">
      <c r="A64" s="22"/>
      <c r="B64" s="23" t="str">
        <f>IF($A64="","",DATE(PARAMETRI!$B$11-1,12,31))</f>
        <v/>
      </c>
      <c r="C64" s="24"/>
      <c r="D64" s="24"/>
      <c r="E64" s="24"/>
      <c r="F64" s="24"/>
      <c r="G64" s="24"/>
      <c r="H64" s="25"/>
      <c r="I64" s="24"/>
      <c r="J64" s="26" t="str">
        <f t="shared" si="0"/>
        <v/>
      </c>
    </row>
    <row r="65" spans="1:10" ht="15" x14ac:dyDescent="0.15">
      <c r="A65" s="22"/>
      <c r="B65" s="23" t="str">
        <f>IF($A65="","",DATE(PARAMETRI!$B$11-1,12,31))</f>
        <v/>
      </c>
      <c r="C65" s="24"/>
      <c r="D65" s="24"/>
      <c r="E65" s="24"/>
      <c r="F65" s="24"/>
      <c r="G65" s="24"/>
      <c r="H65" s="25"/>
      <c r="I65" s="24"/>
      <c r="J65" s="26" t="str">
        <f t="shared" si="0"/>
        <v/>
      </c>
    </row>
    <row r="66" spans="1:10" ht="15" x14ac:dyDescent="0.15">
      <c r="A66" s="22"/>
      <c r="B66" s="23" t="str">
        <f>IF($A66="","",DATE(PARAMETRI!$B$11-1,12,31))</f>
        <v/>
      </c>
      <c r="C66" s="24"/>
      <c r="D66" s="24"/>
      <c r="E66" s="24"/>
      <c r="F66" s="24"/>
      <c r="G66" s="24"/>
      <c r="H66" s="25"/>
      <c r="I66" s="24"/>
      <c r="J66" s="26" t="str">
        <f t="shared" si="0"/>
        <v/>
      </c>
    </row>
    <row r="67" spans="1:10" ht="15" x14ac:dyDescent="0.15">
      <c r="A67" s="22"/>
      <c r="B67" s="23" t="str">
        <f>IF($A67="","",DATE(PARAMETRI!$B$11-1,12,31))</f>
        <v/>
      </c>
      <c r="C67" s="24"/>
      <c r="D67" s="24"/>
      <c r="E67" s="24"/>
      <c r="F67" s="24"/>
      <c r="G67" s="24"/>
      <c r="H67" s="25"/>
      <c r="I67" s="24"/>
      <c r="J67" s="26" t="str">
        <f t="shared" si="0"/>
        <v/>
      </c>
    </row>
    <row r="68" spans="1:10" ht="15" x14ac:dyDescent="0.15">
      <c r="A68" s="22"/>
      <c r="B68" s="23" t="str">
        <f>IF($A68="","",DATE(PARAMETRI!$B$11-1,12,31))</f>
        <v/>
      </c>
      <c r="C68" s="24"/>
      <c r="D68" s="24"/>
      <c r="E68" s="24"/>
      <c r="F68" s="24"/>
      <c r="G68" s="24"/>
      <c r="H68" s="25"/>
      <c r="I68" s="24"/>
      <c r="J68" s="26" t="str">
        <f t="shared" si="0"/>
        <v/>
      </c>
    </row>
    <row r="69" spans="1:10" ht="15" x14ac:dyDescent="0.15">
      <c r="A69" s="22"/>
      <c r="B69" s="23" t="str">
        <f>IF($A69="","",DATE(PARAMETRI!$B$11-1,12,31))</f>
        <v/>
      </c>
      <c r="C69" s="24"/>
      <c r="D69" s="24"/>
      <c r="E69" s="24"/>
      <c r="F69" s="24"/>
      <c r="G69" s="24"/>
      <c r="H69" s="25"/>
      <c r="I69" s="24"/>
      <c r="J69" s="26" t="str">
        <f t="shared" si="0"/>
        <v/>
      </c>
    </row>
    <row r="70" spans="1:10" ht="15" x14ac:dyDescent="0.15">
      <c r="A70" s="22"/>
      <c r="B70" s="23" t="str">
        <f>IF($A70="","",DATE(PARAMETRI!$B$11-1,12,31))</f>
        <v/>
      </c>
      <c r="C70" s="24"/>
      <c r="D70" s="24"/>
      <c r="E70" s="24"/>
      <c r="F70" s="24"/>
      <c r="G70" s="24"/>
      <c r="H70" s="25"/>
      <c r="I70" s="24"/>
      <c r="J70" s="26" t="str">
        <f t="shared" ref="J70:J133" si="1">IF($A70="","",IF(COUNTIF($A$6:$A$505,$A70)&gt;1,"DUPLICATO","OK"))</f>
        <v/>
      </c>
    </row>
    <row r="71" spans="1:10" ht="15" x14ac:dyDescent="0.15">
      <c r="A71" s="22"/>
      <c r="B71" s="23" t="str">
        <f>IF($A71="","",DATE(PARAMETRI!$B$11-1,12,31))</f>
        <v/>
      </c>
      <c r="C71" s="24"/>
      <c r="D71" s="24"/>
      <c r="E71" s="24"/>
      <c r="F71" s="24"/>
      <c r="G71" s="24"/>
      <c r="H71" s="25"/>
      <c r="I71" s="24"/>
      <c r="J71" s="26" t="str">
        <f t="shared" si="1"/>
        <v/>
      </c>
    </row>
    <row r="72" spans="1:10" ht="15" x14ac:dyDescent="0.15">
      <c r="A72" s="22"/>
      <c r="B72" s="23" t="str">
        <f>IF($A72="","",DATE(PARAMETRI!$B$11-1,12,31))</f>
        <v/>
      </c>
      <c r="C72" s="24"/>
      <c r="D72" s="24"/>
      <c r="E72" s="24"/>
      <c r="F72" s="24"/>
      <c r="G72" s="24"/>
      <c r="H72" s="25"/>
      <c r="I72" s="24"/>
      <c r="J72" s="26" t="str">
        <f t="shared" si="1"/>
        <v/>
      </c>
    </row>
    <row r="73" spans="1:10" ht="15" x14ac:dyDescent="0.15">
      <c r="A73" s="22"/>
      <c r="B73" s="23" t="str">
        <f>IF($A73="","",DATE(PARAMETRI!$B$11-1,12,31))</f>
        <v/>
      </c>
      <c r="C73" s="24"/>
      <c r="D73" s="24"/>
      <c r="E73" s="24"/>
      <c r="F73" s="24"/>
      <c r="G73" s="24"/>
      <c r="H73" s="25"/>
      <c r="I73" s="24"/>
      <c r="J73" s="26" t="str">
        <f t="shared" si="1"/>
        <v/>
      </c>
    </row>
    <row r="74" spans="1:10" ht="15" x14ac:dyDescent="0.15">
      <c r="A74" s="22"/>
      <c r="B74" s="23" t="str">
        <f>IF($A74="","",DATE(PARAMETRI!$B$11-1,12,31))</f>
        <v/>
      </c>
      <c r="C74" s="24"/>
      <c r="D74" s="24"/>
      <c r="E74" s="24"/>
      <c r="F74" s="24"/>
      <c r="G74" s="24"/>
      <c r="H74" s="25"/>
      <c r="I74" s="24"/>
      <c r="J74" s="26" t="str">
        <f t="shared" si="1"/>
        <v/>
      </c>
    </row>
    <row r="75" spans="1:10" ht="15" x14ac:dyDescent="0.15">
      <c r="A75" s="22"/>
      <c r="B75" s="23" t="str">
        <f>IF($A75="","",DATE(PARAMETRI!$B$11-1,12,31))</f>
        <v/>
      </c>
      <c r="C75" s="24"/>
      <c r="D75" s="24"/>
      <c r="E75" s="24"/>
      <c r="F75" s="24"/>
      <c r="G75" s="24"/>
      <c r="H75" s="25"/>
      <c r="I75" s="24"/>
      <c r="J75" s="26" t="str">
        <f t="shared" si="1"/>
        <v/>
      </c>
    </row>
    <row r="76" spans="1:10" ht="15" x14ac:dyDescent="0.15">
      <c r="A76" s="22"/>
      <c r="B76" s="23" t="str">
        <f>IF($A76="","",DATE(PARAMETRI!$B$11-1,12,31))</f>
        <v/>
      </c>
      <c r="C76" s="24"/>
      <c r="D76" s="24"/>
      <c r="E76" s="24"/>
      <c r="F76" s="24"/>
      <c r="G76" s="24"/>
      <c r="H76" s="25"/>
      <c r="I76" s="24"/>
      <c r="J76" s="26" t="str">
        <f t="shared" si="1"/>
        <v/>
      </c>
    </row>
    <row r="77" spans="1:10" ht="15" x14ac:dyDescent="0.15">
      <c r="A77" s="22"/>
      <c r="B77" s="23" t="str">
        <f>IF($A77="","",DATE(PARAMETRI!$B$11-1,12,31))</f>
        <v/>
      </c>
      <c r="C77" s="24"/>
      <c r="D77" s="24"/>
      <c r="E77" s="24"/>
      <c r="F77" s="24"/>
      <c r="G77" s="24"/>
      <c r="H77" s="25"/>
      <c r="I77" s="24"/>
      <c r="J77" s="26" t="str">
        <f t="shared" si="1"/>
        <v/>
      </c>
    </row>
    <row r="78" spans="1:10" ht="15" x14ac:dyDescent="0.15">
      <c r="A78" s="22"/>
      <c r="B78" s="23" t="str">
        <f>IF($A78="","",DATE(PARAMETRI!$B$11-1,12,31))</f>
        <v/>
      </c>
      <c r="C78" s="24"/>
      <c r="D78" s="24"/>
      <c r="E78" s="24"/>
      <c r="F78" s="24"/>
      <c r="G78" s="24"/>
      <c r="H78" s="25"/>
      <c r="I78" s="24"/>
      <c r="J78" s="26" t="str">
        <f t="shared" si="1"/>
        <v/>
      </c>
    </row>
    <row r="79" spans="1:10" ht="15" x14ac:dyDescent="0.15">
      <c r="A79" s="22"/>
      <c r="B79" s="23" t="str">
        <f>IF($A79="","",DATE(PARAMETRI!$B$11-1,12,31))</f>
        <v/>
      </c>
      <c r="C79" s="24"/>
      <c r="D79" s="24"/>
      <c r="E79" s="24"/>
      <c r="F79" s="24"/>
      <c r="G79" s="24"/>
      <c r="H79" s="25"/>
      <c r="I79" s="24"/>
      <c r="J79" s="26" t="str">
        <f t="shared" si="1"/>
        <v/>
      </c>
    </row>
    <row r="80" spans="1:10" ht="15" x14ac:dyDescent="0.15">
      <c r="A80" s="22"/>
      <c r="B80" s="23" t="str">
        <f>IF($A80="","",DATE(PARAMETRI!$B$11-1,12,31))</f>
        <v/>
      </c>
      <c r="C80" s="24"/>
      <c r="D80" s="24"/>
      <c r="E80" s="24"/>
      <c r="F80" s="24"/>
      <c r="G80" s="24"/>
      <c r="H80" s="25"/>
      <c r="I80" s="24"/>
      <c r="J80" s="26" t="str">
        <f t="shared" si="1"/>
        <v/>
      </c>
    </row>
    <row r="81" spans="1:10" ht="15" x14ac:dyDescent="0.15">
      <c r="A81" s="22"/>
      <c r="B81" s="23" t="str">
        <f>IF($A81="","",DATE(PARAMETRI!$B$11-1,12,31))</f>
        <v/>
      </c>
      <c r="C81" s="24"/>
      <c r="D81" s="24"/>
      <c r="E81" s="24"/>
      <c r="F81" s="24"/>
      <c r="G81" s="24"/>
      <c r="H81" s="25"/>
      <c r="I81" s="24"/>
      <c r="J81" s="26" t="str">
        <f t="shared" si="1"/>
        <v/>
      </c>
    </row>
    <row r="82" spans="1:10" ht="15" x14ac:dyDescent="0.15">
      <c r="A82" s="22"/>
      <c r="B82" s="23" t="str">
        <f>IF($A82="","",DATE(PARAMETRI!$B$11-1,12,31))</f>
        <v/>
      </c>
      <c r="C82" s="24"/>
      <c r="D82" s="24"/>
      <c r="E82" s="24"/>
      <c r="F82" s="24"/>
      <c r="G82" s="24"/>
      <c r="H82" s="25"/>
      <c r="I82" s="24"/>
      <c r="J82" s="26" t="str">
        <f t="shared" si="1"/>
        <v/>
      </c>
    </row>
    <row r="83" spans="1:10" ht="15" x14ac:dyDescent="0.15">
      <c r="A83" s="22"/>
      <c r="B83" s="23" t="str">
        <f>IF($A83="","",DATE(PARAMETRI!$B$11-1,12,31))</f>
        <v/>
      </c>
      <c r="C83" s="24"/>
      <c r="D83" s="24"/>
      <c r="E83" s="24"/>
      <c r="F83" s="24"/>
      <c r="G83" s="24"/>
      <c r="H83" s="25"/>
      <c r="I83" s="24"/>
      <c r="J83" s="26" t="str">
        <f t="shared" si="1"/>
        <v/>
      </c>
    </row>
    <row r="84" spans="1:10" ht="15" x14ac:dyDescent="0.15">
      <c r="A84" s="22"/>
      <c r="B84" s="23" t="str">
        <f>IF($A84="","",DATE(PARAMETRI!$B$11-1,12,31))</f>
        <v/>
      </c>
      <c r="C84" s="24"/>
      <c r="D84" s="24"/>
      <c r="E84" s="24"/>
      <c r="F84" s="24"/>
      <c r="G84" s="24"/>
      <c r="H84" s="25"/>
      <c r="I84" s="24"/>
      <c r="J84" s="26" t="str">
        <f t="shared" si="1"/>
        <v/>
      </c>
    </row>
    <row r="85" spans="1:10" ht="15" x14ac:dyDescent="0.15">
      <c r="A85" s="22"/>
      <c r="B85" s="23" t="str">
        <f>IF($A85="","",DATE(PARAMETRI!$B$11-1,12,31))</f>
        <v/>
      </c>
      <c r="C85" s="24"/>
      <c r="D85" s="24"/>
      <c r="E85" s="24"/>
      <c r="F85" s="24"/>
      <c r="G85" s="24"/>
      <c r="H85" s="25"/>
      <c r="I85" s="24"/>
      <c r="J85" s="26" t="str">
        <f t="shared" si="1"/>
        <v/>
      </c>
    </row>
    <row r="86" spans="1:10" ht="15" x14ac:dyDescent="0.15">
      <c r="A86" s="22"/>
      <c r="B86" s="23" t="str">
        <f>IF($A86="","",DATE(PARAMETRI!$B$11-1,12,31))</f>
        <v/>
      </c>
      <c r="C86" s="24"/>
      <c r="D86" s="24"/>
      <c r="E86" s="24"/>
      <c r="F86" s="24"/>
      <c r="G86" s="24"/>
      <c r="H86" s="25"/>
      <c r="I86" s="24"/>
      <c r="J86" s="26" t="str">
        <f t="shared" si="1"/>
        <v/>
      </c>
    </row>
    <row r="87" spans="1:10" ht="15" x14ac:dyDescent="0.15">
      <c r="A87" s="22"/>
      <c r="B87" s="23" t="str">
        <f>IF($A87="","",DATE(PARAMETRI!$B$11-1,12,31))</f>
        <v/>
      </c>
      <c r="C87" s="24"/>
      <c r="D87" s="24"/>
      <c r="E87" s="24"/>
      <c r="F87" s="24"/>
      <c r="G87" s="24"/>
      <c r="H87" s="25"/>
      <c r="I87" s="24"/>
      <c r="J87" s="26" t="str">
        <f t="shared" si="1"/>
        <v/>
      </c>
    </row>
    <row r="88" spans="1:10" ht="15" x14ac:dyDescent="0.15">
      <c r="A88" s="22"/>
      <c r="B88" s="23" t="str">
        <f>IF($A88="","",DATE(PARAMETRI!$B$11-1,12,31))</f>
        <v/>
      </c>
      <c r="C88" s="24"/>
      <c r="D88" s="24"/>
      <c r="E88" s="24"/>
      <c r="F88" s="24"/>
      <c r="G88" s="24"/>
      <c r="H88" s="25"/>
      <c r="I88" s="24"/>
      <c r="J88" s="26" t="str">
        <f t="shared" si="1"/>
        <v/>
      </c>
    </row>
    <row r="89" spans="1:10" ht="15" x14ac:dyDescent="0.15">
      <c r="A89" s="22"/>
      <c r="B89" s="23" t="str">
        <f>IF($A89="","",DATE(PARAMETRI!$B$11-1,12,31))</f>
        <v/>
      </c>
      <c r="C89" s="24"/>
      <c r="D89" s="24"/>
      <c r="E89" s="24"/>
      <c r="F89" s="24"/>
      <c r="G89" s="24"/>
      <c r="H89" s="25"/>
      <c r="I89" s="24"/>
      <c r="J89" s="26" t="str">
        <f t="shared" si="1"/>
        <v/>
      </c>
    </row>
    <row r="90" spans="1:10" ht="15" x14ac:dyDescent="0.15">
      <c r="A90" s="22"/>
      <c r="B90" s="23" t="str">
        <f>IF($A90="","",DATE(PARAMETRI!$B$11-1,12,31))</f>
        <v/>
      </c>
      <c r="C90" s="24"/>
      <c r="D90" s="24"/>
      <c r="E90" s="24"/>
      <c r="F90" s="24"/>
      <c r="G90" s="24"/>
      <c r="H90" s="25"/>
      <c r="I90" s="24"/>
      <c r="J90" s="26" t="str">
        <f t="shared" si="1"/>
        <v/>
      </c>
    </row>
    <row r="91" spans="1:10" ht="15" x14ac:dyDescent="0.15">
      <c r="A91" s="22"/>
      <c r="B91" s="23" t="str">
        <f>IF($A91="","",DATE(PARAMETRI!$B$11-1,12,31))</f>
        <v/>
      </c>
      <c r="C91" s="24"/>
      <c r="D91" s="24"/>
      <c r="E91" s="24"/>
      <c r="F91" s="24"/>
      <c r="G91" s="24"/>
      <c r="H91" s="25"/>
      <c r="I91" s="24"/>
      <c r="J91" s="26" t="str">
        <f t="shared" si="1"/>
        <v/>
      </c>
    </row>
    <row r="92" spans="1:10" ht="15" x14ac:dyDescent="0.15">
      <c r="A92" s="22"/>
      <c r="B92" s="23" t="str">
        <f>IF($A92="","",DATE(PARAMETRI!$B$11-1,12,31))</f>
        <v/>
      </c>
      <c r="C92" s="24"/>
      <c r="D92" s="24"/>
      <c r="E92" s="24"/>
      <c r="F92" s="24"/>
      <c r="G92" s="24"/>
      <c r="H92" s="25"/>
      <c r="I92" s="24"/>
      <c r="J92" s="26" t="str">
        <f t="shared" si="1"/>
        <v/>
      </c>
    </row>
    <row r="93" spans="1:10" ht="15" x14ac:dyDescent="0.15">
      <c r="A93" s="22"/>
      <c r="B93" s="23" t="str">
        <f>IF($A93="","",DATE(PARAMETRI!$B$11-1,12,31))</f>
        <v/>
      </c>
      <c r="C93" s="24"/>
      <c r="D93" s="24"/>
      <c r="E93" s="24"/>
      <c r="F93" s="24"/>
      <c r="G93" s="24"/>
      <c r="H93" s="25"/>
      <c r="I93" s="24"/>
      <c r="J93" s="26" t="str">
        <f t="shared" si="1"/>
        <v/>
      </c>
    </row>
    <row r="94" spans="1:10" ht="15" x14ac:dyDescent="0.15">
      <c r="A94" s="22"/>
      <c r="B94" s="23" t="str">
        <f>IF($A94="","",DATE(PARAMETRI!$B$11-1,12,31))</f>
        <v/>
      </c>
      <c r="C94" s="24"/>
      <c r="D94" s="24"/>
      <c r="E94" s="24"/>
      <c r="F94" s="24"/>
      <c r="G94" s="24"/>
      <c r="H94" s="25"/>
      <c r="I94" s="24"/>
      <c r="J94" s="26" t="str">
        <f t="shared" si="1"/>
        <v/>
      </c>
    </row>
    <row r="95" spans="1:10" ht="15" x14ac:dyDescent="0.15">
      <c r="A95" s="22"/>
      <c r="B95" s="23" t="str">
        <f>IF($A95="","",DATE(PARAMETRI!$B$11-1,12,31))</f>
        <v/>
      </c>
      <c r="C95" s="24"/>
      <c r="D95" s="24"/>
      <c r="E95" s="24"/>
      <c r="F95" s="24"/>
      <c r="G95" s="24"/>
      <c r="H95" s="25"/>
      <c r="I95" s="24"/>
      <c r="J95" s="26" t="str">
        <f t="shared" si="1"/>
        <v/>
      </c>
    </row>
    <row r="96" spans="1:10" ht="15" x14ac:dyDescent="0.15">
      <c r="A96" s="22"/>
      <c r="B96" s="23" t="str">
        <f>IF($A96="","",DATE(PARAMETRI!$B$11-1,12,31))</f>
        <v/>
      </c>
      <c r="C96" s="24"/>
      <c r="D96" s="24"/>
      <c r="E96" s="24"/>
      <c r="F96" s="24"/>
      <c r="G96" s="24"/>
      <c r="H96" s="25"/>
      <c r="I96" s="24"/>
      <c r="J96" s="26" t="str">
        <f t="shared" si="1"/>
        <v/>
      </c>
    </row>
    <row r="97" spans="1:10" ht="15" x14ac:dyDescent="0.15">
      <c r="A97" s="22"/>
      <c r="B97" s="23" t="str">
        <f>IF($A97="","",DATE(PARAMETRI!$B$11-1,12,31))</f>
        <v/>
      </c>
      <c r="C97" s="24"/>
      <c r="D97" s="24"/>
      <c r="E97" s="24"/>
      <c r="F97" s="24"/>
      <c r="G97" s="24"/>
      <c r="H97" s="25"/>
      <c r="I97" s="24"/>
      <c r="J97" s="26" t="str">
        <f t="shared" si="1"/>
        <v/>
      </c>
    </row>
    <row r="98" spans="1:10" ht="15" x14ac:dyDescent="0.15">
      <c r="A98" s="22"/>
      <c r="B98" s="23" t="str">
        <f>IF($A98="","",DATE(PARAMETRI!$B$11-1,12,31))</f>
        <v/>
      </c>
      <c r="C98" s="24"/>
      <c r="D98" s="24"/>
      <c r="E98" s="24"/>
      <c r="F98" s="24"/>
      <c r="G98" s="24"/>
      <c r="H98" s="25"/>
      <c r="I98" s="24"/>
      <c r="J98" s="26" t="str">
        <f t="shared" si="1"/>
        <v/>
      </c>
    </row>
    <row r="99" spans="1:10" ht="15" x14ac:dyDescent="0.15">
      <c r="A99" s="22"/>
      <c r="B99" s="23" t="str">
        <f>IF($A99="","",DATE(PARAMETRI!$B$11-1,12,31))</f>
        <v/>
      </c>
      <c r="C99" s="24"/>
      <c r="D99" s="24"/>
      <c r="E99" s="24"/>
      <c r="F99" s="24"/>
      <c r="G99" s="24"/>
      <c r="H99" s="25"/>
      <c r="I99" s="24"/>
      <c r="J99" s="26" t="str">
        <f t="shared" si="1"/>
        <v/>
      </c>
    </row>
    <row r="100" spans="1:10" ht="15" x14ac:dyDescent="0.15">
      <c r="A100" s="22"/>
      <c r="B100" s="23" t="str">
        <f>IF($A100="","",DATE(PARAMETRI!$B$11-1,12,31))</f>
        <v/>
      </c>
      <c r="C100" s="24"/>
      <c r="D100" s="24"/>
      <c r="E100" s="24"/>
      <c r="F100" s="24"/>
      <c r="G100" s="24"/>
      <c r="H100" s="25"/>
      <c r="I100" s="24"/>
      <c r="J100" s="26" t="str">
        <f t="shared" si="1"/>
        <v/>
      </c>
    </row>
    <row r="101" spans="1:10" ht="15" x14ac:dyDescent="0.15">
      <c r="A101" s="22"/>
      <c r="B101" s="23" t="str">
        <f>IF($A101="","",DATE(PARAMETRI!$B$11-1,12,31))</f>
        <v/>
      </c>
      <c r="C101" s="24"/>
      <c r="D101" s="24"/>
      <c r="E101" s="24"/>
      <c r="F101" s="24"/>
      <c r="G101" s="24"/>
      <c r="H101" s="25"/>
      <c r="I101" s="24"/>
      <c r="J101" s="26" t="str">
        <f t="shared" si="1"/>
        <v/>
      </c>
    </row>
    <row r="102" spans="1:10" ht="15" x14ac:dyDescent="0.15">
      <c r="A102" s="22"/>
      <c r="B102" s="23" t="str">
        <f>IF($A102="","",DATE(PARAMETRI!$B$11-1,12,31))</f>
        <v/>
      </c>
      <c r="C102" s="24"/>
      <c r="D102" s="24"/>
      <c r="E102" s="24"/>
      <c r="F102" s="24"/>
      <c r="G102" s="24"/>
      <c r="H102" s="25"/>
      <c r="I102" s="24"/>
      <c r="J102" s="26" t="str">
        <f t="shared" si="1"/>
        <v/>
      </c>
    </row>
    <row r="103" spans="1:10" ht="15" x14ac:dyDescent="0.15">
      <c r="A103" s="22"/>
      <c r="B103" s="23" t="str">
        <f>IF($A103="","",DATE(PARAMETRI!$B$11-1,12,31))</f>
        <v/>
      </c>
      <c r="C103" s="24"/>
      <c r="D103" s="24"/>
      <c r="E103" s="24"/>
      <c r="F103" s="24"/>
      <c r="G103" s="24"/>
      <c r="H103" s="25"/>
      <c r="I103" s="24"/>
      <c r="J103" s="26" t="str">
        <f t="shared" si="1"/>
        <v/>
      </c>
    </row>
    <row r="104" spans="1:10" ht="15" x14ac:dyDescent="0.15">
      <c r="A104" s="22"/>
      <c r="B104" s="23" t="str">
        <f>IF($A104="","",DATE(PARAMETRI!$B$11-1,12,31))</f>
        <v/>
      </c>
      <c r="C104" s="24"/>
      <c r="D104" s="24"/>
      <c r="E104" s="24"/>
      <c r="F104" s="24"/>
      <c r="G104" s="24"/>
      <c r="H104" s="25"/>
      <c r="I104" s="24"/>
      <c r="J104" s="26" t="str">
        <f t="shared" si="1"/>
        <v/>
      </c>
    </row>
    <row r="105" spans="1:10" ht="15" x14ac:dyDescent="0.15">
      <c r="A105" s="22"/>
      <c r="B105" s="23" t="str">
        <f>IF($A105="","",DATE(PARAMETRI!$B$11-1,12,31))</f>
        <v/>
      </c>
      <c r="C105" s="24"/>
      <c r="D105" s="24"/>
      <c r="E105" s="24"/>
      <c r="F105" s="24"/>
      <c r="G105" s="24"/>
      <c r="H105" s="25"/>
      <c r="I105" s="24"/>
      <c r="J105" s="26" t="str">
        <f t="shared" si="1"/>
        <v/>
      </c>
    </row>
    <row r="106" spans="1:10" ht="15" x14ac:dyDescent="0.15">
      <c r="A106" s="22"/>
      <c r="B106" s="23" t="str">
        <f>IF($A106="","",DATE(PARAMETRI!$B$11-1,12,31))</f>
        <v/>
      </c>
      <c r="C106" s="24"/>
      <c r="D106" s="24"/>
      <c r="E106" s="24"/>
      <c r="F106" s="24"/>
      <c r="G106" s="24"/>
      <c r="H106" s="25"/>
      <c r="I106" s="24"/>
      <c r="J106" s="26" t="str">
        <f t="shared" si="1"/>
        <v/>
      </c>
    </row>
    <row r="107" spans="1:10" ht="15" x14ac:dyDescent="0.15">
      <c r="A107" s="22"/>
      <c r="B107" s="23" t="str">
        <f>IF($A107="","",DATE(PARAMETRI!$B$11-1,12,31))</f>
        <v/>
      </c>
      <c r="C107" s="24"/>
      <c r="D107" s="24"/>
      <c r="E107" s="24"/>
      <c r="F107" s="24"/>
      <c r="G107" s="24"/>
      <c r="H107" s="25"/>
      <c r="I107" s="24"/>
      <c r="J107" s="26" t="str">
        <f t="shared" si="1"/>
        <v/>
      </c>
    </row>
    <row r="108" spans="1:10" ht="15" x14ac:dyDescent="0.15">
      <c r="A108" s="22"/>
      <c r="B108" s="23" t="str">
        <f>IF($A108="","",DATE(PARAMETRI!$B$11-1,12,31))</f>
        <v/>
      </c>
      <c r="C108" s="24"/>
      <c r="D108" s="24"/>
      <c r="E108" s="24"/>
      <c r="F108" s="24"/>
      <c r="G108" s="24"/>
      <c r="H108" s="25"/>
      <c r="I108" s="24"/>
      <c r="J108" s="26" t="str">
        <f t="shared" si="1"/>
        <v/>
      </c>
    </row>
    <row r="109" spans="1:10" ht="15" x14ac:dyDescent="0.15">
      <c r="A109" s="22"/>
      <c r="B109" s="23" t="str">
        <f>IF($A109="","",DATE(PARAMETRI!$B$11-1,12,31))</f>
        <v/>
      </c>
      <c r="C109" s="24"/>
      <c r="D109" s="24"/>
      <c r="E109" s="24"/>
      <c r="F109" s="24"/>
      <c r="G109" s="24"/>
      <c r="H109" s="25"/>
      <c r="I109" s="24"/>
      <c r="J109" s="26" t="str">
        <f t="shared" si="1"/>
        <v/>
      </c>
    </row>
    <row r="110" spans="1:10" ht="15" x14ac:dyDescent="0.15">
      <c r="A110" s="22"/>
      <c r="B110" s="23" t="str">
        <f>IF($A110="","",DATE(PARAMETRI!$B$11-1,12,31))</f>
        <v/>
      </c>
      <c r="C110" s="24"/>
      <c r="D110" s="24"/>
      <c r="E110" s="24"/>
      <c r="F110" s="24"/>
      <c r="G110" s="24"/>
      <c r="H110" s="25"/>
      <c r="I110" s="24"/>
      <c r="J110" s="26" t="str">
        <f t="shared" si="1"/>
        <v/>
      </c>
    </row>
    <row r="111" spans="1:10" ht="15" x14ac:dyDescent="0.15">
      <c r="A111" s="22"/>
      <c r="B111" s="23" t="str">
        <f>IF($A111="","",DATE(PARAMETRI!$B$11-1,12,31))</f>
        <v/>
      </c>
      <c r="C111" s="24"/>
      <c r="D111" s="24"/>
      <c r="E111" s="24"/>
      <c r="F111" s="24"/>
      <c r="G111" s="24"/>
      <c r="H111" s="25"/>
      <c r="I111" s="24"/>
      <c r="J111" s="26" t="str">
        <f t="shared" si="1"/>
        <v/>
      </c>
    </row>
    <row r="112" spans="1:10" ht="15" x14ac:dyDescent="0.15">
      <c r="A112" s="22"/>
      <c r="B112" s="23" t="str">
        <f>IF($A112="","",DATE(PARAMETRI!$B$11-1,12,31))</f>
        <v/>
      </c>
      <c r="C112" s="24"/>
      <c r="D112" s="24"/>
      <c r="E112" s="24"/>
      <c r="F112" s="24"/>
      <c r="G112" s="24"/>
      <c r="H112" s="25"/>
      <c r="I112" s="24"/>
      <c r="J112" s="26" t="str">
        <f t="shared" si="1"/>
        <v/>
      </c>
    </row>
    <row r="113" spans="1:10" ht="15" x14ac:dyDescent="0.15">
      <c r="A113" s="22"/>
      <c r="B113" s="23" t="str">
        <f>IF($A113="","",DATE(PARAMETRI!$B$11-1,12,31))</f>
        <v/>
      </c>
      <c r="C113" s="24"/>
      <c r="D113" s="24"/>
      <c r="E113" s="24"/>
      <c r="F113" s="24"/>
      <c r="G113" s="24"/>
      <c r="H113" s="25"/>
      <c r="I113" s="24"/>
      <c r="J113" s="26" t="str">
        <f t="shared" si="1"/>
        <v/>
      </c>
    </row>
    <row r="114" spans="1:10" ht="15" x14ac:dyDescent="0.15">
      <c r="A114" s="22"/>
      <c r="B114" s="23" t="str">
        <f>IF($A114="","",DATE(PARAMETRI!$B$11-1,12,31))</f>
        <v/>
      </c>
      <c r="C114" s="24"/>
      <c r="D114" s="24"/>
      <c r="E114" s="24"/>
      <c r="F114" s="24"/>
      <c r="G114" s="24"/>
      <c r="H114" s="25"/>
      <c r="I114" s="24"/>
      <c r="J114" s="26" t="str">
        <f t="shared" si="1"/>
        <v/>
      </c>
    </row>
    <row r="115" spans="1:10" ht="15" x14ac:dyDescent="0.15">
      <c r="A115" s="22"/>
      <c r="B115" s="23" t="str">
        <f>IF($A115="","",DATE(PARAMETRI!$B$11-1,12,31))</f>
        <v/>
      </c>
      <c r="C115" s="24"/>
      <c r="D115" s="24"/>
      <c r="E115" s="24"/>
      <c r="F115" s="24"/>
      <c r="G115" s="24"/>
      <c r="H115" s="25"/>
      <c r="I115" s="24"/>
      <c r="J115" s="26" t="str">
        <f t="shared" si="1"/>
        <v/>
      </c>
    </row>
    <row r="116" spans="1:10" ht="15" x14ac:dyDescent="0.15">
      <c r="A116" s="22"/>
      <c r="B116" s="23" t="str">
        <f>IF($A116="","",DATE(PARAMETRI!$B$11-1,12,31))</f>
        <v/>
      </c>
      <c r="C116" s="24"/>
      <c r="D116" s="24"/>
      <c r="E116" s="24"/>
      <c r="F116" s="24"/>
      <c r="G116" s="24"/>
      <c r="H116" s="25"/>
      <c r="I116" s="24"/>
      <c r="J116" s="26" t="str">
        <f t="shared" si="1"/>
        <v/>
      </c>
    </row>
    <row r="117" spans="1:10" ht="15" x14ac:dyDescent="0.15">
      <c r="A117" s="22"/>
      <c r="B117" s="23" t="str">
        <f>IF($A117="","",DATE(PARAMETRI!$B$11-1,12,31))</f>
        <v/>
      </c>
      <c r="C117" s="24"/>
      <c r="D117" s="24"/>
      <c r="E117" s="24"/>
      <c r="F117" s="24"/>
      <c r="G117" s="24"/>
      <c r="H117" s="25"/>
      <c r="I117" s="24"/>
      <c r="J117" s="26" t="str">
        <f t="shared" si="1"/>
        <v/>
      </c>
    </row>
    <row r="118" spans="1:10" ht="15" x14ac:dyDescent="0.15">
      <c r="A118" s="22"/>
      <c r="B118" s="23" t="str">
        <f>IF($A118="","",DATE(PARAMETRI!$B$11-1,12,31))</f>
        <v/>
      </c>
      <c r="C118" s="24"/>
      <c r="D118" s="24"/>
      <c r="E118" s="24"/>
      <c r="F118" s="24"/>
      <c r="G118" s="24"/>
      <c r="H118" s="25"/>
      <c r="I118" s="24"/>
      <c r="J118" s="26" t="str">
        <f t="shared" si="1"/>
        <v/>
      </c>
    </row>
    <row r="119" spans="1:10" ht="15" x14ac:dyDescent="0.15">
      <c r="A119" s="22"/>
      <c r="B119" s="23" t="str">
        <f>IF($A119="","",DATE(PARAMETRI!$B$11-1,12,31))</f>
        <v/>
      </c>
      <c r="C119" s="24"/>
      <c r="D119" s="24"/>
      <c r="E119" s="24"/>
      <c r="F119" s="24"/>
      <c r="G119" s="24"/>
      <c r="H119" s="25"/>
      <c r="I119" s="24"/>
      <c r="J119" s="26" t="str">
        <f t="shared" si="1"/>
        <v/>
      </c>
    </row>
    <row r="120" spans="1:10" ht="15" x14ac:dyDescent="0.15">
      <c r="A120" s="22"/>
      <c r="B120" s="23" t="str">
        <f>IF($A120="","",DATE(PARAMETRI!$B$11-1,12,31))</f>
        <v/>
      </c>
      <c r="C120" s="24"/>
      <c r="D120" s="24"/>
      <c r="E120" s="24"/>
      <c r="F120" s="24"/>
      <c r="G120" s="24"/>
      <c r="H120" s="25"/>
      <c r="I120" s="24"/>
      <c r="J120" s="26" t="str">
        <f t="shared" si="1"/>
        <v/>
      </c>
    </row>
    <row r="121" spans="1:10" ht="15" x14ac:dyDescent="0.15">
      <c r="A121" s="22"/>
      <c r="B121" s="23" t="str">
        <f>IF($A121="","",DATE(PARAMETRI!$B$11-1,12,31))</f>
        <v/>
      </c>
      <c r="C121" s="24"/>
      <c r="D121" s="24"/>
      <c r="E121" s="24"/>
      <c r="F121" s="24"/>
      <c r="G121" s="24"/>
      <c r="H121" s="25"/>
      <c r="I121" s="24"/>
      <c r="J121" s="26" t="str">
        <f t="shared" si="1"/>
        <v/>
      </c>
    </row>
    <row r="122" spans="1:10" ht="15" x14ac:dyDescent="0.15">
      <c r="A122" s="22"/>
      <c r="B122" s="23" t="str">
        <f>IF($A122="","",DATE(PARAMETRI!$B$11-1,12,31))</f>
        <v/>
      </c>
      <c r="C122" s="24"/>
      <c r="D122" s="24"/>
      <c r="E122" s="24"/>
      <c r="F122" s="24"/>
      <c r="G122" s="24"/>
      <c r="H122" s="25"/>
      <c r="I122" s="24"/>
      <c r="J122" s="26" t="str">
        <f t="shared" si="1"/>
        <v/>
      </c>
    </row>
    <row r="123" spans="1:10" ht="15" x14ac:dyDescent="0.15">
      <c r="A123" s="22"/>
      <c r="B123" s="23" t="str">
        <f>IF($A123="","",DATE(PARAMETRI!$B$11-1,12,31))</f>
        <v/>
      </c>
      <c r="C123" s="24"/>
      <c r="D123" s="24"/>
      <c r="E123" s="24"/>
      <c r="F123" s="24"/>
      <c r="G123" s="24"/>
      <c r="H123" s="25"/>
      <c r="I123" s="24"/>
      <c r="J123" s="26" t="str">
        <f t="shared" si="1"/>
        <v/>
      </c>
    </row>
    <row r="124" spans="1:10" ht="15" x14ac:dyDescent="0.15">
      <c r="A124" s="22"/>
      <c r="B124" s="23" t="str">
        <f>IF($A124="","",DATE(PARAMETRI!$B$11-1,12,31))</f>
        <v/>
      </c>
      <c r="C124" s="24"/>
      <c r="D124" s="24"/>
      <c r="E124" s="24"/>
      <c r="F124" s="24"/>
      <c r="G124" s="24"/>
      <c r="H124" s="25"/>
      <c r="I124" s="24"/>
      <c r="J124" s="26" t="str">
        <f t="shared" si="1"/>
        <v/>
      </c>
    </row>
    <row r="125" spans="1:10" ht="15" x14ac:dyDescent="0.15">
      <c r="A125" s="22"/>
      <c r="B125" s="23" t="str">
        <f>IF($A125="","",DATE(PARAMETRI!$B$11-1,12,31))</f>
        <v/>
      </c>
      <c r="C125" s="24"/>
      <c r="D125" s="24"/>
      <c r="E125" s="24"/>
      <c r="F125" s="24"/>
      <c r="G125" s="24"/>
      <c r="H125" s="25"/>
      <c r="I125" s="24"/>
      <c r="J125" s="26" t="str">
        <f t="shared" si="1"/>
        <v/>
      </c>
    </row>
    <row r="126" spans="1:10" ht="15" x14ac:dyDescent="0.15">
      <c r="A126" s="22"/>
      <c r="B126" s="23" t="str">
        <f>IF($A126="","",DATE(PARAMETRI!$B$11-1,12,31))</f>
        <v/>
      </c>
      <c r="C126" s="24"/>
      <c r="D126" s="24"/>
      <c r="E126" s="24"/>
      <c r="F126" s="24"/>
      <c r="G126" s="24"/>
      <c r="H126" s="25"/>
      <c r="I126" s="24"/>
      <c r="J126" s="26" t="str">
        <f t="shared" si="1"/>
        <v/>
      </c>
    </row>
    <row r="127" spans="1:10" ht="15" x14ac:dyDescent="0.15">
      <c r="A127" s="22"/>
      <c r="B127" s="23" t="str">
        <f>IF($A127="","",DATE(PARAMETRI!$B$11-1,12,31))</f>
        <v/>
      </c>
      <c r="C127" s="24"/>
      <c r="D127" s="24"/>
      <c r="E127" s="24"/>
      <c r="F127" s="24"/>
      <c r="G127" s="24"/>
      <c r="H127" s="25"/>
      <c r="I127" s="24"/>
      <c r="J127" s="26" t="str">
        <f t="shared" si="1"/>
        <v/>
      </c>
    </row>
    <row r="128" spans="1:10" ht="15" x14ac:dyDescent="0.15">
      <c r="A128" s="22"/>
      <c r="B128" s="23" t="str">
        <f>IF($A128="","",DATE(PARAMETRI!$B$11-1,12,31))</f>
        <v/>
      </c>
      <c r="C128" s="24"/>
      <c r="D128" s="24"/>
      <c r="E128" s="24"/>
      <c r="F128" s="24"/>
      <c r="G128" s="24"/>
      <c r="H128" s="25"/>
      <c r="I128" s="24"/>
      <c r="J128" s="26" t="str">
        <f t="shared" si="1"/>
        <v/>
      </c>
    </row>
    <row r="129" spans="1:10" ht="15" x14ac:dyDescent="0.15">
      <c r="A129" s="22"/>
      <c r="B129" s="23" t="str">
        <f>IF($A129="","",DATE(PARAMETRI!$B$11-1,12,31))</f>
        <v/>
      </c>
      <c r="C129" s="24"/>
      <c r="D129" s="24"/>
      <c r="E129" s="24"/>
      <c r="F129" s="24"/>
      <c r="G129" s="24"/>
      <c r="H129" s="25"/>
      <c r="I129" s="24"/>
      <c r="J129" s="26" t="str">
        <f t="shared" si="1"/>
        <v/>
      </c>
    </row>
    <row r="130" spans="1:10" ht="15" x14ac:dyDescent="0.15">
      <c r="A130" s="22"/>
      <c r="B130" s="23" t="str">
        <f>IF($A130="","",DATE(PARAMETRI!$B$11-1,12,31))</f>
        <v/>
      </c>
      <c r="C130" s="24"/>
      <c r="D130" s="24"/>
      <c r="E130" s="24"/>
      <c r="F130" s="24"/>
      <c r="G130" s="24"/>
      <c r="H130" s="25"/>
      <c r="I130" s="24"/>
      <c r="J130" s="26" t="str">
        <f t="shared" si="1"/>
        <v/>
      </c>
    </row>
    <row r="131" spans="1:10" ht="15" x14ac:dyDescent="0.15">
      <c r="A131" s="22"/>
      <c r="B131" s="23" t="str">
        <f>IF($A131="","",DATE(PARAMETRI!$B$11-1,12,31))</f>
        <v/>
      </c>
      <c r="C131" s="24"/>
      <c r="D131" s="24"/>
      <c r="E131" s="24"/>
      <c r="F131" s="24"/>
      <c r="G131" s="24"/>
      <c r="H131" s="25"/>
      <c r="I131" s="24"/>
      <c r="J131" s="26" t="str">
        <f t="shared" si="1"/>
        <v/>
      </c>
    </row>
    <row r="132" spans="1:10" ht="15" x14ac:dyDescent="0.15">
      <c r="A132" s="22"/>
      <c r="B132" s="23" t="str">
        <f>IF($A132="","",DATE(PARAMETRI!$B$11-1,12,31))</f>
        <v/>
      </c>
      <c r="C132" s="24"/>
      <c r="D132" s="24"/>
      <c r="E132" s="24"/>
      <c r="F132" s="24"/>
      <c r="G132" s="24"/>
      <c r="H132" s="25"/>
      <c r="I132" s="24"/>
      <c r="J132" s="26" t="str">
        <f t="shared" si="1"/>
        <v/>
      </c>
    </row>
    <row r="133" spans="1:10" ht="15" x14ac:dyDescent="0.15">
      <c r="A133" s="22"/>
      <c r="B133" s="23" t="str">
        <f>IF($A133="","",DATE(PARAMETRI!$B$11-1,12,31))</f>
        <v/>
      </c>
      <c r="C133" s="24"/>
      <c r="D133" s="24"/>
      <c r="E133" s="24"/>
      <c r="F133" s="24"/>
      <c r="G133" s="24"/>
      <c r="H133" s="25"/>
      <c r="I133" s="24"/>
      <c r="J133" s="26" t="str">
        <f t="shared" si="1"/>
        <v/>
      </c>
    </row>
    <row r="134" spans="1:10" ht="15" x14ac:dyDescent="0.15">
      <c r="A134" s="22"/>
      <c r="B134" s="23" t="str">
        <f>IF($A134="","",DATE(PARAMETRI!$B$11-1,12,31))</f>
        <v/>
      </c>
      <c r="C134" s="24"/>
      <c r="D134" s="24"/>
      <c r="E134" s="24"/>
      <c r="F134" s="24"/>
      <c r="G134" s="24"/>
      <c r="H134" s="25"/>
      <c r="I134" s="24"/>
      <c r="J134" s="26" t="str">
        <f t="shared" ref="J134:J197" si="2">IF($A134="","",IF(COUNTIF($A$6:$A$505,$A134)&gt;1,"DUPLICATO","OK"))</f>
        <v/>
      </c>
    </row>
    <row r="135" spans="1:10" ht="15" x14ac:dyDescent="0.15">
      <c r="A135" s="22"/>
      <c r="B135" s="23" t="str">
        <f>IF($A135="","",DATE(PARAMETRI!$B$11-1,12,31))</f>
        <v/>
      </c>
      <c r="C135" s="24"/>
      <c r="D135" s="24"/>
      <c r="E135" s="24"/>
      <c r="F135" s="24"/>
      <c r="G135" s="24"/>
      <c r="H135" s="25"/>
      <c r="I135" s="24"/>
      <c r="J135" s="26" t="str">
        <f t="shared" si="2"/>
        <v/>
      </c>
    </row>
    <row r="136" spans="1:10" ht="15" x14ac:dyDescent="0.15">
      <c r="A136" s="22"/>
      <c r="B136" s="23" t="str">
        <f>IF($A136="","",DATE(PARAMETRI!$B$11-1,12,31))</f>
        <v/>
      </c>
      <c r="C136" s="24"/>
      <c r="D136" s="24"/>
      <c r="E136" s="24"/>
      <c r="F136" s="24"/>
      <c r="G136" s="24"/>
      <c r="H136" s="25"/>
      <c r="I136" s="24"/>
      <c r="J136" s="26" t="str">
        <f t="shared" si="2"/>
        <v/>
      </c>
    </row>
    <row r="137" spans="1:10" ht="15" x14ac:dyDescent="0.15">
      <c r="A137" s="22"/>
      <c r="B137" s="23" t="str">
        <f>IF($A137="","",DATE(PARAMETRI!$B$11-1,12,31))</f>
        <v/>
      </c>
      <c r="C137" s="24"/>
      <c r="D137" s="24"/>
      <c r="E137" s="24"/>
      <c r="F137" s="24"/>
      <c r="G137" s="24"/>
      <c r="H137" s="25"/>
      <c r="I137" s="24"/>
      <c r="J137" s="26" t="str">
        <f t="shared" si="2"/>
        <v/>
      </c>
    </row>
    <row r="138" spans="1:10" ht="15" x14ac:dyDescent="0.15">
      <c r="A138" s="22"/>
      <c r="B138" s="23" t="str">
        <f>IF($A138="","",DATE(PARAMETRI!$B$11-1,12,31))</f>
        <v/>
      </c>
      <c r="C138" s="24"/>
      <c r="D138" s="24"/>
      <c r="E138" s="24"/>
      <c r="F138" s="24"/>
      <c r="G138" s="24"/>
      <c r="H138" s="25"/>
      <c r="I138" s="24"/>
      <c r="J138" s="26" t="str">
        <f t="shared" si="2"/>
        <v/>
      </c>
    </row>
    <row r="139" spans="1:10" ht="15" x14ac:dyDescent="0.15">
      <c r="A139" s="22"/>
      <c r="B139" s="23" t="str">
        <f>IF($A139="","",DATE(PARAMETRI!$B$11-1,12,31))</f>
        <v/>
      </c>
      <c r="C139" s="24"/>
      <c r="D139" s="24"/>
      <c r="E139" s="24"/>
      <c r="F139" s="24"/>
      <c r="G139" s="24"/>
      <c r="H139" s="25"/>
      <c r="I139" s="24"/>
      <c r="J139" s="26" t="str">
        <f t="shared" si="2"/>
        <v/>
      </c>
    </row>
    <row r="140" spans="1:10" ht="15" x14ac:dyDescent="0.15">
      <c r="A140" s="22"/>
      <c r="B140" s="23" t="str">
        <f>IF($A140="","",DATE(PARAMETRI!$B$11-1,12,31))</f>
        <v/>
      </c>
      <c r="C140" s="24"/>
      <c r="D140" s="24"/>
      <c r="E140" s="24"/>
      <c r="F140" s="24"/>
      <c r="G140" s="24"/>
      <c r="H140" s="25"/>
      <c r="I140" s="24"/>
      <c r="J140" s="26" t="str">
        <f t="shared" si="2"/>
        <v/>
      </c>
    </row>
    <row r="141" spans="1:10" ht="15" x14ac:dyDescent="0.15">
      <c r="A141" s="22"/>
      <c r="B141" s="23" t="str">
        <f>IF($A141="","",DATE(PARAMETRI!$B$11-1,12,31))</f>
        <v/>
      </c>
      <c r="C141" s="24"/>
      <c r="D141" s="24"/>
      <c r="E141" s="24"/>
      <c r="F141" s="24"/>
      <c r="G141" s="24"/>
      <c r="H141" s="25"/>
      <c r="I141" s="24"/>
      <c r="J141" s="26" t="str">
        <f t="shared" si="2"/>
        <v/>
      </c>
    </row>
    <row r="142" spans="1:10" ht="15" x14ac:dyDescent="0.15">
      <c r="A142" s="22"/>
      <c r="B142" s="23" t="str">
        <f>IF($A142="","",DATE(PARAMETRI!$B$11-1,12,31))</f>
        <v/>
      </c>
      <c r="C142" s="24"/>
      <c r="D142" s="24"/>
      <c r="E142" s="24"/>
      <c r="F142" s="24"/>
      <c r="G142" s="24"/>
      <c r="H142" s="25"/>
      <c r="I142" s="24"/>
      <c r="J142" s="26" t="str">
        <f t="shared" si="2"/>
        <v/>
      </c>
    </row>
    <row r="143" spans="1:10" ht="15" x14ac:dyDescent="0.15">
      <c r="A143" s="22"/>
      <c r="B143" s="23" t="str">
        <f>IF($A143="","",DATE(PARAMETRI!$B$11-1,12,31))</f>
        <v/>
      </c>
      <c r="C143" s="24"/>
      <c r="D143" s="24"/>
      <c r="E143" s="24"/>
      <c r="F143" s="24"/>
      <c r="G143" s="24"/>
      <c r="H143" s="25"/>
      <c r="I143" s="24"/>
      <c r="J143" s="26" t="str">
        <f t="shared" si="2"/>
        <v/>
      </c>
    </row>
    <row r="144" spans="1:10" ht="15" x14ac:dyDescent="0.15">
      <c r="A144" s="22"/>
      <c r="B144" s="23" t="str">
        <f>IF($A144="","",DATE(PARAMETRI!$B$11-1,12,31))</f>
        <v/>
      </c>
      <c r="C144" s="24"/>
      <c r="D144" s="24"/>
      <c r="E144" s="24"/>
      <c r="F144" s="24"/>
      <c r="G144" s="24"/>
      <c r="H144" s="25"/>
      <c r="I144" s="24"/>
      <c r="J144" s="26" t="str">
        <f t="shared" si="2"/>
        <v/>
      </c>
    </row>
    <row r="145" spans="1:10" ht="15" x14ac:dyDescent="0.15">
      <c r="A145" s="22"/>
      <c r="B145" s="23" t="str">
        <f>IF($A145="","",DATE(PARAMETRI!$B$11-1,12,31))</f>
        <v/>
      </c>
      <c r="C145" s="24"/>
      <c r="D145" s="24"/>
      <c r="E145" s="24"/>
      <c r="F145" s="24"/>
      <c r="G145" s="24"/>
      <c r="H145" s="25"/>
      <c r="I145" s="24"/>
      <c r="J145" s="26" t="str">
        <f t="shared" si="2"/>
        <v/>
      </c>
    </row>
    <row r="146" spans="1:10" ht="15" x14ac:dyDescent="0.15">
      <c r="A146" s="22"/>
      <c r="B146" s="23" t="str">
        <f>IF($A146="","",DATE(PARAMETRI!$B$11-1,12,31))</f>
        <v/>
      </c>
      <c r="C146" s="24"/>
      <c r="D146" s="24"/>
      <c r="E146" s="24"/>
      <c r="F146" s="24"/>
      <c r="G146" s="24"/>
      <c r="H146" s="25"/>
      <c r="I146" s="24"/>
      <c r="J146" s="26" t="str">
        <f t="shared" si="2"/>
        <v/>
      </c>
    </row>
    <row r="147" spans="1:10" ht="15" x14ac:dyDescent="0.15">
      <c r="A147" s="22"/>
      <c r="B147" s="23" t="str">
        <f>IF($A147="","",DATE(PARAMETRI!$B$11-1,12,31))</f>
        <v/>
      </c>
      <c r="C147" s="24"/>
      <c r="D147" s="24"/>
      <c r="E147" s="24"/>
      <c r="F147" s="24"/>
      <c r="G147" s="24"/>
      <c r="H147" s="25"/>
      <c r="I147" s="24"/>
      <c r="J147" s="26" t="str">
        <f t="shared" si="2"/>
        <v/>
      </c>
    </row>
    <row r="148" spans="1:10" ht="15" x14ac:dyDescent="0.15">
      <c r="A148" s="22"/>
      <c r="B148" s="23" t="str">
        <f>IF($A148="","",DATE(PARAMETRI!$B$11-1,12,31))</f>
        <v/>
      </c>
      <c r="C148" s="24"/>
      <c r="D148" s="24"/>
      <c r="E148" s="24"/>
      <c r="F148" s="24"/>
      <c r="G148" s="24"/>
      <c r="H148" s="25"/>
      <c r="I148" s="24"/>
      <c r="J148" s="26" t="str">
        <f t="shared" si="2"/>
        <v/>
      </c>
    </row>
    <row r="149" spans="1:10" ht="15" x14ac:dyDescent="0.15">
      <c r="A149" s="22"/>
      <c r="B149" s="23" t="str">
        <f>IF($A149="","",DATE(PARAMETRI!$B$11-1,12,31))</f>
        <v/>
      </c>
      <c r="C149" s="24"/>
      <c r="D149" s="24"/>
      <c r="E149" s="24"/>
      <c r="F149" s="24"/>
      <c r="G149" s="24"/>
      <c r="H149" s="25"/>
      <c r="I149" s="24"/>
      <c r="J149" s="26" t="str">
        <f t="shared" si="2"/>
        <v/>
      </c>
    </row>
    <row r="150" spans="1:10" ht="15" x14ac:dyDescent="0.15">
      <c r="A150" s="22"/>
      <c r="B150" s="23" t="str">
        <f>IF($A150="","",DATE(PARAMETRI!$B$11-1,12,31))</f>
        <v/>
      </c>
      <c r="C150" s="24"/>
      <c r="D150" s="24"/>
      <c r="E150" s="24"/>
      <c r="F150" s="24"/>
      <c r="G150" s="24"/>
      <c r="H150" s="25"/>
      <c r="I150" s="24"/>
      <c r="J150" s="26" t="str">
        <f t="shared" si="2"/>
        <v/>
      </c>
    </row>
    <row r="151" spans="1:10" ht="15" x14ac:dyDescent="0.15">
      <c r="A151" s="22"/>
      <c r="B151" s="23" t="str">
        <f>IF($A151="","",DATE(PARAMETRI!$B$11-1,12,31))</f>
        <v/>
      </c>
      <c r="C151" s="24"/>
      <c r="D151" s="24"/>
      <c r="E151" s="24"/>
      <c r="F151" s="24"/>
      <c r="G151" s="24"/>
      <c r="H151" s="25"/>
      <c r="I151" s="24"/>
      <c r="J151" s="26" t="str">
        <f t="shared" si="2"/>
        <v/>
      </c>
    </row>
    <row r="152" spans="1:10" ht="15" x14ac:dyDescent="0.15">
      <c r="A152" s="22"/>
      <c r="B152" s="23" t="str">
        <f>IF($A152="","",DATE(PARAMETRI!$B$11-1,12,31))</f>
        <v/>
      </c>
      <c r="C152" s="24"/>
      <c r="D152" s="24"/>
      <c r="E152" s="24"/>
      <c r="F152" s="24"/>
      <c r="G152" s="24"/>
      <c r="H152" s="25"/>
      <c r="I152" s="24"/>
      <c r="J152" s="26" t="str">
        <f t="shared" si="2"/>
        <v/>
      </c>
    </row>
    <row r="153" spans="1:10" ht="15" x14ac:dyDescent="0.15">
      <c r="A153" s="22"/>
      <c r="B153" s="23" t="str">
        <f>IF($A153="","",DATE(PARAMETRI!$B$11-1,12,31))</f>
        <v/>
      </c>
      <c r="C153" s="24"/>
      <c r="D153" s="24"/>
      <c r="E153" s="24"/>
      <c r="F153" s="24"/>
      <c r="G153" s="24"/>
      <c r="H153" s="25"/>
      <c r="I153" s="24"/>
      <c r="J153" s="26" t="str">
        <f t="shared" si="2"/>
        <v/>
      </c>
    </row>
    <row r="154" spans="1:10" ht="15" x14ac:dyDescent="0.15">
      <c r="A154" s="22"/>
      <c r="B154" s="23" t="str">
        <f>IF($A154="","",DATE(PARAMETRI!$B$11-1,12,31))</f>
        <v/>
      </c>
      <c r="C154" s="24"/>
      <c r="D154" s="24"/>
      <c r="E154" s="24"/>
      <c r="F154" s="24"/>
      <c r="G154" s="24"/>
      <c r="H154" s="25"/>
      <c r="I154" s="24"/>
      <c r="J154" s="26" t="str">
        <f t="shared" si="2"/>
        <v/>
      </c>
    </row>
    <row r="155" spans="1:10" ht="15" x14ac:dyDescent="0.15">
      <c r="A155" s="22"/>
      <c r="B155" s="23" t="str">
        <f>IF($A155="","",DATE(PARAMETRI!$B$11-1,12,31))</f>
        <v/>
      </c>
      <c r="C155" s="24"/>
      <c r="D155" s="24"/>
      <c r="E155" s="24"/>
      <c r="F155" s="24"/>
      <c r="G155" s="24"/>
      <c r="H155" s="25"/>
      <c r="I155" s="24"/>
      <c r="J155" s="26" t="str">
        <f t="shared" si="2"/>
        <v/>
      </c>
    </row>
    <row r="156" spans="1:10" ht="15" x14ac:dyDescent="0.15">
      <c r="A156" s="22"/>
      <c r="B156" s="23" t="str">
        <f>IF($A156="","",DATE(PARAMETRI!$B$11-1,12,31))</f>
        <v/>
      </c>
      <c r="C156" s="24"/>
      <c r="D156" s="24"/>
      <c r="E156" s="24"/>
      <c r="F156" s="24"/>
      <c r="G156" s="24"/>
      <c r="H156" s="25"/>
      <c r="I156" s="24"/>
      <c r="J156" s="26" t="str">
        <f t="shared" si="2"/>
        <v/>
      </c>
    </row>
    <row r="157" spans="1:10" ht="15" x14ac:dyDescent="0.15">
      <c r="A157" s="22"/>
      <c r="B157" s="23" t="str">
        <f>IF($A157="","",DATE(PARAMETRI!$B$11-1,12,31))</f>
        <v/>
      </c>
      <c r="C157" s="24"/>
      <c r="D157" s="24"/>
      <c r="E157" s="24"/>
      <c r="F157" s="24"/>
      <c r="G157" s="24"/>
      <c r="H157" s="25"/>
      <c r="I157" s="24"/>
      <c r="J157" s="26" t="str">
        <f t="shared" si="2"/>
        <v/>
      </c>
    </row>
    <row r="158" spans="1:10" ht="15" x14ac:dyDescent="0.15">
      <c r="A158" s="22"/>
      <c r="B158" s="23" t="str">
        <f>IF($A158="","",DATE(PARAMETRI!$B$11-1,12,31))</f>
        <v/>
      </c>
      <c r="C158" s="24"/>
      <c r="D158" s="24"/>
      <c r="E158" s="24"/>
      <c r="F158" s="24"/>
      <c r="G158" s="24"/>
      <c r="H158" s="25"/>
      <c r="I158" s="24"/>
      <c r="J158" s="26" t="str">
        <f t="shared" si="2"/>
        <v/>
      </c>
    </row>
    <row r="159" spans="1:10" ht="15" x14ac:dyDescent="0.15">
      <c r="A159" s="22"/>
      <c r="B159" s="23" t="str">
        <f>IF($A159="","",DATE(PARAMETRI!$B$11-1,12,31))</f>
        <v/>
      </c>
      <c r="C159" s="24"/>
      <c r="D159" s="24"/>
      <c r="E159" s="24"/>
      <c r="F159" s="24"/>
      <c r="G159" s="24"/>
      <c r="H159" s="25"/>
      <c r="I159" s="24"/>
      <c r="J159" s="26" t="str">
        <f t="shared" si="2"/>
        <v/>
      </c>
    </row>
    <row r="160" spans="1:10" ht="15" x14ac:dyDescent="0.15">
      <c r="A160" s="22"/>
      <c r="B160" s="23" t="str">
        <f>IF($A160="","",DATE(PARAMETRI!$B$11-1,12,31))</f>
        <v/>
      </c>
      <c r="C160" s="24"/>
      <c r="D160" s="24"/>
      <c r="E160" s="24"/>
      <c r="F160" s="24"/>
      <c r="G160" s="24"/>
      <c r="H160" s="25"/>
      <c r="I160" s="24"/>
      <c r="J160" s="26" t="str">
        <f t="shared" si="2"/>
        <v/>
      </c>
    </row>
    <row r="161" spans="1:10" ht="15" x14ac:dyDescent="0.15">
      <c r="A161" s="22"/>
      <c r="B161" s="23" t="str">
        <f>IF($A161="","",DATE(PARAMETRI!$B$11-1,12,31))</f>
        <v/>
      </c>
      <c r="C161" s="24"/>
      <c r="D161" s="24"/>
      <c r="E161" s="24"/>
      <c r="F161" s="24"/>
      <c r="G161" s="24"/>
      <c r="H161" s="25"/>
      <c r="I161" s="24"/>
      <c r="J161" s="26" t="str">
        <f t="shared" si="2"/>
        <v/>
      </c>
    </row>
    <row r="162" spans="1:10" ht="15" x14ac:dyDescent="0.15">
      <c r="A162" s="22"/>
      <c r="B162" s="23" t="str">
        <f>IF($A162="","",DATE(PARAMETRI!$B$11-1,12,31))</f>
        <v/>
      </c>
      <c r="C162" s="24"/>
      <c r="D162" s="24"/>
      <c r="E162" s="24"/>
      <c r="F162" s="24"/>
      <c r="G162" s="24"/>
      <c r="H162" s="25"/>
      <c r="I162" s="24"/>
      <c r="J162" s="26" t="str">
        <f t="shared" si="2"/>
        <v/>
      </c>
    </row>
    <row r="163" spans="1:10" ht="15" x14ac:dyDescent="0.15">
      <c r="A163" s="22"/>
      <c r="B163" s="23" t="str">
        <f>IF($A163="","",DATE(PARAMETRI!$B$11-1,12,31))</f>
        <v/>
      </c>
      <c r="C163" s="24"/>
      <c r="D163" s="24"/>
      <c r="E163" s="24"/>
      <c r="F163" s="24"/>
      <c r="G163" s="24"/>
      <c r="H163" s="25"/>
      <c r="I163" s="24"/>
      <c r="J163" s="26" t="str">
        <f t="shared" si="2"/>
        <v/>
      </c>
    </row>
    <row r="164" spans="1:10" ht="15" x14ac:dyDescent="0.15">
      <c r="A164" s="22"/>
      <c r="B164" s="23" t="str">
        <f>IF($A164="","",DATE(PARAMETRI!$B$11-1,12,31))</f>
        <v/>
      </c>
      <c r="C164" s="24"/>
      <c r="D164" s="24"/>
      <c r="E164" s="24"/>
      <c r="F164" s="24"/>
      <c r="G164" s="24"/>
      <c r="H164" s="25"/>
      <c r="I164" s="24"/>
      <c r="J164" s="26" t="str">
        <f t="shared" si="2"/>
        <v/>
      </c>
    </row>
    <row r="165" spans="1:10" ht="15" x14ac:dyDescent="0.15">
      <c r="A165" s="22"/>
      <c r="B165" s="23" t="str">
        <f>IF($A165="","",DATE(PARAMETRI!$B$11-1,12,31))</f>
        <v/>
      </c>
      <c r="C165" s="24"/>
      <c r="D165" s="24"/>
      <c r="E165" s="24"/>
      <c r="F165" s="24"/>
      <c r="G165" s="24"/>
      <c r="H165" s="25"/>
      <c r="I165" s="24"/>
      <c r="J165" s="26" t="str">
        <f t="shared" si="2"/>
        <v/>
      </c>
    </row>
    <row r="166" spans="1:10" ht="15" x14ac:dyDescent="0.15">
      <c r="A166" s="22"/>
      <c r="B166" s="23" t="str">
        <f>IF($A166="","",DATE(PARAMETRI!$B$11-1,12,31))</f>
        <v/>
      </c>
      <c r="C166" s="24"/>
      <c r="D166" s="24"/>
      <c r="E166" s="24"/>
      <c r="F166" s="24"/>
      <c r="G166" s="24"/>
      <c r="H166" s="25"/>
      <c r="I166" s="24"/>
      <c r="J166" s="26" t="str">
        <f t="shared" si="2"/>
        <v/>
      </c>
    </row>
    <row r="167" spans="1:10" ht="15" x14ac:dyDescent="0.15">
      <c r="A167" s="22"/>
      <c r="B167" s="23" t="str">
        <f>IF($A167="","",DATE(PARAMETRI!$B$11-1,12,31))</f>
        <v/>
      </c>
      <c r="C167" s="24"/>
      <c r="D167" s="24"/>
      <c r="E167" s="24"/>
      <c r="F167" s="24"/>
      <c r="G167" s="24"/>
      <c r="H167" s="25"/>
      <c r="I167" s="24"/>
      <c r="J167" s="26" t="str">
        <f t="shared" si="2"/>
        <v/>
      </c>
    </row>
    <row r="168" spans="1:10" ht="15" x14ac:dyDescent="0.15">
      <c r="A168" s="22"/>
      <c r="B168" s="23" t="str">
        <f>IF($A168="","",DATE(PARAMETRI!$B$11-1,12,31))</f>
        <v/>
      </c>
      <c r="C168" s="24"/>
      <c r="D168" s="24"/>
      <c r="E168" s="24"/>
      <c r="F168" s="24"/>
      <c r="G168" s="24"/>
      <c r="H168" s="25"/>
      <c r="I168" s="24"/>
      <c r="J168" s="26" t="str">
        <f t="shared" si="2"/>
        <v/>
      </c>
    </row>
    <row r="169" spans="1:10" ht="15" x14ac:dyDescent="0.15">
      <c r="A169" s="22"/>
      <c r="B169" s="23" t="str">
        <f>IF($A169="","",DATE(PARAMETRI!$B$11-1,12,31))</f>
        <v/>
      </c>
      <c r="C169" s="24"/>
      <c r="D169" s="24"/>
      <c r="E169" s="24"/>
      <c r="F169" s="24"/>
      <c r="G169" s="24"/>
      <c r="H169" s="25"/>
      <c r="I169" s="24"/>
      <c r="J169" s="26" t="str">
        <f t="shared" si="2"/>
        <v/>
      </c>
    </row>
    <row r="170" spans="1:10" ht="15" x14ac:dyDescent="0.15">
      <c r="A170" s="22"/>
      <c r="B170" s="23" t="str">
        <f>IF($A170="","",DATE(PARAMETRI!$B$11-1,12,31))</f>
        <v/>
      </c>
      <c r="C170" s="24"/>
      <c r="D170" s="24"/>
      <c r="E170" s="24"/>
      <c r="F170" s="24"/>
      <c r="G170" s="24"/>
      <c r="H170" s="25"/>
      <c r="I170" s="24"/>
      <c r="J170" s="26" t="str">
        <f t="shared" si="2"/>
        <v/>
      </c>
    </row>
    <row r="171" spans="1:10" ht="15" x14ac:dyDescent="0.15">
      <c r="A171" s="22"/>
      <c r="B171" s="23" t="str">
        <f>IF($A171="","",DATE(PARAMETRI!$B$11-1,12,31))</f>
        <v/>
      </c>
      <c r="C171" s="24"/>
      <c r="D171" s="24"/>
      <c r="E171" s="24"/>
      <c r="F171" s="24"/>
      <c r="G171" s="24"/>
      <c r="H171" s="25"/>
      <c r="I171" s="24"/>
      <c r="J171" s="26" t="str">
        <f t="shared" si="2"/>
        <v/>
      </c>
    </row>
    <row r="172" spans="1:10" ht="15" x14ac:dyDescent="0.15">
      <c r="A172" s="22"/>
      <c r="B172" s="23" t="str">
        <f>IF($A172="","",DATE(PARAMETRI!$B$11-1,12,31))</f>
        <v/>
      </c>
      <c r="C172" s="24"/>
      <c r="D172" s="24"/>
      <c r="E172" s="24"/>
      <c r="F172" s="24"/>
      <c r="G172" s="24"/>
      <c r="H172" s="25"/>
      <c r="I172" s="24"/>
      <c r="J172" s="26" t="str">
        <f t="shared" si="2"/>
        <v/>
      </c>
    </row>
    <row r="173" spans="1:10" ht="15" x14ac:dyDescent="0.15">
      <c r="A173" s="22"/>
      <c r="B173" s="23" t="str">
        <f>IF($A173="","",DATE(PARAMETRI!$B$11-1,12,31))</f>
        <v/>
      </c>
      <c r="C173" s="24"/>
      <c r="D173" s="24"/>
      <c r="E173" s="24"/>
      <c r="F173" s="24"/>
      <c r="G173" s="24"/>
      <c r="H173" s="25"/>
      <c r="I173" s="24"/>
      <c r="J173" s="26" t="str">
        <f t="shared" si="2"/>
        <v/>
      </c>
    </row>
    <row r="174" spans="1:10" ht="15" x14ac:dyDescent="0.15">
      <c r="A174" s="22"/>
      <c r="B174" s="23" t="str">
        <f>IF($A174="","",DATE(PARAMETRI!$B$11-1,12,31))</f>
        <v/>
      </c>
      <c r="C174" s="24"/>
      <c r="D174" s="24"/>
      <c r="E174" s="24"/>
      <c r="F174" s="24"/>
      <c r="G174" s="24"/>
      <c r="H174" s="25"/>
      <c r="I174" s="24"/>
      <c r="J174" s="26" t="str">
        <f t="shared" si="2"/>
        <v/>
      </c>
    </row>
    <row r="175" spans="1:10" ht="15" x14ac:dyDescent="0.15">
      <c r="A175" s="22"/>
      <c r="B175" s="23" t="str">
        <f>IF($A175="","",DATE(PARAMETRI!$B$11-1,12,31))</f>
        <v/>
      </c>
      <c r="C175" s="24"/>
      <c r="D175" s="24"/>
      <c r="E175" s="24"/>
      <c r="F175" s="24"/>
      <c r="G175" s="24"/>
      <c r="H175" s="25"/>
      <c r="I175" s="24"/>
      <c r="J175" s="26" t="str">
        <f t="shared" si="2"/>
        <v/>
      </c>
    </row>
    <row r="176" spans="1:10" ht="15" x14ac:dyDescent="0.15">
      <c r="A176" s="22"/>
      <c r="B176" s="23" t="str">
        <f>IF($A176="","",DATE(PARAMETRI!$B$11-1,12,31))</f>
        <v/>
      </c>
      <c r="C176" s="24"/>
      <c r="D176" s="24"/>
      <c r="E176" s="24"/>
      <c r="F176" s="24"/>
      <c r="G176" s="24"/>
      <c r="H176" s="25"/>
      <c r="I176" s="24"/>
      <c r="J176" s="26" t="str">
        <f t="shared" si="2"/>
        <v/>
      </c>
    </row>
    <row r="177" spans="1:10" ht="15" x14ac:dyDescent="0.15">
      <c r="A177" s="22"/>
      <c r="B177" s="23" t="str">
        <f>IF($A177="","",DATE(PARAMETRI!$B$11-1,12,31))</f>
        <v/>
      </c>
      <c r="C177" s="24"/>
      <c r="D177" s="24"/>
      <c r="E177" s="24"/>
      <c r="F177" s="24"/>
      <c r="G177" s="24"/>
      <c r="H177" s="25"/>
      <c r="I177" s="24"/>
      <c r="J177" s="26" t="str">
        <f t="shared" si="2"/>
        <v/>
      </c>
    </row>
    <row r="178" spans="1:10" ht="15" x14ac:dyDescent="0.15">
      <c r="A178" s="22"/>
      <c r="B178" s="23" t="str">
        <f>IF($A178="","",DATE(PARAMETRI!$B$11-1,12,31))</f>
        <v/>
      </c>
      <c r="C178" s="24"/>
      <c r="D178" s="24"/>
      <c r="E178" s="24"/>
      <c r="F178" s="24"/>
      <c r="G178" s="24"/>
      <c r="H178" s="25"/>
      <c r="I178" s="24"/>
      <c r="J178" s="26" t="str">
        <f t="shared" si="2"/>
        <v/>
      </c>
    </row>
    <row r="179" spans="1:10" ht="15" x14ac:dyDescent="0.15">
      <c r="A179" s="22"/>
      <c r="B179" s="23" t="str">
        <f>IF($A179="","",DATE(PARAMETRI!$B$11-1,12,31))</f>
        <v/>
      </c>
      <c r="C179" s="24"/>
      <c r="D179" s="24"/>
      <c r="E179" s="24"/>
      <c r="F179" s="24"/>
      <c r="G179" s="24"/>
      <c r="H179" s="25"/>
      <c r="I179" s="24"/>
      <c r="J179" s="26" t="str">
        <f t="shared" si="2"/>
        <v/>
      </c>
    </row>
    <row r="180" spans="1:10" ht="15" x14ac:dyDescent="0.15">
      <c r="A180" s="22"/>
      <c r="B180" s="23" t="str">
        <f>IF($A180="","",DATE(PARAMETRI!$B$11-1,12,31))</f>
        <v/>
      </c>
      <c r="C180" s="24"/>
      <c r="D180" s="24"/>
      <c r="E180" s="24"/>
      <c r="F180" s="24"/>
      <c r="G180" s="24"/>
      <c r="H180" s="25"/>
      <c r="I180" s="24"/>
      <c r="J180" s="26" t="str">
        <f t="shared" si="2"/>
        <v/>
      </c>
    </row>
    <row r="181" spans="1:10" ht="15" x14ac:dyDescent="0.15">
      <c r="A181" s="22"/>
      <c r="B181" s="23" t="str">
        <f>IF($A181="","",DATE(PARAMETRI!$B$11-1,12,31))</f>
        <v/>
      </c>
      <c r="C181" s="24"/>
      <c r="D181" s="24"/>
      <c r="E181" s="24"/>
      <c r="F181" s="24"/>
      <c r="G181" s="24"/>
      <c r="H181" s="25"/>
      <c r="I181" s="24"/>
      <c r="J181" s="26" t="str">
        <f t="shared" si="2"/>
        <v/>
      </c>
    </row>
    <row r="182" spans="1:10" ht="15" x14ac:dyDescent="0.15">
      <c r="A182" s="22"/>
      <c r="B182" s="23" t="str">
        <f>IF($A182="","",DATE(PARAMETRI!$B$11-1,12,31))</f>
        <v/>
      </c>
      <c r="C182" s="24"/>
      <c r="D182" s="24"/>
      <c r="E182" s="24"/>
      <c r="F182" s="24"/>
      <c r="G182" s="24"/>
      <c r="H182" s="25"/>
      <c r="I182" s="24"/>
      <c r="J182" s="26" t="str">
        <f t="shared" si="2"/>
        <v/>
      </c>
    </row>
    <row r="183" spans="1:10" ht="15" x14ac:dyDescent="0.15">
      <c r="A183" s="22"/>
      <c r="B183" s="23" t="str">
        <f>IF($A183="","",DATE(PARAMETRI!$B$11-1,12,31))</f>
        <v/>
      </c>
      <c r="C183" s="24"/>
      <c r="D183" s="24"/>
      <c r="E183" s="24"/>
      <c r="F183" s="24"/>
      <c r="G183" s="24"/>
      <c r="H183" s="25"/>
      <c r="I183" s="24"/>
      <c r="J183" s="26" t="str">
        <f t="shared" si="2"/>
        <v/>
      </c>
    </row>
    <row r="184" spans="1:10" ht="15" x14ac:dyDescent="0.15">
      <c r="A184" s="22"/>
      <c r="B184" s="23" t="str">
        <f>IF($A184="","",DATE(PARAMETRI!$B$11-1,12,31))</f>
        <v/>
      </c>
      <c r="C184" s="24"/>
      <c r="D184" s="24"/>
      <c r="E184" s="24"/>
      <c r="F184" s="24"/>
      <c r="G184" s="24"/>
      <c r="H184" s="25"/>
      <c r="I184" s="24"/>
      <c r="J184" s="26" t="str">
        <f t="shared" si="2"/>
        <v/>
      </c>
    </row>
    <row r="185" spans="1:10" ht="15" x14ac:dyDescent="0.15">
      <c r="A185" s="22"/>
      <c r="B185" s="23" t="str">
        <f>IF($A185="","",DATE(PARAMETRI!$B$11-1,12,31))</f>
        <v/>
      </c>
      <c r="C185" s="24"/>
      <c r="D185" s="24"/>
      <c r="E185" s="24"/>
      <c r="F185" s="24"/>
      <c r="G185" s="24"/>
      <c r="H185" s="25"/>
      <c r="I185" s="24"/>
      <c r="J185" s="26" t="str">
        <f t="shared" si="2"/>
        <v/>
      </c>
    </row>
    <row r="186" spans="1:10" ht="15" x14ac:dyDescent="0.15">
      <c r="A186" s="22"/>
      <c r="B186" s="23" t="str">
        <f>IF($A186="","",DATE(PARAMETRI!$B$11-1,12,31))</f>
        <v/>
      </c>
      <c r="C186" s="24"/>
      <c r="D186" s="24"/>
      <c r="E186" s="24"/>
      <c r="F186" s="24"/>
      <c r="G186" s="24"/>
      <c r="H186" s="25"/>
      <c r="I186" s="24"/>
      <c r="J186" s="26" t="str">
        <f t="shared" si="2"/>
        <v/>
      </c>
    </row>
    <row r="187" spans="1:10" ht="15" x14ac:dyDescent="0.15">
      <c r="A187" s="22"/>
      <c r="B187" s="23" t="str">
        <f>IF($A187="","",DATE(PARAMETRI!$B$11-1,12,31))</f>
        <v/>
      </c>
      <c r="C187" s="24"/>
      <c r="D187" s="24"/>
      <c r="E187" s="24"/>
      <c r="F187" s="24"/>
      <c r="G187" s="24"/>
      <c r="H187" s="25"/>
      <c r="I187" s="24"/>
      <c r="J187" s="26" t="str">
        <f t="shared" si="2"/>
        <v/>
      </c>
    </row>
    <row r="188" spans="1:10" ht="15" x14ac:dyDescent="0.15">
      <c r="A188" s="22"/>
      <c r="B188" s="23" t="str">
        <f>IF($A188="","",DATE(PARAMETRI!$B$11-1,12,31))</f>
        <v/>
      </c>
      <c r="C188" s="24"/>
      <c r="D188" s="24"/>
      <c r="E188" s="24"/>
      <c r="F188" s="24"/>
      <c r="G188" s="24"/>
      <c r="H188" s="25"/>
      <c r="I188" s="24"/>
      <c r="J188" s="26" t="str">
        <f t="shared" si="2"/>
        <v/>
      </c>
    </row>
    <row r="189" spans="1:10" ht="15" x14ac:dyDescent="0.15">
      <c r="A189" s="22"/>
      <c r="B189" s="23" t="str">
        <f>IF($A189="","",DATE(PARAMETRI!$B$11-1,12,31))</f>
        <v/>
      </c>
      <c r="C189" s="24"/>
      <c r="D189" s="24"/>
      <c r="E189" s="24"/>
      <c r="F189" s="24"/>
      <c r="G189" s="24"/>
      <c r="H189" s="25"/>
      <c r="I189" s="24"/>
      <c r="J189" s="26" t="str">
        <f t="shared" si="2"/>
        <v/>
      </c>
    </row>
    <row r="190" spans="1:10" ht="15" x14ac:dyDescent="0.15">
      <c r="A190" s="22"/>
      <c r="B190" s="23" t="str">
        <f>IF($A190="","",DATE(PARAMETRI!$B$11-1,12,31))</f>
        <v/>
      </c>
      <c r="C190" s="24"/>
      <c r="D190" s="24"/>
      <c r="E190" s="24"/>
      <c r="F190" s="24"/>
      <c r="G190" s="24"/>
      <c r="H190" s="25"/>
      <c r="I190" s="24"/>
      <c r="J190" s="26" t="str">
        <f t="shared" si="2"/>
        <v/>
      </c>
    </row>
    <row r="191" spans="1:10" ht="15" x14ac:dyDescent="0.15">
      <c r="A191" s="22"/>
      <c r="B191" s="23" t="str">
        <f>IF($A191="","",DATE(PARAMETRI!$B$11-1,12,31))</f>
        <v/>
      </c>
      <c r="C191" s="24"/>
      <c r="D191" s="24"/>
      <c r="E191" s="24"/>
      <c r="F191" s="24"/>
      <c r="G191" s="24"/>
      <c r="H191" s="25"/>
      <c r="I191" s="24"/>
      <c r="J191" s="26" t="str">
        <f t="shared" si="2"/>
        <v/>
      </c>
    </row>
    <row r="192" spans="1:10" ht="15" x14ac:dyDescent="0.15">
      <c r="A192" s="22"/>
      <c r="B192" s="23" t="str">
        <f>IF($A192="","",DATE(PARAMETRI!$B$11-1,12,31))</f>
        <v/>
      </c>
      <c r="C192" s="24"/>
      <c r="D192" s="24"/>
      <c r="E192" s="24"/>
      <c r="F192" s="24"/>
      <c r="G192" s="24"/>
      <c r="H192" s="25"/>
      <c r="I192" s="24"/>
      <c r="J192" s="26" t="str">
        <f t="shared" si="2"/>
        <v/>
      </c>
    </row>
    <row r="193" spans="1:10" ht="15" x14ac:dyDescent="0.15">
      <c r="A193" s="22"/>
      <c r="B193" s="23" t="str">
        <f>IF($A193="","",DATE(PARAMETRI!$B$11-1,12,31))</f>
        <v/>
      </c>
      <c r="C193" s="24"/>
      <c r="D193" s="24"/>
      <c r="E193" s="24"/>
      <c r="F193" s="24"/>
      <c r="G193" s="24"/>
      <c r="H193" s="25"/>
      <c r="I193" s="24"/>
      <c r="J193" s="26" t="str">
        <f t="shared" si="2"/>
        <v/>
      </c>
    </row>
    <row r="194" spans="1:10" ht="15" x14ac:dyDescent="0.15">
      <c r="A194" s="22"/>
      <c r="B194" s="23" t="str">
        <f>IF($A194="","",DATE(PARAMETRI!$B$11-1,12,31))</f>
        <v/>
      </c>
      <c r="C194" s="24"/>
      <c r="D194" s="24"/>
      <c r="E194" s="24"/>
      <c r="F194" s="24"/>
      <c r="G194" s="24"/>
      <c r="H194" s="25"/>
      <c r="I194" s="24"/>
      <c r="J194" s="26" t="str">
        <f t="shared" si="2"/>
        <v/>
      </c>
    </row>
    <row r="195" spans="1:10" ht="15" x14ac:dyDescent="0.15">
      <c r="A195" s="22"/>
      <c r="B195" s="23" t="str">
        <f>IF($A195="","",DATE(PARAMETRI!$B$11-1,12,31))</f>
        <v/>
      </c>
      <c r="C195" s="24"/>
      <c r="D195" s="24"/>
      <c r="E195" s="24"/>
      <c r="F195" s="24"/>
      <c r="G195" s="24"/>
      <c r="H195" s="25"/>
      <c r="I195" s="24"/>
      <c r="J195" s="26" t="str">
        <f t="shared" si="2"/>
        <v/>
      </c>
    </row>
    <row r="196" spans="1:10" ht="15" x14ac:dyDescent="0.15">
      <c r="A196" s="22"/>
      <c r="B196" s="23" t="str">
        <f>IF($A196="","",DATE(PARAMETRI!$B$11-1,12,31))</f>
        <v/>
      </c>
      <c r="C196" s="24"/>
      <c r="D196" s="24"/>
      <c r="E196" s="24"/>
      <c r="F196" s="24"/>
      <c r="G196" s="24"/>
      <c r="H196" s="25"/>
      <c r="I196" s="24"/>
      <c r="J196" s="26" t="str">
        <f t="shared" si="2"/>
        <v/>
      </c>
    </row>
    <row r="197" spans="1:10" ht="15" x14ac:dyDescent="0.15">
      <c r="A197" s="22"/>
      <c r="B197" s="23" t="str">
        <f>IF($A197="","",DATE(PARAMETRI!$B$11-1,12,31))</f>
        <v/>
      </c>
      <c r="C197" s="24"/>
      <c r="D197" s="24"/>
      <c r="E197" s="24"/>
      <c r="F197" s="24"/>
      <c r="G197" s="24"/>
      <c r="H197" s="25"/>
      <c r="I197" s="24"/>
      <c r="J197" s="26" t="str">
        <f t="shared" si="2"/>
        <v/>
      </c>
    </row>
    <row r="198" spans="1:10" ht="15" x14ac:dyDescent="0.15">
      <c r="A198" s="22"/>
      <c r="B198" s="23" t="str">
        <f>IF($A198="","",DATE(PARAMETRI!$B$11-1,12,31))</f>
        <v/>
      </c>
      <c r="C198" s="24"/>
      <c r="D198" s="24"/>
      <c r="E198" s="24"/>
      <c r="F198" s="24"/>
      <c r="G198" s="24"/>
      <c r="H198" s="25"/>
      <c r="I198" s="24"/>
      <c r="J198" s="26" t="str">
        <f t="shared" ref="J198:J261" si="3">IF($A198="","",IF(COUNTIF($A$6:$A$505,$A198)&gt;1,"DUPLICATO","OK"))</f>
        <v/>
      </c>
    </row>
    <row r="199" spans="1:10" ht="15" x14ac:dyDescent="0.15">
      <c r="A199" s="22"/>
      <c r="B199" s="23" t="str">
        <f>IF($A199="","",DATE(PARAMETRI!$B$11-1,12,31))</f>
        <v/>
      </c>
      <c r="C199" s="24"/>
      <c r="D199" s="24"/>
      <c r="E199" s="24"/>
      <c r="F199" s="24"/>
      <c r="G199" s="24"/>
      <c r="H199" s="25"/>
      <c r="I199" s="24"/>
      <c r="J199" s="26" t="str">
        <f t="shared" si="3"/>
        <v/>
      </c>
    </row>
    <row r="200" spans="1:10" ht="15" x14ac:dyDescent="0.15">
      <c r="A200" s="22"/>
      <c r="B200" s="23" t="str">
        <f>IF($A200="","",DATE(PARAMETRI!$B$11-1,12,31))</f>
        <v/>
      </c>
      <c r="C200" s="24"/>
      <c r="D200" s="24"/>
      <c r="E200" s="24"/>
      <c r="F200" s="24"/>
      <c r="G200" s="24"/>
      <c r="H200" s="25"/>
      <c r="I200" s="24"/>
      <c r="J200" s="26" t="str">
        <f t="shared" si="3"/>
        <v/>
      </c>
    </row>
    <row r="201" spans="1:10" ht="15" x14ac:dyDescent="0.15">
      <c r="A201" s="22"/>
      <c r="B201" s="23" t="str">
        <f>IF($A201="","",DATE(PARAMETRI!$B$11-1,12,31))</f>
        <v/>
      </c>
      <c r="C201" s="24"/>
      <c r="D201" s="24"/>
      <c r="E201" s="24"/>
      <c r="F201" s="24"/>
      <c r="G201" s="24"/>
      <c r="H201" s="25"/>
      <c r="I201" s="24"/>
      <c r="J201" s="26" t="str">
        <f t="shared" si="3"/>
        <v/>
      </c>
    </row>
    <row r="202" spans="1:10" ht="15" x14ac:dyDescent="0.15">
      <c r="A202" s="22"/>
      <c r="B202" s="23" t="str">
        <f>IF($A202="","",DATE(PARAMETRI!$B$11-1,12,31))</f>
        <v/>
      </c>
      <c r="C202" s="24"/>
      <c r="D202" s="24"/>
      <c r="E202" s="24"/>
      <c r="F202" s="24"/>
      <c r="G202" s="24"/>
      <c r="H202" s="25"/>
      <c r="I202" s="24"/>
      <c r="J202" s="26" t="str">
        <f t="shared" si="3"/>
        <v/>
      </c>
    </row>
    <row r="203" spans="1:10" ht="15" x14ac:dyDescent="0.15">
      <c r="A203" s="22"/>
      <c r="B203" s="23" t="str">
        <f>IF($A203="","",DATE(PARAMETRI!$B$11-1,12,31))</f>
        <v/>
      </c>
      <c r="C203" s="24"/>
      <c r="D203" s="24"/>
      <c r="E203" s="24"/>
      <c r="F203" s="24"/>
      <c r="G203" s="24"/>
      <c r="H203" s="25"/>
      <c r="I203" s="24"/>
      <c r="J203" s="26" t="str">
        <f t="shared" si="3"/>
        <v/>
      </c>
    </row>
    <row r="204" spans="1:10" ht="15" x14ac:dyDescent="0.15">
      <c r="A204" s="22"/>
      <c r="B204" s="23" t="str">
        <f>IF($A204="","",DATE(PARAMETRI!$B$11-1,12,31))</f>
        <v/>
      </c>
      <c r="C204" s="24"/>
      <c r="D204" s="24"/>
      <c r="E204" s="24"/>
      <c r="F204" s="24"/>
      <c r="G204" s="24"/>
      <c r="H204" s="25"/>
      <c r="I204" s="24"/>
      <c r="J204" s="26" t="str">
        <f t="shared" si="3"/>
        <v/>
      </c>
    </row>
    <row r="205" spans="1:10" ht="15" x14ac:dyDescent="0.15">
      <c r="A205" s="22"/>
      <c r="B205" s="23" t="str">
        <f>IF($A205="","",DATE(PARAMETRI!$B$11-1,12,31))</f>
        <v/>
      </c>
      <c r="C205" s="24"/>
      <c r="D205" s="24"/>
      <c r="E205" s="24"/>
      <c r="F205" s="24"/>
      <c r="G205" s="24"/>
      <c r="H205" s="25"/>
      <c r="I205" s="24"/>
      <c r="J205" s="26" t="str">
        <f t="shared" si="3"/>
        <v/>
      </c>
    </row>
    <row r="206" spans="1:10" ht="15" x14ac:dyDescent="0.15">
      <c r="A206" s="22"/>
      <c r="B206" s="23" t="str">
        <f>IF($A206="","",DATE(PARAMETRI!$B$11-1,12,31))</f>
        <v/>
      </c>
      <c r="C206" s="24"/>
      <c r="D206" s="24"/>
      <c r="E206" s="24"/>
      <c r="F206" s="24"/>
      <c r="G206" s="24"/>
      <c r="H206" s="25"/>
      <c r="I206" s="24"/>
      <c r="J206" s="26" t="str">
        <f t="shared" si="3"/>
        <v/>
      </c>
    </row>
    <row r="207" spans="1:10" ht="15" x14ac:dyDescent="0.15">
      <c r="A207" s="22"/>
      <c r="B207" s="23" t="str">
        <f>IF($A207="","",DATE(PARAMETRI!$B$11-1,12,31))</f>
        <v/>
      </c>
      <c r="C207" s="24"/>
      <c r="D207" s="24"/>
      <c r="E207" s="24"/>
      <c r="F207" s="24"/>
      <c r="G207" s="24"/>
      <c r="H207" s="25"/>
      <c r="I207" s="24"/>
      <c r="J207" s="26" t="str">
        <f t="shared" si="3"/>
        <v/>
      </c>
    </row>
    <row r="208" spans="1:10" ht="15" x14ac:dyDescent="0.15">
      <c r="A208" s="22"/>
      <c r="B208" s="23" t="str">
        <f>IF($A208="","",DATE(PARAMETRI!$B$11-1,12,31))</f>
        <v/>
      </c>
      <c r="C208" s="24"/>
      <c r="D208" s="24"/>
      <c r="E208" s="24"/>
      <c r="F208" s="24"/>
      <c r="G208" s="24"/>
      <c r="H208" s="25"/>
      <c r="I208" s="24"/>
      <c r="J208" s="26" t="str">
        <f t="shared" si="3"/>
        <v/>
      </c>
    </row>
    <row r="209" spans="1:10" ht="15" x14ac:dyDescent="0.15">
      <c r="A209" s="22"/>
      <c r="B209" s="23" t="str">
        <f>IF($A209="","",DATE(PARAMETRI!$B$11-1,12,31))</f>
        <v/>
      </c>
      <c r="C209" s="24"/>
      <c r="D209" s="24"/>
      <c r="E209" s="24"/>
      <c r="F209" s="24"/>
      <c r="G209" s="24"/>
      <c r="H209" s="25"/>
      <c r="I209" s="24"/>
      <c r="J209" s="26" t="str">
        <f t="shared" si="3"/>
        <v/>
      </c>
    </row>
    <row r="210" spans="1:10" ht="15" x14ac:dyDescent="0.15">
      <c r="A210" s="22"/>
      <c r="B210" s="23" t="str">
        <f>IF($A210="","",DATE(PARAMETRI!$B$11-1,12,31))</f>
        <v/>
      </c>
      <c r="C210" s="24"/>
      <c r="D210" s="24"/>
      <c r="E210" s="24"/>
      <c r="F210" s="24"/>
      <c r="G210" s="24"/>
      <c r="H210" s="25"/>
      <c r="I210" s="24"/>
      <c r="J210" s="26" t="str">
        <f t="shared" si="3"/>
        <v/>
      </c>
    </row>
    <row r="211" spans="1:10" ht="15" x14ac:dyDescent="0.15">
      <c r="A211" s="22"/>
      <c r="B211" s="23" t="str">
        <f>IF($A211="","",DATE(PARAMETRI!$B$11-1,12,31))</f>
        <v/>
      </c>
      <c r="C211" s="24"/>
      <c r="D211" s="24"/>
      <c r="E211" s="24"/>
      <c r="F211" s="24"/>
      <c r="G211" s="24"/>
      <c r="H211" s="25"/>
      <c r="I211" s="24"/>
      <c r="J211" s="26" t="str">
        <f t="shared" si="3"/>
        <v/>
      </c>
    </row>
    <row r="212" spans="1:10" ht="15" x14ac:dyDescent="0.15">
      <c r="A212" s="22"/>
      <c r="B212" s="23" t="str">
        <f>IF($A212="","",DATE(PARAMETRI!$B$11-1,12,31))</f>
        <v/>
      </c>
      <c r="C212" s="24"/>
      <c r="D212" s="24"/>
      <c r="E212" s="24"/>
      <c r="F212" s="24"/>
      <c r="G212" s="24"/>
      <c r="H212" s="25"/>
      <c r="I212" s="24"/>
      <c r="J212" s="26" t="str">
        <f t="shared" si="3"/>
        <v/>
      </c>
    </row>
    <row r="213" spans="1:10" ht="15" x14ac:dyDescent="0.15">
      <c r="A213" s="22"/>
      <c r="B213" s="23" t="str">
        <f>IF($A213="","",DATE(PARAMETRI!$B$11-1,12,31))</f>
        <v/>
      </c>
      <c r="C213" s="24"/>
      <c r="D213" s="24"/>
      <c r="E213" s="24"/>
      <c r="F213" s="24"/>
      <c r="G213" s="24"/>
      <c r="H213" s="25"/>
      <c r="I213" s="24"/>
      <c r="J213" s="26" t="str">
        <f t="shared" si="3"/>
        <v/>
      </c>
    </row>
    <row r="214" spans="1:10" ht="15" x14ac:dyDescent="0.15">
      <c r="A214" s="22"/>
      <c r="B214" s="23" t="str">
        <f>IF($A214="","",DATE(PARAMETRI!$B$11-1,12,31))</f>
        <v/>
      </c>
      <c r="C214" s="24"/>
      <c r="D214" s="24"/>
      <c r="E214" s="24"/>
      <c r="F214" s="24"/>
      <c r="G214" s="24"/>
      <c r="H214" s="25"/>
      <c r="I214" s="24"/>
      <c r="J214" s="26" t="str">
        <f t="shared" si="3"/>
        <v/>
      </c>
    </row>
    <row r="215" spans="1:10" ht="15" x14ac:dyDescent="0.15">
      <c r="A215" s="22"/>
      <c r="B215" s="23" t="str">
        <f>IF($A215="","",DATE(PARAMETRI!$B$11-1,12,31))</f>
        <v/>
      </c>
      <c r="C215" s="24"/>
      <c r="D215" s="24"/>
      <c r="E215" s="24"/>
      <c r="F215" s="24"/>
      <c r="G215" s="24"/>
      <c r="H215" s="25"/>
      <c r="I215" s="24"/>
      <c r="J215" s="26" t="str">
        <f t="shared" si="3"/>
        <v/>
      </c>
    </row>
    <row r="216" spans="1:10" ht="15" x14ac:dyDescent="0.15">
      <c r="A216" s="22"/>
      <c r="B216" s="23" t="str">
        <f>IF($A216="","",DATE(PARAMETRI!$B$11-1,12,31))</f>
        <v/>
      </c>
      <c r="C216" s="24"/>
      <c r="D216" s="24"/>
      <c r="E216" s="24"/>
      <c r="F216" s="24"/>
      <c r="G216" s="24"/>
      <c r="H216" s="25"/>
      <c r="I216" s="24"/>
      <c r="J216" s="26" t="str">
        <f t="shared" si="3"/>
        <v/>
      </c>
    </row>
    <row r="217" spans="1:10" ht="15" x14ac:dyDescent="0.15">
      <c r="A217" s="22"/>
      <c r="B217" s="23" t="str">
        <f>IF($A217="","",DATE(PARAMETRI!$B$11-1,12,31))</f>
        <v/>
      </c>
      <c r="C217" s="24"/>
      <c r="D217" s="24"/>
      <c r="E217" s="24"/>
      <c r="F217" s="24"/>
      <c r="G217" s="24"/>
      <c r="H217" s="25"/>
      <c r="I217" s="24"/>
      <c r="J217" s="26" t="str">
        <f t="shared" si="3"/>
        <v/>
      </c>
    </row>
    <row r="218" spans="1:10" ht="15" x14ac:dyDescent="0.15">
      <c r="A218" s="22"/>
      <c r="B218" s="23" t="str">
        <f>IF($A218="","",DATE(PARAMETRI!$B$11-1,12,31))</f>
        <v/>
      </c>
      <c r="C218" s="24"/>
      <c r="D218" s="24"/>
      <c r="E218" s="24"/>
      <c r="F218" s="24"/>
      <c r="G218" s="24"/>
      <c r="H218" s="25"/>
      <c r="I218" s="24"/>
      <c r="J218" s="26" t="str">
        <f t="shared" si="3"/>
        <v/>
      </c>
    </row>
    <row r="219" spans="1:10" ht="15" x14ac:dyDescent="0.15">
      <c r="A219" s="22"/>
      <c r="B219" s="23" t="str">
        <f>IF($A219="","",DATE(PARAMETRI!$B$11-1,12,31))</f>
        <v/>
      </c>
      <c r="C219" s="24"/>
      <c r="D219" s="24"/>
      <c r="E219" s="24"/>
      <c r="F219" s="24"/>
      <c r="G219" s="24"/>
      <c r="H219" s="25"/>
      <c r="I219" s="24"/>
      <c r="J219" s="26" t="str">
        <f t="shared" si="3"/>
        <v/>
      </c>
    </row>
    <row r="220" spans="1:10" ht="15" x14ac:dyDescent="0.15">
      <c r="A220" s="22"/>
      <c r="B220" s="23" t="str">
        <f>IF($A220="","",DATE(PARAMETRI!$B$11-1,12,31))</f>
        <v/>
      </c>
      <c r="C220" s="24"/>
      <c r="D220" s="24"/>
      <c r="E220" s="24"/>
      <c r="F220" s="24"/>
      <c r="G220" s="24"/>
      <c r="H220" s="25"/>
      <c r="I220" s="24"/>
      <c r="J220" s="26" t="str">
        <f t="shared" si="3"/>
        <v/>
      </c>
    </row>
    <row r="221" spans="1:10" ht="15" x14ac:dyDescent="0.15">
      <c r="A221" s="22"/>
      <c r="B221" s="23" t="str">
        <f>IF($A221="","",DATE(PARAMETRI!$B$11-1,12,31))</f>
        <v/>
      </c>
      <c r="C221" s="24"/>
      <c r="D221" s="24"/>
      <c r="E221" s="24"/>
      <c r="F221" s="24"/>
      <c r="G221" s="24"/>
      <c r="H221" s="25"/>
      <c r="I221" s="24"/>
      <c r="J221" s="26" t="str">
        <f t="shared" si="3"/>
        <v/>
      </c>
    </row>
    <row r="222" spans="1:10" ht="15" x14ac:dyDescent="0.15">
      <c r="A222" s="22"/>
      <c r="B222" s="23" t="str">
        <f>IF($A222="","",DATE(PARAMETRI!$B$11-1,12,31))</f>
        <v/>
      </c>
      <c r="C222" s="24"/>
      <c r="D222" s="24"/>
      <c r="E222" s="24"/>
      <c r="F222" s="24"/>
      <c r="G222" s="24"/>
      <c r="H222" s="25"/>
      <c r="I222" s="24"/>
      <c r="J222" s="26" t="str">
        <f t="shared" si="3"/>
        <v/>
      </c>
    </row>
    <row r="223" spans="1:10" ht="15" x14ac:dyDescent="0.15">
      <c r="A223" s="22"/>
      <c r="B223" s="23" t="str">
        <f>IF($A223="","",DATE(PARAMETRI!$B$11-1,12,31))</f>
        <v/>
      </c>
      <c r="C223" s="24"/>
      <c r="D223" s="24"/>
      <c r="E223" s="24"/>
      <c r="F223" s="24"/>
      <c r="G223" s="24"/>
      <c r="H223" s="25"/>
      <c r="I223" s="24"/>
      <c r="J223" s="26" t="str">
        <f t="shared" si="3"/>
        <v/>
      </c>
    </row>
    <row r="224" spans="1:10" ht="15" x14ac:dyDescent="0.15">
      <c r="A224" s="22"/>
      <c r="B224" s="23" t="str">
        <f>IF($A224="","",DATE(PARAMETRI!$B$11-1,12,31))</f>
        <v/>
      </c>
      <c r="C224" s="24"/>
      <c r="D224" s="24"/>
      <c r="E224" s="24"/>
      <c r="F224" s="24"/>
      <c r="G224" s="24"/>
      <c r="H224" s="25"/>
      <c r="I224" s="24"/>
      <c r="J224" s="26" t="str">
        <f t="shared" si="3"/>
        <v/>
      </c>
    </row>
    <row r="225" spans="1:10" ht="15" x14ac:dyDescent="0.15">
      <c r="A225" s="22"/>
      <c r="B225" s="23" t="str">
        <f>IF($A225="","",DATE(PARAMETRI!$B$11-1,12,31))</f>
        <v/>
      </c>
      <c r="C225" s="24"/>
      <c r="D225" s="24"/>
      <c r="E225" s="24"/>
      <c r="F225" s="24"/>
      <c r="G225" s="24"/>
      <c r="H225" s="25"/>
      <c r="I225" s="24"/>
      <c r="J225" s="26" t="str">
        <f t="shared" si="3"/>
        <v/>
      </c>
    </row>
    <row r="226" spans="1:10" ht="15" x14ac:dyDescent="0.15">
      <c r="A226" s="22"/>
      <c r="B226" s="23" t="str">
        <f>IF($A226="","",DATE(PARAMETRI!$B$11-1,12,31))</f>
        <v/>
      </c>
      <c r="C226" s="24"/>
      <c r="D226" s="24"/>
      <c r="E226" s="24"/>
      <c r="F226" s="24"/>
      <c r="G226" s="24"/>
      <c r="H226" s="25"/>
      <c r="I226" s="24"/>
      <c r="J226" s="26" t="str">
        <f t="shared" si="3"/>
        <v/>
      </c>
    </row>
    <row r="227" spans="1:10" ht="15" x14ac:dyDescent="0.15">
      <c r="A227" s="22"/>
      <c r="B227" s="23" t="str">
        <f>IF($A227="","",DATE(PARAMETRI!$B$11-1,12,31))</f>
        <v/>
      </c>
      <c r="C227" s="24"/>
      <c r="D227" s="24"/>
      <c r="E227" s="24"/>
      <c r="F227" s="24"/>
      <c r="G227" s="24"/>
      <c r="H227" s="25"/>
      <c r="I227" s="24"/>
      <c r="J227" s="26" t="str">
        <f t="shared" si="3"/>
        <v/>
      </c>
    </row>
    <row r="228" spans="1:10" ht="15" x14ac:dyDescent="0.15">
      <c r="A228" s="22"/>
      <c r="B228" s="23" t="str">
        <f>IF($A228="","",DATE(PARAMETRI!$B$11-1,12,31))</f>
        <v/>
      </c>
      <c r="C228" s="24"/>
      <c r="D228" s="24"/>
      <c r="E228" s="24"/>
      <c r="F228" s="24"/>
      <c r="G228" s="24"/>
      <c r="H228" s="25"/>
      <c r="I228" s="24"/>
      <c r="J228" s="26" t="str">
        <f t="shared" si="3"/>
        <v/>
      </c>
    </row>
    <row r="229" spans="1:10" ht="15" x14ac:dyDescent="0.15">
      <c r="A229" s="22"/>
      <c r="B229" s="23" t="str">
        <f>IF($A229="","",DATE(PARAMETRI!$B$11-1,12,31))</f>
        <v/>
      </c>
      <c r="C229" s="24"/>
      <c r="D229" s="24"/>
      <c r="E229" s="24"/>
      <c r="F229" s="24"/>
      <c r="G229" s="24"/>
      <c r="H229" s="25"/>
      <c r="I229" s="24"/>
      <c r="J229" s="26" t="str">
        <f t="shared" si="3"/>
        <v/>
      </c>
    </row>
    <row r="230" spans="1:10" ht="15" x14ac:dyDescent="0.15">
      <c r="A230" s="22"/>
      <c r="B230" s="23" t="str">
        <f>IF($A230="","",DATE(PARAMETRI!$B$11-1,12,31))</f>
        <v/>
      </c>
      <c r="C230" s="24"/>
      <c r="D230" s="24"/>
      <c r="E230" s="24"/>
      <c r="F230" s="24"/>
      <c r="G230" s="24"/>
      <c r="H230" s="25"/>
      <c r="I230" s="24"/>
      <c r="J230" s="26" t="str">
        <f t="shared" si="3"/>
        <v/>
      </c>
    </row>
    <row r="231" spans="1:10" ht="15" x14ac:dyDescent="0.15">
      <c r="A231" s="22"/>
      <c r="B231" s="23" t="str">
        <f>IF($A231="","",DATE(PARAMETRI!$B$11-1,12,31))</f>
        <v/>
      </c>
      <c r="C231" s="24"/>
      <c r="D231" s="24"/>
      <c r="E231" s="24"/>
      <c r="F231" s="24"/>
      <c r="G231" s="24"/>
      <c r="H231" s="25"/>
      <c r="I231" s="24"/>
      <c r="J231" s="26" t="str">
        <f t="shared" si="3"/>
        <v/>
      </c>
    </row>
    <row r="232" spans="1:10" ht="15" x14ac:dyDescent="0.15">
      <c r="A232" s="22"/>
      <c r="B232" s="23" t="str">
        <f>IF($A232="","",DATE(PARAMETRI!$B$11-1,12,31))</f>
        <v/>
      </c>
      <c r="C232" s="24"/>
      <c r="D232" s="24"/>
      <c r="E232" s="24"/>
      <c r="F232" s="24"/>
      <c r="G232" s="24"/>
      <c r="H232" s="25"/>
      <c r="I232" s="24"/>
      <c r="J232" s="26" t="str">
        <f t="shared" si="3"/>
        <v/>
      </c>
    </row>
    <row r="233" spans="1:10" ht="15" x14ac:dyDescent="0.15">
      <c r="A233" s="22"/>
      <c r="B233" s="23" t="str">
        <f>IF($A233="","",DATE(PARAMETRI!$B$11-1,12,31))</f>
        <v/>
      </c>
      <c r="C233" s="24"/>
      <c r="D233" s="24"/>
      <c r="E233" s="24"/>
      <c r="F233" s="24"/>
      <c r="G233" s="24"/>
      <c r="H233" s="25"/>
      <c r="I233" s="24"/>
      <c r="J233" s="26" t="str">
        <f t="shared" si="3"/>
        <v/>
      </c>
    </row>
    <row r="234" spans="1:10" ht="15" x14ac:dyDescent="0.15">
      <c r="A234" s="22"/>
      <c r="B234" s="23" t="str">
        <f>IF($A234="","",DATE(PARAMETRI!$B$11-1,12,31))</f>
        <v/>
      </c>
      <c r="C234" s="24"/>
      <c r="D234" s="24"/>
      <c r="E234" s="24"/>
      <c r="F234" s="24"/>
      <c r="G234" s="24"/>
      <c r="H234" s="25"/>
      <c r="I234" s="24"/>
      <c r="J234" s="26" t="str">
        <f t="shared" si="3"/>
        <v/>
      </c>
    </row>
    <row r="235" spans="1:10" ht="15" x14ac:dyDescent="0.15">
      <c r="A235" s="22"/>
      <c r="B235" s="23" t="str">
        <f>IF($A235="","",DATE(PARAMETRI!$B$11-1,12,31))</f>
        <v/>
      </c>
      <c r="C235" s="24"/>
      <c r="D235" s="24"/>
      <c r="E235" s="24"/>
      <c r="F235" s="24"/>
      <c r="G235" s="24"/>
      <c r="H235" s="25"/>
      <c r="I235" s="24"/>
      <c r="J235" s="26" t="str">
        <f t="shared" si="3"/>
        <v/>
      </c>
    </row>
    <row r="236" spans="1:10" ht="15" x14ac:dyDescent="0.15">
      <c r="A236" s="22"/>
      <c r="B236" s="23" t="str">
        <f>IF($A236="","",DATE(PARAMETRI!$B$11-1,12,31))</f>
        <v/>
      </c>
      <c r="C236" s="24"/>
      <c r="D236" s="24"/>
      <c r="E236" s="24"/>
      <c r="F236" s="24"/>
      <c r="G236" s="24"/>
      <c r="H236" s="25"/>
      <c r="I236" s="24"/>
      <c r="J236" s="26" t="str">
        <f t="shared" si="3"/>
        <v/>
      </c>
    </row>
    <row r="237" spans="1:10" ht="15" x14ac:dyDescent="0.15">
      <c r="A237" s="22"/>
      <c r="B237" s="23" t="str">
        <f>IF($A237="","",DATE(PARAMETRI!$B$11-1,12,31))</f>
        <v/>
      </c>
      <c r="C237" s="24"/>
      <c r="D237" s="24"/>
      <c r="E237" s="24"/>
      <c r="F237" s="24"/>
      <c r="G237" s="24"/>
      <c r="H237" s="25"/>
      <c r="I237" s="24"/>
      <c r="J237" s="26" t="str">
        <f t="shared" si="3"/>
        <v/>
      </c>
    </row>
    <row r="238" spans="1:10" ht="15" x14ac:dyDescent="0.15">
      <c r="A238" s="22"/>
      <c r="B238" s="23" t="str">
        <f>IF($A238="","",DATE(PARAMETRI!$B$11-1,12,31))</f>
        <v/>
      </c>
      <c r="C238" s="24"/>
      <c r="D238" s="24"/>
      <c r="E238" s="24"/>
      <c r="F238" s="24"/>
      <c r="G238" s="24"/>
      <c r="H238" s="25"/>
      <c r="I238" s="24"/>
      <c r="J238" s="26" t="str">
        <f t="shared" si="3"/>
        <v/>
      </c>
    </row>
    <row r="239" spans="1:10" ht="15" x14ac:dyDescent="0.15">
      <c r="A239" s="22"/>
      <c r="B239" s="23" t="str">
        <f>IF($A239="","",DATE(PARAMETRI!$B$11-1,12,31))</f>
        <v/>
      </c>
      <c r="C239" s="24"/>
      <c r="D239" s="24"/>
      <c r="E239" s="24"/>
      <c r="F239" s="24"/>
      <c r="G239" s="24"/>
      <c r="H239" s="25"/>
      <c r="I239" s="24"/>
      <c r="J239" s="26" t="str">
        <f t="shared" si="3"/>
        <v/>
      </c>
    </row>
    <row r="240" spans="1:10" ht="15" x14ac:dyDescent="0.15">
      <c r="A240" s="22"/>
      <c r="B240" s="23" t="str">
        <f>IF($A240="","",DATE(PARAMETRI!$B$11-1,12,31))</f>
        <v/>
      </c>
      <c r="C240" s="24"/>
      <c r="D240" s="24"/>
      <c r="E240" s="24"/>
      <c r="F240" s="24"/>
      <c r="G240" s="24"/>
      <c r="H240" s="25"/>
      <c r="I240" s="24"/>
      <c r="J240" s="26" t="str">
        <f t="shared" si="3"/>
        <v/>
      </c>
    </row>
    <row r="241" spans="1:10" ht="15" x14ac:dyDescent="0.15">
      <c r="A241" s="22"/>
      <c r="B241" s="23" t="str">
        <f>IF($A241="","",DATE(PARAMETRI!$B$11-1,12,31))</f>
        <v/>
      </c>
      <c r="C241" s="24"/>
      <c r="D241" s="24"/>
      <c r="E241" s="24"/>
      <c r="F241" s="24"/>
      <c r="G241" s="24"/>
      <c r="H241" s="25"/>
      <c r="I241" s="24"/>
      <c r="J241" s="26" t="str">
        <f t="shared" si="3"/>
        <v/>
      </c>
    </row>
    <row r="242" spans="1:10" ht="15" x14ac:dyDescent="0.15">
      <c r="A242" s="22"/>
      <c r="B242" s="23" t="str">
        <f>IF($A242="","",DATE(PARAMETRI!$B$11-1,12,31))</f>
        <v/>
      </c>
      <c r="C242" s="24"/>
      <c r="D242" s="24"/>
      <c r="E242" s="24"/>
      <c r="F242" s="24"/>
      <c r="G242" s="24"/>
      <c r="H242" s="25"/>
      <c r="I242" s="24"/>
      <c r="J242" s="26" t="str">
        <f t="shared" si="3"/>
        <v/>
      </c>
    </row>
    <row r="243" spans="1:10" ht="15" x14ac:dyDescent="0.15">
      <c r="A243" s="22"/>
      <c r="B243" s="23" t="str">
        <f>IF($A243="","",DATE(PARAMETRI!$B$11-1,12,31))</f>
        <v/>
      </c>
      <c r="C243" s="24"/>
      <c r="D243" s="24"/>
      <c r="E243" s="24"/>
      <c r="F243" s="24"/>
      <c r="G243" s="24"/>
      <c r="H243" s="25"/>
      <c r="I243" s="24"/>
      <c r="J243" s="26" t="str">
        <f t="shared" si="3"/>
        <v/>
      </c>
    </row>
    <row r="244" spans="1:10" ht="15" x14ac:dyDescent="0.15">
      <c r="A244" s="22"/>
      <c r="B244" s="23" t="str">
        <f>IF($A244="","",DATE(PARAMETRI!$B$11-1,12,31))</f>
        <v/>
      </c>
      <c r="C244" s="24"/>
      <c r="D244" s="24"/>
      <c r="E244" s="24"/>
      <c r="F244" s="24"/>
      <c r="G244" s="24"/>
      <c r="H244" s="25"/>
      <c r="I244" s="24"/>
      <c r="J244" s="26" t="str">
        <f t="shared" si="3"/>
        <v/>
      </c>
    </row>
    <row r="245" spans="1:10" ht="15" x14ac:dyDescent="0.15">
      <c r="A245" s="22"/>
      <c r="B245" s="23" t="str">
        <f>IF($A245="","",DATE(PARAMETRI!$B$11-1,12,31))</f>
        <v/>
      </c>
      <c r="C245" s="24"/>
      <c r="D245" s="24"/>
      <c r="E245" s="24"/>
      <c r="F245" s="24"/>
      <c r="G245" s="24"/>
      <c r="H245" s="25"/>
      <c r="I245" s="24"/>
      <c r="J245" s="26" t="str">
        <f t="shared" si="3"/>
        <v/>
      </c>
    </row>
    <row r="246" spans="1:10" ht="15" x14ac:dyDescent="0.15">
      <c r="A246" s="22"/>
      <c r="B246" s="23" t="str">
        <f>IF($A246="","",DATE(PARAMETRI!$B$11-1,12,31))</f>
        <v/>
      </c>
      <c r="C246" s="24"/>
      <c r="D246" s="24"/>
      <c r="E246" s="24"/>
      <c r="F246" s="24"/>
      <c r="G246" s="24"/>
      <c r="H246" s="25"/>
      <c r="I246" s="24"/>
      <c r="J246" s="26" t="str">
        <f t="shared" si="3"/>
        <v/>
      </c>
    </row>
    <row r="247" spans="1:10" ht="15" x14ac:dyDescent="0.15">
      <c r="A247" s="22"/>
      <c r="B247" s="23" t="str">
        <f>IF($A247="","",DATE(PARAMETRI!$B$11-1,12,31))</f>
        <v/>
      </c>
      <c r="C247" s="24"/>
      <c r="D247" s="24"/>
      <c r="E247" s="24"/>
      <c r="F247" s="24"/>
      <c r="G247" s="24"/>
      <c r="H247" s="25"/>
      <c r="I247" s="24"/>
      <c r="J247" s="26" t="str">
        <f t="shared" si="3"/>
        <v/>
      </c>
    </row>
    <row r="248" spans="1:10" ht="15" x14ac:dyDescent="0.15">
      <c r="A248" s="22"/>
      <c r="B248" s="23" t="str">
        <f>IF($A248="","",DATE(PARAMETRI!$B$11-1,12,31))</f>
        <v/>
      </c>
      <c r="C248" s="24"/>
      <c r="D248" s="24"/>
      <c r="E248" s="24"/>
      <c r="F248" s="24"/>
      <c r="G248" s="24"/>
      <c r="H248" s="25"/>
      <c r="I248" s="24"/>
      <c r="J248" s="26" t="str">
        <f t="shared" si="3"/>
        <v/>
      </c>
    </row>
    <row r="249" spans="1:10" ht="15" x14ac:dyDescent="0.15">
      <c r="A249" s="22"/>
      <c r="B249" s="23" t="str">
        <f>IF($A249="","",DATE(PARAMETRI!$B$11-1,12,31))</f>
        <v/>
      </c>
      <c r="C249" s="24"/>
      <c r="D249" s="24"/>
      <c r="E249" s="24"/>
      <c r="F249" s="24"/>
      <c r="G249" s="24"/>
      <c r="H249" s="25"/>
      <c r="I249" s="24"/>
      <c r="J249" s="26" t="str">
        <f t="shared" si="3"/>
        <v/>
      </c>
    </row>
    <row r="250" spans="1:10" ht="15" x14ac:dyDescent="0.15">
      <c r="A250" s="22"/>
      <c r="B250" s="23" t="str">
        <f>IF($A250="","",DATE(PARAMETRI!$B$11-1,12,31))</f>
        <v/>
      </c>
      <c r="C250" s="24"/>
      <c r="D250" s="24"/>
      <c r="E250" s="24"/>
      <c r="F250" s="24"/>
      <c r="G250" s="24"/>
      <c r="H250" s="25"/>
      <c r="I250" s="24"/>
      <c r="J250" s="26" t="str">
        <f t="shared" si="3"/>
        <v/>
      </c>
    </row>
    <row r="251" spans="1:10" ht="15" x14ac:dyDescent="0.15">
      <c r="A251" s="22"/>
      <c r="B251" s="23" t="str">
        <f>IF($A251="","",DATE(PARAMETRI!$B$11-1,12,31))</f>
        <v/>
      </c>
      <c r="C251" s="24"/>
      <c r="D251" s="24"/>
      <c r="E251" s="24"/>
      <c r="F251" s="24"/>
      <c r="G251" s="24"/>
      <c r="H251" s="25"/>
      <c r="I251" s="24"/>
      <c r="J251" s="26" t="str">
        <f t="shared" si="3"/>
        <v/>
      </c>
    </row>
    <row r="252" spans="1:10" ht="15" x14ac:dyDescent="0.15">
      <c r="A252" s="22"/>
      <c r="B252" s="23" t="str">
        <f>IF($A252="","",DATE(PARAMETRI!$B$11-1,12,31))</f>
        <v/>
      </c>
      <c r="C252" s="24"/>
      <c r="D252" s="24"/>
      <c r="E252" s="24"/>
      <c r="F252" s="24"/>
      <c r="G252" s="24"/>
      <c r="H252" s="25"/>
      <c r="I252" s="24"/>
      <c r="J252" s="26" t="str">
        <f t="shared" si="3"/>
        <v/>
      </c>
    </row>
    <row r="253" spans="1:10" ht="15" x14ac:dyDescent="0.15">
      <c r="A253" s="22"/>
      <c r="B253" s="23" t="str">
        <f>IF($A253="","",DATE(PARAMETRI!$B$11-1,12,31))</f>
        <v/>
      </c>
      <c r="C253" s="24"/>
      <c r="D253" s="24"/>
      <c r="E253" s="24"/>
      <c r="F253" s="24"/>
      <c r="G253" s="24"/>
      <c r="H253" s="25"/>
      <c r="I253" s="24"/>
      <c r="J253" s="26" t="str">
        <f t="shared" si="3"/>
        <v/>
      </c>
    </row>
    <row r="254" spans="1:10" ht="15" x14ac:dyDescent="0.15">
      <c r="A254" s="22"/>
      <c r="B254" s="23" t="str">
        <f>IF($A254="","",DATE(PARAMETRI!$B$11-1,12,31))</f>
        <v/>
      </c>
      <c r="C254" s="24"/>
      <c r="D254" s="24"/>
      <c r="E254" s="24"/>
      <c r="F254" s="24"/>
      <c r="G254" s="24"/>
      <c r="H254" s="25"/>
      <c r="I254" s="24"/>
      <c r="J254" s="26" t="str">
        <f t="shared" si="3"/>
        <v/>
      </c>
    </row>
    <row r="255" spans="1:10" ht="15" x14ac:dyDescent="0.15">
      <c r="A255" s="22"/>
      <c r="B255" s="23" t="str">
        <f>IF($A255="","",DATE(PARAMETRI!$B$11-1,12,31))</f>
        <v/>
      </c>
      <c r="C255" s="24"/>
      <c r="D255" s="24"/>
      <c r="E255" s="24"/>
      <c r="F255" s="24"/>
      <c r="G255" s="24"/>
      <c r="H255" s="25"/>
      <c r="I255" s="24"/>
      <c r="J255" s="26" t="str">
        <f t="shared" si="3"/>
        <v/>
      </c>
    </row>
    <row r="256" spans="1:10" ht="15" x14ac:dyDescent="0.15">
      <c r="A256" s="22"/>
      <c r="B256" s="23" t="str">
        <f>IF($A256="","",DATE(PARAMETRI!$B$11-1,12,31))</f>
        <v/>
      </c>
      <c r="C256" s="24"/>
      <c r="D256" s="24"/>
      <c r="E256" s="24"/>
      <c r="F256" s="24"/>
      <c r="G256" s="24"/>
      <c r="H256" s="25"/>
      <c r="I256" s="24"/>
      <c r="J256" s="26" t="str">
        <f t="shared" si="3"/>
        <v/>
      </c>
    </row>
    <row r="257" spans="1:10" ht="15" x14ac:dyDescent="0.15">
      <c r="A257" s="22"/>
      <c r="B257" s="23" t="str">
        <f>IF($A257="","",DATE(PARAMETRI!$B$11-1,12,31))</f>
        <v/>
      </c>
      <c r="C257" s="24"/>
      <c r="D257" s="24"/>
      <c r="E257" s="24"/>
      <c r="F257" s="24"/>
      <c r="G257" s="24"/>
      <c r="H257" s="25"/>
      <c r="I257" s="24"/>
      <c r="J257" s="26" t="str">
        <f t="shared" si="3"/>
        <v/>
      </c>
    </row>
    <row r="258" spans="1:10" ht="15" x14ac:dyDescent="0.15">
      <c r="A258" s="22"/>
      <c r="B258" s="23" t="str">
        <f>IF($A258="","",DATE(PARAMETRI!$B$11-1,12,31))</f>
        <v/>
      </c>
      <c r="C258" s="24"/>
      <c r="D258" s="24"/>
      <c r="E258" s="24"/>
      <c r="F258" s="24"/>
      <c r="G258" s="24"/>
      <c r="H258" s="25"/>
      <c r="I258" s="24"/>
      <c r="J258" s="26" t="str">
        <f t="shared" si="3"/>
        <v/>
      </c>
    </row>
    <row r="259" spans="1:10" ht="15" x14ac:dyDescent="0.15">
      <c r="A259" s="22"/>
      <c r="B259" s="23" t="str">
        <f>IF($A259="","",DATE(PARAMETRI!$B$11-1,12,31))</f>
        <v/>
      </c>
      <c r="C259" s="24"/>
      <c r="D259" s="24"/>
      <c r="E259" s="24"/>
      <c r="F259" s="24"/>
      <c r="G259" s="24"/>
      <c r="H259" s="25"/>
      <c r="I259" s="24"/>
      <c r="J259" s="26" t="str">
        <f t="shared" si="3"/>
        <v/>
      </c>
    </row>
    <row r="260" spans="1:10" ht="15" x14ac:dyDescent="0.15">
      <c r="A260" s="22"/>
      <c r="B260" s="23" t="str">
        <f>IF($A260="","",DATE(PARAMETRI!$B$11-1,12,31))</f>
        <v/>
      </c>
      <c r="C260" s="24"/>
      <c r="D260" s="24"/>
      <c r="E260" s="24"/>
      <c r="F260" s="24"/>
      <c r="G260" s="24"/>
      <c r="H260" s="25"/>
      <c r="I260" s="24"/>
      <c r="J260" s="26" t="str">
        <f t="shared" si="3"/>
        <v/>
      </c>
    </row>
    <row r="261" spans="1:10" ht="15" x14ac:dyDescent="0.15">
      <c r="A261" s="22"/>
      <c r="B261" s="23" t="str">
        <f>IF($A261="","",DATE(PARAMETRI!$B$11-1,12,31))</f>
        <v/>
      </c>
      <c r="C261" s="24"/>
      <c r="D261" s="24"/>
      <c r="E261" s="24"/>
      <c r="F261" s="24"/>
      <c r="G261" s="24"/>
      <c r="H261" s="25"/>
      <c r="I261" s="24"/>
      <c r="J261" s="26" t="str">
        <f t="shared" si="3"/>
        <v/>
      </c>
    </row>
    <row r="262" spans="1:10" ht="15" x14ac:dyDescent="0.15">
      <c r="A262" s="22"/>
      <c r="B262" s="23" t="str">
        <f>IF($A262="","",DATE(PARAMETRI!$B$11-1,12,31))</f>
        <v/>
      </c>
      <c r="C262" s="24"/>
      <c r="D262" s="24"/>
      <c r="E262" s="24"/>
      <c r="F262" s="24"/>
      <c r="G262" s="24"/>
      <c r="H262" s="25"/>
      <c r="I262" s="24"/>
      <c r="J262" s="26" t="str">
        <f t="shared" ref="J262:J325" si="4">IF($A262="","",IF(COUNTIF($A$6:$A$505,$A262)&gt;1,"DUPLICATO","OK"))</f>
        <v/>
      </c>
    </row>
    <row r="263" spans="1:10" ht="15" x14ac:dyDescent="0.15">
      <c r="A263" s="22"/>
      <c r="B263" s="23" t="str">
        <f>IF($A263="","",DATE(PARAMETRI!$B$11-1,12,31))</f>
        <v/>
      </c>
      <c r="C263" s="24"/>
      <c r="D263" s="24"/>
      <c r="E263" s="24"/>
      <c r="F263" s="24"/>
      <c r="G263" s="24"/>
      <c r="H263" s="25"/>
      <c r="I263" s="24"/>
      <c r="J263" s="26" t="str">
        <f t="shared" si="4"/>
        <v/>
      </c>
    </row>
    <row r="264" spans="1:10" ht="15" x14ac:dyDescent="0.15">
      <c r="A264" s="22"/>
      <c r="B264" s="23" t="str">
        <f>IF($A264="","",DATE(PARAMETRI!$B$11-1,12,31))</f>
        <v/>
      </c>
      <c r="C264" s="24"/>
      <c r="D264" s="24"/>
      <c r="E264" s="24"/>
      <c r="F264" s="24"/>
      <c r="G264" s="24"/>
      <c r="H264" s="25"/>
      <c r="I264" s="24"/>
      <c r="J264" s="26" t="str">
        <f t="shared" si="4"/>
        <v/>
      </c>
    </row>
    <row r="265" spans="1:10" ht="15" x14ac:dyDescent="0.15">
      <c r="A265" s="22"/>
      <c r="B265" s="23" t="str">
        <f>IF($A265="","",DATE(PARAMETRI!$B$11-1,12,31))</f>
        <v/>
      </c>
      <c r="C265" s="24"/>
      <c r="D265" s="24"/>
      <c r="E265" s="24"/>
      <c r="F265" s="24"/>
      <c r="G265" s="24"/>
      <c r="H265" s="25"/>
      <c r="I265" s="24"/>
      <c r="J265" s="26" t="str">
        <f t="shared" si="4"/>
        <v/>
      </c>
    </row>
    <row r="266" spans="1:10" ht="15" x14ac:dyDescent="0.15">
      <c r="A266" s="22"/>
      <c r="B266" s="23" t="str">
        <f>IF($A266="","",DATE(PARAMETRI!$B$11-1,12,31))</f>
        <v/>
      </c>
      <c r="C266" s="24"/>
      <c r="D266" s="24"/>
      <c r="E266" s="24"/>
      <c r="F266" s="24"/>
      <c r="G266" s="24"/>
      <c r="H266" s="25"/>
      <c r="I266" s="24"/>
      <c r="J266" s="26" t="str">
        <f t="shared" si="4"/>
        <v/>
      </c>
    </row>
    <row r="267" spans="1:10" ht="15" x14ac:dyDescent="0.15">
      <c r="A267" s="22"/>
      <c r="B267" s="23" t="str">
        <f>IF($A267="","",DATE(PARAMETRI!$B$11-1,12,31))</f>
        <v/>
      </c>
      <c r="C267" s="24"/>
      <c r="D267" s="24"/>
      <c r="E267" s="24"/>
      <c r="F267" s="24"/>
      <c r="G267" s="24"/>
      <c r="H267" s="25"/>
      <c r="I267" s="24"/>
      <c r="J267" s="26" t="str">
        <f t="shared" si="4"/>
        <v/>
      </c>
    </row>
    <row r="268" spans="1:10" ht="15" x14ac:dyDescent="0.15">
      <c r="A268" s="22"/>
      <c r="B268" s="23" t="str">
        <f>IF($A268="","",DATE(PARAMETRI!$B$11-1,12,31))</f>
        <v/>
      </c>
      <c r="C268" s="24"/>
      <c r="D268" s="24"/>
      <c r="E268" s="24"/>
      <c r="F268" s="24"/>
      <c r="G268" s="24"/>
      <c r="H268" s="25"/>
      <c r="I268" s="24"/>
      <c r="J268" s="26" t="str">
        <f t="shared" si="4"/>
        <v/>
      </c>
    </row>
    <row r="269" spans="1:10" ht="15" x14ac:dyDescent="0.15">
      <c r="A269" s="22"/>
      <c r="B269" s="23" t="str">
        <f>IF($A269="","",DATE(PARAMETRI!$B$11-1,12,31))</f>
        <v/>
      </c>
      <c r="C269" s="24"/>
      <c r="D269" s="24"/>
      <c r="E269" s="24"/>
      <c r="F269" s="24"/>
      <c r="G269" s="24"/>
      <c r="H269" s="25"/>
      <c r="I269" s="24"/>
      <c r="J269" s="26" t="str">
        <f t="shared" si="4"/>
        <v/>
      </c>
    </row>
    <row r="270" spans="1:10" ht="15" x14ac:dyDescent="0.15">
      <c r="A270" s="22"/>
      <c r="B270" s="23" t="str">
        <f>IF($A270="","",DATE(PARAMETRI!$B$11-1,12,31))</f>
        <v/>
      </c>
      <c r="C270" s="24"/>
      <c r="D270" s="24"/>
      <c r="E270" s="24"/>
      <c r="F270" s="24"/>
      <c r="G270" s="24"/>
      <c r="H270" s="25"/>
      <c r="I270" s="24"/>
      <c r="J270" s="26" t="str">
        <f t="shared" si="4"/>
        <v/>
      </c>
    </row>
    <row r="271" spans="1:10" ht="15" x14ac:dyDescent="0.15">
      <c r="A271" s="22"/>
      <c r="B271" s="23" t="str">
        <f>IF($A271="","",DATE(PARAMETRI!$B$11-1,12,31))</f>
        <v/>
      </c>
      <c r="C271" s="24"/>
      <c r="D271" s="24"/>
      <c r="E271" s="24"/>
      <c r="F271" s="24"/>
      <c r="G271" s="24"/>
      <c r="H271" s="25"/>
      <c r="I271" s="24"/>
      <c r="J271" s="26" t="str">
        <f t="shared" si="4"/>
        <v/>
      </c>
    </row>
    <row r="272" spans="1:10" ht="15" x14ac:dyDescent="0.15">
      <c r="A272" s="22"/>
      <c r="B272" s="23" t="str">
        <f>IF($A272="","",DATE(PARAMETRI!$B$11-1,12,31))</f>
        <v/>
      </c>
      <c r="C272" s="24"/>
      <c r="D272" s="24"/>
      <c r="E272" s="24"/>
      <c r="F272" s="24"/>
      <c r="G272" s="24"/>
      <c r="H272" s="25"/>
      <c r="I272" s="24"/>
      <c r="J272" s="26" t="str">
        <f t="shared" si="4"/>
        <v/>
      </c>
    </row>
    <row r="273" spans="1:10" ht="15" x14ac:dyDescent="0.15">
      <c r="A273" s="22"/>
      <c r="B273" s="23" t="str">
        <f>IF($A273="","",DATE(PARAMETRI!$B$11-1,12,31))</f>
        <v/>
      </c>
      <c r="C273" s="24"/>
      <c r="D273" s="24"/>
      <c r="E273" s="24"/>
      <c r="F273" s="24"/>
      <c r="G273" s="24"/>
      <c r="H273" s="25"/>
      <c r="I273" s="24"/>
      <c r="J273" s="26" t="str">
        <f t="shared" si="4"/>
        <v/>
      </c>
    </row>
    <row r="274" spans="1:10" ht="15" x14ac:dyDescent="0.15">
      <c r="A274" s="22"/>
      <c r="B274" s="23" t="str">
        <f>IF($A274="","",DATE(PARAMETRI!$B$11-1,12,31))</f>
        <v/>
      </c>
      <c r="C274" s="24"/>
      <c r="D274" s="24"/>
      <c r="E274" s="24"/>
      <c r="F274" s="24"/>
      <c r="G274" s="24"/>
      <c r="H274" s="25"/>
      <c r="I274" s="24"/>
      <c r="J274" s="26" t="str">
        <f t="shared" si="4"/>
        <v/>
      </c>
    </row>
    <row r="275" spans="1:10" ht="15" x14ac:dyDescent="0.15">
      <c r="A275" s="22"/>
      <c r="B275" s="23" t="str">
        <f>IF($A275="","",DATE(PARAMETRI!$B$11-1,12,31))</f>
        <v/>
      </c>
      <c r="C275" s="24"/>
      <c r="D275" s="24"/>
      <c r="E275" s="24"/>
      <c r="F275" s="24"/>
      <c r="G275" s="24"/>
      <c r="H275" s="25"/>
      <c r="I275" s="24"/>
      <c r="J275" s="26" t="str">
        <f t="shared" si="4"/>
        <v/>
      </c>
    </row>
    <row r="276" spans="1:10" ht="15" x14ac:dyDescent="0.15">
      <c r="A276" s="22"/>
      <c r="B276" s="23" t="str">
        <f>IF($A276="","",DATE(PARAMETRI!$B$11-1,12,31))</f>
        <v/>
      </c>
      <c r="C276" s="24"/>
      <c r="D276" s="24"/>
      <c r="E276" s="24"/>
      <c r="F276" s="24"/>
      <c r="G276" s="24"/>
      <c r="H276" s="25"/>
      <c r="I276" s="24"/>
      <c r="J276" s="26" t="str">
        <f t="shared" si="4"/>
        <v/>
      </c>
    </row>
    <row r="277" spans="1:10" ht="15" x14ac:dyDescent="0.15">
      <c r="A277" s="22"/>
      <c r="B277" s="23" t="str">
        <f>IF($A277="","",DATE(PARAMETRI!$B$11-1,12,31))</f>
        <v/>
      </c>
      <c r="C277" s="24"/>
      <c r="D277" s="24"/>
      <c r="E277" s="24"/>
      <c r="F277" s="24"/>
      <c r="G277" s="24"/>
      <c r="H277" s="25"/>
      <c r="I277" s="24"/>
      <c r="J277" s="26" t="str">
        <f t="shared" si="4"/>
        <v/>
      </c>
    </row>
    <row r="278" spans="1:10" ht="15" x14ac:dyDescent="0.15">
      <c r="A278" s="22"/>
      <c r="B278" s="23" t="str">
        <f>IF($A278="","",DATE(PARAMETRI!$B$11-1,12,31))</f>
        <v/>
      </c>
      <c r="C278" s="24"/>
      <c r="D278" s="24"/>
      <c r="E278" s="24"/>
      <c r="F278" s="24"/>
      <c r="G278" s="24"/>
      <c r="H278" s="25"/>
      <c r="I278" s="24"/>
      <c r="J278" s="26" t="str">
        <f t="shared" si="4"/>
        <v/>
      </c>
    </row>
    <row r="279" spans="1:10" ht="15" x14ac:dyDescent="0.15">
      <c r="A279" s="22"/>
      <c r="B279" s="23" t="str">
        <f>IF($A279="","",DATE(PARAMETRI!$B$11-1,12,31))</f>
        <v/>
      </c>
      <c r="C279" s="24"/>
      <c r="D279" s="24"/>
      <c r="E279" s="24"/>
      <c r="F279" s="24"/>
      <c r="G279" s="24"/>
      <c r="H279" s="25"/>
      <c r="I279" s="24"/>
      <c r="J279" s="26" t="str">
        <f t="shared" si="4"/>
        <v/>
      </c>
    </row>
    <row r="280" spans="1:10" ht="15" x14ac:dyDescent="0.15">
      <c r="A280" s="22"/>
      <c r="B280" s="23" t="str">
        <f>IF($A280="","",DATE(PARAMETRI!$B$11-1,12,31))</f>
        <v/>
      </c>
      <c r="C280" s="24"/>
      <c r="D280" s="24"/>
      <c r="E280" s="24"/>
      <c r="F280" s="24"/>
      <c r="G280" s="24"/>
      <c r="H280" s="25"/>
      <c r="I280" s="24"/>
      <c r="J280" s="26" t="str">
        <f t="shared" si="4"/>
        <v/>
      </c>
    </row>
    <row r="281" spans="1:10" ht="15" x14ac:dyDescent="0.15">
      <c r="A281" s="22"/>
      <c r="B281" s="23" t="str">
        <f>IF($A281="","",DATE(PARAMETRI!$B$11-1,12,31))</f>
        <v/>
      </c>
      <c r="C281" s="24"/>
      <c r="D281" s="24"/>
      <c r="E281" s="24"/>
      <c r="F281" s="24"/>
      <c r="G281" s="24"/>
      <c r="H281" s="25"/>
      <c r="I281" s="24"/>
      <c r="J281" s="26" t="str">
        <f t="shared" si="4"/>
        <v/>
      </c>
    </row>
    <row r="282" spans="1:10" ht="15" x14ac:dyDescent="0.15">
      <c r="A282" s="22"/>
      <c r="B282" s="23" t="str">
        <f>IF($A282="","",DATE(PARAMETRI!$B$11-1,12,31))</f>
        <v/>
      </c>
      <c r="C282" s="24"/>
      <c r="D282" s="24"/>
      <c r="E282" s="24"/>
      <c r="F282" s="24"/>
      <c r="G282" s="24"/>
      <c r="H282" s="25"/>
      <c r="I282" s="24"/>
      <c r="J282" s="26" t="str">
        <f t="shared" si="4"/>
        <v/>
      </c>
    </row>
    <row r="283" spans="1:10" ht="15" x14ac:dyDescent="0.15">
      <c r="A283" s="22"/>
      <c r="B283" s="23" t="str">
        <f>IF($A283="","",DATE(PARAMETRI!$B$11-1,12,31))</f>
        <v/>
      </c>
      <c r="C283" s="24"/>
      <c r="D283" s="24"/>
      <c r="E283" s="24"/>
      <c r="F283" s="24"/>
      <c r="G283" s="24"/>
      <c r="H283" s="25"/>
      <c r="I283" s="24"/>
      <c r="J283" s="26" t="str">
        <f t="shared" si="4"/>
        <v/>
      </c>
    </row>
    <row r="284" spans="1:10" ht="15" x14ac:dyDescent="0.15">
      <c r="A284" s="22"/>
      <c r="B284" s="23" t="str">
        <f>IF($A284="","",DATE(PARAMETRI!$B$11-1,12,31))</f>
        <v/>
      </c>
      <c r="C284" s="24"/>
      <c r="D284" s="24"/>
      <c r="E284" s="24"/>
      <c r="F284" s="24"/>
      <c r="G284" s="24"/>
      <c r="H284" s="25"/>
      <c r="I284" s="24"/>
      <c r="J284" s="26" t="str">
        <f t="shared" si="4"/>
        <v/>
      </c>
    </row>
    <row r="285" spans="1:10" ht="15" x14ac:dyDescent="0.15">
      <c r="A285" s="22"/>
      <c r="B285" s="23" t="str">
        <f>IF($A285="","",DATE(PARAMETRI!$B$11-1,12,31))</f>
        <v/>
      </c>
      <c r="C285" s="24"/>
      <c r="D285" s="24"/>
      <c r="E285" s="24"/>
      <c r="F285" s="24"/>
      <c r="G285" s="24"/>
      <c r="H285" s="25"/>
      <c r="I285" s="24"/>
      <c r="J285" s="26" t="str">
        <f t="shared" si="4"/>
        <v/>
      </c>
    </row>
    <row r="286" spans="1:10" ht="15" x14ac:dyDescent="0.15">
      <c r="A286" s="22"/>
      <c r="B286" s="23" t="str">
        <f>IF($A286="","",DATE(PARAMETRI!$B$11-1,12,31))</f>
        <v/>
      </c>
      <c r="C286" s="24"/>
      <c r="D286" s="24"/>
      <c r="E286" s="24"/>
      <c r="F286" s="24"/>
      <c r="G286" s="24"/>
      <c r="H286" s="25"/>
      <c r="I286" s="24"/>
      <c r="J286" s="26" t="str">
        <f t="shared" si="4"/>
        <v/>
      </c>
    </row>
    <row r="287" spans="1:10" ht="15" x14ac:dyDescent="0.15">
      <c r="A287" s="22"/>
      <c r="B287" s="23" t="str">
        <f>IF($A287="","",DATE(PARAMETRI!$B$11-1,12,31))</f>
        <v/>
      </c>
      <c r="C287" s="24"/>
      <c r="D287" s="24"/>
      <c r="E287" s="24"/>
      <c r="F287" s="24"/>
      <c r="G287" s="24"/>
      <c r="H287" s="25"/>
      <c r="I287" s="24"/>
      <c r="J287" s="26" t="str">
        <f t="shared" si="4"/>
        <v/>
      </c>
    </row>
    <row r="288" spans="1:10" ht="15" x14ac:dyDescent="0.15">
      <c r="A288" s="22"/>
      <c r="B288" s="23" t="str">
        <f>IF($A288="","",DATE(PARAMETRI!$B$11-1,12,31))</f>
        <v/>
      </c>
      <c r="C288" s="24"/>
      <c r="D288" s="24"/>
      <c r="E288" s="24"/>
      <c r="F288" s="24"/>
      <c r="G288" s="24"/>
      <c r="H288" s="25"/>
      <c r="I288" s="24"/>
      <c r="J288" s="26" t="str">
        <f t="shared" si="4"/>
        <v/>
      </c>
    </row>
    <row r="289" spans="1:10" ht="15" x14ac:dyDescent="0.15">
      <c r="A289" s="22"/>
      <c r="B289" s="23" t="str">
        <f>IF($A289="","",DATE(PARAMETRI!$B$11-1,12,31))</f>
        <v/>
      </c>
      <c r="C289" s="24"/>
      <c r="D289" s="24"/>
      <c r="E289" s="24"/>
      <c r="F289" s="24"/>
      <c r="G289" s="24"/>
      <c r="H289" s="25"/>
      <c r="I289" s="24"/>
      <c r="J289" s="26" t="str">
        <f t="shared" si="4"/>
        <v/>
      </c>
    </row>
    <row r="290" spans="1:10" ht="15" x14ac:dyDescent="0.15">
      <c r="A290" s="22"/>
      <c r="B290" s="23" t="str">
        <f>IF($A290="","",DATE(PARAMETRI!$B$11-1,12,31))</f>
        <v/>
      </c>
      <c r="C290" s="24"/>
      <c r="D290" s="24"/>
      <c r="E290" s="24"/>
      <c r="F290" s="24"/>
      <c r="G290" s="24"/>
      <c r="H290" s="25"/>
      <c r="I290" s="24"/>
      <c r="J290" s="26" t="str">
        <f t="shared" si="4"/>
        <v/>
      </c>
    </row>
    <row r="291" spans="1:10" ht="15" x14ac:dyDescent="0.15">
      <c r="A291" s="22"/>
      <c r="B291" s="23" t="str">
        <f>IF($A291="","",DATE(PARAMETRI!$B$11-1,12,31))</f>
        <v/>
      </c>
      <c r="C291" s="24"/>
      <c r="D291" s="24"/>
      <c r="E291" s="24"/>
      <c r="F291" s="24"/>
      <c r="G291" s="24"/>
      <c r="H291" s="25"/>
      <c r="I291" s="24"/>
      <c r="J291" s="26" t="str">
        <f t="shared" si="4"/>
        <v/>
      </c>
    </row>
    <row r="292" spans="1:10" ht="15" x14ac:dyDescent="0.15">
      <c r="A292" s="22"/>
      <c r="B292" s="23" t="str">
        <f>IF($A292="","",DATE(PARAMETRI!$B$11-1,12,31))</f>
        <v/>
      </c>
      <c r="C292" s="24"/>
      <c r="D292" s="24"/>
      <c r="E292" s="24"/>
      <c r="F292" s="24"/>
      <c r="G292" s="24"/>
      <c r="H292" s="25"/>
      <c r="I292" s="24"/>
      <c r="J292" s="26" t="str">
        <f t="shared" si="4"/>
        <v/>
      </c>
    </row>
    <row r="293" spans="1:10" ht="15" x14ac:dyDescent="0.15">
      <c r="A293" s="22"/>
      <c r="B293" s="23" t="str">
        <f>IF($A293="","",DATE(PARAMETRI!$B$11-1,12,31))</f>
        <v/>
      </c>
      <c r="C293" s="24"/>
      <c r="D293" s="24"/>
      <c r="E293" s="24"/>
      <c r="F293" s="24"/>
      <c r="G293" s="24"/>
      <c r="H293" s="25"/>
      <c r="I293" s="24"/>
      <c r="J293" s="26" t="str">
        <f t="shared" si="4"/>
        <v/>
      </c>
    </row>
    <row r="294" spans="1:10" ht="15" x14ac:dyDescent="0.15">
      <c r="A294" s="22"/>
      <c r="B294" s="23" t="str">
        <f>IF($A294="","",DATE(PARAMETRI!$B$11-1,12,31))</f>
        <v/>
      </c>
      <c r="C294" s="24"/>
      <c r="D294" s="24"/>
      <c r="E294" s="24"/>
      <c r="F294" s="24"/>
      <c r="G294" s="24"/>
      <c r="H294" s="25"/>
      <c r="I294" s="24"/>
      <c r="J294" s="26" t="str">
        <f t="shared" si="4"/>
        <v/>
      </c>
    </row>
    <row r="295" spans="1:10" ht="15" x14ac:dyDescent="0.15">
      <c r="A295" s="22"/>
      <c r="B295" s="23" t="str">
        <f>IF($A295="","",DATE(PARAMETRI!$B$11-1,12,31))</f>
        <v/>
      </c>
      <c r="C295" s="24"/>
      <c r="D295" s="24"/>
      <c r="E295" s="24"/>
      <c r="F295" s="24"/>
      <c r="G295" s="24"/>
      <c r="H295" s="25"/>
      <c r="I295" s="24"/>
      <c r="J295" s="26" t="str">
        <f t="shared" si="4"/>
        <v/>
      </c>
    </row>
    <row r="296" spans="1:10" ht="15" x14ac:dyDescent="0.15">
      <c r="A296" s="22"/>
      <c r="B296" s="23" t="str">
        <f>IF($A296="","",DATE(PARAMETRI!$B$11-1,12,31))</f>
        <v/>
      </c>
      <c r="C296" s="24"/>
      <c r="D296" s="24"/>
      <c r="E296" s="24"/>
      <c r="F296" s="24"/>
      <c r="G296" s="24"/>
      <c r="H296" s="25"/>
      <c r="I296" s="24"/>
      <c r="J296" s="26" t="str">
        <f t="shared" si="4"/>
        <v/>
      </c>
    </row>
    <row r="297" spans="1:10" ht="15" x14ac:dyDescent="0.15">
      <c r="A297" s="22"/>
      <c r="B297" s="23" t="str">
        <f>IF($A297="","",DATE(PARAMETRI!$B$11-1,12,31))</f>
        <v/>
      </c>
      <c r="C297" s="24"/>
      <c r="D297" s="24"/>
      <c r="E297" s="24"/>
      <c r="F297" s="24"/>
      <c r="G297" s="24"/>
      <c r="H297" s="25"/>
      <c r="I297" s="24"/>
      <c r="J297" s="26" t="str">
        <f t="shared" si="4"/>
        <v/>
      </c>
    </row>
    <row r="298" spans="1:10" ht="15" x14ac:dyDescent="0.15">
      <c r="A298" s="22"/>
      <c r="B298" s="23" t="str">
        <f>IF($A298="","",DATE(PARAMETRI!$B$11-1,12,31))</f>
        <v/>
      </c>
      <c r="C298" s="24"/>
      <c r="D298" s="24"/>
      <c r="E298" s="24"/>
      <c r="F298" s="24"/>
      <c r="G298" s="24"/>
      <c r="H298" s="25"/>
      <c r="I298" s="24"/>
      <c r="J298" s="26" t="str">
        <f t="shared" si="4"/>
        <v/>
      </c>
    </row>
    <row r="299" spans="1:10" ht="15" x14ac:dyDescent="0.15">
      <c r="A299" s="22"/>
      <c r="B299" s="23" t="str">
        <f>IF($A299="","",DATE(PARAMETRI!$B$11-1,12,31))</f>
        <v/>
      </c>
      <c r="C299" s="24"/>
      <c r="D299" s="24"/>
      <c r="E299" s="24"/>
      <c r="F299" s="24"/>
      <c r="G299" s="24"/>
      <c r="H299" s="25"/>
      <c r="I299" s="24"/>
      <c r="J299" s="26" t="str">
        <f t="shared" si="4"/>
        <v/>
      </c>
    </row>
    <row r="300" spans="1:10" ht="15" x14ac:dyDescent="0.15">
      <c r="A300" s="22"/>
      <c r="B300" s="23" t="str">
        <f>IF($A300="","",DATE(PARAMETRI!$B$11-1,12,31))</f>
        <v/>
      </c>
      <c r="C300" s="24"/>
      <c r="D300" s="24"/>
      <c r="E300" s="24"/>
      <c r="F300" s="24"/>
      <c r="G300" s="24"/>
      <c r="H300" s="25"/>
      <c r="I300" s="24"/>
      <c r="J300" s="26" t="str">
        <f t="shared" si="4"/>
        <v/>
      </c>
    </row>
    <row r="301" spans="1:10" ht="15" x14ac:dyDescent="0.15">
      <c r="A301" s="22"/>
      <c r="B301" s="23" t="str">
        <f>IF($A301="","",DATE(PARAMETRI!$B$11-1,12,31))</f>
        <v/>
      </c>
      <c r="C301" s="24"/>
      <c r="D301" s="24"/>
      <c r="E301" s="24"/>
      <c r="F301" s="24"/>
      <c r="G301" s="24"/>
      <c r="H301" s="25"/>
      <c r="I301" s="24"/>
      <c r="J301" s="26" t="str">
        <f t="shared" si="4"/>
        <v/>
      </c>
    </row>
    <row r="302" spans="1:10" ht="15" x14ac:dyDescent="0.15">
      <c r="A302" s="22"/>
      <c r="B302" s="23" t="str">
        <f>IF($A302="","",DATE(PARAMETRI!$B$11-1,12,31))</f>
        <v/>
      </c>
      <c r="C302" s="24"/>
      <c r="D302" s="24"/>
      <c r="E302" s="24"/>
      <c r="F302" s="24"/>
      <c r="G302" s="24"/>
      <c r="H302" s="25"/>
      <c r="I302" s="24"/>
      <c r="J302" s="26" t="str">
        <f t="shared" si="4"/>
        <v/>
      </c>
    </row>
    <row r="303" spans="1:10" ht="15" x14ac:dyDescent="0.15">
      <c r="A303" s="22"/>
      <c r="B303" s="23" t="str">
        <f>IF($A303="","",DATE(PARAMETRI!$B$11-1,12,31))</f>
        <v/>
      </c>
      <c r="C303" s="24"/>
      <c r="D303" s="24"/>
      <c r="E303" s="24"/>
      <c r="F303" s="24"/>
      <c r="G303" s="24"/>
      <c r="H303" s="25"/>
      <c r="I303" s="24"/>
      <c r="J303" s="26" t="str">
        <f t="shared" si="4"/>
        <v/>
      </c>
    </row>
    <row r="304" spans="1:10" ht="15" x14ac:dyDescent="0.15">
      <c r="A304" s="22"/>
      <c r="B304" s="23" t="str">
        <f>IF($A304="","",DATE(PARAMETRI!$B$11-1,12,31))</f>
        <v/>
      </c>
      <c r="C304" s="24"/>
      <c r="D304" s="24"/>
      <c r="E304" s="24"/>
      <c r="F304" s="24"/>
      <c r="G304" s="24"/>
      <c r="H304" s="25"/>
      <c r="I304" s="24"/>
      <c r="J304" s="26" t="str">
        <f t="shared" si="4"/>
        <v/>
      </c>
    </row>
    <row r="305" spans="1:10" ht="15" x14ac:dyDescent="0.15">
      <c r="A305" s="22"/>
      <c r="B305" s="23" t="str">
        <f>IF($A305="","",DATE(PARAMETRI!$B$11-1,12,31))</f>
        <v/>
      </c>
      <c r="C305" s="24"/>
      <c r="D305" s="24"/>
      <c r="E305" s="24"/>
      <c r="F305" s="24"/>
      <c r="G305" s="24"/>
      <c r="H305" s="25"/>
      <c r="I305" s="24"/>
      <c r="J305" s="26" t="str">
        <f t="shared" si="4"/>
        <v/>
      </c>
    </row>
    <row r="306" spans="1:10" ht="15" x14ac:dyDescent="0.15">
      <c r="A306" s="22"/>
      <c r="B306" s="23" t="str">
        <f>IF($A306="","",DATE(PARAMETRI!$B$11-1,12,31))</f>
        <v/>
      </c>
      <c r="C306" s="24"/>
      <c r="D306" s="24"/>
      <c r="E306" s="24"/>
      <c r="F306" s="24"/>
      <c r="G306" s="24"/>
      <c r="H306" s="25"/>
      <c r="I306" s="24"/>
      <c r="J306" s="26" t="str">
        <f t="shared" si="4"/>
        <v/>
      </c>
    </row>
    <row r="307" spans="1:10" ht="15" x14ac:dyDescent="0.15">
      <c r="A307" s="22"/>
      <c r="B307" s="23" t="str">
        <f>IF($A307="","",DATE(PARAMETRI!$B$11-1,12,31))</f>
        <v/>
      </c>
      <c r="C307" s="24"/>
      <c r="D307" s="24"/>
      <c r="E307" s="24"/>
      <c r="F307" s="24"/>
      <c r="G307" s="24"/>
      <c r="H307" s="25"/>
      <c r="I307" s="24"/>
      <c r="J307" s="26" t="str">
        <f t="shared" si="4"/>
        <v/>
      </c>
    </row>
    <row r="308" spans="1:10" ht="15" x14ac:dyDescent="0.15">
      <c r="A308" s="22"/>
      <c r="B308" s="23" t="str">
        <f>IF($A308="","",DATE(PARAMETRI!$B$11-1,12,31))</f>
        <v/>
      </c>
      <c r="C308" s="24"/>
      <c r="D308" s="24"/>
      <c r="E308" s="24"/>
      <c r="F308" s="24"/>
      <c r="G308" s="24"/>
      <c r="H308" s="25"/>
      <c r="I308" s="24"/>
      <c r="J308" s="26" t="str">
        <f t="shared" si="4"/>
        <v/>
      </c>
    </row>
    <row r="309" spans="1:10" ht="15" x14ac:dyDescent="0.15">
      <c r="A309" s="22"/>
      <c r="B309" s="23" t="str">
        <f>IF($A309="","",DATE(PARAMETRI!$B$11-1,12,31))</f>
        <v/>
      </c>
      <c r="C309" s="24"/>
      <c r="D309" s="24"/>
      <c r="E309" s="24"/>
      <c r="F309" s="24"/>
      <c r="G309" s="24"/>
      <c r="H309" s="25"/>
      <c r="I309" s="24"/>
      <c r="J309" s="26" t="str">
        <f t="shared" si="4"/>
        <v/>
      </c>
    </row>
    <row r="310" spans="1:10" ht="15" x14ac:dyDescent="0.15">
      <c r="A310" s="22"/>
      <c r="B310" s="23" t="str">
        <f>IF($A310="","",DATE(PARAMETRI!$B$11-1,12,31))</f>
        <v/>
      </c>
      <c r="C310" s="24"/>
      <c r="D310" s="24"/>
      <c r="E310" s="24"/>
      <c r="F310" s="24"/>
      <c r="G310" s="24"/>
      <c r="H310" s="25"/>
      <c r="I310" s="24"/>
      <c r="J310" s="26" t="str">
        <f t="shared" si="4"/>
        <v/>
      </c>
    </row>
    <row r="311" spans="1:10" ht="15" x14ac:dyDescent="0.15">
      <c r="A311" s="22"/>
      <c r="B311" s="23" t="str">
        <f>IF($A311="","",DATE(PARAMETRI!$B$11-1,12,31))</f>
        <v/>
      </c>
      <c r="C311" s="24"/>
      <c r="D311" s="24"/>
      <c r="E311" s="24"/>
      <c r="F311" s="24"/>
      <c r="G311" s="24"/>
      <c r="H311" s="25"/>
      <c r="I311" s="24"/>
      <c r="J311" s="26" t="str">
        <f t="shared" si="4"/>
        <v/>
      </c>
    </row>
    <row r="312" spans="1:10" ht="15" x14ac:dyDescent="0.15">
      <c r="A312" s="22"/>
      <c r="B312" s="23" t="str">
        <f>IF($A312="","",DATE(PARAMETRI!$B$11-1,12,31))</f>
        <v/>
      </c>
      <c r="C312" s="24"/>
      <c r="D312" s="24"/>
      <c r="E312" s="24"/>
      <c r="F312" s="24"/>
      <c r="G312" s="24"/>
      <c r="H312" s="25"/>
      <c r="I312" s="24"/>
      <c r="J312" s="26" t="str">
        <f t="shared" si="4"/>
        <v/>
      </c>
    </row>
    <row r="313" spans="1:10" ht="15" x14ac:dyDescent="0.15">
      <c r="A313" s="22"/>
      <c r="B313" s="23" t="str">
        <f>IF($A313="","",DATE(PARAMETRI!$B$11-1,12,31))</f>
        <v/>
      </c>
      <c r="C313" s="24"/>
      <c r="D313" s="24"/>
      <c r="E313" s="24"/>
      <c r="F313" s="24"/>
      <c r="G313" s="24"/>
      <c r="H313" s="25"/>
      <c r="I313" s="24"/>
      <c r="J313" s="26" t="str">
        <f t="shared" si="4"/>
        <v/>
      </c>
    </row>
    <row r="314" spans="1:10" ht="15" x14ac:dyDescent="0.15">
      <c r="A314" s="22"/>
      <c r="B314" s="23" t="str">
        <f>IF($A314="","",DATE(PARAMETRI!$B$11-1,12,31))</f>
        <v/>
      </c>
      <c r="C314" s="24"/>
      <c r="D314" s="24"/>
      <c r="E314" s="24"/>
      <c r="F314" s="24"/>
      <c r="G314" s="24"/>
      <c r="H314" s="25"/>
      <c r="I314" s="24"/>
      <c r="J314" s="26" t="str">
        <f t="shared" si="4"/>
        <v/>
      </c>
    </row>
    <row r="315" spans="1:10" ht="15" x14ac:dyDescent="0.15">
      <c r="A315" s="22"/>
      <c r="B315" s="23" t="str">
        <f>IF($A315="","",DATE(PARAMETRI!$B$11-1,12,31))</f>
        <v/>
      </c>
      <c r="C315" s="24"/>
      <c r="D315" s="24"/>
      <c r="E315" s="24"/>
      <c r="F315" s="24"/>
      <c r="G315" s="24"/>
      <c r="H315" s="25"/>
      <c r="I315" s="24"/>
      <c r="J315" s="26" t="str">
        <f t="shared" si="4"/>
        <v/>
      </c>
    </row>
    <row r="316" spans="1:10" ht="15" x14ac:dyDescent="0.15">
      <c r="A316" s="22"/>
      <c r="B316" s="23" t="str">
        <f>IF($A316="","",DATE(PARAMETRI!$B$11-1,12,31))</f>
        <v/>
      </c>
      <c r="C316" s="24"/>
      <c r="D316" s="24"/>
      <c r="E316" s="24"/>
      <c r="F316" s="24"/>
      <c r="G316" s="24"/>
      <c r="H316" s="25"/>
      <c r="I316" s="24"/>
      <c r="J316" s="26" t="str">
        <f t="shared" si="4"/>
        <v/>
      </c>
    </row>
    <row r="317" spans="1:10" ht="15" x14ac:dyDescent="0.15">
      <c r="A317" s="22"/>
      <c r="B317" s="23" t="str">
        <f>IF($A317="","",DATE(PARAMETRI!$B$11-1,12,31))</f>
        <v/>
      </c>
      <c r="C317" s="24"/>
      <c r="D317" s="24"/>
      <c r="E317" s="24"/>
      <c r="F317" s="24"/>
      <c r="G317" s="24"/>
      <c r="H317" s="25"/>
      <c r="I317" s="24"/>
      <c r="J317" s="26" t="str">
        <f t="shared" si="4"/>
        <v/>
      </c>
    </row>
    <row r="318" spans="1:10" ht="15" x14ac:dyDescent="0.15">
      <c r="A318" s="22"/>
      <c r="B318" s="23" t="str">
        <f>IF($A318="","",DATE(PARAMETRI!$B$11-1,12,31))</f>
        <v/>
      </c>
      <c r="C318" s="24"/>
      <c r="D318" s="24"/>
      <c r="E318" s="24"/>
      <c r="F318" s="24"/>
      <c r="G318" s="24"/>
      <c r="H318" s="25"/>
      <c r="I318" s="24"/>
      <c r="J318" s="26" t="str">
        <f t="shared" si="4"/>
        <v/>
      </c>
    </row>
    <row r="319" spans="1:10" ht="15" x14ac:dyDescent="0.15">
      <c r="A319" s="22"/>
      <c r="B319" s="23" t="str">
        <f>IF($A319="","",DATE(PARAMETRI!$B$11-1,12,31))</f>
        <v/>
      </c>
      <c r="C319" s="24"/>
      <c r="D319" s="24"/>
      <c r="E319" s="24"/>
      <c r="F319" s="24"/>
      <c r="G319" s="24"/>
      <c r="H319" s="25"/>
      <c r="I319" s="24"/>
      <c r="J319" s="26" t="str">
        <f t="shared" si="4"/>
        <v/>
      </c>
    </row>
    <row r="320" spans="1:10" ht="15" x14ac:dyDescent="0.15">
      <c r="A320" s="22"/>
      <c r="B320" s="23" t="str">
        <f>IF($A320="","",DATE(PARAMETRI!$B$11-1,12,31))</f>
        <v/>
      </c>
      <c r="C320" s="24"/>
      <c r="D320" s="24"/>
      <c r="E320" s="24"/>
      <c r="F320" s="24"/>
      <c r="G320" s="24"/>
      <c r="H320" s="25"/>
      <c r="I320" s="24"/>
      <c r="J320" s="26" t="str">
        <f t="shared" si="4"/>
        <v/>
      </c>
    </row>
    <row r="321" spans="1:10" ht="15" x14ac:dyDescent="0.15">
      <c r="A321" s="22"/>
      <c r="B321" s="23" t="str">
        <f>IF($A321="","",DATE(PARAMETRI!$B$11-1,12,31))</f>
        <v/>
      </c>
      <c r="C321" s="24"/>
      <c r="D321" s="24"/>
      <c r="E321" s="24"/>
      <c r="F321" s="24"/>
      <c r="G321" s="24"/>
      <c r="H321" s="25"/>
      <c r="I321" s="24"/>
      <c r="J321" s="26" t="str">
        <f t="shared" si="4"/>
        <v/>
      </c>
    </row>
    <row r="322" spans="1:10" ht="15" x14ac:dyDescent="0.15">
      <c r="A322" s="22"/>
      <c r="B322" s="23" t="str">
        <f>IF($A322="","",DATE(PARAMETRI!$B$11-1,12,31))</f>
        <v/>
      </c>
      <c r="C322" s="24"/>
      <c r="D322" s="24"/>
      <c r="E322" s="24"/>
      <c r="F322" s="24"/>
      <c r="G322" s="24"/>
      <c r="H322" s="25"/>
      <c r="I322" s="24"/>
      <c r="J322" s="26" t="str">
        <f t="shared" si="4"/>
        <v/>
      </c>
    </row>
    <row r="323" spans="1:10" ht="15" x14ac:dyDescent="0.15">
      <c r="A323" s="22"/>
      <c r="B323" s="23" t="str">
        <f>IF($A323="","",DATE(PARAMETRI!$B$11-1,12,31))</f>
        <v/>
      </c>
      <c r="C323" s="24"/>
      <c r="D323" s="24"/>
      <c r="E323" s="24"/>
      <c r="F323" s="24"/>
      <c r="G323" s="24"/>
      <c r="H323" s="25"/>
      <c r="I323" s="24"/>
      <c r="J323" s="26" t="str">
        <f t="shared" si="4"/>
        <v/>
      </c>
    </row>
    <row r="324" spans="1:10" ht="15" x14ac:dyDescent="0.15">
      <c r="A324" s="22"/>
      <c r="B324" s="23" t="str">
        <f>IF($A324="","",DATE(PARAMETRI!$B$11-1,12,31))</f>
        <v/>
      </c>
      <c r="C324" s="24"/>
      <c r="D324" s="24"/>
      <c r="E324" s="24"/>
      <c r="F324" s="24"/>
      <c r="G324" s="24"/>
      <c r="H324" s="25"/>
      <c r="I324" s="24"/>
      <c r="J324" s="26" t="str">
        <f t="shared" si="4"/>
        <v/>
      </c>
    </row>
    <row r="325" spans="1:10" ht="15" x14ac:dyDescent="0.15">
      <c r="A325" s="22"/>
      <c r="B325" s="23" t="str">
        <f>IF($A325="","",DATE(PARAMETRI!$B$11-1,12,31))</f>
        <v/>
      </c>
      <c r="C325" s="24"/>
      <c r="D325" s="24"/>
      <c r="E325" s="24"/>
      <c r="F325" s="24"/>
      <c r="G325" s="24"/>
      <c r="H325" s="25"/>
      <c r="I325" s="24"/>
      <c r="J325" s="26" t="str">
        <f t="shared" si="4"/>
        <v/>
      </c>
    </row>
    <row r="326" spans="1:10" ht="15" x14ac:dyDescent="0.15">
      <c r="A326" s="22"/>
      <c r="B326" s="23" t="str">
        <f>IF($A326="","",DATE(PARAMETRI!$B$11-1,12,31))</f>
        <v/>
      </c>
      <c r="C326" s="24"/>
      <c r="D326" s="24"/>
      <c r="E326" s="24"/>
      <c r="F326" s="24"/>
      <c r="G326" s="24"/>
      <c r="H326" s="25"/>
      <c r="I326" s="24"/>
      <c r="J326" s="26" t="str">
        <f t="shared" ref="J326:J389" si="5">IF($A326="","",IF(COUNTIF($A$6:$A$505,$A326)&gt;1,"DUPLICATO","OK"))</f>
        <v/>
      </c>
    </row>
    <row r="327" spans="1:10" ht="15" x14ac:dyDescent="0.15">
      <c r="A327" s="22"/>
      <c r="B327" s="23" t="str">
        <f>IF($A327="","",DATE(PARAMETRI!$B$11-1,12,31))</f>
        <v/>
      </c>
      <c r="C327" s="24"/>
      <c r="D327" s="24"/>
      <c r="E327" s="24"/>
      <c r="F327" s="24"/>
      <c r="G327" s="24"/>
      <c r="H327" s="25"/>
      <c r="I327" s="24"/>
      <c r="J327" s="26" t="str">
        <f t="shared" si="5"/>
        <v/>
      </c>
    </row>
    <row r="328" spans="1:10" ht="15" x14ac:dyDescent="0.15">
      <c r="A328" s="22"/>
      <c r="B328" s="23" t="str">
        <f>IF($A328="","",DATE(PARAMETRI!$B$11-1,12,31))</f>
        <v/>
      </c>
      <c r="C328" s="24"/>
      <c r="D328" s="24"/>
      <c r="E328" s="24"/>
      <c r="F328" s="24"/>
      <c r="G328" s="24"/>
      <c r="H328" s="25"/>
      <c r="I328" s="24"/>
      <c r="J328" s="26" t="str">
        <f t="shared" si="5"/>
        <v/>
      </c>
    </row>
    <row r="329" spans="1:10" ht="15" x14ac:dyDescent="0.15">
      <c r="A329" s="22"/>
      <c r="B329" s="23" t="str">
        <f>IF($A329="","",DATE(PARAMETRI!$B$11-1,12,31))</f>
        <v/>
      </c>
      <c r="C329" s="24"/>
      <c r="D329" s="24"/>
      <c r="E329" s="24"/>
      <c r="F329" s="24"/>
      <c r="G329" s="24"/>
      <c r="H329" s="25"/>
      <c r="I329" s="24"/>
      <c r="J329" s="26" t="str">
        <f t="shared" si="5"/>
        <v/>
      </c>
    </row>
    <row r="330" spans="1:10" ht="15" x14ac:dyDescent="0.15">
      <c r="A330" s="22"/>
      <c r="B330" s="23" t="str">
        <f>IF($A330="","",DATE(PARAMETRI!$B$11-1,12,31))</f>
        <v/>
      </c>
      <c r="C330" s="24"/>
      <c r="D330" s="24"/>
      <c r="E330" s="24"/>
      <c r="F330" s="24"/>
      <c r="G330" s="24"/>
      <c r="H330" s="25"/>
      <c r="I330" s="24"/>
      <c r="J330" s="26" t="str">
        <f t="shared" si="5"/>
        <v/>
      </c>
    </row>
    <row r="331" spans="1:10" ht="15" x14ac:dyDescent="0.15">
      <c r="A331" s="22"/>
      <c r="B331" s="23" t="str">
        <f>IF($A331="","",DATE(PARAMETRI!$B$11-1,12,31))</f>
        <v/>
      </c>
      <c r="C331" s="24"/>
      <c r="D331" s="24"/>
      <c r="E331" s="24"/>
      <c r="F331" s="24"/>
      <c r="G331" s="24"/>
      <c r="H331" s="25"/>
      <c r="I331" s="24"/>
      <c r="J331" s="26" t="str">
        <f t="shared" si="5"/>
        <v/>
      </c>
    </row>
    <row r="332" spans="1:10" ht="15" x14ac:dyDescent="0.15">
      <c r="A332" s="22"/>
      <c r="B332" s="23" t="str">
        <f>IF($A332="","",DATE(PARAMETRI!$B$11-1,12,31))</f>
        <v/>
      </c>
      <c r="C332" s="24"/>
      <c r="D332" s="24"/>
      <c r="E332" s="24"/>
      <c r="F332" s="24"/>
      <c r="G332" s="24"/>
      <c r="H332" s="25"/>
      <c r="I332" s="24"/>
      <c r="J332" s="26" t="str">
        <f t="shared" si="5"/>
        <v/>
      </c>
    </row>
    <row r="333" spans="1:10" ht="15" x14ac:dyDescent="0.15">
      <c r="A333" s="22"/>
      <c r="B333" s="23" t="str">
        <f>IF($A333="","",DATE(PARAMETRI!$B$11-1,12,31))</f>
        <v/>
      </c>
      <c r="C333" s="24"/>
      <c r="D333" s="24"/>
      <c r="E333" s="24"/>
      <c r="F333" s="24"/>
      <c r="G333" s="24"/>
      <c r="H333" s="25"/>
      <c r="I333" s="24"/>
      <c r="J333" s="26" t="str">
        <f t="shared" si="5"/>
        <v/>
      </c>
    </row>
    <row r="334" spans="1:10" ht="15" x14ac:dyDescent="0.15">
      <c r="A334" s="22"/>
      <c r="B334" s="23" t="str">
        <f>IF($A334="","",DATE(PARAMETRI!$B$11-1,12,31))</f>
        <v/>
      </c>
      <c r="C334" s="24"/>
      <c r="D334" s="24"/>
      <c r="E334" s="24"/>
      <c r="F334" s="24"/>
      <c r="G334" s="24"/>
      <c r="H334" s="25"/>
      <c r="I334" s="24"/>
      <c r="J334" s="26" t="str">
        <f t="shared" si="5"/>
        <v/>
      </c>
    </row>
    <row r="335" spans="1:10" ht="15" x14ac:dyDescent="0.15">
      <c r="A335" s="22"/>
      <c r="B335" s="23" t="str">
        <f>IF($A335="","",DATE(PARAMETRI!$B$11-1,12,31))</f>
        <v/>
      </c>
      <c r="C335" s="24"/>
      <c r="D335" s="24"/>
      <c r="E335" s="24"/>
      <c r="F335" s="24"/>
      <c r="G335" s="24"/>
      <c r="H335" s="25"/>
      <c r="I335" s="24"/>
      <c r="J335" s="26" t="str">
        <f t="shared" si="5"/>
        <v/>
      </c>
    </row>
    <row r="336" spans="1:10" ht="15" x14ac:dyDescent="0.15">
      <c r="A336" s="22"/>
      <c r="B336" s="23" t="str">
        <f>IF($A336="","",DATE(PARAMETRI!$B$11-1,12,31))</f>
        <v/>
      </c>
      <c r="C336" s="24"/>
      <c r="D336" s="24"/>
      <c r="E336" s="24"/>
      <c r="F336" s="24"/>
      <c r="G336" s="24"/>
      <c r="H336" s="25"/>
      <c r="I336" s="24"/>
      <c r="J336" s="26" t="str">
        <f t="shared" si="5"/>
        <v/>
      </c>
    </row>
    <row r="337" spans="1:10" ht="15" x14ac:dyDescent="0.15">
      <c r="A337" s="22"/>
      <c r="B337" s="23" t="str">
        <f>IF($A337="","",DATE(PARAMETRI!$B$11-1,12,31))</f>
        <v/>
      </c>
      <c r="C337" s="24"/>
      <c r="D337" s="24"/>
      <c r="E337" s="24"/>
      <c r="F337" s="24"/>
      <c r="G337" s="24"/>
      <c r="H337" s="25"/>
      <c r="I337" s="24"/>
      <c r="J337" s="26" t="str">
        <f t="shared" si="5"/>
        <v/>
      </c>
    </row>
    <row r="338" spans="1:10" ht="15" x14ac:dyDescent="0.15">
      <c r="A338" s="22"/>
      <c r="B338" s="23" t="str">
        <f>IF($A338="","",DATE(PARAMETRI!$B$11-1,12,31))</f>
        <v/>
      </c>
      <c r="C338" s="24"/>
      <c r="D338" s="24"/>
      <c r="E338" s="24"/>
      <c r="F338" s="24"/>
      <c r="G338" s="24"/>
      <c r="H338" s="25"/>
      <c r="I338" s="24"/>
      <c r="J338" s="26" t="str">
        <f t="shared" si="5"/>
        <v/>
      </c>
    </row>
    <row r="339" spans="1:10" ht="15" x14ac:dyDescent="0.15">
      <c r="A339" s="22"/>
      <c r="B339" s="23" t="str">
        <f>IF($A339="","",DATE(PARAMETRI!$B$11-1,12,31))</f>
        <v/>
      </c>
      <c r="C339" s="24"/>
      <c r="D339" s="24"/>
      <c r="E339" s="24"/>
      <c r="F339" s="24"/>
      <c r="G339" s="24"/>
      <c r="H339" s="25"/>
      <c r="I339" s="24"/>
      <c r="J339" s="26" t="str">
        <f t="shared" si="5"/>
        <v/>
      </c>
    </row>
    <row r="340" spans="1:10" ht="15" x14ac:dyDescent="0.15">
      <c r="A340" s="22"/>
      <c r="B340" s="23" t="str">
        <f>IF($A340="","",DATE(PARAMETRI!$B$11-1,12,31))</f>
        <v/>
      </c>
      <c r="C340" s="24"/>
      <c r="D340" s="24"/>
      <c r="E340" s="24"/>
      <c r="F340" s="24"/>
      <c r="G340" s="24"/>
      <c r="H340" s="25"/>
      <c r="I340" s="24"/>
      <c r="J340" s="26" t="str">
        <f t="shared" si="5"/>
        <v/>
      </c>
    </row>
    <row r="341" spans="1:10" ht="15" x14ac:dyDescent="0.15">
      <c r="A341" s="22"/>
      <c r="B341" s="23" t="str">
        <f>IF($A341="","",DATE(PARAMETRI!$B$11-1,12,31))</f>
        <v/>
      </c>
      <c r="C341" s="24"/>
      <c r="D341" s="24"/>
      <c r="E341" s="24"/>
      <c r="F341" s="24"/>
      <c r="G341" s="24"/>
      <c r="H341" s="25"/>
      <c r="I341" s="24"/>
      <c r="J341" s="26" t="str">
        <f t="shared" si="5"/>
        <v/>
      </c>
    </row>
    <row r="342" spans="1:10" ht="15" x14ac:dyDescent="0.15">
      <c r="A342" s="22"/>
      <c r="B342" s="23" t="str">
        <f>IF($A342="","",DATE(PARAMETRI!$B$11-1,12,31))</f>
        <v/>
      </c>
      <c r="C342" s="24"/>
      <c r="D342" s="24"/>
      <c r="E342" s="24"/>
      <c r="F342" s="24"/>
      <c r="G342" s="24"/>
      <c r="H342" s="25"/>
      <c r="I342" s="24"/>
      <c r="J342" s="26" t="str">
        <f t="shared" si="5"/>
        <v/>
      </c>
    </row>
    <row r="343" spans="1:10" ht="15" x14ac:dyDescent="0.15">
      <c r="A343" s="22"/>
      <c r="B343" s="23" t="str">
        <f>IF($A343="","",DATE(PARAMETRI!$B$11-1,12,31))</f>
        <v/>
      </c>
      <c r="C343" s="24"/>
      <c r="D343" s="24"/>
      <c r="E343" s="24"/>
      <c r="F343" s="24"/>
      <c r="G343" s="24"/>
      <c r="H343" s="25"/>
      <c r="I343" s="24"/>
      <c r="J343" s="26" t="str">
        <f t="shared" si="5"/>
        <v/>
      </c>
    </row>
    <row r="344" spans="1:10" ht="15" x14ac:dyDescent="0.15">
      <c r="A344" s="22"/>
      <c r="B344" s="23" t="str">
        <f>IF($A344="","",DATE(PARAMETRI!$B$11-1,12,31))</f>
        <v/>
      </c>
      <c r="C344" s="24"/>
      <c r="D344" s="24"/>
      <c r="E344" s="24"/>
      <c r="F344" s="24"/>
      <c r="G344" s="24"/>
      <c r="H344" s="25"/>
      <c r="I344" s="24"/>
      <c r="J344" s="26" t="str">
        <f t="shared" si="5"/>
        <v/>
      </c>
    </row>
    <row r="345" spans="1:10" ht="15" x14ac:dyDescent="0.15">
      <c r="A345" s="22"/>
      <c r="B345" s="23" t="str">
        <f>IF($A345="","",DATE(PARAMETRI!$B$11-1,12,31))</f>
        <v/>
      </c>
      <c r="C345" s="24"/>
      <c r="D345" s="24"/>
      <c r="E345" s="24"/>
      <c r="F345" s="24"/>
      <c r="G345" s="24"/>
      <c r="H345" s="25"/>
      <c r="I345" s="24"/>
      <c r="J345" s="26" t="str">
        <f t="shared" si="5"/>
        <v/>
      </c>
    </row>
    <row r="346" spans="1:10" ht="15" x14ac:dyDescent="0.15">
      <c r="A346" s="22"/>
      <c r="B346" s="23" t="str">
        <f>IF($A346="","",DATE(PARAMETRI!$B$11-1,12,31))</f>
        <v/>
      </c>
      <c r="C346" s="24"/>
      <c r="D346" s="24"/>
      <c r="E346" s="24"/>
      <c r="F346" s="24"/>
      <c r="G346" s="24"/>
      <c r="H346" s="25"/>
      <c r="I346" s="24"/>
      <c r="J346" s="26" t="str">
        <f t="shared" si="5"/>
        <v/>
      </c>
    </row>
    <row r="347" spans="1:10" ht="15" x14ac:dyDescent="0.15">
      <c r="A347" s="22"/>
      <c r="B347" s="23" t="str">
        <f>IF($A347="","",DATE(PARAMETRI!$B$11-1,12,31))</f>
        <v/>
      </c>
      <c r="C347" s="24"/>
      <c r="D347" s="24"/>
      <c r="E347" s="24"/>
      <c r="F347" s="24"/>
      <c r="G347" s="24"/>
      <c r="H347" s="25"/>
      <c r="I347" s="24"/>
      <c r="J347" s="26" t="str">
        <f t="shared" si="5"/>
        <v/>
      </c>
    </row>
    <row r="348" spans="1:10" ht="15" x14ac:dyDescent="0.15">
      <c r="A348" s="22"/>
      <c r="B348" s="23" t="str">
        <f>IF($A348="","",DATE(PARAMETRI!$B$11-1,12,31))</f>
        <v/>
      </c>
      <c r="C348" s="24"/>
      <c r="D348" s="24"/>
      <c r="E348" s="24"/>
      <c r="F348" s="24"/>
      <c r="G348" s="24"/>
      <c r="H348" s="25"/>
      <c r="I348" s="24"/>
      <c r="J348" s="26" t="str">
        <f t="shared" si="5"/>
        <v/>
      </c>
    </row>
    <row r="349" spans="1:10" ht="15" x14ac:dyDescent="0.15">
      <c r="A349" s="22"/>
      <c r="B349" s="23" t="str">
        <f>IF($A349="","",DATE(PARAMETRI!$B$11-1,12,31))</f>
        <v/>
      </c>
      <c r="C349" s="24"/>
      <c r="D349" s="24"/>
      <c r="E349" s="24"/>
      <c r="F349" s="24"/>
      <c r="G349" s="24"/>
      <c r="H349" s="25"/>
      <c r="I349" s="24"/>
      <c r="J349" s="26" t="str">
        <f t="shared" si="5"/>
        <v/>
      </c>
    </row>
    <row r="350" spans="1:10" ht="15" x14ac:dyDescent="0.15">
      <c r="A350" s="22"/>
      <c r="B350" s="23" t="str">
        <f>IF($A350="","",DATE(PARAMETRI!$B$11-1,12,31))</f>
        <v/>
      </c>
      <c r="C350" s="24"/>
      <c r="D350" s="24"/>
      <c r="E350" s="24"/>
      <c r="F350" s="24"/>
      <c r="G350" s="24"/>
      <c r="H350" s="25"/>
      <c r="I350" s="24"/>
      <c r="J350" s="26" t="str">
        <f t="shared" si="5"/>
        <v/>
      </c>
    </row>
    <row r="351" spans="1:10" ht="15" x14ac:dyDescent="0.15">
      <c r="A351" s="22"/>
      <c r="B351" s="23" t="str">
        <f>IF($A351="","",DATE(PARAMETRI!$B$11-1,12,31))</f>
        <v/>
      </c>
      <c r="C351" s="24"/>
      <c r="D351" s="24"/>
      <c r="E351" s="24"/>
      <c r="F351" s="24"/>
      <c r="G351" s="24"/>
      <c r="H351" s="25"/>
      <c r="I351" s="24"/>
      <c r="J351" s="26" t="str">
        <f t="shared" si="5"/>
        <v/>
      </c>
    </row>
    <row r="352" spans="1:10" ht="15" x14ac:dyDescent="0.15">
      <c r="A352" s="22"/>
      <c r="B352" s="23" t="str">
        <f>IF($A352="","",DATE(PARAMETRI!$B$11-1,12,31))</f>
        <v/>
      </c>
      <c r="C352" s="24"/>
      <c r="D352" s="24"/>
      <c r="E352" s="24"/>
      <c r="F352" s="24"/>
      <c r="G352" s="24"/>
      <c r="H352" s="25"/>
      <c r="I352" s="24"/>
      <c r="J352" s="26" t="str">
        <f t="shared" si="5"/>
        <v/>
      </c>
    </row>
    <row r="353" spans="1:10" ht="15" x14ac:dyDescent="0.15">
      <c r="A353" s="22"/>
      <c r="B353" s="23" t="str">
        <f>IF($A353="","",DATE(PARAMETRI!$B$11-1,12,31))</f>
        <v/>
      </c>
      <c r="C353" s="24"/>
      <c r="D353" s="24"/>
      <c r="E353" s="24"/>
      <c r="F353" s="24"/>
      <c r="G353" s="24"/>
      <c r="H353" s="25"/>
      <c r="I353" s="24"/>
      <c r="J353" s="26" t="str">
        <f t="shared" si="5"/>
        <v/>
      </c>
    </row>
    <row r="354" spans="1:10" ht="15" x14ac:dyDescent="0.15">
      <c r="A354" s="22"/>
      <c r="B354" s="23" t="str">
        <f>IF($A354="","",DATE(PARAMETRI!$B$11-1,12,31))</f>
        <v/>
      </c>
      <c r="C354" s="24"/>
      <c r="D354" s="24"/>
      <c r="E354" s="24"/>
      <c r="F354" s="24"/>
      <c r="G354" s="24"/>
      <c r="H354" s="25"/>
      <c r="I354" s="24"/>
      <c r="J354" s="26" t="str">
        <f t="shared" si="5"/>
        <v/>
      </c>
    </row>
    <row r="355" spans="1:10" ht="15" x14ac:dyDescent="0.15">
      <c r="A355" s="22"/>
      <c r="B355" s="23" t="str">
        <f>IF($A355="","",DATE(PARAMETRI!$B$11-1,12,31))</f>
        <v/>
      </c>
      <c r="C355" s="24"/>
      <c r="D355" s="24"/>
      <c r="E355" s="24"/>
      <c r="F355" s="24"/>
      <c r="G355" s="24"/>
      <c r="H355" s="25"/>
      <c r="I355" s="24"/>
      <c r="J355" s="26" t="str">
        <f t="shared" si="5"/>
        <v/>
      </c>
    </row>
    <row r="356" spans="1:10" ht="15" x14ac:dyDescent="0.15">
      <c r="A356" s="22"/>
      <c r="B356" s="23" t="str">
        <f>IF($A356="","",DATE(PARAMETRI!$B$11-1,12,31))</f>
        <v/>
      </c>
      <c r="C356" s="24"/>
      <c r="D356" s="24"/>
      <c r="E356" s="24"/>
      <c r="F356" s="24"/>
      <c r="G356" s="24"/>
      <c r="H356" s="25"/>
      <c r="I356" s="24"/>
      <c r="J356" s="26" t="str">
        <f t="shared" si="5"/>
        <v/>
      </c>
    </row>
    <row r="357" spans="1:10" ht="15" x14ac:dyDescent="0.15">
      <c r="A357" s="22"/>
      <c r="B357" s="23" t="str">
        <f>IF($A357="","",DATE(PARAMETRI!$B$11-1,12,31))</f>
        <v/>
      </c>
      <c r="C357" s="24"/>
      <c r="D357" s="24"/>
      <c r="E357" s="24"/>
      <c r="F357" s="24"/>
      <c r="G357" s="24"/>
      <c r="H357" s="25"/>
      <c r="I357" s="24"/>
      <c r="J357" s="26" t="str">
        <f t="shared" si="5"/>
        <v/>
      </c>
    </row>
    <row r="358" spans="1:10" ht="15" x14ac:dyDescent="0.15">
      <c r="A358" s="22"/>
      <c r="B358" s="23" t="str">
        <f>IF($A358="","",DATE(PARAMETRI!$B$11-1,12,31))</f>
        <v/>
      </c>
      <c r="C358" s="24"/>
      <c r="D358" s="24"/>
      <c r="E358" s="24"/>
      <c r="F358" s="24"/>
      <c r="G358" s="24"/>
      <c r="H358" s="25"/>
      <c r="I358" s="24"/>
      <c r="J358" s="26" t="str">
        <f t="shared" si="5"/>
        <v/>
      </c>
    </row>
    <row r="359" spans="1:10" ht="15" x14ac:dyDescent="0.15">
      <c r="A359" s="22"/>
      <c r="B359" s="23" t="str">
        <f>IF($A359="","",DATE(PARAMETRI!$B$11-1,12,31))</f>
        <v/>
      </c>
      <c r="C359" s="24"/>
      <c r="D359" s="24"/>
      <c r="E359" s="24"/>
      <c r="F359" s="24"/>
      <c r="G359" s="24"/>
      <c r="H359" s="25"/>
      <c r="I359" s="24"/>
      <c r="J359" s="26" t="str">
        <f t="shared" si="5"/>
        <v/>
      </c>
    </row>
    <row r="360" spans="1:10" ht="15" x14ac:dyDescent="0.15">
      <c r="A360" s="22"/>
      <c r="B360" s="23" t="str">
        <f>IF($A360="","",DATE(PARAMETRI!$B$11-1,12,31))</f>
        <v/>
      </c>
      <c r="C360" s="24"/>
      <c r="D360" s="24"/>
      <c r="E360" s="24"/>
      <c r="F360" s="24"/>
      <c r="G360" s="24"/>
      <c r="H360" s="25"/>
      <c r="I360" s="24"/>
      <c r="J360" s="26" t="str">
        <f t="shared" si="5"/>
        <v/>
      </c>
    </row>
    <row r="361" spans="1:10" ht="15" x14ac:dyDescent="0.15">
      <c r="A361" s="22"/>
      <c r="B361" s="23" t="str">
        <f>IF($A361="","",DATE(PARAMETRI!$B$11-1,12,31))</f>
        <v/>
      </c>
      <c r="C361" s="24"/>
      <c r="D361" s="24"/>
      <c r="E361" s="24"/>
      <c r="F361" s="24"/>
      <c r="G361" s="24"/>
      <c r="H361" s="25"/>
      <c r="I361" s="24"/>
      <c r="J361" s="26" t="str">
        <f t="shared" si="5"/>
        <v/>
      </c>
    </row>
    <row r="362" spans="1:10" ht="15" x14ac:dyDescent="0.15">
      <c r="A362" s="22"/>
      <c r="B362" s="23" t="str">
        <f>IF($A362="","",DATE(PARAMETRI!$B$11-1,12,31))</f>
        <v/>
      </c>
      <c r="C362" s="24"/>
      <c r="D362" s="24"/>
      <c r="E362" s="24"/>
      <c r="F362" s="24"/>
      <c r="G362" s="24"/>
      <c r="H362" s="25"/>
      <c r="I362" s="24"/>
      <c r="J362" s="26" t="str">
        <f t="shared" si="5"/>
        <v/>
      </c>
    </row>
    <row r="363" spans="1:10" ht="15" x14ac:dyDescent="0.15">
      <c r="A363" s="22"/>
      <c r="B363" s="23" t="str">
        <f>IF($A363="","",DATE(PARAMETRI!$B$11-1,12,31))</f>
        <v/>
      </c>
      <c r="C363" s="24"/>
      <c r="D363" s="24"/>
      <c r="E363" s="24"/>
      <c r="F363" s="24"/>
      <c r="G363" s="24"/>
      <c r="H363" s="25"/>
      <c r="I363" s="24"/>
      <c r="J363" s="26" t="str">
        <f t="shared" si="5"/>
        <v/>
      </c>
    </row>
    <row r="364" spans="1:10" ht="15" x14ac:dyDescent="0.15">
      <c r="A364" s="22"/>
      <c r="B364" s="23" t="str">
        <f>IF($A364="","",DATE(PARAMETRI!$B$11-1,12,31))</f>
        <v/>
      </c>
      <c r="C364" s="24"/>
      <c r="D364" s="24"/>
      <c r="E364" s="24"/>
      <c r="F364" s="24"/>
      <c r="G364" s="24"/>
      <c r="H364" s="25"/>
      <c r="I364" s="24"/>
      <c r="J364" s="26" t="str">
        <f t="shared" si="5"/>
        <v/>
      </c>
    </row>
    <row r="365" spans="1:10" ht="15" x14ac:dyDescent="0.15">
      <c r="A365" s="22"/>
      <c r="B365" s="23" t="str">
        <f>IF($A365="","",DATE(PARAMETRI!$B$11-1,12,31))</f>
        <v/>
      </c>
      <c r="C365" s="24"/>
      <c r="D365" s="24"/>
      <c r="E365" s="24"/>
      <c r="F365" s="24"/>
      <c r="G365" s="24"/>
      <c r="H365" s="25"/>
      <c r="I365" s="24"/>
      <c r="J365" s="26" t="str">
        <f t="shared" si="5"/>
        <v/>
      </c>
    </row>
    <row r="366" spans="1:10" ht="15" x14ac:dyDescent="0.15">
      <c r="A366" s="22"/>
      <c r="B366" s="23" t="str">
        <f>IF($A366="","",DATE(PARAMETRI!$B$11-1,12,31))</f>
        <v/>
      </c>
      <c r="C366" s="24"/>
      <c r="D366" s="24"/>
      <c r="E366" s="24"/>
      <c r="F366" s="24"/>
      <c r="G366" s="24"/>
      <c r="H366" s="25"/>
      <c r="I366" s="24"/>
      <c r="J366" s="26" t="str">
        <f t="shared" si="5"/>
        <v/>
      </c>
    </row>
    <row r="367" spans="1:10" ht="15" x14ac:dyDescent="0.15">
      <c r="A367" s="22"/>
      <c r="B367" s="23" t="str">
        <f>IF($A367="","",DATE(PARAMETRI!$B$11-1,12,31))</f>
        <v/>
      </c>
      <c r="C367" s="24"/>
      <c r="D367" s="24"/>
      <c r="E367" s="24"/>
      <c r="F367" s="24"/>
      <c r="G367" s="24"/>
      <c r="H367" s="25"/>
      <c r="I367" s="24"/>
      <c r="J367" s="26" t="str">
        <f t="shared" si="5"/>
        <v/>
      </c>
    </row>
    <row r="368" spans="1:10" ht="15" x14ac:dyDescent="0.15">
      <c r="A368" s="22"/>
      <c r="B368" s="23" t="str">
        <f>IF($A368="","",DATE(PARAMETRI!$B$11-1,12,31))</f>
        <v/>
      </c>
      <c r="C368" s="24"/>
      <c r="D368" s="24"/>
      <c r="E368" s="24"/>
      <c r="F368" s="24"/>
      <c r="G368" s="24"/>
      <c r="H368" s="25"/>
      <c r="I368" s="24"/>
      <c r="J368" s="26" t="str">
        <f t="shared" si="5"/>
        <v/>
      </c>
    </row>
    <row r="369" spans="1:10" ht="15" x14ac:dyDescent="0.15">
      <c r="A369" s="22"/>
      <c r="B369" s="23" t="str">
        <f>IF($A369="","",DATE(PARAMETRI!$B$11-1,12,31))</f>
        <v/>
      </c>
      <c r="C369" s="24"/>
      <c r="D369" s="24"/>
      <c r="E369" s="24"/>
      <c r="F369" s="24"/>
      <c r="G369" s="24"/>
      <c r="H369" s="25"/>
      <c r="I369" s="24"/>
      <c r="J369" s="26" t="str">
        <f t="shared" si="5"/>
        <v/>
      </c>
    </row>
    <row r="370" spans="1:10" ht="15" x14ac:dyDescent="0.15">
      <c r="A370" s="22"/>
      <c r="B370" s="23" t="str">
        <f>IF($A370="","",DATE(PARAMETRI!$B$11-1,12,31))</f>
        <v/>
      </c>
      <c r="C370" s="24"/>
      <c r="D370" s="24"/>
      <c r="E370" s="24"/>
      <c r="F370" s="24"/>
      <c r="G370" s="24"/>
      <c r="H370" s="25"/>
      <c r="I370" s="24"/>
      <c r="J370" s="26" t="str">
        <f t="shared" si="5"/>
        <v/>
      </c>
    </row>
    <row r="371" spans="1:10" ht="15" x14ac:dyDescent="0.15">
      <c r="A371" s="22"/>
      <c r="B371" s="23" t="str">
        <f>IF($A371="","",DATE(PARAMETRI!$B$11-1,12,31))</f>
        <v/>
      </c>
      <c r="C371" s="24"/>
      <c r="D371" s="24"/>
      <c r="E371" s="24"/>
      <c r="F371" s="24"/>
      <c r="G371" s="24"/>
      <c r="H371" s="25"/>
      <c r="I371" s="24"/>
      <c r="J371" s="26" t="str">
        <f t="shared" si="5"/>
        <v/>
      </c>
    </row>
    <row r="372" spans="1:10" ht="15" x14ac:dyDescent="0.15">
      <c r="A372" s="22"/>
      <c r="B372" s="23" t="str">
        <f>IF($A372="","",DATE(PARAMETRI!$B$11-1,12,31))</f>
        <v/>
      </c>
      <c r="C372" s="24"/>
      <c r="D372" s="24"/>
      <c r="E372" s="24"/>
      <c r="F372" s="24"/>
      <c r="G372" s="24"/>
      <c r="H372" s="25"/>
      <c r="I372" s="24"/>
      <c r="J372" s="26" t="str">
        <f t="shared" si="5"/>
        <v/>
      </c>
    </row>
    <row r="373" spans="1:10" ht="15" x14ac:dyDescent="0.15">
      <c r="A373" s="22"/>
      <c r="B373" s="23" t="str">
        <f>IF($A373="","",DATE(PARAMETRI!$B$11-1,12,31))</f>
        <v/>
      </c>
      <c r="C373" s="24"/>
      <c r="D373" s="24"/>
      <c r="E373" s="24"/>
      <c r="F373" s="24"/>
      <c r="G373" s="24"/>
      <c r="H373" s="25"/>
      <c r="I373" s="24"/>
      <c r="J373" s="26" t="str">
        <f t="shared" si="5"/>
        <v/>
      </c>
    </row>
    <row r="374" spans="1:10" ht="15" x14ac:dyDescent="0.15">
      <c r="A374" s="22"/>
      <c r="B374" s="23" t="str">
        <f>IF($A374="","",DATE(PARAMETRI!$B$11-1,12,31))</f>
        <v/>
      </c>
      <c r="C374" s="24"/>
      <c r="D374" s="24"/>
      <c r="E374" s="24"/>
      <c r="F374" s="24"/>
      <c r="G374" s="24"/>
      <c r="H374" s="25"/>
      <c r="I374" s="24"/>
      <c r="J374" s="26" t="str">
        <f t="shared" si="5"/>
        <v/>
      </c>
    </row>
    <row r="375" spans="1:10" ht="15" x14ac:dyDescent="0.15">
      <c r="A375" s="22"/>
      <c r="B375" s="23" t="str">
        <f>IF($A375="","",DATE(PARAMETRI!$B$11-1,12,31))</f>
        <v/>
      </c>
      <c r="C375" s="24"/>
      <c r="D375" s="24"/>
      <c r="E375" s="24"/>
      <c r="F375" s="24"/>
      <c r="G375" s="24"/>
      <c r="H375" s="25"/>
      <c r="I375" s="24"/>
      <c r="J375" s="26" t="str">
        <f t="shared" si="5"/>
        <v/>
      </c>
    </row>
    <row r="376" spans="1:10" ht="15" x14ac:dyDescent="0.15">
      <c r="A376" s="22"/>
      <c r="B376" s="23" t="str">
        <f>IF($A376="","",DATE(PARAMETRI!$B$11-1,12,31))</f>
        <v/>
      </c>
      <c r="C376" s="24"/>
      <c r="D376" s="24"/>
      <c r="E376" s="24"/>
      <c r="F376" s="24"/>
      <c r="G376" s="24"/>
      <c r="H376" s="25"/>
      <c r="I376" s="24"/>
      <c r="J376" s="26" t="str">
        <f t="shared" si="5"/>
        <v/>
      </c>
    </row>
    <row r="377" spans="1:10" ht="15" x14ac:dyDescent="0.15">
      <c r="A377" s="22"/>
      <c r="B377" s="23" t="str">
        <f>IF($A377="","",DATE(PARAMETRI!$B$11-1,12,31))</f>
        <v/>
      </c>
      <c r="C377" s="24"/>
      <c r="D377" s="24"/>
      <c r="E377" s="24"/>
      <c r="F377" s="24"/>
      <c r="G377" s="24"/>
      <c r="H377" s="25"/>
      <c r="I377" s="24"/>
      <c r="J377" s="26" t="str">
        <f t="shared" si="5"/>
        <v/>
      </c>
    </row>
    <row r="378" spans="1:10" ht="15" x14ac:dyDescent="0.15">
      <c r="A378" s="22"/>
      <c r="B378" s="23" t="str">
        <f>IF($A378="","",DATE(PARAMETRI!$B$11-1,12,31))</f>
        <v/>
      </c>
      <c r="C378" s="24"/>
      <c r="D378" s="24"/>
      <c r="E378" s="24"/>
      <c r="F378" s="24"/>
      <c r="G378" s="24"/>
      <c r="H378" s="25"/>
      <c r="I378" s="24"/>
      <c r="J378" s="26" t="str">
        <f t="shared" si="5"/>
        <v/>
      </c>
    </row>
    <row r="379" spans="1:10" ht="15" x14ac:dyDescent="0.15">
      <c r="A379" s="22"/>
      <c r="B379" s="23" t="str">
        <f>IF($A379="","",DATE(PARAMETRI!$B$11-1,12,31))</f>
        <v/>
      </c>
      <c r="C379" s="24"/>
      <c r="D379" s="24"/>
      <c r="E379" s="24"/>
      <c r="F379" s="24"/>
      <c r="G379" s="24"/>
      <c r="H379" s="25"/>
      <c r="I379" s="24"/>
      <c r="J379" s="26" t="str">
        <f t="shared" si="5"/>
        <v/>
      </c>
    </row>
    <row r="380" spans="1:10" ht="15" x14ac:dyDescent="0.15">
      <c r="A380" s="22"/>
      <c r="B380" s="23" t="str">
        <f>IF($A380="","",DATE(PARAMETRI!$B$11-1,12,31))</f>
        <v/>
      </c>
      <c r="C380" s="24"/>
      <c r="D380" s="24"/>
      <c r="E380" s="24"/>
      <c r="F380" s="24"/>
      <c r="G380" s="24"/>
      <c r="H380" s="25"/>
      <c r="I380" s="24"/>
      <c r="J380" s="26" t="str">
        <f t="shared" si="5"/>
        <v/>
      </c>
    </row>
    <row r="381" spans="1:10" ht="15" x14ac:dyDescent="0.15">
      <c r="A381" s="22"/>
      <c r="B381" s="23" t="str">
        <f>IF($A381="","",DATE(PARAMETRI!$B$11-1,12,31))</f>
        <v/>
      </c>
      <c r="C381" s="24"/>
      <c r="D381" s="24"/>
      <c r="E381" s="24"/>
      <c r="F381" s="24"/>
      <c r="G381" s="24"/>
      <c r="H381" s="25"/>
      <c r="I381" s="24"/>
      <c r="J381" s="26" t="str">
        <f t="shared" si="5"/>
        <v/>
      </c>
    </row>
    <row r="382" spans="1:10" ht="15" x14ac:dyDescent="0.15">
      <c r="A382" s="22"/>
      <c r="B382" s="23" t="str">
        <f>IF($A382="","",DATE(PARAMETRI!$B$11-1,12,31))</f>
        <v/>
      </c>
      <c r="C382" s="24"/>
      <c r="D382" s="24"/>
      <c r="E382" s="24"/>
      <c r="F382" s="24"/>
      <c r="G382" s="24"/>
      <c r="H382" s="25"/>
      <c r="I382" s="24"/>
      <c r="J382" s="26" t="str">
        <f t="shared" si="5"/>
        <v/>
      </c>
    </row>
    <row r="383" spans="1:10" ht="15" x14ac:dyDescent="0.15">
      <c r="A383" s="22"/>
      <c r="B383" s="23" t="str">
        <f>IF($A383="","",DATE(PARAMETRI!$B$11-1,12,31))</f>
        <v/>
      </c>
      <c r="C383" s="24"/>
      <c r="D383" s="24"/>
      <c r="E383" s="24"/>
      <c r="F383" s="24"/>
      <c r="G383" s="24"/>
      <c r="H383" s="25"/>
      <c r="I383" s="24"/>
      <c r="J383" s="26" t="str">
        <f t="shared" si="5"/>
        <v/>
      </c>
    </row>
    <row r="384" spans="1:10" ht="15" x14ac:dyDescent="0.15">
      <c r="A384" s="22"/>
      <c r="B384" s="23" t="str">
        <f>IF($A384="","",DATE(PARAMETRI!$B$11-1,12,31))</f>
        <v/>
      </c>
      <c r="C384" s="24"/>
      <c r="D384" s="24"/>
      <c r="E384" s="24"/>
      <c r="F384" s="24"/>
      <c r="G384" s="24"/>
      <c r="H384" s="25"/>
      <c r="I384" s="24"/>
      <c r="J384" s="26" t="str">
        <f t="shared" si="5"/>
        <v/>
      </c>
    </row>
    <row r="385" spans="1:10" ht="15" x14ac:dyDescent="0.15">
      <c r="A385" s="22"/>
      <c r="B385" s="23" t="str">
        <f>IF($A385="","",DATE(PARAMETRI!$B$11-1,12,31))</f>
        <v/>
      </c>
      <c r="C385" s="24"/>
      <c r="D385" s="24"/>
      <c r="E385" s="24"/>
      <c r="F385" s="24"/>
      <c r="G385" s="24"/>
      <c r="H385" s="25"/>
      <c r="I385" s="24"/>
      <c r="J385" s="26" t="str">
        <f t="shared" si="5"/>
        <v/>
      </c>
    </row>
    <row r="386" spans="1:10" ht="15" x14ac:dyDescent="0.15">
      <c r="A386" s="22"/>
      <c r="B386" s="23" t="str">
        <f>IF($A386="","",DATE(PARAMETRI!$B$11-1,12,31))</f>
        <v/>
      </c>
      <c r="C386" s="24"/>
      <c r="D386" s="24"/>
      <c r="E386" s="24"/>
      <c r="F386" s="24"/>
      <c r="G386" s="24"/>
      <c r="H386" s="25"/>
      <c r="I386" s="24"/>
      <c r="J386" s="26" t="str">
        <f t="shared" si="5"/>
        <v/>
      </c>
    </row>
    <row r="387" spans="1:10" ht="15" x14ac:dyDescent="0.15">
      <c r="A387" s="22"/>
      <c r="B387" s="23" t="str">
        <f>IF($A387="","",DATE(PARAMETRI!$B$11-1,12,31))</f>
        <v/>
      </c>
      <c r="C387" s="24"/>
      <c r="D387" s="24"/>
      <c r="E387" s="24"/>
      <c r="F387" s="24"/>
      <c r="G387" s="24"/>
      <c r="H387" s="25"/>
      <c r="I387" s="24"/>
      <c r="J387" s="26" t="str">
        <f t="shared" si="5"/>
        <v/>
      </c>
    </row>
    <row r="388" spans="1:10" ht="15" x14ac:dyDescent="0.15">
      <c r="A388" s="22"/>
      <c r="B388" s="23" t="str">
        <f>IF($A388="","",DATE(PARAMETRI!$B$11-1,12,31))</f>
        <v/>
      </c>
      <c r="C388" s="24"/>
      <c r="D388" s="24"/>
      <c r="E388" s="24"/>
      <c r="F388" s="24"/>
      <c r="G388" s="24"/>
      <c r="H388" s="25"/>
      <c r="I388" s="24"/>
      <c r="J388" s="26" t="str">
        <f t="shared" si="5"/>
        <v/>
      </c>
    </row>
    <row r="389" spans="1:10" ht="15" x14ac:dyDescent="0.15">
      <c r="A389" s="22"/>
      <c r="B389" s="23" t="str">
        <f>IF($A389="","",DATE(PARAMETRI!$B$11-1,12,31))</f>
        <v/>
      </c>
      <c r="C389" s="24"/>
      <c r="D389" s="24"/>
      <c r="E389" s="24"/>
      <c r="F389" s="24"/>
      <c r="G389" s="24"/>
      <c r="H389" s="25"/>
      <c r="I389" s="24"/>
      <c r="J389" s="26" t="str">
        <f t="shared" si="5"/>
        <v/>
      </c>
    </row>
    <row r="390" spans="1:10" ht="15" x14ac:dyDescent="0.15">
      <c r="A390" s="22"/>
      <c r="B390" s="23" t="str">
        <f>IF($A390="","",DATE(PARAMETRI!$B$11-1,12,31))</f>
        <v/>
      </c>
      <c r="C390" s="24"/>
      <c r="D390" s="24"/>
      <c r="E390" s="24"/>
      <c r="F390" s="24"/>
      <c r="G390" s="24"/>
      <c r="H390" s="25"/>
      <c r="I390" s="24"/>
      <c r="J390" s="26" t="str">
        <f t="shared" ref="J390:J453" si="6">IF($A390="","",IF(COUNTIF($A$6:$A$505,$A390)&gt;1,"DUPLICATO","OK"))</f>
        <v/>
      </c>
    </row>
    <row r="391" spans="1:10" ht="15" x14ac:dyDescent="0.15">
      <c r="A391" s="22"/>
      <c r="B391" s="23" t="str">
        <f>IF($A391="","",DATE(PARAMETRI!$B$11-1,12,31))</f>
        <v/>
      </c>
      <c r="C391" s="24"/>
      <c r="D391" s="24"/>
      <c r="E391" s="24"/>
      <c r="F391" s="24"/>
      <c r="G391" s="24"/>
      <c r="H391" s="25"/>
      <c r="I391" s="24"/>
      <c r="J391" s="26" t="str">
        <f t="shared" si="6"/>
        <v/>
      </c>
    </row>
    <row r="392" spans="1:10" ht="15" x14ac:dyDescent="0.15">
      <c r="A392" s="22"/>
      <c r="B392" s="23" t="str">
        <f>IF($A392="","",DATE(PARAMETRI!$B$11-1,12,31))</f>
        <v/>
      </c>
      <c r="C392" s="24"/>
      <c r="D392" s="24"/>
      <c r="E392" s="24"/>
      <c r="F392" s="24"/>
      <c r="G392" s="24"/>
      <c r="H392" s="25"/>
      <c r="I392" s="24"/>
      <c r="J392" s="26" t="str">
        <f t="shared" si="6"/>
        <v/>
      </c>
    </row>
    <row r="393" spans="1:10" ht="15" x14ac:dyDescent="0.15">
      <c r="A393" s="22"/>
      <c r="B393" s="23" t="str">
        <f>IF($A393="","",DATE(PARAMETRI!$B$11-1,12,31))</f>
        <v/>
      </c>
      <c r="C393" s="24"/>
      <c r="D393" s="24"/>
      <c r="E393" s="24"/>
      <c r="F393" s="24"/>
      <c r="G393" s="24"/>
      <c r="H393" s="25"/>
      <c r="I393" s="24"/>
      <c r="J393" s="26" t="str">
        <f t="shared" si="6"/>
        <v/>
      </c>
    </row>
    <row r="394" spans="1:10" ht="15" x14ac:dyDescent="0.15">
      <c r="A394" s="22"/>
      <c r="B394" s="23" t="str">
        <f>IF($A394="","",DATE(PARAMETRI!$B$11-1,12,31))</f>
        <v/>
      </c>
      <c r="C394" s="24"/>
      <c r="D394" s="24"/>
      <c r="E394" s="24"/>
      <c r="F394" s="24"/>
      <c r="G394" s="24"/>
      <c r="H394" s="25"/>
      <c r="I394" s="24"/>
      <c r="J394" s="26" t="str">
        <f t="shared" si="6"/>
        <v/>
      </c>
    </row>
    <row r="395" spans="1:10" ht="15" x14ac:dyDescent="0.15">
      <c r="A395" s="22"/>
      <c r="B395" s="23" t="str">
        <f>IF($A395="","",DATE(PARAMETRI!$B$11-1,12,31))</f>
        <v/>
      </c>
      <c r="C395" s="24"/>
      <c r="D395" s="24"/>
      <c r="E395" s="24"/>
      <c r="F395" s="24"/>
      <c r="G395" s="24"/>
      <c r="H395" s="25"/>
      <c r="I395" s="24"/>
      <c r="J395" s="26" t="str">
        <f t="shared" si="6"/>
        <v/>
      </c>
    </row>
    <row r="396" spans="1:10" ht="15" x14ac:dyDescent="0.15">
      <c r="A396" s="22"/>
      <c r="B396" s="23" t="str">
        <f>IF($A396="","",DATE(PARAMETRI!$B$11-1,12,31))</f>
        <v/>
      </c>
      <c r="C396" s="24"/>
      <c r="D396" s="24"/>
      <c r="E396" s="24"/>
      <c r="F396" s="24"/>
      <c r="G396" s="24"/>
      <c r="H396" s="25"/>
      <c r="I396" s="24"/>
      <c r="J396" s="26" t="str">
        <f t="shared" si="6"/>
        <v/>
      </c>
    </row>
    <row r="397" spans="1:10" ht="15" x14ac:dyDescent="0.15">
      <c r="A397" s="22"/>
      <c r="B397" s="23" t="str">
        <f>IF($A397="","",DATE(PARAMETRI!$B$11-1,12,31))</f>
        <v/>
      </c>
      <c r="C397" s="24"/>
      <c r="D397" s="24"/>
      <c r="E397" s="24"/>
      <c r="F397" s="24"/>
      <c r="G397" s="24"/>
      <c r="H397" s="25"/>
      <c r="I397" s="24"/>
      <c r="J397" s="26" t="str">
        <f t="shared" si="6"/>
        <v/>
      </c>
    </row>
    <row r="398" spans="1:10" ht="15" x14ac:dyDescent="0.15">
      <c r="A398" s="22"/>
      <c r="B398" s="23" t="str">
        <f>IF($A398="","",DATE(PARAMETRI!$B$11-1,12,31))</f>
        <v/>
      </c>
      <c r="C398" s="24"/>
      <c r="D398" s="24"/>
      <c r="E398" s="24"/>
      <c r="F398" s="24"/>
      <c r="G398" s="24"/>
      <c r="H398" s="25"/>
      <c r="I398" s="24"/>
      <c r="J398" s="26" t="str">
        <f t="shared" si="6"/>
        <v/>
      </c>
    </row>
    <row r="399" spans="1:10" ht="15" x14ac:dyDescent="0.15">
      <c r="A399" s="22"/>
      <c r="B399" s="23" t="str">
        <f>IF($A399="","",DATE(PARAMETRI!$B$11-1,12,31))</f>
        <v/>
      </c>
      <c r="C399" s="24"/>
      <c r="D399" s="24"/>
      <c r="E399" s="24"/>
      <c r="F399" s="24"/>
      <c r="G399" s="24"/>
      <c r="H399" s="25"/>
      <c r="I399" s="24"/>
      <c r="J399" s="26" t="str">
        <f t="shared" si="6"/>
        <v/>
      </c>
    </row>
    <row r="400" spans="1:10" ht="15" x14ac:dyDescent="0.15">
      <c r="A400" s="22"/>
      <c r="B400" s="23" t="str">
        <f>IF($A400="","",DATE(PARAMETRI!$B$11-1,12,31))</f>
        <v/>
      </c>
      <c r="C400" s="24"/>
      <c r="D400" s="24"/>
      <c r="E400" s="24"/>
      <c r="F400" s="24"/>
      <c r="G400" s="24"/>
      <c r="H400" s="25"/>
      <c r="I400" s="24"/>
      <c r="J400" s="26" t="str">
        <f t="shared" si="6"/>
        <v/>
      </c>
    </row>
    <row r="401" spans="1:10" ht="15" x14ac:dyDescent="0.15">
      <c r="A401" s="22"/>
      <c r="B401" s="23" t="str">
        <f>IF($A401="","",DATE(PARAMETRI!$B$11-1,12,31))</f>
        <v/>
      </c>
      <c r="C401" s="24"/>
      <c r="D401" s="24"/>
      <c r="E401" s="24"/>
      <c r="F401" s="24"/>
      <c r="G401" s="24"/>
      <c r="H401" s="25"/>
      <c r="I401" s="24"/>
      <c r="J401" s="26" t="str">
        <f t="shared" si="6"/>
        <v/>
      </c>
    </row>
    <row r="402" spans="1:10" ht="15" x14ac:dyDescent="0.15">
      <c r="A402" s="22"/>
      <c r="B402" s="23" t="str">
        <f>IF($A402="","",DATE(PARAMETRI!$B$11-1,12,31))</f>
        <v/>
      </c>
      <c r="C402" s="24"/>
      <c r="D402" s="24"/>
      <c r="E402" s="24"/>
      <c r="F402" s="24"/>
      <c r="G402" s="24"/>
      <c r="H402" s="25"/>
      <c r="I402" s="24"/>
      <c r="J402" s="26" t="str">
        <f t="shared" si="6"/>
        <v/>
      </c>
    </row>
    <row r="403" spans="1:10" ht="15" x14ac:dyDescent="0.15">
      <c r="A403" s="22"/>
      <c r="B403" s="23" t="str">
        <f>IF($A403="","",DATE(PARAMETRI!$B$11-1,12,31))</f>
        <v/>
      </c>
      <c r="C403" s="24"/>
      <c r="D403" s="24"/>
      <c r="E403" s="24"/>
      <c r="F403" s="24"/>
      <c r="G403" s="24"/>
      <c r="H403" s="25"/>
      <c r="I403" s="24"/>
      <c r="J403" s="26" t="str">
        <f t="shared" si="6"/>
        <v/>
      </c>
    </row>
    <row r="404" spans="1:10" ht="15" x14ac:dyDescent="0.15">
      <c r="A404" s="22"/>
      <c r="B404" s="23" t="str">
        <f>IF($A404="","",DATE(PARAMETRI!$B$11-1,12,31))</f>
        <v/>
      </c>
      <c r="C404" s="24"/>
      <c r="D404" s="24"/>
      <c r="E404" s="24"/>
      <c r="F404" s="24"/>
      <c r="G404" s="24"/>
      <c r="H404" s="25"/>
      <c r="I404" s="24"/>
      <c r="J404" s="26" t="str">
        <f t="shared" si="6"/>
        <v/>
      </c>
    </row>
    <row r="405" spans="1:10" ht="15" x14ac:dyDescent="0.15">
      <c r="A405" s="22"/>
      <c r="B405" s="23" t="str">
        <f>IF($A405="","",DATE(PARAMETRI!$B$11-1,12,31))</f>
        <v/>
      </c>
      <c r="C405" s="24"/>
      <c r="D405" s="24"/>
      <c r="E405" s="24"/>
      <c r="F405" s="24"/>
      <c r="G405" s="24"/>
      <c r="H405" s="25"/>
      <c r="I405" s="24"/>
      <c r="J405" s="26" t="str">
        <f t="shared" si="6"/>
        <v/>
      </c>
    </row>
    <row r="406" spans="1:10" ht="15" x14ac:dyDescent="0.15">
      <c r="A406" s="22"/>
      <c r="B406" s="23" t="str">
        <f>IF($A406="","",DATE(PARAMETRI!$B$11-1,12,31))</f>
        <v/>
      </c>
      <c r="C406" s="24"/>
      <c r="D406" s="24"/>
      <c r="E406" s="24"/>
      <c r="F406" s="24"/>
      <c r="G406" s="24"/>
      <c r="H406" s="25"/>
      <c r="I406" s="24"/>
      <c r="J406" s="26" t="str">
        <f t="shared" si="6"/>
        <v/>
      </c>
    </row>
    <row r="407" spans="1:10" ht="15" x14ac:dyDescent="0.15">
      <c r="A407" s="22"/>
      <c r="B407" s="23" t="str">
        <f>IF($A407="","",DATE(PARAMETRI!$B$11-1,12,31))</f>
        <v/>
      </c>
      <c r="C407" s="24"/>
      <c r="D407" s="24"/>
      <c r="E407" s="24"/>
      <c r="F407" s="24"/>
      <c r="G407" s="24"/>
      <c r="H407" s="25"/>
      <c r="I407" s="24"/>
      <c r="J407" s="26" t="str">
        <f t="shared" si="6"/>
        <v/>
      </c>
    </row>
    <row r="408" spans="1:10" ht="15" x14ac:dyDescent="0.15">
      <c r="A408" s="22"/>
      <c r="B408" s="23" t="str">
        <f>IF($A408="","",DATE(PARAMETRI!$B$11-1,12,31))</f>
        <v/>
      </c>
      <c r="C408" s="24"/>
      <c r="D408" s="24"/>
      <c r="E408" s="24"/>
      <c r="F408" s="24"/>
      <c r="G408" s="24"/>
      <c r="H408" s="25"/>
      <c r="I408" s="24"/>
      <c r="J408" s="26" t="str">
        <f t="shared" si="6"/>
        <v/>
      </c>
    </row>
    <row r="409" spans="1:10" ht="15" x14ac:dyDescent="0.15">
      <c r="A409" s="22"/>
      <c r="B409" s="23" t="str">
        <f>IF($A409="","",DATE(PARAMETRI!$B$11-1,12,31))</f>
        <v/>
      </c>
      <c r="C409" s="24"/>
      <c r="D409" s="24"/>
      <c r="E409" s="24"/>
      <c r="F409" s="24"/>
      <c r="G409" s="24"/>
      <c r="H409" s="25"/>
      <c r="I409" s="24"/>
      <c r="J409" s="26" t="str">
        <f t="shared" si="6"/>
        <v/>
      </c>
    </row>
    <row r="410" spans="1:10" ht="15" x14ac:dyDescent="0.15">
      <c r="A410" s="22"/>
      <c r="B410" s="23" t="str">
        <f>IF($A410="","",DATE(PARAMETRI!$B$11-1,12,31))</f>
        <v/>
      </c>
      <c r="C410" s="24"/>
      <c r="D410" s="24"/>
      <c r="E410" s="24"/>
      <c r="F410" s="24"/>
      <c r="G410" s="24"/>
      <c r="H410" s="25"/>
      <c r="I410" s="24"/>
      <c r="J410" s="26" t="str">
        <f t="shared" si="6"/>
        <v/>
      </c>
    </row>
    <row r="411" spans="1:10" ht="15" x14ac:dyDescent="0.15">
      <c r="A411" s="22"/>
      <c r="B411" s="23" t="str">
        <f>IF($A411="","",DATE(PARAMETRI!$B$11-1,12,31))</f>
        <v/>
      </c>
      <c r="C411" s="24"/>
      <c r="D411" s="24"/>
      <c r="E411" s="24"/>
      <c r="F411" s="24"/>
      <c r="G411" s="24"/>
      <c r="H411" s="25"/>
      <c r="I411" s="24"/>
      <c r="J411" s="26" t="str">
        <f t="shared" si="6"/>
        <v/>
      </c>
    </row>
    <row r="412" spans="1:10" ht="15" x14ac:dyDescent="0.15">
      <c r="A412" s="22"/>
      <c r="B412" s="23" t="str">
        <f>IF($A412="","",DATE(PARAMETRI!$B$11-1,12,31))</f>
        <v/>
      </c>
      <c r="C412" s="24"/>
      <c r="D412" s="24"/>
      <c r="E412" s="24"/>
      <c r="F412" s="24"/>
      <c r="G412" s="24"/>
      <c r="H412" s="25"/>
      <c r="I412" s="24"/>
      <c r="J412" s="26" t="str">
        <f t="shared" si="6"/>
        <v/>
      </c>
    </row>
    <row r="413" spans="1:10" ht="15" x14ac:dyDescent="0.15">
      <c r="A413" s="22"/>
      <c r="B413" s="23" t="str">
        <f>IF($A413="","",DATE(PARAMETRI!$B$11-1,12,31))</f>
        <v/>
      </c>
      <c r="C413" s="24"/>
      <c r="D413" s="24"/>
      <c r="E413" s="24"/>
      <c r="F413" s="24"/>
      <c r="G413" s="24"/>
      <c r="H413" s="25"/>
      <c r="I413" s="24"/>
      <c r="J413" s="26" t="str">
        <f t="shared" si="6"/>
        <v/>
      </c>
    </row>
    <row r="414" spans="1:10" ht="15" x14ac:dyDescent="0.15">
      <c r="A414" s="22"/>
      <c r="B414" s="23" t="str">
        <f>IF($A414="","",DATE(PARAMETRI!$B$11-1,12,31))</f>
        <v/>
      </c>
      <c r="C414" s="24"/>
      <c r="D414" s="24"/>
      <c r="E414" s="24"/>
      <c r="F414" s="24"/>
      <c r="G414" s="24"/>
      <c r="H414" s="25"/>
      <c r="I414" s="24"/>
      <c r="J414" s="26" t="str">
        <f t="shared" si="6"/>
        <v/>
      </c>
    </row>
    <row r="415" spans="1:10" ht="15" x14ac:dyDescent="0.15">
      <c r="A415" s="22"/>
      <c r="B415" s="23" t="str">
        <f>IF($A415="","",DATE(PARAMETRI!$B$11-1,12,31))</f>
        <v/>
      </c>
      <c r="C415" s="24"/>
      <c r="D415" s="24"/>
      <c r="E415" s="24"/>
      <c r="F415" s="24"/>
      <c r="G415" s="24"/>
      <c r="H415" s="25"/>
      <c r="I415" s="24"/>
      <c r="J415" s="26" t="str">
        <f t="shared" si="6"/>
        <v/>
      </c>
    </row>
    <row r="416" spans="1:10" ht="15" x14ac:dyDescent="0.15">
      <c r="A416" s="22"/>
      <c r="B416" s="23" t="str">
        <f>IF($A416="","",DATE(PARAMETRI!$B$11-1,12,31))</f>
        <v/>
      </c>
      <c r="C416" s="24"/>
      <c r="D416" s="24"/>
      <c r="E416" s="24"/>
      <c r="F416" s="24"/>
      <c r="G416" s="24"/>
      <c r="H416" s="25"/>
      <c r="I416" s="24"/>
      <c r="J416" s="26" t="str">
        <f t="shared" si="6"/>
        <v/>
      </c>
    </row>
    <row r="417" spans="1:10" ht="15" x14ac:dyDescent="0.15">
      <c r="A417" s="22"/>
      <c r="B417" s="23" t="str">
        <f>IF($A417="","",DATE(PARAMETRI!$B$11-1,12,31))</f>
        <v/>
      </c>
      <c r="C417" s="24"/>
      <c r="D417" s="24"/>
      <c r="E417" s="24"/>
      <c r="F417" s="24"/>
      <c r="G417" s="24"/>
      <c r="H417" s="25"/>
      <c r="I417" s="24"/>
      <c r="J417" s="26" t="str">
        <f t="shared" si="6"/>
        <v/>
      </c>
    </row>
    <row r="418" spans="1:10" ht="15" x14ac:dyDescent="0.15">
      <c r="A418" s="22"/>
      <c r="B418" s="23" t="str">
        <f>IF($A418="","",DATE(PARAMETRI!$B$11-1,12,31))</f>
        <v/>
      </c>
      <c r="C418" s="24"/>
      <c r="D418" s="24"/>
      <c r="E418" s="24"/>
      <c r="F418" s="24"/>
      <c r="G418" s="24"/>
      <c r="H418" s="25"/>
      <c r="I418" s="24"/>
      <c r="J418" s="26" t="str">
        <f t="shared" si="6"/>
        <v/>
      </c>
    </row>
    <row r="419" spans="1:10" ht="15" x14ac:dyDescent="0.15">
      <c r="A419" s="22"/>
      <c r="B419" s="23" t="str">
        <f>IF($A419="","",DATE(PARAMETRI!$B$11-1,12,31))</f>
        <v/>
      </c>
      <c r="C419" s="24"/>
      <c r="D419" s="24"/>
      <c r="E419" s="24"/>
      <c r="F419" s="24"/>
      <c r="G419" s="24"/>
      <c r="H419" s="25"/>
      <c r="I419" s="24"/>
      <c r="J419" s="26" t="str">
        <f t="shared" si="6"/>
        <v/>
      </c>
    </row>
    <row r="420" spans="1:10" ht="15" x14ac:dyDescent="0.15">
      <c r="A420" s="22"/>
      <c r="B420" s="23" t="str">
        <f>IF($A420="","",DATE(PARAMETRI!$B$11-1,12,31))</f>
        <v/>
      </c>
      <c r="C420" s="24"/>
      <c r="D420" s="24"/>
      <c r="E420" s="24"/>
      <c r="F420" s="24"/>
      <c r="G420" s="24"/>
      <c r="H420" s="25"/>
      <c r="I420" s="24"/>
      <c r="J420" s="26" t="str">
        <f t="shared" si="6"/>
        <v/>
      </c>
    </row>
    <row r="421" spans="1:10" ht="15" x14ac:dyDescent="0.15">
      <c r="A421" s="22"/>
      <c r="B421" s="23" t="str">
        <f>IF($A421="","",DATE(PARAMETRI!$B$11-1,12,31))</f>
        <v/>
      </c>
      <c r="C421" s="24"/>
      <c r="D421" s="24"/>
      <c r="E421" s="24"/>
      <c r="F421" s="24"/>
      <c r="G421" s="24"/>
      <c r="H421" s="25"/>
      <c r="I421" s="24"/>
      <c r="J421" s="26" t="str">
        <f t="shared" si="6"/>
        <v/>
      </c>
    </row>
    <row r="422" spans="1:10" ht="15" x14ac:dyDescent="0.15">
      <c r="A422" s="22"/>
      <c r="B422" s="23" t="str">
        <f>IF($A422="","",DATE(PARAMETRI!$B$11-1,12,31))</f>
        <v/>
      </c>
      <c r="C422" s="24"/>
      <c r="D422" s="24"/>
      <c r="E422" s="24"/>
      <c r="F422" s="24"/>
      <c r="G422" s="24"/>
      <c r="H422" s="25"/>
      <c r="I422" s="24"/>
      <c r="J422" s="26" t="str">
        <f t="shared" si="6"/>
        <v/>
      </c>
    </row>
    <row r="423" spans="1:10" ht="15" x14ac:dyDescent="0.15">
      <c r="A423" s="22"/>
      <c r="B423" s="23" t="str">
        <f>IF($A423="","",DATE(PARAMETRI!$B$11-1,12,31))</f>
        <v/>
      </c>
      <c r="C423" s="24"/>
      <c r="D423" s="24"/>
      <c r="E423" s="24"/>
      <c r="F423" s="24"/>
      <c r="G423" s="24"/>
      <c r="H423" s="25"/>
      <c r="I423" s="24"/>
      <c r="J423" s="26" t="str">
        <f t="shared" si="6"/>
        <v/>
      </c>
    </row>
    <row r="424" spans="1:10" ht="15" x14ac:dyDescent="0.15">
      <c r="A424" s="22"/>
      <c r="B424" s="23" t="str">
        <f>IF($A424="","",DATE(PARAMETRI!$B$11-1,12,31))</f>
        <v/>
      </c>
      <c r="C424" s="24"/>
      <c r="D424" s="24"/>
      <c r="E424" s="24"/>
      <c r="F424" s="24"/>
      <c r="G424" s="24"/>
      <c r="H424" s="25"/>
      <c r="I424" s="24"/>
      <c r="J424" s="26" t="str">
        <f t="shared" si="6"/>
        <v/>
      </c>
    </row>
    <row r="425" spans="1:10" ht="15" x14ac:dyDescent="0.15">
      <c r="A425" s="22"/>
      <c r="B425" s="23" t="str">
        <f>IF($A425="","",DATE(PARAMETRI!$B$11-1,12,31))</f>
        <v/>
      </c>
      <c r="C425" s="24"/>
      <c r="D425" s="24"/>
      <c r="E425" s="24"/>
      <c r="F425" s="24"/>
      <c r="G425" s="24"/>
      <c r="H425" s="25"/>
      <c r="I425" s="24"/>
      <c r="J425" s="26" t="str">
        <f t="shared" si="6"/>
        <v/>
      </c>
    </row>
    <row r="426" spans="1:10" ht="15" x14ac:dyDescent="0.15">
      <c r="A426" s="22"/>
      <c r="B426" s="23" t="str">
        <f>IF($A426="","",DATE(PARAMETRI!$B$11-1,12,31))</f>
        <v/>
      </c>
      <c r="C426" s="24"/>
      <c r="D426" s="24"/>
      <c r="E426" s="24"/>
      <c r="F426" s="24"/>
      <c r="G426" s="24"/>
      <c r="H426" s="25"/>
      <c r="I426" s="24"/>
      <c r="J426" s="26" t="str">
        <f t="shared" si="6"/>
        <v/>
      </c>
    </row>
    <row r="427" spans="1:10" ht="15" x14ac:dyDescent="0.15">
      <c r="A427" s="22"/>
      <c r="B427" s="23" t="str">
        <f>IF($A427="","",DATE(PARAMETRI!$B$11-1,12,31))</f>
        <v/>
      </c>
      <c r="C427" s="24"/>
      <c r="D427" s="24"/>
      <c r="E427" s="24"/>
      <c r="F427" s="24"/>
      <c r="G427" s="24"/>
      <c r="H427" s="25"/>
      <c r="I427" s="24"/>
      <c r="J427" s="26" t="str">
        <f t="shared" si="6"/>
        <v/>
      </c>
    </row>
    <row r="428" spans="1:10" ht="15" x14ac:dyDescent="0.15">
      <c r="A428" s="22"/>
      <c r="B428" s="23" t="str">
        <f>IF($A428="","",DATE(PARAMETRI!$B$11-1,12,31))</f>
        <v/>
      </c>
      <c r="C428" s="24"/>
      <c r="D428" s="24"/>
      <c r="E428" s="24"/>
      <c r="F428" s="24"/>
      <c r="G428" s="24"/>
      <c r="H428" s="25"/>
      <c r="I428" s="24"/>
      <c r="J428" s="26" t="str">
        <f t="shared" si="6"/>
        <v/>
      </c>
    </row>
    <row r="429" spans="1:10" ht="15" x14ac:dyDescent="0.15">
      <c r="A429" s="22"/>
      <c r="B429" s="23" t="str">
        <f>IF($A429="","",DATE(PARAMETRI!$B$11-1,12,31))</f>
        <v/>
      </c>
      <c r="C429" s="24"/>
      <c r="D429" s="24"/>
      <c r="E429" s="24"/>
      <c r="F429" s="24"/>
      <c r="G429" s="24"/>
      <c r="H429" s="25"/>
      <c r="I429" s="24"/>
      <c r="J429" s="26" t="str">
        <f t="shared" si="6"/>
        <v/>
      </c>
    </row>
    <row r="430" spans="1:10" ht="15" x14ac:dyDescent="0.15">
      <c r="A430" s="22"/>
      <c r="B430" s="23" t="str">
        <f>IF($A430="","",DATE(PARAMETRI!$B$11-1,12,31))</f>
        <v/>
      </c>
      <c r="C430" s="24"/>
      <c r="D430" s="24"/>
      <c r="E430" s="24"/>
      <c r="F430" s="24"/>
      <c r="G430" s="24"/>
      <c r="H430" s="25"/>
      <c r="I430" s="24"/>
      <c r="J430" s="26" t="str">
        <f t="shared" si="6"/>
        <v/>
      </c>
    </row>
    <row r="431" spans="1:10" ht="15" x14ac:dyDescent="0.15">
      <c r="A431" s="22"/>
      <c r="B431" s="23" t="str">
        <f>IF($A431="","",DATE(PARAMETRI!$B$11-1,12,31))</f>
        <v/>
      </c>
      <c r="C431" s="24"/>
      <c r="D431" s="24"/>
      <c r="E431" s="24"/>
      <c r="F431" s="24"/>
      <c r="G431" s="24"/>
      <c r="H431" s="25"/>
      <c r="I431" s="24"/>
      <c r="J431" s="26" t="str">
        <f t="shared" si="6"/>
        <v/>
      </c>
    </row>
    <row r="432" spans="1:10" ht="15" x14ac:dyDescent="0.15">
      <c r="A432" s="22"/>
      <c r="B432" s="23" t="str">
        <f>IF($A432="","",DATE(PARAMETRI!$B$11-1,12,31))</f>
        <v/>
      </c>
      <c r="C432" s="24"/>
      <c r="D432" s="24"/>
      <c r="E432" s="24"/>
      <c r="F432" s="24"/>
      <c r="G432" s="24"/>
      <c r="H432" s="25"/>
      <c r="I432" s="24"/>
      <c r="J432" s="26" t="str">
        <f t="shared" si="6"/>
        <v/>
      </c>
    </row>
    <row r="433" spans="1:10" ht="15" x14ac:dyDescent="0.15">
      <c r="A433" s="22"/>
      <c r="B433" s="23" t="str">
        <f>IF($A433="","",DATE(PARAMETRI!$B$11-1,12,31))</f>
        <v/>
      </c>
      <c r="C433" s="24"/>
      <c r="D433" s="24"/>
      <c r="E433" s="24"/>
      <c r="F433" s="24"/>
      <c r="G433" s="24"/>
      <c r="H433" s="25"/>
      <c r="I433" s="24"/>
      <c r="J433" s="26" t="str">
        <f t="shared" si="6"/>
        <v/>
      </c>
    </row>
    <row r="434" spans="1:10" ht="15" x14ac:dyDescent="0.15">
      <c r="A434" s="22"/>
      <c r="B434" s="23" t="str">
        <f>IF($A434="","",DATE(PARAMETRI!$B$11-1,12,31))</f>
        <v/>
      </c>
      <c r="C434" s="24"/>
      <c r="D434" s="24"/>
      <c r="E434" s="24"/>
      <c r="F434" s="24"/>
      <c r="G434" s="24"/>
      <c r="H434" s="25"/>
      <c r="I434" s="24"/>
      <c r="J434" s="26" t="str">
        <f t="shared" si="6"/>
        <v/>
      </c>
    </row>
    <row r="435" spans="1:10" ht="15" x14ac:dyDescent="0.15">
      <c r="A435" s="22"/>
      <c r="B435" s="23" t="str">
        <f>IF($A435="","",DATE(PARAMETRI!$B$11-1,12,31))</f>
        <v/>
      </c>
      <c r="C435" s="24"/>
      <c r="D435" s="24"/>
      <c r="E435" s="24"/>
      <c r="F435" s="24"/>
      <c r="G435" s="24"/>
      <c r="H435" s="25"/>
      <c r="I435" s="24"/>
      <c r="J435" s="26" t="str">
        <f t="shared" si="6"/>
        <v/>
      </c>
    </row>
    <row r="436" spans="1:10" ht="15" x14ac:dyDescent="0.15">
      <c r="A436" s="22"/>
      <c r="B436" s="23" t="str">
        <f>IF($A436="","",DATE(PARAMETRI!$B$11-1,12,31))</f>
        <v/>
      </c>
      <c r="C436" s="24"/>
      <c r="D436" s="24"/>
      <c r="E436" s="24"/>
      <c r="F436" s="24"/>
      <c r="G436" s="24"/>
      <c r="H436" s="25"/>
      <c r="I436" s="24"/>
      <c r="J436" s="26" t="str">
        <f t="shared" si="6"/>
        <v/>
      </c>
    </row>
    <row r="437" spans="1:10" ht="15" x14ac:dyDescent="0.15">
      <c r="A437" s="22"/>
      <c r="B437" s="23" t="str">
        <f>IF($A437="","",DATE(PARAMETRI!$B$11-1,12,31))</f>
        <v/>
      </c>
      <c r="C437" s="24"/>
      <c r="D437" s="24"/>
      <c r="E437" s="24"/>
      <c r="F437" s="24"/>
      <c r="G437" s="24"/>
      <c r="H437" s="25"/>
      <c r="I437" s="24"/>
      <c r="J437" s="26" t="str">
        <f t="shared" si="6"/>
        <v/>
      </c>
    </row>
    <row r="438" spans="1:10" ht="15" x14ac:dyDescent="0.15">
      <c r="A438" s="22"/>
      <c r="B438" s="23" t="str">
        <f>IF($A438="","",DATE(PARAMETRI!$B$11-1,12,31))</f>
        <v/>
      </c>
      <c r="C438" s="24"/>
      <c r="D438" s="24"/>
      <c r="E438" s="24"/>
      <c r="F438" s="24"/>
      <c r="G438" s="24"/>
      <c r="H438" s="25"/>
      <c r="I438" s="24"/>
      <c r="J438" s="26" t="str">
        <f t="shared" si="6"/>
        <v/>
      </c>
    </row>
    <row r="439" spans="1:10" ht="15" x14ac:dyDescent="0.15">
      <c r="A439" s="22"/>
      <c r="B439" s="23" t="str">
        <f>IF($A439="","",DATE(PARAMETRI!$B$11-1,12,31))</f>
        <v/>
      </c>
      <c r="C439" s="24"/>
      <c r="D439" s="24"/>
      <c r="E439" s="24"/>
      <c r="F439" s="24"/>
      <c r="G439" s="24"/>
      <c r="H439" s="25"/>
      <c r="I439" s="24"/>
      <c r="J439" s="26" t="str">
        <f t="shared" si="6"/>
        <v/>
      </c>
    </row>
    <row r="440" spans="1:10" ht="15" x14ac:dyDescent="0.15">
      <c r="A440" s="22"/>
      <c r="B440" s="23" t="str">
        <f>IF($A440="","",DATE(PARAMETRI!$B$11-1,12,31))</f>
        <v/>
      </c>
      <c r="C440" s="24"/>
      <c r="D440" s="24"/>
      <c r="E440" s="24"/>
      <c r="F440" s="24"/>
      <c r="G440" s="24"/>
      <c r="H440" s="25"/>
      <c r="I440" s="24"/>
      <c r="J440" s="26" t="str">
        <f t="shared" si="6"/>
        <v/>
      </c>
    </row>
    <row r="441" spans="1:10" ht="15" x14ac:dyDescent="0.15">
      <c r="A441" s="22"/>
      <c r="B441" s="23" t="str">
        <f>IF($A441="","",DATE(PARAMETRI!$B$11-1,12,31))</f>
        <v/>
      </c>
      <c r="C441" s="24"/>
      <c r="D441" s="24"/>
      <c r="E441" s="24"/>
      <c r="F441" s="24"/>
      <c r="G441" s="24"/>
      <c r="H441" s="25"/>
      <c r="I441" s="24"/>
      <c r="J441" s="26" t="str">
        <f t="shared" si="6"/>
        <v/>
      </c>
    </row>
    <row r="442" spans="1:10" ht="15" x14ac:dyDescent="0.15">
      <c r="A442" s="22"/>
      <c r="B442" s="23" t="str">
        <f>IF($A442="","",DATE(PARAMETRI!$B$11-1,12,31))</f>
        <v/>
      </c>
      <c r="C442" s="24"/>
      <c r="D442" s="24"/>
      <c r="E442" s="24"/>
      <c r="F442" s="24"/>
      <c r="G442" s="24"/>
      <c r="H442" s="25"/>
      <c r="I442" s="24"/>
      <c r="J442" s="26" t="str">
        <f t="shared" si="6"/>
        <v/>
      </c>
    </row>
    <row r="443" spans="1:10" ht="15" x14ac:dyDescent="0.15">
      <c r="A443" s="22"/>
      <c r="B443" s="23" t="str">
        <f>IF($A443="","",DATE(PARAMETRI!$B$11-1,12,31))</f>
        <v/>
      </c>
      <c r="C443" s="24"/>
      <c r="D443" s="24"/>
      <c r="E443" s="24"/>
      <c r="F443" s="24"/>
      <c r="G443" s="24"/>
      <c r="H443" s="25"/>
      <c r="I443" s="24"/>
      <c r="J443" s="26" t="str">
        <f t="shared" si="6"/>
        <v/>
      </c>
    </row>
    <row r="444" spans="1:10" ht="15" x14ac:dyDescent="0.15">
      <c r="A444" s="22"/>
      <c r="B444" s="23" t="str">
        <f>IF($A444="","",DATE(PARAMETRI!$B$11-1,12,31))</f>
        <v/>
      </c>
      <c r="C444" s="24"/>
      <c r="D444" s="24"/>
      <c r="E444" s="24"/>
      <c r="F444" s="24"/>
      <c r="G444" s="24"/>
      <c r="H444" s="25"/>
      <c r="I444" s="24"/>
      <c r="J444" s="26" t="str">
        <f t="shared" si="6"/>
        <v/>
      </c>
    </row>
    <row r="445" spans="1:10" ht="15" x14ac:dyDescent="0.15">
      <c r="A445" s="22"/>
      <c r="B445" s="23" t="str">
        <f>IF($A445="","",DATE(PARAMETRI!$B$11-1,12,31))</f>
        <v/>
      </c>
      <c r="C445" s="24"/>
      <c r="D445" s="24"/>
      <c r="E445" s="24"/>
      <c r="F445" s="24"/>
      <c r="G445" s="24"/>
      <c r="H445" s="25"/>
      <c r="I445" s="24"/>
      <c r="J445" s="26" t="str">
        <f t="shared" si="6"/>
        <v/>
      </c>
    </row>
    <row r="446" spans="1:10" ht="15" x14ac:dyDescent="0.15">
      <c r="A446" s="22"/>
      <c r="B446" s="23" t="str">
        <f>IF($A446="","",DATE(PARAMETRI!$B$11-1,12,31))</f>
        <v/>
      </c>
      <c r="C446" s="24"/>
      <c r="D446" s="24"/>
      <c r="E446" s="24"/>
      <c r="F446" s="24"/>
      <c r="G446" s="24"/>
      <c r="H446" s="25"/>
      <c r="I446" s="24"/>
      <c r="J446" s="26" t="str">
        <f t="shared" si="6"/>
        <v/>
      </c>
    </row>
    <row r="447" spans="1:10" ht="15" x14ac:dyDescent="0.15">
      <c r="A447" s="22"/>
      <c r="B447" s="23" t="str">
        <f>IF($A447="","",DATE(PARAMETRI!$B$11-1,12,31))</f>
        <v/>
      </c>
      <c r="C447" s="24"/>
      <c r="D447" s="24"/>
      <c r="E447" s="24"/>
      <c r="F447" s="24"/>
      <c r="G447" s="24"/>
      <c r="H447" s="25"/>
      <c r="I447" s="24"/>
      <c r="J447" s="26" t="str">
        <f t="shared" si="6"/>
        <v/>
      </c>
    </row>
    <row r="448" spans="1:10" ht="15" x14ac:dyDescent="0.15">
      <c r="A448" s="22"/>
      <c r="B448" s="23" t="str">
        <f>IF($A448="","",DATE(PARAMETRI!$B$11-1,12,31))</f>
        <v/>
      </c>
      <c r="C448" s="24"/>
      <c r="D448" s="24"/>
      <c r="E448" s="24"/>
      <c r="F448" s="24"/>
      <c r="G448" s="24"/>
      <c r="H448" s="25"/>
      <c r="I448" s="24"/>
      <c r="J448" s="26" t="str">
        <f t="shared" si="6"/>
        <v/>
      </c>
    </row>
    <row r="449" spans="1:10" ht="15" x14ac:dyDescent="0.15">
      <c r="A449" s="22"/>
      <c r="B449" s="23" t="str">
        <f>IF($A449="","",DATE(PARAMETRI!$B$11-1,12,31))</f>
        <v/>
      </c>
      <c r="C449" s="24"/>
      <c r="D449" s="24"/>
      <c r="E449" s="24"/>
      <c r="F449" s="24"/>
      <c r="G449" s="24"/>
      <c r="H449" s="25"/>
      <c r="I449" s="24"/>
      <c r="J449" s="26" t="str">
        <f t="shared" si="6"/>
        <v/>
      </c>
    </row>
    <row r="450" spans="1:10" ht="15" x14ac:dyDescent="0.15">
      <c r="A450" s="22"/>
      <c r="B450" s="23" t="str">
        <f>IF($A450="","",DATE(PARAMETRI!$B$11-1,12,31))</f>
        <v/>
      </c>
      <c r="C450" s="24"/>
      <c r="D450" s="24"/>
      <c r="E450" s="24"/>
      <c r="F450" s="24"/>
      <c r="G450" s="24"/>
      <c r="H450" s="25"/>
      <c r="I450" s="24"/>
      <c r="J450" s="26" t="str">
        <f t="shared" si="6"/>
        <v/>
      </c>
    </row>
    <row r="451" spans="1:10" ht="15" x14ac:dyDescent="0.15">
      <c r="A451" s="22"/>
      <c r="B451" s="23" t="str">
        <f>IF($A451="","",DATE(PARAMETRI!$B$11-1,12,31))</f>
        <v/>
      </c>
      <c r="C451" s="24"/>
      <c r="D451" s="24"/>
      <c r="E451" s="24"/>
      <c r="F451" s="24"/>
      <c r="G451" s="24"/>
      <c r="H451" s="25"/>
      <c r="I451" s="24"/>
      <c r="J451" s="26" t="str">
        <f t="shared" si="6"/>
        <v/>
      </c>
    </row>
    <row r="452" spans="1:10" ht="15" x14ac:dyDescent="0.15">
      <c r="A452" s="22"/>
      <c r="B452" s="23" t="str">
        <f>IF($A452="","",DATE(PARAMETRI!$B$11-1,12,31))</f>
        <v/>
      </c>
      <c r="C452" s="24"/>
      <c r="D452" s="24"/>
      <c r="E452" s="24"/>
      <c r="F452" s="24"/>
      <c r="G452" s="24"/>
      <c r="H452" s="25"/>
      <c r="I452" s="24"/>
      <c r="J452" s="26" t="str">
        <f t="shared" si="6"/>
        <v/>
      </c>
    </row>
    <row r="453" spans="1:10" ht="15" x14ac:dyDescent="0.15">
      <c r="A453" s="22"/>
      <c r="B453" s="23" t="str">
        <f>IF($A453="","",DATE(PARAMETRI!$B$11-1,12,31))</f>
        <v/>
      </c>
      <c r="C453" s="24"/>
      <c r="D453" s="24"/>
      <c r="E453" s="24"/>
      <c r="F453" s="24"/>
      <c r="G453" s="24"/>
      <c r="H453" s="25"/>
      <c r="I453" s="24"/>
      <c r="J453" s="26" t="str">
        <f t="shared" si="6"/>
        <v/>
      </c>
    </row>
    <row r="454" spans="1:10" ht="15" x14ac:dyDescent="0.15">
      <c r="A454" s="22"/>
      <c r="B454" s="23" t="str">
        <f>IF($A454="","",DATE(PARAMETRI!$B$11-1,12,31))</f>
        <v/>
      </c>
      <c r="C454" s="24"/>
      <c r="D454" s="24"/>
      <c r="E454" s="24"/>
      <c r="F454" s="24"/>
      <c r="G454" s="24"/>
      <c r="H454" s="25"/>
      <c r="I454" s="24"/>
      <c r="J454" s="26" t="str">
        <f t="shared" ref="J454:J505" si="7">IF($A454="","",IF(COUNTIF($A$6:$A$505,$A454)&gt;1,"DUPLICATO","OK"))</f>
        <v/>
      </c>
    </row>
    <row r="455" spans="1:10" ht="15" x14ac:dyDescent="0.15">
      <c r="A455" s="22"/>
      <c r="B455" s="23" t="str">
        <f>IF($A455="","",DATE(PARAMETRI!$B$11-1,12,31))</f>
        <v/>
      </c>
      <c r="C455" s="24"/>
      <c r="D455" s="24"/>
      <c r="E455" s="24"/>
      <c r="F455" s="24"/>
      <c r="G455" s="24"/>
      <c r="H455" s="25"/>
      <c r="I455" s="24"/>
      <c r="J455" s="26" t="str">
        <f t="shared" si="7"/>
        <v/>
      </c>
    </row>
    <row r="456" spans="1:10" ht="15" x14ac:dyDescent="0.15">
      <c r="A456" s="22"/>
      <c r="B456" s="23" t="str">
        <f>IF($A456="","",DATE(PARAMETRI!$B$11-1,12,31))</f>
        <v/>
      </c>
      <c r="C456" s="24"/>
      <c r="D456" s="24"/>
      <c r="E456" s="24"/>
      <c r="F456" s="24"/>
      <c r="G456" s="24"/>
      <c r="H456" s="25"/>
      <c r="I456" s="24"/>
      <c r="J456" s="26" t="str">
        <f t="shared" si="7"/>
        <v/>
      </c>
    </row>
    <row r="457" spans="1:10" ht="15" x14ac:dyDescent="0.15">
      <c r="A457" s="22"/>
      <c r="B457" s="23" t="str">
        <f>IF($A457="","",DATE(PARAMETRI!$B$11-1,12,31))</f>
        <v/>
      </c>
      <c r="C457" s="24"/>
      <c r="D457" s="24"/>
      <c r="E457" s="24"/>
      <c r="F457" s="24"/>
      <c r="G457" s="24"/>
      <c r="H457" s="25"/>
      <c r="I457" s="24"/>
      <c r="J457" s="26" t="str">
        <f t="shared" si="7"/>
        <v/>
      </c>
    </row>
    <row r="458" spans="1:10" ht="15" x14ac:dyDescent="0.15">
      <c r="A458" s="22"/>
      <c r="B458" s="23" t="str">
        <f>IF($A458="","",DATE(PARAMETRI!$B$11-1,12,31))</f>
        <v/>
      </c>
      <c r="C458" s="24"/>
      <c r="D458" s="24"/>
      <c r="E458" s="24"/>
      <c r="F458" s="24"/>
      <c r="G458" s="24"/>
      <c r="H458" s="25"/>
      <c r="I458" s="24"/>
      <c r="J458" s="26" t="str">
        <f t="shared" si="7"/>
        <v/>
      </c>
    </row>
    <row r="459" spans="1:10" ht="15" x14ac:dyDescent="0.15">
      <c r="A459" s="22"/>
      <c r="B459" s="23" t="str">
        <f>IF($A459="","",DATE(PARAMETRI!$B$11-1,12,31))</f>
        <v/>
      </c>
      <c r="C459" s="24"/>
      <c r="D459" s="24"/>
      <c r="E459" s="24"/>
      <c r="F459" s="24"/>
      <c r="G459" s="24"/>
      <c r="H459" s="25"/>
      <c r="I459" s="24"/>
      <c r="J459" s="26" t="str">
        <f t="shared" si="7"/>
        <v/>
      </c>
    </row>
    <row r="460" spans="1:10" ht="15" x14ac:dyDescent="0.15">
      <c r="A460" s="22"/>
      <c r="B460" s="23" t="str">
        <f>IF($A460="","",DATE(PARAMETRI!$B$11-1,12,31))</f>
        <v/>
      </c>
      <c r="C460" s="24"/>
      <c r="D460" s="24"/>
      <c r="E460" s="24"/>
      <c r="F460" s="24"/>
      <c r="G460" s="24"/>
      <c r="H460" s="25"/>
      <c r="I460" s="24"/>
      <c r="J460" s="26" t="str">
        <f t="shared" si="7"/>
        <v/>
      </c>
    </row>
    <row r="461" spans="1:10" ht="15" x14ac:dyDescent="0.15">
      <c r="A461" s="22"/>
      <c r="B461" s="23" t="str">
        <f>IF($A461="","",DATE(PARAMETRI!$B$11-1,12,31))</f>
        <v/>
      </c>
      <c r="C461" s="24"/>
      <c r="D461" s="24"/>
      <c r="E461" s="24"/>
      <c r="F461" s="24"/>
      <c r="G461" s="24"/>
      <c r="H461" s="25"/>
      <c r="I461" s="24"/>
      <c r="J461" s="26" t="str">
        <f t="shared" si="7"/>
        <v/>
      </c>
    </row>
    <row r="462" spans="1:10" ht="15" x14ac:dyDescent="0.15">
      <c r="A462" s="22"/>
      <c r="B462" s="23" t="str">
        <f>IF($A462="","",DATE(PARAMETRI!$B$11-1,12,31))</f>
        <v/>
      </c>
      <c r="C462" s="24"/>
      <c r="D462" s="24"/>
      <c r="E462" s="24"/>
      <c r="F462" s="24"/>
      <c r="G462" s="24"/>
      <c r="H462" s="25"/>
      <c r="I462" s="24"/>
      <c r="J462" s="26" t="str">
        <f t="shared" si="7"/>
        <v/>
      </c>
    </row>
    <row r="463" spans="1:10" ht="15" x14ac:dyDescent="0.15">
      <c r="A463" s="22"/>
      <c r="B463" s="23" t="str">
        <f>IF($A463="","",DATE(PARAMETRI!$B$11-1,12,31))</f>
        <v/>
      </c>
      <c r="C463" s="24"/>
      <c r="D463" s="24"/>
      <c r="E463" s="24"/>
      <c r="F463" s="24"/>
      <c r="G463" s="24"/>
      <c r="H463" s="25"/>
      <c r="I463" s="24"/>
      <c r="J463" s="26" t="str">
        <f t="shared" si="7"/>
        <v/>
      </c>
    </row>
    <row r="464" spans="1:10" ht="15" x14ac:dyDescent="0.15">
      <c r="A464" s="22"/>
      <c r="B464" s="23" t="str">
        <f>IF($A464="","",DATE(PARAMETRI!$B$11-1,12,31))</f>
        <v/>
      </c>
      <c r="C464" s="24"/>
      <c r="D464" s="24"/>
      <c r="E464" s="24"/>
      <c r="F464" s="24"/>
      <c r="G464" s="24"/>
      <c r="H464" s="25"/>
      <c r="I464" s="24"/>
      <c r="J464" s="26" t="str">
        <f t="shared" si="7"/>
        <v/>
      </c>
    </row>
    <row r="465" spans="1:10" ht="15" x14ac:dyDescent="0.15">
      <c r="A465" s="22"/>
      <c r="B465" s="23" t="str">
        <f>IF($A465="","",DATE(PARAMETRI!$B$11-1,12,31))</f>
        <v/>
      </c>
      <c r="C465" s="24"/>
      <c r="D465" s="24"/>
      <c r="E465" s="24"/>
      <c r="F465" s="24"/>
      <c r="G465" s="24"/>
      <c r="H465" s="25"/>
      <c r="I465" s="24"/>
      <c r="J465" s="26" t="str">
        <f t="shared" si="7"/>
        <v/>
      </c>
    </row>
    <row r="466" spans="1:10" ht="15" x14ac:dyDescent="0.15">
      <c r="A466" s="22"/>
      <c r="B466" s="23" t="str">
        <f>IF($A466="","",DATE(PARAMETRI!$B$11-1,12,31))</f>
        <v/>
      </c>
      <c r="C466" s="24"/>
      <c r="D466" s="24"/>
      <c r="E466" s="24"/>
      <c r="F466" s="24"/>
      <c r="G466" s="24"/>
      <c r="H466" s="25"/>
      <c r="I466" s="24"/>
      <c r="J466" s="26" t="str">
        <f t="shared" si="7"/>
        <v/>
      </c>
    </row>
    <row r="467" spans="1:10" ht="15" x14ac:dyDescent="0.15">
      <c r="A467" s="22"/>
      <c r="B467" s="23" t="str">
        <f>IF($A467="","",DATE(PARAMETRI!$B$11-1,12,31))</f>
        <v/>
      </c>
      <c r="C467" s="24"/>
      <c r="D467" s="24"/>
      <c r="E467" s="24"/>
      <c r="F467" s="24"/>
      <c r="G467" s="24"/>
      <c r="H467" s="25"/>
      <c r="I467" s="24"/>
      <c r="J467" s="26" t="str">
        <f t="shared" si="7"/>
        <v/>
      </c>
    </row>
    <row r="468" spans="1:10" ht="15" x14ac:dyDescent="0.15">
      <c r="A468" s="22"/>
      <c r="B468" s="23" t="str">
        <f>IF($A468="","",DATE(PARAMETRI!$B$11-1,12,31))</f>
        <v/>
      </c>
      <c r="C468" s="24"/>
      <c r="D468" s="24"/>
      <c r="E468" s="24"/>
      <c r="F468" s="24"/>
      <c r="G468" s="24"/>
      <c r="H468" s="25"/>
      <c r="I468" s="24"/>
      <c r="J468" s="26" t="str">
        <f t="shared" si="7"/>
        <v/>
      </c>
    </row>
    <row r="469" spans="1:10" ht="15" x14ac:dyDescent="0.15">
      <c r="A469" s="22"/>
      <c r="B469" s="23" t="str">
        <f>IF($A469="","",DATE(PARAMETRI!$B$11-1,12,31))</f>
        <v/>
      </c>
      <c r="C469" s="24"/>
      <c r="D469" s="24"/>
      <c r="E469" s="24"/>
      <c r="F469" s="24"/>
      <c r="G469" s="24"/>
      <c r="H469" s="25"/>
      <c r="I469" s="24"/>
      <c r="J469" s="26" t="str">
        <f t="shared" si="7"/>
        <v/>
      </c>
    </row>
    <row r="470" spans="1:10" ht="15" x14ac:dyDescent="0.15">
      <c r="A470" s="22"/>
      <c r="B470" s="23" t="str">
        <f>IF($A470="","",DATE(PARAMETRI!$B$11-1,12,31))</f>
        <v/>
      </c>
      <c r="C470" s="24"/>
      <c r="D470" s="24"/>
      <c r="E470" s="24"/>
      <c r="F470" s="24"/>
      <c r="G470" s="24"/>
      <c r="H470" s="25"/>
      <c r="I470" s="24"/>
      <c r="J470" s="26" t="str">
        <f t="shared" si="7"/>
        <v/>
      </c>
    </row>
    <row r="471" spans="1:10" ht="15" x14ac:dyDescent="0.15">
      <c r="A471" s="22"/>
      <c r="B471" s="23" t="str">
        <f>IF($A471="","",DATE(PARAMETRI!$B$11-1,12,31))</f>
        <v/>
      </c>
      <c r="C471" s="24"/>
      <c r="D471" s="24"/>
      <c r="E471" s="24"/>
      <c r="F471" s="24"/>
      <c r="G471" s="24"/>
      <c r="H471" s="25"/>
      <c r="I471" s="24"/>
      <c r="J471" s="26" t="str">
        <f t="shared" si="7"/>
        <v/>
      </c>
    </row>
    <row r="472" spans="1:10" ht="15" x14ac:dyDescent="0.15">
      <c r="A472" s="22"/>
      <c r="B472" s="23" t="str">
        <f>IF($A472="","",DATE(PARAMETRI!$B$11-1,12,31))</f>
        <v/>
      </c>
      <c r="C472" s="24"/>
      <c r="D472" s="24"/>
      <c r="E472" s="24"/>
      <c r="F472" s="24"/>
      <c r="G472" s="24"/>
      <c r="H472" s="25"/>
      <c r="I472" s="24"/>
      <c r="J472" s="26" t="str">
        <f t="shared" si="7"/>
        <v/>
      </c>
    </row>
    <row r="473" spans="1:10" ht="15" x14ac:dyDescent="0.15">
      <c r="A473" s="22"/>
      <c r="B473" s="23" t="str">
        <f>IF($A473="","",DATE(PARAMETRI!$B$11-1,12,31))</f>
        <v/>
      </c>
      <c r="C473" s="24"/>
      <c r="D473" s="24"/>
      <c r="E473" s="24"/>
      <c r="F473" s="24"/>
      <c r="G473" s="24"/>
      <c r="H473" s="25"/>
      <c r="I473" s="24"/>
      <c r="J473" s="26" t="str">
        <f t="shared" si="7"/>
        <v/>
      </c>
    </row>
    <row r="474" spans="1:10" ht="15" x14ac:dyDescent="0.15">
      <c r="A474" s="22"/>
      <c r="B474" s="23" t="str">
        <f>IF($A474="","",DATE(PARAMETRI!$B$11-1,12,31))</f>
        <v/>
      </c>
      <c r="C474" s="24"/>
      <c r="D474" s="24"/>
      <c r="E474" s="24"/>
      <c r="F474" s="24"/>
      <c r="G474" s="24"/>
      <c r="H474" s="25"/>
      <c r="I474" s="24"/>
      <c r="J474" s="26" t="str">
        <f t="shared" si="7"/>
        <v/>
      </c>
    </row>
    <row r="475" spans="1:10" ht="15" x14ac:dyDescent="0.15">
      <c r="A475" s="22"/>
      <c r="B475" s="23" t="str">
        <f>IF($A475="","",DATE(PARAMETRI!$B$11-1,12,31))</f>
        <v/>
      </c>
      <c r="C475" s="24"/>
      <c r="D475" s="24"/>
      <c r="E475" s="24"/>
      <c r="F475" s="24"/>
      <c r="G475" s="24"/>
      <c r="H475" s="25"/>
      <c r="I475" s="24"/>
      <c r="J475" s="26" t="str">
        <f t="shared" si="7"/>
        <v/>
      </c>
    </row>
    <row r="476" spans="1:10" ht="15" x14ac:dyDescent="0.15">
      <c r="A476" s="22"/>
      <c r="B476" s="23" t="str">
        <f>IF($A476="","",DATE(PARAMETRI!$B$11-1,12,31))</f>
        <v/>
      </c>
      <c r="C476" s="24"/>
      <c r="D476" s="24"/>
      <c r="E476" s="24"/>
      <c r="F476" s="24"/>
      <c r="G476" s="24"/>
      <c r="H476" s="25"/>
      <c r="I476" s="24"/>
      <c r="J476" s="26" t="str">
        <f t="shared" si="7"/>
        <v/>
      </c>
    </row>
    <row r="477" spans="1:10" ht="15" x14ac:dyDescent="0.15">
      <c r="A477" s="22"/>
      <c r="B477" s="23" t="str">
        <f>IF($A477="","",DATE(PARAMETRI!$B$11-1,12,31))</f>
        <v/>
      </c>
      <c r="C477" s="24"/>
      <c r="D477" s="24"/>
      <c r="E477" s="24"/>
      <c r="F477" s="24"/>
      <c r="G477" s="24"/>
      <c r="H477" s="25"/>
      <c r="I477" s="24"/>
      <c r="J477" s="26" t="str">
        <f t="shared" si="7"/>
        <v/>
      </c>
    </row>
    <row r="478" spans="1:10" ht="15" x14ac:dyDescent="0.15">
      <c r="A478" s="22"/>
      <c r="B478" s="23" t="str">
        <f>IF($A478="","",DATE(PARAMETRI!$B$11-1,12,31))</f>
        <v/>
      </c>
      <c r="C478" s="24"/>
      <c r="D478" s="24"/>
      <c r="E478" s="24"/>
      <c r="F478" s="24"/>
      <c r="G478" s="24"/>
      <c r="H478" s="25"/>
      <c r="I478" s="24"/>
      <c r="J478" s="26" t="str">
        <f t="shared" si="7"/>
        <v/>
      </c>
    </row>
    <row r="479" spans="1:10" ht="15" x14ac:dyDescent="0.15">
      <c r="A479" s="22"/>
      <c r="B479" s="23" t="str">
        <f>IF($A479="","",DATE(PARAMETRI!$B$11-1,12,31))</f>
        <v/>
      </c>
      <c r="C479" s="24"/>
      <c r="D479" s="24"/>
      <c r="E479" s="24"/>
      <c r="F479" s="24"/>
      <c r="G479" s="24"/>
      <c r="H479" s="25"/>
      <c r="I479" s="24"/>
      <c r="J479" s="26" t="str">
        <f t="shared" si="7"/>
        <v/>
      </c>
    </row>
    <row r="480" spans="1:10" ht="15" x14ac:dyDescent="0.15">
      <c r="A480" s="22"/>
      <c r="B480" s="23" t="str">
        <f>IF($A480="","",DATE(PARAMETRI!$B$11-1,12,31))</f>
        <v/>
      </c>
      <c r="C480" s="24"/>
      <c r="D480" s="24"/>
      <c r="E480" s="24"/>
      <c r="F480" s="24"/>
      <c r="G480" s="24"/>
      <c r="H480" s="25"/>
      <c r="I480" s="24"/>
      <c r="J480" s="26" t="str">
        <f t="shared" si="7"/>
        <v/>
      </c>
    </row>
    <row r="481" spans="1:10" ht="15" x14ac:dyDescent="0.15">
      <c r="A481" s="22"/>
      <c r="B481" s="23" t="str">
        <f>IF($A481="","",DATE(PARAMETRI!$B$11-1,12,31))</f>
        <v/>
      </c>
      <c r="C481" s="24"/>
      <c r="D481" s="24"/>
      <c r="E481" s="24"/>
      <c r="F481" s="24"/>
      <c r="G481" s="24"/>
      <c r="H481" s="25"/>
      <c r="I481" s="24"/>
      <c r="J481" s="26" t="str">
        <f t="shared" si="7"/>
        <v/>
      </c>
    </row>
    <row r="482" spans="1:10" ht="15" x14ac:dyDescent="0.15">
      <c r="A482" s="22"/>
      <c r="B482" s="23" t="str">
        <f>IF($A482="","",DATE(PARAMETRI!$B$11-1,12,31))</f>
        <v/>
      </c>
      <c r="C482" s="24"/>
      <c r="D482" s="24"/>
      <c r="E482" s="24"/>
      <c r="F482" s="24"/>
      <c r="G482" s="24"/>
      <c r="H482" s="25"/>
      <c r="I482" s="24"/>
      <c r="J482" s="26" t="str">
        <f t="shared" si="7"/>
        <v/>
      </c>
    </row>
    <row r="483" spans="1:10" ht="15" x14ac:dyDescent="0.15">
      <c r="A483" s="22"/>
      <c r="B483" s="23" t="str">
        <f>IF($A483="","",DATE(PARAMETRI!$B$11-1,12,31))</f>
        <v/>
      </c>
      <c r="C483" s="24"/>
      <c r="D483" s="24"/>
      <c r="E483" s="24"/>
      <c r="F483" s="24"/>
      <c r="G483" s="24"/>
      <c r="H483" s="25"/>
      <c r="I483" s="24"/>
      <c r="J483" s="26" t="str">
        <f t="shared" si="7"/>
        <v/>
      </c>
    </row>
    <row r="484" spans="1:10" ht="15" x14ac:dyDescent="0.15">
      <c r="A484" s="22"/>
      <c r="B484" s="23" t="str">
        <f>IF($A484="","",DATE(PARAMETRI!$B$11-1,12,31))</f>
        <v/>
      </c>
      <c r="C484" s="24"/>
      <c r="D484" s="24"/>
      <c r="E484" s="24"/>
      <c r="F484" s="24"/>
      <c r="G484" s="24"/>
      <c r="H484" s="25"/>
      <c r="I484" s="24"/>
      <c r="J484" s="26" t="str">
        <f t="shared" si="7"/>
        <v/>
      </c>
    </row>
    <row r="485" spans="1:10" ht="15" x14ac:dyDescent="0.15">
      <c r="A485" s="22"/>
      <c r="B485" s="23" t="str">
        <f>IF($A485="","",DATE(PARAMETRI!$B$11-1,12,31))</f>
        <v/>
      </c>
      <c r="C485" s="24"/>
      <c r="D485" s="24"/>
      <c r="E485" s="24"/>
      <c r="F485" s="24"/>
      <c r="G485" s="24"/>
      <c r="H485" s="25"/>
      <c r="I485" s="24"/>
      <c r="J485" s="26" t="str">
        <f t="shared" si="7"/>
        <v/>
      </c>
    </row>
    <row r="486" spans="1:10" ht="15" x14ac:dyDescent="0.15">
      <c r="A486" s="22"/>
      <c r="B486" s="23" t="str">
        <f>IF($A486="","",DATE(PARAMETRI!$B$11-1,12,31))</f>
        <v/>
      </c>
      <c r="C486" s="24"/>
      <c r="D486" s="24"/>
      <c r="E486" s="24"/>
      <c r="F486" s="24"/>
      <c r="G486" s="24"/>
      <c r="H486" s="25"/>
      <c r="I486" s="24"/>
      <c r="J486" s="26" t="str">
        <f t="shared" si="7"/>
        <v/>
      </c>
    </row>
    <row r="487" spans="1:10" ht="15" x14ac:dyDescent="0.15">
      <c r="A487" s="22"/>
      <c r="B487" s="23" t="str">
        <f>IF($A487="","",DATE(PARAMETRI!$B$11-1,12,31))</f>
        <v/>
      </c>
      <c r="C487" s="24"/>
      <c r="D487" s="24"/>
      <c r="E487" s="24"/>
      <c r="F487" s="24"/>
      <c r="G487" s="24"/>
      <c r="H487" s="25"/>
      <c r="I487" s="24"/>
      <c r="J487" s="26" t="str">
        <f t="shared" si="7"/>
        <v/>
      </c>
    </row>
    <row r="488" spans="1:10" ht="15" x14ac:dyDescent="0.15">
      <c r="A488" s="22"/>
      <c r="B488" s="23" t="str">
        <f>IF($A488="","",DATE(PARAMETRI!$B$11-1,12,31))</f>
        <v/>
      </c>
      <c r="C488" s="24"/>
      <c r="D488" s="24"/>
      <c r="E488" s="24"/>
      <c r="F488" s="24"/>
      <c r="G488" s="24"/>
      <c r="H488" s="25"/>
      <c r="I488" s="24"/>
      <c r="J488" s="26" t="str">
        <f t="shared" si="7"/>
        <v/>
      </c>
    </row>
    <row r="489" spans="1:10" ht="15" x14ac:dyDescent="0.15">
      <c r="A489" s="22"/>
      <c r="B489" s="23" t="str">
        <f>IF($A489="","",DATE(PARAMETRI!$B$11-1,12,31))</f>
        <v/>
      </c>
      <c r="C489" s="24"/>
      <c r="D489" s="24"/>
      <c r="E489" s="24"/>
      <c r="F489" s="24"/>
      <c r="G489" s="24"/>
      <c r="H489" s="25"/>
      <c r="I489" s="24"/>
      <c r="J489" s="26" t="str">
        <f t="shared" si="7"/>
        <v/>
      </c>
    </row>
    <row r="490" spans="1:10" ht="15" x14ac:dyDescent="0.15">
      <c r="A490" s="22"/>
      <c r="B490" s="23" t="str">
        <f>IF($A490="","",DATE(PARAMETRI!$B$11-1,12,31))</f>
        <v/>
      </c>
      <c r="C490" s="24"/>
      <c r="D490" s="24"/>
      <c r="E490" s="24"/>
      <c r="F490" s="24"/>
      <c r="G490" s="24"/>
      <c r="H490" s="25"/>
      <c r="I490" s="24"/>
      <c r="J490" s="26" t="str">
        <f t="shared" si="7"/>
        <v/>
      </c>
    </row>
    <row r="491" spans="1:10" ht="15" x14ac:dyDescent="0.15">
      <c r="A491" s="22"/>
      <c r="B491" s="23" t="str">
        <f>IF($A491="","",DATE(PARAMETRI!$B$11-1,12,31))</f>
        <v/>
      </c>
      <c r="C491" s="24"/>
      <c r="D491" s="24"/>
      <c r="E491" s="24"/>
      <c r="F491" s="24"/>
      <c r="G491" s="24"/>
      <c r="H491" s="25"/>
      <c r="I491" s="24"/>
      <c r="J491" s="26" t="str">
        <f t="shared" si="7"/>
        <v/>
      </c>
    </row>
    <row r="492" spans="1:10" ht="15" x14ac:dyDescent="0.15">
      <c r="A492" s="22"/>
      <c r="B492" s="23" t="str">
        <f>IF($A492="","",DATE(PARAMETRI!$B$11-1,12,31))</f>
        <v/>
      </c>
      <c r="C492" s="24"/>
      <c r="D492" s="24"/>
      <c r="E492" s="24"/>
      <c r="F492" s="24"/>
      <c r="G492" s="24"/>
      <c r="H492" s="25"/>
      <c r="I492" s="24"/>
      <c r="J492" s="26" t="str">
        <f t="shared" si="7"/>
        <v/>
      </c>
    </row>
    <row r="493" spans="1:10" ht="15" x14ac:dyDescent="0.15">
      <c r="A493" s="22"/>
      <c r="B493" s="23" t="str">
        <f>IF($A493="","",DATE(PARAMETRI!$B$11-1,12,31))</f>
        <v/>
      </c>
      <c r="C493" s="24"/>
      <c r="D493" s="24"/>
      <c r="E493" s="24"/>
      <c r="F493" s="24"/>
      <c r="G493" s="24"/>
      <c r="H493" s="25"/>
      <c r="I493" s="24"/>
      <c r="J493" s="26" t="str">
        <f t="shared" si="7"/>
        <v/>
      </c>
    </row>
    <row r="494" spans="1:10" ht="15" x14ac:dyDescent="0.15">
      <c r="A494" s="22"/>
      <c r="B494" s="23" t="str">
        <f>IF($A494="","",DATE(PARAMETRI!$B$11-1,12,31))</f>
        <v/>
      </c>
      <c r="C494" s="24"/>
      <c r="D494" s="24"/>
      <c r="E494" s="24"/>
      <c r="F494" s="24"/>
      <c r="G494" s="24"/>
      <c r="H494" s="25"/>
      <c r="I494" s="24"/>
      <c r="J494" s="26" t="str">
        <f t="shared" si="7"/>
        <v/>
      </c>
    </row>
    <row r="495" spans="1:10" ht="15" x14ac:dyDescent="0.15">
      <c r="A495" s="22"/>
      <c r="B495" s="23" t="str">
        <f>IF($A495="","",DATE(PARAMETRI!$B$11-1,12,31))</f>
        <v/>
      </c>
      <c r="C495" s="24"/>
      <c r="D495" s="24"/>
      <c r="E495" s="24"/>
      <c r="F495" s="24"/>
      <c r="G495" s="24"/>
      <c r="H495" s="25"/>
      <c r="I495" s="24"/>
      <c r="J495" s="26" t="str">
        <f t="shared" si="7"/>
        <v/>
      </c>
    </row>
    <row r="496" spans="1:10" ht="15" x14ac:dyDescent="0.15">
      <c r="A496" s="22"/>
      <c r="B496" s="23" t="str">
        <f>IF($A496="","",DATE(PARAMETRI!$B$11-1,12,31))</f>
        <v/>
      </c>
      <c r="C496" s="24"/>
      <c r="D496" s="24"/>
      <c r="E496" s="24"/>
      <c r="F496" s="24"/>
      <c r="G496" s="24"/>
      <c r="H496" s="25"/>
      <c r="I496" s="24"/>
      <c r="J496" s="26" t="str">
        <f t="shared" si="7"/>
        <v/>
      </c>
    </row>
    <row r="497" spans="1:10" ht="15" x14ac:dyDescent="0.15">
      <c r="A497" s="22"/>
      <c r="B497" s="23" t="str">
        <f>IF($A497="","",DATE(PARAMETRI!$B$11-1,12,31))</f>
        <v/>
      </c>
      <c r="C497" s="24"/>
      <c r="D497" s="24"/>
      <c r="E497" s="24"/>
      <c r="F497" s="24"/>
      <c r="G497" s="24"/>
      <c r="H497" s="25"/>
      <c r="I497" s="24"/>
      <c r="J497" s="26" t="str">
        <f t="shared" si="7"/>
        <v/>
      </c>
    </row>
    <row r="498" spans="1:10" ht="15" x14ac:dyDescent="0.15">
      <c r="A498" s="22"/>
      <c r="B498" s="23" t="str">
        <f>IF($A498="","",DATE(PARAMETRI!$B$11-1,12,31))</f>
        <v/>
      </c>
      <c r="C498" s="24"/>
      <c r="D498" s="24"/>
      <c r="E498" s="24"/>
      <c r="F498" s="24"/>
      <c r="G498" s="24"/>
      <c r="H498" s="25"/>
      <c r="I498" s="24"/>
      <c r="J498" s="26" t="str">
        <f t="shared" si="7"/>
        <v/>
      </c>
    </row>
    <row r="499" spans="1:10" ht="15" x14ac:dyDescent="0.15">
      <c r="A499" s="22"/>
      <c r="B499" s="23" t="str">
        <f>IF($A499="","",DATE(PARAMETRI!$B$11-1,12,31))</f>
        <v/>
      </c>
      <c r="C499" s="24"/>
      <c r="D499" s="24"/>
      <c r="E499" s="24"/>
      <c r="F499" s="24"/>
      <c r="G499" s="24"/>
      <c r="H499" s="25"/>
      <c r="I499" s="24"/>
      <c r="J499" s="26" t="str">
        <f t="shared" si="7"/>
        <v/>
      </c>
    </row>
    <row r="500" spans="1:10" ht="15" x14ac:dyDescent="0.15">
      <c r="A500" s="22"/>
      <c r="B500" s="23" t="str">
        <f>IF($A500="","",DATE(PARAMETRI!$B$11-1,12,31))</f>
        <v/>
      </c>
      <c r="C500" s="24"/>
      <c r="D500" s="24"/>
      <c r="E500" s="24"/>
      <c r="F500" s="24"/>
      <c r="G500" s="24"/>
      <c r="H500" s="25"/>
      <c r="I500" s="24"/>
      <c r="J500" s="26" t="str">
        <f t="shared" si="7"/>
        <v/>
      </c>
    </row>
    <row r="501" spans="1:10" ht="15" x14ac:dyDescent="0.15">
      <c r="A501" s="22"/>
      <c r="B501" s="23" t="str">
        <f>IF($A501="","",DATE(PARAMETRI!$B$11-1,12,31))</f>
        <v/>
      </c>
      <c r="C501" s="24"/>
      <c r="D501" s="24"/>
      <c r="E501" s="24"/>
      <c r="F501" s="24"/>
      <c r="G501" s="24"/>
      <c r="H501" s="25"/>
      <c r="I501" s="24"/>
      <c r="J501" s="26" t="str">
        <f t="shared" si="7"/>
        <v/>
      </c>
    </row>
    <row r="502" spans="1:10" ht="15" x14ac:dyDescent="0.15">
      <c r="A502" s="22"/>
      <c r="B502" s="23" t="str">
        <f>IF($A502="","",DATE(PARAMETRI!$B$11-1,12,31))</f>
        <v/>
      </c>
      <c r="C502" s="24"/>
      <c r="D502" s="24"/>
      <c r="E502" s="24"/>
      <c r="F502" s="24"/>
      <c r="G502" s="24"/>
      <c r="H502" s="25"/>
      <c r="I502" s="24"/>
      <c r="J502" s="26" t="str">
        <f t="shared" si="7"/>
        <v/>
      </c>
    </row>
    <row r="503" spans="1:10" ht="15" x14ac:dyDescent="0.15">
      <c r="A503" s="22"/>
      <c r="B503" s="23" t="str">
        <f>IF($A503="","",DATE(PARAMETRI!$B$11-1,12,31))</f>
        <v/>
      </c>
      <c r="C503" s="24"/>
      <c r="D503" s="24"/>
      <c r="E503" s="24"/>
      <c r="F503" s="24"/>
      <c r="G503" s="24"/>
      <c r="H503" s="25"/>
      <c r="I503" s="24"/>
      <c r="J503" s="26" t="str">
        <f t="shared" si="7"/>
        <v/>
      </c>
    </row>
    <row r="504" spans="1:10" ht="15" x14ac:dyDescent="0.15">
      <c r="A504" s="22"/>
      <c r="B504" s="23" t="str">
        <f>IF($A504="","",DATE(PARAMETRI!$B$11-1,12,31))</f>
        <v/>
      </c>
      <c r="C504" s="24"/>
      <c r="D504" s="24"/>
      <c r="E504" s="24"/>
      <c r="F504" s="24"/>
      <c r="G504" s="24"/>
      <c r="H504" s="25"/>
      <c r="I504" s="24"/>
      <c r="J504" s="26" t="str">
        <f t="shared" si="7"/>
        <v/>
      </c>
    </row>
    <row r="505" spans="1:10" ht="15" x14ac:dyDescent="0.15">
      <c r="A505" s="22"/>
      <c r="B505" s="23" t="str">
        <f>IF($A505="","",DATE(PARAMETRI!$B$11-1,12,31))</f>
        <v/>
      </c>
      <c r="C505" s="24"/>
      <c r="D505" s="24"/>
      <c r="E505" s="24"/>
      <c r="F505" s="24"/>
      <c r="G505" s="24"/>
      <c r="H505" s="25"/>
      <c r="I505" s="24"/>
      <c r="J505" s="26" t="str">
        <f t="shared" si="7"/>
        <v/>
      </c>
    </row>
  </sheetData>
  <mergeCells count="2">
    <mergeCell ref="A1:J1"/>
    <mergeCell ref="A3:B3"/>
  </mergeCells>
  <conditionalFormatting sqref="J6:J505">
    <cfRule type="expression" dxfId="6" priority="2">
      <formula>$J6="DUPLICATO"</formula>
    </cfRule>
  </conditionalFormatting>
  <dataValidations count="2">
    <dataValidation type="list" showErrorMessage="1" errorTitle="Valore non valido" error="Selezionare un valore presente nell'elenco." sqref="A3" xr:uid="{00000000-0002-0000-0100-000000000000}">
      <formula1>ListaCommessePregresseDashboard</formula1>
    </dataValidation>
    <dataValidation type="list" allowBlank="1" showErrorMessage="1" errorTitle="Valore non valido" error="Selezionare un valore presente nell'elenco." sqref="A6:A505" xr:uid="{00000000-0002-0000-0100-000001000000}">
      <formula1>ListaCommessePregresse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5"/>
  <sheetViews>
    <sheetView workbookViewId="0">
      <pane ySplit="5" topLeftCell="A7" activePane="bottomLeft" state="frozen"/>
      <selection pane="bottomLeft" sqref="A1:J1"/>
    </sheetView>
  </sheetViews>
  <sheetFormatPr baseColWidth="10" defaultColWidth="8.6640625" defaultRowHeight="13" x14ac:dyDescent="0.15"/>
  <cols>
    <col min="1" max="1" width="17" customWidth="1"/>
    <col min="2" max="2" width="25" customWidth="1"/>
    <col min="3" max="3" width="42" customWidth="1"/>
    <col min="4" max="4" width="15" customWidth="1"/>
    <col min="5" max="8" width="17" customWidth="1"/>
    <col min="9" max="9" width="15" customWidth="1"/>
    <col min="10" max="10" width="30" customWidth="1"/>
  </cols>
  <sheetData>
    <row r="1" spans="1:10" ht="15" x14ac:dyDescent="0.15">
      <c r="A1" s="10" t="s">
        <v>170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5" customHeight="1" x14ac:dyDescent="0.15">
      <c r="A2" s="9" t="s">
        <v>50</v>
      </c>
      <c r="B2" s="9"/>
      <c r="C2" s="9"/>
      <c r="D2" s="9"/>
      <c r="E2" s="9"/>
      <c r="F2" s="9"/>
      <c r="G2" s="9"/>
      <c r="H2" s="9"/>
      <c r="I2" s="9"/>
      <c r="J2" s="9"/>
    </row>
    <row r="3" spans="1:10" ht="27" customHeight="1" x14ac:dyDescent="0.15">
      <c r="A3" s="18" t="s">
        <v>171</v>
      </c>
      <c r="B3" s="29">
        <v>46023</v>
      </c>
      <c r="C3" s="18" t="s">
        <v>172</v>
      </c>
      <c r="D3" s="29">
        <v>46387</v>
      </c>
      <c r="E3" s="18" t="s">
        <v>173</v>
      </c>
      <c r="F3" s="21">
        <f>IF(OR($B$3="",$D$3="",$B$3&gt;$D$3),"",COUNTIFS(ANAGRAFICA!$J$6:$J$305,"&gt;="&amp;$B$3,ANAGRAFICA!$J$6:$J$305,"&lt;="&amp;$D$3,ANAGRAFICA!$K$6:$K$305,"",ANAGRAFICA!$L$6:$L$305,"&lt;&gt;Finito*",ANAGRAFICA!$B$6:$B$305,"&lt;&gt;"))</f>
        <v>2</v>
      </c>
      <c r="G3" s="18" t="s">
        <v>51</v>
      </c>
      <c r="H3" s="20">
        <f>IF(OR($B$3="",$D$3="",$B$3&gt;$D$3),"",SUMIFS($D$6:$D$305,ANAGRAFICA!$J$6:$J$305,"&gt;="&amp;$B$3,ANAGRAFICA!$J$6:$J$305,"&lt;="&amp;$D$3,ANAGRAFICA!$K$6:$K$305,"",ANAGRAFICA!$L$6:$L$305,"&lt;&gt;Finito*",ANAGRAFICA!$B$6:$B$305,"&lt;&gt;"))</f>
        <v>2800</v>
      </c>
      <c r="I3" s="18" t="s">
        <v>55</v>
      </c>
      <c r="J3" s="19">
        <f>IF(OR($B$3="",$D$3="",$B$3&gt;$D$3),"",SUMIFS($H$6:$H$305,ANAGRAFICA!$J$6:$J$305,"&gt;="&amp;$B$3,ANAGRAFICA!$J$6:$J$305,"&lt;="&amp;$D$3,ANAGRAFICA!$K$6:$K$305,"",ANAGRAFICA!$L$6:$L$305,"&lt;&gt;Finito*",ANAGRAFICA!$B$6:$B$305,"&lt;&gt;"))</f>
        <v>179520</v>
      </c>
    </row>
    <row r="4" spans="1:10" ht="20" customHeight="1" x14ac:dyDescent="0.15">
      <c r="A4" s="9" t="s">
        <v>174</v>
      </c>
      <c r="B4" s="7"/>
      <c r="C4" s="7"/>
      <c r="D4" s="7"/>
      <c r="E4" s="7"/>
      <c r="F4" s="7"/>
      <c r="G4" s="7"/>
      <c r="H4" s="7"/>
      <c r="I4" s="7"/>
      <c r="J4" s="7"/>
    </row>
    <row r="5" spans="1:10" ht="32" x14ac:dyDescent="0.15">
      <c r="A5" s="12" t="s">
        <v>0</v>
      </c>
      <c r="B5" s="12" t="s">
        <v>1</v>
      </c>
      <c r="C5" s="12" t="s">
        <v>2</v>
      </c>
      <c r="D5" s="12" t="s">
        <v>51</v>
      </c>
      <c r="E5" s="12" t="s">
        <v>52</v>
      </c>
      <c r="F5" s="12" t="s">
        <v>53</v>
      </c>
      <c r="G5" s="12" t="s">
        <v>54</v>
      </c>
      <c r="H5" s="12" t="s">
        <v>55</v>
      </c>
      <c r="I5" s="12" t="s">
        <v>56</v>
      </c>
      <c r="J5" s="12" t="s">
        <v>57</v>
      </c>
    </row>
    <row r="6" spans="1:10" ht="15" x14ac:dyDescent="0.15">
      <c r="A6" s="26" t="str">
        <f>IF(ANAGRAFICA!$B6="","",ANAGRAFICA!$B6)</f>
        <v>C042</v>
      </c>
      <c r="B6" s="26" t="str">
        <f>IF($A6="","",ANAGRAFICA!$C6)</f>
        <v>CARRON BAU</v>
      </c>
      <c r="C6" s="26" t="str">
        <f>IF($A6="","",ANAGRAFICA!$D6)</f>
        <v>MURATURE IN LATERIZIO C/O COSMO SPA - PESCHIERA DEL GARDA</v>
      </c>
      <c r="D6" s="25">
        <v>1800</v>
      </c>
      <c r="E6" s="24">
        <v>45.79</v>
      </c>
      <c r="F6" s="27">
        <f t="shared" ref="F6:F69" si="0">IF(OR($A6="",$D6="",$E6=""),"",$D6*$E6)</f>
        <v>82422</v>
      </c>
      <c r="G6" s="24">
        <v>31308</v>
      </c>
      <c r="H6" s="27">
        <f t="shared" ref="H6:H69" si="1">IF($A6="","",SUM($F6,$G6))</f>
        <v>113730</v>
      </c>
      <c r="I6" s="28">
        <f>IFERROR(IF(OR($A6="",ANAGRAFICA!$P6="",ANAGRAFICA!$P6=0),"",(ANAGRAFICA!$P6-$H6)/ANAGRAFICA!$P6),"")</f>
        <v>0.2050267084603738</v>
      </c>
      <c r="J6" s="22" t="s">
        <v>58</v>
      </c>
    </row>
    <row r="7" spans="1:10" ht="15" x14ac:dyDescent="0.15">
      <c r="A7" s="26" t="str">
        <f>IF(ANAGRAFICA!$B7="","",ANAGRAFICA!$B7)</f>
        <v>C011</v>
      </c>
      <c r="B7" s="26" t="str">
        <f>IF($A7="","",ANAGRAFICA!$C7)</f>
        <v>CARRON</v>
      </c>
      <c r="C7" s="26" t="str">
        <f>IF($A7="","",ANAGRAFICA!$D7)</f>
        <v>ZABARELLA 2023 - COD. CANTIERE 774</v>
      </c>
      <c r="D7" s="25"/>
      <c r="E7" s="24"/>
      <c r="F7" s="27" t="str">
        <f t="shared" si="0"/>
        <v/>
      </c>
      <c r="G7" s="24"/>
      <c r="H7" s="27">
        <f t="shared" si="1"/>
        <v>0</v>
      </c>
      <c r="I7" s="28">
        <f>IFERROR(IF(OR($A7="",ANAGRAFICA!$P7="",ANAGRAFICA!$P7=0),"",(ANAGRAFICA!$P7-$H7)/ANAGRAFICA!$P7),"")</f>
        <v>1</v>
      </c>
      <c r="J7" s="22"/>
    </row>
    <row r="8" spans="1:10" ht="15" x14ac:dyDescent="0.15">
      <c r="A8" s="26" t="str">
        <f>IF(ANAGRAFICA!$B8="","",ANAGRAFICA!$B8)</f>
        <v>TEST10</v>
      </c>
      <c r="B8" s="26" t="str">
        <f>IF($A8="","",ANAGRAFICA!$C8)</f>
        <v>COMMESSA DIMOSTRATIVA</v>
      </c>
      <c r="C8" s="26" t="str">
        <f>IF($A8="","",ANAGRAFICA!$D8)</f>
        <v>TEST REV.10 - PERDITE SAL E COSTI MENSILI</v>
      </c>
      <c r="D8" s="25">
        <v>1000</v>
      </c>
      <c r="E8" s="24">
        <v>45.79</v>
      </c>
      <c r="F8" s="27">
        <f t="shared" si="0"/>
        <v>45790</v>
      </c>
      <c r="G8" s="24">
        <v>20000</v>
      </c>
      <c r="H8" s="27">
        <f t="shared" si="1"/>
        <v>65790</v>
      </c>
      <c r="I8" s="28">
        <f>IFERROR(IF(OR($A8="",ANAGRAFICA!$P8="",ANAGRAFICA!$P8=0),"",(ANAGRAFICA!$P8-$H8)/ANAGRAFICA!$P8),"")</f>
        <v>0.34210000000000002</v>
      </c>
      <c r="J8" s="22"/>
    </row>
    <row r="9" spans="1:10" ht="15" x14ac:dyDescent="0.15">
      <c r="A9" s="26" t="str">
        <f>IF(ANAGRAFICA!$B9="","",ANAGRAFICA!$B9)</f>
        <v>C042</v>
      </c>
      <c r="B9" s="26">
        <f>IF($A9="","",ANAGRAFICA!$C9)</f>
        <v>0</v>
      </c>
      <c r="C9" s="26">
        <f>IF($A9="","",ANAGRAFICA!$D9)</f>
        <v>0</v>
      </c>
      <c r="D9" s="25"/>
      <c r="E9" s="24"/>
      <c r="F9" s="27" t="str">
        <f t="shared" si="0"/>
        <v/>
      </c>
      <c r="G9" s="24"/>
      <c r="H9" s="27">
        <f t="shared" si="1"/>
        <v>0</v>
      </c>
      <c r="I9" s="28" t="str">
        <f>IFERROR(IF(OR($A9="",ANAGRAFICA!$P9="",ANAGRAFICA!$P9=0),"",(ANAGRAFICA!$P9-$H9)/ANAGRAFICA!$P9),"")</f>
        <v/>
      </c>
      <c r="J9" s="22"/>
    </row>
    <row r="10" spans="1:10" ht="15" x14ac:dyDescent="0.15">
      <c r="A10" s="26" t="str">
        <f>IF(ANAGRAFICA!$B10="","",ANAGRAFICA!$B10)</f>
        <v/>
      </c>
      <c r="B10" s="26" t="str">
        <f>IF($A10="","",ANAGRAFICA!$C10)</f>
        <v/>
      </c>
      <c r="C10" s="26" t="str">
        <f>IF($A10="","",ANAGRAFICA!$D10)</f>
        <v/>
      </c>
      <c r="D10" s="25"/>
      <c r="E10" s="24"/>
      <c r="F10" s="27" t="str">
        <f t="shared" si="0"/>
        <v/>
      </c>
      <c r="G10" s="24"/>
      <c r="H10" s="27" t="str">
        <f t="shared" si="1"/>
        <v/>
      </c>
      <c r="I10" s="28" t="str">
        <f>IFERROR(IF(OR($A10="",ANAGRAFICA!$P10="",ANAGRAFICA!$P10=0),"",(ANAGRAFICA!$P10-$H10)/ANAGRAFICA!$P10),"")</f>
        <v/>
      </c>
      <c r="J10" s="22"/>
    </row>
    <row r="11" spans="1:10" ht="15" x14ac:dyDescent="0.15">
      <c r="A11" s="26" t="str">
        <f>IF(ANAGRAFICA!$B11="","",ANAGRAFICA!$B11)</f>
        <v/>
      </c>
      <c r="B11" s="26" t="str">
        <f>IF($A11="","",ANAGRAFICA!$C11)</f>
        <v/>
      </c>
      <c r="C11" s="26" t="str">
        <f>IF($A11="","",ANAGRAFICA!$D11)</f>
        <v/>
      </c>
      <c r="D11" s="25"/>
      <c r="E11" s="24"/>
      <c r="F11" s="27" t="str">
        <f t="shared" si="0"/>
        <v/>
      </c>
      <c r="G11" s="24"/>
      <c r="H11" s="27" t="str">
        <f t="shared" si="1"/>
        <v/>
      </c>
      <c r="I11" s="28" t="str">
        <f>IFERROR(IF(OR($A11="",ANAGRAFICA!$P11="",ANAGRAFICA!$P11=0),"",(ANAGRAFICA!$P11-$H11)/ANAGRAFICA!$P11),"")</f>
        <v/>
      </c>
      <c r="J11" s="22"/>
    </row>
    <row r="12" spans="1:10" ht="15" x14ac:dyDescent="0.15">
      <c r="A12" s="26" t="str">
        <f>IF(ANAGRAFICA!$B12="","",ANAGRAFICA!$B12)</f>
        <v/>
      </c>
      <c r="B12" s="26" t="str">
        <f>IF($A12="","",ANAGRAFICA!$C12)</f>
        <v/>
      </c>
      <c r="C12" s="26" t="str">
        <f>IF($A12="","",ANAGRAFICA!$D12)</f>
        <v/>
      </c>
      <c r="D12" s="25"/>
      <c r="E12" s="24"/>
      <c r="F12" s="27" t="str">
        <f t="shared" si="0"/>
        <v/>
      </c>
      <c r="G12" s="24"/>
      <c r="H12" s="27" t="str">
        <f t="shared" si="1"/>
        <v/>
      </c>
      <c r="I12" s="28" t="str">
        <f>IFERROR(IF(OR($A12="",ANAGRAFICA!$P12="",ANAGRAFICA!$P12=0),"",(ANAGRAFICA!$P12-$H12)/ANAGRAFICA!$P12),"")</f>
        <v/>
      </c>
      <c r="J12" s="22"/>
    </row>
    <row r="13" spans="1:10" ht="15" x14ac:dyDescent="0.15">
      <c r="A13" s="26" t="str">
        <f>IF(ANAGRAFICA!$B13="","",ANAGRAFICA!$B13)</f>
        <v/>
      </c>
      <c r="B13" s="26" t="str">
        <f>IF($A13="","",ANAGRAFICA!$C13)</f>
        <v/>
      </c>
      <c r="C13" s="26" t="str">
        <f>IF($A13="","",ANAGRAFICA!$D13)</f>
        <v/>
      </c>
      <c r="D13" s="25"/>
      <c r="E13" s="24"/>
      <c r="F13" s="27" t="str">
        <f t="shared" si="0"/>
        <v/>
      </c>
      <c r="G13" s="24"/>
      <c r="H13" s="27" t="str">
        <f t="shared" si="1"/>
        <v/>
      </c>
      <c r="I13" s="28" t="str">
        <f>IFERROR(IF(OR($A13="",ANAGRAFICA!$P13="",ANAGRAFICA!$P13=0),"",(ANAGRAFICA!$P13-$H13)/ANAGRAFICA!$P13),"")</f>
        <v/>
      </c>
      <c r="J13" s="22"/>
    </row>
    <row r="14" spans="1:10" ht="15" x14ac:dyDescent="0.15">
      <c r="A14" s="26" t="str">
        <f>IF(ANAGRAFICA!$B14="","",ANAGRAFICA!$B14)</f>
        <v/>
      </c>
      <c r="B14" s="26" t="str">
        <f>IF($A14="","",ANAGRAFICA!$C14)</f>
        <v/>
      </c>
      <c r="C14" s="26" t="str">
        <f>IF($A14="","",ANAGRAFICA!$D14)</f>
        <v/>
      </c>
      <c r="D14" s="25"/>
      <c r="E14" s="24"/>
      <c r="F14" s="27" t="str">
        <f t="shared" si="0"/>
        <v/>
      </c>
      <c r="G14" s="24"/>
      <c r="H14" s="27" t="str">
        <f t="shared" si="1"/>
        <v/>
      </c>
      <c r="I14" s="28" t="str">
        <f>IFERROR(IF(OR($A14="",ANAGRAFICA!$P14="",ANAGRAFICA!$P14=0),"",(ANAGRAFICA!$P14-$H14)/ANAGRAFICA!$P14),"")</f>
        <v/>
      </c>
      <c r="J14" s="22"/>
    </row>
    <row r="15" spans="1:10" ht="15" x14ac:dyDescent="0.15">
      <c r="A15" s="26" t="str">
        <f>IF(ANAGRAFICA!$B15="","",ANAGRAFICA!$B15)</f>
        <v/>
      </c>
      <c r="B15" s="26" t="str">
        <f>IF($A15="","",ANAGRAFICA!$C15)</f>
        <v/>
      </c>
      <c r="C15" s="26" t="str">
        <f>IF($A15="","",ANAGRAFICA!$D15)</f>
        <v/>
      </c>
      <c r="D15" s="25"/>
      <c r="E15" s="24"/>
      <c r="F15" s="27" t="str">
        <f t="shared" si="0"/>
        <v/>
      </c>
      <c r="G15" s="24"/>
      <c r="H15" s="27" t="str">
        <f t="shared" si="1"/>
        <v/>
      </c>
      <c r="I15" s="28" t="str">
        <f>IFERROR(IF(OR($A15="",ANAGRAFICA!$P15="",ANAGRAFICA!$P15=0),"",(ANAGRAFICA!$P15-$H15)/ANAGRAFICA!$P15),"")</f>
        <v/>
      </c>
      <c r="J15" s="22"/>
    </row>
    <row r="16" spans="1:10" ht="15" x14ac:dyDescent="0.15">
      <c r="A16" s="26" t="str">
        <f>IF(ANAGRAFICA!$B16="","",ANAGRAFICA!$B16)</f>
        <v/>
      </c>
      <c r="B16" s="26" t="str">
        <f>IF($A16="","",ANAGRAFICA!$C16)</f>
        <v/>
      </c>
      <c r="C16" s="26" t="str">
        <f>IF($A16="","",ANAGRAFICA!$D16)</f>
        <v/>
      </c>
      <c r="D16" s="25"/>
      <c r="E16" s="24"/>
      <c r="F16" s="27" t="str">
        <f t="shared" si="0"/>
        <v/>
      </c>
      <c r="G16" s="24"/>
      <c r="H16" s="27" t="str">
        <f t="shared" si="1"/>
        <v/>
      </c>
      <c r="I16" s="28" t="str">
        <f>IFERROR(IF(OR($A16="",ANAGRAFICA!$P16="",ANAGRAFICA!$P16=0),"",(ANAGRAFICA!$P16-$H16)/ANAGRAFICA!$P16),"")</f>
        <v/>
      </c>
      <c r="J16" s="22"/>
    </row>
    <row r="17" spans="1:10" ht="15" x14ac:dyDescent="0.15">
      <c r="A17" s="26" t="str">
        <f>IF(ANAGRAFICA!$B17="","",ANAGRAFICA!$B17)</f>
        <v/>
      </c>
      <c r="B17" s="26" t="str">
        <f>IF($A17="","",ANAGRAFICA!$C17)</f>
        <v/>
      </c>
      <c r="C17" s="26" t="str">
        <f>IF($A17="","",ANAGRAFICA!$D17)</f>
        <v/>
      </c>
      <c r="D17" s="25"/>
      <c r="E17" s="24"/>
      <c r="F17" s="27" t="str">
        <f t="shared" si="0"/>
        <v/>
      </c>
      <c r="G17" s="24"/>
      <c r="H17" s="27" t="str">
        <f t="shared" si="1"/>
        <v/>
      </c>
      <c r="I17" s="28" t="str">
        <f>IFERROR(IF(OR($A17="",ANAGRAFICA!$P17="",ANAGRAFICA!$P17=0),"",(ANAGRAFICA!$P17-$H17)/ANAGRAFICA!$P17),"")</f>
        <v/>
      </c>
      <c r="J17" s="22"/>
    </row>
    <row r="18" spans="1:10" ht="15" x14ac:dyDescent="0.15">
      <c r="A18" s="26" t="str">
        <f>IF(ANAGRAFICA!$B18="","",ANAGRAFICA!$B18)</f>
        <v/>
      </c>
      <c r="B18" s="26" t="str">
        <f>IF($A18="","",ANAGRAFICA!$C18)</f>
        <v/>
      </c>
      <c r="C18" s="26" t="str">
        <f>IF($A18="","",ANAGRAFICA!$D18)</f>
        <v/>
      </c>
      <c r="D18" s="25"/>
      <c r="E18" s="24"/>
      <c r="F18" s="27" t="str">
        <f t="shared" si="0"/>
        <v/>
      </c>
      <c r="G18" s="24"/>
      <c r="H18" s="27" t="str">
        <f t="shared" si="1"/>
        <v/>
      </c>
      <c r="I18" s="28" t="str">
        <f>IFERROR(IF(OR($A18="",ANAGRAFICA!$P18="",ANAGRAFICA!$P18=0),"",(ANAGRAFICA!$P18-$H18)/ANAGRAFICA!$P18),"")</f>
        <v/>
      </c>
      <c r="J18" s="22"/>
    </row>
    <row r="19" spans="1:10" ht="15" x14ac:dyDescent="0.15">
      <c r="A19" s="26" t="str">
        <f>IF(ANAGRAFICA!$B19="","",ANAGRAFICA!$B19)</f>
        <v/>
      </c>
      <c r="B19" s="26" t="str">
        <f>IF($A19="","",ANAGRAFICA!$C19)</f>
        <v/>
      </c>
      <c r="C19" s="26" t="str">
        <f>IF($A19="","",ANAGRAFICA!$D19)</f>
        <v/>
      </c>
      <c r="D19" s="25"/>
      <c r="E19" s="24"/>
      <c r="F19" s="27" t="str">
        <f t="shared" si="0"/>
        <v/>
      </c>
      <c r="G19" s="24"/>
      <c r="H19" s="27" t="str">
        <f t="shared" si="1"/>
        <v/>
      </c>
      <c r="I19" s="28" t="str">
        <f>IFERROR(IF(OR($A19="",ANAGRAFICA!$P19="",ANAGRAFICA!$P19=0),"",(ANAGRAFICA!$P19-$H19)/ANAGRAFICA!$P19),"")</f>
        <v/>
      </c>
      <c r="J19" s="22"/>
    </row>
    <row r="20" spans="1:10" ht="15" x14ac:dyDescent="0.15">
      <c r="A20" s="26" t="str">
        <f>IF(ANAGRAFICA!$B20="","",ANAGRAFICA!$B20)</f>
        <v/>
      </c>
      <c r="B20" s="26" t="str">
        <f>IF($A20="","",ANAGRAFICA!$C20)</f>
        <v/>
      </c>
      <c r="C20" s="26" t="str">
        <f>IF($A20="","",ANAGRAFICA!$D20)</f>
        <v/>
      </c>
      <c r="D20" s="25"/>
      <c r="E20" s="24"/>
      <c r="F20" s="27" t="str">
        <f t="shared" si="0"/>
        <v/>
      </c>
      <c r="G20" s="24"/>
      <c r="H20" s="27" t="str">
        <f t="shared" si="1"/>
        <v/>
      </c>
      <c r="I20" s="28" t="str">
        <f>IFERROR(IF(OR($A20="",ANAGRAFICA!$P20="",ANAGRAFICA!$P20=0),"",(ANAGRAFICA!$P20-$H20)/ANAGRAFICA!$P20),"")</f>
        <v/>
      </c>
      <c r="J20" s="22"/>
    </row>
    <row r="21" spans="1:10" ht="15" x14ac:dyDescent="0.15">
      <c r="A21" s="26" t="str">
        <f>IF(ANAGRAFICA!$B21="","",ANAGRAFICA!$B21)</f>
        <v/>
      </c>
      <c r="B21" s="26" t="str">
        <f>IF($A21="","",ANAGRAFICA!$C21)</f>
        <v/>
      </c>
      <c r="C21" s="26" t="str">
        <f>IF($A21="","",ANAGRAFICA!$D21)</f>
        <v/>
      </c>
      <c r="D21" s="25"/>
      <c r="E21" s="24"/>
      <c r="F21" s="27" t="str">
        <f t="shared" si="0"/>
        <v/>
      </c>
      <c r="G21" s="24"/>
      <c r="H21" s="27" t="str">
        <f t="shared" si="1"/>
        <v/>
      </c>
      <c r="I21" s="28" t="str">
        <f>IFERROR(IF(OR($A21="",ANAGRAFICA!$P21="",ANAGRAFICA!$P21=0),"",(ANAGRAFICA!$P21-$H21)/ANAGRAFICA!$P21),"")</f>
        <v/>
      </c>
      <c r="J21" s="22"/>
    </row>
    <row r="22" spans="1:10" ht="15" x14ac:dyDescent="0.15">
      <c r="A22" s="26" t="str">
        <f>IF(ANAGRAFICA!$B22="","",ANAGRAFICA!$B22)</f>
        <v/>
      </c>
      <c r="B22" s="26" t="str">
        <f>IF($A22="","",ANAGRAFICA!$C22)</f>
        <v/>
      </c>
      <c r="C22" s="26" t="str">
        <f>IF($A22="","",ANAGRAFICA!$D22)</f>
        <v/>
      </c>
      <c r="D22" s="25"/>
      <c r="E22" s="24"/>
      <c r="F22" s="27" t="str">
        <f t="shared" si="0"/>
        <v/>
      </c>
      <c r="G22" s="24"/>
      <c r="H22" s="27" t="str">
        <f t="shared" si="1"/>
        <v/>
      </c>
      <c r="I22" s="28" t="str">
        <f>IFERROR(IF(OR($A22="",ANAGRAFICA!$P22="",ANAGRAFICA!$P22=0),"",(ANAGRAFICA!$P22-$H22)/ANAGRAFICA!$P22),"")</f>
        <v/>
      </c>
      <c r="J22" s="22"/>
    </row>
    <row r="23" spans="1:10" ht="15" x14ac:dyDescent="0.15">
      <c r="A23" s="26" t="str">
        <f>IF(ANAGRAFICA!$B23="","",ANAGRAFICA!$B23)</f>
        <v/>
      </c>
      <c r="B23" s="26" t="str">
        <f>IF($A23="","",ANAGRAFICA!$C23)</f>
        <v/>
      </c>
      <c r="C23" s="26" t="str">
        <f>IF($A23="","",ANAGRAFICA!$D23)</f>
        <v/>
      </c>
      <c r="D23" s="25"/>
      <c r="E23" s="24"/>
      <c r="F23" s="27" t="str">
        <f t="shared" si="0"/>
        <v/>
      </c>
      <c r="G23" s="24"/>
      <c r="H23" s="27" t="str">
        <f t="shared" si="1"/>
        <v/>
      </c>
      <c r="I23" s="28" t="str">
        <f>IFERROR(IF(OR($A23="",ANAGRAFICA!$P23="",ANAGRAFICA!$P23=0),"",(ANAGRAFICA!$P23-$H23)/ANAGRAFICA!$P23),"")</f>
        <v/>
      </c>
      <c r="J23" s="22"/>
    </row>
    <row r="24" spans="1:10" ht="15" x14ac:dyDescent="0.15">
      <c r="A24" s="26" t="str">
        <f>IF(ANAGRAFICA!$B24="","",ANAGRAFICA!$B24)</f>
        <v/>
      </c>
      <c r="B24" s="26" t="str">
        <f>IF($A24="","",ANAGRAFICA!$C24)</f>
        <v/>
      </c>
      <c r="C24" s="26" t="str">
        <f>IF($A24="","",ANAGRAFICA!$D24)</f>
        <v/>
      </c>
      <c r="D24" s="25"/>
      <c r="E24" s="24"/>
      <c r="F24" s="27" t="str">
        <f t="shared" si="0"/>
        <v/>
      </c>
      <c r="G24" s="24"/>
      <c r="H24" s="27" t="str">
        <f t="shared" si="1"/>
        <v/>
      </c>
      <c r="I24" s="28" t="str">
        <f>IFERROR(IF(OR($A24="",ANAGRAFICA!$P24="",ANAGRAFICA!$P24=0),"",(ANAGRAFICA!$P24-$H24)/ANAGRAFICA!$P24),"")</f>
        <v/>
      </c>
      <c r="J24" s="22"/>
    </row>
    <row r="25" spans="1:10" ht="15" x14ac:dyDescent="0.15">
      <c r="A25" s="26" t="str">
        <f>IF(ANAGRAFICA!$B25="","",ANAGRAFICA!$B25)</f>
        <v/>
      </c>
      <c r="B25" s="26" t="str">
        <f>IF($A25="","",ANAGRAFICA!$C25)</f>
        <v/>
      </c>
      <c r="C25" s="26" t="str">
        <f>IF($A25="","",ANAGRAFICA!$D25)</f>
        <v/>
      </c>
      <c r="D25" s="25"/>
      <c r="E25" s="24"/>
      <c r="F25" s="27" t="str">
        <f t="shared" si="0"/>
        <v/>
      </c>
      <c r="G25" s="24"/>
      <c r="H25" s="27" t="str">
        <f t="shared" si="1"/>
        <v/>
      </c>
      <c r="I25" s="28" t="str">
        <f>IFERROR(IF(OR($A25="",ANAGRAFICA!$P25="",ANAGRAFICA!$P25=0),"",(ANAGRAFICA!$P25-$H25)/ANAGRAFICA!$P25),"")</f>
        <v/>
      </c>
      <c r="J25" s="22"/>
    </row>
    <row r="26" spans="1:10" ht="15" x14ac:dyDescent="0.15">
      <c r="A26" s="26" t="str">
        <f>IF(ANAGRAFICA!$B26="","",ANAGRAFICA!$B26)</f>
        <v/>
      </c>
      <c r="B26" s="26" t="str">
        <f>IF($A26="","",ANAGRAFICA!$C26)</f>
        <v/>
      </c>
      <c r="C26" s="26" t="str">
        <f>IF($A26="","",ANAGRAFICA!$D26)</f>
        <v/>
      </c>
      <c r="D26" s="25"/>
      <c r="E26" s="24"/>
      <c r="F26" s="27" t="str">
        <f t="shared" si="0"/>
        <v/>
      </c>
      <c r="G26" s="24"/>
      <c r="H26" s="27" t="str">
        <f t="shared" si="1"/>
        <v/>
      </c>
      <c r="I26" s="28" t="str">
        <f>IFERROR(IF(OR($A26="",ANAGRAFICA!$P26="",ANAGRAFICA!$P26=0),"",(ANAGRAFICA!$P26-$H26)/ANAGRAFICA!$P26),"")</f>
        <v/>
      </c>
      <c r="J26" s="22"/>
    </row>
    <row r="27" spans="1:10" ht="15" x14ac:dyDescent="0.15">
      <c r="A27" s="26" t="str">
        <f>IF(ANAGRAFICA!$B27="","",ANAGRAFICA!$B27)</f>
        <v/>
      </c>
      <c r="B27" s="26" t="str">
        <f>IF($A27="","",ANAGRAFICA!$C27)</f>
        <v/>
      </c>
      <c r="C27" s="26" t="str">
        <f>IF($A27="","",ANAGRAFICA!$D27)</f>
        <v/>
      </c>
      <c r="D27" s="25"/>
      <c r="E27" s="24"/>
      <c r="F27" s="27" t="str">
        <f t="shared" si="0"/>
        <v/>
      </c>
      <c r="G27" s="24"/>
      <c r="H27" s="27" t="str">
        <f t="shared" si="1"/>
        <v/>
      </c>
      <c r="I27" s="28" t="str">
        <f>IFERROR(IF(OR($A27="",ANAGRAFICA!$P27="",ANAGRAFICA!$P27=0),"",(ANAGRAFICA!$P27-$H27)/ANAGRAFICA!$P27),"")</f>
        <v/>
      </c>
      <c r="J27" s="22"/>
    </row>
    <row r="28" spans="1:10" ht="15" x14ac:dyDescent="0.15">
      <c r="A28" s="26" t="str">
        <f>IF(ANAGRAFICA!$B28="","",ANAGRAFICA!$B28)</f>
        <v/>
      </c>
      <c r="B28" s="26" t="str">
        <f>IF($A28="","",ANAGRAFICA!$C28)</f>
        <v/>
      </c>
      <c r="C28" s="26" t="str">
        <f>IF($A28="","",ANAGRAFICA!$D28)</f>
        <v/>
      </c>
      <c r="D28" s="25"/>
      <c r="E28" s="24"/>
      <c r="F28" s="27" t="str">
        <f t="shared" si="0"/>
        <v/>
      </c>
      <c r="G28" s="24"/>
      <c r="H28" s="27" t="str">
        <f t="shared" si="1"/>
        <v/>
      </c>
      <c r="I28" s="28" t="str">
        <f>IFERROR(IF(OR($A28="",ANAGRAFICA!$P28="",ANAGRAFICA!$P28=0),"",(ANAGRAFICA!$P28-$H28)/ANAGRAFICA!$P28),"")</f>
        <v/>
      </c>
      <c r="J28" s="22"/>
    </row>
    <row r="29" spans="1:10" ht="15" x14ac:dyDescent="0.15">
      <c r="A29" s="26" t="str">
        <f>IF(ANAGRAFICA!$B29="","",ANAGRAFICA!$B29)</f>
        <v/>
      </c>
      <c r="B29" s="26" t="str">
        <f>IF($A29="","",ANAGRAFICA!$C29)</f>
        <v/>
      </c>
      <c r="C29" s="26" t="str">
        <f>IF($A29="","",ANAGRAFICA!$D29)</f>
        <v/>
      </c>
      <c r="D29" s="25"/>
      <c r="E29" s="24"/>
      <c r="F29" s="27" t="str">
        <f t="shared" si="0"/>
        <v/>
      </c>
      <c r="G29" s="24"/>
      <c r="H29" s="27" t="str">
        <f t="shared" si="1"/>
        <v/>
      </c>
      <c r="I29" s="28" t="str">
        <f>IFERROR(IF(OR($A29="",ANAGRAFICA!$P29="",ANAGRAFICA!$P29=0),"",(ANAGRAFICA!$P29-$H29)/ANAGRAFICA!$P29),"")</f>
        <v/>
      </c>
      <c r="J29" s="22"/>
    </row>
    <row r="30" spans="1:10" ht="15" x14ac:dyDescent="0.15">
      <c r="A30" s="26" t="str">
        <f>IF(ANAGRAFICA!$B30="","",ANAGRAFICA!$B30)</f>
        <v/>
      </c>
      <c r="B30" s="26" t="str">
        <f>IF($A30="","",ANAGRAFICA!$C30)</f>
        <v/>
      </c>
      <c r="C30" s="26" t="str">
        <f>IF($A30="","",ANAGRAFICA!$D30)</f>
        <v/>
      </c>
      <c r="D30" s="25"/>
      <c r="E30" s="24"/>
      <c r="F30" s="27" t="str">
        <f t="shared" si="0"/>
        <v/>
      </c>
      <c r="G30" s="24"/>
      <c r="H30" s="27" t="str">
        <f t="shared" si="1"/>
        <v/>
      </c>
      <c r="I30" s="28" t="str">
        <f>IFERROR(IF(OR($A30="",ANAGRAFICA!$P30="",ANAGRAFICA!$P30=0),"",(ANAGRAFICA!$P30-$H30)/ANAGRAFICA!$P30),"")</f>
        <v/>
      </c>
      <c r="J30" s="22"/>
    </row>
    <row r="31" spans="1:10" ht="15" x14ac:dyDescent="0.15">
      <c r="A31" s="26" t="str">
        <f>IF(ANAGRAFICA!$B31="","",ANAGRAFICA!$B31)</f>
        <v/>
      </c>
      <c r="B31" s="26" t="str">
        <f>IF($A31="","",ANAGRAFICA!$C31)</f>
        <v/>
      </c>
      <c r="C31" s="26" t="str">
        <f>IF($A31="","",ANAGRAFICA!$D31)</f>
        <v/>
      </c>
      <c r="D31" s="25"/>
      <c r="E31" s="24"/>
      <c r="F31" s="27" t="str">
        <f t="shared" si="0"/>
        <v/>
      </c>
      <c r="G31" s="24"/>
      <c r="H31" s="27" t="str">
        <f t="shared" si="1"/>
        <v/>
      </c>
      <c r="I31" s="28" t="str">
        <f>IFERROR(IF(OR($A31="",ANAGRAFICA!$P31="",ANAGRAFICA!$P31=0),"",(ANAGRAFICA!$P31-$H31)/ANAGRAFICA!$P31),"")</f>
        <v/>
      </c>
      <c r="J31" s="22"/>
    </row>
    <row r="32" spans="1:10" ht="15" x14ac:dyDescent="0.15">
      <c r="A32" s="26" t="str">
        <f>IF(ANAGRAFICA!$B32="","",ANAGRAFICA!$B32)</f>
        <v/>
      </c>
      <c r="B32" s="26" t="str">
        <f>IF($A32="","",ANAGRAFICA!$C32)</f>
        <v/>
      </c>
      <c r="C32" s="26" t="str">
        <f>IF($A32="","",ANAGRAFICA!$D32)</f>
        <v/>
      </c>
      <c r="D32" s="25"/>
      <c r="E32" s="24"/>
      <c r="F32" s="27" t="str">
        <f t="shared" si="0"/>
        <v/>
      </c>
      <c r="G32" s="24"/>
      <c r="H32" s="27" t="str">
        <f t="shared" si="1"/>
        <v/>
      </c>
      <c r="I32" s="28" t="str">
        <f>IFERROR(IF(OR($A32="",ANAGRAFICA!$P32="",ANAGRAFICA!$P32=0),"",(ANAGRAFICA!$P32-$H32)/ANAGRAFICA!$P32),"")</f>
        <v/>
      </c>
      <c r="J32" s="22"/>
    </row>
    <row r="33" spans="1:10" ht="15" x14ac:dyDescent="0.15">
      <c r="A33" s="26" t="str">
        <f>IF(ANAGRAFICA!$B33="","",ANAGRAFICA!$B33)</f>
        <v/>
      </c>
      <c r="B33" s="26" t="str">
        <f>IF($A33="","",ANAGRAFICA!$C33)</f>
        <v/>
      </c>
      <c r="C33" s="26" t="str">
        <f>IF($A33="","",ANAGRAFICA!$D33)</f>
        <v/>
      </c>
      <c r="D33" s="25"/>
      <c r="E33" s="24"/>
      <c r="F33" s="27" t="str">
        <f t="shared" si="0"/>
        <v/>
      </c>
      <c r="G33" s="24"/>
      <c r="H33" s="27" t="str">
        <f t="shared" si="1"/>
        <v/>
      </c>
      <c r="I33" s="28" t="str">
        <f>IFERROR(IF(OR($A33="",ANAGRAFICA!$P33="",ANAGRAFICA!$P33=0),"",(ANAGRAFICA!$P33-$H33)/ANAGRAFICA!$P33),"")</f>
        <v/>
      </c>
      <c r="J33" s="22"/>
    </row>
    <row r="34" spans="1:10" ht="15" x14ac:dyDescent="0.15">
      <c r="A34" s="26" t="str">
        <f>IF(ANAGRAFICA!$B34="","",ANAGRAFICA!$B34)</f>
        <v/>
      </c>
      <c r="B34" s="26" t="str">
        <f>IF($A34="","",ANAGRAFICA!$C34)</f>
        <v/>
      </c>
      <c r="C34" s="26" t="str">
        <f>IF($A34="","",ANAGRAFICA!$D34)</f>
        <v/>
      </c>
      <c r="D34" s="25"/>
      <c r="E34" s="24"/>
      <c r="F34" s="27" t="str">
        <f t="shared" si="0"/>
        <v/>
      </c>
      <c r="G34" s="24"/>
      <c r="H34" s="27" t="str">
        <f t="shared" si="1"/>
        <v/>
      </c>
      <c r="I34" s="28" t="str">
        <f>IFERROR(IF(OR($A34="",ANAGRAFICA!$P34="",ANAGRAFICA!$P34=0),"",(ANAGRAFICA!$P34-$H34)/ANAGRAFICA!$P34),"")</f>
        <v/>
      </c>
      <c r="J34" s="22"/>
    </row>
    <row r="35" spans="1:10" ht="15" x14ac:dyDescent="0.15">
      <c r="A35" s="26" t="str">
        <f>IF(ANAGRAFICA!$B35="","",ANAGRAFICA!$B35)</f>
        <v/>
      </c>
      <c r="B35" s="26" t="str">
        <f>IF($A35="","",ANAGRAFICA!$C35)</f>
        <v/>
      </c>
      <c r="C35" s="26" t="str">
        <f>IF($A35="","",ANAGRAFICA!$D35)</f>
        <v/>
      </c>
      <c r="D35" s="25"/>
      <c r="E35" s="24"/>
      <c r="F35" s="27" t="str">
        <f t="shared" si="0"/>
        <v/>
      </c>
      <c r="G35" s="24"/>
      <c r="H35" s="27" t="str">
        <f t="shared" si="1"/>
        <v/>
      </c>
      <c r="I35" s="28" t="str">
        <f>IFERROR(IF(OR($A35="",ANAGRAFICA!$P35="",ANAGRAFICA!$P35=0),"",(ANAGRAFICA!$P35-$H35)/ANAGRAFICA!$P35),"")</f>
        <v/>
      </c>
      <c r="J35" s="22"/>
    </row>
    <row r="36" spans="1:10" ht="15" x14ac:dyDescent="0.15">
      <c r="A36" s="26" t="str">
        <f>IF(ANAGRAFICA!$B36="","",ANAGRAFICA!$B36)</f>
        <v/>
      </c>
      <c r="B36" s="26" t="str">
        <f>IF($A36="","",ANAGRAFICA!$C36)</f>
        <v/>
      </c>
      <c r="C36" s="26" t="str">
        <f>IF($A36="","",ANAGRAFICA!$D36)</f>
        <v/>
      </c>
      <c r="D36" s="25"/>
      <c r="E36" s="24"/>
      <c r="F36" s="27" t="str">
        <f t="shared" si="0"/>
        <v/>
      </c>
      <c r="G36" s="24"/>
      <c r="H36" s="27" t="str">
        <f t="shared" si="1"/>
        <v/>
      </c>
      <c r="I36" s="28" t="str">
        <f>IFERROR(IF(OR($A36="",ANAGRAFICA!$P36="",ANAGRAFICA!$P36=0),"",(ANAGRAFICA!$P36-$H36)/ANAGRAFICA!$P36),"")</f>
        <v/>
      </c>
      <c r="J36" s="22"/>
    </row>
    <row r="37" spans="1:10" ht="15" x14ac:dyDescent="0.15">
      <c r="A37" s="26" t="str">
        <f>IF(ANAGRAFICA!$B37="","",ANAGRAFICA!$B37)</f>
        <v/>
      </c>
      <c r="B37" s="26" t="str">
        <f>IF($A37="","",ANAGRAFICA!$C37)</f>
        <v/>
      </c>
      <c r="C37" s="26" t="str">
        <f>IF($A37="","",ANAGRAFICA!$D37)</f>
        <v/>
      </c>
      <c r="D37" s="25"/>
      <c r="E37" s="24"/>
      <c r="F37" s="27" t="str">
        <f t="shared" si="0"/>
        <v/>
      </c>
      <c r="G37" s="24"/>
      <c r="H37" s="27" t="str">
        <f t="shared" si="1"/>
        <v/>
      </c>
      <c r="I37" s="28" t="str">
        <f>IFERROR(IF(OR($A37="",ANAGRAFICA!$P37="",ANAGRAFICA!$P37=0),"",(ANAGRAFICA!$P37-$H37)/ANAGRAFICA!$P37),"")</f>
        <v/>
      </c>
      <c r="J37" s="22"/>
    </row>
    <row r="38" spans="1:10" ht="15" x14ac:dyDescent="0.15">
      <c r="A38" s="26" t="str">
        <f>IF(ANAGRAFICA!$B38="","",ANAGRAFICA!$B38)</f>
        <v/>
      </c>
      <c r="B38" s="26" t="str">
        <f>IF($A38="","",ANAGRAFICA!$C38)</f>
        <v/>
      </c>
      <c r="C38" s="26" t="str">
        <f>IF($A38="","",ANAGRAFICA!$D38)</f>
        <v/>
      </c>
      <c r="D38" s="25"/>
      <c r="E38" s="24"/>
      <c r="F38" s="27" t="str">
        <f t="shared" si="0"/>
        <v/>
      </c>
      <c r="G38" s="24"/>
      <c r="H38" s="27" t="str">
        <f t="shared" si="1"/>
        <v/>
      </c>
      <c r="I38" s="28" t="str">
        <f>IFERROR(IF(OR($A38="",ANAGRAFICA!$P38="",ANAGRAFICA!$P38=0),"",(ANAGRAFICA!$P38-$H38)/ANAGRAFICA!$P38),"")</f>
        <v/>
      </c>
      <c r="J38" s="22"/>
    </row>
    <row r="39" spans="1:10" ht="15" x14ac:dyDescent="0.15">
      <c r="A39" s="26" t="str">
        <f>IF(ANAGRAFICA!$B39="","",ANAGRAFICA!$B39)</f>
        <v/>
      </c>
      <c r="B39" s="26" t="str">
        <f>IF($A39="","",ANAGRAFICA!$C39)</f>
        <v/>
      </c>
      <c r="C39" s="26" t="str">
        <f>IF($A39="","",ANAGRAFICA!$D39)</f>
        <v/>
      </c>
      <c r="D39" s="25"/>
      <c r="E39" s="24"/>
      <c r="F39" s="27" t="str">
        <f t="shared" si="0"/>
        <v/>
      </c>
      <c r="G39" s="24"/>
      <c r="H39" s="27" t="str">
        <f t="shared" si="1"/>
        <v/>
      </c>
      <c r="I39" s="28" t="str">
        <f>IFERROR(IF(OR($A39="",ANAGRAFICA!$P39="",ANAGRAFICA!$P39=0),"",(ANAGRAFICA!$P39-$H39)/ANAGRAFICA!$P39),"")</f>
        <v/>
      </c>
      <c r="J39" s="22"/>
    </row>
    <row r="40" spans="1:10" ht="15" x14ac:dyDescent="0.15">
      <c r="A40" s="26" t="str">
        <f>IF(ANAGRAFICA!$B40="","",ANAGRAFICA!$B40)</f>
        <v/>
      </c>
      <c r="B40" s="26" t="str">
        <f>IF($A40="","",ANAGRAFICA!$C40)</f>
        <v/>
      </c>
      <c r="C40" s="26" t="str">
        <f>IF($A40="","",ANAGRAFICA!$D40)</f>
        <v/>
      </c>
      <c r="D40" s="25"/>
      <c r="E40" s="24"/>
      <c r="F40" s="27" t="str">
        <f t="shared" si="0"/>
        <v/>
      </c>
      <c r="G40" s="24"/>
      <c r="H40" s="27" t="str">
        <f t="shared" si="1"/>
        <v/>
      </c>
      <c r="I40" s="28" t="str">
        <f>IFERROR(IF(OR($A40="",ANAGRAFICA!$P40="",ANAGRAFICA!$P40=0),"",(ANAGRAFICA!$P40-$H40)/ANAGRAFICA!$P40),"")</f>
        <v/>
      </c>
      <c r="J40" s="22"/>
    </row>
    <row r="41" spans="1:10" ht="15" x14ac:dyDescent="0.15">
      <c r="A41" s="26" t="str">
        <f>IF(ANAGRAFICA!$B41="","",ANAGRAFICA!$B41)</f>
        <v/>
      </c>
      <c r="B41" s="26" t="str">
        <f>IF($A41="","",ANAGRAFICA!$C41)</f>
        <v/>
      </c>
      <c r="C41" s="26" t="str">
        <f>IF($A41="","",ANAGRAFICA!$D41)</f>
        <v/>
      </c>
      <c r="D41" s="25"/>
      <c r="E41" s="24"/>
      <c r="F41" s="27" t="str">
        <f t="shared" si="0"/>
        <v/>
      </c>
      <c r="G41" s="24"/>
      <c r="H41" s="27" t="str">
        <f t="shared" si="1"/>
        <v/>
      </c>
      <c r="I41" s="28" t="str">
        <f>IFERROR(IF(OR($A41="",ANAGRAFICA!$P41="",ANAGRAFICA!$P41=0),"",(ANAGRAFICA!$P41-$H41)/ANAGRAFICA!$P41),"")</f>
        <v/>
      </c>
      <c r="J41" s="22"/>
    </row>
    <row r="42" spans="1:10" ht="15" x14ac:dyDescent="0.15">
      <c r="A42" s="26" t="str">
        <f>IF(ANAGRAFICA!$B42="","",ANAGRAFICA!$B42)</f>
        <v/>
      </c>
      <c r="B42" s="26" t="str">
        <f>IF($A42="","",ANAGRAFICA!$C42)</f>
        <v/>
      </c>
      <c r="C42" s="26" t="str">
        <f>IF($A42="","",ANAGRAFICA!$D42)</f>
        <v/>
      </c>
      <c r="D42" s="25"/>
      <c r="E42" s="24"/>
      <c r="F42" s="27" t="str">
        <f t="shared" si="0"/>
        <v/>
      </c>
      <c r="G42" s="24"/>
      <c r="H42" s="27" t="str">
        <f t="shared" si="1"/>
        <v/>
      </c>
      <c r="I42" s="28" t="str">
        <f>IFERROR(IF(OR($A42="",ANAGRAFICA!$P42="",ANAGRAFICA!$P42=0),"",(ANAGRAFICA!$P42-$H42)/ANAGRAFICA!$P42),"")</f>
        <v/>
      </c>
      <c r="J42" s="22"/>
    </row>
    <row r="43" spans="1:10" ht="15" x14ac:dyDescent="0.15">
      <c r="A43" s="26" t="str">
        <f>IF(ANAGRAFICA!$B43="","",ANAGRAFICA!$B43)</f>
        <v/>
      </c>
      <c r="B43" s="26" t="str">
        <f>IF($A43="","",ANAGRAFICA!$C43)</f>
        <v/>
      </c>
      <c r="C43" s="26" t="str">
        <f>IF($A43="","",ANAGRAFICA!$D43)</f>
        <v/>
      </c>
      <c r="D43" s="25"/>
      <c r="E43" s="24"/>
      <c r="F43" s="27" t="str">
        <f t="shared" si="0"/>
        <v/>
      </c>
      <c r="G43" s="24"/>
      <c r="H43" s="27" t="str">
        <f t="shared" si="1"/>
        <v/>
      </c>
      <c r="I43" s="28" t="str">
        <f>IFERROR(IF(OR($A43="",ANAGRAFICA!$P43="",ANAGRAFICA!$P43=0),"",(ANAGRAFICA!$P43-$H43)/ANAGRAFICA!$P43),"")</f>
        <v/>
      </c>
      <c r="J43" s="22"/>
    </row>
    <row r="44" spans="1:10" ht="15" x14ac:dyDescent="0.15">
      <c r="A44" s="26" t="str">
        <f>IF(ANAGRAFICA!$B44="","",ANAGRAFICA!$B44)</f>
        <v/>
      </c>
      <c r="B44" s="26" t="str">
        <f>IF($A44="","",ANAGRAFICA!$C44)</f>
        <v/>
      </c>
      <c r="C44" s="26" t="str">
        <f>IF($A44="","",ANAGRAFICA!$D44)</f>
        <v/>
      </c>
      <c r="D44" s="25"/>
      <c r="E44" s="24"/>
      <c r="F44" s="27" t="str">
        <f t="shared" si="0"/>
        <v/>
      </c>
      <c r="G44" s="24"/>
      <c r="H44" s="27" t="str">
        <f t="shared" si="1"/>
        <v/>
      </c>
      <c r="I44" s="28" t="str">
        <f>IFERROR(IF(OR($A44="",ANAGRAFICA!$P44="",ANAGRAFICA!$P44=0),"",(ANAGRAFICA!$P44-$H44)/ANAGRAFICA!$P44),"")</f>
        <v/>
      </c>
      <c r="J44" s="22"/>
    </row>
    <row r="45" spans="1:10" ht="15" x14ac:dyDescent="0.15">
      <c r="A45" s="26" t="str">
        <f>IF(ANAGRAFICA!$B45="","",ANAGRAFICA!$B45)</f>
        <v/>
      </c>
      <c r="B45" s="26" t="str">
        <f>IF($A45="","",ANAGRAFICA!$C45)</f>
        <v/>
      </c>
      <c r="C45" s="26" t="str">
        <f>IF($A45="","",ANAGRAFICA!$D45)</f>
        <v/>
      </c>
      <c r="D45" s="25"/>
      <c r="E45" s="24"/>
      <c r="F45" s="27" t="str">
        <f t="shared" si="0"/>
        <v/>
      </c>
      <c r="G45" s="24"/>
      <c r="H45" s="27" t="str">
        <f t="shared" si="1"/>
        <v/>
      </c>
      <c r="I45" s="28" t="str">
        <f>IFERROR(IF(OR($A45="",ANAGRAFICA!$P45="",ANAGRAFICA!$P45=0),"",(ANAGRAFICA!$P45-$H45)/ANAGRAFICA!$P45),"")</f>
        <v/>
      </c>
      <c r="J45" s="22"/>
    </row>
    <row r="46" spans="1:10" ht="15" x14ac:dyDescent="0.15">
      <c r="A46" s="26" t="str">
        <f>IF(ANAGRAFICA!$B46="","",ANAGRAFICA!$B46)</f>
        <v/>
      </c>
      <c r="B46" s="26" t="str">
        <f>IF($A46="","",ANAGRAFICA!$C46)</f>
        <v/>
      </c>
      <c r="C46" s="26" t="str">
        <f>IF($A46="","",ANAGRAFICA!$D46)</f>
        <v/>
      </c>
      <c r="D46" s="25"/>
      <c r="E46" s="24"/>
      <c r="F46" s="27" t="str">
        <f t="shared" si="0"/>
        <v/>
      </c>
      <c r="G46" s="24"/>
      <c r="H46" s="27" t="str">
        <f t="shared" si="1"/>
        <v/>
      </c>
      <c r="I46" s="28" t="str">
        <f>IFERROR(IF(OR($A46="",ANAGRAFICA!$P46="",ANAGRAFICA!$P46=0),"",(ANAGRAFICA!$P46-$H46)/ANAGRAFICA!$P46),"")</f>
        <v/>
      </c>
      <c r="J46" s="22"/>
    </row>
    <row r="47" spans="1:10" ht="15" x14ac:dyDescent="0.15">
      <c r="A47" s="26" t="str">
        <f>IF(ANAGRAFICA!$B47="","",ANAGRAFICA!$B47)</f>
        <v/>
      </c>
      <c r="B47" s="26" t="str">
        <f>IF($A47="","",ANAGRAFICA!$C47)</f>
        <v/>
      </c>
      <c r="C47" s="26" t="str">
        <f>IF($A47="","",ANAGRAFICA!$D47)</f>
        <v/>
      </c>
      <c r="D47" s="25"/>
      <c r="E47" s="24"/>
      <c r="F47" s="27" t="str">
        <f t="shared" si="0"/>
        <v/>
      </c>
      <c r="G47" s="24"/>
      <c r="H47" s="27" t="str">
        <f t="shared" si="1"/>
        <v/>
      </c>
      <c r="I47" s="28" t="str">
        <f>IFERROR(IF(OR($A47="",ANAGRAFICA!$P47="",ANAGRAFICA!$P47=0),"",(ANAGRAFICA!$P47-$H47)/ANAGRAFICA!$P47),"")</f>
        <v/>
      </c>
      <c r="J47" s="22"/>
    </row>
    <row r="48" spans="1:10" ht="15" x14ac:dyDescent="0.15">
      <c r="A48" s="26" t="str">
        <f>IF(ANAGRAFICA!$B48="","",ANAGRAFICA!$B48)</f>
        <v/>
      </c>
      <c r="B48" s="26" t="str">
        <f>IF($A48="","",ANAGRAFICA!$C48)</f>
        <v/>
      </c>
      <c r="C48" s="26" t="str">
        <f>IF($A48="","",ANAGRAFICA!$D48)</f>
        <v/>
      </c>
      <c r="D48" s="25"/>
      <c r="E48" s="24"/>
      <c r="F48" s="27" t="str">
        <f t="shared" si="0"/>
        <v/>
      </c>
      <c r="G48" s="24"/>
      <c r="H48" s="27" t="str">
        <f t="shared" si="1"/>
        <v/>
      </c>
      <c r="I48" s="28" t="str">
        <f>IFERROR(IF(OR($A48="",ANAGRAFICA!$P48="",ANAGRAFICA!$P48=0),"",(ANAGRAFICA!$P48-$H48)/ANAGRAFICA!$P48),"")</f>
        <v/>
      </c>
      <c r="J48" s="22"/>
    </row>
    <row r="49" spans="1:10" ht="15" x14ac:dyDescent="0.15">
      <c r="A49" s="26" t="str">
        <f>IF(ANAGRAFICA!$B49="","",ANAGRAFICA!$B49)</f>
        <v/>
      </c>
      <c r="B49" s="26" t="str">
        <f>IF($A49="","",ANAGRAFICA!$C49)</f>
        <v/>
      </c>
      <c r="C49" s="26" t="str">
        <f>IF($A49="","",ANAGRAFICA!$D49)</f>
        <v/>
      </c>
      <c r="D49" s="25"/>
      <c r="E49" s="24"/>
      <c r="F49" s="27" t="str">
        <f t="shared" si="0"/>
        <v/>
      </c>
      <c r="G49" s="24"/>
      <c r="H49" s="27" t="str">
        <f t="shared" si="1"/>
        <v/>
      </c>
      <c r="I49" s="28" t="str">
        <f>IFERROR(IF(OR($A49="",ANAGRAFICA!$P49="",ANAGRAFICA!$P49=0),"",(ANAGRAFICA!$P49-$H49)/ANAGRAFICA!$P49),"")</f>
        <v/>
      </c>
      <c r="J49" s="22"/>
    </row>
    <row r="50" spans="1:10" ht="15" x14ac:dyDescent="0.15">
      <c r="A50" s="26" t="str">
        <f>IF(ANAGRAFICA!$B50="","",ANAGRAFICA!$B50)</f>
        <v/>
      </c>
      <c r="B50" s="26" t="str">
        <f>IF($A50="","",ANAGRAFICA!$C50)</f>
        <v/>
      </c>
      <c r="C50" s="26" t="str">
        <f>IF($A50="","",ANAGRAFICA!$D50)</f>
        <v/>
      </c>
      <c r="D50" s="25"/>
      <c r="E50" s="24"/>
      <c r="F50" s="27" t="str">
        <f t="shared" si="0"/>
        <v/>
      </c>
      <c r="G50" s="24"/>
      <c r="H50" s="27" t="str">
        <f t="shared" si="1"/>
        <v/>
      </c>
      <c r="I50" s="28" t="str">
        <f>IFERROR(IF(OR($A50="",ANAGRAFICA!$P50="",ANAGRAFICA!$P50=0),"",(ANAGRAFICA!$P50-$H50)/ANAGRAFICA!$P50),"")</f>
        <v/>
      </c>
      <c r="J50" s="22"/>
    </row>
    <row r="51" spans="1:10" ht="15" x14ac:dyDescent="0.15">
      <c r="A51" s="26" t="str">
        <f>IF(ANAGRAFICA!$B51="","",ANAGRAFICA!$B51)</f>
        <v/>
      </c>
      <c r="B51" s="26" t="str">
        <f>IF($A51="","",ANAGRAFICA!$C51)</f>
        <v/>
      </c>
      <c r="C51" s="26" t="str">
        <f>IF($A51="","",ANAGRAFICA!$D51)</f>
        <v/>
      </c>
      <c r="D51" s="25"/>
      <c r="E51" s="24"/>
      <c r="F51" s="27" t="str">
        <f t="shared" si="0"/>
        <v/>
      </c>
      <c r="G51" s="24"/>
      <c r="H51" s="27" t="str">
        <f t="shared" si="1"/>
        <v/>
      </c>
      <c r="I51" s="28" t="str">
        <f>IFERROR(IF(OR($A51="",ANAGRAFICA!$P51="",ANAGRAFICA!$P51=0),"",(ANAGRAFICA!$P51-$H51)/ANAGRAFICA!$P51),"")</f>
        <v/>
      </c>
      <c r="J51" s="22"/>
    </row>
    <row r="52" spans="1:10" ht="15" x14ac:dyDescent="0.15">
      <c r="A52" s="26" t="str">
        <f>IF(ANAGRAFICA!$B52="","",ANAGRAFICA!$B52)</f>
        <v/>
      </c>
      <c r="B52" s="26" t="str">
        <f>IF($A52="","",ANAGRAFICA!$C52)</f>
        <v/>
      </c>
      <c r="C52" s="26" t="str">
        <f>IF($A52="","",ANAGRAFICA!$D52)</f>
        <v/>
      </c>
      <c r="D52" s="25"/>
      <c r="E52" s="24"/>
      <c r="F52" s="27" t="str">
        <f t="shared" si="0"/>
        <v/>
      </c>
      <c r="G52" s="24"/>
      <c r="H52" s="27" t="str">
        <f t="shared" si="1"/>
        <v/>
      </c>
      <c r="I52" s="28" t="str">
        <f>IFERROR(IF(OR($A52="",ANAGRAFICA!$P52="",ANAGRAFICA!$P52=0),"",(ANAGRAFICA!$P52-$H52)/ANAGRAFICA!$P52),"")</f>
        <v/>
      </c>
      <c r="J52" s="22"/>
    </row>
    <row r="53" spans="1:10" ht="15" x14ac:dyDescent="0.15">
      <c r="A53" s="26" t="str">
        <f>IF(ANAGRAFICA!$B53="","",ANAGRAFICA!$B53)</f>
        <v/>
      </c>
      <c r="B53" s="26" t="str">
        <f>IF($A53="","",ANAGRAFICA!$C53)</f>
        <v/>
      </c>
      <c r="C53" s="26" t="str">
        <f>IF($A53="","",ANAGRAFICA!$D53)</f>
        <v/>
      </c>
      <c r="D53" s="25"/>
      <c r="E53" s="24"/>
      <c r="F53" s="27" t="str">
        <f t="shared" si="0"/>
        <v/>
      </c>
      <c r="G53" s="24"/>
      <c r="H53" s="27" t="str">
        <f t="shared" si="1"/>
        <v/>
      </c>
      <c r="I53" s="28" t="str">
        <f>IFERROR(IF(OR($A53="",ANAGRAFICA!$P53="",ANAGRAFICA!$P53=0),"",(ANAGRAFICA!$P53-$H53)/ANAGRAFICA!$P53),"")</f>
        <v/>
      </c>
      <c r="J53" s="22"/>
    </row>
    <row r="54" spans="1:10" ht="15" x14ac:dyDescent="0.15">
      <c r="A54" s="26" t="str">
        <f>IF(ANAGRAFICA!$B54="","",ANAGRAFICA!$B54)</f>
        <v/>
      </c>
      <c r="B54" s="26" t="str">
        <f>IF($A54="","",ANAGRAFICA!$C54)</f>
        <v/>
      </c>
      <c r="C54" s="26" t="str">
        <f>IF($A54="","",ANAGRAFICA!$D54)</f>
        <v/>
      </c>
      <c r="D54" s="25"/>
      <c r="E54" s="24"/>
      <c r="F54" s="27" t="str">
        <f t="shared" si="0"/>
        <v/>
      </c>
      <c r="G54" s="24"/>
      <c r="H54" s="27" t="str">
        <f t="shared" si="1"/>
        <v/>
      </c>
      <c r="I54" s="28" t="str">
        <f>IFERROR(IF(OR($A54="",ANAGRAFICA!$P54="",ANAGRAFICA!$P54=0),"",(ANAGRAFICA!$P54-$H54)/ANAGRAFICA!$P54),"")</f>
        <v/>
      </c>
      <c r="J54" s="22"/>
    </row>
    <row r="55" spans="1:10" ht="15" x14ac:dyDescent="0.15">
      <c r="A55" s="26" t="str">
        <f>IF(ANAGRAFICA!$B55="","",ANAGRAFICA!$B55)</f>
        <v/>
      </c>
      <c r="B55" s="26" t="str">
        <f>IF($A55="","",ANAGRAFICA!$C55)</f>
        <v/>
      </c>
      <c r="C55" s="26" t="str">
        <f>IF($A55="","",ANAGRAFICA!$D55)</f>
        <v/>
      </c>
      <c r="D55" s="25"/>
      <c r="E55" s="24"/>
      <c r="F55" s="27" t="str">
        <f t="shared" si="0"/>
        <v/>
      </c>
      <c r="G55" s="24"/>
      <c r="H55" s="27" t="str">
        <f t="shared" si="1"/>
        <v/>
      </c>
      <c r="I55" s="28" t="str">
        <f>IFERROR(IF(OR($A55="",ANAGRAFICA!$P55="",ANAGRAFICA!$P55=0),"",(ANAGRAFICA!$P55-$H55)/ANAGRAFICA!$P55),"")</f>
        <v/>
      </c>
      <c r="J55" s="22"/>
    </row>
    <row r="56" spans="1:10" ht="15" x14ac:dyDescent="0.15">
      <c r="A56" s="26" t="str">
        <f>IF(ANAGRAFICA!$B56="","",ANAGRAFICA!$B56)</f>
        <v/>
      </c>
      <c r="B56" s="26" t="str">
        <f>IF($A56="","",ANAGRAFICA!$C56)</f>
        <v/>
      </c>
      <c r="C56" s="26" t="str">
        <f>IF($A56="","",ANAGRAFICA!$D56)</f>
        <v/>
      </c>
      <c r="D56" s="25"/>
      <c r="E56" s="24"/>
      <c r="F56" s="27" t="str">
        <f t="shared" si="0"/>
        <v/>
      </c>
      <c r="G56" s="24"/>
      <c r="H56" s="27" t="str">
        <f t="shared" si="1"/>
        <v/>
      </c>
      <c r="I56" s="28" t="str">
        <f>IFERROR(IF(OR($A56="",ANAGRAFICA!$P56="",ANAGRAFICA!$P56=0),"",(ANAGRAFICA!$P56-$H56)/ANAGRAFICA!$P56),"")</f>
        <v/>
      </c>
      <c r="J56" s="22"/>
    </row>
    <row r="57" spans="1:10" ht="15" x14ac:dyDescent="0.15">
      <c r="A57" s="26" t="str">
        <f>IF(ANAGRAFICA!$B57="","",ANAGRAFICA!$B57)</f>
        <v/>
      </c>
      <c r="B57" s="26" t="str">
        <f>IF($A57="","",ANAGRAFICA!$C57)</f>
        <v/>
      </c>
      <c r="C57" s="26" t="str">
        <f>IF($A57="","",ANAGRAFICA!$D57)</f>
        <v/>
      </c>
      <c r="D57" s="25"/>
      <c r="E57" s="24"/>
      <c r="F57" s="27" t="str">
        <f t="shared" si="0"/>
        <v/>
      </c>
      <c r="G57" s="24"/>
      <c r="H57" s="27" t="str">
        <f t="shared" si="1"/>
        <v/>
      </c>
      <c r="I57" s="28" t="str">
        <f>IFERROR(IF(OR($A57="",ANAGRAFICA!$P57="",ANAGRAFICA!$P57=0),"",(ANAGRAFICA!$P57-$H57)/ANAGRAFICA!$P57),"")</f>
        <v/>
      </c>
      <c r="J57" s="22"/>
    </row>
    <row r="58" spans="1:10" ht="15" x14ac:dyDescent="0.15">
      <c r="A58" s="26" t="str">
        <f>IF(ANAGRAFICA!$B58="","",ANAGRAFICA!$B58)</f>
        <v/>
      </c>
      <c r="B58" s="26" t="str">
        <f>IF($A58="","",ANAGRAFICA!$C58)</f>
        <v/>
      </c>
      <c r="C58" s="26" t="str">
        <f>IF($A58="","",ANAGRAFICA!$D58)</f>
        <v/>
      </c>
      <c r="D58" s="25"/>
      <c r="E58" s="24"/>
      <c r="F58" s="27" t="str">
        <f t="shared" si="0"/>
        <v/>
      </c>
      <c r="G58" s="24"/>
      <c r="H58" s="27" t="str">
        <f t="shared" si="1"/>
        <v/>
      </c>
      <c r="I58" s="28" t="str">
        <f>IFERROR(IF(OR($A58="",ANAGRAFICA!$P58="",ANAGRAFICA!$P58=0),"",(ANAGRAFICA!$P58-$H58)/ANAGRAFICA!$P58),"")</f>
        <v/>
      </c>
      <c r="J58" s="22"/>
    </row>
    <row r="59" spans="1:10" ht="15" x14ac:dyDescent="0.15">
      <c r="A59" s="26" t="str">
        <f>IF(ANAGRAFICA!$B59="","",ANAGRAFICA!$B59)</f>
        <v/>
      </c>
      <c r="B59" s="26" t="str">
        <f>IF($A59="","",ANAGRAFICA!$C59)</f>
        <v/>
      </c>
      <c r="C59" s="26" t="str">
        <f>IF($A59="","",ANAGRAFICA!$D59)</f>
        <v/>
      </c>
      <c r="D59" s="25"/>
      <c r="E59" s="24"/>
      <c r="F59" s="27" t="str">
        <f t="shared" si="0"/>
        <v/>
      </c>
      <c r="G59" s="24"/>
      <c r="H59" s="27" t="str">
        <f t="shared" si="1"/>
        <v/>
      </c>
      <c r="I59" s="28" t="str">
        <f>IFERROR(IF(OR($A59="",ANAGRAFICA!$P59="",ANAGRAFICA!$P59=0),"",(ANAGRAFICA!$P59-$H59)/ANAGRAFICA!$P59),"")</f>
        <v/>
      </c>
      <c r="J59" s="22"/>
    </row>
    <row r="60" spans="1:10" ht="15" x14ac:dyDescent="0.15">
      <c r="A60" s="26" t="str">
        <f>IF(ANAGRAFICA!$B60="","",ANAGRAFICA!$B60)</f>
        <v/>
      </c>
      <c r="B60" s="26" t="str">
        <f>IF($A60="","",ANAGRAFICA!$C60)</f>
        <v/>
      </c>
      <c r="C60" s="26" t="str">
        <f>IF($A60="","",ANAGRAFICA!$D60)</f>
        <v/>
      </c>
      <c r="D60" s="25"/>
      <c r="E60" s="24"/>
      <c r="F60" s="27" t="str">
        <f t="shared" si="0"/>
        <v/>
      </c>
      <c r="G60" s="24"/>
      <c r="H60" s="27" t="str">
        <f t="shared" si="1"/>
        <v/>
      </c>
      <c r="I60" s="28" t="str">
        <f>IFERROR(IF(OR($A60="",ANAGRAFICA!$P60="",ANAGRAFICA!$P60=0),"",(ANAGRAFICA!$P60-$H60)/ANAGRAFICA!$P60),"")</f>
        <v/>
      </c>
      <c r="J60" s="22"/>
    </row>
    <row r="61" spans="1:10" ht="15" x14ac:dyDescent="0.15">
      <c r="A61" s="26" t="str">
        <f>IF(ANAGRAFICA!$B61="","",ANAGRAFICA!$B61)</f>
        <v/>
      </c>
      <c r="B61" s="26" t="str">
        <f>IF($A61="","",ANAGRAFICA!$C61)</f>
        <v/>
      </c>
      <c r="C61" s="26" t="str">
        <f>IF($A61="","",ANAGRAFICA!$D61)</f>
        <v/>
      </c>
      <c r="D61" s="25"/>
      <c r="E61" s="24"/>
      <c r="F61" s="27" t="str">
        <f t="shared" si="0"/>
        <v/>
      </c>
      <c r="G61" s="24"/>
      <c r="H61" s="27" t="str">
        <f t="shared" si="1"/>
        <v/>
      </c>
      <c r="I61" s="28" t="str">
        <f>IFERROR(IF(OR($A61="",ANAGRAFICA!$P61="",ANAGRAFICA!$P61=0),"",(ANAGRAFICA!$P61-$H61)/ANAGRAFICA!$P61),"")</f>
        <v/>
      </c>
      <c r="J61" s="22"/>
    </row>
    <row r="62" spans="1:10" ht="15" x14ac:dyDescent="0.15">
      <c r="A62" s="26" t="str">
        <f>IF(ANAGRAFICA!$B62="","",ANAGRAFICA!$B62)</f>
        <v/>
      </c>
      <c r="B62" s="26" t="str">
        <f>IF($A62="","",ANAGRAFICA!$C62)</f>
        <v/>
      </c>
      <c r="C62" s="26" t="str">
        <f>IF($A62="","",ANAGRAFICA!$D62)</f>
        <v/>
      </c>
      <c r="D62" s="25"/>
      <c r="E62" s="24"/>
      <c r="F62" s="27" t="str">
        <f t="shared" si="0"/>
        <v/>
      </c>
      <c r="G62" s="24"/>
      <c r="H62" s="27" t="str">
        <f t="shared" si="1"/>
        <v/>
      </c>
      <c r="I62" s="28" t="str">
        <f>IFERROR(IF(OR($A62="",ANAGRAFICA!$P62="",ANAGRAFICA!$P62=0),"",(ANAGRAFICA!$P62-$H62)/ANAGRAFICA!$P62),"")</f>
        <v/>
      </c>
      <c r="J62" s="22"/>
    </row>
    <row r="63" spans="1:10" ht="15" x14ac:dyDescent="0.15">
      <c r="A63" s="26" t="str">
        <f>IF(ANAGRAFICA!$B63="","",ANAGRAFICA!$B63)</f>
        <v/>
      </c>
      <c r="B63" s="26" t="str">
        <f>IF($A63="","",ANAGRAFICA!$C63)</f>
        <v/>
      </c>
      <c r="C63" s="26" t="str">
        <f>IF($A63="","",ANAGRAFICA!$D63)</f>
        <v/>
      </c>
      <c r="D63" s="25"/>
      <c r="E63" s="24"/>
      <c r="F63" s="27" t="str">
        <f t="shared" si="0"/>
        <v/>
      </c>
      <c r="G63" s="24"/>
      <c r="H63" s="27" t="str">
        <f t="shared" si="1"/>
        <v/>
      </c>
      <c r="I63" s="28" t="str">
        <f>IFERROR(IF(OR($A63="",ANAGRAFICA!$P63="",ANAGRAFICA!$P63=0),"",(ANAGRAFICA!$P63-$H63)/ANAGRAFICA!$P63),"")</f>
        <v/>
      </c>
      <c r="J63" s="22"/>
    </row>
    <row r="64" spans="1:10" ht="15" x14ac:dyDescent="0.15">
      <c r="A64" s="26" t="str">
        <f>IF(ANAGRAFICA!$B64="","",ANAGRAFICA!$B64)</f>
        <v/>
      </c>
      <c r="B64" s="26" t="str">
        <f>IF($A64="","",ANAGRAFICA!$C64)</f>
        <v/>
      </c>
      <c r="C64" s="26" t="str">
        <f>IF($A64="","",ANAGRAFICA!$D64)</f>
        <v/>
      </c>
      <c r="D64" s="25"/>
      <c r="E64" s="24"/>
      <c r="F64" s="27" t="str">
        <f t="shared" si="0"/>
        <v/>
      </c>
      <c r="G64" s="24"/>
      <c r="H64" s="27" t="str">
        <f t="shared" si="1"/>
        <v/>
      </c>
      <c r="I64" s="28" t="str">
        <f>IFERROR(IF(OR($A64="",ANAGRAFICA!$P64="",ANAGRAFICA!$P64=0),"",(ANAGRAFICA!$P64-$H64)/ANAGRAFICA!$P64),"")</f>
        <v/>
      </c>
      <c r="J64" s="22"/>
    </row>
    <row r="65" spans="1:10" ht="15" x14ac:dyDescent="0.15">
      <c r="A65" s="26" t="str">
        <f>IF(ANAGRAFICA!$B65="","",ANAGRAFICA!$B65)</f>
        <v/>
      </c>
      <c r="B65" s="26" t="str">
        <f>IF($A65="","",ANAGRAFICA!$C65)</f>
        <v/>
      </c>
      <c r="C65" s="26" t="str">
        <f>IF($A65="","",ANAGRAFICA!$D65)</f>
        <v/>
      </c>
      <c r="D65" s="25"/>
      <c r="E65" s="24"/>
      <c r="F65" s="27" t="str">
        <f t="shared" si="0"/>
        <v/>
      </c>
      <c r="G65" s="24"/>
      <c r="H65" s="27" t="str">
        <f t="shared" si="1"/>
        <v/>
      </c>
      <c r="I65" s="28" t="str">
        <f>IFERROR(IF(OR($A65="",ANAGRAFICA!$P65="",ANAGRAFICA!$P65=0),"",(ANAGRAFICA!$P65-$H65)/ANAGRAFICA!$P65),"")</f>
        <v/>
      </c>
      <c r="J65" s="22"/>
    </row>
    <row r="66" spans="1:10" ht="15" x14ac:dyDescent="0.15">
      <c r="A66" s="26" t="str">
        <f>IF(ANAGRAFICA!$B66="","",ANAGRAFICA!$B66)</f>
        <v/>
      </c>
      <c r="B66" s="26" t="str">
        <f>IF($A66="","",ANAGRAFICA!$C66)</f>
        <v/>
      </c>
      <c r="C66" s="26" t="str">
        <f>IF($A66="","",ANAGRAFICA!$D66)</f>
        <v/>
      </c>
      <c r="D66" s="25"/>
      <c r="E66" s="24"/>
      <c r="F66" s="27" t="str">
        <f t="shared" si="0"/>
        <v/>
      </c>
      <c r="G66" s="24"/>
      <c r="H66" s="27" t="str">
        <f t="shared" si="1"/>
        <v/>
      </c>
      <c r="I66" s="28" t="str">
        <f>IFERROR(IF(OR($A66="",ANAGRAFICA!$P66="",ANAGRAFICA!$P66=0),"",(ANAGRAFICA!$P66-$H66)/ANAGRAFICA!$P66),"")</f>
        <v/>
      </c>
      <c r="J66" s="22"/>
    </row>
    <row r="67" spans="1:10" ht="15" x14ac:dyDescent="0.15">
      <c r="A67" s="26" t="str">
        <f>IF(ANAGRAFICA!$B67="","",ANAGRAFICA!$B67)</f>
        <v/>
      </c>
      <c r="B67" s="26" t="str">
        <f>IF($A67="","",ANAGRAFICA!$C67)</f>
        <v/>
      </c>
      <c r="C67" s="26" t="str">
        <f>IF($A67="","",ANAGRAFICA!$D67)</f>
        <v/>
      </c>
      <c r="D67" s="25"/>
      <c r="E67" s="24"/>
      <c r="F67" s="27" t="str">
        <f t="shared" si="0"/>
        <v/>
      </c>
      <c r="G67" s="24"/>
      <c r="H67" s="27" t="str">
        <f t="shared" si="1"/>
        <v/>
      </c>
      <c r="I67" s="28" t="str">
        <f>IFERROR(IF(OR($A67="",ANAGRAFICA!$P67="",ANAGRAFICA!$P67=0),"",(ANAGRAFICA!$P67-$H67)/ANAGRAFICA!$P67),"")</f>
        <v/>
      </c>
      <c r="J67" s="22"/>
    </row>
    <row r="68" spans="1:10" ht="15" x14ac:dyDescent="0.15">
      <c r="A68" s="26" t="str">
        <f>IF(ANAGRAFICA!$B68="","",ANAGRAFICA!$B68)</f>
        <v/>
      </c>
      <c r="B68" s="26" t="str">
        <f>IF($A68="","",ANAGRAFICA!$C68)</f>
        <v/>
      </c>
      <c r="C68" s="26" t="str">
        <f>IF($A68="","",ANAGRAFICA!$D68)</f>
        <v/>
      </c>
      <c r="D68" s="25"/>
      <c r="E68" s="24"/>
      <c r="F68" s="27" t="str">
        <f t="shared" si="0"/>
        <v/>
      </c>
      <c r="G68" s="24"/>
      <c r="H68" s="27" t="str">
        <f t="shared" si="1"/>
        <v/>
      </c>
      <c r="I68" s="28" t="str">
        <f>IFERROR(IF(OR($A68="",ANAGRAFICA!$P68="",ANAGRAFICA!$P68=0),"",(ANAGRAFICA!$P68-$H68)/ANAGRAFICA!$P68),"")</f>
        <v/>
      </c>
      <c r="J68" s="22"/>
    </row>
    <row r="69" spans="1:10" ht="15" x14ac:dyDescent="0.15">
      <c r="A69" s="26" t="str">
        <f>IF(ANAGRAFICA!$B69="","",ANAGRAFICA!$B69)</f>
        <v/>
      </c>
      <c r="B69" s="26" t="str">
        <f>IF($A69="","",ANAGRAFICA!$C69)</f>
        <v/>
      </c>
      <c r="C69" s="26" t="str">
        <f>IF($A69="","",ANAGRAFICA!$D69)</f>
        <v/>
      </c>
      <c r="D69" s="25"/>
      <c r="E69" s="24"/>
      <c r="F69" s="27" t="str">
        <f t="shared" si="0"/>
        <v/>
      </c>
      <c r="G69" s="24"/>
      <c r="H69" s="27" t="str">
        <f t="shared" si="1"/>
        <v/>
      </c>
      <c r="I69" s="28" t="str">
        <f>IFERROR(IF(OR($A69="",ANAGRAFICA!$P69="",ANAGRAFICA!$P69=0),"",(ANAGRAFICA!$P69-$H69)/ANAGRAFICA!$P69),"")</f>
        <v/>
      </c>
      <c r="J69" s="22"/>
    </row>
    <row r="70" spans="1:10" ht="15" x14ac:dyDescent="0.15">
      <c r="A70" s="26" t="str">
        <f>IF(ANAGRAFICA!$B70="","",ANAGRAFICA!$B70)</f>
        <v/>
      </c>
      <c r="B70" s="26" t="str">
        <f>IF($A70="","",ANAGRAFICA!$C70)</f>
        <v/>
      </c>
      <c r="C70" s="26" t="str">
        <f>IF($A70="","",ANAGRAFICA!$D70)</f>
        <v/>
      </c>
      <c r="D70" s="25"/>
      <c r="E70" s="24"/>
      <c r="F70" s="27" t="str">
        <f t="shared" ref="F70:F133" si="2">IF(OR($A70="",$D70="",$E70=""),"",$D70*$E70)</f>
        <v/>
      </c>
      <c r="G70" s="24"/>
      <c r="H70" s="27" t="str">
        <f t="shared" ref="H70:H133" si="3">IF($A70="","",SUM($F70,$G70))</f>
        <v/>
      </c>
      <c r="I70" s="28" t="str">
        <f>IFERROR(IF(OR($A70="",ANAGRAFICA!$P70="",ANAGRAFICA!$P70=0),"",(ANAGRAFICA!$P70-$H70)/ANAGRAFICA!$P70),"")</f>
        <v/>
      </c>
      <c r="J70" s="22"/>
    </row>
    <row r="71" spans="1:10" ht="15" x14ac:dyDescent="0.15">
      <c r="A71" s="26" t="str">
        <f>IF(ANAGRAFICA!$B71="","",ANAGRAFICA!$B71)</f>
        <v/>
      </c>
      <c r="B71" s="26" t="str">
        <f>IF($A71="","",ANAGRAFICA!$C71)</f>
        <v/>
      </c>
      <c r="C71" s="26" t="str">
        <f>IF($A71="","",ANAGRAFICA!$D71)</f>
        <v/>
      </c>
      <c r="D71" s="25"/>
      <c r="E71" s="24"/>
      <c r="F71" s="27" t="str">
        <f t="shared" si="2"/>
        <v/>
      </c>
      <c r="G71" s="24"/>
      <c r="H71" s="27" t="str">
        <f t="shared" si="3"/>
        <v/>
      </c>
      <c r="I71" s="28" t="str">
        <f>IFERROR(IF(OR($A71="",ANAGRAFICA!$P71="",ANAGRAFICA!$P71=0),"",(ANAGRAFICA!$P71-$H71)/ANAGRAFICA!$P71),"")</f>
        <v/>
      </c>
      <c r="J71" s="22"/>
    </row>
    <row r="72" spans="1:10" ht="15" x14ac:dyDescent="0.15">
      <c r="A72" s="26" t="str">
        <f>IF(ANAGRAFICA!$B72="","",ANAGRAFICA!$B72)</f>
        <v/>
      </c>
      <c r="B72" s="26" t="str">
        <f>IF($A72="","",ANAGRAFICA!$C72)</f>
        <v/>
      </c>
      <c r="C72" s="26" t="str">
        <f>IF($A72="","",ANAGRAFICA!$D72)</f>
        <v/>
      </c>
      <c r="D72" s="25"/>
      <c r="E72" s="24"/>
      <c r="F72" s="27" t="str">
        <f t="shared" si="2"/>
        <v/>
      </c>
      <c r="G72" s="24"/>
      <c r="H72" s="27" t="str">
        <f t="shared" si="3"/>
        <v/>
      </c>
      <c r="I72" s="28" t="str">
        <f>IFERROR(IF(OR($A72="",ANAGRAFICA!$P72="",ANAGRAFICA!$P72=0),"",(ANAGRAFICA!$P72-$H72)/ANAGRAFICA!$P72),"")</f>
        <v/>
      </c>
      <c r="J72" s="22"/>
    </row>
    <row r="73" spans="1:10" ht="15" x14ac:dyDescent="0.15">
      <c r="A73" s="26" t="str">
        <f>IF(ANAGRAFICA!$B73="","",ANAGRAFICA!$B73)</f>
        <v/>
      </c>
      <c r="B73" s="26" t="str">
        <f>IF($A73="","",ANAGRAFICA!$C73)</f>
        <v/>
      </c>
      <c r="C73" s="26" t="str">
        <f>IF($A73="","",ANAGRAFICA!$D73)</f>
        <v/>
      </c>
      <c r="D73" s="25"/>
      <c r="E73" s="24"/>
      <c r="F73" s="27" t="str">
        <f t="shared" si="2"/>
        <v/>
      </c>
      <c r="G73" s="24"/>
      <c r="H73" s="27" t="str">
        <f t="shared" si="3"/>
        <v/>
      </c>
      <c r="I73" s="28" t="str">
        <f>IFERROR(IF(OR($A73="",ANAGRAFICA!$P73="",ANAGRAFICA!$P73=0),"",(ANAGRAFICA!$P73-$H73)/ANAGRAFICA!$P73),"")</f>
        <v/>
      </c>
      <c r="J73" s="22"/>
    </row>
    <row r="74" spans="1:10" ht="15" x14ac:dyDescent="0.15">
      <c r="A74" s="26" t="str">
        <f>IF(ANAGRAFICA!$B74="","",ANAGRAFICA!$B74)</f>
        <v/>
      </c>
      <c r="B74" s="26" t="str">
        <f>IF($A74="","",ANAGRAFICA!$C74)</f>
        <v/>
      </c>
      <c r="C74" s="26" t="str">
        <f>IF($A74="","",ANAGRAFICA!$D74)</f>
        <v/>
      </c>
      <c r="D74" s="25"/>
      <c r="E74" s="24"/>
      <c r="F74" s="27" t="str">
        <f t="shared" si="2"/>
        <v/>
      </c>
      <c r="G74" s="24"/>
      <c r="H74" s="27" t="str">
        <f t="shared" si="3"/>
        <v/>
      </c>
      <c r="I74" s="28" t="str">
        <f>IFERROR(IF(OR($A74="",ANAGRAFICA!$P74="",ANAGRAFICA!$P74=0),"",(ANAGRAFICA!$P74-$H74)/ANAGRAFICA!$P74),"")</f>
        <v/>
      </c>
      <c r="J74" s="22"/>
    </row>
    <row r="75" spans="1:10" ht="15" x14ac:dyDescent="0.15">
      <c r="A75" s="26" t="str">
        <f>IF(ANAGRAFICA!$B75="","",ANAGRAFICA!$B75)</f>
        <v/>
      </c>
      <c r="B75" s="26" t="str">
        <f>IF($A75="","",ANAGRAFICA!$C75)</f>
        <v/>
      </c>
      <c r="C75" s="26" t="str">
        <f>IF($A75="","",ANAGRAFICA!$D75)</f>
        <v/>
      </c>
      <c r="D75" s="25"/>
      <c r="E75" s="24"/>
      <c r="F75" s="27" t="str">
        <f t="shared" si="2"/>
        <v/>
      </c>
      <c r="G75" s="24"/>
      <c r="H75" s="27" t="str">
        <f t="shared" si="3"/>
        <v/>
      </c>
      <c r="I75" s="28" t="str">
        <f>IFERROR(IF(OR($A75="",ANAGRAFICA!$P75="",ANAGRAFICA!$P75=0),"",(ANAGRAFICA!$P75-$H75)/ANAGRAFICA!$P75),"")</f>
        <v/>
      </c>
      <c r="J75" s="22"/>
    </row>
    <row r="76" spans="1:10" ht="15" x14ac:dyDescent="0.15">
      <c r="A76" s="26" t="str">
        <f>IF(ANAGRAFICA!$B76="","",ANAGRAFICA!$B76)</f>
        <v/>
      </c>
      <c r="B76" s="26" t="str">
        <f>IF($A76="","",ANAGRAFICA!$C76)</f>
        <v/>
      </c>
      <c r="C76" s="26" t="str">
        <f>IF($A76="","",ANAGRAFICA!$D76)</f>
        <v/>
      </c>
      <c r="D76" s="25"/>
      <c r="E76" s="24"/>
      <c r="F76" s="27" t="str">
        <f t="shared" si="2"/>
        <v/>
      </c>
      <c r="G76" s="24"/>
      <c r="H76" s="27" t="str">
        <f t="shared" si="3"/>
        <v/>
      </c>
      <c r="I76" s="28" t="str">
        <f>IFERROR(IF(OR($A76="",ANAGRAFICA!$P76="",ANAGRAFICA!$P76=0),"",(ANAGRAFICA!$P76-$H76)/ANAGRAFICA!$P76),"")</f>
        <v/>
      </c>
      <c r="J76" s="22"/>
    </row>
    <row r="77" spans="1:10" ht="15" x14ac:dyDescent="0.15">
      <c r="A77" s="26" t="str">
        <f>IF(ANAGRAFICA!$B77="","",ANAGRAFICA!$B77)</f>
        <v/>
      </c>
      <c r="B77" s="26" t="str">
        <f>IF($A77="","",ANAGRAFICA!$C77)</f>
        <v/>
      </c>
      <c r="C77" s="26" t="str">
        <f>IF($A77="","",ANAGRAFICA!$D77)</f>
        <v/>
      </c>
      <c r="D77" s="25"/>
      <c r="E77" s="24"/>
      <c r="F77" s="27" t="str">
        <f t="shared" si="2"/>
        <v/>
      </c>
      <c r="G77" s="24"/>
      <c r="H77" s="27" t="str">
        <f t="shared" si="3"/>
        <v/>
      </c>
      <c r="I77" s="28" t="str">
        <f>IFERROR(IF(OR($A77="",ANAGRAFICA!$P77="",ANAGRAFICA!$P77=0),"",(ANAGRAFICA!$P77-$H77)/ANAGRAFICA!$P77),"")</f>
        <v/>
      </c>
      <c r="J77" s="22"/>
    </row>
    <row r="78" spans="1:10" ht="15" x14ac:dyDescent="0.15">
      <c r="A78" s="26" t="str">
        <f>IF(ANAGRAFICA!$B78="","",ANAGRAFICA!$B78)</f>
        <v/>
      </c>
      <c r="B78" s="26" t="str">
        <f>IF($A78="","",ANAGRAFICA!$C78)</f>
        <v/>
      </c>
      <c r="C78" s="26" t="str">
        <f>IF($A78="","",ANAGRAFICA!$D78)</f>
        <v/>
      </c>
      <c r="D78" s="25"/>
      <c r="E78" s="24"/>
      <c r="F78" s="27" t="str">
        <f t="shared" si="2"/>
        <v/>
      </c>
      <c r="G78" s="24"/>
      <c r="H78" s="27" t="str">
        <f t="shared" si="3"/>
        <v/>
      </c>
      <c r="I78" s="28" t="str">
        <f>IFERROR(IF(OR($A78="",ANAGRAFICA!$P78="",ANAGRAFICA!$P78=0),"",(ANAGRAFICA!$P78-$H78)/ANAGRAFICA!$P78),"")</f>
        <v/>
      </c>
      <c r="J78" s="22"/>
    </row>
    <row r="79" spans="1:10" ht="15" x14ac:dyDescent="0.15">
      <c r="A79" s="26" t="str">
        <f>IF(ANAGRAFICA!$B79="","",ANAGRAFICA!$B79)</f>
        <v/>
      </c>
      <c r="B79" s="26" t="str">
        <f>IF($A79="","",ANAGRAFICA!$C79)</f>
        <v/>
      </c>
      <c r="C79" s="26" t="str">
        <f>IF($A79="","",ANAGRAFICA!$D79)</f>
        <v/>
      </c>
      <c r="D79" s="25"/>
      <c r="E79" s="24"/>
      <c r="F79" s="27" t="str">
        <f t="shared" si="2"/>
        <v/>
      </c>
      <c r="G79" s="24"/>
      <c r="H79" s="27" t="str">
        <f t="shared" si="3"/>
        <v/>
      </c>
      <c r="I79" s="28" t="str">
        <f>IFERROR(IF(OR($A79="",ANAGRAFICA!$P79="",ANAGRAFICA!$P79=0),"",(ANAGRAFICA!$P79-$H79)/ANAGRAFICA!$P79),"")</f>
        <v/>
      </c>
      <c r="J79" s="22"/>
    </row>
    <row r="80" spans="1:10" ht="15" x14ac:dyDescent="0.15">
      <c r="A80" s="26" t="str">
        <f>IF(ANAGRAFICA!$B80="","",ANAGRAFICA!$B80)</f>
        <v/>
      </c>
      <c r="B80" s="26" t="str">
        <f>IF($A80="","",ANAGRAFICA!$C80)</f>
        <v/>
      </c>
      <c r="C80" s="26" t="str">
        <f>IF($A80="","",ANAGRAFICA!$D80)</f>
        <v/>
      </c>
      <c r="D80" s="25"/>
      <c r="E80" s="24"/>
      <c r="F80" s="27" t="str">
        <f t="shared" si="2"/>
        <v/>
      </c>
      <c r="G80" s="24"/>
      <c r="H80" s="27" t="str">
        <f t="shared" si="3"/>
        <v/>
      </c>
      <c r="I80" s="28" t="str">
        <f>IFERROR(IF(OR($A80="",ANAGRAFICA!$P80="",ANAGRAFICA!$P80=0),"",(ANAGRAFICA!$P80-$H80)/ANAGRAFICA!$P80),"")</f>
        <v/>
      </c>
      <c r="J80" s="22"/>
    </row>
    <row r="81" spans="1:10" ht="15" x14ac:dyDescent="0.15">
      <c r="A81" s="26" t="str">
        <f>IF(ANAGRAFICA!$B81="","",ANAGRAFICA!$B81)</f>
        <v/>
      </c>
      <c r="B81" s="26" t="str">
        <f>IF($A81="","",ANAGRAFICA!$C81)</f>
        <v/>
      </c>
      <c r="C81" s="26" t="str">
        <f>IF($A81="","",ANAGRAFICA!$D81)</f>
        <v/>
      </c>
      <c r="D81" s="25"/>
      <c r="E81" s="24"/>
      <c r="F81" s="27" t="str">
        <f t="shared" si="2"/>
        <v/>
      </c>
      <c r="G81" s="24"/>
      <c r="H81" s="27" t="str">
        <f t="shared" si="3"/>
        <v/>
      </c>
      <c r="I81" s="28" t="str">
        <f>IFERROR(IF(OR($A81="",ANAGRAFICA!$P81="",ANAGRAFICA!$P81=0),"",(ANAGRAFICA!$P81-$H81)/ANAGRAFICA!$P81),"")</f>
        <v/>
      </c>
      <c r="J81" s="22"/>
    </row>
    <row r="82" spans="1:10" ht="15" x14ac:dyDescent="0.15">
      <c r="A82" s="26" t="str">
        <f>IF(ANAGRAFICA!$B82="","",ANAGRAFICA!$B82)</f>
        <v/>
      </c>
      <c r="B82" s="26" t="str">
        <f>IF($A82="","",ANAGRAFICA!$C82)</f>
        <v/>
      </c>
      <c r="C82" s="26" t="str">
        <f>IF($A82="","",ANAGRAFICA!$D82)</f>
        <v/>
      </c>
      <c r="D82" s="25"/>
      <c r="E82" s="24"/>
      <c r="F82" s="27" t="str">
        <f t="shared" si="2"/>
        <v/>
      </c>
      <c r="G82" s="24"/>
      <c r="H82" s="27" t="str">
        <f t="shared" si="3"/>
        <v/>
      </c>
      <c r="I82" s="28" t="str">
        <f>IFERROR(IF(OR($A82="",ANAGRAFICA!$P82="",ANAGRAFICA!$P82=0),"",(ANAGRAFICA!$P82-$H82)/ANAGRAFICA!$P82),"")</f>
        <v/>
      </c>
      <c r="J82" s="22"/>
    </row>
    <row r="83" spans="1:10" ht="15" x14ac:dyDescent="0.15">
      <c r="A83" s="26" t="str">
        <f>IF(ANAGRAFICA!$B83="","",ANAGRAFICA!$B83)</f>
        <v/>
      </c>
      <c r="B83" s="26" t="str">
        <f>IF($A83="","",ANAGRAFICA!$C83)</f>
        <v/>
      </c>
      <c r="C83" s="26" t="str">
        <f>IF($A83="","",ANAGRAFICA!$D83)</f>
        <v/>
      </c>
      <c r="D83" s="25"/>
      <c r="E83" s="24"/>
      <c r="F83" s="27" t="str">
        <f t="shared" si="2"/>
        <v/>
      </c>
      <c r="G83" s="24"/>
      <c r="H83" s="27" t="str">
        <f t="shared" si="3"/>
        <v/>
      </c>
      <c r="I83" s="28" t="str">
        <f>IFERROR(IF(OR($A83="",ANAGRAFICA!$P83="",ANAGRAFICA!$P83=0),"",(ANAGRAFICA!$P83-$H83)/ANAGRAFICA!$P83),"")</f>
        <v/>
      </c>
      <c r="J83" s="22"/>
    </row>
    <row r="84" spans="1:10" ht="15" x14ac:dyDescent="0.15">
      <c r="A84" s="26" t="str">
        <f>IF(ANAGRAFICA!$B84="","",ANAGRAFICA!$B84)</f>
        <v/>
      </c>
      <c r="B84" s="26" t="str">
        <f>IF($A84="","",ANAGRAFICA!$C84)</f>
        <v/>
      </c>
      <c r="C84" s="26" t="str">
        <f>IF($A84="","",ANAGRAFICA!$D84)</f>
        <v/>
      </c>
      <c r="D84" s="25"/>
      <c r="E84" s="24"/>
      <c r="F84" s="27" t="str">
        <f t="shared" si="2"/>
        <v/>
      </c>
      <c r="G84" s="24"/>
      <c r="H84" s="27" t="str">
        <f t="shared" si="3"/>
        <v/>
      </c>
      <c r="I84" s="28" t="str">
        <f>IFERROR(IF(OR($A84="",ANAGRAFICA!$P84="",ANAGRAFICA!$P84=0),"",(ANAGRAFICA!$P84-$H84)/ANAGRAFICA!$P84),"")</f>
        <v/>
      </c>
      <c r="J84" s="22"/>
    </row>
    <row r="85" spans="1:10" ht="15" x14ac:dyDescent="0.15">
      <c r="A85" s="26" t="str">
        <f>IF(ANAGRAFICA!$B85="","",ANAGRAFICA!$B85)</f>
        <v/>
      </c>
      <c r="B85" s="26" t="str">
        <f>IF($A85="","",ANAGRAFICA!$C85)</f>
        <v/>
      </c>
      <c r="C85" s="26" t="str">
        <f>IF($A85="","",ANAGRAFICA!$D85)</f>
        <v/>
      </c>
      <c r="D85" s="25"/>
      <c r="E85" s="24"/>
      <c r="F85" s="27" t="str">
        <f t="shared" si="2"/>
        <v/>
      </c>
      <c r="G85" s="24"/>
      <c r="H85" s="27" t="str">
        <f t="shared" si="3"/>
        <v/>
      </c>
      <c r="I85" s="28" t="str">
        <f>IFERROR(IF(OR($A85="",ANAGRAFICA!$P85="",ANAGRAFICA!$P85=0),"",(ANAGRAFICA!$P85-$H85)/ANAGRAFICA!$P85),"")</f>
        <v/>
      </c>
      <c r="J85" s="22"/>
    </row>
    <row r="86" spans="1:10" ht="15" x14ac:dyDescent="0.15">
      <c r="A86" s="26" t="str">
        <f>IF(ANAGRAFICA!$B86="","",ANAGRAFICA!$B86)</f>
        <v/>
      </c>
      <c r="B86" s="26" t="str">
        <f>IF($A86="","",ANAGRAFICA!$C86)</f>
        <v/>
      </c>
      <c r="C86" s="26" t="str">
        <f>IF($A86="","",ANAGRAFICA!$D86)</f>
        <v/>
      </c>
      <c r="D86" s="25"/>
      <c r="E86" s="24"/>
      <c r="F86" s="27" t="str">
        <f t="shared" si="2"/>
        <v/>
      </c>
      <c r="G86" s="24"/>
      <c r="H86" s="27" t="str">
        <f t="shared" si="3"/>
        <v/>
      </c>
      <c r="I86" s="28" t="str">
        <f>IFERROR(IF(OR($A86="",ANAGRAFICA!$P86="",ANAGRAFICA!$P86=0),"",(ANAGRAFICA!$P86-$H86)/ANAGRAFICA!$P86),"")</f>
        <v/>
      </c>
      <c r="J86" s="22"/>
    </row>
    <row r="87" spans="1:10" ht="15" x14ac:dyDescent="0.15">
      <c r="A87" s="26" t="str">
        <f>IF(ANAGRAFICA!$B87="","",ANAGRAFICA!$B87)</f>
        <v/>
      </c>
      <c r="B87" s="26" t="str">
        <f>IF($A87="","",ANAGRAFICA!$C87)</f>
        <v/>
      </c>
      <c r="C87" s="26" t="str">
        <f>IF($A87="","",ANAGRAFICA!$D87)</f>
        <v/>
      </c>
      <c r="D87" s="25"/>
      <c r="E87" s="24"/>
      <c r="F87" s="27" t="str">
        <f t="shared" si="2"/>
        <v/>
      </c>
      <c r="G87" s="24"/>
      <c r="H87" s="27" t="str">
        <f t="shared" si="3"/>
        <v/>
      </c>
      <c r="I87" s="28" t="str">
        <f>IFERROR(IF(OR($A87="",ANAGRAFICA!$P87="",ANAGRAFICA!$P87=0),"",(ANAGRAFICA!$P87-$H87)/ANAGRAFICA!$P87),"")</f>
        <v/>
      </c>
      <c r="J87" s="22"/>
    </row>
    <row r="88" spans="1:10" ht="15" x14ac:dyDescent="0.15">
      <c r="A88" s="26" t="str">
        <f>IF(ANAGRAFICA!$B88="","",ANAGRAFICA!$B88)</f>
        <v/>
      </c>
      <c r="B88" s="26" t="str">
        <f>IF($A88="","",ANAGRAFICA!$C88)</f>
        <v/>
      </c>
      <c r="C88" s="26" t="str">
        <f>IF($A88="","",ANAGRAFICA!$D88)</f>
        <v/>
      </c>
      <c r="D88" s="25"/>
      <c r="E88" s="24"/>
      <c r="F88" s="27" t="str">
        <f t="shared" si="2"/>
        <v/>
      </c>
      <c r="G88" s="24"/>
      <c r="H88" s="27" t="str">
        <f t="shared" si="3"/>
        <v/>
      </c>
      <c r="I88" s="28" t="str">
        <f>IFERROR(IF(OR($A88="",ANAGRAFICA!$P88="",ANAGRAFICA!$P88=0),"",(ANAGRAFICA!$P88-$H88)/ANAGRAFICA!$P88),"")</f>
        <v/>
      </c>
      <c r="J88" s="22"/>
    </row>
    <row r="89" spans="1:10" ht="15" x14ac:dyDescent="0.15">
      <c r="A89" s="26" t="str">
        <f>IF(ANAGRAFICA!$B89="","",ANAGRAFICA!$B89)</f>
        <v/>
      </c>
      <c r="B89" s="26" t="str">
        <f>IF($A89="","",ANAGRAFICA!$C89)</f>
        <v/>
      </c>
      <c r="C89" s="26" t="str">
        <f>IF($A89="","",ANAGRAFICA!$D89)</f>
        <v/>
      </c>
      <c r="D89" s="25"/>
      <c r="E89" s="24"/>
      <c r="F89" s="27" t="str">
        <f t="shared" si="2"/>
        <v/>
      </c>
      <c r="G89" s="24"/>
      <c r="H89" s="27" t="str">
        <f t="shared" si="3"/>
        <v/>
      </c>
      <c r="I89" s="28" t="str">
        <f>IFERROR(IF(OR($A89="",ANAGRAFICA!$P89="",ANAGRAFICA!$P89=0),"",(ANAGRAFICA!$P89-$H89)/ANAGRAFICA!$P89),"")</f>
        <v/>
      </c>
      <c r="J89" s="22"/>
    </row>
    <row r="90" spans="1:10" ht="15" x14ac:dyDescent="0.15">
      <c r="A90" s="26" t="str">
        <f>IF(ANAGRAFICA!$B90="","",ANAGRAFICA!$B90)</f>
        <v/>
      </c>
      <c r="B90" s="26" t="str">
        <f>IF($A90="","",ANAGRAFICA!$C90)</f>
        <v/>
      </c>
      <c r="C90" s="26" t="str">
        <f>IF($A90="","",ANAGRAFICA!$D90)</f>
        <v/>
      </c>
      <c r="D90" s="25"/>
      <c r="E90" s="24"/>
      <c r="F90" s="27" t="str">
        <f t="shared" si="2"/>
        <v/>
      </c>
      <c r="G90" s="24"/>
      <c r="H90" s="27" t="str">
        <f t="shared" si="3"/>
        <v/>
      </c>
      <c r="I90" s="28" t="str">
        <f>IFERROR(IF(OR($A90="",ANAGRAFICA!$P90="",ANAGRAFICA!$P90=0),"",(ANAGRAFICA!$P90-$H90)/ANAGRAFICA!$P90),"")</f>
        <v/>
      </c>
      <c r="J90" s="22"/>
    </row>
    <row r="91" spans="1:10" ht="15" x14ac:dyDescent="0.15">
      <c r="A91" s="26" t="str">
        <f>IF(ANAGRAFICA!$B91="","",ANAGRAFICA!$B91)</f>
        <v/>
      </c>
      <c r="B91" s="26" t="str">
        <f>IF($A91="","",ANAGRAFICA!$C91)</f>
        <v/>
      </c>
      <c r="C91" s="26" t="str">
        <f>IF($A91="","",ANAGRAFICA!$D91)</f>
        <v/>
      </c>
      <c r="D91" s="25"/>
      <c r="E91" s="24"/>
      <c r="F91" s="27" t="str">
        <f t="shared" si="2"/>
        <v/>
      </c>
      <c r="G91" s="24"/>
      <c r="H91" s="27" t="str">
        <f t="shared" si="3"/>
        <v/>
      </c>
      <c r="I91" s="28" t="str">
        <f>IFERROR(IF(OR($A91="",ANAGRAFICA!$P91="",ANAGRAFICA!$P91=0),"",(ANAGRAFICA!$P91-$H91)/ANAGRAFICA!$P91),"")</f>
        <v/>
      </c>
      <c r="J91" s="22"/>
    </row>
    <row r="92" spans="1:10" ht="15" x14ac:dyDescent="0.15">
      <c r="A92" s="26" t="str">
        <f>IF(ANAGRAFICA!$B92="","",ANAGRAFICA!$B92)</f>
        <v/>
      </c>
      <c r="B92" s="26" t="str">
        <f>IF($A92="","",ANAGRAFICA!$C92)</f>
        <v/>
      </c>
      <c r="C92" s="26" t="str">
        <f>IF($A92="","",ANAGRAFICA!$D92)</f>
        <v/>
      </c>
      <c r="D92" s="25"/>
      <c r="E92" s="24"/>
      <c r="F92" s="27" t="str">
        <f t="shared" si="2"/>
        <v/>
      </c>
      <c r="G92" s="24"/>
      <c r="H92" s="27" t="str">
        <f t="shared" si="3"/>
        <v/>
      </c>
      <c r="I92" s="28" t="str">
        <f>IFERROR(IF(OR($A92="",ANAGRAFICA!$P92="",ANAGRAFICA!$P92=0),"",(ANAGRAFICA!$P92-$H92)/ANAGRAFICA!$P92),"")</f>
        <v/>
      </c>
      <c r="J92" s="22"/>
    </row>
    <row r="93" spans="1:10" ht="15" x14ac:dyDescent="0.15">
      <c r="A93" s="26" t="str">
        <f>IF(ANAGRAFICA!$B93="","",ANAGRAFICA!$B93)</f>
        <v/>
      </c>
      <c r="B93" s="26" t="str">
        <f>IF($A93="","",ANAGRAFICA!$C93)</f>
        <v/>
      </c>
      <c r="C93" s="26" t="str">
        <f>IF($A93="","",ANAGRAFICA!$D93)</f>
        <v/>
      </c>
      <c r="D93" s="25"/>
      <c r="E93" s="24"/>
      <c r="F93" s="27" t="str">
        <f t="shared" si="2"/>
        <v/>
      </c>
      <c r="G93" s="24"/>
      <c r="H93" s="27" t="str">
        <f t="shared" si="3"/>
        <v/>
      </c>
      <c r="I93" s="28" t="str">
        <f>IFERROR(IF(OR($A93="",ANAGRAFICA!$P93="",ANAGRAFICA!$P93=0),"",(ANAGRAFICA!$P93-$H93)/ANAGRAFICA!$P93),"")</f>
        <v/>
      </c>
      <c r="J93" s="22"/>
    </row>
    <row r="94" spans="1:10" ht="15" x14ac:dyDescent="0.15">
      <c r="A94" s="26" t="str">
        <f>IF(ANAGRAFICA!$B94="","",ANAGRAFICA!$B94)</f>
        <v/>
      </c>
      <c r="B94" s="26" t="str">
        <f>IF($A94="","",ANAGRAFICA!$C94)</f>
        <v/>
      </c>
      <c r="C94" s="26" t="str">
        <f>IF($A94="","",ANAGRAFICA!$D94)</f>
        <v/>
      </c>
      <c r="D94" s="25"/>
      <c r="E94" s="24"/>
      <c r="F94" s="27" t="str">
        <f t="shared" si="2"/>
        <v/>
      </c>
      <c r="G94" s="24"/>
      <c r="H94" s="27" t="str">
        <f t="shared" si="3"/>
        <v/>
      </c>
      <c r="I94" s="28" t="str">
        <f>IFERROR(IF(OR($A94="",ANAGRAFICA!$P94="",ANAGRAFICA!$P94=0),"",(ANAGRAFICA!$P94-$H94)/ANAGRAFICA!$P94),"")</f>
        <v/>
      </c>
      <c r="J94" s="22"/>
    </row>
    <row r="95" spans="1:10" ht="15" x14ac:dyDescent="0.15">
      <c r="A95" s="26" t="str">
        <f>IF(ANAGRAFICA!$B95="","",ANAGRAFICA!$B95)</f>
        <v/>
      </c>
      <c r="B95" s="26" t="str">
        <f>IF($A95="","",ANAGRAFICA!$C95)</f>
        <v/>
      </c>
      <c r="C95" s="26" t="str">
        <f>IF($A95="","",ANAGRAFICA!$D95)</f>
        <v/>
      </c>
      <c r="D95" s="25"/>
      <c r="E95" s="24"/>
      <c r="F95" s="27" t="str">
        <f t="shared" si="2"/>
        <v/>
      </c>
      <c r="G95" s="24"/>
      <c r="H95" s="27" t="str">
        <f t="shared" si="3"/>
        <v/>
      </c>
      <c r="I95" s="28" t="str">
        <f>IFERROR(IF(OR($A95="",ANAGRAFICA!$P95="",ANAGRAFICA!$P95=0),"",(ANAGRAFICA!$P95-$H95)/ANAGRAFICA!$P95),"")</f>
        <v/>
      </c>
      <c r="J95" s="22"/>
    </row>
    <row r="96" spans="1:10" ht="15" x14ac:dyDescent="0.15">
      <c r="A96" s="26" t="str">
        <f>IF(ANAGRAFICA!$B96="","",ANAGRAFICA!$B96)</f>
        <v/>
      </c>
      <c r="B96" s="26" t="str">
        <f>IF($A96="","",ANAGRAFICA!$C96)</f>
        <v/>
      </c>
      <c r="C96" s="26" t="str">
        <f>IF($A96="","",ANAGRAFICA!$D96)</f>
        <v/>
      </c>
      <c r="D96" s="25"/>
      <c r="E96" s="24"/>
      <c r="F96" s="27" t="str">
        <f t="shared" si="2"/>
        <v/>
      </c>
      <c r="G96" s="24"/>
      <c r="H96" s="27" t="str">
        <f t="shared" si="3"/>
        <v/>
      </c>
      <c r="I96" s="28" t="str">
        <f>IFERROR(IF(OR($A96="",ANAGRAFICA!$P96="",ANAGRAFICA!$P96=0),"",(ANAGRAFICA!$P96-$H96)/ANAGRAFICA!$P96),"")</f>
        <v/>
      </c>
      <c r="J96" s="22"/>
    </row>
    <row r="97" spans="1:10" ht="15" x14ac:dyDescent="0.15">
      <c r="A97" s="26" t="str">
        <f>IF(ANAGRAFICA!$B97="","",ANAGRAFICA!$B97)</f>
        <v/>
      </c>
      <c r="B97" s="26" t="str">
        <f>IF($A97="","",ANAGRAFICA!$C97)</f>
        <v/>
      </c>
      <c r="C97" s="26" t="str">
        <f>IF($A97="","",ANAGRAFICA!$D97)</f>
        <v/>
      </c>
      <c r="D97" s="25"/>
      <c r="E97" s="24"/>
      <c r="F97" s="27" t="str">
        <f t="shared" si="2"/>
        <v/>
      </c>
      <c r="G97" s="24"/>
      <c r="H97" s="27" t="str">
        <f t="shared" si="3"/>
        <v/>
      </c>
      <c r="I97" s="28" t="str">
        <f>IFERROR(IF(OR($A97="",ANAGRAFICA!$P97="",ANAGRAFICA!$P97=0),"",(ANAGRAFICA!$P97-$H97)/ANAGRAFICA!$P97),"")</f>
        <v/>
      </c>
      <c r="J97" s="22"/>
    </row>
    <row r="98" spans="1:10" ht="15" x14ac:dyDescent="0.15">
      <c r="A98" s="26" t="str">
        <f>IF(ANAGRAFICA!$B98="","",ANAGRAFICA!$B98)</f>
        <v/>
      </c>
      <c r="B98" s="26" t="str">
        <f>IF($A98="","",ANAGRAFICA!$C98)</f>
        <v/>
      </c>
      <c r="C98" s="26" t="str">
        <f>IF($A98="","",ANAGRAFICA!$D98)</f>
        <v/>
      </c>
      <c r="D98" s="25"/>
      <c r="E98" s="24"/>
      <c r="F98" s="27" t="str">
        <f t="shared" si="2"/>
        <v/>
      </c>
      <c r="G98" s="24"/>
      <c r="H98" s="27" t="str">
        <f t="shared" si="3"/>
        <v/>
      </c>
      <c r="I98" s="28" t="str">
        <f>IFERROR(IF(OR($A98="",ANAGRAFICA!$P98="",ANAGRAFICA!$P98=0),"",(ANAGRAFICA!$P98-$H98)/ANAGRAFICA!$P98),"")</f>
        <v/>
      </c>
      <c r="J98" s="22"/>
    </row>
    <row r="99" spans="1:10" ht="15" x14ac:dyDescent="0.15">
      <c r="A99" s="26" t="str">
        <f>IF(ANAGRAFICA!$B99="","",ANAGRAFICA!$B99)</f>
        <v/>
      </c>
      <c r="B99" s="26" t="str">
        <f>IF($A99="","",ANAGRAFICA!$C99)</f>
        <v/>
      </c>
      <c r="C99" s="26" t="str">
        <f>IF($A99="","",ANAGRAFICA!$D99)</f>
        <v/>
      </c>
      <c r="D99" s="25"/>
      <c r="E99" s="24"/>
      <c r="F99" s="27" t="str">
        <f t="shared" si="2"/>
        <v/>
      </c>
      <c r="G99" s="24"/>
      <c r="H99" s="27" t="str">
        <f t="shared" si="3"/>
        <v/>
      </c>
      <c r="I99" s="28" t="str">
        <f>IFERROR(IF(OR($A99="",ANAGRAFICA!$P99="",ANAGRAFICA!$P99=0),"",(ANAGRAFICA!$P99-$H99)/ANAGRAFICA!$P99),"")</f>
        <v/>
      </c>
      <c r="J99" s="22"/>
    </row>
    <row r="100" spans="1:10" ht="15" x14ac:dyDescent="0.15">
      <c r="A100" s="26" t="str">
        <f>IF(ANAGRAFICA!$B100="","",ANAGRAFICA!$B100)</f>
        <v/>
      </c>
      <c r="B100" s="26" t="str">
        <f>IF($A100="","",ANAGRAFICA!$C100)</f>
        <v/>
      </c>
      <c r="C100" s="26" t="str">
        <f>IF($A100="","",ANAGRAFICA!$D100)</f>
        <v/>
      </c>
      <c r="D100" s="25"/>
      <c r="E100" s="24"/>
      <c r="F100" s="27" t="str">
        <f t="shared" si="2"/>
        <v/>
      </c>
      <c r="G100" s="24"/>
      <c r="H100" s="27" t="str">
        <f t="shared" si="3"/>
        <v/>
      </c>
      <c r="I100" s="28" t="str">
        <f>IFERROR(IF(OR($A100="",ANAGRAFICA!$P100="",ANAGRAFICA!$P100=0),"",(ANAGRAFICA!$P100-$H100)/ANAGRAFICA!$P100),"")</f>
        <v/>
      </c>
      <c r="J100" s="22"/>
    </row>
    <row r="101" spans="1:10" ht="15" x14ac:dyDescent="0.15">
      <c r="A101" s="26" t="str">
        <f>IF(ANAGRAFICA!$B101="","",ANAGRAFICA!$B101)</f>
        <v/>
      </c>
      <c r="B101" s="26" t="str">
        <f>IF($A101="","",ANAGRAFICA!$C101)</f>
        <v/>
      </c>
      <c r="C101" s="26" t="str">
        <f>IF($A101="","",ANAGRAFICA!$D101)</f>
        <v/>
      </c>
      <c r="D101" s="25"/>
      <c r="E101" s="24"/>
      <c r="F101" s="27" t="str">
        <f t="shared" si="2"/>
        <v/>
      </c>
      <c r="G101" s="24"/>
      <c r="H101" s="27" t="str">
        <f t="shared" si="3"/>
        <v/>
      </c>
      <c r="I101" s="28" t="str">
        <f>IFERROR(IF(OR($A101="",ANAGRAFICA!$P101="",ANAGRAFICA!$P101=0),"",(ANAGRAFICA!$P101-$H101)/ANAGRAFICA!$P101),"")</f>
        <v/>
      </c>
      <c r="J101" s="22"/>
    </row>
    <row r="102" spans="1:10" ht="15" x14ac:dyDescent="0.15">
      <c r="A102" s="26" t="str">
        <f>IF(ANAGRAFICA!$B102="","",ANAGRAFICA!$B102)</f>
        <v/>
      </c>
      <c r="B102" s="26" t="str">
        <f>IF($A102="","",ANAGRAFICA!$C102)</f>
        <v/>
      </c>
      <c r="C102" s="26" t="str">
        <f>IF($A102="","",ANAGRAFICA!$D102)</f>
        <v/>
      </c>
      <c r="D102" s="25"/>
      <c r="E102" s="24"/>
      <c r="F102" s="27" t="str">
        <f t="shared" si="2"/>
        <v/>
      </c>
      <c r="G102" s="24"/>
      <c r="H102" s="27" t="str">
        <f t="shared" si="3"/>
        <v/>
      </c>
      <c r="I102" s="28" t="str">
        <f>IFERROR(IF(OR($A102="",ANAGRAFICA!$P102="",ANAGRAFICA!$P102=0),"",(ANAGRAFICA!$P102-$H102)/ANAGRAFICA!$P102),"")</f>
        <v/>
      </c>
      <c r="J102" s="22"/>
    </row>
    <row r="103" spans="1:10" ht="15" x14ac:dyDescent="0.15">
      <c r="A103" s="26" t="str">
        <f>IF(ANAGRAFICA!$B103="","",ANAGRAFICA!$B103)</f>
        <v/>
      </c>
      <c r="B103" s="26" t="str">
        <f>IF($A103="","",ANAGRAFICA!$C103)</f>
        <v/>
      </c>
      <c r="C103" s="26" t="str">
        <f>IF($A103="","",ANAGRAFICA!$D103)</f>
        <v/>
      </c>
      <c r="D103" s="25"/>
      <c r="E103" s="24"/>
      <c r="F103" s="27" t="str">
        <f t="shared" si="2"/>
        <v/>
      </c>
      <c r="G103" s="24"/>
      <c r="H103" s="27" t="str">
        <f t="shared" si="3"/>
        <v/>
      </c>
      <c r="I103" s="28" t="str">
        <f>IFERROR(IF(OR($A103="",ANAGRAFICA!$P103="",ANAGRAFICA!$P103=0),"",(ANAGRAFICA!$P103-$H103)/ANAGRAFICA!$P103),"")</f>
        <v/>
      </c>
      <c r="J103" s="22"/>
    </row>
    <row r="104" spans="1:10" ht="15" x14ac:dyDescent="0.15">
      <c r="A104" s="26" t="str">
        <f>IF(ANAGRAFICA!$B104="","",ANAGRAFICA!$B104)</f>
        <v/>
      </c>
      <c r="B104" s="26" t="str">
        <f>IF($A104="","",ANAGRAFICA!$C104)</f>
        <v/>
      </c>
      <c r="C104" s="26" t="str">
        <f>IF($A104="","",ANAGRAFICA!$D104)</f>
        <v/>
      </c>
      <c r="D104" s="25"/>
      <c r="E104" s="24"/>
      <c r="F104" s="27" t="str">
        <f t="shared" si="2"/>
        <v/>
      </c>
      <c r="G104" s="24"/>
      <c r="H104" s="27" t="str">
        <f t="shared" si="3"/>
        <v/>
      </c>
      <c r="I104" s="28" t="str">
        <f>IFERROR(IF(OR($A104="",ANAGRAFICA!$P104="",ANAGRAFICA!$P104=0),"",(ANAGRAFICA!$P104-$H104)/ANAGRAFICA!$P104),"")</f>
        <v/>
      </c>
      <c r="J104" s="22"/>
    </row>
    <row r="105" spans="1:10" ht="15" x14ac:dyDescent="0.15">
      <c r="A105" s="26" t="str">
        <f>IF(ANAGRAFICA!$B105="","",ANAGRAFICA!$B105)</f>
        <v/>
      </c>
      <c r="B105" s="26" t="str">
        <f>IF($A105="","",ANAGRAFICA!$C105)</f>
        <v/>
      </c>
      <c r="C105" s="26" t="str">
        <f>IF($A105="","",ANAGRAFICA!$D105)</f>
        <v/>
      </c>
      <c r="D105" s="25"/>
      <c r="E105" s="24"/>
      <c r="F105" s="27" t="str">
        <f t="shared" si="2"/>
        <v/>
      </c>
      <c r="G105" s="24"/>
      <c r="H105" s="27" t="str">
        <f t="shared" si="3"/>
        <v/>
      </c>
      <c r="I105" s="28" t="str">
        <f>IFERROR(IF(OR($A105="",ANAGRAFICA!$P105="",ANAGRAFICA!$P105=0),"",(ANAGRAFICA!$P105-$H105)/ANAGRAFICA!$P105),"")</f>
        <v/>
      </c>
      <c r="J105" s="22"/>
    </row>
    <row r="106" spans="1:10" ht="15" x14ac:dyDescent="0.15">
      <c r="A106" s="26" t="str">
        <f>IF(ANAGRAFICA!$B106="","",ANAGRAFICA!$B106)</f>
        <v/>
      </c>
      <c r="B106" s="26" t="str">
        <f>IF($A106="","",ANAGRAFICA!$C106)</f>
        <v/>
      </c>
      <c r="C106" s="26" t="str">
        <f>IF($A106="","",ANAGRAFICA!$D106)</f>
        <v/>
      </c>
      <c r="D106" s="25"/>
      <c r="E106" s="24"/>
      <c r="F106" s="27" t="str">
        <f t="shared" si="2"/>
        <v/>
      </c>
      <c r="G106" s="24"/>
      <c r="H106" s="27" t="str">
        <f t="shared" si="3"/>
        <v/>
      </c>
      <c r="I106" s="28" t="str">
        <f>IFERROR(IF(OR($A106="",ANAGRAFICA!$P106="",ANAGRAFICA!$P106=0),"",(ANAGRAFICA!$P106-$H106)/ANAGRAFICA!$P106),"")</f>
        <v/>
      </c>
      <c r="J106" s="22"/>
    </row>
    <row r="107" spans="1:10" ht="15" x14ac:dyDescent="0.15">
      <c r="A107" s="26" t="str">
        <f>IF(ANAGRAFICA!$B107="","",ANAGRAFICA!$B107)</f>
        <v/>
      </c>
      <c r="B107" s="26" t="str">
        <f>IF($A107="","",ANAGRAFICA!$C107)</f>
        <v/>
      </c>
      <c r="C107" s="26" t="str">
        <f>IF($A107="","",ANAGRAFICA!$D107)</f>
        <v/>
      </c>
      <c r="D107" s="25"/>
      <c r="E107" s="24"/>
      <c r="F107" s="27" t="str">
        <f t="shared" si="2"/>
        <v/>
      </c>
      <c r="G107" s="24"/>
      <c r="H107" s="27" t="str">
        <f t="shared" si="3"/>
        <v/>
      </c>
      <c r="I107" s="28" t="str">
        <f>IFERROR(IF(OR($A107="",ANAGRAFICA!$P107="",ANAGRAFICA!$P107=0),"",(ANAGRAFICA!$P107-$H107)/ANAGRAFICA!$P107),"")</f>
        <v/>
      </c>
      <c r="J107" s="22"/>
    </row>
    <row r="108" spans="1:10" ht="15" x14ac:dyDescent="0.15">
      <c r="A108" s="26" t="str">
        <f>IF(ANAGRAFICA!$B108="","",ANAGRAFICA!$B108)</f>
        <v/>
      </c>
      <c r="B108" s="26" t="str">
        <f>IF($A108="","",ANAGRAFICA!$C108)</f>
        <v/>
      </c>
      <c r="C108" s="26" t="str">
        <f>IF($A108="","",ANAGRAFICA!$D108)</f>
        <v/>
      </c>
      <c r="D108" s="25"/>
      <c r="E108" s="24"/>
      <c r="F108" s="27" t="str">
        <f t="shared" si="2"/>
        <v/>
      </c>
      <c r="G108" s="24"/>
      <c r="H108" s="27" t="str">
        <f t="shared" si="3"/>
        <v/>
      </c>
      <c r="I108" s="28" t="str">
        <f>IFERROR(IF(OR($A108="",ANAGRAFICA!$P108="",ANAGRAFICA!$P108=0),"",(ANAGRAFICA!$P108-$H108)/ANAGRAFICA!$P108),"")</f>
        <v/>
      </c>
      <c r="J108" s="22"/>
    </row>
    <row r="109" spans="1:10" ht="15" x14ac:dyDescent="0.15">
      <c r="A109" s="26" t="str">
        <f>IF(ANAGRAFICA!$B109="","",ANAGRAFICA!$B109)</f>
        <v/>
      </c>
      <c r="B109" s="26" t="str">
        <f>IF($A109="","",ANAGRAFICA!$C109)</f>
        <v/>
      </c>
      <c r="C109" s="26" t="str">
        <f>IF($A109="","",ANAGRAFICA!$D109)</f>
        <v/>
      </c>
      <c r="D109" s="25"/>
      <c r="E109" s="24"/>
      <c r="F109" s="27" t="str">
        <f t="shared" si="2"/>
        <v/>
      </c>
      <c r="G109" s="24"/>
      <c r="H109" s="27" t="str">
        <f t="shared" si="3"/>
        <v/>
      </c>
      <c r="I109" s="28" t="str">
        <f>IFERROR(IF(OR($A109="",ANAGRAFICA!$P109="",ANAGRAFICA!$P109=0),"",(ANAGRAFICA!$P109-$H109)/ANAGRAFICA!$P109),"")</f>
        <v/>
      </c>
      <c r="J109" s="22"/>
    </row>
    <row r="110" spans="1:10" ht="15" x14ac:dyDescent="0.15">
      <c r="A110" s="26" t="str">
        <f>IF(ANAGRAFICA!$B110="","",ANAGRAFICA!$B110)</f>
        <v/>
      </c>
      <c r="B110" s="26" t="str">
        <f>IF($A110="","",ANAGRAFICA!$C110)</f>
        <v/>
      </c>
      <c r="C110" s="26" t="str">
        <f>IF($A110="","",ANAGRAFICA!$D110)</f>
        <v/>
      </c>
      <c r="D110" s="25"/>
      <c r="E110" s="24"/>
      <c r="F110" s="27" t="str">
        <f t="shared" si="2"/>
        <v/>
      </c>
      <c r="G110" s="24"/>
      <c r="H110" s="27" t="str">
        <f t="shared" si="3"/>
        <v/>
      </c>
      <c r="I110" s="28" t="str">
        <f>IFERROR(IF(OR($A110="",ANAGRAFICA!$P110="",ANAGRAFICA!$P110=0),"",(ANAGRAFICA!$P110-$H110)/ANAGRAFICA!$P110),"")</f>
        <v/>
      </c>
      <c r="J110" s="22"/>
    </row>
    <row r="111" spans="1:10" ht="15" x14ac:dyDescent="0.15">
      <c r="A111" s="26" t="str">
        <f>IF(ANAGRAFICA!$B111="","",ANAGRAFICA!$B111)</f>
        <v/>
      </c>
      <c r="B111" s="26" t="str">
        <f>IF($A111="","",ANAGRAFICA!$C111)</f>
        <v/>
      </c>
      <c r="C111" s="26" t="str">
        <f>IF($A111="","",ANAGRAFICA!$D111)</f>
        <v/>
      </c>
      <c r="D111" s="25"/>
      <c r="E111" s="24"/>
      <c r="F111" s="27" t="str">
        <f t="shared" si="2"/>
        <v/>
      </c>
      <c r="G111" s="24"/>
      <c r="H111" s="27" t="str">
        <f t="shared" si="3"/>
        <v/>
      </c>
      <c r="I111" s="28" t="str">
        <f>IFERROR(IF(OR($A111="",ANAGRAFICA!$P111="",ANAGRAFICA!$P111=0),"",(ANAGRAFICA!$P111-$H111)/ANAGRAFICA!$P111),"")</f>
        <v/>
      </c>
      <c r="J111" s="22"/>
    </row>
    <row r="112" spans="1:10" ht="15" x14ac:dyDescent="0.15">
      <c r="A112" s="26" t="str">
        <f>IF(ANAGRAFICA!$B112="","",ANAGRAFICA!$B112)</f>
        <v/>
      </c>
      <c r="B112" s="26" t="str">
        <f>IF($A112="","",ANAGRAFICA!$C112)</f>
        <v/>
      </c>
      <c r="C112" s="26" t="str">
        <f>IF($A112="","",ANAGRAFICA!$D112)</f>
        <v/>
      </c>
      <c r="D112" s="25"/>
      <c r="E112" s="24"/>
      <c r="F112" s="27" t="str">
        <f t="shared" si="2"/>
        <v/>
      </c>
      <c r="G112" s="24"/>
      <c r="H112" s="27" t="str">
        <f t="shared" si="3"/>
        <v/>
      </c>
      <c r="I112" s="28" t="str">
        <f>IFERROR(IF(OR($A112="",ANAGRAFICA!$P112="",ANAGRAFICA!$P112=0),"",(ANAGRAFICA!$P112-$H112)/ANAGRAFICA!$P112),"")</f>
        <v/>
      </c>
      <c r="J112" s="22"/>
    </row>
    <row r="113" spans="1:10" ht="15" x14ac:dyDescent="0.15">
      <c r="A113" s="26" t="str">
        <f>IF(ANAGRAFICA!$B113="","",ANAGRAFICA!$B113)</f>
        <v/>
      </c>
      <c r="B113" s="26" t="str">
        <f>IF($A113="","",ANAGRAFICA!$C113)</f>
        <v/>
      </c>
      <c r="C113" s="26" t="str">
        <f>IF($A113="","",ANAGRAFICA!$D113)</f>
        <v/>
      </c>
      <c r="D113" s="25"/>
      <c r="E113" s="24"/>
      <c r="F113" s="27" t="str">
        <f t="shared" si="2"/>
        <v/>
      </c>
      <c r="G113" s="24"/>
      <c r="H113" s="27" t="str">
        <f t="shared" si="3"/>
        <v/>
      </c>
      <c r="I113" s="28" t="str">
        <f>IFERROR(IF(OR($A113="",ANAGRAFICA!$P113="",ANAGRAFICA!$P113=0),"",(ANAGRAFICA!$P113-$H113)/ANAGRAFICA!$P113),"")</f>
        <v/>
      </c>
      <c r="J113" s="22"/>
    </row>
    <row r="114" spans="1:10" ht="15" x14ac:dyDescent="0.15">
      <c r="A114" s="26" t="str">
        <f>IF(ANAGRAFICA!$B114="","",ANAGRAFICA!$B114)</f>
        <v/>
      </c>
      <c r="B114" s="26" t="str">
        <f>IF($A114="","",ANAGRAFICA!$C114)</f>
        <v/>
      </c>
      <c r="C114" s="26" t="str">
        <f>IF($A114="","",ANAGRAFICA!$D114)</f>
        <v/>
      </c>
      <c r="D114" s="25"/>
      <c r="E114" s="24"/>
      <c r="F114" s="27" t="str">
        <f t="shared" si="2"/>
        <v/>
      </c>
      <c r="G114" s="24"/>
      <c r="H114" s="27" t="str">
        <f t="shared" si="3"/>
        <v/>
      </c>
      <c r="I114" s="28" t="str">
        <f>IFERROR(IF(OR($A114="",ANAGRAFICA!$P114="",ANAGRAFICA!$P114=0),"",(ANAGRAFICA!$P114-$H114)/ANAGRAFICA!$P114),"")</f>
        <v/>
      </c>
      <c r="J114" s="22"/>
    </row>
    <row r="115" spans="1:10" ht="15" x14ac:dyDescent="0.15">
      <c r="A115" s="26" t="str">
        <f>IF(ANAGRAFICA!$B115="","",ANAGRAFICA!$B115)</f>
        <v/>
      </c>
      <c r="B115" s="26" t="str">
        <f>IF($A115="","",ANAGRAFICA!$C115)</f>
        <v/>
      </c>
      <c r="C115" s="26" t="str">
        <f>IF($A115="","",ANAGRAFICA!$D115)</f>
        <v/>
      </c>
      <c r="D115" s="25"/>
      <c r="E115" s="24"/>
      <c r="F115" s="27" t="str">
        <f t="shared" si="2"/>
        <v/>
      </c>
      <c r="G115" s="24"/>
      <c r="H115" s="27" t="str">
        <f t="shared" si="3"/>
        <v/>
      </c>
      <c r="I115" s="28" t="str">
        <f>IFERROR(IF(OR($A115="",ANAGRAFICA!$P115="",ANAGRAFICA!$P115=0),"",(ANAGRAFICA!$P115-$H115)/ANAGRAFICA!$P115),"")</f>
        <v/>
      </c>
      <c r="J115" s="22"/>
    </row>
    <row r="116" spans="1:10" ht="15" x14ac:dyDescent="0.15">
      <c r="A116" s="26" t="str">
        <f>IF(ANAGRAFICA!$B116="","",ANAGRAFICA!$B116)</f>
        <v/>
      </c>
      <c r="B116" s="26" t="str">
        <f>IF($A116="","",ANAGRAFICA!$C116)</f>
        <v/>
      </c>
      <c r="C116" s="26" t="str">
        <f>IF($A116="","",ANAGRAFICA!$D116)</f>
        <v/>
      </c>
      <c r="D116" s="25"/>
      <c r="E116" s="24"/>
      <c r="F116" s="27" t="str">
        <f t="shared" si="2"/>
        <v/>
      </c>
      <c r="G116" s="24"/>
      <c r="H116" s="27" t="str">
        <f t="shared" si="3"/>
        <v/>
      </c>
      <c r="I116" s="28" t="str">
        <f>IFERROR(IF(OR($A116="",ANAGRAFICA!$P116="",ANAGRAFICA!$P116=0),"",(ANAGRAFICA!$P116-$H116)/ANAGRAFICA!$P116),"")</f>
        <v/>
      </c>
      <c r="J116" s="22"/>
    </row>
    <row r="117" spans="1:10" ht="15" x14ac:dyDescent="0.15">
      <c r="A117" s="26" t="str">
        <f>IF(ANAGRAFICA!$B117="","",ANAGRAFICA!$B117)</f>
        <v/>
      </c>
      <c r="B117" s="26" t="str">
        <f>IF($A117="","",ANAGRAFICA!$C117)</f>
        <v/>
      </c>
      <c r="C117" s="26" t="str">
        <f>IF($A117="","",ANAGRAFICA!$D117)</f>
        <v/>
      </c>
      <c r="D117" s="25"/>
      <c r="E117" s="24"/>
      <c r="F117" s="27" t="str">
        <f t="shared" si="2"/>
        <v/>
      </c>
      <c r="G117" s="24"/>
      <c r="H117" s="27" t="str">
        <f t="shared" si="3"/>
        <v/>
      </c>
      <c r="I117" s="28" t="str">
        <f>IFERROR(IF(OR($A117="",ANAGRAFICA!$P117="",ANAGRAFICA!$P117=0),"",(ANAGRAFICA!$P117-$H117)/ANAGRAFICA!$P117),"")</f>
        <v/>
      </c>
      <c r="J117" s="22"/>
    </row>
    <row r="118" spans="1:10" ht="15" x14ac:dyDescent="0.15">
      <c r="A118" s="26" t="str">
        <f>IF(ANAGRAFICA!$B118="","",ANAGRAFICA!$B118)</f>
        <v/>
      </c>
      <c r="B118" s="26" t="str">
        <f>IF($A118="","",ANAGRAFICA!$C118)</f>
        <v/>
      </c>
      <c r="C118" s="26" t="str">
        <f>IF($A118="","",ANAGRAFICA!$D118)</f>
        <v/>
      </c>
      <c r="D118" s="25"/>
      <c r="E118" s="24"/>
      <c r="F118" s="27" t="str">
        <f t="shared" si="2"/>
        <v/>
      </c>
      <c r="G118" s="24"/>
      <c r="H118" s="27" t="str">
        <f t="shared" si="3"/>
        <v/>
      </c>
      <c r="I118" s="28" t="str">
        <f>IFERROR(IF(OR($A118="",ANAGRAFICA!$P118="",ANAGRAFICA!$P118=0),"",(ANAGRAFICA!$P118-$H118)/ANAGRAFICA!$P118),"")</f>
        <v/>
      </c>
      <c r="J118" s="22"/>
    </row>
    <row r="119" spans="1:10" ht="15" x14ac:dyDescent="0.15">
      <c r="A119" s="26" t="str">
        <f>IF(ANAGRAFICA!$B119="","",ANAGRAFICA!$B119)</f>
        <v/>
      </c>
      <c r="B119" s="26" t="str">
        <f>IF($A119="","",ANAGRAFICA!$C119)</f>
        <v/>
      </c>
      <c r="C119" s="26" t="str">
        <f>IF($A119="","",ANAGRAFICA!$D119)</f>
        <v/>
      </c>
      <c r="D119" s="25"/>
      <c r="E119" s="24"/>
      <c r="F119" s="27" t="str">
        <f t="shared" si="2"/>
        <v/>
      </c>
      <c r="G119" s="24"/>
      <c r="H119" s="27" t="str">
        <f t="shared" si="3"/>
        <v/>
      </c>
      <c r="I119" s="28" t="str">
        <f>IFERROR(IF(OR($A119="",ANAGRAFICA!$P119="",ANAGRAFICA!$P119=0),"",(ANAGRAFICA!$P119-$H119)/ANAGRAFICA!$P119),"")</f>
        <v/>
      </c>
      <c r="J119" s="22"/>
    </row>
    <row r="120" spans="1:10" ht="15" x14ac:dyDescent="0.15">
      <c r="A120" s="26" t="str">
        <f>IF(ANAGRAFICA!$B120="","",ANAGRAFICA!$B120)</f>
        <v/>
      </c>
      <c r="B120" s="26" t="str">
        <f>IF($A120="","",ANAGRAFICA!$C120)</f>
        <v/>
      </c>
      <c r="C120" s="26" t="str">
        <f>IF($A120="","",ANAGRAFICA!$D120)</f>
        <v/>
      </c>
      <c r="D120" s="25"/>
      <c r="E120" s="24"/>
      <c r="F120" s="27" t="str">
        <f t="shared" si="2"/>
        <v/>
      </c>
      <c r="G120" s="24"/>
      <c r="H120" s="27" t="str">
        <f t="shared" si="3"/>
        <v/>
      </c>
      <c r="I120" s="28" t="str">
        <f>IFERROR(IF(OR($A120="",ANAGRAFICA!$P120="",ANAGRAFICA!$P120=0),"",(ANAGRAFICA!$P120-$H120)/ANAGRAFICA!$P120),"")</f>
        <v/>
      </c>
      <c r="J120" s="22"/>
    </row>
    <row r="121" spans="1:10" ht="15" x14ac:dyDescent="0.15">
      <c r="A121" s="26" t="str">
        <f>IF(ANAGRAFICA!$B121="","",ANAGRAFICA!$B121)</f>
        <v/>
      </c>
      <c r="B121" s="26" t="str">
        <f>IF($A121="","",ANAGRAFICA!$C121)</f>
        <v/>
      </c>
      <c r="C121" s="26" t="str">
        <f>IF($A121="","",ANAGRAFICA!$D121)</f>
        <v/>
      </c>
      <c r="D121" s="25"/>
      <c r="E121" s="24"/>
      <c r="F121" s="27" t="str">
        <f t="shared" si="2"/>
        <v/>
      </c>
      <c r="G121" s="24"/>
      <c r="H121" s="27" t="str">
        <f t="shared" si="3"/>
        <v/>
      </c>
      <c r="I121" s="28" t="str">
        <f>IFERROR(IF(OR($A121="",ANAGRAFICA!$P121="",ANAGRAFICA!$P121=0),"",(ANAGRAFICA!$P121-$H121)/ANAGRAFICA!$P121),"")</f>
        <v/>
      </c>
      <c r="J121" s="22"/>
    </row>
    <row r="122" spans="1:10" ht="15" x14ac:dyDescent="0.15">
      <c r="A122" s="26" t="str">
        <f>IF(ANAGRAFICA!$B122="","",ANAGRAFICA!$B122)</f>
        <v/>
      </c>
      <c r="B122" s="26" t="str">
        <f>IF($A122="","",ANAGRAFICA!$C122)</f>
        <v/>
      </c>
      <c r="C122" s="26" t="str">
        <f>IF($A122="","",ANAGRAFICA!$D122)</f>
        <v/>
      </c>
      <c r="D122" s="25"/>
      <c r="E122" s="24"/>
      <c r="F122" s="27" t="str">
        <f t="shared" si="2"/>
        <v/>
      </c>
      <c r="G122" s="24"/>
      <c r="H122" s="27" t="str">
        <f t="shared" si="3"/>
        <v/>
      </c>
      <c r="I122" s="28" t="str">
        <f>IFERROR(IF(OR($A122="",ANAGRAFICA!$P122="",ANAGRAFICA!$P122=0),"",(ANAGRAFICA!$P122-$H122)/ANAGRAFICA!$P122),"")</f>
        <v/>
      </c>
      <c r="J122" s="22"/>
    </row>
    <row r="123" spans="1:10" ht="15" x14ac:dyDescent="0.15">
      <c r="A123" s="26" t="str">
        <f>IF(ANAGRAFICA!$B123="","",ANAGRAFICA!$B123)</f>
        <v/>
      </c>
      <c r="B123" s="26" t="str">
        <f>IF($A123="","",ANAGRAFICA!$C123)</f>
        <v/>
      </c>
      <c r="C123" s="26" t="str">
        <f>IF($A123="","",ANAGRAFICA!$D123)</f>
        <v/>
      </c>
      <c r="D123" s="25"/>
      <c r="E123" s="24"/>
      <c r="F123" s="27" t="str">
        <f t="shared" si="2"/>
        <v/>
      </c>
      <c r="G123" s="24"/>
      <c r="H123" s="27" t="str">
        <f t="shared" si="3"/>
        <v/>
      </c>
      <c r="I123" s="28" t="str">
        <f>IFERROR(IF(OR($A123="",ANAGRAFICA!$P123="",ANAGRAFICA!$P123=0),"",(ANAGRAFICA!$P123-$H123)/ANAGRAFICA!$P123),"")</f>
        <v/>
      </c>
      <c r="J123" s="22"/>
    </row>
    <row r="124" spans="1:10" ht="15" x14ac:dyDescent="0.15">
      <c r="A124" s="26" t="str">
        <f>IF(ANAGRAFICA!$B124="","",ANAGRAFICA!$B124)</f>
        <v/>
      </c>
      <c r="B124" s="26" t="str">
        <f>IF($A124="","",ANAGRAFICA!$C124)</f>
        <v/>
      </c>
      <c r="C124" s="26" t="str">
        <f>IF($A124="","",ANAGRAFICA!$D124)</f>
        <v/>
      </c>
      <c r="D124" s="25"/>
      <c r="E124" s="24"/>
      <c r="F124" s="27" t="str">
        <f t="shared" si="2"/>
        <v/>
      </c>
      <c r="G124" s="24"/>
      <c r="H124" s="27" t="str">
        <f t="shared" si="3"/>
        <v/>
      </c>
      <c r="I124" s="28" t="str">
        <f>IFERROR(IF(OR($A124="",ANAGRAFICA!$P124="",ANAGRAFICA!$P124=0),"",(ANAGRAFICA!$P124-$H124)/ANAGRAFICA!$P124),"")</f>
        <v/>
      </c>
      <c r="J124" s="22"/>
    </row>
    <row r="125" spans="1:10" ht="15" x14ac:dyDescent="0.15">
      <c r="A125" s="26" t="str">
        <f>IF(ANAGRAFICA!$B125="","",ANAGRAFICA!$B125)</f>
        <v/>
      </c>
      <c r="B125" s="26" t="str">
        <f>IF($A125="","",ANAGRAFICA!$C125)</f>
        <v/>
      </c>
      <c r="C125" s="26" t="str">
        <f>IF($A125="","",ANAGRAFICA!$D125)</f>
        <v/>
      </c>
      <c r="D125" s="25"/>
      <c r="E125" s="24"/>
      <c r="F125" s="27" t="str">
        <f t="shared" si="2"/>
        <v/>
      </c>
      <c r="G125" s="24"/>
      <c r="H125" s="27" t="str">
        <f t="shared" si="3"/>
        <v/>
      </c>
      <c r="I125" s="28" t="str">
        <f>IFERROR(IF(OR($A125="",ANAGRAFICA!$P125="",ANAGRAFICA!$P125=0),"",(ANAGRAFICA!$P125-$H125)/ANAGRAFICA!$P125),"")</f>
        <v/>
      </c>
      <c r="J125" s="22"/>
    </row>
    <row r="126" spans="1:10" ht="15" x14ac:dyDescent="0.15">
      <c r="A126" s="26" t="str">
        <f>IF(ANAGRAFICA!$B126="","",ANAGRAFICA!$B126)</f>
        <v/>
      </c>
      <c r="B126" s="26" t="str">
        <f>IF($A126="","",ANAGRAFICA!$C126)</f>
        <v/>
      </c>
      <c r="C126" s="26" t="str">
        <f>IF($A126="","",ANAGRAFICA!$D126)</f>
        <v/>
      </c>
      <c r="D126" s="25"/>
      <c r="E126" s="24"/>
      <c r="F126" s="27" t="str">
        <f t="shared" si="2"/>
        <v/>
      </c>
      <c r="G126" s="24"/>
      <c r="H126" s="27" t="str">
        <f t="shared" si="3"/>
        <v/>
      </c>
      <c r="I126" s="28" t="str">
        <f>IFERROR(IF(OR($A126="",ANAGRAFICA!$P126="",ANAGRAFICA!$P126=0),"",(ANAGRAFICA!$P126-$H126)/ANAGRAFICA!$P126),"")</f>
        <v/>
      </c>
      <c r="J126" s="22"/>
    </row>
    <row r="127" spans="1:10" ht="15" x14ac:dyDescent="0.15">
      <c r="A127" s="26" t="str">
        <f>IF(ANAGRAFICA!$B127="","",ANAGRAFICA!$B127)</f>
        <v/>
      </c>
      <c r="B127" s="26" t="str">
        <f>IF($A127="","",ANAGRAFICA!$C127)</f>
        <v/>
      </c>
      <c r="C127" s="26" t="str">
        <f>IF($A127="","",ANAGRAFICA!$D127)</f>
        <v/>
      </c>
      <c r="D127" s="25"/>
      <c r="E127" s="24"/>
      <c r="F127" s="27" t="str">
        <f t="shared" si="2"/>
        <v/>
      </c>
      <c r="G127" s="24"/>
      <c r="H127" s="27" t="str">
        <f t="shared" si="3"/>
        <v/>
      </c>
      <c r="I127" s="28" t="str">
        <f>IFERROR(IF(OR($A127="",ANAGRAFICA!$P127="",ANAGRAFICA!$P127=0),"",(ANAGRAFICA!$P127-$H127)/ANAGRAFICA!$P127),"")</f>
        <v/>
      </c>
      <c r="J127" s="22"/>
    </row>
    <row r="128" spans="1:10" ht="15" x14ac:dyDescent="0.15">
      <c r="A128" s="26" t="str">
        <f>IF(ANAGRAFICA!$B128="","",ANAGRAFICA!$B128)</f>
        <v/>
      </c>
      <c r="B128" s="26" t="str">
        <f>IF($A128="","",ANAGRAFICA!$C128)</f>
        <v/>
      </c>
      <c r="C128" s="26" t="str">
        <f>IF($A128="","",ANAGRAFICA!$D128)</f>
        <v/>
      </c>
      <c r="D128" s="25"/>
      <c r="E128" s="24"/>
      <c r="F128" s="27" t="str">
        <f t="shared" si="2"/>
        <v/>
      </c>
      <c r="G128" s="24"/>
      <c r="H128" s="27" t="str">
        <f t="shared" si="3"/>
        <v/>
      </c>
      <c r="I128" s="28" t="str">
        <f>IFERROR(IF(OR($A128="",ANAGRAFICA!$P128="",ANAGRAFICA!$P128=0),"",(ANAGRAFICA!$P128-$H128)/ANAGRAFICA!$P128),"")</f>
        <v/>
      </c>
      <c r="J128" s="22"/>
    </row>
    <row r="129" spans="1:10" ht="15" x14ac:dyDescent="0.15">
      <c r="A129" s="26" t="str">
        <f>IF(ANAGRAFICA!$B129="","",ANAGRAFICA!$B129)</f>
        <v/>
      </c>
      <c r="B129" s="26" t="str">
        <f>IF($A129="","",ANAGRAFICA!$C129)</f>
        <v/>
      </c>
      <c r="C129" s="26" t="str">
        <f>IF($A129="","",ANAGRAFICA!$D129)</f>
        <v/>
      </c>
      <c r="D129" s="25"/>
      <c r="E129" s="24"/>
      <c r="F129" s="27" t="str">
        <f t="shared" si="2"/>
        <v/>
      </c>
      <c r="G129" s="24"/>
      <c r="H129" s="27" t="str">
        <f t="shared" si="3"/>
        <v/>
      </c>
      <c r="I129" s="28" t="str">
        <f>IFERROR(IF(OR($A129="",ANAGRAFICA!$P129="",ANAGRAFICA!$P129=0),"",(ANAGRAFICA!$P129-$H129)/ANAGRAFICA!$P129),"")</f>
        <v/>
      </c>
      <c r="J129" s="22"/>
    </row>
    <row r="130" spans="1:10" ht="15" x14ac:dyDescent="0.15">
      <c r="A130" s="26" t="str">
        <f>IF(ANAGRAFICA!$B130="","",ANAGRAFICA!$B130)</f>
        <v/>
      </c>
      <c r="B130" s="26" t="str">
        <f>IF($A130="","",ANAGRAFICA!$C130)</f>
        <v/>
      </c>
      <c r="C130" s="26" t="str">
        <f>IF($A130="","",ANAGRAFICA!$D130)</f>
        <v/>
      </c>
      <c r="D130" s="25"/>
      <c r="E130" s="24"/>
      <c r="F130" s="27" t="str">
        <f t="shared" si="2"/>
        <v/>
      </c>
      <c r="G130" s="24"/>
      <c r="H130" s="27" t="str">
        <f t="shared" si="3"/>
        <v/>
      </c>
      <c r="I130" s="28" t="str">
        <f>IFERROR(IF(OR($A130="",ANAGRAFICA!$P130="",ANAGRAFICA!$P130=0),"",(ANAGRAFICA!$P130-$H130)/ANAGRAFICA!$P130),"")</f>
        <v/>
      </c>
      <c r="J130" s="22"/>
    </row>
    <row r="131" spans="1:10" ht="15" x14ac:dyDescent="0.15">
      <c r="A131" s="26" t="str">
        <f>IF(ANAGRAFICA!$B131="","",ANAGRAFICA!$B131)</f>
        <v/>
      </c>
      <c r="B131" s="26" t="str">
        <f>IF($A131="","",ANAGRAFICA!$C131)</f>
        <v/>
      </c>
      <c r="C131" s="26" t="str">
        <f>IF($A131="","",ANAGRAFICA!$D131)</f>
        <v/>
      </c>
      <c r="D131" s="25"/>
      <c r="E131" s="24"/>
      <c r="F131" s="27" t="str">
        <f t="shared" si="2"/>
        <v/>
      </c>
      <c r="G131" s="24"/>
      <c r="H131" s="27" t="str">
        <f t="shared" si="3"/>
        <v/>
      </c>
      <c r="I131" s="28" t="str">
        <f>IFERROR(IF(OR($A131="",ANAGRAFICA!$P131="",ANAGRAFICA!$P131=0),"",(ANAGRAFICA!$P131-$H131)/ANAGRAFICA!$P131),"")</f>
        <v/>
      </c>
      <c r="J131" s="22"/>
    </row>
    <row r="132" spans="1:10" ht="15" x14ac:dyDescent="0.15">
      <c r="A132" s="26" t="str">
        <f>IF(ANAGRAFICA!$B132="","",ANAGRAFICA!$B132)</f>
        <v/>
      </c>
      <c r="B132" s="26" t="str">
        <f>IF($A132="","",ANAGRAFICA!$C132)</f>
        <v/>
      </c>
      <c r="C132" s="26" t="str">
        <f>IF($A132="","",ANAGRAFICA!$D132)</f>
        <v/>
      </c>
      <c r="D132" s="25"/>
      <c r="E132" s="24"/>
      <c r="F132" s="27" t="str">
        <f t="shared" si="2"/>
        <v/>
      </c>
      <c r="G132" s="24"/>
      <c r="H132" s="27" t="str">
        <f t="shared" si="3"/>
        <v/>
      </c>
      <c r="I132" s="28" t="str">
        <f>IFERROR(IF(OR($A132="",ANAGRAFICA!$P132="",ANAGRAFICA!$P132=0),"",(ANAGRAFICA!$P132-$H132)/ANAGRAFICA!$P132),"")</f>
        <v/>
      </c>
      <c r="J132" s="22"/>
    </row>
    <row r="133" spans="1:10" ht="15" x14ac:dyDescent="0.15">
      <c r="A133" s="26" t="str">
        <f>IF(ANAGRAFICA!$B133="","",ANAGRAFICA!$B133)</f>
        <v/>
      </c>
      <c r="B133" s="26" t="str">
        <f>IF($A133="","",ANAGRAFICA!$C133)</f>
        <v/>
      </c>
      <c r="C133" s="26" t="str">
        <f>IF($A133="","",ANAGRAFICA!$D133)</f>
        <v/>
      </c>
      <c r="D133" s="25"/>
      <c r="E133" s="24"/>
      <c r="F133" s="27" t="str">
        <f t="shared" si="2"/>
        <v/>
      </c>
      <c r="G133" s="24"/>
      <c r="H133" s="27" t="str">
        <f t="shared" si="3"/>
        <v/>
      </c>
      <c r="I133" s="28" t="str">
        <f>IFERROR(IF(OR($A133="",ANAGRAFICA!$P133="",ANAGRAFICA!$P133=0),"",(ANAGRAFICA!$P133-$H133)/ANAGRAFICA!$P133),"")</f>
        <v/>
      </c>
      <c r="J133" s="22"/>
    </row>
    <row r="134" spans="1:10" ht="15" x14ac:dyDescent="0.15">
      <c r="A134" s="26" t="str">
        <f>IF(ANAGRAFICA!$B134="","",ANAGRAFICA!$B134)</f>
        <v/>
      </c>
      <c r="B134" s="26" t="str">
        <f>IF($A134="","",ANAGRAFICA!$C134)</f>
        <v/>
      </c>
      <c r="C134" s="26" t="str">
        <f>IF($A134="","",ANAGRAFICA!$D134)</f>
        <v/>
      </c>
      <c r="D134" s="25"/>
      <c r="E134" s="24"/>
      <c r="F134" s="27" t="str">
        <f t="shared" ref="F134:F197" si="4">IF(OR($A134="",$D134="",$E134=""),"",$D134*$E134)</f>
        <v/>
      </c>
      <c r="G134" s="24"/>
      <c r="H134" s="27" t="str">
        <f t="shared" ref="H134:H197" si="5">IF($A134="","",SUM($F134,$G134))</f>
        <v/>
      </c>
      <c r="I134" s="28" t="str">
        <f>IFERROR(IF(OR($A134="",ANAGRAFICA!$P134="",ANAGRAFICA!$P134=0),"",(ANAGRAFICA!$P134-$H134)/ANAGRAFICA!$P134),"")</f>
        <v/>
      </c>
      <c r="J134" s="22"/>
    </row>
    <row r="135" spans="1:10" ht="15" x14ac:dyDescent="0.15">
      <c r="A135" s="26" t="str">
        <f>IF(ANAGRAFICA!$B135="","",ANAGRAFICA!$B135)</f>
        <v/>
      </c>
      <c r="B135" s="26" t="str">
        <f>IF($A135="","",ANAGRAFICA!$C135)</f>
        <v/>
      </c>
      <c r="C135" s="26" t="str">
        <f>IF($A135="","",ANAGRAFICA!$D135)</f>
        <v/>
      </c>
      <c r="D135" s="25"/>
      <c r="E135" s="24"/>
      <c r="F135" s="27" t="str">
        <f t="shared" si="4"/>
        <v/>
      </c>
      <c r="G135" s="24"/>
      <c r="H135" s="27" t="str">
        <f t="shared" si="5"/>
        <v/>
      </c>
      <c r="I135" s="28" t="str">
        <f>IFERROR(IF(OR($A135="",ANAGRAFICA!$P135="",ANAGRAFICA!$P135=0),"",(ANAGRAFICA!$P135-$H135)/ANAGRAFICA!$P135),"")</f>
        <v/>
      </c>
      <c r="J135" s="22"/>
    </row>
    <row r="136" spans="1:10" ht="15" x14ac:dyDescent="0.15">
      <c r="A136" s="26" t="str">
        <f>IF(ANAGRAFICA!$B136="","",ANAGRAFICA!$B136)</f>
        <v/>
      </c>
      <c r="B136" s="26" t="str">
        <f>IF($A136="","",ANAGRAFICA!$C136)</f>
        <v/>
      </c>
      <c r="C136" s="26" t="str">
        <f>IF($A136="","",ANAGRAFICA!$D136)</f>
        <v/>
      </c>
      <c r="D136" s="25"/>
      <c r="E136" s="24"/>
      <c r="F136" s="27" t="str">
        <f t="shared" si="4"/>
        <v/>
      </c>
      <c r="G136" s="24"/>
      <c r="H136" s="27" t="str">
        <f t="shared" si="5"/>
        <v/>
      </c>
      <c r="I136" s="28" t="str">
        <f>IFERROR(IF(OR($A136="",ANAGRAFICA!$P136="",ANAGRAFICA!$P136=0),"",(ANAGRAFICA!$P136-$H136)/ANAGRAFICA!$P136),"")</f>
        <v/>
      </c>
      <c r="J136" s="22"/>
    </row>
    <row r="137" spans="1:10" ht="15" x14ac:dyDescent="0.15">
      <c r="A137" s="26" t="str">
        <f>IF(ANAGRAFICA!$B137="","",ANAGRAFICA!$B137)</f>
        <v/>
      </c>
      <c r="B137" s="26" t="str">
        <f>IF($A137="","",ANAGRAFICA!$C137)</f>
        <v/>
      </c>
      <c r="C137" s="26" t="str">
        <f>IF($A137="","",ANAGRAFICA!$D137)</f>
        <v/>
      </c>
      <c r="D137" s="25"/>
      <c r="E137" s="24"/>
      <c r="F137" s="27" t="str">
        <f t="shared" si="4"/>
        <v/>
      </c>
      <c r="G137" s="24"/>
      <c r="H137" s="27" t="str">
        <f t="shared" si="5"/>
        <v/>
      </c>
      <c r="I137" s="28" t="str">
        <f>IFERROR(IF(OR($A137="",ANAGRAFICA!$P137="",ANAGRAFICA!$P137=0),"",(ANAGRAFICA!$P137-$H137)/ANAGRAFICA!$P137),"")</f>
        <v/>
      </c>
      <c r="J137" s="22"/>
    </row>
    <row r="138" spans="1:10" ht="15" x14ac:dyDescent="0.15">
      <c r="A138" s="26" t="str">
        <f>IF(ANAGRAFICA!$B138="","",ANAGRAFICA!$B138)</f>
        <v/>
      </c>
      <c r="B138" s="26" t="str">
        <f>IF($A138="","",ANAGRAFICA!$C138)</f>
        <v/>
      </c>
      <c r="C138" s="26" t="str">
        <f>IF($A138="","",ANAGRAFICA!$D138)</f>
        <v/>
      </c>
      <c r="D138" s="25"/>
      <c r="E138" s="24"/>
      <c r="F138" s="27" t="str">
        <f t="shared" si="4"/>
        <v/>
      </c>
      <c r="G138" s="24"/>
      <c r="H138" s="27" t="str">
        <f t="shared" si="5"/>
        <v/>
      </c>
      <c r="I138" s="28" t="str">
        <f>IFERROR(IF(OR($A138="",ANAGRAFICA!$P138="",ANAGRAFICA!$P138=0),"",(ANAGRAFICA!$P138-$H138)/ANAGRAFICA!$P138),"")</f>
        <v/>
      </c>
      <c r="J138" s="22"/>
    </row>
    <row r="139" spans="1:10" ht="15" x14ac:dyDescent="0.15">
      <c r="A139" s="26" t="str">
        <f>IF(ANAGRAFICA!$B139="","",ANAGRAFICA!$B139)</f>
        <v/>
      </c>
      <c r="B139" s="26" t="str">
        <f>IF($A139="","",ANAGRAFICA!$C139)</f>
        <v/>
      </c>
      <c r="C139" s="26" t="str">
        <f>IF($A139="","",ANAGRAFICA!$D139)</f>
        <v/>
      </c>
      <c r="D139" s="25"/>
      <c r="E139" s="24"/>
      <c r="F139" s="27" t="str">
        <f t="shared" si="4"/>
        <v/>
      </c>
      <c r="G139" s="24"/>
      <c r="H139" s="27" t="str">
        <f t="shared" si="5"/>
        <v/>
      </c>
      <c r="I139" s="28" t="str">
        <f>IFERROR(IF(OR($A139="",ANAGRAFICA!$P139="",ANAGRAFICA!$P139=0),"",(ANAGRAFICA!$P139-$H139)/ANAGRAFICA!$P139),"")</f>
        <v/>
      </c>
      <c r="J139" s="22"/>
    </row>
    <row r="140" spans="1:10" ht="15" x14ac:dyDescent="0.15">
      <c r="A140" s="26" t="str">
        <f>IF(ANAGRAFICA!$B140="","",ANAGRAFICA!$B140)</f>
        <v/>
      </c>
      <c r="B140" s="26" t="str">
        <f>IF($A140="","",ANAGRAFICA!$C140)</f>
        <v/>
      </c>
      <c r="C140" s="26" t="str">
        <f>IF($A140="","",ANAGRAFICA!$D140)</f>
        <v/>
      </c>
      <c r="D140" s="25"/>
      <c r="E140" s="24"/>
      <c r="F140" s="27" t="str">
        <f t="shared" si="4"/>
        <v/>
      </c>
      <c r="G140" s="24"/>
      <c r="H140" s="27" t="str">
        <f t="shared" si="5"/>
        <v/>
      </c>
      <c r="I140" s="28" t="str">
        <f>IFERROR(IF(OR($A140="",ANAGRAFICA!$P140="",ANAGRAFICA!$P140=0),"",(ANAGRAFICA!$P140-$H140)/ANAGRAFICA!$P140),"")</f>
        <v/>
      </c>
      <c r="J140" s="22"/>
    </row>
    <row r="141" spans="1:10" ht="15" x14ac:dyDescent="0.15">
      <c r="A141" s="26" t="str">
        <f>IF(ANAGRAFICA!$B141="","",ANAGRAFICA!$B141)</f>
        <v/>
      </c>
      <c r="B141" s="26" t="str">
        <f>IF($A141="","",ANAGRAFICA!$C141)</f>
        <v/>
      </c>
      <c r="C141" s="26" t="str">
        <f>IF($A141="","",ANAGRAFICA!$D141)</f>
        <v/>
      </c>
      <c r="D141" s="25"/>
      <c r="E141" s="24"/>
      <c r="F141" s="27" t="str">
        <f t="shared" si="4"/>
        <v/>
      </c>
      <c r="G141" s="24"/>
      <c r="H141" s="27" t="str">
        <f t="shared" si="5"/>
        <v/>
      </c>
      <c r="I141" s="28" t="str">
        <f>IFERROR(IF(OR($A141="",ANAGRAFICA!$P141="",ANAGRAFICA!$P141=0),"",(ANAGRAFICA!$P141-$H141)/ANAGRAFICA!$P141),"")</f>
        <v/>
      </c>
      <c r="J141" s="22"/>
    </row>
    <row r="142" spans="1:10" ht="15" x14ac:dyDescent="0.15">
      <c r="A142" s="26" t="str">
        <f>IF(ANAGRAFICA!$B142="","",ANAGRAFICA!$B142)</f>
        <v/>
      </c>
      <c r="B142" s="26" t="str">
        <f>IF($A142="","",ANAGRAFICA!$C142)</f>
        <v/>
      </c>
      <c r="C142" s="26" t="str">
        <f>IF($A142="","",ANAGRAFICA!$D142)</f>
        <v/>
      </c>
      <c r="D142" s="25"/>
      <c r="E142" s="24"/>
      <c r="F142" s="27" t="str">
        <f t="shared" si="4"/>
        <v/>
      </c>
      <c r="G142" s="24"/>
      <c r="H142" s="27" t="str">
        <f t="shared" si="5"/>
        <v/>
      </c>
      <c r="I142" s="28" t="str">
        <f>IFERROR(IF(OR($A142="",ANAGRAFICA!$P142="",ANAGRAFICA!$P142=0),"",(ANAGRAFICA!$P142-$H142)/ANAGRAFICA!$P142),"")</f>
        <v/>
      </c>
      <c r="J142" s="22"/>
    </row>
    <row r="143" spans="1:10" ht="15" x14ac:dyDescent="0.15">
      <c r="A143" s="26" t="str">
        <f>IF(ANAGRAFICA!$B143="","",ANAGRAFICA!$B143)</f>
        <v/>
      </c>
      <c r="B143" s="26" t="str">
        <f>IF($A143="","",ANAGRAFICA!$C143)</f>
        <v/>
      </c>
      <c r="C143" s="26" t="str">
        <f>IF($A143="","",ANAGRAFICA!$D143)</f>
        <v/>
      </c>
      <c r="D143" s="25"/>
      <c r="E143" s="24"/>
      <c r="F143" s="27" t="str">
        <f t="shared" si="4"/>
        <v/>
      </c>
      <c r="G143" s="24"/>
      <c r="H143" s="27" t="str">
        <f t="shared" si="5"/>
        <v/>
      </c>
      <c r="I143" s="28" t="str">
        <f>IFERROR(IF(OR($A143="",ANAGRAFICA!$P143="",ANAGRAFICA!$P143=0),"",(ANAGRAFICA!$P143-$H143)/ANAGRAFICA!$P143),"")</f>
        <v/>
      </c>
      <c r="J143" s="22"/>
    </row>
    <row r="144" spans="1:10" ht="15" x14ac:dyDescent="0.15">
      <c r="A144" s="26" t="str">
        <f>IF(ANAGRAFICA!$B144="","",ANAGRAFICA!$B144)</f>
        <v/>
      </c>
      <c r="B144" s="26" t="str">
        <f>IF($A144="","",ANAGRAFICA!$C144)</f>
        <v/>
      </c>
      <c r="C144" s="26" t="str">
        <f>IF($A144="","",ANAGRAFICA!$D144)</f>
        <v/>
      </c>
      <c r="D144" s="25"/>
      <c r="E144" s="24"/>
      <c r="F144" s="27" t="str">
        <f t="shared" si="4"/>
        <v/>
      </c>
      <c r="G144" s="24"/>
      <c r="H144" s="27" t="str">
        <f t="shared" si="5"/>
        <v/>
      </c>
      <c r="I144" s="28" t="str">
        <f>IFERROR(IF(OR($A144="",ANAGRAFICA!$P144="",ANAGRAFICA!$P144=0),"",(ANAGRAFICA!$P144-$H144)/ANAGRAFICA!$P144),"")</f>
        <v/>
      </c>
      <c r="J144" s="22"/>
    </row>
    <row r="145" spans="1:10" ht="15" x14ac:dyDescent="0.15">
      <c r="A145" s="26" t="str">
        <f>IF(ANAGRAFICA!$B145="","",ANAGRAFICA!$B145)</f>
        <v/>
      </c>
      <c r="B145" s="26" t="str">
        <f>IF($A145="","",ANAGRAFICA!$C145)</f>
        <v/>
      </c>
      <c r="C145" s="26" t="str">
        <f>IF($A145="","",ANAGRAFICA!$D145)</f>
        <v/>
      </c>
      <c r="D145" s="25"/>
      <c r="E145" s="24"/>
      <c r="F145" s="27" t="str">
        <f t="shared" si="4"/>
        <v/>
      </c>
      <c r="G145" s="24"/>
      <c r="H145" s="27" t="str">
        <f t="shared" si="5"/>
        <v/>
      </c>
      <c r="I145" s="28" t="str">
        <f>IFERROR(IF(OR($A145="",ANAGRAFICA!$P145="",ANAGRAFICA!$P145=0),"",(ANAGRAFICA!$P145-$H145)/ANAGRAFICA!$P145),"")</f>
        <v/>
      </c>
      <c r="J145" s="22"/>
    </row>
    <row r="146" spans="1:10" ht="15" x14ac:dyDescent="0.15">
      <c r="A146" s="26" t="str">
        <f>IF(ANAGRAFICA!$B146="","",ANAGRAFICA!$B146)</f>
        <v/>
      </c>
      <c r="B146" s="26" t="str">
        <f>IF($A146="","",ANAGRAFICA!$C146)</f>
        <v/>
      </c>
      <c r="C146" s="26" t="str">
        <f>IF($A146="","",ANAGRAFICA!$D146)</f>
        <v/>
      </c>
      <c r="D146" s="25"/>
      <c r="E146" s="24"/>
      <c r="F146" s="27" t="str">
        <f t="shared" si="4"/>
        <v/>
      </c>
      <c r="G146" s="24"/>
      <c r="H146" s="27" t="str">
        <f t="shared" si="5"/>
        <v/>
      </c>
      <c r="I146" s="28" t="str">
        <f>IFERROR(IF(OR($A146="",ANAGRAFICA!$P146="",ANAGRAFICA!$P146=0),"",(ANAGRAFICA!$P146-$H146)/ANAGRAFICA!$P146),"")</f>
        <v/>
      </c>
      <c r="J146" s="22"/>
    </row>
    <row r="147" spans="1:10" ht="15" x14ac:dyDescent="0.15">
      <c r="A147" s="26" t="str">
        <f>IF(ANAGRAFICA!$B147="","",ANAGRAFICA!$B147)</f>
        <v/>
      </c>
      <c r="B147" s="26" t="str">
        <f>IF($A147="","",ANAGRAFICA!$C147)</f>
        <v/>
      </c>
      <c r="C147" s="26" t="str">
        <f>IF($A147="","",ANAGRAFICA!$D147)</f>
        <v/>
      </c>
      <c r="D147" s="25"/>
      <c r="E147" s="24"/>
      <c r="F147" s="27" t="str">
        <f t="shared" si="4"/>
        <v/>
      </c>
      <c r="G147" s="24"/>
      <c r="H147" s="27" t="str">
        <f t="shared" si="5"/>
        <v/>
      </c>
      <c r="I147" s="28" t="str">
        <f>IFERROR(IF(OR($A147="",ANAGRAFICA!$P147="",ANAGRAFICA!$P147=0),"",(ANAGRAFICA!$P147-$H147)/ANAGRAFICA!$P147),"")</f>
        <v/>
      </c>
      <c r="J147" s="22"/>
    </row>
    <row r="148" spans="1:10" ht="15" x14ac:dyDescent="0.15">
      <c r="A148" s="26" t="str">
        <f>IF(ANAGRAFICA!$B148="","",ANAGRAFICA!$B148)</f>
        <v/>
      </c>
      <c r="B148" s="26" t="str">
        <f>IF($A148="","",ANAGRAFICA!$C148)</f>
        <v/>
      </c>
      <c r="C148" s="26" t="str">
        <f>IF($A148="","",ANAGRAFICA!$D148)</f>
        <v/>
      </c>
      <c r="D148" s="25"/>
      <c r="E148" s="24"/>
      <c r="F148" s="27" t="str">
        <f t="shared" si="4"/>
        <v/>
      </c>
      <c r="G148" s="24"/>
      <c r="H148" s="27" t="str">
        <f t="shared" si="5"/>
        <v/>
      </c>
      <c r="I148" s="28" t="str">
        <f>IFERROR(IF(OR($A148="",ANAGRAFICA!$P148="",ANAGRAFICA!$P148=0),"",(ANAGRAFICA!$P148-$H148)/ANAGRAFICA!$P148),"")</f>
        <v/>
      </c>
      <c r="J148" s="22"/>
    </row>
    <row r="149" spans="1:10" ht="15" x14ac:dyDescent="0.15">
      <c r="A149" s="26" t="str">
        <f>IF(ANAGRAFICA!$B149="","",ANAGRAFICA!$B149)</f>
        <v/>
      </c>
      <c r="B149" s="26" t="str">
        <f>IF($A149="","",ANAGRAFICA!$C149)</f>
        <v/>
      </c>
      <c r="C149" s="26" t="str">
        <f>IF($A149="","",ANAGRAFICA!$D149)</f>
        <v/>
      </c>
      <c r="D149" s="25"/>
      <c r="E149" s="24"/>
      <c r="F149" s="27" t="str">
        <f t="shared" si="4"/>
        <v/>
      </c>
      <c r="G149" s="24"/>
      <c r="H149" s="27" t="str">
        <f t="shared" si="5"/>
        <v/>
      </c>
      <c r="I149" s="28" t="str">
        <f>IFERROR(IF(OR($A149="",ANAGRAFICA!$P149="",ANAGRAFICA!$P149=0),"",(ANAGRAFICA!$P149-$H149)/ANAGRAFICA!$P149),"")</f>
        <v/>
      </c>
      <c r="J149" s="22"/>
    </row>
    <row r="150" spans="1:10" ht="15" x14ac:dyDescent="0.15">
      <c r="A150" s="26" t="str">
        <f>IF(ANAGRAFICA!$B150="","",ANAGRAFICA!$B150)</f>
        <v/>
      </c>
      <c r="B150" s="26" t="str">
        <f>IF($A150="","",ANAGRAFICA!$C150)</f>
        <v/>
      </c>
      <c r="C150" s="26" t="str">
        <f>IF($A150="","",ANAGRAFICA!$D150)</f>
        <v/>
      </c>
      <c r="D150" s="25"/>
      <c r="E150" s="24"/>
      <c r="F150" s="27" t="str">
        <f t="shared" si="4"/>
        <v/>
      </c>
      <c r="G150" s="24"/>
      <c r="H150" s="27" t="str">
        <f t="shared" si="5"/>
        <v/>
      </c>
      <c r="I150" s="28" t="str">
        <f>IFERROR(IF(OR($A150="",ANAGRAFICA!$P150="",ANAGRAFICA!$P150=0),"",(ANAGRAFICA!$P150-$H150)/ANAGRAFICA!$P150),"")</f>
        <v/>
      </c>
      <c r="J150" s="22"/>
    </row>
    <row r="151" spans="1:10" ht="15" x14ac:dyDescent="0.15">
      <c r="A151" s="26" t="str">
        <f>IF(ANAGRAFICA!$B151="","",ANAGRAFICA!$B151)</f>
        <v/>
      </c>
      <c r="B151" s="26" t="str">
        <f>IF($A151="","",ANAGRAFICA!$C151)</f>
        <v/>
      </c>
      <c r="C151" s="26" t="str">
        <f>IF($A151="","",ANAGRAFICA!$D151)</f>
        <v/>
      </c>
      <c r="D151" s="25"/>
      <c r="E151" s="24"/>
      <c r="F151" s="27" t="str">
        <f t="shared" si="4"/>
        <v/>
      </c>
      <c r="G151" s="24"/>
      <c r="H151" s="27" t="str">
        <f t="shared" si="5"/>
        <v/>
      </c>
      <c r="I151" s="28" t="str">
        <f>IFERROR(IF(OR($A151="",ANAGRAFICA!$P151="",ANAGRAFICA!$P151=0),"",(ANAGRAFICA!$P151-$H151)/ANAGRAFICA!$P151),"")</f>
        <v/>
      </c>
      <c r="J151" s="22"/>
    </row>
    <row r="152" spans="1:10" ht="15" x14ac:dyDescent="0.15">
      <c r="A152" s="26" t="str">
        <f>IF(ANAGRAFICA!$B152="","",ANAGRAFICA!$B152)</f>
        <v/>
      </c>
      <c r="B152" s="26" t="str">
        <f>IF($A152="","",ANAGRAFICA!$C152)</f>
        <v/>
      </c>
      <c r="C152" s="26" t="str">
        <f>IF($A152="","",ANAGRAFICA!$D152)</f>
        <v/>
      </c>
      <c r="D152" s="25"/>
      <c r="E152" s="24"/>
      <c r="F152" s="27" t="str">
        <f t="shared" si="4"/>
        <v/>
      </c>
      <c r="G152" s="24"/>
      <c r="H152" s="27" t="str">
        <f t="shared" si="5"/>
        <v/>
      </c>
      <c r="I152" s="28" t="str">
        <f>IFERROR(IF(OR($A152="",ANAGRAFICA!$P152="",ANAGRAFICA!$P152=0),"",(ANAGRAFICA!$P152-$H152)/ANAGRAFICA!$P152),"")</f>
        <v/>
      </c>
      <c r="J152" s="22"/>
    </row>
    <row r="153" spans="1:10" ht="15" x14ac:dyDescent="0.15">
      <c r="A153" s="26" t="str">
        <f>IF(ANAGRAFICA!$B153="","",ANAGRAFICA!$B153)</f>
        <v/>
      </c>
      <c r="B153" s="26" t="str">
        <f>IF($A153="","",ANAGRAFICA!$C153)</f>
        <v/>
      </c>
      <c r="C153" s="26" t="str">
        <f>IF($A153="","",ANAGRAFICA!$D153)</f>
        <v/>
      </c>
      <c r="D153" s="25"/>
      <c r="E153" s="24"/>
      <c r="F153" s="27" t="str">
        <f t="shared" si="4"/>
        <v/>
      </c>
      <c r="G153" s="24"/>
      <c r="H153" s="27" t="str">
        <f t="shared" si="5"/>
        <v/>
      </c>
      <c r="I153" s="28" t="str">
        <f>IFERROR(IF(OR($A153="",ANAGRAFICA!$P153="",ANAGRAFICA!$P153=0),"",(ANAGRAFICA!$P153-$H153)/ANAGRAFICA!$P153),"")</f>
        <v/>
      </c>
      <c r="J153" s="22"/>
    </row>
    <row r="154" spans="1:10" ht="15" x14ac:dyDescent="0.15">
      <c r="A154" s="26" t="str">
        <f>IF(ANAGRAFICA!$B154="","",ANAGRAFICA!$B154)</f>
        <v/>
      </c>
      <c r="B154" s="26" t="str">
        <f>IF($A154="","",ANAGRAFICA!$C154)</f>
        <v/>
      </c>
      <c r="C154" s="26" t="str">
        <f>IF($A154="","",ANAGRAFICA!$D154)</f>
        <v/>
      </c>
      <c r="D154" s="25"/>
      <c r="E154" s="24"/>
      <c r="F154" s="27" t="str">
        <f t="shared" si="4"/>
        <v/>
      </c>
      <c r="G154" s="24"/>
      <c r="H154" s="27" t="str">
        <f t="shared" si="5"/>
        <v/>
      </c>
      <c r="I154" s="28" t="str">
        <f>IFERROR(IF(OR($A154="",ANAGRAFICA!$P154="",ANAGRAFICA!$P154=0),"",(ANAGRAFICA!$P154-$H154)/ANAGRAFICA!$P154),"")</f>
        <v/>
      </c>
      <c r="J154" s="22"/>
    </row>
    <row r="155" spans="1:10" ht="15" x14ac:dyDescent="0.15">
      <c r="A155" s="26" t="str">
        <f>IF(ANAGRAFICA!$B155="","",ANAGRAFICA!$B155)</f>
        <v/>
      </c>
      <c r="B155" s="26" t="str">
        <f>IF($A155="","",ANAGRAFICA!$C155)</f>
        <v/>
      </c>
      <c r="C155" s="26" t="str">
        <f>IF($A155="","",ANAGRAFICA!$D155)</f>
        <v/>
      </c>
      <c r="D155" s="25"/>
      <c r="E155" s="24"/>
      <c r="F155" s="27" t="str">
        <f t="shared" si="4"/>
        <v/>
      </c>
      <c r="G155" s="24"/>
      <c r="H155" s="27" t="str">
        <f t="shared" si="5"/>
        <v/>
      </c>
      <c r="I155" s="28" t="str">
        <f>IFERROR(IF(OR($A155="",ANAGRAFICA!$P155="",ANAGRAFICA!$P155=0),"",(ANAGRAFICA!$P155-$H155)/ANAGRAFICA!$P155),"")</f>
        <v/>
      </c>
      <c r="J155" s="22"/>
    </row>
    <row r="156" spans="1:10" ht="15" x14ac:dyDescent="0.15">
      <c r="A156" s="26" t="str">
        <f>IF(ANAGRAFICA!$B156="","",ANAGRAFICA!$B156)</f>
        <v/>
      </c>
      <c r="B156" s="26" t="str">
        <f>IF($A156="","",ANAGRAFICA!$C156)</f>
        <v/>
      </c>
      <c r="C156" s="26" t="str">
        <f>IF($A156="","",ANAGRAFICA!$D156)</f>
        <v/>
      </c>
      <c r="D156" s="25"/>
      <c r="E156" s="24"/>
      <c r="F156" s="27" t="str">
        <f t="shared" si="4"/>
        <v/>
      </c>
      <c r="G156" s="24"/>
      <c r="H156" s="27" t="str">
        <f t="shared" si="5"/>
        <v/>
      </c>
      <c r="I156" s="28" t="str">
        <f>IFERROR(IF(OR($A156="",ANAGRAFICA!$P156="",ANAGRAFICA!$P156=0),"",(ANAGRAFICA!$P156-$H156)/ANAGRAFICA!$P156),"")</f>
        <v/>
      </c>
      <c r="J156" s="22"/>
    </row>
    <row r="157" spans="1:10" ht="15" x14ac:dyDescent="0.15">
      <c r="A157" s="26" t="str">
        <f>IF(ANAGRAFICA!$B157="","",ANAGRAFICA!$B157)</f>
        <v/>
      </c>
      <c r="B157" s="26" t="str">
        <f>IF($A157="","",ANAGRAFICA!$C157)</f>
        <v/>
      </c>
      <c r="C157" s="26" t="str">
        <f>IF($A157="","",ANAGRAFICA!$D157)</f>
        <v/>
      </c>
      <c r="D157" s="25"/>
      <c r="E157" s="24"/>
      <c r="F157" s="27" t="str">
        <f t="shared" si="4"/>
        <v/>
      </c>
      <c r="G157" s="24"/>
      <c r="H157" s="27" t="str">
        <f t="shared" si="5"/>
        <v/>
      </c>
      <c r="I157" s="28" t="str">
        <f>IFERROR(IF(OR($A157="",ANAGRAFICA!$P157="",ANAGRAFICA!$P157=0),"",(ANAGRAFICA!$P157-$H157)/ANAGRAFICA!$P157),"")</f>
        <v/>
      </c>
      <c r="J157" s="22"/>
    </row>
    <row r="158" spans="1:10" ht="15" x14ac:dyDescent="0.15">
      <c r="A158" s="26" t="str">
        <f>IF(ANAGRAFICA!$B158="","",ANAGRAFICA!$B158)</f>
        <v/>
      </c>
      <c r="B158" s="26" t="str">
        <f>IF($A158="","",ANAGRAFICA!$C158)</f>
        <v/>
      </c>
      <c r="C158" s="26" t="str">
        <f>IF($A158="","",ANAGRAFICA!$D158)</f>
        <v/>
      </c>
      <c r="D158" s="25"/>
      <c r="E158" s="24"/>
      <c r="F158" s="27" t="str">
        <f t="shared" si="4"/>
        <v/>
      </c>
      <c r="G158" s="24"/>
      <c r="H158" s="27" t="str">
        <f t="shared" si="5"/>
        <v/>
      </c>
      <c r="I158" s="28" t="str">
        <f>IFERROR(IF(OR($A158="",ANAGRAFICA!$P158="",ANAGRAFICA!$P158=0),"",(ANAGRAFICA!$P158-$H158)/ANAGRAFICA!$P158),"")</f>
        <v/>
      </c>
      <c r="J158" s="22"/>
    </row>
    <row r="159" spans="1:10" ht="15" x14ac:dyDescent="0.15">
      <c r="A159" s="26" t="str">
        <f>IF(ANAGRAFICA!$B159="","",ANAGRAFICA!$B159)</f>
        <v/>
      </c>
      <c r="B159" s="26" t="str">
        <f>IF($A159="","",ANAGRAFICA!$C159)</f>
        <v/>
      </c>
      <c r="C159" s="26" t="str">
        <f>IF($A159="","",ANAGRAFICA!$D159)</f>
        <v/>
      </c>
      <c r="D159" s="25"/>
      <c r="E159" s="24"/>
      <c r="F159" s="27" t="str">
        <f t="shared" si="4"/>
        <v/>
      </c>
      <c r="G159" s="24"/>
      <c r="H159" s="27" t="str">
        <f t="shared" si="5"/>
        <v/>
      </c>
      <c r="I159" s="28" t="str">
        <f>IFERROR(IF(OR($A159="",ANAGRAFICA!$P159="",ANAGRAFICA!$P159=0),"",(ANAGRAFICA!$P159-$H159)/ANAGRAFICA!$P159),"")</f>
        <v/>
      </c>
      <c r="J159" s="22"/>
    </row>
    <row r="160" spans="1:10" ht="15" x14ac:dyDescent="0.15">
      <c r="A160" s="26" t="str">
        <f>IF(ANAGRAFICA!$B160="","",ANAGRAFICA!$B160)</f>
        <v/>
      </c>
      <c r="B160" s="26" t="str">
        <f>IF($A160="","",ANAGRAFICA!$C160)</f>
        <v/>
      </c>
      <c r="C160" s="26" t="str">
        <f>IF($A160="","",ANAGRAFICA!$D160)</f>
        <v/>
      </c>
      <c r="D160" s="25"/>
      <c r="E160" s="24"/>
      <c r="F160" s="27" t="str">
        <f t="shared" si="4"/>
        <v/>
      </c>
      <c r="G160" s="24"/>
      <c r="H160" s="27" t="str">
        <f t="shared" si="5"/>
        <v/>
      </c>
      <c r="I160" s="28" t="str">
        <f>IFERROR(IF(OR($A160="",ANAGRAFICA!$P160="",ANAGRAFICA!$P160=0),"",(ANAGRAFICA!$P160-$H160)/ANAGRAFICA!$P160),"")</f>
        <v/>
      </c>
      <c r="J160" s="22"/>
    </row>
    <row r="161" spans="1:10" ht="15" x14ac:dyDescent="0.15">
      <c r="A161" s="26" t="str">
        <f>IF(ANAGRAFICA!$B161="","",ANAGRAFICA!$B161)</f>
        <v/>
      </c>
      <c r="B161" s="26" t="str">
        <f>IF($A161="","",ANAGRAFICA!$C161)</f>
        <v/>
      </c>
      <c r="C161" s="26" t="str">
        <f>IF($A161="","",ANAGRAFICA!$D161)</f>
        <v/>
      </c>
      <c r="D161" s="25"/>
      <c r="E161" s="24"/>
      <c r="F161" s="27" t="str">
        <f t="shared" si="4"/>
        <v/>
      </c>
      <c r="G161" s="24"/>
      <c r="H161" s="27" t="str">
        <f t="shared" si="5"/>
        <v/>
      </c>
      <c r="I161" s="28" t="str">
        <f>IFERROR(IF(OR($A161="",ANAGRAFICA!$P161="",ANAGRAFICA!$P161=0),"",(ANAGRAFICA!$P161-$H161)/ANAGRAFICA!$P161),"")</f>
        <v/>
      </c>
      <c r="J161" s="22"/>
    </row>
    <row r="162" spans="1:10" ht="15" x14ac:dyDescent="0.15">
      <c r="A162" s="26" t="str">
        <f>IF(ANAGRAFICA!$B162="","",ANAGRAFICA!$B162)</f>
        <v/>
      </c>
      <c r="B162" s="26" t="str">
        <f>IF($A162="","",ANAGRAFICA!$C162)</f>
        <v/>
      </c>
      <c r="C162" s="26" t="str">
        <f>IF($A162="","",ANAGRAFICA!$D162)</f>
        <v/>
      </c>
      <c r="D162" s="25"/>
      <c r="E162" s="24"/>
      <c r="F162" s="27" t="str">
        <f t="shared" si="4"/>
        <v/>
      </c>
      <c r="G162" s="24"/>
      <c r="H162" s="27" t="str">
        <f t="shared" si="5"/>
        <v/>
      </c>
      <c r="I162" s="28" t="str">
        <f>IFERROR(IF(OR($A162="",ANAGRAFICA!$P162="",ANAGRAFICA!$P162=0),"",(ANAGRAFICA!$P162-$H162)/ANAGRAFICA!$P162),"")</f>
        <v/>
      </c>
      <c r="J162" s="22"/>
    </row>
    <row r="163" spans="1:10" ht="15" x14ac:dyDescent="0.15">
      <c r="A163" s="26" t="str">
        <f>IF(ANAGRAFICA!$B163="","",ANAGRAFICA!$B163)</f>
        <v/>
      </c>
      <c r="B163" s="26" t="str">
        <f>IF($A163="","",ANAGRAFICA!$C163)</f>
        <v/>
      </c>
      <c r="C163" s="26" t="str">
        <f>IF($A163="","",ANAGRAFICA!$D163)</f>
        <v/>
      </c>
      <c r="D163" s="25"/>
      <c r="E163" s="24"/>
      <c r="F163" s="27" t="str">
        <f t="shared" si="4"/>
        <v/>
      </c>
      <c r="G163" s="24"/>
      <c r="H163" s="27" t="str">
        <f t="shared" si="5"/>
        <v/>
      </c>
      <c r="I163" s="28" t="str">
        <f>IFERROR(IF(OR($A163="",ANAGRAFICA!$P163="",ANAGRAFICA!$P163=0),"",(ANAGRAFICA!$P163-$H163)/ANAGRAFICA!$P163),"")</f>
        <v/>
      </c>
      <c r="J163" s="22"/>
    </row>
    <row r="164" spans="1:10" ht="15" x14ac:dyDescent="0.15">
      <c r="A164" s="26" t="str">
        <f>IF(ANAGRAFICA!$B164="","",ANAGRAFICA!$B164)</f>
        <v/>
      </c>
      <c r="B164" s="26" t="str">
        <f>IF($A164="","",ANAGRAFICA!$C164)</f>
        <v/>
      </c>
      <c r="C164" s="26" t="str">
        <f>IF($A164="","",ANAGRAFICA!$D164)</f>
        <v/>
      </c>
      <c r="D164" s="25"/>
      <c r="E164" s="24"/>
      <c r="F164" s="27" t="str">
        <f t="shared" si="4"/>
        <v/>
      </c>
      <c r="G164" s="24"/>
      <c r="H164" s="27" t="str">
        <f t="shared" si="5"/>
        <v/>
      </c>
      <c r="I164" s="28" t="str">
        <f>IFERROR(IF(OR($A164="",ANAGRAFICA!$P164="",ANAGRAFICA!$P164=0),"",(ANAGRAFICA!$P164-$H164)/ANAGRAFICA!$P164),"")</f>
        <v/>
      </c>
      <c r="J164" s="22"/>
    </row>
    <row r="165" spans="1:10" ht="15" x14ac:dyDescent="0.15">
      <c r="A165" s="26" t="str">
        <f>IF(ANAGRAFICA!$B165="","",ANAGRAFICA!$B165)</f>
        <v/>
      </c>
      <c r="B165" s="26" t="str">
        <f>IF($A165="","",ANAGRAFICA!$C165)</f>
        <v/>
      </c>
      <c r="C165" s="26" t="str">
        <f>IF($A165="","",ANAGRAFICA!$D165)</f>
        <v/>
      </c>
      <c r="D165" s="25"/>
      <c r="E165" s="24"/>
      <c r="F165" s="27" t="str">
        <f t="shared" si="4"/>
        <v/>
      </c>
      <c r="G165" s="24"/>
      <c r="H165" s="27" t="str">
        <f t="shared" si="5"/>
        <v/>
      </c>
      <c r="I165" s="28" t="str">
        <f>IFERROR(IF(OR($A165="",ANAGRAFICA!$P165="",ANAGRAFICA!$P165=0),"",(ANAGRAFICA!$P165-$H165)/ANAGRAFICA!$P165),"")</f>
        <v/>
      </c>
      <c r="J165" s="22"/>
    </row>
    <row r="166" spans="1:10" ht="15" x14ac:dyDescent="0.15">
      <c r="A166" s="26" t="str">
        <f>IF(ANAGRAFICA!$B166="","",ANAGRAFICA!$B166)</f>
        <v/>
      </c>
      <c r="B166" s="26" t="str">
        <f>IF($A166="","",ANAGRAFICA!$C166)</f>
        <v/>
      </c>
      <c r="C166" s="26" t="str">
        <f>IF($A166="","",ANAGRAFICA!$D166)</f>
        <v/>
      </c>
      <c r="D166" s="25"/>
      <c r="E166" s="24"/>
      <c r="F166" s="27" t="str">
        <f t="shared" si="4"/>
        <v/>
      </c>
      <c r="G166" s="24"/>
      <c r="H166" s="27" t="str">
        <f t="shared" si="5"/>
        <v/>
      </c>
      <c r="I166" s="28" t="str">
        <f>IFERROR(IF(OR($A166="",ANAGRAFICA!$P166="",ANAGRAFICA!$P166=0),"",(ANAGRAFICA!$P166-$H166)/ANAGRAFICA!$P166),"")</f>
        <v/>
      </c>
      <c r="J166" s="22"/>
    </row>
    <row r="167" spans="1:10" ht="15" x14ac:dyDescent="0.15">
      <c r="A167" s="26" t="str">
        <f>IF(ANAGRAFICA!$B167="","",ANAGRAFICA!$B167)</f>
        <v/>
      </c>
      <c r="B167" s="26" t="str">
        <f>IF($A167="","",ANAGRAFICA!$C167)</f>
        <v/>
      </c>
      <c r="C167" s="26" t="str">
        <f>IF($A167="","",ANAGRAFICA!$D167)</f>
        <v/>
      </c>
      <c r="D167" s="25"/>
      <c r="E167" s="24"/>
      <c r="F167" s="27" t="str">
        <f t="shared" si="4"/>
        <v/>
      </c>
      <c r="G167" s="24"/>
      <c r="H167" s="27" t="str">
        <f t="shared" si="5"/>
        <v/>
      </c>
      <c r="I167" s="28" t="str">
        <f>IFERROR(IF(OR($A167="",ANAGRAFICA!$P167="",ANAGRAFICA!$P167=0),"",(ANAGRAFICA!$P167-$H167)/ANAGRAFICA!$P167),"")</f>
        <v/>
      </c>
      <c r="J167" s="22"/>
    </row>
    <row r="168" spans="1:10" ht="15" x14ac:dyDescent="0.15">
      <c r="A168" s="26" t="str">
        <f>IF(ANAGRAFICA!$B168="","",ANAGRAFICA!$B168)</f>
        <v/>
      </c>
      <c r="B168" s="26" t="str">
        <f>IF($A168="","",ANAGRAFICA!$C168)</f>
        <v/>
      </c>
      <c r="C168" s="26" t="str">
        <f>IF($A168="","",ANAGRAFICA!$D168)</f>
        <v/>
      </c>
      <c r="D168" s="25"/>
      <c r="E168" s="24"/>
      <c r="F168" s="27" t="str">
        <f t="shared" si="4"/>
        <v/>
      </c>
      <c r="G168" s="24"/>
      <c r="H168" s="27" t="str">
        <f t="shared" si="5"/>
        <v/>
      </c>
      <c r="I168" s="28" t="str">
        <f>IFERROR(IF(OR($A168="",ANAGRAFICA!$P168="",ANAGRAFICA!$P168=0),"",(ANAGRAFICA!$P168-$H168)/ANAGRAFICA!$P168),"")</f>
        <v/>
      </c>
      <c r="J168" s="22"/>
    </row>
    <row r="169" spans="1:10" ht="15" x14ac:dyDescent="0.15">
      <c r="A169" s="26" t="str">
        <f>IF(ANAGRAFICA!$B169="","",ANAGRAFICA!$B169)</f>
        <v/>
      </c>
      <c r="B169" s="26" t="str">
        <f>IF($A169="","",ANAGRAFICA!$C169)</f>
        <v/>
      </c>
      <c r="C169" s="26" t="str">
        <f>IF($A169="","",ANAGRAFICA!$D169)</f>
        <v/>
      </c>
      <c r="D169" s="25"/>
      <c r="E169" s="24"/>
      <c r="F169" s="27" t="str">
        <f t="shared" si="4"/>
        <v/>
      </c>
      <c r="G169" s="24"/>
      <c r="H169" s="27" t="str">
        <f t="shared" si="5"/>
        <v/>
      </c>
      <c r="I169" s="28" t="str">
        <f>IFERROR(IF(OR($A169="",ANAGRAFICA!$P169="",ANAGRAFICA!$P169=0),"",(ANAGRAFICA!$P169-$H169)/ANAGRAFICA!$P169),"")</f>
        <v/>
      </c>
      <c r="J169" s="22"/>
    </row>
    <row r="170" spans="1:10" ht="15" x14ac:dyDescent="0.15">
      <c r="A170" s="26" t="str">
        <f>IF(ANAGRAFICA!$B170="","",ANAGRAFICA!$B170)</f>
        <v/>
      </c>
      <c r="B170" s="26" t="str">
        <f>IF($A170="","",ANAGRAFICA!$C170)</f>
        <v/>
      </c>
      <c r="C170" s="26" t="str">
        <f>IF($A170="","",ANAGRAFICA!$D170)</f>
        <v/>
      </c>
      <c r="D170" s="25"/>
      <c r="E170" s="24"/>
      <c r="F170" s="27" t="str">
        <f t="shared" si="4"/>
        <v/>
      </c>
      <c r="G170" s="24"/>
      <c r="H170" s="27" t="str">
        <f t="shared" si="5"/>
        <v/>
      </c>
      <c r="I170" s="28" t="str">
        <f>IFERROR(IF(OR($A170="",ANAGRAFICA!$P170="",ANAGRAFICA!$P170=0),"",(ANAGRAFICA!$P170-$H170)/ANAGRAFICA!$P170),"")</f>
        <v/>
      </c>
      <c r="J170" s="22"/>
    </row>
    <row r="171" spans="1:10" ht="15" x14ac:dyDescent="0.15">
      <c r="A171" s="26" t="str">
        <f>IF(ANAGRAFICA!$B171="","",ANAGRAFICA!$B171)</f>
        <v/>
      </c>
      <c r="B171" s="26" t="str">
        <f>IF($A171="","",ANAGRAFICA!$C171)</f>
        <v/>
      </c>
      <c r="C171" s="26" t="str">
        <f>IF($A171="","",ANAGRAFICA!$D171)</f>
        <v/>
      </c>
      <c r="D171" s="25"/>
      <c r="E171" s="24"/>
      <c r="F171" s="27" t="str">
        <f t="shared" si="4"/>
        <v/>
      </c>
      <c r="G171" s="24"/>
      <c r="H171" s="27" t="str">
        <f t="shared" si="5"/>
        <v/>
      </c>
      <c r="I171" s="28" t="str">
        <f>IFERROR(IF(OR($A171="",ANAGRAFICA!$P171="",ANAGRAFICA!$P171=0),"",(ANAGRAFICA!$P171-$H171)/ANAGRAFICA!$P171),"")</f>
        <v/>
      </c>
      <c r="J171" s="22"/>
    </row>
    <row r="172" spans="1:10" ht="15" x14ac:dyDescent="0.15">
      <c r="A172" s="26" t="str">
        <f>IF(ANAGRAFICA!$B172="","",ANAGRAFICA!$B172)</f>
        <v/>
      </c>
      <c r="B172" s="26" t="str">
        <f>IF($A172="","",ANAGRAFICA!$C172)</f>
        <v/>
      </c>
      <c r="C172" s="26" t="str">
        <f>IF($A172="","",ANAGRAFICA!$D172)</f>
        <v/>
      </c>
      <c r="D172" s="25"/>
      <c r="E172" s="24"/>
      <c r="F172" s="27" t="str">
        <f t="shared" si="4"/>
        <v/>
      </c>
      <c r="G172" s="24"/>
      <c r="H172" s="27" t="str">
        <f t="shared" si="5"/>
        <v/>
      </c>
      <c r="I172" s="28" t="str">
        <f>IFERROR(IF(OR($A172="",ANAGRAFICA!$P172="",ANAGRAFICA!$P172=0),"",(ANAGRAFICA!$P172-$H172)/ANAGRAFICA!$P172),"")</f>
        <v/>
      </c>
      <c r="J172" s="22"/>
    </row>
    <row r="173" spans="1:10" ht="15" x14ac:dyDescent="0.15">
      <c r="A173" s="26" t="str">
        <f>IF(ANAGRAFICA!$B173="","",ANAGRAFICA!$B173)</f>
        <v/>
      </c>
      <c r="B173" s="26" t="str">
        <f>IF($A173="","",ANAGRAFICA!$C173)</f>
        <v/>
      </c>
      <c r="C173" s="26" t="str">
        <f>IF($A173="","",ANAGRAFICA!$D173)</f>
        <v/>
      </c>
      <c r="D173" s="25"/>
      <c r="E173" s="24"/>
      <c r="F173" s="27" t="str">
        <f t="shared" si="4"/>
        <v/>
      </c>
      <c r="G173" s="24"/>
      <c r="H173" s="27" t="str">
        <f t="shared" si="5"/>
        <v/>
      </c>
      <c r="I173" s="28" t="str">
        <f>IFERROR(IF(OR($A173="",ANAGRAFICA!$P173="",ANAGRAFICA!$P173=0),"",(ANAGRAFICA!$P173-$H173)/ANAGRAFICA!$P173),"")</f>
        <v/>
      </c>
      <c r="J173" s="22"/>
    </row>
    <row r="174" spans="1:10" ht="15" x14ac:dyDescent="0.15">
      <c r="A174" s="26" t="str">
        <f>IF(ANAGRAFICA!$B174="","",ANAGRAFICA!$B174)</f>
        <v/>
      </c>
      <c r="B174" s="26" t="str">
        <f>IF($A174="","",ANAGRAFICA!$C174)</f>
        <v/>
      </c>
      <c r="C174" s="26" t="str">
        <f>IF($A174="","",ANAGRAFICA!$D174)</f>
        <v/>
      </c>
      <c r="D174" s="25"/>
      <c r="E174" s="24"/>
      <c r="F174" s="27" t="str">
        <f t="shared" si="4"/>
        <v/>
      </c>
      <c r="G174" s="24"/>
      <c r="H174" s="27" t="str">
        <f t="shared" si="5"/>
        <v/>
      </c>
      <c r="I174" s="28" t="str">
        <f>IFERROR(IF(OR($A174="",ANAGRAFICA!$P174="",ANAGRAFICA!$P174=0),"",(ANAGRAFICA!$P174-$H174)/ANAGRAFICA!$P174),"")</f>
        <v/>
      </c>
      <c r="J174" s="22"/>
    </row>
    <row r="175" spans="1:10" ht="15" x14ac:dyDescent="0.15">
      <c r="A175" s="26" t="str">
        <f>IF(ANAGRAFICA!$B175="","",ANAGRAFICA!$B175)</f>
        <v/>
      </c>
      <c r="B175" s="26" t="str">
        <f>IF($A175="","",ANAGRAFICA!$C175)</f>
        <v/>
      </c>
      <c r="C175" s="26" t="str">
        <f>IF($A175="","",ANAGRAFICA!$D175)</f>
        <v/>
      </c>
      <c r="D175" s="25"/>
      <c r="E175" s="24"/>
      <c r="F175" s="27" t="str">
        <f t="shared" si="4"/>
        <v/>
      </c>
      <c r="G175" s="24"/>
      <c r="H175" s="27" t="str">
        <f t="shared" si="5"/>
        <v/>
      </c>
      <c r="I175" s="28" t="str">
        <f>IFERROR(IF(OR($A175="",ANAGRAFICA!$P175="",ANAGRAFICA!$P175=0),"",(ANAGRAFICA!$P175-$H175)/ANAGRAFICA!$P175),"")</f>
        <v/>
      </c>
      <c r="J175" s="22"/>
    </row>
    <row r="176" spans="1:10" ht="15" x14ac:dyDescent="0.15">
      <c r="A176" s="26" t="str">
        <f>IF(ANAGRAFICA!$B176="","",ANAGRAFICA!$B176)</f>
        <v/>
      </c>
      <c r="B176" s="26" t="str">
        <f>IF($A176="","",ANAGRAFICA!$C176)</f>
        <v/>
      </c>
      <c r="C176" s="26" t="str">
        <f>IF($A176="","",ANAGRAFICA!$D176)</f>
        <v/>
      </c>
      <c r="D176" s="25"/>
      <c r="E176" s="24"/>
      <c r="F176" s="27" t="str">
        <f t="shared" si="4"/>
        <v/>
      </c>
      <c r="G176" s="24"/>
      <c r="H176" s="27" t="str">
        <f t="shared" si="5"/>
        <v/>
      </c>
      <c r="I176" s="28" t="str">
        <f>IFERROR(IF(OR($A176="",ANAGRAFICA!$P176="",ANAGRAFICA!$P176=0),"",(ANAGRAFICA!$P176-$H176)/ANAGRAFICA!$P176),"")</f>
        <v/>
      </c>
      <c r="J176" s="22"/>
    </row>
    <row r="177" spans="1:10" ht="15" x14ac:dyDescent="0.15">
      <c r="A177" s="26" t="str">
        <f>IF(ANAGRAFICA!$B177="","",ANAGRAFICA!$B177)</f>
        <v/>
      </c>
      <c r="B177" s="26" t="str">
        <f>IF($A177="","",ANAGRAFICA!$C177)</f>
        <v/>
      </c>
      <c r="C177" s="26" t="str">
        <f>IF($A177="","",ANAGRAFICA!$D177)</f>
        <v/>
      </c>
      <c r="D177" s="25"/>
      <c r="E177" s="24"/>
      <c r="F177" s="27" t="str">
        <f t="shared" si="4"/>
        <v/>
      </c>
      <c r="G177" s="24"/>
      <c r="H177" s="27" t="str">
        <f t="shared" si="5"/>
        <v/>
      </c>
      <c r="I177" s="28" t="str">
        <f>IFERROR(IF(OR($A177="",ANAGRAFICA!$P177="",ANAGRAFICA!$P177=0),"",(ANAGRAFICA!$P177-$H177)/ANAGRAFICA!$P177),"")</f>
        <v/>
      </c>
      <c r="J177" s="22"/>
    </row>
    <row r="178" spans="1:10" ht="15" x14ac:dyDescent="0.15">
      <c r="A178" s="26" t="str">
        <f>IF(ANAGRAFICA!$B178="","",ANAGRAFICA!$B178)</f>
        <v/>
      </c>
      <c r="B178" s="26" t="str">
        <f>IF($A178="","",ANAGRAFICA!$C178)</f>
        <v/>
      </c>
      <c r="C178" s="26" t="str">
        <f>IF($A178="","",ANAGRAFICA!$D178)</f>
        <v/>
      </c>
      <c r="D178" s="25"/>
      <c r="E178" s="24"/>
      <c r="F178" s="27" t="str">
        <f t="shared" si="4"/>
        <v/>
      </c>
      <c r="G178" s="24"/>
      <c r="H178" s="27" t="str">
        <f t="shared" si="5"/>
        <v/>
      </c>
      <c r="I178" s="28" t="str">
        <f>IFERROR(IF(OR($A178="",ANAGRAFICA!$P178="",ANAGRAFICA!$P178=0),"",(ANAGRAFICA!$P178-$H178)/ANAGRAFICA!$P178),"")</f>
        <v/>
      </c>
      <c r="J178" s="22"/>
    </row>
    <row r="179" spans="1:10" ht="15" x14ac:dyDescent="0.15">
      <c r="A179" s="26" t="str">
        <f>IF(ANAGRAFICA!$B179="","",ANAGRAFICA!$B179)</f>
        <v/>
      </c>
      <c r="B179" s="26" t="str">
        <f>IF($A179="","",ANAGRAFICA!$C179)</f>
        <v/>
      </c>
      <c r="C179" s="26" t="str">
        <f>IF($A179="","",ANAGRAFICA!$D179)</f>
        <v/>
      </c>
      <c r="D179" s="25"/>
      <c r="E179" s="24"/>
      <c r="F179" s="27" t="str">
        <f t="shared" si="4"/>
        <v/>
      </c>
      <c r="G179" s="24"/>
      <c r="H179" s="27" t="str">
        <f t="shared" si="5"/>
        <v/>
      </c>
      <c r="I179" s="28" t="str">
        <f>IFERROR(IF(OR($A179="",ANAGRAFICA!$P179="",ANAGRAFICA!$P179=0),"",(ANAGRAFICA!$P179-$H179)/ANAGRAFICA!$P179),"")</f>
        <v/>
      </c>
      <c r="J179" s="22"/>
    </row>
    <row r="180" spans="1:10" ht="15" x14ac:dyDescent="0.15">
      <c r="A180" s="26" t="str">
        <f>IF(ANAGRAFICA!$B180="","",ANAGRAFICA!$B180)</f>
        <v/>
      </c>
      <c r="B180" s="26" t="str">
        <f>IF($A180="","",ANAGRAFICA!$C180)</f>
        <v/>
      </c>
      <c r="C180" s="26" t="str">
        <f>IF($A180="","",ANAGRAFICA!$D180)</f>
        <v/>
      </c>
      <c r="D180" s="25"/>
      <c r="E180" s="24"/>
      <c r="F180" s="27" t="str">
        <f t="shared" si="4"/>
        <v/>
      </c>
      <c r="G180" s="24"/>
      <c r="H180" s="27" t="str">
        <f t="shared" si="5"/>
        <v/>
      </c>
      <c r="I180" s="28" t="str">
        <f>IFERROR(IF(OR($A180="",ANAGRAFICA!$P180="",ANAGRAFICA!$P180=0),"",(ANAGRAFICA!$P180-$H180)/ANAGRAFICA!$P180),"")</f>
        <v/>
      </c>
      <c r="J180" s="22"/>
    </row>
    <row r="181" spans="1:10" ht="15" x14ac:dyDescent="0.15">
      <c r="A181" s="26" t="str">
        <f>IF(ANAGRAFICA!$B181="","",ANAGRAFICA!$B181)</f>
        <v/>
      </c>
      <c r="B181" s="26" t="str">
        <f>IF($A181="","",ANAGRAFICA!$C181)</f>
        <v/>
      </c>
      <c r="C181" s="26" t="str">
        <f>IF($A181="","",ANAGRAFICA!$D181)</f>
        <v/>
      </c>
      <c r="D181" s="25"/>
      <c r="E181" s="24"/>
      <c r="F181" s="27" t="str">
        <f t="shared" si="4"/>
        <v/>
      </c>
      <c r="G181" s="24"/>
      <c r="H181" s="27" t="str">
        <f t="shared" si="5"/>
        <v/>
      </c>
      <c r="I181" s="28" t="str">
        <f>IFERROR(IF(OR($A181="",ANAGRAFICA!$P181="",ANAGRAFICA!$P181=0),"",(ANAGRAFICA!$P181-$H181)/ANAGRAFICA!$P181),"")</f>
        <v/>
      </c>
      <c r="J181" s="22"/>
    </row>
    <row r="182" spans="1:10" ht="15" x14ac:dyDescent="0.15">
      <c r="A182" s="26" t="str">
        <f>IF(ANAGRAFICA!$B182="","",ANAGRAFICA!$B182)</f>
        <v/>
      </c>
      <c r="B182" s="26" t="str">
        <f>IF($A182="","",ANAGRAFICA!$C182)</f>
        <v/>
      </c>
      <c r="C182" s="26" t="str">
        <f>IF($A182="","",ANAGRAFICA!$D182)</f>
        <v/>
      </c>
      <c r="D182" s="25"/>
      <c r="E182" s="24"/>
      <c r="F182" s="27" t="str">
        <f t="shared" si="4"/>
        <v/>
      </c>
      <c r="G182" s="24"/>
      <c r="H182" s="27" t="str">
        <f t="shared" si="5"/>
        <v/>
      </c>
      <c r="I182" s="28" t="str">
        <f>IFERROR(IF(OR($A182="",ANAGRAFICA!$P182="",ANAGRAFICA!$P182=0),"",(ANAGRAFICA!$P182-$H182)/ANAGRAFICA!$P182),"")</f>
        <v/>
      </c>
      <c r="J182" s="22"/>
    </row>
    <row r="183" spans="1:10" ht="15" x14ac:dyDescent="0.15">
      <c r="A183" s="26" t="str">
        <f>IF(ANAGRAFICA!$B183="","",ANAGRAFICA!$B183)</f>
        <v/>
      </c>
      <c r="B183" s="26" t="str">
        <f>IF($A183="","",ANAGRAFICA!$C183)</f>
        <v/>
      </c>
      <c r="C183" s="26" t="str">
        <f>IF($A183="","",ANAGRAFICA!$D183)</f>
        <v/>
      </c>
      <c r="D183" s="25"/>
      <c r="E183" s="24"/>
      <c r="F183" s="27" t="str">
        <f t="shared" si="4"/>
        <v/>
      </c>
      <c r="G183" s="24"/>
      <c r="H183" s="27" t="str">
        <f t="shared" si="5"/>
        <v/>
      </c>
      <c r="I183" s="28" t="str">
        <f>IFERROR(IF(OR($A183="",ANAGRAFICA!$P183="",ANAGRAFICA!$P183=0),"",(ANAGRAFICA!$P183-$H183)/ANAGRAFICA!$P183),"")</f>
        <v/>
      </c>
      <c r="J183" s="22"/>
    </row>
    <row r="184" spans="1:10" ht="15" x14ac:dyDescent="0.15">
      <c r="A184" s="26" t="str">
        <f>IF(ANAGRAFICA!$B184="","",ANAGRAFICA!$B184)</f>
        <v/>
      </c>
      <c r="B184" s="26" t="str">
        <f>IF($A184="","",ANAGRAFICA!$C184)</f>
        <v/>
      </c>
      <c r="C184" s="26" t="str">
        <f>IF($A184="","",ANAGRAFICA!$D184)</f>
        <v/>
      </c>
      <c r="D184" s="25"/>
      <c r="E184" s="24"/>
      <c r="F184" s="27" t="str">
        <f t="shared" si="4"/>
        <v/>
      </c>
      <c r="G184" s="24"/>
      <c r="H184" s="27" t="str">
        <f t="shared" si="5"/>
        <v/>
      </c>
      <c r="I184" s="28" t="str">
        <f>IFERROR(IF(OR($A184="",ANAGRAFICA!$P184="",ANAGRAFICA!$P184=0),"",(ANAGRAFICA!$P184-$H184)/ANAGRAFICA!$P184),"")</f>
        <v/>
      </c>
      <c r="J184" s="22"/>
    </row>
    <row r="185" spans="1:10" ht="15" x14ac:dyDescent="0.15">
      <c r="A185" s="26" t="str">
        <f>IF(ANAGRAFICA!$B185="","",ANAGRAFICA!$B185)</f>
        <v/>
      </c>
      <c r="B185" s="26" t="str">
        <f>IF($A185="","",ANAGRAFICA!$C185)</f>
        <v/>
      </c>
      <c r="C185" s="26" t="str">
        <f>IF($A185="","",ANAGRAFICA!$D185)</f>
        <v/>
      </c>
      <c r="D185" s="25"/>
      <c r="E185" s="24"/>
      <c r="F185" s="27" t="str">
        <f t="shared" si="4"/>
        <v/>
      </c>
      <c r="G185" s="24"/>
      <c r="H185" s="27" t="str">
        <f t="shared" si="5"/>
        <v/>
      </c>
      <c r="I185" s="28" t="str">
        <f>IFERROR(IF(OR($A185="",ANAGRAFICA!$P185="",ANAGRAFICA!$P185=0),"",(ANAGRAFICA!$P185-$H185)/ANAGRAFICA!$P185),"")</f>
        <v/>
      </c>
      <c r="J185" s="22"/>
    </row>
    <row r="186" spans="1:10" ht="15" x14ac:dyDescent="0.15">
      <c r="A186" s="26" t="str">
        <f>IF(ANAGRAFICA!$B186="","",ANAGRAFICA!$B186)</f>
        <v/>
      </c>
      <c r="B186" s="26" t="str">
        <f>IF($A186="","",ANAGRAFICA!$C186)</f>
        <v/>
      </c>
      <c r="C186" s="26" t="str">
        <f>IF($A186="","",ANAGRAFICA!$D186)</f>
        <v/>
      </c>
      <c r="D186" s="25"/>
      <c r="E186" s="24"/>
      <c r="F186" s="27" t="str">
        <f t="shared" si="4"/>
        <v/>
      </c>
      <c r="G186" s="24"/>
      <c r="H186" s="27" t="str">
        <f t="shared" si="5"/>
        <v/>
      </c>
      <c r="I186" s="28" t="str">
        <f>IFERROR(IF(OR($A186="",ANAGRAFICA!$P186="",ANAGRAFICA!$P186=0),"",(ANAGRAFICA!$P186-$H186)/ANAGRAFICA!$P186),"")</f>
        <v/>
      </c>
      <c r="J186" s="22"/>
    </row>
    <row r="187" spans="1:10" ht="15" x14ac:dyDescent="0.15">
      <c r="A187" s="26" t="str">
        <f>IF(ANAGRAFICA!$B187="","",ANAGRAFICA!$B187)</f>
        <v/>
      </c>
      <c r="B187" s="26" t="str">
        <f>IF($A187="","",ANAGRAFICA!$C187)</f>
        <v/>
      </c>
      <c r="C187" s="26" t="str">
        <f>IF($A187="","",ANAGRAFICA!$D187)</f>
        <v/>
      </c>
      <c r="D187" s="25"/>
      <c r="E187" s="24"/>
      <c r="F187" s="27" t="str">
        <f t="shared" si="4"/>
        <v/>
      </c>
      <c r="G187" s="24"/>
      <c r="H187" s="27" t="str">
        <f t="shared" si="5"/>
        <v/>
      </c>
      <c r="I187" s="28" t="str">
        <f>IFERROR(IF(OR($A187="",ANAGRAFICA!$P187="",ANAGRAFICA!$P187=0),"",(ANAGRAFICA!$P187-$H187)/ANAGRAFICA!$P187),"")</f>
        <v/>
      </c>
      <c r="J187" s="22"/>
    </row>
    <row r="188" spans="1:10" ht="15" x14ac:dyDescent="0.15">
      <c r="A188" s="26" t="str">
        <f>IF(ANAGRAFICA!$B188="","",ANAGRAFICA!$B188)</f>
        <v/>
      </c>
      <c r="B188" s="26" t="str">
        <f>IF($A188="","",ANAGRAFICA!$C188)</f>
        <v/>
      </c>
      <c r="C188" s="26" t="str">
        <f>IF($A188="","",ANAGRAFICA!$D188)</f>
        <v/>
      </c>
      <c r="D188" s="25"/>
      <c r="E188" s="24"/>
      <c r="F188" s="27" t="str">
        <f t="shared" si="4"/>
        <v/>
      </c>
      <c r="G188" s="24"/>
      <c r="H188" s="27" t="str">
        <f t="shared" si="5"/>
        <v/>
      </c>
      <c r="I188" s="28" t="str">
        <f>IFERROR(IF(OR($A188="",ANAGRAFICA!$P188="",ANAGRAFICA!$P188=0),"",(ANAGRAFICA!$P188-$H188)/ANAGRAFICA!$P188),"")</f>
        <v/>
      </c>
      <c r="J188" s="22"/>
    </row>
    <row r="189" spans="1:10" ht="15" x14ac:dyDescent="0.15">
      <c r="A189" s="26" t="str">
        <f>IF(ANAGRAFICA!$B189="","",ANAGRAFICA!$B189)</f>
        <v/>
      </c>
      <c r="B189" s="26" t="str">
        <f>IF($A189="","",ANAGRAFICA!$C189)</f>
        <v/>
      </c>
      <c r="C189" s="26" t="str">
        <f>IF($A189="","",ANAGRAFICA!$D189)</f>
        <v/>
      </c>
      <c r="D189" s="25"/>
      <c r="E189" s="24"/>
      <c r="F189" s="27" t="str">
        <f t="shared" si="4"/>
        <v/>
      </c>
      <c r="G189" s="24"/>
      <c r="H189" s="27" t="str">
        <f t="shared" si="5"/>
        <v/>
      </c>
      <c r="I189" s="28" t="str">
        <f>IFERROR(IF(OR($A189="",ANAGRAFICA!$P189="",ANAGRAFICA!$P189=0),"",(ANAGRAFICA!$P189-$H189)/ANAGRAFICA!$P189),"")</f>
        <v/>
      </c>
      <c r="J189" s="22"/>
    </row>
    <row r="190" spans="1:10" ht="15" x14ac:dyDescent="0.15">
      <c r="A190" s="26" t="str">
        <f>IF(ANAGRAFICA!$B190="","",ANAGRAFICA!$B190)</f>
        <v/>
      </c>
      <c r="B190" s="26" t="str">
        <f>IF($A190="","",ANAGRAFICA!$C190)</f>
        <v/>
      </c>
      <c r="C190" s="26" t="str">
        <f>IF($A190="","",ANAGRAFICA!$D190)</f>
        <v/>
      </c>
      <c r="D190" s="25"/>
      <c r="E190" s="24"/>
      <c r="F190" s="27" t="str">
        <f t="shared" si="4"/>
        <v/>
      </c>
      <c r="G190" s="24"/>
      <c r="H190" s="27" t="str">
        <f t="shared" si="5"/>
        <v/>
      </c>
      <c r="I190" s="28" t="str">
        <f>IFERROR(IF(OR($A190="",ANAGRAFICA!$P190="",ANAGRAFICA!$P190=0),"",(ANAGRAFICA!$P190-$H190)/ANAGRAFICA!$P190),"")</f>
        <v/>
      </c>
      <c r="J190" s="22"/>
    </row>
    <row r="191" spans="1:10" ht="15" x14ac:dyDescent="0.15">
      <c r="A191" s="26" t="str">
        <f>IF(ANAGRAFICA!$B191="","",ANAGRAFICA!$B191)</f>
        <v/>
      </c>
      <c r="B191" s="26" t="str">
        <f>IF($A191="","",ANAGRAFICA!$C191)</f>
        <v/>
      </c>
      <c r="C191" s="26" t="str">
        <f>IF($A191="","",ANAGRAFICA!$D191)</f>
        <v/>
      </c>
      <c r="D191" s="25"/>
      <c r="E191" s="24"/>
      <c r="F191" s="27" t="str">
        <f t="shared" si="4"/>
        <v/>
      </c>
      <c r="G191" s="24"/>
      <c r="H191" s="27" t="str">
        <f t="shared" si="5"/>
        <v/>
      </c>
      <c r="I191" s="28" t="str">
        <f>IFERROR(IF(OR($A191="",ANAGRAFICA!$P191="",ANAGRAFICA!$P191=0),"",(ANAGRAFICA!$P191-$H191)/ANAGRAFICA!$P191),"")</f>
        <v/>
      </c>
      <c r="J191" s="22"/>
    </row>
    <row r="192" spans="1:10" ht="15" x14ac:dyDescent="0.15">
      <c r="A192" s="26" t="str">
        <f>IF(ANAGRAFICA!$B192="","",ANAGRAFICA!$B192)</f>
        <v/>
      </c>
      <c r="B192" s="26" t="str">
        <f>IF($A192="","",ANAGRAFICA!$C192)</f>
        <v/>
      </c>
      <c r="C192" s="26" t="str">
        <f>IF($A192="","",ANAGRAFICA!$D192)</f>
        <v/>
      </c>
      <c r="D192" s="25"/>
      <c r="E192" s="24"/>
      <c r="F192" s="27" t="str">
        <f t="shared" si="4"/>
        <v/>
      </c>
      <c r="G192" s="24"/>
      <c r="H192" s="27" t="str">
        <f t="shared" si="5"/>
        <v/>
      </c>
      <c r="I192" s="28" t="str">
        <f>IFERROR(IF(OR($A192="",ANAGRAFICA!$P192="",ANAGRAFICA!$P192=0),"",(ANAGRAFICA!$P192-$H192)/ANAGRAFICA!$P192),"")</f>
        <v/>
      </c>
      <c r="J192" s="22"/>
    </row>
    <row r="193" spans="1:10" ht="15" x14ac:dyDescent="0.15">
      <c r="A193" s="26" t="str">
        <f>IF(ANAGRAFICA!$B193="","",ANAGRAFICA!$B193)</f>
        <v/>
      </c>
      <c r="B193" s="26" t="str">
        <f>IF($A193="","",ANAGRAFICA!$C193)</f>
        <v/>
      </c>
      <c r="C193" s="26" t="str">
        <f>IF($A193="","",ANAGRAFICA!$D193)</f>
        <v/>
      </c>
      <c r="D193" s="25"/>
      <c r="E193" s="24"/>
      <c r="F193" s="27" t="str">
        <f t="shared" si="4"/>
        <v/>
      </c>
      <c r="G193" s="24"/>
      <c r="H193" s="27" t="str">
        <f t="shared" si="5"/>
        <v/>
      </c>
      <c r="I193" s="28" t="str">
        <f>IFERROR(IF(OR($A193="",ANAGRAFICA!$P193="",ANAGRAFICA!$P193=0),"",(ANAGRAFICA!$P193-$H193)/ANAGRAFICA!$P193),"")</f>
        <v/>
      </c>
      <c r="J193" s="22"/>
    </row>
    <row r="194" spans="1:10" ht="15" x14ac:dyDescent="0.15">
      <c r="A194" s="26" t="str">
        <f>IF(ANAGRAFICA!$B194="","",ANAGRAFICA!$B194)</f>
        <v/>
      </c>
      <c r="B194" s="26" t="str">
        <f>IF($A194="","",ANAGRAFICA!$C194)</f>
        <v/>
      </c>
      <c r="C194" s="26" t="str">
        <f>IF($A194="","",ANAGRAFICA!$D194)</f>
        <v/>
      </c>
      <c r="D194" s="25"/>
      <c r="E194" s="24"/>
      <c r="F194" s="27" t="str">
        <f t="shared" si="4"/>
        <v/>
      </c>
      <c r="G194" s="24"/>
      <c r="H194" s="27" t="str">
        <f t="shared" si="5"/>
        <v/>
      </c>
      <c r="I194" s="28" t="str">
        <f>IFERROR(IF(OR($A194="",ANAGRAFICA!$P194="",ANAGRAFICA!$P194=0),"",(ANAGRAFICA!$P194-$H194)/ANAGRAFICA!$P194),"")</f>
        <v/>
      </c>
      <c r="J194" s="22"/>
    </row>
    <row r="195" spans="1:10" ht="15" x14ac:dyDescent="0.15">
      <c r="A195" s="26" t="str">
        <f>IF(ANAGRAFICA!$B195="","",ANAGRAFICA!$B195)</f>
        <v/>
      </c>
      <c r="B195" s="26" t="str">
        <f>IF($A195="","",ANAGRAFICA!$C195)</f>
        <v/>
      </c>
      <c r="C195" s="26" t="str">
        <f>IF($A195="","",ANAGRAFICA!$D195)</f>
        <v/>
      </c>
      <c r="D195" s="25"/>
      <c r="E195" s="24"/>
      <c r="F195" s="27" t="str">
        <f t="shared" si="4"/>
        <v/>
      </c>
      <c r="G195" s="24"/>
      <c r="H195" s="27" t="str">
        <f t="shared" si="5"/>
        <v/>
      </c>
      <c r="I195" s="28" t="str">
        <f>IFERROR(IF(OR($A195="",ANAGRAFICA!$P195="",ANAGRAFICA!$P195=0),"",(ANAGRAFICA!$P195-$H195)/ANAGRAFICA!$P195),"")</f>
        <v/>
      </c>
      <c r="J195" s="22"/>
    </row>
    <row r="196" spans="1:10" ht="15" x14ac:dyDescent="0.15">
      <c r="A196" s="26" t="str">
        <f>IF(ANAGRAFICA!$B196="","",ANAGRAFICA!$B196)</f>
        <v/>
      </c>
      <c r="B196" s="26" t="str">
        <f>IF($A196="","",ANAGRAFICA!$C196)</f>
        <v/>
      </c>
      <c r="C196" s="26" t="str">
        <f>IF($A196="","",ANAGRAFICA!$D196)</f>
        <v/>
      </c>
      <c r="D196" s="25"/>
      <c r="E196" s="24"/>
      <c r="F196" s="27" t="str">
        <f t="shared" si="4"/>
        <v/>
      </c>
      <c r="G196" s="24"/>
      <c r="H196" s="27" t="str">
        <f t="shared" si="5"/>
        <v/>
      </c>
      <c r="I196" s="28" t="str">
        <f>IFERROR(IF(OR($A196="",ANAGRAFICA!$P196="",ANAGRAFICA!$P196=0),"",(ANAGRAFICA!$P196-$H196)/ANAGRAFICA!$P196),"")</f>
        <v/>
      </c>
      <c r="J196" s="22"/>
    </row>
    <row r="197" spans="1:10" ht="15" x14ac:dyDescent="0.15">
      <c r="A197" s="26" t="str">
        <f>IF(ANAGRAFICA!$B197="","",ANAGRAFICA!$B197)</f>
        <v/>
      </c>
      <c r="B197" s="26" t="str">
        <f>IF($A197="","",ANAGRAFICA!$C197)</f>
        <v/>
      </c>
      <c r="C197" s="26" t="str">
        <f>IF($A197="","",ANAGRAFICA!$D197)</f>
        <v/>
      </c>
      <c r="D197" s="25"/>
      <c r="E197" s="24"/>
      <c r="F197" s="27" t="str">
        <f t="shared" si="4"/>
        <v/>
      </c>
      <c r="G197" s="24"/>
      <c r="H197" s="27" t="str">
        <f t="shared" si="5"/>
        <v/>
      </c>
      <c r="I197" s="28" t="str">
        <f>IFERROR(IF(OR($A197="",ANAGRAFICA!$P197="",ANAGRAFICA!$P197=0),"",(ANAGRAFICA!$P197-$H197)/ANAGRAFICA!$P197),"")</f>
        <v/>
      </c>
      <c r="J197" s="22"/>
    </row>
    <row r="198" spans="1:10" ht="15" x14ac:dyDescent="0.15">
      <c r="A198" s="26" t="str">
        <f>IF(ANAGRAFICA!$B198="","",ANAGRAFICA!$B198)</f>
        <v/>
      </c>
      <c r="B198" s="26" t="str">
        <f>IF($A198="","",ANAGRAFICA!$C198)</f>
        <v/>
      </c>
      <c r="C198" s="26" t="str">
        <f>IF($A198="","",ANAGRAFICA!$D198)</f>
        <v/>
      </c>
      <c r="D198" s="25"/>
      <c r="E198" s="24"/>
      <c r="F198" s="27" t="str">
        <f t="shared" ref="F198:F261" si="6">IF(OR($A198="",$D198="",$E198=""),"",$D198*$E198)</f>
        <v/>
      </c>
      <c r="G198" s="24"/>
      <c r="H198" s="27" t="str">
        <f t="shared" ref="H198:H261" si="7">IF($A198="","",SUM($F198,$G198))</f>
        <v/>
      </c>
      <c r="I198" s="28" t="str">
        <f>IFERROR(IF(OR($A198="",ANAGRAFICA!$P198="",ANAGRAFICA!$P198=0),"",(ANAGRAFICA!$P198-$H198)/ANAGRAFICA!$P198),"")</f>
        <v/>
      </c>
      <c r="J198" s="22"/>
    </row>
    <row r="199" spans="1:10" ht="15" x14ac:dyDescent="0.15">
      <c r="A199" s="26" t="str">
        <f>IF(ANAGRAFICA!$B199="","",ANAGRAFICA!$B199)</f>
        <v/>
      </c>
      <c r="B199" s="26" t="str">
        <f>IF($A199="","",ANAGRAFICA!$C199)</f>
        <v/>
      </c>
      <c r="C199" s="26" t="str">
        <f>IF($A199="","",ANAGRAFICA!$D199)</f>
        <v/>
      </c>
      <c r="D199" s="25"/>
      <c r="E199" s="24"/>
      <c r="F199" s="27" t="str">
        <f t="shared" si="6"/>
        <v/>
      </c>
      <c r="G199" s="24"/>
      <c r="H199" s="27" t="str">
        <f t="shared" si="7"/>
        <v/>
      </c>
      <c r="I199" s="28" t="str">
        <f>IFERROR(IF(OR($A199="",ANAGRAFICA!$P199="",ANAGRAFICA!$P199=0),"",(ANAGRAFICA!$P199-$H199)/ANAGRAFICA!$P199),"")</f>
        <v/>
      </c>
      <c r="J199" s="22"/>
    </row>
    <row r="200" spans="1:10" ht="15" x14ac:dyDescent="0.15">
      <c r="A200" s="26" t="str">
        <f>IF(ANAGRAFICA!$B200="","",ANAGRAFICA!$B200)</f>
        <v/>
      </c>
      <c r="B200" s="26" t="str">
        <f>IF($A200="","",ANAGRAFICA!$C200)</f>
        <v/>
      </c>
      <c r="C200" s="26" t="str">
        <f>IF($A200="","",ANAGRAFICA!$D200)</f>
        <v/>
      </c>
      <c r="D200" s="25"/>
      <c r="E200" s="24"/>
      <c r="F200" s="27" t="str">
        <f t="shared" si="6"/>
        <v/>
      </c>
      <c r="G200" s="24"/>
      <c r="H200" s="27" t="str">
        <f t="shared" si="7"/>
        <v/>
      </c>
      <c r="I200" s="28" t="str">
        <f>IFERROR(IF(OR($A200="",ANAGRAFICA!$P200="",ANAGRAFICA!$P200=0),"",(ANAGRAFICA!$P200-$H200)/ANAGRAFICA!$P200),"")</f>
        <v/>
      </c>
      <c r="J200" s="22"/>
    </row>
    <row r="201" spans="1:10" ht="15" x14ac:dyDescent="0.15">
      <c r="A201" s="26" t="str">
        <f>IF(ANAGRAFICA!$B201="","",ANAGRAFICA!$B201)</f>
        <v/>
      </c>
      <c r="B201" s="26" t="str">
        <f>IF($A201="","",ANAGRAFICA!$C201)</f>
        <v/>
      </c>
      <c r="C201" s="26" t="str">
        <f>IF($A201="","",ANAGRAFICA!$D201)</f>
        <v/>
      </c>
      <c r="D201" s="25"/>
      <c r="E201" s="24"/>
      <c r="F201" s="27" t="str">
        <f t="shared" si="6"/>
        <v/>
      </c>
      <c r="G201" s="24"/>
      <c r="H201" s="27" t="str">
        <f t="shared" si="7"/>
        <v/>
      </c>
      <c r="I201" s="28" t="str">
        <f>IFERROR(IF(OR($A201="",ANAGRAFICA!$P201="",ANAGRAFICA!$P201=0),"",(ANAGRAFICA!$P201-$H201)/ANAGRAFICA!$P201),"")</f>
        <v/>
      </c>
      <c r="J201" s="22"/>
    </row>
    <row r="202" spans="1:10" ht="15" x14ac:dyDescent="0.15">
      <c r="A202" s="26" t="str">
        <f>IF(ANAGRAFICA!$B202="","",ANAGRAFICA!$B202)</f>
        <v/>
      </c>
      <c r="B202" s="26" t="str">
        <f>IF($A202="","",ANAGRAFICA!$C202)</f>
        <v/>
      </c>
      <c r="C202" s="26" t="str">
        <f>IF($A202="","",ANAGRAFICA!$D202)</f>
        <v/>
      </c>
      <c r="D202" s="25"/>
      <c r="E202" s="24"/>
      <c r="F202" s="27" t="str">
        <f t="shared" si="6"/>
        <v/>
      </c>
      <c r="G202" s="24"/>
      <c r="H202" s="27" t="str">
        <f t="shared" si="7"/>
        <v/>
      </c>
      <c r="I202" s="28" t="str">
        <f>IFERROR(IF(OR($A202="",ANAGRAFICA!$P202="",ANAGRAFICA!$P202=0),"",(ANAGRAFICA!$P202-$H202)/ANAGRAFICA!$P202),"")</f>
        <v/>
      </c>
      <c r="J202" s="22"/>
    </row>
    <row r="203" spans="1:10" ht="15" x14ac:dyDescent="0.15">
      <c r="A203" s="26" t="str">
        <f>IF(ANAGRAFICA!$B203="","",ANAGRAFICA!$B203)</f>
        <v/>
      </c>
      <c r="B203" s="26" t="str">
        <f>IF($A203="","",ANAGRAFICA!$C203)</f>
        <v/>
      </c>
      <c r="C203" s="26" t="str">
        <f>IF($A203="","",ANAGRAFICA!$D203)</f>
        <v/>
      </c>
      <c r="D203" s="25"/>
      <c r="E203" s="24"/>
      <c r="F203" s="27" t="str">
        <f t="shared" si="6"/>
        <v/>
      </c>
      <c r="G203" s="24"/>
      <c r="H203" s="27" t="str">
        <f t="shared" si="7"/>
        <v/>
      </c>
      <c r="I203" s="28" t="str">
        <f>IFERROR(IF(OR($A203="",ANAGRAFICA!$P203="",ANAGRAFICA!$P203=0),"",(ANAGRAFICA!$P203-$H203)/ANAGRAFICA!$P203),"")</f>
        <v/>
      </c>
      <c r="J203" s="22"/>
    </row>
    <row r="204" spans="1:10" ht="15" x14ac:dyDescent="0.15">
      <c r="A204" s="26" t="str">
        <f>IF(ANAGRAFICA!$B204="","",ANAGRAFICA!$B204)</f>
        <v/>
      </c>
      <c r="B204" s="26" t="str">
        <f>IF($A204="","",ANAGRAFICA!$C204)</f>
        <v/>
      </c>
      <c r="C204" s="26" t="str">
        <f>IF($A204="","",ANAGRAFICA!$D204)</f>
        <v/>
      </c>
      <c r="D204" s="25"/>
      <c r="E204" s="24"/>
      <c r="F204" s="27" t="str">
        <f t="shared" si="6"/>
        <v/>
      </c>
      <c r="G204" s="24"/>
      <c r="H204" s="27" t="str">
        <f t="shared" si="7"/>
        <v/>
      </c>
      <c r="I204" s="28" t="str">
        <f>IFERROR(IF(OR($A204="",ANAGRAFICA!$P204="",ANAGRAFICA!$P204=0),"",(ANAGRAFICA!$P204-$H204)/ANAGRAFICA!$P204),"")</f>
        <v/>
      </c>
      <c r="J204" s="22"/>
    </row>
    <row r="205" spans="1:10" ht="15" x14ac:dyDescent="0.15">
      <c r="A205" s="26" t="str">
        <f>IF(ANAGRAFICA!$B205="","",ANAGRAFICA!$B205)</f>
        <v/>
      </c>
      <c r="B205" s="26" t="str">
        <f>IF($A205="","",ANAGRAFICA!$C205)</f>
        <v/>
      </c>
      <c r="C205" s="26" t="str">
        <f>IF($A205="","",ANAGRAFICA!$D205)</f>
        <v/>
      </c>
      <c r="D205" s="25"/>
      <c r="E205" s="24"/>
      <c r="F205" s="27" t="str">
        <f t="shared" si="6"/>
        <v/>
      </c>
      <c r="G205" s="24"/>
      <c r="H205" s="27" t="str">
        <f t="shared" si="7"/>
        <v/>
      </c>
      <c r="I205" s="28" t="str">
        <f>IFERROR(IF(OR($A205="",ANAGRAFICA!$P205="",ANAGRAFICA!$P205=0),"",(ANAGRAFICA!$P205-$H205)/ANAGRAFICA!$P205),"")</f>
        <v/>
      </c>
      <c r="J205" s="22"/>
    </row>
    <row r="206" spans="1:10" ht="15" x14ac:dyDescent="0.15">
      <c r="A206" s="26" t="str">
        <f>IF(ANAGRAFICA!$B206="","",ANAGRAFICA!$B206)</f>
        <v/>
      </c>
      <c r="B206" s="26" t="str">
        <f>IF($A206="","",ANAGRAFICA!$C206)</f>
        <v/>
      </c>
      <c r="C206" s="26" t="str">
        <f>IF($A206="","",ANAGRAFICA!$D206)</f>
        <v/>
      </c>
      <c r="D206" s="25"/>
      <c r="E206" s="24"/>
      <c r="F206" s="27" t="str">
        <f t="shared" si="6"/>
        <v/>
      </c>
      <c r="G206" s="24"/>
      <c r="H206" s="27" t="str">
        <f t="shared" si="7"/>
        <v/>
      </c>
      <c r="I206" s="28" t="str">
        <f>IFERROR(IF(OR($A206="",ANAGRAFICA!$P206="",ANAGRAFICA!$P206=0),"",(ANAGRAFICA!$P206-$H206)/ANAGRAFICA!$P206),"")</f>
        <v/>
      </c>
      <c r="J206" s="22"/>
    </row>
    <row r="207" spans="1:10" ht="15" x14ac:dyDescent="0.15">
      <c r="A207" s="26" t="str">
        <f>IF(ANAGRAFICA!$B207="","",ANAGRAFICA!$B207)</f>
        <v/>
      </c>
      <c r="B207" s="26" t="str">
        <f>IF($A207="","",ANAGRAFICA!$C207)</f>
        <v/>
      </c>
      <c r="C207" s="26" t="str">
        <f>IF($A207="","",ANAGRAFICA!$D207)</f>
        <v/>
      </c>
      <c r="D207" s="25"/>
      <c r="E207" s="24"/>
      <c r="F207" s="27" t="str">
        <f t="shared" si="6"/>
        <v/>
      </c>
      <c r="G207" s="24"/>
      <c r="H207" s="27" t="str">
        <f t="shared" si="7"/>
        <v/>
      </c>
      <c r="I207" s="28" t="str">
        <f>IFERROR(IF(OR($A207="",ANAGRAFICA!$P207="",ANAGRAFICA!$P207=0),"",(ANAGRAFICA!$P207-$H207)/ANAGRAFICA!$P207),"")</f>
        <v/>
      </c>
      <c r="J207" s="22"/>
    </row>
    <row r="208" spans="1:10" ht="15" x14ac:dyDescent="0.15">
      <c r="A208" s="26" t="str">
        <f>IF(ANAGRAFICA!$B208="","",ANAGRAFICA!$B208)</f>
        <v/>
      </c>
      <c r="B208" s="26" t="str">
        <f>IF($A208="","",ANAGRAFICA!$C208)</f>
        <v/>
      </c>
      <c r="C208" s="26" t="str">
        <f>IF($A208="","",ANAGRAFICA!$D208)</f>
        <v/>
      </c>
      <c r="D208" s="25"/>
      <c r="E208" s="24"/>
      <c r="F208" s="27" t="str">
        <f t="shared" si="6"/>
        <v/>
      </c>
      <c r="G208" s="24"/>
      <c r="H208" s="27" t="str">
        <f t="shared" si="7"/>
        <v/>
      </c>
      <c r="I208" s="28" t="str">
        <f>IFERROR(IF(OR($A208="",ANAGRAFICA!$P208="",ANAGRAFICA!$P208=0),"",(ANAGRAFICA!$P208-$H208)/ANAGRAFICA!$P208),"")</f>
        <v/>
      </c>
      <c r="J208" s="22"/>
    </row>
    <row r="209" spans="1:10" ht="15" x14ac:dyDescent="0.15">
      <c r="A209" s="26" t="str">
        <f>IF(ANAGRAFICA!$B209="","",ANAGRAFICA!$B209)</f>
        <v/>
      </c>
      <c r="B209" s="26" t="str">
        <f>IF($A209="","",ANAGRAFICA!$C209)</f>
        <v/>
      </c>
      <c r="C209" s="26" t="str">
        <f>IF($A209="","",ANAGRAFICA!$D209)</f>
        <v/>
      </c>
      <c r="D209" s="25"/>
      <c r="E209" s="24"/>
      <c r="F209" s="27" t="str">
        <f t="shared" si="6"/>
        <v/>
      </c>
      <c r="G209" s="24"/>
      <c r="H209" s="27" t="str">
        <f t="shared" si="7"/>
        <v/>
      </c>
      <c r="I209" s="28" t="str">
        <f>IFERROR(IF(OR($A209="",ANAGRAFICA!$P209="",ANAGRAFICA!$P209=0),"",(ANAGRAFICA!$P209-$H209)/ANAGRAFICA!$P209),"")</f>
        <v/>
      </c>
      <c r="J209" s="22"/>
    </row>
    <row r="210" spans="1:10" ht="15" x14ac:dyDescent="0.15">
      <c r="A210" s="26" t="str">
        <f>IF(ANAGRAFICA!$B210="","",ANAGRAFICA!$B210)</f>
        <v/>
      </c>
      <c r="B210" s="26" t="str">
        <f>IF($A210="","",ANAGRAFICA!$C210)</f>
        <v/>
      </c>
      <c r="C210" s="26" t="str">
        <f>IF($A210="","",ANAGRAFICA!$D210)</f>
        <v/>
      </c>
      <c r="D210" s="25"/>
      <c r="E210" s="24"/>
      <c r="F210" s="27" t="str">
        <f t="shared" si="6"/>
        <v/>
      </c>
      <c r="G210" s="24"/>
      <c r="H210" s="27" t="str">
        <f t="shared" si="7"/>
        <v/>
      </c>
      <c r="I210" s="28" t="str">
        <f>IFERROR(IF(OR($A210="",ANAGRAFICA!$P210="",ANAGRAFICA!$P210=0),"",(ANAGRAFICA!$P210-$H210)/ANAGRAFICA!$P210),"")</f>
        <v/>
      </c>
      <c r="J210" s="22"/>
    </row>
    <row r="211" spans="1:10" ht="15" x14ac:dyDescent="0.15">
      <c r="A211" s="26" t="str">
        <f>IF(ANAGRAFICA!$B211="","",ANAGRAFICA!$B211)</f>
        <v/>
      </c>
      <c r="B211" s="26" t="str">
        <f>IF($A211="","",ANAGRAFICA!$C211)</f>
        <v/>
      </c>
      <c r="C211" s="26" t="str">
        <f>IF($A211="","",ANAGRAFICA!$D211)</f>
        <v/>
      </c>
      <c r="D211" s="25"/>
      <c r="E211" s="24"/>
      <c r="F211" s="27" t="str">
        <f t="shared" si="6"/>
        <v/>
      </c>
      <c r="G211" s="24"/>
      <c r="H211" s="27" t="str">
        <f t="shared" si="7"/>
        <v/>
      </c>
      <c r="I211" s="28" t="str">
        <f>IFERROR(IF(OR($A211="",ANAGRAFICA!$P211="",ANAGRAFICA!$P211=0),"",(ANAGRAFICA!$P211-$H211)/ANAGRAFICA!$P211),"")</f>
        <v/>
      </c>
      <c r="J211" s="22"/>
    </row>
    <row r="212" spans="1:10" ht="15" x14ac:dyDescent="0.15">
      <c r="A212" s="26" t="str">
        <f>IF(ANAGRAFICA!$B212="","",ANAGRAFICA!$B212)</f>
        <v/>
      </c>
      <c r="B212" s="26" t="str">
        <f>IF($A212="","",ANAGRAFICA!$C212)</f>
        <v/>
      </c>
      <c r="C212" s="26" t="str">
        <f>IF($A212="","",ANAGRAFICA!$D212)</f>
        <v/>
      </c>
      <c r="D212" s="25"/>
      <c r="E212" s="24"/>
      <c r="F212" s="27" t="str">
        <f t="shared" si="6"/>
        <v/>
      </c>
      <c r="G212" s="24"/>
      <c r="H212" s="27" t="str">
        <f t="shared" si="7"/>
        <v/>
      </c>
      <c r="I212" s="28" t="str">
        <f>IFERROR(IF(OR($A212="",ANAGRAFICA!$P212="",ANAGRAFICA!$P212=0),"",(ANAGRAFICA!$P212-$H212)/ANAGRAFICA!$P212),"")</f>
        <v/>
      </c>
      <c r="J212" s="22"/>
    </row>
    <row r="213" spans="1:10" ht="15" x14ac:dyDescent="0.15">
      <c r="A213" s="26" t="str">
        <f>IF(ANAGRAFICA!$B213="","",ANAGRAFICA!$B213)</f>
        <v/>
      </c>
      <c r="B213" s="26" t="str">
        <f>IF($A213="","",ANAGRAFICA!$C213)</f>
        <v/>
      </c>
      <c r="C213" s="26" t="str">
        <f>IF($A213="","",ANAGRAFICA!$D213)</f>
        <v/>
      </c>
      <c r="D213" s="25"/>
      <c r="E213" s="24"/>
      <c r="F213" s="27" t="str">
        <f t="shared" si="6"/>
        <v/>
      </c>
      <c r="G213" s="24"/>
      <c r="H213" s="27" t="str">
        <f t="shared" si="7"/>
        <v/>
      </c>
      <c r="I213" s="28" t="str">
        <f>IFERROR(IF(OR($A213="",ANAGRAFICA!$P213="",ANAGRAFICA!$P213=0),"",(ANAGRAFICA!$P213-$H213)/ANAGRAFICA!$P213),"")</f>
        <v/>
      </c>
      <c r="J213" s="22"/>
    </row>
    <row r="214" spans="1:10" ht="15" x14ac:dyDescent="0.15">
      <c r="A214" s="26" t="str">
        <f>IF(ANAGRAFICA!$B214="","",ANAGRAFICA!$B214)</f>
        <v/>
      </c>
      <c r="B214" s="26" t="str">
        <f>IF($A214="","",ANAGRAFICA!$C214)</f>
        <v/>
      </c>
      <c r="C214" s="26" t="str">
        <f>IF($A214="","",ANAGRAFICA!$D214)</f>
        <v/>
      </c>
      <c r="D214" s="25"/>
      <c r="E214" s="24"/>
      <c r="F214" s="27" t="str">
        <f t="shared" si="6"/>
        <v/>
      </c>
      <c r="G214" s="24"/>
      <c r="H214" s="27" t="str">
        <f t="shared" si="7"/>
        <v/>
      </c>
      <c r="I214" s="28" t="str">
        <f>IFERROR(IF(OR($A214="",ANAGRAFICA!$P214="",ANAGRAFICA!$P214=0),"",(ANAGRAFICA!$P214-$H214)/ANAGRAFICA!$P214),"")</f>
        <v/>
      </c>
      <c r="J214" s="22"/>
    </row>
    <row r="215" spans="1:10" ht="15" x14ac:dyDescent="0.15">
      <c r="A215" s="26" t="str">
        <f>IF(ANAGRAFICA!$B215="","",ANAGRAFICA!$B215)</f>
        <v/>
      </c>
      <c r="B215" s="26" t="str">
        <f>IF($A215="","",ANAGRAFICA!$C215)</f>
        <v/>
      </c>
      <c r="C215" s="26" t="str">
        <f>IF($A215="","",ANAGRAFICA!$D215)</f>
        <v/>
      </c>
      <c r="D215" s="25"/>
      <c r="E215" s="24"/>
      <c r="F215" s="27" t="str">
        <f t="shared" si="6"/>
        <v/>
      </c>
      <c r="G215" s="24"/>
      <c r="H215" s="27" t="str">
        <f t="shared" si="7"/>
        <v/>
      </c>
      <c r="I215" s="28" t="str">
        <f>IFERROR(IF(OR($A215="",ANAGRAFICA!$P215="",ANAGRAFICA!$P215=0),"",(ANAGRAFICA!$P215-$H215)/ANAGRAFICA!$P215),"")</f>
        <v/>
      </c>
      <c r="J215" s="22"/>
    </row>
    <row r="216" spans="1:10" ht="15" x14ac:dyDescent="0.15">
      <c r="A216" s="26" t="str">
        <f>IF(ANAGRAFICA!$B216="","",ANAGRAFICA!$B216)</f>
        <v/>
      </c>
      <c r="B216" s="26" t="str">
        <f>IF($A216="","",ANAGRAFICA!$C216)</f>
        <v/>
      </c>
      <c r="C216" s="26" t="str">
        <f>IF($A216="","",ANAGRAFICA!$D216)</f>
        <v/>
      </c>
      <c r="D216" s="25"/>
      <c r="E216" s="24"/>
      <c r="F216" s="27" t="str">
        <f t="shared" si="6"/>
        <v/>
      </c>
      <c r="G216" s="24"/>
      <c r="H216" s="27" t="str">
        <f t="shared" si="7"/>
        <v/>
      </c>
      <c r="I216" s="28" t="str">
        <f>IFERROR(IF(OR($A216="",ANAGRAFICA!$P216="",ANAGRAFICA!$P216=0),"",(ANAGRAFICA!$P216-$H216)/ANAGRAFICA!$P216),"")</f>
        <v/>
      </c>
      <c r="J216" s="22"/>
    </row>
    <row r="217" spans="1:10" ht="15" x14ac:dyDescent="0.15">
      <c r="A217" s="26" t="str">
        <f>IF(ANAGRAFICA!$B217="","",ANAGRAFICA!$B217)</f>
        <v/>
      </c>
      <c r="B217" s="26" t="str">
        <f>IF($A217="","",ANAGRAFICA!$C217)</f>
        <v/>
      </c>
      <c r="C217" s="26" t="str">
        <f>IF($A217="","",ANAGRAFICA!$D217)</f>
        <v/>
      </c>
      <c r="D217" s="25"/>
      <c r="E217" s="24"/>
      <c r="F217" s="27" t="str">
        <f t="shared" si="6"/>
        <v/>
      </c>
      <c r="G217" s="24"/>
      <c r="H217" s="27" t="str">
        <f t="shared" si="7"/>
        <v/>
      </c>
      <c r="I217" s="28" t="str">
        <f>IFERROR(IF(OR($A217="",ANAGRAFICA!$P217="",ANAGRAFICA!$P217=0),"",(ANAGRAFICA!$P217-$H217)/ANAGRAFICA!$P217),"")</f>
        <v/>
      </c>
      <c r="J217" s="22"/>
    </row>
    <row r="218" spans="1:10" ht="15" x14ac:dyDescent="0.15">
      <c r="A218" s="26" t="str">
        <f>IF(ANAGRAFICA!$B218="","",ANAGRAFICA!$B218)</f>
        <v/>
      </c>
      <c r="B218" s="26" t="str">
        <f>IF($A218="","",ANAGRAFICA!$C218)</f>
        <v/>
      </c>
      <c r="C218" s="26" t="str">
        <f>IF($A218="","",ANAGRAFICA!$D218)</f>
        <v/>
      </c>
      <c r="D218" s="25"/>
      <c r="E218" s="24"/>
      <c r="F218" s="27" t="str">
        <f t="shared" si="6"/>
        <v/>
      </c>
      <c r="G218" s="24"/>
      <c r="H218" s="27" t="str">
        <f t="shared" si="7"/>
        <v/>
      </c>
      <c r="I218" s="28" t="str">
        <f>IFERROR(IF(OR($A218="",ANAGRAFICA!$P218="",ANAGRAFICA!$P218=0),"",(ANAGRAFICA!$P218-$H218)/ANAGRAFICA!$P218),"")</f>
        <v/>
      </c>
      <c r="J218" s="22"/>
    </row>
    <row r="219" spans="1:10" ht="15" x14ac:dyDescent="0.15">
      <c r="A219" s="26" t="str">
        <f>IF(ANAGRAFICA!$B219="","",ANAGRAFICA!$B219)</f>
        <v/>
      </c>
      <c r="B219" s="26" t="str">
        <f>IF($A219="","",ANAGRAFICA!$C219)</f>
        <v/>
      </c>
      <c r="C219" s="26" t="str">
        <f>IF($A219="","",ANAGRAFICA!$D219)</f>
        <v/>
      </c>
      <c r="D219" s="25"/>
      <c r="E219" s="24"/>
      <c r="F219" s="27" t="str">
        <f t="shared" si="6"/>
        <v/>
      </c>
      <c r="G219" s="24"/>
      <c r="H219" s="27" t="str">
        <f t="shared" si="7"/>
        <v/>
      </c>
      <c r="I219" s="28" t="str">
        <f>IFERROR(IF(OR($A219="",ANAGRAFICA!$P219="",ANAGRAFICA!$P219=0),"",(ANAGRAFICA!$P219-$H219)/ANAGRAFICA!$P219),"")</f>
        <v/>
      </c>
      <c r="J219" s="22"/>
    </row>
    <row r="220" spans="1:10" ht="15" x14ac:dyDescent="0.15">
      <c r="A220" s="26" t="str">
        <f>IF(ANAGRAFICA!$B220="","",ANAGRAFICA!$B220)</f>
        <v/>
      </c>
      <c r="B220" s="26" t="str">
        <f>IF($A220="","",ANAGRAFICA!$C220)</f>
        <v/>
      </c>
      <c r="C220" s="26" t="str">
        <f>IF($A220="","",ANAGRAFICA!$D220)</f>
        <v/>
      </c>
      <c r="D220" s="25"/>
      <c r="E220" s="24"/>
      <c r="F220" s="27" t="str">
        <f t="shared" si="6"/>
        <v/>
      </c>
      <c r="G220" s="24"/>
      <c r="H220" s="27" t="str">
        <f t="shared" si="7"/>
        <v/>
      </c>
      <c r="I220" s="28" t="str">
        <f>IFERROR(IF(OR($A220="",ANAGRAFICA!$P220="",ANAGRAFICA!$P220=0),"",(ANAGRAFICA!$P220-$H220)/ANAGRAFICA!$P220),"")</f>
        <v/>
      </c>
      <c r="J220" s="22"/>
    </row>
    <row r="221" spans="1:10" ht="15" x14ac:dyDescent="0.15">
      <c r="A221" s="26" t="str">
        <f>IF(ANAGRAFICA!$B221="","",ANAGRAFICA!$B221)</f>
        <v/>
      </c>
      <c r="B221" s="26" t="str">
        <f>IF($A221="","",ANAGRAFICA!$C221)</f>
        <v/>
      </c>
      <c r="C221" s="26" t="str">
        <f>IF($A221="","",ANAGRAFICA!$D221)</f>
        <v/>
      </c>
      <c r="D221" s="25"/>
      <c r="E221" s="24"/>
      <c r="F221" s="27" t="str">
        <f t="shared" si="6"/>
        <v/>
      </c>
      <c r="G221" s="24"/>
      <c r="H221" s="27" t="str">
        <f t="shared" si="7"/>
        <v/>
      </c>
      <c r="I221" s="28" t="str">
        <f>IFERROR(IF(OR($A221="",ANAGRAFICA!$P221="",ANAGRAFICA!$P221=0),"",(ANAGRAFICA!$P221-$H221)/ANAGRAFICA!$P221),"")</f>
        <v/>
      </c>
      <c r="J221" s="22"/>
    </row>
    <row r="222" spans="1:10" ht="15" x14ac:dyDescent="0.15">
      <c r="A222" s="26" t="str">
        <f>IF(ANAGRAFICA!$B222="","",ANAGRAFICA!$B222)</f>
        <v/>
      </c>
      <c r="B222" s="26" t="str">
        <f>IF($A222="","",ANAGRAFICA!$C222)</f>
        <v/>
      </c>
      <c r="C222" s="26" t="str">
        <f>IF($A222="","",ANAGRAFICA!$D222)</f>
        <v/>
      </c>
      <c r="D222" s="25"/>
      <c r="E222" s="24"/>
      <c r="F222" s="27" t="str">
        <f t="shared" si="6"/>
        <v/>
      </c>
      <c r="G222" s="24"/>
      <c r="H222" s="27" t="str">
        <f t="shared" si="7"/>
        <v/>
      </c>
      <c r="I222" s="28" t="str">
        <f>IFERROR(IF(OR($A222="",ANAGRAFICA!$P222="",ANAGRAFICA!$P222=0),"",(ANAGRAFICA!$P222-$H222)/ANAGRAFICA!$P222),"")</f>
        <v/>
      </c>
      <c r="J222" s="22"/>
    </row>
    <row r="223" spans="1:10" ht="15" x14ac:dyDescent="0.15">
      <c r="A223" s="26" t="str">
        <f>IF(ANAGRAFICA!$B223="","",ANAGRAFICA!$B223)</f>
        <v/>
      </c>
      <c r="B223" s="26" t="str">
        <f>IF($A223="","",ANAGRAFICA!$C223)</f>
        <v/>
      </c>
      <c r="C223" s="26" t="str">
        <f>IF($A223="","",ANAGRAFICA!$D223)</f>
        <v/>
      </c>
      <c r="D223" s="25"/>
      <c r="E223" s="24"/>
      <c r="F223" s="27" t="str">
        <f t="shared" si="6"/>
        <v/>
      </c>
      <c r="G223" s="24"/>
      <c r="H223" s="27" t="str">
        <f t="shared" si="7"/>
        <v/>
      </c>
      <c r="I223" s="28" t="str">
        <f>IFERROR(IF(OR($A223="",ANAGRAFICA!$P223="",ANAGRAFICA!$P223=0),"",(ANAGRAFICA!$P223-$H223)/ANAGRAFICA!$P223),"")</f>
        <v/>
      </c>
      <c r="J223" s="22"/>
    </row>
    <row r="224" spans="1:10" ht="15" x14ac:dyDescent="0.15">
      <c r="A224" s="26" t="str">
        <f>IF(ANAGRAFICA!$B224="","",ANAGRAFICA!$B224)</f>
        <v/>
      </c>
      <c r="B224" s="26" t="str">
        <f>IF($A224="","",ANAGRAFICA!$C224)</f>
        <v/>
      </c>
      <c r="C224" s="26" t="str">
        <f>IF($A224="","",ANAGRAFICA!$D224)</f>
        <v/>
      </c>
      <c r="D224" s="25"/>
      <c r="E224" s="24"/>
      <c r="F224" s="27" t="str">
        <f t="shared" si="6"/>
        <v/>
      </c>
      <c r="G224" s="24"/>
      <c r="H224" s="27" t="str">
        <f t="shared" si="7"/>
        <v/>
      </c>
      <c r="I224" s="28" t="str">
        <f>IFERROR(IF(OR($A224="",ANAGRAFICA!$P224="",ANAGRAFICA!$P224=0),"",(ANAGRAFICA!$P224-$H224)/ANAGRAFICA!$P224),"")</f>
        <v/>
      </c>
      <c r="J224" s="22"/>
    </row>
    <row r="225" spans="1:10" ht="15" x14ac:dyDescent="0.15">
      <c r="A225" s="26" t="str">
        <f>IF(ANAGRAFICA!$B225="","",ANAGRAFICA!$B225)</f>
        <v/>
      </c>
      <c r="B225" s="26" t="str">
        <f>IF($A225="","",ANAGRAFICA!$C225)</f>
        <v/>
      </c>
      <c r="C225" s="26" t="str">
        <f>IF($A225="","",ANAGRAFICA!$D225)</f>
        <v/>
      </c>
      <c r="D225" s="25"/>
      <c r="E225" s="24"/>
      <c r="F225" s="27" t="str">
        <f t="shared" si="6"/>
        <v/>
      </c>
      <c r="G225" s="24"/>
      <c r="H225" s="27" t="str">
        <f t="shared" si="7"/>
        <v/>
      </c>
      <c r="I225" s="28" t="str">
        <f>IFERROR(IF(OR($A225="",ANAGRAFICA!$P225="",ANAGRAFICA!$P225=0),"",(ANAGRAFICA!$P225-$H225)/ANAGRAFICA!$P225),"")</f>
        <v/>
      </c>
      <c r="J225" s="22"/>
    </row>
    <row r="226" spans="1:10" ht="15" x14ac:dyDescent="0.15">
      <c r="A226" s="26" t="str">
        <f>IF(ANAGRAFICA!$B226="","",ANAGRAFICA!$B226)</f>
        <v/>
      </c>
      <c r="B226" s="26" t="str">
        <f>IF($A226="","",ANAGRAFICA!$C226)</f>
        <v/>
      </c>
      <c r="C226" s="26" t="str">
        <f>IF($A226="","",ANAGRAFICA!$D226)</f>
        <v/>
      </c>
      <c r="D226" s="25"/>
      <c r="E226" s="24"/>
      <c r="F226" s="27" t="str">
        <f t="shared" si="6"/>
        <v/>
      </c>
      <c r="G226" s="24"/>
      <c r="H226" s="27" t="str">
        <f t="shared" si="7"/>
        <v/>
      </c>
      <c r="I226" s="28" t="str">
        <f>IFERROR(IF(OR($A226="",ANAGRAFICA!$P226="",ANAGRAFICA!$P226=0),"",(ANAGRAFICA!$P226-$H226)/ANAGRAFICA!$P226),"")</f>
        <v/>
      </c>
      <c r="J226" s="22"/>
    </row>
    <row r="227" spans="1:10" ht="15" x14ac:dyDescent="0.15">
      <c r="A227" s="26" t="str">
        <f>IF(ANAGRAFICA!$B227="","",ANAGRAFICA!$B227)</f>
        <v/>
      </c>
      <c r="B227" s="26" t="str">
        <f>IF($A227="","",ANAGRAFICA!$C227)</f>
        <v/>
      </c>
      <c r="C227" s="26" t="str">
        <f>IF($A227="","",ANAGRAFICA!$D227)</f>
        <v/>
      </c>
      <c r="D227" s="25"/>
      <c r="E227" s="24"/>
      <c r="F227" s="27" t="str">
        <f t="shared" si="6"/>
        <v/>
      </c>
      <c r="G227" s="24"/>
      <c r="H227" s="27" t="str">
        <f t="shared" si="7"/>
        <v/>
      </c>
      <c r="I227" s="28" t="str">
        <f>IFERROR(IF(OR($A227="",ANAGRAFICA!$P227="",ANAGRAFICA!$P227=0),"",(ANAGRAFICA!$P227-$H227)/ANAGRAFICA!$P227),"")</f>
        <v/>
      </c>
      <c r="J227" s="22"/>
    </row>
    <row r="228" spans="1:10" ht="15" x14ac:dyDescent="0.15">
      <c r="A228" s="26" t="str">
        <f>IF(ANAGRAFICA!$B228="","",ANAGRAFICA!$B228)</f>
        <v/>
      </c>
      <c r="B228" s="26" t="str">
        <f>IF($A228="","",ANAGRAFICA!$C228)</f>
        <v/>
      </c>
      <c r="C228" s="26" t="str">
        <f>IF($A228="","",ANAGRAFICA!$D228)</f>
        <v/>
      </c>
      <c r="D228" s="25"/>
      <c r="E228" s="24"/>
      <c r="F228" s="27" t="str">
        <f t="shared" si="6"/>
        <v/>
      </c>
      <c r="G228" s="24"/>
      <c r="H228" s="27" t="str">
        <f t="shared" si="7"/>
        <v/>
      </c>
      <c r="I228" s="28" t="str">
        <f>IFERROR(IF(OR($A228="",ANAGRAFICA!$P228="",ANAGRAFICA!$P228=0),"",(ANAGRAFICA!$P228-$H228)/ANAGRAFICA!$P228),"")</f>
        <v/>
      </c>
      <c r="J228" s="22"/>
    </row>
    <row r="229" spans="1:10" ht="15" x14ac:dyDescent="0.15">
      <c r="A229" s="26" t="str">
        <f>IF(ANAGRAFICA!$B229="","",ANAGRAFICA!$B229)</f>
        <v/>
      </c>
      <c r="B229" s="26" t="str">
        <f>IF($A229="","",ANAGRAFICA!$C229)</f>
        <v/>
      </c>
      <c r="C229" s="26" t="str">
        <f>IF($A229="","",ANAGRAFICA!$D229)</f>
        <v/>
      </c>
      <c r="D229" s="25"/>
      <c r="E229" s="24"/>
      <c r="F229" s="27" t="str">
        <f t="shared" si="6"/>
        <v/>
      </c>
      <c r="G229" s="24"/>
      <c r="H229" s="27" t="str">
        <f t="shared" si="7"/>
        <v/>
      </c>
      <c r="I229" s="28" t="str">
        <f>IFERROR(IF(OR($A229="",ANAGRAFICA!$P229="",ANAGRAFICA!$P229=0),"",(ANAGRAFICA!$P229-$H229)/ANAGRAFICA!$P229),"")</f>
        <v/>
      </c>
      <c r="J229" s="22"/>
    </row>
    <row r="230" spans="1:10" ht="15" x14ac:dyDescent="0.15">
      <c r="A230" s="26" t="str">
        <f>IF(ANAGRAFICA!$B230="","",ANAGRAFICA!$B230)</f>
        <v/>
      </c>
      <c r="B230" s="26" t="str">
        <f>IF($A230="","",ANAGRAFICA!$C230)</f>
        <v/>
      </c>
      <c r="C230" s="26" t="str">
        <f>IF($A230="","",ANAGRAFICA!$D230)</f>
        <v/>
      </c>
      <c r="D230" s="25"/>
      <c r="E230" s="24"/>
      <c r="F230" s="27" t="str">
        <f t="shared" si="6"/>
        <v/>
      </c>
      <c r="G230" s="24"/>
      <c r="H230" s="27" t="str">
        <f t="shared" si="7"/>
        <v/>
      </c>
      <c r="I230" s="28" t="str">
        <f>IFERROR(IF(OR($A230="",ANAGRAFICA!$P230="",ANAGRAFICA!$P230=0),"",(ANAGRAFICA!$P230-$H230)/ANAGRAFICA!$P230),"")</f>
        <v/>
      </c>
      <c r="J230" s="22"/>
    </row>
    <row r="231" spans="1:10" ht="15" x14ac:dyDescent="0.15">
      <c r="A231" s="26" t="str">
        <f>IF(ANAGRAFICA!$B231="","",ANAGRAFICA!$B231)</f>
        <v/>
      </c>
      <c r="B231" s="26" t="str">
        <f>IF($A231="","",ANAGRAFICA!$C231)</f>
        <v/>
      </c>
      <c r="C231" s="26" t="str">
        <f>IF($A231="","",ANAGRAFICA!$D231)</f>
        <v/>
      </c>
      <c r="D231" s="25"/>
      <c r="E231" s="24"/>
      <c r="F231" s="27" t="str">
        <f t="shared" si="6"/>
        <v/>
      </c>
      <c r="G231" s="24"/>
      <c r="H231" s="27" t="str">
        <f t="shared" si="7"/>
        <v/>
      </c>
      <c r="I231" s="28" t="str">
        <f>IFERROR(IF(OR($A231="",ANAGRAFICA!$P231="",ANAGRAFICA!$P231=0),"",(ANAGRAFICA!$P231-$H231)/ANAGRAFICA!$P231),"")</f>
        <v/>
      </c>
      <c r="J231" s="22"/>
    </row>
    <row r="232" spans="1:10" ht="15" x14ac:dyDescent="0.15">
      <c r="A232" s="26" t="str">
        <f>IF(ANAGRAFICA!$B232="","",ANAGRAFICA!$B232)</f>
        <v/>
      </c>
      <c r="B232" s="26" t="str">
        <f>IF($A232="","",ANAGRAFICA!$C232)</f>
        <v/>
      </c>
      <c r="C232" s="26" t="str">
        <f>IF($A232="","",ANAGRAFICA!$D232)</f>
        <v/>
      </c>
      <c r="D232" s="25"/>
      <c r="E232" s="24"/>
      <c r="F232" s="27" t="str">
        <f t="shared" si="6"/>
        <v/>
      </c>
      <c r="G232" s="24"/>
      <c r="H232" s="27" t="str">
        <f t="shared" si="7"/>
        <v/>
      </c>
      <c r="I232" s="28" t="str">
        <f>IFERROR(IF(OR($A232="",ANAGRAFICA!$P232="",ANAGRAFICA!$P232=0),"",(ANAGRAFICA!$P232-$H232)/ANAGRAFICA!$P232),"")</f>
        <v/>
      </c>
      <c r="J232" s="22"/>
    </row>
    <row r="233" spans="1:10" ht="15" x14ac:dyDescent="0.15">
      <c r="A233" s="26" t="str">
        <f>IF(ANAGRAFICA!$B233="","",ANAGRAFICA!$B233)</f>
        <v/>
      </c>
      <c r="B233" s="26" t="str">
        <f>IF($A233="","",ANAGRAFICA!$C233)</f>
        <v/>
      </c>
      <c r="C233" s="26" t="str">
        <f>IF($A233="","",ANAGRAFICA!$D233)</f>
        <v/>
      </c>
      <c r="D233" s="25"/>
      <c r="E233" s="24"/>
      <c r="F233" s="27" t="str">
        <f t="shared" si="6"/>
        <v/>
      </c>
      <c r="G233" s="24"/>
      <c r="H233" s="27" t="str">
        <f t="shared" si="7"/>
        <v/>
      </c>
      <c r="I233" s="28" t="str">
        <f>IFERROR(IF(OR($A233="",ANAGRAFICA!$P233="",ANAGRAFICA!$P233=0),"",(ANAGRAFICA!$P233-$H233)/ANAGRAFICA!$P233),"")</f>
        <v/>
      </c>
      <c r="J233" s="22"/>
    </row>
    <row r="234" spans="1:10" ht="15" x14ac:dyDescent="0.15">
      <c r="A234" s="26" t="str">
        <f>IF(ANAGRAFICA!$B234="","",ANAGRAFICA!$B234)</f>
        <v/>
      </c>
      <c r="B234" s="26" t="str">
        <f>IF($A234="","",ANAGRAFICA!$C234)</f>
        <v/>
      </c>
      <c r="C234" s="26" t="str">
        <f>IF($A234="","",ANAGRAFICA!$D234)</f>
        <v/>
      </c>
      <c r="D234" s="25"/>
      <c r="E234" s="24"/>
      <c r="F234" s="27" t="str">
        <f t="shared" si="6"/>
        <v/>
      </c>
      <c r="G234" s="24"/>
      <c r="H234" s="27" t="str">
        <f t="shared" si="7"/>
        <v/>
      </c>
      <c r="I234" s="28" t="str">
        <f>IFERROR(IF(OR($A234="",ANAGRAFICA!$P234="",ANAGRAFICA!$P234=0),"",(ANAGRAFICA!$P234-$H234)/ANAGRAFICA!$P234),"")</f>
        <v/>
      </c>
      <c r="J234" s="22"/>
    </row>
    <row r="235" spans="1:10" ht="15" x14ac:dyDescent="0.15">
      <c r="A235" s="26" t="str">
        <f>IF(ANAGRAFICA!$B235="","",ANAGRAFICA!$B235)</f>
        <v/>
      </c>
      <c r="B235" s="26" t="str">
        <f>IF($A235="","",ANAGRAFICA!$C235)</f>
        <v/>
      </c>
      <c r="C235" s="26" t="str">
        <f>IF($A235="","",ANAGRAFICA!$D235)</f>
        <v/>
      </c>
      <c r="D235" s="25"/>
      <c r="E235" s="24"/>
      <c r="F235" s="27" t="str">
        <f t="shared" si="6"/>
        <v/>
      </c>
      <c r="G235" s="24"/>
      <c r="H235" s="27" t="str">
        <f t="shared" si="7"/>
        <v/>
      </c>
      <c r="I235" s="28" t="str">
        <f>IFERROR(IF(OR($A235="",ANAGRAFICA!$P235="",ANAGRAFICA!$P235=0),"",(ANAGRAFICA!$P235-$H235)/ANAGRAFICA!$P235),"")</f>
        <v/>
      </c>
      <c r="J235" s="22"/>
    </row>
    <row r="236" spans="1:10" ht="15" x14ac:dyDescent="0.15">
      <c r="A236" s="26" t="str">
        <f>IF(ANAGRAFICA!$B236="","",ANAGRAFICA!$B236)</f>
        <v/>
      </c>
      <c r="B236" s="26" t="str">
        <f>IF($A236="","",ANAGRAFICA!$C236)</f>
        <v/>
      </c>
      <c r="C236" s="26" t="str">
        <f>IF($A236="","",ANAGRAFICA!$D236)</f>
        <v/>
      </c>
      <c r="D236" s="25"/>
      <c r="E236" s="24"/>
      <c r="F236" s="27" t="str">
        <f t="shared" si="6"/>
        <v/>
      </c>
      <c r="G236" s="24"/>
      <c r="H236" s="27" t="str">
        <f t="shared" si="7"/>
        <v/>
      </c>
      <c r="I236" s="28" t="str">
        <f>IFERROR(IF(OR($A236="",ANAGRAFICA!$P236="",ANAGRAFICA!$P236=0),"",(ANAGRAFICA!$P236-$H236)/ANAGRAFICA!$P236),"")</f>
        <v/>
      </c>
      <c r="J236" s="22"/>
    </row>
    <row r="237" spans="1:10" ht="15" x14ac:dyDescent="0.15">
      <c r="A237" s="26" t="str">
        <f>IF(ANAGRAFICA!$B237="","",ANAGRAFICA!$B237)</f>
        <v/>
      </c>
      <c r="B237" s="26" t="str">
        <f>IF($A237="","",ANAGRAFICA!$C237)</f>
        <v/>
      </c>
      <c r="C237" s="26" t="str">
        <f>IF($A237="","",ANAGRAFICA!$D237)</f>
        <v/>
      </c>
      <c r="D237" s="25"/>
      <c r="E237" s="24"/>
      <c r="F237" s="27" t="str">
        <f t="shared" si="6"/>
        <v/>
      </c>
      <c r="G237" s="24"/>
      <c r="H237" s="27" t="str">
        <f t="shared" si="7"/>
        <v/>
      </c>
      <c r="I237" s="28" t="str">
        <f>IFERROR(IF(OR($A237="",ANAGRAFICA!$P237="",ANAGRAFICA!$P237=0),"",(ANAGRAFICA!$P237-$H237)/ANAGRAFICA!$P237),"")</f>
        <v/>
      </c>
      <c r="J237" s="22"/>
    </row>
    <row r="238" spans="1:10" ht="15" x14ac:dyDescent="0.15">
      <c r="A238" s="26" t="str">
        <f>IF(ANAGRAFICA!$B238="","",ANAGRAFICA!$B238)</f>
        <v/>
      </c>
      <c r="B238" s="26" t="str">
        <f>IF($A238="","",ANAGRAFICA!$C238)</f>
        <v/>
      </c>
      <c r="C238" s="26" t="str">
        <f>IF($A238="","",ANAGRAFICA!$D238)</f>
        <v/>
      </c>
      <c r="D238" s="25"/>
      <c r="E238" s="24"/>
      <c r="F238" s="27" t="str">
        <f t="shared" si="6"/>
        <v/>
      </c>
      <c r="G238" s="24"/>
      <c r="H238" s="27" t="str">
        <f t="shared" si="7"/>
        <v/>
      </c>
      <c r="I238" s="28" t="str">
        <f>IFERROR(IF(OR($A238="",ANAGRAFICA!$P238="",ANAGRAFICA!$P238=0),"",(ANAGRAFICA!$P238-$H238)/ANAGRAFICA!$P238),"")</f>
        <v/>
      </c>
      <c r="J238" s="22"/>
    </row>
    <row r="239" spans="1:10" ht="15" x14ac:dyDescent="0.15">
      <c r="A239" s="26" t="str">
        <f>IF(ANAGRAFICA!$B239="","",ANAGRAFICA!$B239)</f>
        <v/>
      </c>
      <c r="B239" s="26" t="str">
        <f>IF($A239="","",ANAGRAFICA!$C239)</f>
        <v/>
      </c>
      <c r="C239" s="26" t="str">
        <f>IF($A239="","",ANAGRAFICA!$D239)</f>
        <v/>
      </c>
      <c r="D239" s="25"/>
      <c r="E239" s="24"/>
      <c r="F239" s="27" t="str">
        <f t="shared" si="6"/>
        <v/>
      </c>
      <c r="G239" s="24"/>
      <c r="H239" s="27" t="str">
        <f t="shared" si="7"/>
        <v/>
      </c>
      <c r="I239" s="28" t="str">
        <f>IFERROR(IF(OR($A239="",ANAGRAFICA!$P239="",ANAGRAFICA!$P239=0),"",(ANAGRAFICA!$P239-$H239)/ANAGRAFICA!$P239),"")</f>
        <v/>
      </c>
      <c r="J239" s="22"/>
    </row>
    <row r="240" spans="1:10" ht="15" x14ac:dyDescent="0.15">
      <c r="A240" s="26" t="str">
        <f>IF(ANAGRAFICA!$B240="","",ANAGRAFICA!$B240)</f>
        <v/>
      </c>
      <c r="B240" s="26" t="str">
        <f>IF($A240="","",ANAGRAFICA!$C240)</f>
        <v/>
      </c>
      <c r="C240" s="26" t="str">
        <f>IF($A240="","",ANAGRAFICA!$D240)</f>
        <v/>
      </c>
      <c r="D240" s="25"/>
      <c r="E240" s="24"/>
      <c r="F240" s="27" t="str">
        <f t="shared" si="6"/>
        <v/>
      </c>
      <c r="G240" s="24"/>
      <c r="H240" s="27" t="str">
        <f t="shared" si="7"/>
        <v/>
      </c>
      <c r="I240" s="28" t="str">
        <f>IFERROR(IF(OR($A240="",ANAGRAFICA!$P240="",ANAGRAFICA!$P240=0),"",(ANAGRAFICA!$P240-$H240)/ANAGRAFICA!$P240),"")</f>
        <v/>
      </c>
      <c r="J240" s="22"/>
    </row>
    <row r="241" spans="1:10" ht="15" x14ac:dyDescent="0.15">
      <c r="A241" s="26" t="str">
        <f>IF(ANAGRAFICA!$B241="","",ANAGRAFICA!$B241)</f>
        <v/>
      </c>
      <c r="B241" s="26" t="str">
        <f>IF($A241="","",ANAGRAFICA!$C241)</f>
        <v/>
      </c>
      <c r="C241" s="26" t="str">
        <f>IF($A241="","",ANAGRAFICA!$D241)</f>
        <v/>
      </c>
      <c r="D241" s="25"/>
      <c r="E241" s="24"/>
      <c r="F241" s="27" t="str">
        <f t="shared" si="6"/>
        <v/>
      </c>
      <c r="G241" s="24"/>
      <c r="H241" s="27" t="str">
        <f t="shared" si="7"/>
        <v/>
      </c>
      <c r="I241" s="28" t="str">
        <f>IFERROR(IF(OR($A241="",ANAGRAFICA!$P241="",ANAGRAFICA!$P241=0),"",(ANAGRAFICA!$P241-$H241)/ANAGRAFICA!$P241),"")</f>
        <v/>
      </c>
      <c r="J241" s="22"/>
    </row>
    <row r="242" spans="1:10" ht="15" x14ac:dyDescent="0.15">
      <c r="A242" s="26" t="str">
        <f>IF(ANAGRAFICA!$B242="","",ANAGRAFICA!$B242)</f>
        <v/>
      </c>
      <c r="B242" s="26" t="str">
        <f>IF($A242="","",ANAGRAFICA!$C242)</f>
        <v/>
      </c>
      <c r="C242" s="26" t="str">
        <f>IF($A242="","",ANAGRAFICA!$D242)</f>
        <v/>
      </c>
      <c r="D242" s="25"/>
      <c r="E242" s="24"/>
      <c r="F242" s="27" t="str">
        <f t="shared" si="6"/>
        <v/>
      </c>
      <c r="G242" s="24"/>
      <c r="H242" s="27" t="str">
        <f t="shared" si="7"/>
        <v/>
      </c>
      <c r="I242" s="28" t="str">
        <f>IFERROR(IF(OR($A242="",ANAGRAFICA!$P242="",ANAGRAFICA!$P242=0),"",(ANAGRAFICA!$P242-$H242)/ANAGRAFICA!$P242),"")</f>
        <v/>
      </c>
      <c r="J242" s="22"/>
    </row>
    <row r="243" spans="1:10" ht="15" x14ac:dyDescent="0.15">
      <c r="A243" s="26" t="str">
        <f>IF(ANAGRAFICA!$B243="","",ANAGRAFICA!$B243)</f>
        <v/>
      </c>
      <c r="B243" s="26" t="str">
        <f>IF($A243="","",ANAGRAFICA!$C243)</f>
        <v/>
      </c>
      <c r="C243" s="26" t="str">
        <f>IF($A243="","",ANAGRAFICA!$D243)</f>
        <v/>
      </c>
      <c r="D243" s="25"/>
      <c r="E243" s="24"/>
      <c r="F243" s="27" t="str">
        <f t="shared" si="6"/>
        <v/>
      </c>
      <c r="G243" s="24"/>
      <c r="H243" s="27" t="str">
        <f t="shared" si="7"/>
        <v/>
      </c>
      <c r="I243" s="28" t="str">
        <f>IFERROR(IF(OR($A243="",ANAGRAFICA!$P243="",ANAGRAFICA!$P243=0),"",(ANAGRAFICA!$P243-$H243)/ANAGRAFICA!$P243),"")</f>
        <v/>
      </c>
      <c r="J243" s="22"/>
    </row>
    <row r="244" spans="1:10" ht="15" x14ac:dyDescent="0.15">
      <c r="A244" s="26" t="str">
        <f>IF(ANAGRAFICA!$B244="","",ANAGRAFICA!$B244)</f>
        <v/>
      </c>
      <c r="B244" s="26" t="str">
        <f>IF($A244="","",ANAGRAFICA!$C244)</f>
        <v/>
      </c>
      <c r="C244" s="26" t="str">
        <f>IF($A244="","",ANAGRAFICA!$D244)</f>
        <v/>
      </c>
      <c r="D244" s="25"/>
      <c r="E244" s="24"/>
      <c r="F244" s="27" t="str">
        <f t="shared" si="6"/>
        <v/>
      </c>
      <c r="G244" s="24"/>
      <c r="H244" s="27" t="str">
        <f t="shared" si="7"/>
        <v/>
      </c>
      <c r="I244" s="28" t="str">
        <f>IFERROR(IF(OR($A244="",ANAGRAFICA!$P244="",ANAGRAFICA!$P244=0),"",(ANAGRAFICA!$P244-$H244)/ANAGRAFICA!$P244),"")</f>
        <v/>
      </c>
      <c r="J244" s="22"/>
    </row>
    <row r="245" spans="1:10" ht="15" x14ac:dyDescent="0.15">
      <c r="A245" s="26" t="str">
        <f>IF(ANAGRAFICA!$B245="","",ANAGRAFICA!$B245)</f>
        <v/>
      </c>
      <c r="B245" s="26" t="str">
        <f>IF($A245="","",ANAGRAFICA!$C245)</f>
        <v/>
      </c>
      <c r="C245" s="26" t="str">
        <f>IF($A245="","",ANAGRAFICA!$D245)</f>
        <v/>
      </c>
      <c r="D245" s="25"/>
      <c r="E245" s="24"/>
      <c r="F245" s="27" t="str">
        <f t="shared" si="6"/>
        <v/>
      </c>
      <c r="G245" s="24"/>
      <c r="H245" s="27" t="str">
        <f t="shared" si="7"/>
        <v/>
      </c>
      <c r="I245" s="28" t="str">
        <f>IFERROR(IF(OR($A245="",ANAGRAFICA!$P245="",ANAGRAFICA!$P245=0),"",(ANAGRAFICA!$P245-$H245)/ANAGRAFICA!$P245),"")</f>
        <v/>
      </c>
      <c r="J245" s="22"/>
    </row>
    <row r="246" spans="1:10" ht="15" x14ac:dyDescent="0.15">
      <c r="A246" s="26" t="str">
        <f>IF(ANAGRAFICA!$B246="","",ANAGRAFICA!$B246)</f>
        <v/>
      </c>
      <c r="B246" s="26" t="str">
        <f>IF($A246="","",ANAGRAFICA!$C246)</f>
        <v/>
      </c>
      <c r="C246" s="26" t="str">
        <f>IF($A246="","",ANAGRAFICA!$D246)</f>
        <v/>
      </c>
      <c r="D246" s="25"/>
      <c r="E246" s="24"/>
      <c r="F246" s="27" t="str">
        <f t="shared" si="6"/>
        <v/>
      </c>
      <c r="G246" s="24"/>
      <c r="H246" s="27" t="str">
        <f t="shared" si="7"/>
        <v/>
      </c>
      <c r="I246" s="28" t="str">
        <f>IFERROR(IF(OR($A246="",ANAGRAFICA!$P246="",ANAGRAFICA!$P246=0),"",(ANAGRAFICA!$P246-$H246)/ANAGRAFICA!$P246),"")</f>
        <v/>
      </c>
      <c r="J246" s="22"/>
    </row>
    <row r="247" spans="1:10" ht="15" x14ac:dyDescent="0.15">
      <c r="A247" s="26" t="str">
        <f>IF(ANAGRAFICA!$B247="","",ANAGRAFICA!$B247)</f>
        <v/>
      </c>
      <c r="B247" s="26" t="str">
        <f>IF($A247="","",ANAGRAFICA!$C247)</f>
        <v/>
      </c>
      <c r="C247" s="26" t="str">
        <f>IF($A247="","",ANAGRAFICA!$D247)</f>
        <v/>
      </c>
      <c r="D247" s="25"/>
      <c r="E247" s="24"/>
      <c r="F247" s="27" t="str">
        <f t="shared" si="6"/>
        <v/>
      </c>
      <c r="G247" s="24"/>
      <c r="H247" s="27" t="str">
        <f t="shared" si="7"/>
        <v/>
      </c>
      <c r="I247" s="28" t="str">
        <f>IFERROR(IF(OR($A247="",ANAGRAFICA!$P247="",ANAGRAFICA!$P247=0),"",(ANAGRAFICA!$P247-$H247)/ANAGRAFICA!$P247),"")</f>
        <v/>
      </c>
      <c r="J247" s="22"/>
    </row>
    <row r="248" spans="1:10" ht="15" x14ac:dyDescent="0.15">
      <c r="A248" s="26" t="str">
        <f>IF(ANAGRAFICA!$B248="","",ANAGRAFICA!$B248)</f>
        <v/>
      </c>
      <c r="B248" s="26" t="str">
        <f>IF($A248="","",ANAGRAFICA!$C248)</f>
        <v/>
      </c>
      <c r="C248" s="26" t="str">
        <f>IF($A248="","",ANAGRAFICA!$D248)</f>
        <v/>
      </c>
      <c r="D248" s="25"/>
      <c r="E248" s="24"/>
      <c r="F248" s="27" t="str">
        <f t="shared" si="6"/>
        <v/>
      </c>
      <c r="G248" s="24"/>
      <c r="H248" s="27" t="str">
        <f t="shared" si="7"/>
        <v/>
      </c>
      <c r="I248" s="28" t="str">
        <f>IFERROR(IF(OR($A248="",ANAGRAFICA!$P248="",ANAGRAFICA!$P248=0),"",(ANAGRAFICA!$P248-$H248)/ANAGRAFICA!$P248),"")</f>
        <v/>
      </c>
      <c r="J248" s="22"/>
    </row>
    <row r="249" spans="1:10" ht="15" x14ac:dyDescent="0.15">
      <c r="A249" s="26" t="str">
        <f>IF(ANAGRAFICA!$B249="","",ANAGRAFICA!$B249)</f>
        <v/>
      </c>
      <c r="B249" s="26" t="str">
        <f>IF($A249="","",ANAGRAFICA!$C249)</f>
        <v/>
      </c>
      <c r="C249" s="26" t="str">
        <f>IF($A249="","",ANAGRAFICA!$D249)</f>
        <v/>
      </c>
      <c r="D249" s="25"/>
      <c r="E249" s="24"/>
      <c r="F249" s="27" t="str">
        <f t="shared" si="6"/>
        <v/>
      </c>
      <c r="G249" s="24"/>
      <c r="H249" s="27" t="str">
        <f t="shared" si="7"/>
        <v/>
      </c>
      <c r="I249" s="28" t="str">
        <f>IFERROR(IF(OR($A249="",ANAGRAFICA!$P249="",ANAGRAFICA!$P249=0),"",(ANAGRAFICA!$P249-$H249)/ANAGRAFICA!$P249),"")</f>
        <v/>
      </c>
      <c r="J249" s="22"/>
    </row>
    <row r="250" spans="1:10" ht="15" x14ac:dyDescent="0.15">
      <c r="A250" s="26" t="str">
        <f>IF(ANAGRAFICA!$B250="","",ANAGRAFICA!$B250)</f>
        <v/>
      </c>
      <c r="B250" s="26" t="str">
        <f>IF($A250="","",ANAGRAFICA!$C250)</f>
        <v/>
      </c>
      <c r="C250" s="26" t="str">
        <f>IF($A250="","",ANAGRAFICA!$D250)</f>
        <v/>
      </c>
      <c r="D250" s="25"/>
      <c r="E250" s="24"/>
      <c r="F250" s="27" t="str">
        <f t="shared" si="6"/>
        <v/>
      </c>
      <c r="G250" s="24"/>
      <c r="H250" s="27" t="str">
        <f t="shared" si="7"/>
        <v/>
      </c>
      <c r="I250" s="28" t="str">
        <f>IFERROR(IF(OR($A250="",ANAGRAFICA!$P250="",ANAGRAFICA!$P250=0),"",(ANAGRAFICA!$P250-$H250)/ANAGRAFICA!$P250),"")</f>
        <v/>
      </c>
      <c r="J250" s="22"/>
    </row>
    <row r="251" spans="1:10" ht="15" x14ac:dyDescent="0.15">
      <c r="A251" s="26" t="str">
        <f>IF(ANAGRAFICA!$B251="","",ANAGRAFICA!$B251)</f>
        <v/>
      </c>
      <c r="B251" s="26" t="str">
        <f>IF($A251="","",ANAGRAFICA!$C251)</f>
        <v/>
      </c>
      <c r="C251" s="26" t="str">
        <f>IF($A251="","",ANAGRAFICA!$D251)</f>
        <v/>
      </c>
      <c r="D251" s="25"/>
      <c r="E251" s="24"/>
      <c r="F251" s="27" t="str">
        <f t="shared" si="6"/>
        <v/>
      </c>
      <c r="G251" s="24"/>
      <c r="H251" s="27" t="str">
        <f t="shared" si="7"/>
        <v/>
      </c>
      <c r="I251" s="28" t="str">
        <f>IFERROR(IF(OR($A251="",ANAGRAFICA!$P251="",ANAGRAFICA!$P251=0),"",(ANAGRAFICA!$P251-$H251)/ANAGRAFICA!$P251),"")</f>
        <v/>
      </c>
      <c r="J251" s="22"/>
    </row>
    <row r="252" spans="1:10" ht="15" x14ac:dyDescent="0.15">
      <c r="A252" s="26" t="str">
        <f>IF(ANAGRAFICA!$B252="","",ANAGRAFICA!$B252)</f>
        <v/>
      </c>
      <c r="B252" s="26" t="str">
        <f>IF($A252="","",ANAGRAFICA!$C252)</f>
        <v/>
      </c>
      <c r="C252" s="26" t="str">
        <f>IF($A252="","",ANAGRAFICA!$D252)</f>
        <v/>
      </c>
      <c r="D252" s="25"/>
      <c r="E252" s="24"/>
      <c r="F252" s="27" t="str">
        <f t="shared" si="6"/>
        <v/>
      </c>
      <c r="G252" s="24"/>
      <c r="H252" s="27" t="str">
        <f t="shared" si="7"/>
        <v/>
      </c>
      <c r="I252" s="28" t="str">
        <f>IFERROR(IF(OR($A252="",ANAGRAFICA!$P252="",ANAGRAFICA!$P252=0),"",(ANAGRAFICA!$P252-$H252)/ANAGRAFICA!$P252),"")</f>
        <v/>
      </c>
      <c r="J252" s="22"/>
    </row>
    <row r="253" spans="1:10" ht="15" x14ac:dyDescent="0.15">
      <c r="A253" s="26" t="str">
        <f>IF(ANAGRAFICA!$B253="","",ANAGRAFICA!$B253)</f>
        <v/>
      </c>
      <c r="B253" s="26" t="str">
        <f>IF($A253="","",ANAGRAFICA!$C253)</f>
        <v/>
      </c>
      <c r="C253" s="26" t="str">
        <f>IF($A253="","",ANAGRAFICA!$D253)</f>
        <v/>
      </c>
      <c r="D253" s="25"/>
      <c r="E253" s="24"/>
      <c r="F253" s="27" t="str">
        <f t="shared" si="6"/>
        <v/>
      </c>
      <c r="G253" s="24"/>
      <c r="H253" s="27" t="str">
        <f t="shared" si="7"/>
        <v/>
      </c>
      <c r="I253" s="28" t="str">
        <f>IFERROR(IF(OR($A253="",ANAGRAFICA!$P253="",ANAGRAFICA!$P253=0),"",(ANAGRAFICA!$P253-$H253)/ANAGRAFICA!$P253),"")</f>
        <v/>
      </c>
      <c r="J253" s="22"/>
    </row>
    <row r="254" spans="1:10" ht="15" x14ac:dyDescent="0.15">
      <c r="A254" s="26" t="str">
        <f>IF(ANAGRAFICA!$B254="","",ANAGRAFICA!$B254)</f>
        <v/>
      </c>
      <c r="B254" s="26" t="str">
        <f>IF($A254="","",ANAGRAFICA!$C254)</f>
        <v/>
      </c>
      <c r="C254" s="26" t="str">
        <f>IF($A254="","",ANAGRAFICA!$D254)</f>
        <v/>
      </c>
      <c r="D254" s="25"/>
      <c r="E254" s="24"/>
      <c r="F254" s="27" t="str">
        <f t="shared" si="6"/>
        <v/>
      </c>
      <c r="G254" s="24"/>
      <c r="H254" s="27" t="str">
        <f t="shared" si="7"/>
        <v/>
      </c>
      <c r="I254" s="28" t="str">
        <f>IFERROR(IF(OR($A254="",ANAGRAFICA!$P254="",ANAGRAFICA!$P254=0),"",(ANAGRAFICA!$P254-$H254)/ANAGRAFICA!$P254),"")</f>
        <v/>
      </c>
      <c r="J254" s="22"/>
    </row>
    <row r="255" spans="1:10" ht="15" x14ac:dyDescent="0.15">
      <c r="A255" s="26" t="str">
        <f>IF(ANAGRAFICA!$B255="","",ANAGRAFICA!$B255)</f>
        <v/>
      </c>
      <c r="B255" s="26" t="str">
        <f>IF($A255="","",ANAGRAFICA!$C255)</f>
        <v/>
      </c>
      <c r="C255" s="26" t="str">
        <f>IF($A255="","",ANAGRAFICA!$D255)</f>
        <v/>
      </c>
      <c r="D255" s="25"/>
      <c r="E255" s="24"/>
      <c r="F255" s="27" t="str">
        <f t="shared" si="6"/>
        <v/>
      </c>
      <c r="G255" s="24"/>
      <c r="H255" s="27" t="str">
        <f t="shared" si="7"/>
        <v/>
      </c>
      <c r="I255" s="28" t="str">
        <f>IFERROR(IF(OR($A255="",ANAGRAFICA!$P255="",ANAGRAFICA!$P255=0),"",(ANAGRAFICA!$P255-$H255)/ANAGRAFICA!$P255),"")</f>
        <v/>
      </c>
      <c r="J255" s="22"/>
    </row>
    <row r="256" spans="1:10" ht="15" x14ac:dyDescent="0.15">
      <c r="A256" s="26" t="str">
        <f>IF(ANAGRAFICA!$B256="","",ANAGRAFICA!$B256)</f>
        <v/>
      </c>
      <c r="B256" s="26" t="str">
        <f>IF($A256="","",ANAGRAFICA!$C256)</f>
        <v/>
      </c>
      <c r="C256" s="26" t="str">
        <f>IF($A256="","",ANAGRAFICA!$D256)</f>
        <v/>
      </c>
      <c r="D256" s="25"/>
      <c r="E256" s="24"/>
      <c r="F256" s="27" t="str">
        <f t="shared" si="6"/>
        <v/>
      </c>
      <c r="G256" s="24"/>
      <c r="H256" s="27" t="str">
        <f t="shared" si="7"/>
        <v/>
      </c>
      <c r="I256" s="28" t="str">
        <f>IFERROR(IF(OR($A256="",ANAGRAFICA!$P256="",ANAGRAFICA!$P256=0),"",(ANAGRAFICA!$P256-$H256)/ANAGRAFICA!$P256),"")</f>
        <v/>
      </c>
      <c r="J256" s="22"/>
    </row>
    <row r="257" spans="1:10" ht="15" x14ac:dyDescent="0.15">
      <c r="A257" s="26" t="str">
        <f>IF(ANAGRAFICA!$B257="","",ANAGRAFICA!$B257)</f>
        <v/>
      </c>
      <c r="B257" s="26" t="str">
        <f>IF($A257="","",ANAGRAFICA!$C257)</f>
        <v/>
      </c>
      <c r="C257" s="26" t="str">
        <f>IF($A257="","",ANAGRAFICA!$D257)</f>
        <v/>
      </c>
      <c r="D257" s="25"/>
      <c r="E257" s="24"/>
      <c r="F257" s="27" t="str">
        <f t="shared" si="6"/>
        <v/>
      </c>
      <c r="G257" s="24"/>
      <c r="H257" s="27" t="str">
        <f t="shared" si="7"/>
        <v/>
      </c>
      <c r="I257" s="28" t="str">
        <f>IFERROR(IF(OR($A257="",ANAGRAFICA!$P257="",ANAGRAFICA!$P257=0),"",(ANAGRAFICA!$P257-$H257)/ANAGRAFICA!$P257),"")</f>
        <v/>
      </c>
      <c r="J257" s="22"/>
    </row>
    <row r="258" spans="1:10" ht="15" x14ac:dyDescent="0.15">
      <c r="A258" s="26" t="str">
        <f>IF(ANAGRAFICA!$B258="","",ANAGRAFICA!$B258)</f>
        <v/>
      </c>
      <c r="B258" s="26" t="str">
        <f>IF($A258="","",ANAGRAFICA!$C258)</f>
        <v/>
      </c>
      <c r="C258" s="26" t="str">
        <f>IF($A258="","",ANAGRAFICA!$D258)</f>
        <v/>
      </c>
      <c r="D258" s="25"/>
      <c r="E258" s="24"/>
      <c r="F258" s="27" t="str">
        <f t="shared" si="6"/>
        <v/>
      </c>
      <c r="G258" s="24"/>
      <c r="H258" s="27" t="str">
        <f t="shared" si="7"/>
        <v/>
      </c>
      <c r="I258" s="28" t="str">
        <f>IFERROR(IF(OR($A258="",ANAGRAFICA!$P258="",ANAGRAFICA!$P258=0),"",(ANAGRAFICA!$P258-$H258)/ANAGRAFICA!$P258),"")</f>
        <v/>
      </c>
      <c r="J258" s="22"/>
    </row>
    <row r="259" spans="1:10" ht="15" x14ac:dyDescent="0.15">
      <c r="A259" s="26" t="str">
        <f>IF(ANAGRAFICA!$B259="","",ANAGRAFICA!$B259)</f>
        <v/>
      </c>
      <c r="B259" s="26" t="str">
        <f>IF($A259="","",ANAGRAFICA!$C259)</f>
        <v/>
      </c>
      <c r="C259" s="26" t="str">
        <f>IF($A259="","",ANAGRAFICA!$D259)</f>
        <v/>
      </c>
      <c r="D259" s="25"/>
      <c r="E259" s="24"/>
      <c r="F259" s="27" t="str">
        <f t="shared" si="6"/>
        <v/>
      </c>
      <c r="G259" s="24"/>
      <c r="H259" s="27" t="str">
        <f t="shared" si="7"/>
        <v/>
      </c>
      <c r="I259" s="28" t="str">
        <f>IFERROR(IF(OR($A259="",ANAGRAFICA!$P259="",ANAGRAFICA!$P259=0),"",(ANAGRAFICA!$P259-$H259)/ANAGRAFICA!$P259),"")</f>
        <v/>
      </c>
      <c r="J259" s="22"/>
    </row>
    <row r="260" spans="1:10" ht="15" x14ac:dyDescent="0.15">
      <c r="A260" s="26" t="str">
        <f>IF(ANAGRAFICA!$B260="","",ANAGRAFICA!$B260)</f>
        <v/>
      </c>
      <c r="B260" s="26" t="str">
        <f>IF($A260="","",ANAGRAFICA!$C260)</f>
        <v/>
      </c>
      <c r="C260" s="26" t="str">
        <f>IF($A260="","",ANAGRAFICA!$D260)</f>
        <v/>
      </c>
      <c r="D260" s="25"/>
      <c r="E260" s="24"/>
      <c r="F260" s="27" t="str">
        <f t="shared" si="6"/>
        <v/>
      </c>
      <c r="G260" s="24"/>
      <c r="H260" s="27" t="str">
        <f t="shared" si="7"/>
        <v/>
      </c>
      <c r="I260" s="28" t="str">
        <f>IFERROR(IF(OR($A260="",ANAGRAFICA!$P260="",ANAGRAFICA!$P260=0),"",(ANAGRAFICA!$P260-$H260)/ANAGRAFICA!$P260),"")</f>
        <v/>
      </c>
      <c r="J260" s="22"/>
    </row>
    <row r="261" spans="1:10" ht="15" x14ac:dyDescent="0.15">
      <c r="A261" s="26" t="str">
        <f>IF(ANAGRAFICA!$B261="","",ANAGRAFICA!$B261)</f>
        <v/>
      </c>
      <c r="B261" s="26" t="str">
        <f>IF($A261="","",ANAGRAFICA!$C261)</f>
        <v/>
      </c>
      <c r="C261" s="26" t="str">
        <f>IF($A261="","",ANAGRAFICA!$D261)</f>
        <v/>
      </c>
      <c r="D261" s="25"/>
      <c r="E261" s="24"/>
      <c r="F261" s="27" t="str">
        <f t="shared" si="6"/>
        <v/>
      </c>
      <c r="G261" s="24"/>
      <c r="H261" s="27" t="str">
        <f t="shared" si="7"/>
        <v/>
      </c>
      <c r="I261" s="28" t="str">
        <f>IFERROR(IF(OR($A261="",ANAGRAFICA!$P261="",ANAGRAFICA!$P261=0),"",(ANAGRAFICA!$P261-$H261)/ANAGRAFICA!$P261),"")</f>
        <v/>
      </c>
      <c r="J261" s="22"/>
    </row>
    <row r="262" spans="1:10" ht="15" x14ac:dyDescent="0.15">
      <c r="A262" s="26" t="str">
        <f>IF(ANAGRAFICA!$B262="","",ANAGRAFICA!$B262)</f>
        <v/>
      </c>
      <c r="B262" s="26" t="str">
        <f>IF($A262="","",ANAGRAFICA!$C262)</f>
        <v/>
      </c>
      <c r="C262" s="26" t="str">
        <f>IF($A262="","",ANAGRAFICA!$D262)</f>
        <v/>
      </c>
      <c r="D262" s="25"/>
      <c r="E262" s="24"/>
      <c r="F262" s="27" t="str">
        <f t="shared" ref="F262:F305" si="8">IF(OR($A262="",$D262="",$E262=""),"",$D262*$E262)</f>
        <v/>
      </c>
      <c r="G262" s="24"/>
      <c r="H262" s="27" t="str">
        <f t="shared" ref="H262:H305" si="9">IF($A262="","",SUM($F262,$G262))</f>
        <v/>
      </c>
      <c r="I262" s="28" t="str">
        <f>IFERROR(IF(OR($A262="",ANAGRAFICA!$P262="",ANAGRAFICA!$P262=0),"",(ANAGRAFICA!$P262-$H262)/ANAGRAFICA!$P262),"")</f>
        <v/>
      </c>
      <c r="J262" s="22"/>
    </row>
    <row r="263" spans="1:10" ht="15" x14ac:dyDescent="0.15">
      <c r="A263" s="26" t="str">
        <f>IF(ANAGRAFICA!$B263="","",ANAGRAFICA!$B263)</f>
        <v/>
      </c>
      <c r="B263" s="26" t="str">
        <f>IF($A263="","",ANAGRAFICA!$C263)</f>
        <v/>
      </c>
      <c r="C263" s="26" t="str">
        <f>IF($A263="","",ANAGRAFICA!$D263)</f>
        <v/>
      </c>
      <c r="D263" s="25"/>
      <c r="E263" s="24"/>
      <c r="F263" s="27" t="str">
        <f t="shared" si="8"/>
        <v/>
      </c>
      <c r="G263" s="24"/>
      <c r="H263" s="27" t="str">
        <f t="shared" si="9"/>
        <v/>
      </c>
      <c r="I263" s="28" t="str">
        <f>IFERROR(IF(OR($A263="",ANAGRAFICA!$P263="",ANAGRAFICA!$P263=0),"",(ANAGRAFICA!$P263-$H263)/ANAGRAFICA!$P263),"")</f>
        <v/>
      </c>
      <c r="J263" s="22"/>
    </row>
    <row r="264" spans="1:10" ht="15" x14ac:dyDescent="0.15">
      <c r="A264" s="26" t="str">
        <f>IF(ANAGRAFICA!$B264="","",ANAGRAFICA!$B264)</f>
        <v/>
      </c>
      <c r="B264" s="26" t="str">
        <f>IF($A264="","",ANAGRAFICA!$C264)</f>
        <v/>
      </c>
      <c r="C264" s="26" t="str">
        <f>IF($A264="","",ANAGRAFICA!$D264)</f>
        <v/>
      </c>
      <c r="D264" s="25"/>
      <c r="E264" s="24"/>
      <c r="F264" s="27" t="str">
        <f t="shared" si="8"/>
        <v/>
      </c>
      <c r="G264" s="24"/>
      <c r="H264" s="27" t="str">
        <f t="shared" si="9"/>
        <v/>
      </c>
      <c r="I264" s="28" t="str">
        <f>IFERROR(IF(OR($A264="",ANAGRAFICA!$P264="",ANAGRAFICA!$P264=0),"",(ANAGRAFICA!$P264-$H264)/ANAGRAFICA!$P264),"")</f>
        <v/>
      </c>
      <c r="J264" s="22"/>
    </row>
    <row r="265" spans="1:10" ht="15" x14ac:dyDescent="0.15">
      <c r="A265" s="26" t="str">
        <f>IF(ANAGRAFICA!$B265="","",ANAGRAFICA!$B265)</f>
        <v/>
      </c>
      <c r="B265" s="26" t="str">
        <f>IF($A265="","",ANAGRAFICA!$C265)</f>
        <v/>
      </c>
      <c r="C265" s="26" t="str">
        <f>IF($A265="","",ANAGRAFICA!$D265)</f>
        <v/>
      </c>
      <c r="D265" s="25"/>
      <c r="E265" s="24"/>
      <c r="F265" s="27" t="str">
        <f t="shared" si="8"/>
        <v/>
      </c>
      <c r="G265" s="24"/>
      <c r="H265" s="27" t="str">
        <f t="shared" si="9"/>
        <v/>
      </c>
      <c r="I265" s="28" t="str">
        <f>IFERROR(IF(OR($A265="",ANAGRAFICA!$P265="",ANAGRAFICA!$P265=0),"",(ANAGRAFICA!$P265-$H265)/ANAGRAFICA!$P265),"")</f>
        <v/>
      </c>
      <c r="J265" s="22"/>
    </row>
    <row r="266" spans="1:10" ht="15" x14ac:dyDescent="0.15">
      <c r="A266" s="26" t="str">
        <f>IF(ANAGRAFICA!$B266="","",ANAGRAFICA!$B266)</f>
        <v/>
      </c>
      <c r="B266" s="26" t="str">
        <f>IF($A266="","",ANAGRAFICA!$C266)</f>
        <v/>
      </c>
      <c r="C266" s="26" t="str">
        <f>IF($A266="","",ANAGRAFICA!$D266)</f>
        <v/>
      </c>
      <c r="D266" s="25"/>
      <c r="E266" s="24"/>
      <c r="F266" s="27" t="str">
        <f t="shared" si="8"/>
        <v/>
      </c>
      <c r="G266" s="24"/>
      <c r="H266" s="27" t="str">
        <f t="shared" si="9"/>
        <v/>
      </c>
      <c r="I266" s="28" t="str">
        <f>IFERROR(IF(OR($A266="",ANAGRAFICA!$P266="",ANAGRAFICA!$P266=0),"",(ANAGRAFICA!$P266-$H266)/ANAGRAFICA!$P266),"")</f>
        <v/>
      </c>
      <c r="J266" s="22"/>
    </row>
    <row r="267" spans="1:10" ht="15" x14ac:dyDescent="0.15">
      <c r="A267" s="26" t="str">
        <f>IF(ANAGRAFICA!$B267="","",ANAGRAFICA!$B267)</f>
        <v/>
      </c>
      <c r="B267" s="26" t="str">
        <f>IF($A267="","",ANAGRAFICA!$C267)</f>
        <v/>
      </c>
      <c r="C267" s="26" t="str">
        <f>IF($A267="","",ANAGRAFICA!$D267)</f>
        <v/>
      </c>
      <c r="D267" s="25"/>
      <c r="E267" s="24"/>
      <c r="F267" s="27" t="str">
        <f t="shared" si="8"/>
        <v/>
      </c>
      <c r="G267" s="24"/>
      <c r="H267" s="27" t="str">
        <f t="shared" si="9"/>
        <v/>
      </c>
      <c r="I267" s="28" t="str">
        <f>IFERROR(IF(OR($A267="",ANAGRAFICA!$P267="",ANAGRAFICA!$P267=0),"",(ANAGRAFICA!$P267-$H267)/ANAGRAFICA!$P267),"")</f>
        <v/>
      </c>
      <c r="J267" s="22"/>
    </row>
    <row r="268" spans="1:10" ht="15" x14ac:dyDescent="0.15">
      <c r="A268" s="26" t="str">
        <f>IF(ANAGRAFICA!$B268="","",ANAGRAFICA!$B268)</f>
        <v/>
      </c>
      <c r="B268" s="26" t="str">
        <f>IF($A268="","",ANAGRAFICA!$C268)</f>
        <v/>
      </c>
      <c r="C268" s="26" t="str">
        <f>IF($A268="","",ANAGRAFICA!$D268)</f>
        <v/>
      </c>
      <c r="D268" s="25"/>
      <c r="E268" s="24"/>
      <c r="F268" s="27" t="str">
        <f t="shared" si="8"/>
        <v/>
      </c>
      <c r="G268" s="24"/>
      <c r="H268" s="27" t="str">
        <f t="shared" si="9"/>
        <v/>
      </c>
      <c r="I268" s="28" t="str">
        <f>IFERROR(IF(OR($A268="",ANAGRAFICA!$P268="",ANAGRAFICA!$P268=0),"",(ANAGRAFICA!$P268-$H268)/ANAGRAFICA!$P268),"")</f>
        <v/>
      </c>
      <c r="J268" s="22"/>
    </row>
    <row r="269" spans="1:10" ht="15" x14ac:dyDescent="0.15">
      <c r="A269" s="26" t="str">
        <f>IF(ANAGRAFICA!$B269="","",ANAGRAFICA!$B269)</f>
        <v/>
      </c>
      <c r="B269" s="26" t="str">
        <f>IF($A269="","",ANAGRAFICA!$C269)</f>
        <v/>
      </c>
      <c r="C269" s="26" t="str">
        <f>IF($A269="","",ANAGRAFICA!$D269)</f>
        <v/>
      </c>
      <c r="D269" s="25"/>
      <c r="E269" s="24"/>
      <c r="F269" s="27" t="str">
        <f t="shared" si="8"/>
        <v/>
      </c>
      <c r="G269" s="24"/>
      <c r="H269" s="27" t="str">
        <f t="shared" si="9"/>
        <v/>
      </c>
      <c r="I269" s="28" t="str">
        <f>IFERROR(IF(OR($A269="",ANAGRAFICA!$P269="",ANAGRAFICA!$P269=0),"",(ANAGRAFICA!$P269-$H269)/ANAGRAFICA!$P269),"")</f>
        <v/>
      </c>
      <c r="J269" s="22"/>
    </row>
    <row r="270" spans="1:10" ht="15" x14ac:dyDescent="0.15">
      <c r="A270" s="26" t="str">
        <f>IF(ANAGRAFICA!$B270="","",ANAGRAFICA!$B270)</f>
        <v/>
      </c>
      <c r="B270" s="26" t="str">
        <f>IF($A270="","",ANAGRAFICA!$C270)</f>
        <v/>
      </c>
      <c r="C270" s="26" t="str">
        <f>IF($A270="","",ANAGRAFICA!$D270)</f>
        <v/>
      </c>
      <c r="D270" s="25"/>
      <c r="E270" s="24"/>
      <c r="F270" s="27" t="str">
        <f t="shared" si="8"/>
        <v/>
      </c>
      <c r="G270" s="24"/>
      <c r="H270" s="27" t="str">
        <f t="shared" si="9"/>
        <v/>
      </c>
      <c r="I270" s="28" t="str">
        <f>IFERROR(IF(OR($A270="",ANAGRAFICA!$P270="",ANAGRAFICA!$P270=0),"",(ANAGRAFICA!$P270-$H270)/ANAGRAFICA!$P270),"")</f>
        <v/>
      </c>
      <c r="J270" s="22"/>
    </row>
    <row r="271" spans="1:10" ht="15" x14ac:dyDescent="0.15">
      <c r="A271" s="26" t="str">
        <f>IF(ANAGRAFICA!$B271="","",ANAGRAFICA!$B271)</f>
        <v/>
      </c>
      <c r="B271" s="26" t="str">
        <f>IF($A271="","",ANAGRAFICA!$C271)</f>
        <v/>
      </c>
      <c r="C271" s="26" t="str">
        <f>IF($A271="","",ANAGRAFICA!$D271)</f>
        <v/>
      </c>
      <c r="D271" s="25"/>
      <c r="E271" s="24"/>
      <c r="F271" s="27" t="str">
        <f t="shared" si="8"/>
        <v/>
      </c>
      <c r="G271" s="24"/>
      <c r="H271" s="27" t="str">
        <f t="shared" si="9"/>
        <v/>
      </c>
      <c r="I271" s="28" t="str">
        <f>IFERROR(IF(OR($A271="",ANAGRAFICA!$P271="",ANAGRAFICA!$P271=0),"",(ANAGRAFICA!$P271-$H271)/ANAGRAFICA!$P271),"")</f>
        <v/>
      </c>
      <c r="J271" s="22"/>
    </row>
    <row r="272" spans="1:10" ht="15" x14ac:dyDescent="0.15">
      <c r="A272" s="26" t="str">
        <f>IF(ANAGRAFICA!$B272="","",ANAGRAFICA!$B272)</f>
        <v/>
      </c>
      <c r="B272" s="26" t="str">
        <f>IF($A272="","",ANAGRAFICA!$C272)</f>
        <v/>
      </c>
      <c r="C272" s="26" t="str">
        <f>IF($A272="","",ANAGRAFICA!$D272)</f>
        <v/>
      </c>
      <c r="D272" s="25"/>
      <c r="E272" s="24"/>
      <c r="F272" s="27" t="str">
        <f t="shared" si="8"/>
        <v/>
      </c>
      <c r="G272" s="24"/>
      <c r="H272" s="27" t="str">
        <f t="shared" si="9"/>
        <v/>
      </c>
      <c r="I272" s="28" t="str">
        <f>IFERROR(IF(OR($A272="",ANAGRAFICA!$P272="",ANAGRAFICA!$P272=0),"",(ANAGRAFICA!$P272-$H272)/ANAGRAFICA!$P272),"")</f>
        <v/>
      </c>
      <c r="J272" s="22"/>
    </row>
    <row r="273" spans="1:10" ht="15" x14ac:dyDescent="0.15">
      <c r="A273" s="26" t="str">
        <f>IF(ANAGRAFICA!$B273="","",ANAGRAFICA!$B273)</f>
        <v/>
      </c>
      <c r="B273" s="26" t="str">
        <f>IF($A273="","",ANAGRAFICA!$C273)</f>
        <v/>
      </c>
      <c r="C273" s="26" t="str">
        <f>IF($A273="","",ANAGRAFICA!$D273)</f>
        <v/>
      </c>
      <c r="D273" s="25"/>
      <c r="E273" s="24"/>
      <c r="F273" s="27" t="str">
        <f t="shared" si="8"/>
        <v/>
      </c>
      <c r="G273" s="24"/>
      <c r="H273" s="27" t="str">
        <f t="shared" si="9"/>
        <v/>
      </c>
      <c r="I273" s="28" t="str">
        <f>IFERROR(IF(OR($A273="",ANAGRAFICA!$P273="",ANAGRAFICA!$P273=0),"",(ANAGRAFICA!$P273-$H273)/ANAGRAFICA!$P273),"")</f>
        <v/>
      </c>
      <c r="J273" s="22"/>
    </row>
    <row r="274" spans="1:10" ht="15" x14ac:dyDescent="0.15">
      <c r="A274" s="26" t="str">
        <f>IF(ANAGRAFICA!$B274="","",ANAGRAFICA!$B274)</f>
        <v/>
      </c>
      <c r="B274" s="26" t="str">
        <f>IF($A274="","",ANAGRAFICA!$C274)</f>
        <v/>
      </c>
      <c r="C274" s="26" t="str">
        <f>IF($A274="","",ANAGRAFICA!$D274)</f>
        <v/>
      </c>
      <c r="D274" s="25"/>
      <c r="E274" s="24"/>
      <c r="F274" s="27" t="str">
        <f t="shared" si="8"/>
        <v/>
      </c>
      <c r="G274" s="24"/>
      <c r="H274" s="27" t="str">
        <f t="shared" si="9"/>
        <v/>
      </c>
      <c r="I274" s="28" t="str">
        <f>IFERROR(IF(OR($A274="",ANAGRAFICA!$P274="",ANAGRAFICA!$P274=0),"",(ANAGRAFICA!$P274-$H274)/ANAGRAFICA!$P274),"")</f>
        <v/>
      </c>
      <c r="J274" s="22"/>
    </row>
    <row r="275" spans="1:10" ht="15" x14ac:dyDescent="0.15">
      <c r="A275" s="26" t="str">
        <f>IF(ANAGRAFICA!$B275="","",ANAGRAFICA!$B275)</f>
        <v/>
      </c>
      <c r="B275" s="26" t="str">
        <f>IF($A275="","",ANAGRAFICA!$C275)</f>
        <v/>
      </c>
      <c r="C275" s="26" t="str">
        <f>IF($A275="","",ANAGRAFICA!$D275)</f>
        <v/>
      </c>
      <c r="D275" s="25"/>
      <c r="E275" s="24"/>
      <c r="F275" s="27" t="str">
        <f t="shared" si="8"/>
        <v/>
      </c>
      <c r="G275" s="24"/>
      <c r="H275" s="27" t="str">
        <f t="shared" si="9"/>
        <v/>
      </c>
      <c r="I275" s="28" t="str">
        <f>IFERROR(IF(OR($A275="",ANAGRAFICA!$P275="",ANAGRAFICA!$P275=0),"",(ANAGRAFICA!$P275-$H275)/ANAGRAFICA!$P275),"")</f>
        <v/>
      </c>
      <c r="J275" s="22"/>
    </row>
    <row r="276" spans="1:10" ht="15" x14ac:dyDescent="0.15">
      <c r="A276" s="26" t="str">
        <f>IF(ANAGRAFICA!$B276="","",ANAGRAFICA!$B276)</f>
        <v/>
      </c>
      <c r="B276" s="26" t="str">
        <f>IF($A276="","",ANAGRAFICA!$C276)</f>
        <v/>
      </c>
      <c r="C276" s="26" t="str">
        <f>IF($A276="","",ANAGRAFICA!$D276)</f>
        <v/>
      </c>
      <c r="D276" s="25"/>
      <c r="E276" s="24"/>
      <c r="F276" s="27" t="str">
        <f t="shared" si="8"/>
        <v/>
      </c>
      <c r="G276" s="24"/>
      <c r="H276" s="27" t="str">
        <f t="shared" si="9"/>
        <v/>
      </c>
      <c r="I276" s="28" t="str">
        <f>IFERROR(IF(OR($A276="",ANAGRAFICA!$P276="",ANAGRAFICA!$P276=0),"",(ANAGRAFICA!$P276-$H276)/ANAGRAFICA!$P276),"")</f>
        <v/>
      </c>
      <c r="J276" s="22"/>
    </row>
    <row r="277" spans="1:10" ht="15" x14ac:dyDescent="0.15">
      <c r="A277" s="26" t="str">
        <f>IF(ANAGRAFICA!$B277="","",ANAGRAFICA!$B277)</f>
        <v/>
      </c>
      <c r="B277" s="26" t="str">
        <f>IF($A277="","",ANAGRAFICA!$C277)</f>
        <v/>
      </c>
      <c r="C277" s="26" t="str">
        <f>IF($A277="","",ANAGRAFICA!$D277)</f>
        <v/>
      </c>
      <c r="D277" s="25"/>
      <c r="E277" s="24"/>
      <c r="F277" s="27" t="str">
        <f t="shared" si="8"/>
        <v/>
      </c>
      <c r="G277" s="24"/>
      <c r="H277" s="27" t="str">
        <f t="shared" si="9"/>
        <v/>
      </c>
      <c r="I277" s="28" t="str">
        <f>IFERROR(IF(OR($A277="",ANAGRAFICA!$P277="",ANAGRAFICA!$P277=0),"",(ANAGRAFICA!$P277-$H277)/ANAGRAFICA!$P277),"")</f>
        <v/>
      </c>
      <c r="J277" s="22"/>
    </row>
    <row r="278" spans="1:10" ht="15" x14ac:dyDescent="0.15">
      <c r="A278" s="26" t="str">
        <f>IF(ANAGRAFICA!$B278="","",ANAGRAFICA!$B278)</f>
        <v/>
      </c>
      <c r="B278" s="26" t="str">
        <f>IF($A278="","",ANAGRAFICA!$C278)</f>
        <v/>
      </c>
      <c r="C278" s="26" t="str">
        <f>IF($A278="","",ANAGRAFICA!$D278)</f>
        <v/>
      </c>
      <c r="D278" s="25"/>
      <c r="E278" s="24"/>
      <c r="F278" s="27" t="str">
        <f t="shared" si="8"/>
        <v/>
      </c>
      <c r="G278" s="24"/>
      <c r="H278" s="27" t="str">
        <f t="shared" si="9"/>
        <v/>
      </c>
      <c r="I278" s="28" t="str">
        <f>IFERROR(IF(OR($A278="",ANAGRAFICA!$P278="",ANAGRAFICA!$P278=0),"",(ANAGRAFICA!$P278-$H278)/ANAGRAFICA!$P278),"")</f>
        <v/>
      </c>
      <c r="J278" s="22"/>
    </row>
    <row r="279" spans="1:10" ht="15" x14ac:dyDescent="0.15">
      <c r="A279" s="26" t="str">
        <f>IF(ANAGRAFICA!$B279="","",ANAGRAFICA!$B279)</f>
        <v/>
      </c>
      <c r="B279" s="26" t="str">
        <f>IF($A279="","",ANAGRAFICA!$C279)</f>
        <v/>
      </c>
      <c r="C279" s="26" t="str">
        <f>IF($A279="","",ANAGRAFICA!$D279)</f>
        <v/>
      </c>
      <c r="D279" s="25"/>
      <c r="E279" s="24"/>
      <c r="F279" s="27" t="str">
        <f t="shared" si="8"/>
        <v/>
      </c>
      <c r="G279" s="24"/>
      <c r="H279" s="27" t="str">
        <f t="shared" si="9"/>
        <v/>
      </c>
      <c r="I279" s="28" t="str">
        <f>IFERROR(IF(OR($A279="",ANAGRAFICA!$P279="",ANAGRAFICA!$P279=0),"",(ANAGRAFICA!$P279-$H279)/ANAGRAFICA!$P279),"")</f>
        <v/>
      </c>
      <c r="J279" s="22"/>
    </row>
    <row r="280" spans="1:10" ht="15" x14ac:dyDescent="0.15">
      <c r="A280" s="26" t="str">
        <f>IF(ANAGRAFICA!$B280="","",ANAGRAFICA!$B280)</f>
        <v/>
      </c>
      <c r="B280" s="26" t="str">
        <f>IF($A280="","",ANAGRAFICA!$C280)</f>
        <v/>
      </c>
      <c r="C280" s="26" t="str">
        <f>IF($A280="","",ANAGRAFICA!$D280)</f>
        <v/>
      </c>
      <c r="D280" s="25"/>
      <c r="E280" s="24"/>
      <c r="F280" s="27" t="str">
        <f t="shared" si="8"/>
        <v/>
      </c>
      <c r="G280" s="24"/>
      <c r="H280" s="27" t="str">
        <f t="shared" si="9"/>
        <v/>
      </c>
      <c r="I280" s="28" t="str">
        <f>IFERROR(IF(OR($A280="",ANAGRAFICA!$P280="",ANAGRAFICA!$P280=0),"",(ANAGRAFICA!$P280-$H280)/ANAGRAFICA!$P280),"")</f>
        <v/>
      </c>
      <c r="J280" s="22"/>
    </row>
    <row r="281" spans="1:10" ht="15" x14ac:dyDescent="0.15">
      <c r="A281" s="26" t="str">
        <f>IF(ANAGRAFICA!$B281="","",ANAGRAFICA!$B281)</f>
        <v/>
      </c>
      <c r="B281" s="26" t="str">
        <f>IF($A281="","",ANAGRAFICA!$C281)</f>
        <v/>
      </c>
      <c r="C281" s="26" t="str">
        <f>IF($A281="","",ANAGRAFICA!$D281)</f>
        <v/>
      </c>
      <c r="D281" s="25"/>
      <c r="E281" s="24"/>
      <c r="F281" s="27" t="str">
        <f t="shared" si="8"/>
        <v/>
      </c>
      <c r="G281" s="24"/>
      <c r="H281" s="27" t="str">
        <f t="shared" si="9"/>
        <v/>
      </c>
      <c r="I281" s="28" t="str">
        <f>IFERROR(IF(OR($A281="",ANAGRAFICA!$P281="",ANAGRAFICA!$P281=0),"",(ANAGRAFICA!$P281-$H281)/ANAGRAFICA!$P281),"")</f>
        <v/>
      </c>
      <c r="J281" s="22"/>
    </row>
    <row r="282" spans="1:10" ht="15" x14ac:dyDescent="0.15">
      <c r="A282" s="26" t="str">
        <f>IF(ANAGRAFICA!$B282="","",ANAGRAFICA!$B282)</f>
        <v/>
      </c>
      <c r="B282" s="26" t="str">
        <f>IF($A282="","",ANAGRAFICA!$C282)</f>
        <v/>
      </c>
      <c r="C282" s="26" t="str">
        <f>IF($A282="","",ANAGRAFICA!$D282)</f>
        <v/>
      </c>
      <c r="D282" s="25"/>
      <c r="E282" s="24"/>
      <c r="F282" s="27" t="str">
        <f t="shared" si="8"/>
        <v/>
      </c>
      <c r="G282" s="24"/>
      <c r="H282" s="27" t="str">
        <f t="shared" si="9"/>
        <v/>
      </c>
      <c r="I282" s="28" t="str">
        <f>IFERROR(IF(OR($A282="",ANAGRAFICA!$P282="",ANAGRAFICA!$P282=0),"",(ANAGRAFICA!$P282-$H282)/ANAGRAFICA!$P282),"")</f>
        <v/>
      </c>
      <c r="J282" s="22"/>
    </row>
    <row r="283" spans="1:10" ht="15" x14ac:dyDescent="0.15">
      <c r="A283" s="26" t="str">
        <f>IF(ANAGRAFICA!$B283="","",ANAGRAFICA!$B283)</f>
        <v/>
      </c>
      <c r="B283" s="26" t="str">
        <f>IF($A283="","",ANAGRAFICA!$C283)</f>
        <v/>
      </c>
      <c r="C283" s="26" t="str">
        <f>IF($A283="","",ANAGRAFICA!$D283)</f>
        <v/>
      </c>
      <c r="D283" s="25"/>
      <c r="E283" s="24"/>
      <c r="F283" s="27" t="str">
        <f t="shared" si="8"/>
        <v/>
      </c>
      <c r="G283" s="24"/>
      <c r="H283" s="27" t="str">
        <f t="shared" si="9"/>
        <v/>
      </c>
      <c r="I283" s="28" t="str">
        <f>IFERROR(IF(OR($A283="",ANAGRAFICA!$P283="",ANAGRAFICA!$P283=0),"",(ANAGRAFICA!$P283-$H283)/ANAGRAFICA!$P283),"")</f>
        <v/>
      </c>
      <c r="J283" s="22"/>
    </row>
    <row r="284" spans="1:10" ht="15" x14ac:dyDescent="0.15">
      <c r="A284" s="26" t="str">
        <f>IF(ANAGRAFICA!$B284="","",ANAGRAFICA!$B284)</f>
        <v/>
      </c>
      <c r="B284" s="26" t="str">
        <f>IF($A284="","",ANAGRAFICA!$C284)</f>
        <v/>
      </c>
      <c r="C284" s="26" t="str">
        <f>IF($A284="","",ANAGRAFICA!$D284)</f>
        <v/>
      </c>
      <c r="D284" s="25"/>
      <c r="E284" s="24"/>
      <c r="F284" s="27" t="str">
        <f t="shared" si="8"/>
        <v/>
      </c>
      <c r="G284" s="24"/>
      <c r="H284" s="27" t="str">
        <f t="shared" si="9"/>
        <v/>
      </c>
      <c r="I284" s="28" t="str">
        <f>IFERROR(IF(OR($A284="",ANAGRAFICA!$P284="",ANAGRAFICA!$P284=0),"",(ANAGRAFICA!$P284-$H284)/ANAGRAFICA!$P284),"")</f>
        <v/>
      </c>
      <c r="J284" s="22"/>
    </row>
    <row r="285" spans="1:10" ht="15" x14ac:dyDescent="0.15">
      <c r="A285" s="26" t="str">
        <f>IF(ANAGRAFICA!$B285="","",ANAGRAFICA!$B285)</f>
        <v/>
      </c>
      <c r="B285" s="26" t="str">
        <f>IF($A285="","",ANAGRAFICA!$C285)</f>
        <v/>
      </c>
      <c r="C285" s="26" t="str">
        <f>IF($A285="","",ANAGRAFICA!$D285)</f>
        <v/>
      </c>
      <c r="D285" s="25"/>
      <c r="E285" s="24"/>
      <c r="F285" s="27" t="str">
        <f t="shared" si="8"/>
        <v/>
      </c>
      <c r="G285" s="24"/>
      <c r="H285" s="27" t="str">
        <f t="shared" si="9"/>
        <v/>
      </c>
      <c r="I285" s="28" t="str">
        <f>IFERROR(IF(OR($A285="",ANAGRAFICA!$P285="",ANAGRAFICA!$P285=0),"",(ANAGRAFICA!$P285-$H285)/ANAGRAFICA!$P285),"")</f>
        <v/>
      </c>
      <c r="J285" s="22"/>
    </row>
    <row r="286" spans="1:10" ht="15" x14ac:dyDescent="0.15">
      <c r="A286" s="26" t="str">
        <f>IF(ANAGRAFICA!$B286="","",ANAGRAFICA!$B286)</f>
        <v/>
      </c>
      <c r="B286" s="26" t="str">
        <f>IF($A286="","",ANAGRAFICA!$C286)</f>
        <v/>
      </c>
      <c r="C286" s="26" t="str">
        <f>IF($A286="","",ANAGRAFICA!$D286)</f>
        <v/>
      </c>
      <c r="D286" s="25"/>
      <c r="E286" s="24"/>
      <c r="F286" s="27" t="str">
        <f t="shared" si="8"/>
        <v/>
      </c>
      <c r="G286" s="24"/>
      <c r="H286" s="27" t="str">
        <f t="shared" si="9"/>
        <v/>
      </c>
      <c r="I286" s="28" t="str">
        <f>IFERROR(IF(OR($A286="",ANAGRAFICA!$P286="",ANAGRAFICA!$P286=0),"",(ANAGRAFICA!$P286-$H286)/ANAGRAFICA!$P286),"")</f>
        <v/>
      </c>
      <c r="J286" s="22"/>
    </row>
    <row r="287" spans="1:10" ht="15" x14ac:dyDescent="0.15">
      <c r="A287" s="26" t="str">
        <f>IF(ANAGRAFICA!$B287="","",ANAGRAFICA!$B287)</f>
        <v/>
      </c>
      <c r="B287" s="26" t="str">
        <f>IF($A287="","",ANAGRAFICA!$C287)</f>
        <v/>
      </c>
      <c r="C287" s="26" t="str">
        <f>IF($A287="","",ANAGRAFICA!$D287)</f>
        <v/>
      </c>
      <c r="D287" s="25"/>
      <c r="E287" s="24"/>
      <c r="F287" s="27" t="str">
        <f t="shared" si="8"/>
        <v/>
      </c>
      <c r="G287" s="24"/>
      <c r="H287" s="27" t="str">
        <f t="shared" si="9"/>
        <v/>
      </c>
      <c r="I287" s="28" t="str">
        <f>IFERROR(IF(OR($A287="",ANAGRAFICA!$P287="",ANAGRAFICA!$P287=0),"",(ANAGRAFICA!$P287-$H287)/ANAGRAFICA!$P287),"")</f>
        <v/>
      </c>
      <c r="J287" s="22"/>
    </row>
    <row r="288" spans="1:10" ht="15" x14ac:dyDescent="0.15">
      <c r="A288" s="26" t="str">
        <f>IF(ANAGRAFICA!$B288="","",ANAGRAFICA!$B288)</f>
        <v/>
      </c>
      <c r="B288" s="26" t="str">
        <f>IF($A288="","",ANAGRAFICA!$C288)</f>
        <v/>
      </c>
      <c r="C288" s="26" t="str">
        <f>IF($A288="","",ANAGRAFICA!$D288)</f>
        <v/>
      </c>
      <c r="D288" s="25"/>
      <c r="E288" s="24"/>
      <c r="F288" s="27" t="str">
        <f t="shared" si="8"/>
        <v/>
      </c>
      <c r="G288" s="24"/>
      <c r="H288" s="27" t="str">
        <f t="shared" si="9"/>
        <v/>
      </c>
      <c r="I288" s="28" t="str">
        <f>IFERROR(IF(OR($A288="",ANAGRAFICA!$P288="",ANAGRAFICA!$P288=0),"",(ANAGRAFICA!$P288-$H288)/ANAGRAFICA!$P288),"")</f>
        <v/>
      </c>
      <c r="J288" s="22"/>
    </row>
    <row r="289" spans="1:10" ht="15" x14ac:dyDescent="0.15">
      <c r="A289" s="26" t="str">
        <f>IF(ANAGRAFICA!$B289="","",ANAGRAFICA!$B289)</f>
        <v/>
      </c>
      <c r="B289" s="26" t="str">
        <f>IF($A289="","",ANAGRAFICA!$C289)</f>
        <v/>
      </c>
      <c r="C289" s="26" t="str">
        <f>IF($A289="","",ANAGRAFICA!$D289)</f>
        <v/>
      </c>
      <c r="D289" s="25"/>
      <c r="E289" s="24"/>
      <c r="F289" s="27" t="str">
        <f t="shared" si="8"/>
        <v/>
      </c>
      <c r="G289" s="24"/>
      <c r="H289" s="27" t="str">
        <f t="shared" si="9"/>
        <v/>
      </c>
      <c r="I289" s="28" t="str">
        <f>IFERROR(IF(OR($A289="",ANAGRAFICA!$P289="",ANAGRAFICA!$P289=0),"",(ANAGRAFICA!$P289-$H289)/ANAGRAFICA!$P289),"")</f>
        <v/>
      </c>
      <c r="J289" s="22"/>
    </row>
    <row r="290" spans="1:10" ht="15" x14ac:dyDescent="0.15">
      <c r="A290" s="26" t="str">
        <f>IF(ANAGRAFICA!$B290="","",ANAGRAFICA!$B290)</f>
        <v/>
      </c>
      <c r="B290" s="26" t="str">
        <f>IF($A290="","",ANAGRAFICA!$C290)</f>
        <v/>
      </c>
      <c r="C290" s="26" t="str">
        <f>IF($A290="","",ANAGRAFICA!$D290)</f>
        <v/>
      </c>
      <c r="D290" s="25"/>
      <c r="E290" s="24"/>
      <c r="F290" s="27" t="str">
        <f t="shared" si="8"/>
        <v/>
      </c>
      <c r="G290" s="24"/>
      <c r="H290" s="27" t="str">
        <f t="shared" si="9"/>
        <v/>
      </c>
      <c r="I290" s="28" t="str">
        <f>IFERROR(IF(OR($A290="",ANAGRAFICA!$P290="",ANAGRAFICA!$P290=0),"",(ANAGRAFICA!$P290-$H290)/ANAGRAFICA!$P290),"")</f>
        <v/>
      </c>
      <c r="J290" s="22"/>
    </row>
    <row r="291" spans="1:10" ht="15" x14ac:dyDescent="0.15">
      <c r="A291" s="26" t="str">
        <f>IF(ANAGRAFICA!$B291="","",ANAGRAFICA!$B291)</f>
        <v/>
      </c>
      <c r="B291" s="26" t="str">
        <f>IF($A291="","",ANAGRAFICA!$C291)</f>
        <v/>
      </c>
      <c r="C291" s="26" t="str">
        <f>IF($A291="","",ANAGRAFICA!$D291)</f>
        <v/>
      </c>
      <c r="D291" s="25"/>
      <c r="E291" s="24"/>
      <c r="F291" s="27" t="str">
        <f t="shared" si="8"/>
        <v/>
      </c>
      <c r="G291" s="24"/>
      <c r="H291" s="27" t="str">
        <f t="shared" si="9"/>
        <v/>
      </c>
      <c r="I291" s="28" t="str">
        <f>IFERROR(IF(OR($A291="",ANAGRAFICA!$P291="",ANAGRAFICA!$P291=0),"",(ANAGRAFICA!$P291-$H291)/ANAGRAFICA!$P291),"")</f>
        <v/>
      </c>
      <c r="J291" s="22"/>
    </row>
    <row r="292" spans="1:10" ht="15" x14ac:dyDescent="0.15">
      <c r="A292" s="26" t="str">
        <f>IF(ANAGRAFICA!$B292="","",ANAGRAFICA!$B292)</f>
        <v/>
      </c>
      <c r="B292" s="26" t="str">
        <f>IF($A292="","",ANAGRAFICA!$C292)</f>
        <v/>
      </c>
      <c r="C292" s="26" t="str">
        <f>IF($A292="","",ANAGRAFICA!$D292)</f>
        <v/>
      </c>
      <c r="D292" s="25"/>
      <c r="E292" s="24"/>
      <c r="F292" s="27" t="str">
        <f t="shared" si="8"/>
        <v/>
      </c>
      <c r="G292" s="24"/>
      <c r="H292" s="27" t="str">
        <f t="shared" si="9"/>
        <v/>
      </c>
      <c r="I292" s="28" t="str">
        <f>IFERROR(IF(OR($A292="",ANAGRAFICA!$P292="",ANAGRAFICA!$P292=0),"",(ANAGRAFICA!$P292-$H292)/ANAGRAFICA!$P292),"")</f>
        <v/>
      </c>
      <c r="J292" s="22"/>
    </row>
    <row r="293" spans="1:10" ht="15" x14ac:dyDescent="0.15">
      <c r="A293" s="26" t="str">
        <f>IF(ANAGRAFICA!$B293="","",ANAGRAFICA!$B293)</f>
        <v/>
      </c>
      <c r="B293" s="26" t="str">
        <f>IF($A293="","",ANAGRAFICA!$C293)</f>
        <v/>
      </c>
      <c r="C293" s="26" t="str">
        <f>IF($A293="","",ANAGRAFICA!$D293)</f>
        <v/>
      </c>
      <c r="D293" s="25"/>
      <c r="E293" s="24"/>
      <c r="F293" s="27" t="str">
        <f t="shared" si="8"/>
        <v/>
      </c>
      <c r="G293" s="24"/>
      <c r="H293" s="27" t="str">
        <f t="shared" si="9"/>
        <v/>
      </c>
      <c r="I293" s="28" t="str">
        <f>IFERROR(IF(OR($A293="",ANAGRAFICA!$P293="",ANAGRAFICA!$P293=0),"",(ANAGRAFICA!$P293-$H293)/ANAGRAFICA!$P293),"")</f>
        <v/>
      </c>
      <c r="J293" s="22"/>
    </row>
    <row r="294" spans="1:10" ht="15" x14ac:dyDescent="0.15">
      <c r="A294" s="26" t="str">
        <f>IF(ANAGRAFICA!$B294="","",ANAGRAFICA!$B294)</f>
        <v/>
      </c>
      <c r="B294" s="26" t="str">
        <f>IF($A294="","",ANAGRAFICA!$C294)</f>
        <v/>
      </c>
      <c r="C294" s="26" t="str">
        <f>IF($A294="","",ANAGRAFICA!$D294)</f>
        <v/>
      </c>
      <c r="D294" s="25"/>
      <c r="E294" s="24"/>
      <c r="F294" s="27" t="str">
        <f t="shared" si="8"/>
        <v/>
      </c>
      <c r="G294" s="24"/>
      <c r="H294" s="27" t="str">
        <f t="shared" si="9"/>
        <v/>
      </c>
      <c r="I294" s="28" t="str">
        <f>IFERROR(IF(OR($A294="",ANAGRAFICA!$P294="",ANAGRAFICA!$P294=0),"",(ANAGRAFICA!$P294-$H294)/ANAGRAFICA!$P294),"")</f>
        <v/>
      </c>
      <c r="J294" s="22"/>
    </row>
    <row r="295" spans="1:10" ht="15" x14ac:dyDescent="0.15">
      <c r="A295" s="26" t="str">
        <f>IF(ANAGRAFICA!$B295="","",ANAGRAFICA!$B295)</f>
        <v/>
      </c>
      <c r="B295" s="26" t="str">
        <f>IF($A295="","",ANAGRAFICA!$C295)</f>
        <v/>
      </c>
      <c r="C295" s="26" t="str">
        <f>IF($A295="","",ANAGRAFICA!$D295)</f>
        <v/>
      </c>
      <c r="D295" s="25"/>
      <c r="E295" s="24"/>
      <c r="F295" s="27" t="str">
        <f t="shared" si="8"/>
        <v/>
      </c>
      <c r="G295" s="24"/>
      <c r="H295" s="27" t="str">
        <f t="shared" si="9"/>
        <v/>
      </c>
      <c r="I295" s="28" t="str">
        <f>IFERROR(IF(OR($A295="",ANAGRAFICA!$P295="",ANAGRAFICA!$P295=0),"",(ANAGRAFICA!$P295-$H295)/ANAGRAFICA!$P295),"")</f>
        <v/>
      </c>
      <c r="J295" s="22"/>
    </row>
    <row r="296" spans="1:10" ht="15" x14ac:dyDescent="0.15">
      <c r="A296" s="26" t="str">
        <f>IF(ANAGRAFICA!$B296="","",ANAGRAFICA!$B296)</f>
        <v/>
      </c>
      <c r="B296" s="26" t="str">
        <f>IF($A296="","",ANAGRAFICA!$C296)</f>
        <v/>
      </c>
      <c r="C296" s="26" t="str">
        <f>IF($A296="","",ANAGRAFICA!$D296)</f>
        <v/>
      </c>
      <c r="D296" s="25"/>
      <c r="E296" s="24"/>
      <c r="F296" s="27" t="str">
        <f t="shared" si="8"/>
        <v/>
      </c>
      <c r="G296" s="24"/>
      <c r="H296" s="27" t="str">
        <f t="shared" si="9"/>
        <v/>
      </c>
      <c r="I296" s="28" t="str">
        <f>IFERROR(IF(OR($A296="",ANAGRAFICA!$P296="",ANAGRAFICA!$P296=0),"",(ANAGRAFICA!$P296-$H296)/ANAGRAFICA!$P296),"")</f>
        <v/>
      </c>
      <c r="J296" s="22"/>
    </row>
    <row r="297" spans="1:10" ht="15" x14ac:dyDescent="0.15">
      <c r="A297" s="26" t="str">
        <f>IF(ANAGRAFICA!$B297="","",ANAGRAFICA!$B297)</f>
        <v/>
      </c>
      <c r="B297" s="26" t="str">
        <f>IF($A297="","",ANAGRAFICA!$C297)</f>
        <v/>
      </c>
      <c r="C297" s="26" t="str">
        <f>IF($A297="","",ANAGRAFICA!$D297)</f>
        <v/>
      </c>
      <c r="D297" s="25"/>
      <c r="E297" s="24"/>
      <c r="F297" s="27" t="str">
        <f t="shared" si="8"/>
        <v/>
      </c>
      <c r="G297" s="24"/>
      <c r="H297" s="27" t="str">
        <f t="shared" si="9"/>
        <v/>
      </c>
      <c r="I297" s="28" t="str">
        <f>IFERROR(IF(OR($A297="",ANAGRAFICA!$P297="",ANAGRAFICA!$P297=0),"",(ANAGRAFICA!$P297-$H297)/ANAGRAFICA!$P297),"")</f>
        <v/>
      </c>
      <c r="J297" s="22"/>
    </row>
    <row r="298" spans="1:10" ht="15" x14ac:dyDescent="0.15">
      <c r="A298" s="26" t="str">
        <f>IF(ANAGRAFICA!$B298="","",ANAGRAFICA!$B298)</f>
        <v/>
      </c>
      <c r="B298" s="26" t="str">
        <f>IF($A298="","",ANAGRAFICA!$C298)</f>
        <v/>
      </c>
      <c r="C298" s="26" t="str">
        <f>IF($A298="","",ANAGRAFICA!$D298)</f>
        <v/>
      </c>
      <c r="D298" s="25"/>
      <c r="E298" s="24"/>
      <c r="F298" s="27" t="str">
        <f t="shared" si="8"/>
        <v/>
      </c>
      <c r="G298" s="24"/>
      <c r="H298" s="27" t="str">
        <f t="shared" si="9"/>
        <v/>
      </c>
      <c r="I298" s="28" t="str">
        <f>IFERROR(IF(OR($A298="",ANAGRAFICA!$P298="",ANAGRAFICA!$P298=0),"",(ANAGRAFICA!$P298-$H298)/ANAGRAFICA!$P298),"")</f>
        <v/>
      </c>
      <c r="J298" s="22"/>
    </row>
    <row r="299" spans="1:10" ht="15" x14ac:dyDescent="0.15">
      <c r="A299" s="26" t="str">
        <f>IF(ANAGRAFICA!$B299="","",ANAGRAFICA!$B299)</f>
        <v/>
      </c>
      <c r="B299" s="26" t="str">
        <f>IF($A299="","",ANAGRAFICA!$C299)</f>
        <v/>
      </c>
      <c r="C299" s="26" t="str">
        <f>IF($A299="","",ANAGRAFICA!$D299)</f>
        <v/>
      </c>
      <c r="D299" s="25"/>
      <c r="E299" s="24"/>
      <c r="F299" s="27" t="str">
        <f t="shared" si="8"/>
        <v/>
      </c>
      <c r="G299" s="24"/>
      <c r="H299" s="27" t="str">
        <f t="shared" si="9"/>
        <v/>
      </c>
      <c r="I299" s="28" t="str">
        <f>IFERROR(IF(OR($A299="",ANAGRAFICA!$P299="",ANAGRAFICA!$P299=0),"",(ANAGRAFICA!$P299-$H299)/ANAGRAFICA!$P299),"")</f>
        <v/>
      </c>
      <c r="J299" s="22"/>
    </row>
    <row r="300" spans="1:10" ht="15" x14ac:dyDescent="0.15">
      <c r="A300" s="26" t="str">
        <f>IF(ANAGRAFICA!$B300="","",ANAGRAFICA!$B300)</f>
        <v/>
      </c>
      <c r="B300" s="26" t="str">
        <f>IF($A300="","",ANAGRAFICA!$C300)</f>
        <v/>
      </c>
      <c r="C300" s="26" t="str">
        <f>IF($A300="","",ANAGRAFICA!$D300)</f>
        <v/>
      </c>
      <c r="D300" s="25"/>
      <c r="E300" s="24"/>
      <c r="F300" s="27" t="str">
        <f t="shared" si="8"/>
        <v/>
      </c>
      <c r="G300" s="24"/>
      <c r="H300" s="27" t="str">
        <f t="shared" si="9"/>
        <v/>
      </c>
      <c r="I300" s="28" t="str">
        <f>IFERROR(IF(OR($A300="",ANAGRAFICA!$P300="",ANAGRAFICA!$P300=0),"",(ANAGRAFICA!$P300-$H300)/ANAGRAFICA!$P300),"")</f>
        <v/>
      </c>
      <c r="J300" s="22"/>
    </row>
    <row r="301" spans="1:10" ht="15" x14ac:dyDescent="0.15">
      <c r="A301" s="26" t="str">
        <f>IF(ANAGRAFICA!$B301="","",ANAGRAFICA!$B301)</f>
        <v/>
      </c>
      <c r="B301" s="26" t="str">
        <f>IF($A301="","",ANAGRAFICA!$C301)</f>
        <v/>
      </c>
      <c r="C301" s="26" t="str">
        <f>IF($A301="","",ANAGRAFICA!$D301)</f>
        <v/>
      </c>
      <c r="D301" s="25"/>
      <c r="E301" s="24"/>
      <c r="F301" s="27" t="str">
        <f t="shared" si="8"/>
        <v/>
      </c>
      <c r="G301" s="24"/>
      <c r="H301" s="27" t="str">
        <f t="shared" si="9"/>
        <v/>
      </c>
      <c r="I301" s="28" t="str">
        <f>IFERROR(IF(OR($A301="",ANAGRAFICA!$P301="",ANAGRAFICA!$P301=0),"",(ANAGRAFICA!$P301-$H301)/ANAGRAFICA!$P301),"")</f>
        <v/>
      </c>
      <c r="J301" s="22"/>
    </row>
    <row r="302" spans="1:10" ht="15" x14ac:dyDescent="0.15">
      <c r="A302" s="26" t="str">
        <f>IF(ANAGRAFICA!$B302="","",ANAGRAFICA!$B302)</f>
        <v/>
      </c>
      <c r="B302" s="26" t="str">
        <f>IF($A302="","",ANAGRAFICA!$C302)</f>
        <v/>
      </c>
      <c r="C302" s="26" t="str">
        <f>IF($A302="","",ANAGRAFICA!$D302)</f>
        <v/>
      </c>
      <c r="D302" s="25"/>
      <c r="E302" s="24"/>
      <c r="F302" s="27" t="str">
        <f t="shared" si="8"/>
        <v/>
      </c>
      <c r="G302" s="24"/>
      <c r="H302" s="27" t="str">
        <f t="shared" si="9"/>
        <v/>
      </c>
      <c r="I302" s="28" t="str">
        <f>IFERROR(IF(OR($A302="",ANAGRAFICA!$P302="",ANAGRAFICA!$P302=0),"",(ANAGRAFICA!$P302-$H302)/ANAGRAFICA!$P302),"")</f>
        <v/>
      </c>
      <c r="J302" s="22"/>
    </row>
    <row r="303" spans="1:10" ht="15" x14ac:dyDescent="0.15">
      <c r="A303" s="26" t="str">
        <f>IF(ANAGRAFICA!$B303="","",ANAGRAFICA!$B303)</f>
        <v/>
      </c>
      <c r="B303" s="26" t="str">
        <f>IF($A303="","",ANAGRAFICA!$C303)</f>
        <v/>
      </c>
      <c r="C303" s="26" t="str">
        <f>IF($A303="","",ANAGRAFICA!$D303)</f>
        <v/>
      </c>
      <c r="D303" s="25"/>
      <c r="E303" s="24"/>
      <c r="F303" s="27" t="str">
        <f t="shared" si="8"/>
        <v/>
      </c>
      <c r="G303" s="24"/>
      <c r="H303" s="27" t="str">
        <f t="shared" si="9"/>
        <v/>
      </c>
      <c r="I303" s="28" t="str">
        <f>IFERROR(IF(OR($A303="",ANAGRAFICA!$P303="",ANAGRAFICA!$P303=0),"",(ANAGRAFICA!$P303-$H303)/ANAGRAFICA!$P303),"")</f>
        <v/>
      </c>
      <c r="J303" s="22"/>
    </row>
    <row r="304" spans="1:10" ht="15" x14ac:dyDescent="0.15">
      <c r="A304" s="26" t="str">
        <f>IF(ANAGRAFICA!$B304="","",ANAGRAFICA!$B304)</f>
        <v/>
      </c>
      <c r="B304" s="26" t="str">
        <f>IF($A304="","",ANAGRAFICA!$C304)</f>
        <v/>
      </c>
      <c r="C304" s="26" t="str">
        <f>IF($A304="","",ANAGRAFICA!$D304)</f>
        <v/>
      </c>
      <c r="D304" s="25"/>
      <c r="E304" s="24"/>
      <c r="F304" s="27" t="str">
        <f t="shared" si="8"/>
        <v/>
      </c>
      <c r="G304" s="24"/>
      <c r="H304" s="27" t="str">
        <f t="shared" si="9"/>
        <v/>
      </c>
      <c r="I304" s="28" t="str">
        <f>IFERROR(IF(OR($A304="",ANAGRAFICA!$P304="",ANAGRAFICA!$P304=0),"",(ANAGRAFICA!$P304-$H304)/ANAGRAFICA!$P304),"")</f>
        <v/>
      </c>
      <c r="J304" s="22"/>
    </row>
    <row r="305" spans="1:10" ht="15" x14ac:dyDescent="0.15">
      <c r="A305" s="26" t="str">
        <f>IF(ANAGRAFICA!$B305="","",ANAGRAFICA!$B305)</f>
        <v/>
      </c>
      <c r="B305" s="26" t="str">
        <f>IF($A305="","",ANAGRAFICA!$C305)</f>
        <v/>
      </c>
      <c r="C305" s="26" t="str">
        <f>IF($A305="","",ANAGRAFICA!$D305)</f>
        <v/>
      </c>
      <c r="D305" s="25"/>
      <c r="E305" s="24"/>
      <c r="F305" s="27" t="str">
        <f t="shared" si="8"/>
        <v/>
      </c>
      <c r="G305" s="24"/>
      <c r="H305" s="27" t="str">
        <f t="shared" si="9"/>
        <v/>
      </c>
      <c r="I305" s="28" t="str">
        <f>IFERROR(IF(OR($A305="",ANAGRAFICA!$P305="",ANAGRAFICA!$P305=0),"",(ANAGRAFICA!$P305-$H305)/ANAGRAFICA!$P305),"")</f>
        <v/>
      </c>
      <c r="J305" s="22"/>
    </row>
  </sheetData>
  <mergeCells count="3">
    <mergeCell ref="A1:J1"/>
    <mergeCell ref="A2:J2"/>
    <mergeCell ref="A4:J4"/>
  </mergeCells>
  <dataValidations count="1">
    <dataValidation type="date" showErrorMessage="1" errorTitle="Periodo obbligatorio" error="Inserire una data valida." sqref="B3 D3" xr:uid="{00000000-0002-0000-0200-000000000000}">
      <formula1>DATE(2000,1,1)</formula1>
      <formula2>DATE(2099,12,31)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06"/>
  <sheetViews>
    <sheetView workbookViewId="0">
      <pane ySplit="6" topLeftCell="A7" activePane="bottomLeft" state="frozen"/>
      <selection pane="bottomLeft"/>
    </sheetView>
  </sheetViews>
  <sheetFormatPr baseColWidth="10" defaultColWidth="8.6640625" defaultRowHeight="13" x14ac:dyDescent="0.15"/>
  <cols>
    <col min="1" max="1" width="42" customWidth="1"/>
    <col min="2" max="2" width="16" customWidth="1"/>
    <col min="3" max="3" width="25" customWidth="1"/>
    <col min="4" max="4" width="42" customWidth="1"/>
    <col min="5" max="5" width="15" customWidth="1"/>
    <col min="6" max="6" width="24" customWidth="1"/>
    <col min="7" max="7" width="18" customWidth="1"/>
    <col min="8" max="8" width="32" customWidth="1"/>
    <col min="9" max="13" width="17" customWidth="1"/>
    <col min="14" max="14" width="14" customWidth="1"/>
    <col min="15" max="15" width="30" customWidth="1"/>
    <col min="16" max="16" width="18" customWidth="1"/>
    <col min="17" max="17" width="0" hidden="1" customWidth="1"/>
  </cols>
  <sheetData>
    <row r="1" spans="1:17" ht="15" x14ac:dyDescent="0.15">
      <c r="A1" s="10" t="s">
        <v>175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6" x14ac:dyDescent="0.15">
      <c r="A2" s="18" t="s">
        <v>37</v>
      </c>
      <c r="B2" s="18"/>
      <c r="C2" s="18" t="s">
        <v>59</v>
      </c>
      <c r="D2" s="18"/>
      <c r="E2" s="18" t="s">
        <v>60</v>
      </c>
      <c r="F2" s="18"/>
      <c r="G2" s="18" t="s">
        <v>38</v>
      </c>
      <c r="H2" s="18" t="s">
        <v>39</v>
      </c>
      <c r="I2" s="18" t="s">
        <v>40</v>
      </c>
      <c r="J2" s="18" t="s">
        <v>41</v>
      </c>
      <c r="K2" s="18" t="s">
        <v>61</v>
      </c>
      <c r="L2" s="18" t="s">
        <v>43</v>
      </c>
      <c r="M2" s="18" t="s">
        <v>42</v>
      </c>
      <c r="N2" s="18" t="s">
        <v>44</v>
      </c>
      <c r="Q2">
        <f>DATE(PARAMETRI!$B$11,MATCH($C$3,PARAMETRI!$G$3:$G$14,0),1)</f>
        <v>46023</v>
      </c>
    </row>
    <row r="3" spans="1:17" ht="15" x14ac:dyDescent="0.15">
      <c r="A3" s="8" t="s">
        <v>46</v>
      </c>
      <c r="B3" s="8"/>
      <c r="C3" s="8" t="s">
        <v>62</v>
      </c>
      <c r="D3" s="8"/>
      <c r="E3" s="8" t="s">
        <v>63</v>
      </c>
      <c r="F3" s="8"/>
      <c r="G3" s="19">
        <f>IF($Q$2&gt;=$Q$3,0,IF($A$3="TUTTE",SUMIFS($I$7:$I$4206,$E$7:$E$4206,"&gt;="&amp;$Q$2,$E$7:$E$4206,"&lt;"&amp;$Q$3),SUMIFS($I$7:$I$4206,$B$7:$B$4206,$A$3,$E$7:$E$4206,"&gt;="&amp;$Q$2,$E$7:$E$4206,"&lt;"&amp;$Q$3)))</f>
        <v>87770.9</v>
      </c>
      <c r="H3" s="19">
        <f>IF($Q$2&gt;=$Q$3,0,IF($A$3="TUTTE",SUMIFS($J$7:$J$4206,$E$7:$E$4206,"&gt;="&amp;$Q$2,$E$7:$E$4206,"&lt;"&amp;$Q$3),SUMIFS($J$7:$J$4206,$B$7:$B$4206,$A$3,$E$7:$E$4206,"&gt;="&amp;$Q$2,$E$7:$E$4206,"&lt;"&amp;$Q$3)))</f>
        <v>91770.9</v>
      </c>
      <c r="I3" s="19">
        <f>IF($Q$2&gt;=$Q$3,0,IF($A$3="TUTTE",SUMIFS($K$7:$K$4206,$E$7:$E$4206,"&gt;="&amp;$Q$2,$E$7:$E$4206,"&lt;"&amp;$Q$3),SUMIFS($K$7:$K$4206,$B$7:$B$4206,$A$3,$E$7:$E$4206,"&gt;="&amp;$Q$2,$E$7:$E$4206,"&lt;"&amp;$Q$3)))</f>
        <v>2010.23</v>
      </c>
      <c r="J3" s="19">
        <f>IF($Q$2&gt;=$Q$3,0,IF($A$3="TUTTE",SUMIFS($L$7:$L$4206,$E$7:$E$4206,"&gt;="&amp;$Q$2,$E$7:$E$4206,"&lt;"&amp;$Q$3),SUMIFS($L$7:$L$4206,$B$7:$B$4206,$A$3,$E$7:$E$4206,"&gt;="&amp;$Q$2,$E$7:$E$4206,"&lt;"&amp;$Q$3)))</f>
        <v>500</v>
      </c>
      <c r="K3" s="19">
        <f>IF($Q$2&gt;=$Q$3,0,IF($A$3="TUTTE",SUMIFS($M$7:$M$4206,$E$7:$E$4206,"&gt;="&amp;$Q$2,$E$7:$E$4206,"&lt;"&amp;$Q$3),SUMIFS($M$7:$M$4206,$B$7:$B$4206,$A$3,$E$7:$E$4206,"&gt;="&amp;$Q$2,$E$7:$E$4206,"&lt;"&amp;$Q$3)))</f>
        <v>90260.67</v>
      </c>
      <c r="L3" s="20">
        <f>IF($Q$2&gt;=$Q$3,0,IF($A$3="TUTTE",SUMIFS($N$7:$N$4206,$E$7:$E$4206,"&gt;="&amp;$Q$2,$E$7:$E$4206,"&lt;"&amp;$Q$3),SUMIFS($N$7:$N$4206,$B$7:$B$4206,$A$3,$E$7:$E$4206,"&gt;="&amp;$Q$2,$E$7:$E$4206,"&lt;"&amp;$Q$3)))</f>
        <v>980</v>
      </c>
      <c r="M3" s="19">
        <f>IF($Q$2&gt;=$Q$3,0,IF($A$3="TUTTE",SUMIFS($P$7:$P$4206,$E$7:$E$4206,"&gt;="&amp;$Q$2,$E$7:$E$4206,"&lt;"&amp;$Q$3),SUMIFS($P$7:$P$4206,$B$7:$B$4206,$A$3,$E$7:$E$4206,"&gt;="&amp;$Q$2,$E$7:$E$4206,"&lt;"&amp;$Q$3)))</f>
        <v>8000</v>
      </c>
      <c r="N3" s="19">
        <f>0+IF(MATCH($C$3,PARAMETRI!$G$3:$G$14,0)&gt;MATCH($E$3,PARAMETRI!$G$3:$G$14,0),0,IF($A$3="TUTTE",SUMIFS('COSTI DIRETTI'!$H$6:$H$505,'COSTI DIRETTI'!$A$6:$A$505,"&gt;="&amp;DATE(PARAMETRI!$B$11,MATCH($C$3,PARAMETRI!$G$3:$G$14,0),1),'COSTI DIRETTI'!$A$6:$A$505,"&lt;"&amp;DATE(PARAMETRI!$B$11,MATCH($E$3,PARAMETRI!$G$3:$G$14,0)+1,1)),SUMIFS('COSTI DIRETTI'!$H$6:$H$505,'COSTI DIRETTI'!$C$6:$C$505,$A$3,'COSTI DIRETTI'!$A$6:$A$505,"&gt;="&amp;DATE(PARAMETRI!$B$11,MATCH($C$3,PARAMETRI!$G$3:$G$14,0),1),'COSTI DIRETTI'!$A$6:$A$505,"&lt;"&amp;DATE(PARAMETRI!$B$11,MATCH($E$3,PARAMETRI!$G$3:$G$14,0)+1,1))))</f>
        <v>38308</v>
      </c>
      <c r="Q3">
        <f>DATE(PARAMETRI!$B$11,MATCH($E$3,PARAMETRI!$G$3:$G$14,0)+1,1)</f>
        <v>46388</v>
      </c>
    </row>
    <row r="4" spans="1:17" ht="15" customHeight="1" x14ac:dyDescent="0.15">
      <c r="A4" s="9" t="s">
        <v>64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 spans="1:17" ht="32" x14ac:dyDescent="0.15">
      <c r="A6" s="12" t="s">
        <v>176</v>
      </c>
      <c r="B6" s="12" t="s">
        <v>0</v>
      </c>
      <c r="C6" s="12" t="s">
        <v>1</v>
      </c>
      <c r="D6" s="12" t="s">
        <v>66</v>
      </c>
      <c r="E6" s="12" t="s">
        <v>177</v>
      </c>
      <c r="F6" s="12" t="s">
        <v>67</v>
      </c>
      <c r="G6" s="12" t="s">
        <v>68</v>
      </c>
      <c r="H6" s="12" t="s">
        <v>69</v>
      </c>
      <c r="I6" s="12" t="s">
        <v>38</v>
      </c>
      <c r="J6" s="12" t="s">
        <v>39</v>
      </c>
      <c r="K6" s="12" t="s">
        <v>70</v>
      </c>
      <c r="L6" s="12" t="s">
        <v>71</v>
      </c>
      <c r="M6" s="12" t="s">
        <v>61</v>
      </c>
      <c r="N6" s="12" t="s">
        <v>72</v>
      </c>
      <c r="O6" s="12" t="s">
        <v>57</v>
      </c>
      <c r="P6" s="12" t="s">
        <v>73</v>
      </c>
      <c r="Q6" s="12" t="s">
        <v>113</v>
      </c>
    </row>
    <row r="7" spans="1:17" ht="15" x14ac:dyDescent="0.15">
      <c r="A7" s="22" t="s">
        <v>178</v>
      </c>
      <c r="B7" s="26" t="str">
        <f t="shared" ref="B7:B70" si="0">IFERROR(IF($A7="","",LEFT($A7,FIND(" | ",$A7)-1)),"")</f>
        <v>TEST10</v>
      </c>
      <c r="C7" s="26" t="str">
        <f t="shared" ref="C7:C70" si="1">IFERROR(IF($A7="","",MID($A7,FIND(" | ",$A7)+3,FIND(" | ",$A7,FIND(" | ",$A7)+3)-FIND(" | ",$A7)-3)),"")</f>
        <v>COMMESSA DIMOSTRATIVA</v>
      </c>
      <c r="D7" s="26" t="str">
        <f t="shared" ref="D7:D70" si="2">IFERROR(IF($A7="","",RIGHT($A7,LEN($A7)-FIND(" | ",$A7,FIND(" | ",$A7)+3)-2)),"")</f>
        <v>TEST REV.10 - PERDITE SAL E COSTI MENSILI</v>
      </c>
      <c r="E7" s="29">
        <v>46037</v>
      </c>
      <c r="F7" s="22" t="s">
        <v>74</v>
      </c>
      <c r="G7" s="22" t="s">
        <v>75</v>
      </c>
      <c r="H7" s="22" t="s">
        <v>76</v>
      </c>
      <c r="I7" s="24">
        <v>10000</v>
      </c>
      <c r="J7" s="24">
        <v>15000</v>
      </c>
      <c r="K7" s="24">
        <v>0</v>
      </c>
      <c r="L7" s="24">
        <v>0</v>
      </c>
      <c r="M7" s="27">
        <f t="shared" ref="M7:M70" si="3">IF($B7="","",SUM($J7,-$K7,$L7))</f>
        <v>15000</v>
      </c>
      <c r="N7" s="25">
        <v>100</v>
      </c>
      <c r="O7" s="22" t="s">
        <v>77</v>
      </c>
      <c r="P7" s="24">
        <v>0</v>
      </c>
      <c r="Q7" s="26"/>
    </row>
    <row r="8" spans="1:17" ht="15" x14ac:dyDescent="0.15">
      <c r="A8" s="22" t="s">
        <v>178</v>
      </c>
      <c r="B8" s="26" t="str">
        <f t="shared" si="0"/>
        <v>TEST10</v>
      </c>
      <c r="C8" s="26" t="str">
        <f t="shared" si="1"/>
        <v>COMMESSA DIMOSTRATIVA</v>
      </c>
      <c r="D8" s="26" t="str">
        <f t="shared" si="2"/>
        <v>TEST REV.10 - PERDITE SAL E COSTI MENSILI</v>
      </c>
      <c r="E8" s="29">
        <v>46068</v>
      </c>
      <c r="F8" s="22" t="s">
        <v>74</v>
      </c>
      <c r="G8" s="22" t="s">
        <v>78</v>
      </c>
      <c r="H8" s="22" t="s">
        <v>79</v>
      </c>
      <c r="I8" s="24">
        <v>10000</v>
      </c>
      <c r="J8" s="24">
        <v>15000</v>
      </c>
      <c r="K8" s="24">
        <v>0</v>
      </c>
      <c r="L8" s="24">
        <v>0</v>
      </c>
      <c r="M8" s="27">
        <f t="shared" si="3"/>
        <v>15000</v>
      </c>
      <c r="N8" s="25">
        <v>120</v>
      </c>
      <c r="O8" s="22" t="s">
        <v>80</v>
      </c>
      <c r="P8" s="24">
        <v>5000</v>
      </c>
      <c r="Q8" s="26"/>
    </row>
    <row r="9" spans="1:17" ht="15" x14ac:dyDescent="0.15">
      <c r="A9" s="22" t="s">
        <v>178</v>
      </c>
      <c r="B9" s="26" t="str">
        <f t="shared" si="0"/>
        <v>TEST10</v>
      </c>
      <c r="C9" s="26" t="str">
        <f t="shared" si="1"/>
        <v>COMMESSA DIMOSTRATIVA</v>
      </c>
      <c r="D9" s="26" t="str">
        <f t="shared" si="2"/>
        <v>TEST REV.10 - PERDITE SAL E COSTI MENSILI</v>
      </c>
      <c r="E9" s="29">
        <v>46096</v>
      </c>
      <c r="F9" s="22" t="s">
        <v>74</v>
      </c>
      <c r="G9" s="22" t="s">
        <v>81</v>
      </c>
      <c r="H9" s="22" t="s">
        <v>82</v>
      </c>
      <c r="I9" s="24">
        <v>5000</v>
      </c>
      <c r="J9" s="24">
        <v>10000</v>
      </c>
      <c r="K9" s="24">
        <v>0</v>
      </c>
      <c r="L9" s="24">
        <v>0</v>
      </c>
      <c r="M9" s="27">
        <f t="shared" si="3"/>
        <v>10000</v>
      </c>
      <c r="N9" s="25">
        <v>80</v>
      </c>
      <c r="O9" s="22" t="s">
        <v>83</v>
      </c>
      <c r="P9" s="24">
        <v>0</v>
      </c>
      <c r="Q9" s="26"/>
    </row>
    <row r="10" spans="1:17" ht="15" x14ac:dyDescent="0.15">
      <c r="A10" s="22" t="s">
        <v>179</v>
      </c>
      <c r="B10" s="26" t="str">
        <f t="shared" si="0"/>
        <v>C042</v>
      </c>
      <c r="C10" s="26" t="str">
        <f t="shared" si="1"/>
        <v>CARRON BAU</v>
      </c>
      <c r="D10" s="26" t="str">
        <f t="shared" si="2"/>
        <v>MURATURE IN LATERIZIO C/O COSMO SPA - PESCHIERA DEL GARDA</v>
      </c>
      <c r="E10" s="29">
        <v>46218</v>
      </c>
      <c r="F10" s="22" t="s">
        <v>74</v>
      </c>
      <c r="G10" s="22" t="s">
        <v>84</v>
      </c>
      <c r="H10" s="22" t="s">
        <v>85</v>
      </c>
      <c r="I10" s="24">
        <v>20000</v>
      </c>
      <c r="J10" s="24">
        <v>18000</v>
      </c>
      <c r="K10" s="24">
        <v>900</v>
      </c>
      <c r="L10" s="24">
        <v>0</v>
      </c>
      <c r="M10" s="27">
        <f t="shared" si="3"/>
        <v>17100</v>
      </c>
      <c r="N10" s="25">
        <v>300</v>
      </c>
      <c r="O10" s="22" t="s">
        <v>86</v>
      </c>
      <c r="P10" s="24">
        <v>2000</v>
      </c>
      <c r="Q10" s="26"/>
    </row>
    <row r="11" spans="1:17" ht="15" x14ac:dyDescent="0.15">
      <c r="A11" s="22" t="s">
        <v>179</v>
      </c>
      <c r="B11" s="26" t="str">
        <f t="shared" si="0"/>
        <v>C042</v>
      </c>
      <c r="C11" s="26" t="str">
        <f t="shared" si="1"/>
        <v>CARRON BAU</v>
      </c>
      <c r="D11" s="26" t="str">
        <f t="shared" si="2"/>
        <v>MURATURE IN LATERIZIO C/O COSMO SPA - PESCHIERA DEL GARDA</v>
      </c>
      <c r="E11" s="29">
        <v>46234</v>
      </c>
      <c r="F11" s="22" t="s">
        <v>74</v>
      </c>
      <c r="G11" s="22" t="s">
        <v>87</v>
      </c>
      <c r="H11" s="22" t="s">
        <v>88</v>
      </c>
      <c r="I11" s="24">
        <v>22770.9</v>
      </c>
      <c r="J11" s="24">
        <v>24770.9</v>
      </c>
      <c r="K11" s="24">
        <v>1110.23</v>
      </c>
      <c r="L11" s="24">
        <v>0</v>
      </c>
      <c r="M11" s="27">
        <f t="shared" si="3"/>
        <v>23660.670000000002</v>
      </c>
      <c r="N11" s="25">
        <v>380</v>
      </c>
      <c r="O11" s="22" t="s">
        <v>89</v>
      </c>
      <c r="P11" s="24"/>
      <c r="Q11" s="26"/>
    </row>
    <row r="12" spans="1:17" ht="15" x14ac:dyDescent="0.15">
      <c r="A12" s="22" t="s">
        <v>180</v>
      </c>
      <c r="B12" s="26" t="str">
        <f t="shared" si="0"/>
        <v>C011</v>
      </c>
      <c r="C12" s="26" t="str">
        <f t="shared" si="1"/>
        <v>CARRON</v>
      </c>
      <c r="D12" s="26" t="str">
        <f t="shared" si="2"/>
        <v>ZABARELLA 2023 - COD. CANTIERE 774</v>
      </c>
      <c r="E12" s="41">
        <v>46234</v>
      </c>
      <c r="F12" s="22"/>
      <c r="G12" s="22"/>
      <c r="H12" s="22"/>
      <c r="I12" s="24">
        <v>10000</v>
      </c>
      <c r="J12" s="24">
        <v>9000</v>
      </c>
      <c r="K12" s="24"/>
      <c r="L12" s="24"/>
      <c r="M12" s="27">
        <f t="shared" si="3"/>
        <v>9000</v>
      </c>
      <c r="N12" s="25"/>
      <c r="O12" s="22"/>
      <c r="P12" s="24">
        <v>1000</v>
      </c>
      <c r="Q12" s="26"/>
    </row>
    <row r="13" spans="1:17" ht="15" x14ac:dyDescent="0.15">
      <c r="A13" s="22" t="s">
        <v>180</v>
      </c>
      <c r="B13" s="26" t="str">
        <f t="shared" si="0"/>
        <v>C011</v>
      </c>
      <c r="C13" s="26" t="str">
        <f t="shared" si="1"/>
        <v>CARRON</v>
      </c>
      <c r="D13" s="26" t="str">
        <f t="shared" si="2"/>
        <v>ZABARELLA 2023 - COD. CANTIERE 774</v>
      </c>
      <c r="E13" s="41">
        <v>46234</v>
      </c>
      <c r="F13" s="22"/>
      <c r="G13" s="22"/>
      <c r="H13" s="22"/>
      <c r="I13" s="24">
        <v>10000</v>
      </c>
      <c r="J13" s="24"/>
      <c r="K13" s="24"/>
      <c r="L13" s="24"/>
      <c r="M13" s="27">
        <f t="shared" si="3"/>
        <v>0</v>
      </c>
      <c r="N13" s="25"/>
      <c r="O13" s="22"/>
      <c r="P13" s="24"/>
      <c r="Q13" s="26"/>
    </row>
    <row r="14" spans="1:17" ht="15" x14ac:dyDescent="0.15">
      <c r="A14" s="22" t="s">
        <v>179</v>
      </c>
      <c r="B14" s="26" t="str">
        <f t="shared" si="0"/>
        <v>C042</v>
      </c>
      <c r="C14" s="26" t="str">
        <f t="shared" si="1"/>
        <v>CARRON BAU</v>
      </c>
      <c r="D14" s="26" t="str">
        <f t="shared" si="2"/>
        <v>MURATURE IN LATERIZIO C/O COSMO SPA - PESCHIERA DEL GARDA</v>
      </c>
      <c r="E14" s="29">
        <v>46259</v>
      </c>
      <c r="F14" s="22" t="s">
        <v>71</v>
      </c>
      <c r="G14" s="22" t="s">
        <v>90</v>
      </c>
      <c r="H14" s="22" t="s">
        <v>91</v>
      </c>
      <c r="I14" s="24">
        <v>0</v>
      </c>
      <c r="J14" s="24">
        <v>0</v>
      </c>
      <c r="K14" s="24">
        <v>0</v>
      </c>
      <c r="L14" s="24">
        <v>500</v>
      </c>
      <c r="M14" s="27">
        <f t="shared" si="3"/>
        <v>500</v>
      </c>
      <c r="N14" s="25">
        <v>0</v>
      </c>
      <c r="O14" s="22" t="s">
        <v>92</v>
      </c>
      <c r="P14" s="24"/>
      <c r="Q14" s="26"/>
    </row>
    <row r="15" spans="1:17" ht="15" x14ac:dyDescent="0.15">
      <c r="A15" s="22"/>
      <c r="B15" s="26" t="str">
        <f t="shared" si="0"/>
        <v/>
      </c>
      <c r="C15" s="26" t="str">
        <f t="shared" si="1"/>
        <v/>
      </c>
      <c r="D15" s="26" t="str">
        <f t="shared" si="2"/>
        <v/>
      </c>
      <c r="E15" s="29"/>
      <c r="F15" s="22"/>
      <c r="G15" s="22"/>
      <c r="H15" s="22"/>
      <c r="I15" s="24"/>
      <c r="J15" s="24"/>
      <c r="K15" s="24"/>
      <c r="L15" s="24"/>
      <c r="M15" s="27" t="str">
        <f t="shared" si="3"/>
        <v/>
      </c>
      <c r="N15" s="25"/>
      <c r="O15" s="22"/>
      <c r="P15" s="24"/>
      <c r="Q15" s="26"/>
    </row>
    <row r="16" spans="1:17" ht="15" x14ac:dyDescent="0.15">
      <c r="A16" s="22"/>
      <c r="B16" s="26" t="str">
        <f t="shared" si="0"/>
        <v/>
      </c>
      <c r="C16" s="26" t="str">
        <f t="shared" si="1"/>
        <v/>
      </c>
      <c r="D16" s="26" t="str">
        <f t="shared" si="2"/>
        <v/>
      </c>
      <c r="E16" s="29"/>
      <c r="F16" s="22"/>
      <c r="G16" s="22"/>
      <c r="H16" s="22"/>
      <c r="I16" s="24"/>
      <c r="J16" s="24"/>
      <c r="K16" s="24"/>
      <c r="L16" s="24"/>
      <c r="M16" s="27" t="str">
        <f t="shared" si="3"/>
        <v/>
      </c>
      <c r="N16" s="25"/>
      <c r="O16" s="22"/>
      <c r="P16" s="24"/>
      <c r="Q16" s="26"/>
    </row>
    <row r="17" spans="1:17" ht="15" x14ac:dyDescent="0.15">
      <c r="A17" s="22"/>
      <c r="B17" s="26" t="str">
        <f t="shared" si="0"/>
        <v/>
      </c>
      <c r="C17" s="26" t="str">
        <f t="shared" si="1"/>
        <v/>
      </c>
      <c r="D17" s="26" t="str">
        <f t="shared" si="2"/>
        <v/>
      </c>
      <c r="E17" s="29"/>
      <c r="F17" s="22"/>
      <c r="G17" s="22"/>
      <c r="H17" s="22"/>
      <c r="I17" s="24"/>
      <c r="J17" s="24"/>
      <c r="K17" s="24"/>
      <c r="L17" s="24"/>
      <c r="M17" s="27" t="str">
        <f t="shared" si="3"/>
        <v/>
      </c>
      <c r="N17" s="25"/>
      <c r="O17" s="22"/>
      <c r="P17" s="24"/>
      <c r="Q17" s="26"/>
    </row>
    <row r="18" spans="1:17" ht="15" x14ac:dyDescent="0.15">
      <c r="A18" s="22"/>
      <c r="B18" s="26" t="str">
        <f t="shared" si="0"/>
        <v/>
      </c>
      <c r="C18" s="26" t="str">
        <f t="shared" si="1"/>
        <v/>
      </c>
      <c r="D18" s="26" t="str">
        <f t="shared" si="2"/>
        <v/>
      </c>
      <c r="E18" s="29"/>
      <c r="F18" s="22"/>
      <c r="G18" s="22"/>
      <c r="H18" s="22"/>
      <c r="I18" s="24"/>
      <c r="J18" s="24"/>
      <c r="K18" s="24"/>
      <c r="L18" s="24"/>
      <c r="M18" s="27" t="str">
        <f t="shared" si="3"/>
        <v/>
      </c>
      <c r="N18" s="25"/>
      <c r="O18" s="22"/>
      <c r="P18" s="24"/>
      <c r="Q18" s="26"/>
    </row>
    <row r="19" spans="1:17" ht="15" x14ac:dyDescent="0.15">
      <c r="A19" s="22"/>
      <c r="B19" s="26" t="str">
        <f t="shared" si="0"/>
        <v/>
      </c>
      <c r="C19" s="26" t="str">
        <f t="shared" si="1"/>
        <v/>
      </c>
      <c r="D19" s="26" t="str">
        <f t="shared" si="2"/>
        <v/>
      </c>
      <c r="E19" s="29"/>
      <c r="F19" s="22"/>
      <c r="G19" s="22"/>
      <c r="H19" s="22"/>
      <c r="I19" s="24"/>
      <c r="J19" s="24"/>
      <c r="K19" s="24"/>
      <c r="L19" s="24"/>
      <c r="M19" s="27" t="str">
        <f t="shared" si="3"/>
        <v/>
      </c>
      <c r="N19" s="25"/>
      <c r="O19" s="22"/>
      <c r="P19" s="24"/>
      <c r="Q19" s="26"/>
    </row>
    <row r="20" spans="1:17" ht="15" x14ac:dyDescent="0.15">
      <c r="A20" s="22"/>
      <c r="B20" s="26" t="str">
        <f t="shared" si="0"/>
        <v/>
      </c>
      <c r="C20" s="26" t="str">
        <f t="shared" si="1"/>
        <v/>
      </c>
      <c r="D20" s="26" t="str">
        <f t="shared" si="2"/>
        <v/>
      </c>
      <c r="E20" s="29"/>
      <c r="F20" s="22"/>
      <c r="G20" s="22"/>
      <c r="H20" s="22"/>
      <c r="I20" s="24"/>
      <c r="J20" s="24"/>
      <c r="K20" s="24"/>
      <c r="L20" s="24"/>
      <c r="M20" s="27" t="str">
        <f t="shared" si="3"/>
        <v/>
      </c>
      <c r="N20" s="25"/>
      <c r="O20" s="22"/>
      <c r="P20" s="24"/>
      <c r="Q20" s="26"/>
    </row>
    <row r="21" spans="1:17" ht="15" x14ac:dyDescent="0.15">
      <c r="A21" s="22"/>
      <c r="B21" s="26" t="str">
        <f t="shared" si="0"/>
        <v/>
      </c>
      <c r="C21" s="26" t="str">
        <f t="shared" si="1"/>
        <v/>
      </c>
      <c r="D21" s="26" t="str">
        <f t="shared" si="2"/>
        <v/>
      </c>
      <c r="E21" s="29"/>
      <c r="F21" s="22"/>
      <c r="G21" s="22"/>
      <c r="H21" s="22"/>
      <c r="I21" s="24"/>
      <c r="J21" s="24"/>
      <c r="K21" s="24"/>
      <c r="L21" s="24"/>
      <c r="M21" s="27" t="str">
        <f t="shared" si="3"/>
        <v/>
      </c>
      <c r="N21" s="25"/>
      <c r="O21" s="22"/>
      <c r="P21" s="24"/>
      <c r="Q21" s="26"/>
    </row>
    <row r="22" spans="1:17" ht="15" x14ac:dyDescent="0.15">
      <c r="A22" s="22"/>
      <c r="B22" s="26" t="str">
        <f t="shared" si="0"/>
        <v/>
      </c>
      <c r="C22" s="26" t="str">
        <f t="shared" si="1"/>
        <v/>
      </c>
      <c r="D22" s="26" t="str">
        <f t="shared" si="2"/>
        <v/>
      </c>
      <c r="E22" s="29"/>
      <c r="F22" s="22"/>
      <c r="G22" s="22"/>
      <c r="H22" s="22"/>
      <c r="I22" s="24"/>
      <c r="J22" s="24"/>
      <c r="K22" s="24"/>
      <c r="L22" s="24"/>
      <c r="M22" s="27" t="str">
        <f t="shared" si="3"/>
        <v/>
      </c>
      <c r="N22" s="25"/>
      <c r="O22" s="22"/>
      <c r="P22" s="24"/>
      <c r="Q22" s="26"/>
    </row>
    <row r="23" spans="1:17" ht="15" x14ac:dyDescent="0.15">
      <c r="A23" s="22"/>
      <c r="B23" s="26" t="str">
        <f t="shared" si="0"/>
        <v/>
      </c>
      <c r="C23" s="26" t="str">
        <f t="shared" si="1"/>
        <v/>
      </c>
      <c r="D23" s="26" t="str">
        <f t="shared" si="2"/>
        <v/>
      </c>
      <c r="E23" s="29"/>
      <c r="F23" s="22"/>
      <c r="G23" s="22"/>
      <c r="H23" s="22"/>
      <c r="I23" s="24"/>
      <c r="J23" s="24"/>
      <c r="K23" s="24"/>
      <c r="L23" s="24"/>
      <c r="M23" s="27" t="str">
        <f t="shared" si="3"/>
        <v/>
      </c>
      <c r="N23" s="25"/>
      <c r="O23" s="22"/>
      <c r="P23" s="24"/>
      <c r="Q23" s="26"/>
    </row>
    <row r="24" spans="1:17" ht="15" x14ac:dyDescent="0.15">
      <c r="A24" s="22"/>
      <c r="B24" s="26" t="str">
        <f t="shared" si="0"/>
        <v/>
      </c>
      <c r="C24" s="26" t="str">
        <f t="shared" si="1"/>
        <v/>
      </c>
      <c r="D24" s="26" t="str">
        <f t="shared" si="2"/>
        <v/>
      </c>
      <c r="E24" s="29"/>
      <c r="F24" s="22"/>
      <c r="G24" s="22"/>
      <c r="H24" s="22"/>
      <c r="I24" s="24"/>
      <c r="J24" s="24"/>
      <c r="K24" s="24"/>
      <c r="L24" s="24"/>
      <c r="M24" s="27" t="str">
        <f t="shared" si="3"/>
        <v/>
      </c>
      <c r="N24" s="25"/>
      <c r="O24" s="22"/>
      <c r="P24" s="24"/>
      <c r="Q24" s="26"/>
    </row>
    <row r="25" spans="1:17" ht="15" x14ac:dyDescent="0.15">
      <c r="A25" s="22"/>
      <c r="B25" s="26" t="str">
        <f t="shared" si="0"/>
        <v/>
      </c>
      <c r="C25" s="26" t="str">
        <f t="shared" si="1"/>
        <v/>
      </c>
      <c r="D25" s="26" t="str">
        <f t="shared" si="2"/>
        <v/>
      </c>
      <c r="E25" s="29"/>
      <c r="F25" s="22"/>
      <c r="G25" s="22"/>
      <c r="H25" s="22"/>
      <c r="I25" s="24"/>
      <c r="J25" s="24"/>
      <c r="K25" s="24"/>
      <c r="L25" s="24"/>
      <c r="M25" s="27" t="str">
        <f t="shared" si="3"/>
        <v/>
      </c>
      <c r="N25" s="25"/>
      <c r="O25" s="22"/>
      <c r="P25" s="24"/>
      <c r="Q25" s="26"/>
    </row>
    <row r="26" spans="1:17" ht="15" x14ac:dyDescent="0.15">
      <c r="A26" s="22"/>
      <c r="B26" s="26" t="str">
        <f t="shared" si="0"/>
        <v/>
      </c>
      <c r="C26" s="26" t="str">
        <f t="shared" si="1"/>
        <v/>
      </c>
      <c r="D26" s="26" t="str">
        <f t="shared" si="2"/>
        <v/>
      </c>
      <c r="E26" s="29"/>
      <c r="F26" s="22"/>
      <c r="G26" s="22"/>
      <c r="H26" s="22"/>
      <c r="I26" s="24"/>
      <c r="J26" s="24"/>
      <c r="K26" s="24"/>
      <c r="L26" s="24"/>
      <c r="M26" s="27" t="str">
        <f t="shared" si="3"/>
        <v/>
      </c>
      <c r="N26" s="25"/>
      <c r="O26" s="22"/>
      <c r="P26" s="24"/>
      <c r="Q26" s="26"/>
    </row>
    <row r="27" spans="1:17" ht="15" x14ac:dyDescent="0.15">
      <c r="A27" s="22"/>
      <c r="B27" s="26" t="str">
        <f t="shared" si="0"/>
        <v/>
      </c>
      <c r="C27" s="26" t="str">
        <f t="shared" si="1"/>
        <v/>
      </c>
      <c r="D27" s="26" t="str">
        <f t="shared" si="2"/>
        <v/>
      </c>
      <c r="E27" s="29"/>
      <c r="F27" s="22"/>
      <c r="G27" s="22"/>
      <c r="H27" s="22"/>
      <c r="I27" s="24"/>
      <c r="J27" s="24"/>
      <c r="K27" s="24"/>
      <c r="L27" s="24"/>
      <c r="M27" s="27" t="str">
        <f t="shared" si="3"/>
        <v/>
      </c>
      <c r="N27" s="25"/>
      <c r="O27" s="22"/>
      <c r="P27" s="24"/>
      <c r="Q27" s="26"/>
    </row>
    <row r="28" spans="1:17" ht="15" x14ac:dyDescent="0.15">
      <c r="A28" s="22"/>
      <c r="B28" s="26" t="str">
        <f t="shared" si="0"/>
        <v/>
      </c>
      <c r="C28" s="26" t="str">
        <f t="shared" si="1"/>
        <v/>
      </c>
      <c r="D28" s="26" t="str">
        <f t="shared" si="2"/>
        <v/>
      </c>
      <c r="E28" s="29"/>
      <c r="F28" s="22"/>
      <c r="G28" s="22"/>
      <c r="H28" s="22"/>
      <c r="I28" s="24"/>
      <c r="J28" s="24"/>
      <c r="K28" s="24"/>
      <c r="L28" s="24"/>
      <c r="M28" s="27" t="str">
        <f t="shared" si="3"/>
        <v/>
      </c>
      <c r="N28" s="25"/>
      <c r="O28" s="22"/>
      <c r="P28" s="24"/>
      <c r="Q28" s="26"/>
    </row>
    <row r="29" spans="1:17" ht="15" x14ac:dyDescent="0.15">
      <c r="A29" s="22"/>
      <c r="B29" s="26" t="str">
        <f t="shared" si="0"/>
        <v/>
      </c>
      <c r="C29" s="26" t="str">
        <f t="shared" si="1"/>
        <v/>
      </c>
      <c r="D29" s="26" t="str">
        <f t="shared" si="2"/>
        <v/>
      </c>
      <c r="E29" s="29"/>
      <c r="F29" s="22"/>
      <c r="G29" s="22"/>
      <c r="H29" s="22"/>
      <c r="I29" s="24"/>
      <c r="J29" s="24"/>
      <c r="K29" s="24"/>
      <c r="L29" s="24"/>
      <c r="M29" s="27" t="str">
        <f t="shared" si="3"/>
        <v/>
      </c>
      <c r="N29" s="25"/>
      <c r="O29" s="22"/>
      <c r="P29" s="24"/>
      <c r="Q29" s="26"/>
    </row>
    <row r="30" spans="1:17" ht="15" x14ac:dyDescent="0.15">
      <c r="A30" s="22"/>
      <c r="B30" s="26" t="str">
        <f t="shared" si="0"/>
        <v/>
      </c>
      <c r="C30" s="26" t="str">
        <f t="shared" si="1"/>
        <v/>
      </c>
      <c r="D30" s="26" t="str">
        <f t="shared" si="2"/>
        <v/>
      </c>
      <c r="E30" s="29"/>
      <c r="F30" s="22"/>
      <c r="G30" s="22"/>
      <c r="H30" s="22"/>
      <c r="I30" s="24"/>
      <c r="J30" s="24"/>
      <c r="K30" s="24"/>
      <c r="L30" s="24"/>
      <c r="M30" s="27" t="str">
        <f t="shared" si="3"/>
        <v/>
      </c>
      <c r="N30" s="25"/>
      <c r="O30" s="22"/>
      <c r="P30" s="24"/>
      <c r="Q30" s="26"/>
    </row>
    <row r="31" spans="1:17" ht="15" x14ac:dyDescent="0.15">
      <c r="A31" s="22"/>
      <c r="B31" s="26" t="str">
        <f t="shared" si="0"/>
        <v/>
      </c>
      <c r="C31" s="26" t="str">
        <f t="shared" si="1"/>
        <v/>
      </c>
      <c r="D31" s="26" t="str">
        <f t="shared" si="2"/>
        <v/>
      </c>
      <c r="E31" s="29"/>
      <c r="F31" s="22"/>
      <c r="G31" s="22"/>
      <c r="H31" s="22"/>
      <c r="I31" s="24"/>
      <c r="J31" s="24"/>
      <c r="K31" s="24"/>
      <c r="L31" s="24"/>
      <c r="M31" s="27" t="str">
        <f t="shared" si="3"/>
        <v/>
      </c>
      <c r="N31" s="25"/>
      <c r="O31" s="22"/>
      <c r="P31" s="24"/>
      <c r="Q31" s="26"/>
    </row>
    <row r="32" spans="1:17" ht="15" x14ac:dyDescent="0.15">
      <c r="A32" s="22"/>
      <c r="B32" s="26" t="str">
        <f t="shared" si="0"/>
        <v/>
      </c>
      <c r="C32" s="26" t="str">
        <f t="shared" si="1"/>
        <v/>
      </c>
      <c r="D32" s="26" t="str">
        <f t="shared" si="2"/>
        <v/>
      </c>
      <c r="E32" s="29"/>
      <c r="F32" s="22"/>
      <c r="G32" s="22"/>
      <c r="H32" s="22"/>
      <c r="I32" s="24"/>
      <c r="J32" s="24"/>
      <c r="K32" s="24"/>
      <c r="L32" s="24"/>
      <c r="M32" s="27" t="str">
        <f t="shared" si="3"/>
        <v/>
      </c>
      <c r="N32" s="25"/>
      <c r="O32" s="22"/>
      <c r="P32" s="24"/>
      <c r="Q32" s="26"/>
    </row>
    <row r="33" spans="1:17" ht="15" x14ac:dyDescent="0.15">
      <c r="A33" s="22"/>
      <c r="B33" s="26" t="str">
        <f t="shared" si="0"/>
        <v/>
      </c>
      <c r="C33" s="26" t="str">
        <f t="shared" si="1"/>
        <v/>
      </c>
      <c r="D33" s="26" t="str">
        <f t="shared" si="2"/>
        <v/>
      </c>
      <c r="E33" s="29"/>
      <c r="F33" s="22"/>
      <c r="G33" s="22"/>
      <c r="H33" s="22"/>
      <c r="I33" s="24"/>
      <c r="J33" s="24"/>
      <c r="K33" s="24"/>
      <c r="L33" s="24"/>
      <c r="M33" s="27" t="str">
        <f t="shared" si="3"/>
        <v/>
      </c>
      <c r="N33" s="25"/>
      <c r="O33" s="22"/>
      <c r="P33" s="24"/>
      <c r="Q33" s="26"/>
    </row>
    <row r="34" spans="1:17" ht="15" x14ac:dyDescent="0.15">
      <c r="A34" s="22"/>
      <c r="B34" s="26" t="str">
        <f t="shared" si="0"/>
        <v/>
      </c>
      <c r="C34" s="26" t="str">
        <f t="shared" si="1"/>
        <v/>
      </c>
      <c r="D34" s="26" t="str">
        <f t="shared" si="2"/>
        <v/>
      </c>
      <c r="E34" s="29"/>
      <c r="F34" s="22"/>
      <c r="G34" s="22"/>
      <c r="H34" s="22"/>
      <c r="I34" s="24"/>
      <c r="J34" s="24"/>
      <c r="K34" s="24"/>
      <c r="L34" s="24"/>
      <c r="M34" s="27" t="str">
        <f t="shared" si="3"/>
        <v/>
      </c>
      <c r="N34" s="25"/>
      <c r="O34" s="22"/>
      <c r="P34" s="24"/>
      <c r="Q34" s="26"/>
    </row>
    <row r="35" spans="1:17" ht="15" x14ac:dyDescent="0.15">
      <c r="A35" s="22"/>
      <c r="B35" s="26" t="str">
        <f t="shared" si="0"/>
        <v/>
      </c>
      <c r="C35" s="26" t="str">
        <f t="shared" si="1"/>
        <v/>
      </c>
      <c r="D35" s="26" t="str">
        <f t="shared" si="2"/>
        <v/>
      </c>
      <c r="E35" s="29"/>
      <c r="F35" s="22"/>
      <c r="G35" s="22"/>
      <c r="H35" s="22"/>
      <c r="I35" s="24"/>
      <c r="J35" s="24"/>
      <c r="K35" s="24"/>
      <c r="L35" s="24"/>
      <c r="M35" s="27" t="str">
        <f t="shared" si="3"/>
        <v/>
      </c>
      <c r="N35" s="25"/>
      <c r="O35" s="22"/>
      <c r="P35" s="24"/>
      <c r="Q35" s="26"/>
    </row>
    <row r="36" spans="1:17" ht="15" x14ac:dyDescent="0.15">
      <c r="A36" s="22"/>
      <c r="B36" s="26" t="str">
        <f t="shared" si="0"/>
        <v/>
      </c>
      <c r="C36" s="26" t="str">
        <f t="shared" si="1"/>
        <v/>
      </c>
      <c r="D36" s="26" t="str">
        <f t="shared" si="2"/>
        <v/>
      </c>
      <c r="E36" s="29"/>
      <c r="F36" s="22"/>
      <c r="G36" s="22"/>
      <c r="H36" s="22"/>
      <c r="I36" s="24"/>
      <c r="J36" s="24"/>
      <c r="K36" s="24"/>
      <c r="L36" s="24"/>
      <c r="M36" s="27" t="str">
        <f t="shared" si="3"/>
        <v/>
      </c>
      <c r="N36" s="25"/>
      <c r="O36" s="22"/>
      <c r="P36" s="24"/>
      <c r="Q36" s="26"/>
    </row>
    <row r="37" spans="1:17" ht="15" x14ac:dyDescent="0.15">
      <c r="A37" s="22"/>
      <c r="B37" s="26" t="str">
        <f t="shared" si="0"/>
        <v/>
      </c>
      <c r="C37" s="26" t="str">
        <f t="shared" si="1"/>
        <v/>
      </c>
      <c r="D37" s="26" t="str">
        <f t="shared" si="2"/>
        <v/>
      </c>
      <c r="E37" s="29"/>
      <c r="F37" s="22"/>
      <c r="G37" s="22"/>
      <c r="H37" s="22"/>
      <c r="I37" s="24"/>
      <c r="J37" s="24"/>
      <c r="K37" s="24"/>
      <c r="L37" s="24"/>
      <c r="M37" s="27" t="str">
        <f t="shared" si="3"/>
        <v/>
      </c>
      <c r="N37" s="25"/>
      <c r="O37" s="22"/>
      <c r="P37" s="24"/>
      <c r="Q37" s="26"/>
    </row>
    <row r="38" spans="1:17" ht="15" x14ac:dyDescent="0.15">
      <c r="A38" s="22"/>
      <c r="B38" s="26" t="str">
        <f t="shared" si="0"/>
        <v/>
      </c>
      <c r="C38" s="26" t="str">
        <f t="shared" si="1"/>
        <v/>
      </c>
      <c r="D38" s="26" t="str">
        <f t="shared" si="2"/>
        <v/>
      </c>
      <c r="E38" s="29"/>
      <c r="F38" s="22"/>
      <c r="G38" s="22"/>
      <c r="H38" s="22"/>
      <c r="I38" s="24"/>
      <c r="J38" s="24"/>
      <c r="K38" s="24"/>
      <c r="L38" s="24"/>
      <c r="M38" s="27" t="str">
        <f t="shared" si="3"/>
        <v/>
      </c>
      <c r="N38" s="25"/>
      <c r="O38" s="22"/>
      <c r="P38" s="24"/>
      <c r="Q38" s="26"/>
    </row>
    <row r="39" spans="1:17" ht="15" x14ac:dyDescent="0.15">
      <c r="A39" s="22"/>
      <c r="B39" s="26" t="str">
        <f t="shared" si="0"/>
        <v/>
      </c>
      <c r="C39" s="26" t="str">
        <f t="shared" si="1"/>
        <v/>
      </c>
      <c r="D39" s="26" t="str">
        <f t="shared" si="2"/>
        <v/>
      </c>
      <c r="E39" s="29"/>
      <c r="F39" s="22"/>
      <c r="G39" s="22"/>
      <c r="H39" s="22"/>
      <c r="I39" s="24"/>
      <c r="J39" s="24"/>
      <c r="K39" s="24"/>
      <c r="L39" s="24"/>
      <c r="M39" s="27" t="str">
        <f t="shared" si="3"/>
        <v/>
      </c>
      <c r="N39" s="25"/>
      <c r="O39" s="22"/>
      <c r="P39" s="24"/>
      <c r="Q39" s="26"/>
    </row>
    <row r="40" spans="1:17" ht="15" x14ac:dyDescent="0.15">
      <c r="A40" s="22"/>
      <c r="B40" s="26" t="str">
        <f t="shared" si="0"/>
        <v/>
      </c>
      <c r="C40" s="26" t="str">
        <f t="shared" si="1"/>
        <v/>
      </c>
      <c r="D40" s="26" t="str">
        <f t="shared" si="2"/>
        <v/>
      </c>
      <c r="E40" s="29"/>
      <c r="F40" s="22"/>
      <c r="G40" s="22"/>
      <c r="H40" s="22"/>
      <c r="I40" s="24"/>
      <c r="J40" s="24"/>
      <c r="K40" s="24"/>
      <c r="L40" s="24"/>
      <c r="M40" s="27" t="str">
        <f t="shared" si="3"/>
        <v/>
      </c>
      <c r="N40" s="25"/>
      <c r="O40" s="22"/>
      <c r="P40" s="24"/>
      <c r="Q40" s="26"/>
    </row>
    <row r="41" spans="1:17" ht="15" x14ac:dyDescent="0.15">
      <c r="A41" s="22"/>
      <c r="B41" s="26" t="str">
        <f t="shared" si="0"/>
        <v/>
      </c>
      <c r="C41" s="26" t="str">
        <f t="shared" si="1"/>
        <v/>
      </c>
      <c r="D41" s="26" t="str">
        <f t="shared" si="2"/>
        <v/>
      </c>
      <c r="E41" s="29"/>
      <c r="F41" s="22"/>
      <c r="G41" s="22"/>
      <c r="H41" s="22"/>
      <c r="I41" s="24"/>
      <c r="J41" s="24"/>
      <c r="K41" s="24"/>
      <c r="L41" s="24"/>
      <c r="M41" s="27" t="str">
        <f t="shared" si="3"/>
        <v/>
      </c>
      <c r="N41" s="25"/>
      <c r="O41" s="22"/>
      <c r="P41" s="24"/>
      <c r="Q41" s="26"/>
    </row>
    <row r="42" spans="1:17" ht="15" x14ac:dyDescent="0.15">
      <c r="A42" s="22"/>
      <c r="B42" s="26" t="str">
        <f t="shared" si="0"/>
        <v/>
      </c>
      <c r="C42" s="26" t="str">
        <f t="shared" si="1"/>
        <v/>
      </c>
      <c r="D42" s="26" t="str">
        <f t="shared" si="2"/>
        <v/>
      </c>
      <c r="E42" s="29"/>
      <c r="F42" s="22"/>
      <c r="G42" s="22"/>
      <c r="H42" s="22"/>
      <c r="I42" s="24"/>
      <c r="J42" s="24"/>
      <c r="K42" s="24"/>
      <c r="L42" s="24"/>
      <c r="M42" s="27" t="str">
        <f t="shared" si="3"/>
        <v/>
      </c>
      <c r="N42" s="25"/>
      <c r="O42" s="22"/>
      <c r="P42" s="24"/>
      <c r="Q42" s="26"/>
    </row>
    <row r="43" spans="1:17" ht="15" x14ac:dyDescent="0.15">
      <c r="A43" s="22"/>
      <c r="B43" s="26" t="str">
        <f t="shared" si="0"/>
        <v/>
      </c>
      <c r="C43" s="26" t="str">
        <f t="shared" si="1"/>
        <v/>
      </c>
      <c r="D43" s="26" t="str">
        <f t="shared" si="2"/>
        <v/>
      </c>
      <c r="E43" s="29"/>
      <c r="F43" s="22"/>
      <c r="G43" s="22"/>
      <c r="H43" s="22"/>
      <c r="I43" s="24"/>
      <c r="J43" s="24"/>
      <c r="K43" s="24"/>
      <c r="L43" s="24"/>
      <c r="M43" s="27" t="str">
        <f t="shared" si="3"/>
        <v/>
      </c>
      <c r="N43" s="25"/>
      <c r="O43" s="22"/>
      <c r="P43" s="24"/>
      <c r="Q43" s="26"/>
    </row>
    <row r="44" spans="1:17" ht="15" x14ac:dyDescent="0.15">
      <c r="A44" s="22"/>
      <c r="B44" s="26" t="str">
        <f t="shared" si="0"/>
        <v/>
      </c>
      <c r="C44" s="26" t="str">
        <f t="shared" si="1"/>
        <v/>
      </c>
      <c r="D44" s="26" t="str">
        <f t="shared" si="2"/>
        <v/>
      </c>
      <c r="E44" s="29"/>
      <c r="F44" s="22"/>
      <c r="G44" s="22"/>
      <c r="H44" s="22"/>
      <c r="I44" s="24"/>
      <c r="J44" s="24"/>
      <c r="K44" s="24"/>
      <c r="L44" s="24"/>
      <c r="M44" s="27" t="str">
        <f t="shared" si="3"/>
        <v/>
      </c>
      <c r="N44" s="25"/>
      <c r="O44" s="22"/>
      <c r="P44" s="24"/>
      <c r="Q44" s="26"/>
    </row>
    <row r="45" spans="1:17" ht="15" x14ac:dyDescent="0.15">
      <c r="A45" s="22"/>
      <c r="B45" s="26" t="str">
        <f t="shared" si="0"/>
        <v/>
      </c>
      <c r="C45" s="26" t="str">
        <f t="shared" si="1"/>
        <v/>
      </c>
      <c r="D45" s="26" t="str">
        <f t="shared" si="2"/>
        <v/>
      </c>
      <c r="E45" s="29"/>
      <c r="F45" s="22"/>
      <c r="G45" s="22"/>
      <c r="H45" s="22"/>
      <c r="I45" s="24"/>
      <c r="J45" s="24"/>
      <c r="K45" s="24"/>
      <c r="L45" s="24"/>
      <c r="M45" s="27" t="str">
        <f t="shared" si="3"/>
        <v/>
      </c>
      <c r="N45" s="25"/>
      <c r="O45" s="22"/>
      <c r="P45" s="24"/>
      <c r="Q45" s="26"/>
    </row>
    <row r="46" spans="1:17" ht="15" x14ac:dyDescent="0.15">
      <c r="A46" s="22"/>
      <c r="B46" s="26" t="str">
        <f t="shared" si="0"/>
        <v/>
      </c>
      <c r="C46" s="26" t="str">
        <f t="shared" si="1"/>
        <v/>
      </c>
      <c r="D46" s="26" t="str">
        <f t="shared" si="2"/>
        <v/>
      </c>
      <c r="E46" s="29"/>
      <c r="F46" s="22"/>
      <c r="G46" s="22"/>
      <c r="H46" s="22"/>
      <c r="I46" s="24"/>
      <c r="J46" s="24"/>
      <c r="K46" s="24"/>
      <c r="L46" s="24"/>
      <c r="M46" s="27" t="str">
        <f t="shared" si="3"/>
        <v/>
      </c>
      <c r="N46" s="25"/>
      <c r="O46" s="22"/>
      <c r="P46" s="24"/>
      <c r="Q46" s="26"/>
    </row>
    <row r="47" spans="1:17" ht="15" x14ac:dyDescent="0.15">
      <c r="A47" s="22"/>
      <c r="B47" s="26" t="str">
        <f t="shared" si="0"/>
        <v/>
      </c>
      <c r="C47" s="26" t="str">
        <f t="shared" si="1"/>
        <v/>
      </c>
      <c r="D47" s="26" t="str">
        <f t="shared" si="2"/>
        <v/>
      </c>
      <c r="E47" s="29"/>
      <c r="F47" s="22"/>
      <c r="G47" s="22"/>
      <c r="H47" s="22"/>
      <c r="I47" s="24"/>
      <c r="J47" s="24"/>
      <c r="K47" s="24"/>
      <c r="L47" s="24"/>
      <c r="M47" s="27" t="str">
        <f t="shared" si="3"/>
        <v/>
      </c>
      <c r="N47" s="25"/>
      <c r="O47" s="22"/>
      <c r="P47" s="24"/>
      <c r="Q47" s="26"/>
    </row>
    <row r="48" spans="1:17" ht="15" x14ac:dyDescent="0.15">
      <c r="A48" s="22"/>
      <c r="B48" s="26" t="str">
        <f t="shared" si="0"/>
        <v/>
      </c>
      <c r="C48" s="26" t="str">
        <f t="shared" si="1"/>
        <v/>
      </c>
      <c r="D48" s="26" t="str">
        <f t="shared" si="2"/>
        <v/>
      </c>
      <c r="E48" s="29"/>
      <c r="F48" s="22"/>
      <c r="G48" s="22"/>
      <c r="H48" s="22"/>
      <c r="I48" s="24"/>
      <c r="J48" s="24"/>
      <c r="K48" s="24"/>
      <c r="L48" s="24"/>
      <c r="M48" s="27" t="str">
        <f t="shared" si="3"/>
        <v/>
      </c>
      <c r="N48" s="25"/>
      <c r="O48" s="22"/>
      <c r="P48" s="24"/>
      <c r="Q48" s="26"/>
    </row>
    <row r="49" spans="1:17" ht="15" x14ac:dyDescent="0.15">
      <c r="A49" s="22"/>
      <c r="B49" s="26" t="str">
        <f t="shared" si="0"/>
        <v/>
      </c>
      <c r="C49" s="26" t="str">
        <f t="shared" si="1"/>
        <v/>
      </c>
      <c r="D49" s="26" t="str">
        <f t="shared" si="2"/>
        <v/>
      </c>
      <c r="E49" s="29"/>
      <c r="F49" s="22"/>
      <c r="G49" s="22"/>
      <c r="H49" s="22"/>
      <c r="I49" s="24"/>
      <c r="J49" s="24"/>
      <c r="K49" s="24"/>
      <c r="L49" s="24"/>
      <c r="M49" s="27" t="str">
        <f t="shared" si="3"/>
        <v/>
      </c>
      <c r="N49" s="25"/>
      <c r="O49" s="22"/>
      <c r="P49" s="24"/>
      <c r="Q49" s="26"/>
    </row>
    <row r="50" spans="1:17" ht="15" x14ac:dyDescent="0.15">
      <c r="A50" s="22"/>
      <c r="B50" s="26" t="str">
        <f t="shared" si="0"/>
        <v/>
      </c>
      <c r="C50" s="26" t="str">
        <f t="shared" si="1"/>
        <v/>
      </c>
      <c r="D50" s="26" t="str">
        <f t="shared" si="2"/>
        <v/>
      </c>
      <c r="E50" s="29"/>
      <c r="F50" s="22"/>
      <c r="G50" s="22"/>
      <c r="H50" s="22"/>
      <c r="I50" s="24"/>
      <c r="J50" s="24"/>
      <c r="K50" s="24"/>
      <c r="L50" s="24"/>
      <c r="M50" s="27" t="str">
        <f t="shared" si="3"/>
        <v/>
      </c>
      <c r="N50" s="25"/>
      <c r="O50" s="22"/>
      <c r="P50" s="24"/>
      <c r="Q50" s="26"/>
    </row>
    <row r="51" spans="1:17" ht="15" x14ac:dyDescent="0.15">
      <c r="A51" s="22"/>
      <c r="B51" s="26" t="str">
        <f t="shared" si="0"/>
        <v/>
      </c>
      <c r="C51" s="26" t="str">
        <f t="shared" si="1"/>
        <v/>
      </c>
      <c r="D51" s="26" t="str">
        <f t="shared" si="2"/>
        <v/>
      </c>
      <c r="E51" s="29"/>
      <c r="F51" s="22"/>
      <c r="G51" s="22"/>
      <c r="H51" s="22"/>
      <c r="I51" s="24"/>
      <c r="J51" s="24"/>
      <c r="K51" s="24"/>
      <c r="L51" s="24"/>
      <c r="M51" s="27" t="str">
        <f t="shared" si="3"/>
        <v/>
      </c>
      <c r="N51" s="25"/>
      <c r="O51" s="22"/>
      <c r="P51" s="24"/>
      <c r="Q51" s="26"/>
    </row>
    <row r="52" spans="1:17" ht="15" x14ac:dyDescent="0.15">
      <c r="A52" s="22"/>
      <c r="B52" s="26" t="str">
        <f t="shared" si="0"/>
        <v/>
      </c>
      <c r="C52" s="26" t="str">
        <f t="shared" si="1"/>
        <v/>
      </c>
      <c r="D52" s="26" t="str">
        <f t="shared" si="2"/>
        <v/>
      </c>
      <c r="E52" s="29"/>
      <c r="F52" s="22"/>
      <c r="G52" s="22"/>
      <c r="H52" s="22"/>
      <c r="I52" s="24"/>
      <c r="J52" s="24"/>
      <c r="K52" s="24"/>
      <c r="L52" s="24"/>
      <c r="M52" s="27" t="str">
        <f t="shared" si="3"/>
        <v/>
      </c>
      <c r="N52" s="25"/>
      <c r="O52" s="22"/>
      <c r="P52" s="24"/>
      <c r="Q52" s="26"/>
    </row>
    <row r="53" spans="1:17" ht="15" x14ac:dyDescent="0.15">
      <c r="A53" s="22"/>
      <c r="B53" s="26" t="str">
        <f t="shared" si="0"/>
        <v/>
      </c>
      <c r="C53" s="26" t="str">
        <f t="shared" si="1"/>
        <v/>
      </c>
      <c r="D53" s="26" t="str">
        <f t="shared" si="2"/>
        <v/>
      </c>
      <c r="E53" s="29"/>
      <c r="F53" s="22"/>
      <c r="G53" s="22"/>
      <c r="H53" s="22"/>
      <c r="I53" s="24"/>
      <c r="J53" s="24"/>
      <c r="K53" s="24"/>
      <c r="L53" s="24"/>
      <c r="M53" s="27" t="str">
        <f t="shared" si="3"/>
        <v/>
      </c>
      <c r="N53" s="25"/>
      <c r="O53" s="22"/>
      <c r="P53" s="24"/>
      <c r="Q53" s="26"/>
    </row>
    <row r="54" spans="1:17" ht="15" x14ac:dyDescent="0.15">
      <c r="A54" s="22"/>
      <c r="B54" s="26" t="str">
        <f t="shared" si="0"/>
        <v/>
      </c>
      <c r="C54" s="26" t="str">
        <f t="shared" si="1"/>
        <v/>
      </c>
      <c r="D54" s="26" t="str">
        <f t="shared" si="2"/>
        <v/>
      </c>
      <c r="E54" s="29"/>
      <c r="F54" s="22"/>
      <c r="G54" s="22"/>
      <c r="H54" s="22"/>
      <c r="I54" s="24"/>
      <c r="J54" s="24"/>
      <c r="K54" s="24"/>
      <c r="L54" s="24"/>
      <c r="M54" s="27" t="str">
        <f t="shared" si="3"/>
        <v/>
      </c>
      <c r="N54" s="25"/>
      <c r="O54" s="22"/>
      <c r="P54" s="24"/>
      <c r="Q54" s="26"/>
    </row>
    <row r="55" spans="1:17" ht="15" x14ac:dyDescent="0.15">
      <c r="A55" s="22"/>
      <c r="B55" s="26" t="str">
        <f t="shared" si="0"/>
        <v/>
      </c>
      <c r="C55" s="26" t="str">
        <f t="shared" si="1"/>
        <v/>
      </c>
      <c r="D55" s="26" t="str">
        <f t="shared" si="2"/>
        <v/>
      </c>
      <c r="E55" s="29"/>
      <c r="F55" s="22"/>
      <c r="G55" s="22"/>
      <c r="H55" s="22"/>
      <c r="I55" s="24"/>
      <c r="J55" s="24"/>
      <c r="K55" s="24"/>
      <c r="L55" s="24"/>
      <c r="M55" s="27" t="str">
        <f t="shared" si="3"/>
        <v/>
      </c>
      <c r="N55" s="25"/>
      <c r="O55" s="22"/>
      <c r="P55" s="24"/>
      <c r="Q55" s="26"/>
    </row>
    <row r="56" spans="1:17" ht="15" x14ac:dyDescent="0.15">
      <c r="A56" s="22"/>
      <c r="B56" s="26" t="str">
        <f t="shared" si="0"/>
        <v/>
      </c>
      <c r="C56" s="26" t="str">
        <f t="shared" si="1"/>
        <v/>
      </c>
      <c r="D56" s="26" t="str">
        <f t="shared" si="2"/>
        <v/>
      </c>
      <c r="E56" s="29"/>
      <c r="F56" s="22"/>
      <c r="G56" s="22"/>
      <c r="H56" s="22"/>
      <c r="I56" s="24"/>
      <c r="J56" s="24"/>
      <c r="K56" s="24"/>
      <c r="L56" s="24"/>
      <c r="M56" s="27" t="str">
        <f t="shared" si="3"/>
        <v/>
      </c>
      <c r="N56" s="25"/>
      <c r="O56" s="22"/>
      <c r="P56" s="24"/>
      <c r="Q56" s="26"/>
    </row>
    <row r="57" spans="1:17" ht="15" x14ac:dyDescent="0.15">
      <c r="A57" s="22"/>
      <c r="B57" s="26" t="str">
        <f t="shared" si="0"/>
        <v/>
      </c>
      <c r="C57" s="26" t="str">
        <f t="shared" si="1"/>
        <v/>
      </c>
      <c r="D57" s="26" t="str">
        <f t="shared" si="2"/>
        <v/>
      </c>
      <c r="E57" s="29"/>
      <c r="F57" s="22"/>
      <c r="G57" s="22"/>
      <c r="H57" s="22"/>
      <c r="I57" s="24"/>
      <c r="J57" s="24"/>
      <c r="K57" s="24"/>
      <c r="L57" s="24"/>
      <c r="M57" s="27" t="str">
        <f t="shared" si="3"/>
        <v/>
      </c>
      <c r="N57" s="25"/>
      <c r="O57" s="22"/>
      <c r="P57" s="24"/>
      <c r="Q57" s="26"/>
    </row>
    <row r="58" spans="1:17" ht="15" x14ac:dyDescent="0.15">
      <c r="A58" s="22"/>
      <c r="B58" s="26" t="str">
        <f t="shared" si="0"/>
        <v/>
      </c>
      <c r="C58" s="26" t="str">
        <f t="shared" si="1"/>
        <v/>
      </c>
      <c r="D58" s="26" t="str">
        <f t="shared" si="2"/>
        <v/>
      </c>
      <c r="E58" s="29"/>
      <c r="F58" s="22"/>
      <c r="G58" s="22"/>
      <c r="H58" s="22"/>
      <c r="I58" s="24"/>
      <c r="J58" s="24"/>
      <c r="K58" s="24"/>
      <c r="L58" s="24"/>
      <c r="M58" s="27" t="str">
        <f t="shared" si="3"/>
        <v/>
      </c>
      <c r="N58" s="25"/>
      <c r="O58" s="22"/>
      <c r="P58" s="24"/>
      <c r="Q58" s="26"/>
    </row>
    <row r="59" spans="1:17" ht="15" x14ac:dyDescent="0.15">
      <c r="A59" s="22"/>
      <c r="B59" s="26" t="str">
        <f t="shared" si="0"/>
        <v/>
      </c>
      <c r="C59" s="26" t="str">
        <f t="shared" si="1"/>
        <v/>
      </c>
      <c r="D59" s="26" t="str">
        <f t="shared" si="2"/>
        <v/>
      </c>
      <c r="E59" s="29"/>
      <c r="F59" s="22"/>
      <c r="G59" s="22"/>
      <c r="H59" s="22"/>
      <c r="I59" s="24"/>
      <c r="J59" s="24"/>
      <c r="K59" s="24"/>
      <c r="L59" s="24"/>
      <c r="M59" s="27" t="str">
        <f t="shared" si="3"/>
        <v/>
      </c>
      <c r="N59" s="25"/>
      <c r="O59" s="22"/>
      <c r="P59" s="24"/>
      <c r="Q59" s="26"/>
    </row>
    <row r="60" spans="1:17" ht="15" x14ac:dyDescent="0.15">
      <c r="A60" s="22"/>
      <c r="B60" s="26" t="str">
        <f t="shared" si="0"/>
        <v/>
      </c>
      <c r="C60" s="26" t="str">
        <f t="shared" si="1"/>
        <v/>
      </c>
      <c r="D60" s="26" t="str">
        <f t="shared" si="2"/>
        <v/>
      </c>
      <c r="E60" s="29"/>
      <c r="F60" s="22"/>
      <c r="G60" s="22"/>
      <c r="H60" s="22"/>
      <c r="I60" s="24"/>
      <c r="J60" s="24"/>
      <c r="K60" s="24"/>
      <c r="L60" s="24"/>
      <c r="M60" s="27" t="str">
        <f t="shared" si="3"/>
        <v/>
      </c>
      <c r="N60" s="25"/>
      <c r="O60" s="22"/>
      <c r="P60" s="24"/>
      <c r="Q60" s="26"/>
    </row>
    <row r="61" spans="1:17" ht="15" x14ac:dyDescent="0.15">
      <c r="A61" s="22"/>
      <c r="B61" s="26" t="str">
        <f t="shared" si="0"/>
        <v/>
      </c>
      <c r="C61" s="26" t="str">
        <f t="shared" si="1"/>
        <v/>
      </c>
      <c r="D61" s="26" t="str">
        <f t="shared" si="2"/>
        <v/>
      </c>
      <c r="E61" s="29"/>
      <c r="F61" s="22"/>
      <c r="G61" s="22"/>
      <c r="H61" s="22"/>
      <c r="I61" s="24"/>
      <c r="J61" s="24"/>
      <c r="K61" s="24"/>
      <c r="L61" s="24"/>
      <c r="M61" s="27" t="str">
        <f t="shared" si="3"/>
        <v/>
      </c>
      <c r="N61" s="25"/>
      <c r="O61" s="22"/>
      <c r="P61" s="24"/>
      <c r="Q61" s="26"/>
    </row>
    <row r="62" spans="1:17" ht="15" x14ac:dyDescent="0.15">
      <c r="A62" s="22"/>
      <c r="B62" s="26" t="str">
        <f t="shared" si="0"/>
        <v/>
      </c>
      <c r="C62" s="26" t="str">
        <f t="shared" si="1"/>
        <v/>
      </c>
      <c r="D62" s="26" t="str">
        <f t="shared" si="2"/>
        <v/>
      </c>
      <c r="E62" s="29"/>
      <c r="F62" s="22"/>
      <c r="G62" s="22"/>
      <c r="H62" s="22"/>
      <c r="I62" s="24"/>
      <c r="J62" s="24"/>
      <c r="K62" s="24"/>
      <c r="L62" s="24"/>
      <c r="M62" s="27" t="str">
        <f t="shared" si="3"/>
        <v/>
      </c>
      <c r="N62" s="25"/>
      <c r="O62" s="22"/>
      <c r="P62" s="24"/>
      <c r="Q62" s="26"/>
    </row>
    <row r="63" spans="1:17" ht="15" x14ac:dyDescent="0.15">
      <c r="A63" s="22"/>
      <c r="B63" s="26" t="str">
        <f t="shared" si="0"/>
        <v/>
      </c>
      <c r="C63" s="26" t="str">
        <f t="shared" si="1"/>
        <v/>
      </c>
      <c r="D63" s="26" t="str">
        <f t="shared" si="2"/>
        <v/>
      </c>
      <c r="E63" s="29"/>
      <c r="F63" s="22"/>
      <c r="G63" s="22"/>
      <c r="H63" s="22"/>
      <c r="I63" s="24"/>
      <c r="J63" s="24"/>
      <c r="K63" s="24"/>
      <c r="L63" s="24"/>
      <c r="M63" s="27" t="str">
        <f t="shared" si="3"/>
        <v/>
      </c>
      <c r="N63" s="25"/>
      <c r="O63" s="22"/>
      <c r="P63" s="24"/>
      <c r="Q63" s="26"/>
    </row>
    <row r="64" spans="1:17" ht="15" x14ac:dyDescent="0.15">
      <c r="A64" s="22"/>
      <c r="B64" s="26" t="str">
        <f t="shared" si="0"/>
        <v/>
      </c>
      <c r="C64" s="26" t="str">
        <f t="shared" si="1"/>
        <v/>
      </c>
      <c r="D64" s="26" t="str">
        <f t="shared" si="2"/>
        <v/>
      </c>
      <c r="E64" s="29"/>
      <c r="F64" s="22"/>
      <c r="G64" s="22"/>
      <c r="H64" s="22"/>
      <c r="I64" s="24"/>
      <c r="J64" s="24"/>
      <c r="K64" s="24"/>
      <c r="L64" s="24"/>
      <c r="M64" s="27" t="str">
        <f t="shared" si="3"/>
        <v/>
      </c>
      <c r="N64" s="25"/>
      <c r="O64" s="22"/>
      <c r="P64" s="24"/>
      <c r="Q64" s="26"/>
    </row>
    <row r="65" spans="1:17" ht="15" x14ac:dyDescent="0.15">
      <c r="A65" s="22"/>
      <c r="B65" s="26" t="str">
        <f t="shared" si="0"/>
        <v/>
      </c>
      <c r="C65" s="26" t="str">
        <f t="shared" si="1"/>
        <v/>
      </c>
      <c r="D65" s="26" t="str">
        <f t="shared" si="2"/>
        <v/>
      </c>
      <c r="E65" s="29"/>
      <c r="F65" s="22"/>
      <c r="G65" s="22"/>
      <c r="H65" s="22"/>
      <c r="I65" s="24"/>
      <c r="J65" s="24"/>
      <c r="K65" s="24"/>
      <c r="L65" s="24"/>
      <c r="M65" s="27" t="str">
        <f t="shared" si="3"/>
        <v/>
      </c>
      <c r="N65" s="25"/>
      <c r="O65" s="22"/>
      <c r="P65" s="24"/>
      <c r="Q65" s="26"/>
    </row>
    <row r="66" spans="1:17" ht="15" x14ac:dyDescent="0.15">
      <c r="A66" s="22"/>
      <c r="B66" s="26" t="str">
        <f t="shared" si="0"/>
        <v/>
      </c>
      <c r="C66" s="26" t="str">
        <f t="shared" si="1"/>
        <v/>
      </c>
      <c r="D66" s="26" t="str">
        <f t="shared" si="2"/>
        <v/>
      </c>
      <c r="E66" s="29"/>
      <c r="F66" s="22"/>
      <c r="G66" s="22"/>
      <c r="H66" s="22"/>
      <c r="I66" s="24"/>
      <c r="J66" s="24"/>
      <c r="K66" s="24"/>
      <c r="L66" s="24"/>
      <c r="M66" s="27" t="str">
        <f t="shared" si="3"/>
        <v/>
      </c>
      <c r="N66" s="25"/>
      <c r="O66" s="22"/>
      <c r="P66" s="24"/>
      <c r="Q66" s="26"/>
    </row>
    <row r="67" spans="1:17" ht="15" x14ac:dyDescent="0.15">
      <c r="A67" s="22"/>
      <c r="B67" s="26" t="str">
        <f t="shared" si="0"/>
        <v/>
      </c>
      <c r="C67" s="26" t="str">
        <f t="shared" si="1"/>
        <v/>
      </c>
      <c r="D67" s="26" t="str">
        <f t="shared" si="2"/>
        <v/>
      </c>
      <c r="E67" s="29"/>
      <c r="F67" s="22"/>
      <c r="G67" s="22"/>
      <c r="H67" s="22"/>
      <c r="I67" s="24"/>
      <c r="J67" s="24"/>
      <c r="K67" s="24"/>
      <c r="L67" s="24"/>
      <c r="M67" s="27" t="str">
        <f t="shared" si="3"/>
        <v/>
      </c>
      <c r="N67" s="25"/>
      <c r="O67" s="22"/>
      <c r="P67" s="24"/>
      <c r="Q67" s="26"/>
    </row>
    <row r="68" spans="1:17" ht="15" x14ac:dyDescent="0.15">
      <c r="A68" s="22"/>
      <c r="B68" s="26" t="str">
        <f t="shared" si="0"/>
        <v/>
      </c>
      <c r="C68" s="26" t="str">
        <f t="shared" si="1"/>
        <v/>
      </c>
      <c r="D68" s="26" t="str">
        <f t="shared" si="2"/>
        <v/>
      </c>
      <c r="E68" s="29"/>
      <c r="F68" s="22"/>
      <c r="G68" s="22"/>
      <c r="H68" s="22"/>
      <c r="I68" s="24"/>
      <c r="J68" s="24"/>
      <c r="K68" s="24"/>
      <c r="L68" s="24"/>
      <c r="M68" s="27" t="str">
        <f t="shared" si="3"/>
        <v/>
      </c>
      <c r="N68" s="25"/>
      <c r="O68" s="22"/>
      <c r="P68" s="24"/>
      <c r="Q68" s="26"/>
    </row>
    <row r="69" spans="1:17" ht="15" x14ac:dyDescent="0.15">
      <c r="A69" s="22"/>
      <c r="B69" s="26" t="str">
        <f t="shared" si="0"/>
        <v/>
      </c>
      <c r="C69" s="26" t="str">
        <f t="shared" si="1"/>
        <v/>
      </c>
      <c r="D69" s="26" t="str">
        <f t="shared" si="2"/>
        <v/>
      </c>
      <c r="E69" s="29"/>
      <c r="F69" s="22"/>
      <c r="G69" s="22"/>
      <c r="H69" s="22"/>
      <c r="I69" s="24"/>
      <c r="J69" s="24"/>
      <c r="K69" s="24"/>
      <c r="L69" s="24"/>
      <c r="M69" s="27" t="str">
        <f t="shared" si="3"/>
        <v/>
      </c>
      <c r="N69" s="25"/>
      <c r="O69" s="22"/>
      <c r="P69" s="24"/>
      <c r="Q69" s="26"/>
    </row>
    <row r="70" spans="1:17" ht="15" x14ac:dyDescent="0.15">
      <c r="A70" s="22"/>
      <c r="B70" s="26" t="str">
        <f t="shared" si="0"/>
        <v/>
      </c>
      <c r="C70" s="26" t="str">
        <f t="shared" si="1"/>
        <v/>
      </c>
      <c r="D70" s="26" t="str">
        <f t="shared" si="2"/>
        <v/>
      </c>
      <c r="E70" s="29"/>
      <c r="F70" s="22"/>
      <c r="G70" s="22"/>
      <c r="H70" s="22"/>
      <c r="I70" s="24"/>
      <c r="J70" s="24"/>
      <c r="K70" s="24"/>
      <c r="L70" s="24"/>
      <c r="M70" s="27" t="str">
        <f t="shared" si="3"/>
        <v/>
      </c>
      <c r="N70" s="25"/>
      <c r="O70" s="22"/>
      <c r="P70" s="24"/>
      <c r="Q70" s="26"/>
    </row>
    <row r="71" spans="1:17" ht="15" x14ac:dyDescent="0.15">
      <c r="A71" s="22"/>
      <c r="B71" s="26" t="str">
        <f t="shared" ref="B71:B134" si="4">IFERROR(IF($A71="","",LEFT($A71,FIND(" | ",$A71)-1)),"")</f>
        <v/>
      </c>
      <c r="C71" s="26" t="str">
        <f t="shared" ref="C71:C134" si="5">IFERROR(IF($A71="","",MID($A71,FIND(" | ",$A71)+3,FIND(" | ",$A71,FIND(" | ",$A71)+3)-FIND(" | ",$A71)-3)),"")</f>
        <v/>
      </c>
      <c r="D71" s="26" t="str">
        <f t="shared" ref="D71:D134" si="6">IFERROR(IF($A71="","",RIGHT($A71,LEN($A71)-FIND(" | ",$A71,FIND(" | ",$A71)+3)-2)),"")</f>
        <v/>
      </c>
      <c r="E71" s="29"/>
      <c r="F71" s="22"/>
      <c r="G71" s="22"/>
      <c r="H71" s="22"/>
      <c r="I71" s="24"/>
      <c r="J71" s="24"/>
      <c r="K71" s="24"/>
      <c r="L71" s="24"/>
      <c r="M71" s="27" t="str">
        <f t="shared" ref="M71:M134" si="7">IF($B71="","",SUM($J71,-$K71,$L71))</f>
        <v/>
      </c>
      <c r="N71" s="25"/>
      <c r="O71" s="22"/>
      <c r="P71" s="24"/>
      <c r="Q71" s="26"/>
    </row>
    <row r="72" spans="1:17" ht="15" x14ac:dyDescent="0.15">
      <c r="A72" s="22"/>
      <c r="B72" s="26" t="str">
        <f t="shared" si="4"/>
        <v/>
      </c>
      <c r="C72" s="26" t="str">
        <f t="shared" si="5"/>
        <v/>
      </c>
      <c r="D72" s="26" t="str">
        <f t="shared" si="6"/>
        <v/>
      </c>
      <c r="E72" s="29"/>
      <c r="F72" s="22"/>
      <c r="G72" s="22"/>
      <c r="H72" s="22"/>
      <c r="I72" s="24"/>
      <c r="J72" s="24"/>
      <c r="K72" s="24"/>
      <c r="L72" s="24"/>
      <c r="M72" s="27" t="str">
        <f t="shared" si="7"/>
        <v/>
      </c>
      <c r="N72" s="25"/>
      <c r="O72" s="22"/>
      <c r="P72" s="24"/>
      <c r="Q72" s="26"/>
    </row>
    <row r="73" spans="1:17" ht="15" x14ac:dyDescent="0.15">
      <c r="A73" s="22"/>
      <c r="B73" s="26" t="str">
        <f t="shared" si="4"/>
        <v/>
      </c>
      <c r="C73" s="26" t="str">
        <f t="shared" si="5"/>
        <v/>
      </c>
      <c r="D73" s="26" t="str">
        <f t="shared" si="6"/>
        <v/>
      </c>
      <c r="E73" s="29"/>
      <c r="F73" s="22"/>
      <c r="G73" s="22"/>
      <c r="H73" s="22"/>
      <c r="I73" s="24"/>
      <c r="J73" s="24"/>
      <c r="K73" s="24"/>
      <c r="L73" s="24"/>
      <c r="M73" s="27" t="str">
        <f t="shared" si="7"/>
        <v/>
      </c>
      <c r="N73" s="25"/>
      <c r="O73" s="22"/>
      <c r="P73" s="24"/>
      <c r="Q73" s="26"/>
    </row>
    <row r="74" spans="1:17" ht="15" x14ac:dyDescent="0.15">
      <c r="A74" s="22"/>
      <c r="B74" s="26" t="str">
        <f t="shared" si="4"/>
        <v/>
      </c>
      <c r="C74" s="26" t="str">
        <f t="shared" si="5"/>
        <v/>
      </c>
      <c r="D74" s="26" t="str">
        <f t="shared" si="6"/>
        <v/>
      </c>
      <c r="E74" s="29"/>
      <c r="F74" s="22"/>
      <c r="G74" s="22"/>
      <c r="H74" s="22"/>
      <c r="I74" s="24"/>
      <c r="J74" s="24"/>
      <c r="K74" s="24"/>
      <c r="L74" s="24"/>
      <c r="M74" s="27" t="str">
        <f t="shared" si="7"/>
        <v/>
      </c>
      <c r="N74" s="25"/>
      <c r="O74" s="22"/>
      <c r="P74" s="24"/>
      <c r="Q74" s="26"/>
    </row>
    <row r="75" spans="1:17" ht="15" x14ac:dyDescent="0.15">
      <c r="A75" s="22"/>
      <c r="B75" s="26" t="str">
        <f t="shared" si="4"/>
        <v/>
      </c>
      <c r="C75" s="26" t="str">
        <f t="shared" si="5"/>
        <v/>
      </c>
      <c r="D75" s="26" t="str">
        <f t="shared" si="6"/>
        <v/>
      </c>
      <c r="E75" s="29"/>
      <c r="F75" s="22"/>
      <c r="G75" s="22"/>
      <c r="H75" s="22"/>
      <c r="I75" s="24"/>
      <c r="J75" s="24"/>
      <c r="K75" s="24"/>
      <c r="L75" s="24"/>
      <c r="M75" s="27" t="str">
        <f t="shared" si="7"/>
        <v/>
      </c>
      <c r="N75" s="25"/>
      <c r="O75" s="22"/>
      <c r="P75" s="24"/>
      <c r="Q75" s="26"/>
    </row>
    <row r="76" spans="1:17" ht="15" x14ac:dyDescent="0.15">
      <c r="A76" s="22"/>
      <c r="B76" s="26" t="str">
        <f t="shared" si="4"/>
        <v/>
      </c>
      <c r="C76" s="26" t="str">
        <f t="shared" si="5"/>
        <v/>
      </c>
      <c r="D76" s="26" t="str">
        <f t="shared" si="6"/>
        <v/>
      </c>
      <c r="E76" s="29"/>
      <c r="F76" s="22"/>
      <c r="G76" s="22"/>
      <c r="H76" s="22"/>
      <c r="I76" s="24"/>
      <c r="J76" s="24"/>
      <c r="K76" s="24"/>
      <c r="L76" s="24"/>
      <c r="M76" s="27" t="str">
        <f t="shared" si="7"/>
        <v/>
      </c>
      <c r="N76" s="25"/>
      <c r="O76" s="22"/>
      <c r="P76" s="24"/>
      <c r="Q76" s="26"/>
    </row>
    <row r="77" spans="1:17" ht="15" x14ac:dyDescent="0.15">
      <c r="A77" s="22"/>
      <c r="B77" s="26" t="str">
        <f t="shared" si="4"/>
        <v/>
      </c>
      <c r="C77" s="26" t="str">
        <f t="shared" si="5"/>
        <v/>
      </c>
      <c r="D77" s="26" t="str">
        <f t="shared" si="6"/>
        <v/>
      </c>
      <c r="E77" s="29"/>
      <c r="F77" s="22"/>
      <c r="G77" s="22"/>
      <c r="H77" s="22"/>
      <c r="I77" s="24"/>
      <c r="J77" s="24"/>
      <c r="K77" s="24"/>
      <c r="L77" s="24"/>
      <c r="M77" s="27" t="str">
        <f t="shared" si="7"/>
        <v/>
      </c>
      <c r="N77" s="25"/>
      <c r="O77" s="22"/>
      <c r="P77" s="24"/>
      <c r="Q77" s="26"/>
    </row>
    <row r="78" spans="1:17" ht="15" x14ac:dyDescent="0.15">
      <c r="A78" s="22"/>
      <c r="B78" s="26" t="str">
        <f t="shared" si="4"/>
        <v/>
      </c>
      <c r="C78" s="26" t="str">
        <f t="shared" si="5"/>
        <v/>
      </c>
      <c r="D78" s="26" t="str">
        <f t="shared" si="6"/>
        <v/>
      </c>
      <c r="E78" s="29"/>
      <c r="F78" s="22"/>
      <c r="G78" s="22"/>
      <c r="H78" s="22"/>
      <c r="I78" s="24"/>
      <c r="J78" s="24"/>
      <c r="K78" s="24"/>
      <c r="L78" s="24"/>
      <c r="M78" s="27" t="str">
        <f t="shared" si="7"/>
        <v/>
      </c>
      <c r="N78" s="25"/>
      <c r="O78" s="22"/>
      <c r="P78" s="24"/>
      <c r="Q78" s="26"/>
    </row>
    <row r="79" spans="1:17" ht="15" x14ac:dyDescent="0.15">
      <c r="A79" s="22"/>
      <c r="B79" s="26" t="str">
        <f t="shared" si="4"/>
        <v/>
      </c>
      <c r="C79" s="26" t="str">
        <f t="shared" si="5"/>
        <v/>
      </c>
      <c r="D79" s="26" t="str">
        <f t="shared" si="6"/>
        <v/>
      </c>
      <c r="E79" s="29"/>
      <c r="F79" s="22"/>
      <c r="G79" s="22"/>
      <c r="H79" s="22"/>
      <c r="I79" s="24"/>
      <c r="J79" s="24"/>
      <c r="K79" s="24"/>
      <c r="L79" s="24"/>
      <c r="M79" s="27" t="str">
        <f t="shared" si="7"/>
        <v/>
      </c>
      <c r="N79" s="25"/>
      <c r="O79" s="22"/>
      <c r="P79" s="24"/>
      <c r="Q79" s="26"/>
    </row>
    <row r="80" spans="1:17" ht="15" x14ac:dyDescent="0.15">
      <c r="A80" s="22"/>
      <c r="B80" s="26" t="str">
        <f t="shared" si="4"/>
        <v/>
      </c>
      <c r="C80" s="26" t="str">
        <f t="shared" si="5"/>
        <v/>
      </c>
      <c r="D80" s="26" t="str">
        <f t="shared" si="6"/>
        <v/>
      </c>
      <c r="E80" s="29"/>
      <c r="F80" s="22"/>
      <c r="G80" s="22"/>
      <c r="H80" s="22"/>
      <c r="I80" s="24"/>
      <c r="J80" s="24"/>
      <c r="K80" s="24"/>
      <c r="L80" s="24"/>
      <c r="M80" s="27" t="str">
        <f t="shared" si="7"/>
        <v/>
      </c>
      <c r="N80" s="25"/>
      <c r="O80" s="22"/>
      <c r="P80" s="24"/>
      <c r="Q80" s="26"/>
    </row>
    <row r="81" spans="1:17" ht="15" x14ac:dyDescent="0.15">
      <c r="A81" s="22"/>
      <c r="B81" s="26" t="str">
        <f t="shared" si="4"/>
        <v/>
      </c>
      <c r="C81" s="26" t="str">
        <f t="shared" si="5"/>
        <v/>
      </c>
      <c r="D81" s="26" t="str">
        <f t="shared" si="6"/>
        <v/>
      </c>
      <c r="E81" s="29"/>
      <c r="F81" s="22"/>
      <c r="G81" s="22"/>
      <c r="H81" s="22"/>
      <c r="I81" s="24"/>
      <c r="J81" s="24"/>
      <c r="K81" s="24"/>
      <c r="L81" s="24"/>
      <c r="M81" s="27" t="str">
        <f t="shared" si="7"/>
        <v/>
      </c>
      <c r="N81" s="25"/>
      <c r="O81" s="22"/>
      <c r="P81" s="24"/>
      <c r="Q81" s="26"/>
    </row>
    <row r="82" spans="1:17" ht="15" x14ac:dyDescent="0.15">
      <c r="A82" s="22"/>
      <c r="B82" s="26" t="str">
        <f t="shared" si="4"/>
        <v/>
      </c>
      <c r="C82" s="26" t="str">
        <f t="shared" si="5"/>
        <v/>
      </c>
      <c r="D82" s="26" t="str">
        <f t="shared" si="6"/>
        <v/>
      </c>
      <c r="E82" s="29"/>
      <c r="F82" s="22"/>
      <c r="G82" s="22"/>
      <c r="H82" s="22"/>
      <c r="I82" s="24"/>
      <c r="J82" s="24"/>
      <c r="K82" s="24"/>
      <c r="L82" s="24"/>
      <c r="M82" s="27" t="str">
        <f t="shared" si="7"/>
        <v/>
      </c>
      <c r="N82" s="25"/>
      <c r="O82" s="22"/>
      <c r="P82" s="24"/>
      <c r="Q82" s="26"/>
    </row>
    <row r="83" spans="1:17" ht="15" x14ac:dyDescent="0.15">
      <c r="A83" s="22"/>
      <c r="B83" s="26" t="str">
        <f t="shared" si="4"/>
        <v/>
      </c>
      <c r="C83" s="26" t="str">
        <f t="shared" si="5"/>
        <v/>
      </c>
      <c r="D83" s="26" t="str">
        <f t="shared" si="6"/>
        <v/>
      </c>
      <c r="E83" s="29"/>
      <c r="F83" s="22"/>
      <c r="G83" s="22"/>
      <c r="H83" s="22"/>
      <c r="I83" s="24"/>
      <c r="J83" s="24"/>
      <c r="K83" s="24"/>
      <c r="L83" s="24"/>
      <c r="M83" s="27" t="str">
        <f t="shared" si="7"/>
        <v/>
      </c>
      <c r="N83" s="25"/>
      <c r="O83" s="22"/>
      <c r="P83" s="24"/>
      <c r="Q83" s="26"/>
    </row>
    <row r="84" spans="1:17" ht="15" x14ac:dyDescent="0.15">
      <c r="A84" s="22"/>
      <c r="B84" s="26" t="str">
        <f t="shared" si="4"/>
        <v/>
      </c>
      <c r="C84" s="26" t="str">
        <f t="shared" si="5"/>
        <v/>
      </c>
      <c r="D84" s="26" t="str">
        <f t="shared" si="6"/>
        <v/>
      </c>
      <c r="E84" s="29"/>
      <c r="F84" s="22"/>
      <c r="G84" s="22"/>
      <c r="H84" s="22"/>
      <c r="I84" s="24"/>
      <c r="J84" s="24"/>
      <c r="K84" s="24"/>
      <c r="L84" s="24"/>
      <c r="M84" s="27" t="str">
        <f t="shared" si="7"/>
        <v/>
      </c>
      <c r="N84" s="25"/>
      <c r="O84" s="22"/>
      <c r="P84" s="24"/>
      <c r="Q84" s="26"/>
    </row>
    <row r="85" spans="1:17" ht="15" x14ac:dyDescent="0.15">
      <c r="A85" s="22"/>
      <c r="B85" s="26" t="str">
        <f t="shared" si="4"/>
        <v/>
      </c>
      <c r="C85" s="26" t="str">
        <f t="shared" si="5"/>
        <v/>
      </c>
      <c r="D85" s="26" t="str">
        <f t="shared" si="6"/>
        <v/>
      </c>
      <c r="E85" s="29"/>
      <c r="F85" s="22"/>
      <c r="G85" s="22"/>
      <c r="H85" s="22"/>
      <c r="I85" s="24"/>
      <c r="J85" s="24"/>
      <c r="K85" s="24"/>
      <c r="L85" s="24"/>
      <c r="M85" s="27" t="str">
        <f t="shared" si="7"/>
        <v/>
      </c>
      <c r="N85" s="25"/>
      <c r="O85" s="22"/>
      <c r="P85" s="24"/>
      <c r="Q85" s="26"/>
    </row>
    <row r="86" spans="1:17" ht="15" x14ac:dyDescent="0.15">
      <c r="A86" s="22"/>
      <c r="B86" s="26" t="str">
        <f t="shared" si="4"/>
        <v/>
      </c>
      <c r="C86" s="26" t="str">
        <f t="shared" si="5"/>
        <v/>
      </c>
      <c r="D86" s="26" t="str">
        <f t="shared" si="6"/>
        <v/>
      </c>
      <c r="E86" s="29"/>
      <c r="F86" s="22"/>
      <c r="G86" s="22"/>
      <c r="H86" s="22"/>
      <c r="I86" s="24"/>
      <c r="J86" s="24"/>
      <c r="K86" s="24"/>
      <c r="L86" s="24"/>
      <c r="M86" s="27" t="str">
        <f t="shared" si="7"/>
        <v/>
      </c>
      <c r="N86" s="25"/>
      <c r="O86" s="22"/>
      <c r="P86" s="24"/>
      <c r="Q86" s="26"/>
    </row>
    <row r="87" spans="1:17" ht="15" x14ac:dyDescent="0.15">
      <c r="A87" s="22"/>
      <c r="B87" s="26" t="str">
        <f t="shared" si="4"/>
        <v/>
      </c>
      <c r="C87" s="26" t="str">
        <f t="shared" si="5"/>
        <v/>
      </c>
      <c r="D87" s="26" t="str">
        <f t="shared" si="6"/>
        <v/>
      </c>
      <c r="E87" s="29"/>
      <c r="F87" s="22"/>
      <c r="G87" s="22"/>
      <c r="H87" s="22"/>
      <c r="I87" s="24"/>
      <c r="J87" s="24"/>
      <c r="K87" s="24"/>
      <c r="L87" s="24"/>
      <c r="M87" s="27" t="str">
        <f t="shared" si="7"/>
        <v/>
      </c>
      <c r="N87" s="25"/>
      <c r="O87" s="22"/>
      <c r="P87" s="24"/>
      <c r="Q87" s="26"/>
    </row>
    <row r="88" spans="1:17" ht="15" x14ac:dyDescent="0.15">
      <c r="A88" s="22"/>
      <c r="B88" s="26" t="str">
        <f t="shared" si="4"/>
        <v/>
      </c>
      <c r="C88" s="26" t="str">
        <f t="shared" si="5"/>
        <v/>
      </c>
      <c r="D88" s="26" t="str">
        <f t="shared" si="6"/>
        <v/>
      </c>
      <c r="E88" s="29"/>
      <c r="F88" s="22"/>
      <c r="G88" s="22"/>
      <c r="H88" s="22"/>
      <c r="I88" s="24"/>
      <c r="J88" s="24"/>
      <c r="K88" s="24"/>
      <c r="L88" s="24"/>
      <c r="M88" s="27" t="str">
        <f t="shared" si="7"/>
        <v/>
      </c>
      <c r="N88" s="25"/>
      <c r="O88" s="22"/>
      <c r="P88" s="24"/>
      <c r="Q88" s="26"/>
    </row>
    <row r="89" spans="1:17" ht="15" x14ac:dyDescent="0.15">
      <c r="A89" s="22"/>
      <c r="B89" s="26" t="str">
        <f t="shared" si="4"/>
        <v/>
      </c>
      <c r="C89" s="26" t="str">
        <f t="shared" si="5"/>
        <v/>
      </c>
      <c r="D89" s="26" t="str">
        <f t="shared" si="6"/>
        <v/>
      </c>
      <c r="E89" s="29"/>
      <c r="F89" s="22"/>
      <c r="G89" s="22"/>
      <c r="H89" s="22"/>
      <c r="I89" s="24"/>
      <c r="J89" s="24"/>
      <c r="K89" s="24"/>
      <c r="L89" s="24"/>
      <c r="M89" s="27" t="str">
        <f t="shared" si="7"/>
        <v/>
      </c>
      <c r="N89" s="25"/>
      <c r="O89" s="22"/>
      <c r="P89" s="24"/>
      <c r="Q89" s="26"/>
    </row>
    <row r="90" spans="1:17" ht="15" x14ac:dyDescent="0.15">
      <c r="A90" s="22"/>
      <c r="B90" s="26" t="str">
        <f t="shared" si="4"/>
        <v/>
      </c>
      <c r="C90" s="26" t="str">
        <f t="shared" si="5"/>
        <v/>
      </c>
      <c r="D90" s="26" t="str">
        <f t="shared" si="6"/>
        <v/>
      </c>
      <c r="E90" s="29"/>
      <c r="F90" s="22"/>
      <c r="G90" s="22"/>
      <c r="H90" s="22"/>
      <c r="I90" s="24"/>
      <c r="J90" s="24"/>
      <c r="K90" s="24"/>
      <c r="L90" s="24"/>
      <c r="M90" s="27" t="str">
        <f t="shared" si="7"/>
        <v/>
      </c>
      <c r="N90" s="25"/>
      <c r="O90" s="22"/>
      <c r="P90" s="24"/>
      <c r="Q90" s="26"/>
    </row>
    <row r="91" spans="1:17" ht="15" x14ac:dyDescent="0.15">
      <c r="A91" s="22"/>
      <c r="B91" s="26" t="str">
        <f t="shared" si="4"/>
        <v/>
      </c>
      <c r="C91" s="26" t="str">
        <f t="shared" si="5"/>
        <v/>
      </c>
      <c r="D91" s="26" t="str">
        <f t="shared" si="6"/>
        <v/>
      </c>
      <c r="E91" s="29"/>
      <c r="F91" s="22"/>
      <c r="G91" s="22"/>
      <c r="H91" s="22"/>
      <c r="I91" s="24"/>
      <c r="J91" s="24"/>
      <c r="K91" s="24"/>
      <c r="L91" s="24"/>
      <c r="M91" s="27" t="str">
        <f t="shared" si="7"/>
        <v/>
      </c>
      <c r="N91" s="25"/>
      <c r="O91" s="22"/>
      <c r="P91" s="24"/>
      <c r="Q91" s="26"/>
    </row>
    <row r="92" spans="1:17" ht="15" x14ac:dyDescent="0.15">
      <c r="A92" s="22"/>
      <c r="B92" s="26" t="str">
        <f t="shared" si="4"/>
        <v/>
      </c>
      <c r="C92" s="26" t="str">
        <f t="shared" si="5"/>
        <v/>
      </c>
      <c r="D92" s="26" t="str">
        <f t="shared" si="6"/>
        <v/>
      </c>
      <c r="E92" s="29"/>
      <c r="F92" s="22"/>
      <c r="G92" s="22"/>
      <c r="H92" s="22"/>
      <c r="I92" s="24"/>
      <c r="J92" s="24"/>
      <c r="K92" s="24"/>
      <c r="L92" s="24"/>
      <c r="M92" s="27" t="str">
        <f t="shared" si="7"/>
        <v/>
      </c>
      <c r="N92" s="25"/>
      <c r="O92" s="22"/>
      <c r="P92" s="24"/>
      <c r="Q92" s="26"/>
    </row>
    <row r="93" spans="1:17" ht="15" x14ac:dyDescent="0.15">
      <c r="A93" s="22"/>
      <c r="B93" s="26" t="str">
        <f t="shared" si="4"/>
        <v/>
      </c>
      <c r="C93" s="26" t="str">
        <f t="shared" si="5"/>
        <v/>
      </c>
      <c r="D93" s="26" t="str">
        <f t="shared" si="6"/>
        <v/>
      </c>
      <c r="E93" s="29"/>
      <c r="F93" s="22"/>
      <c r="G93" s="22"/>
      <c r="H93" s="22"/>
      <c r="I93" s="24"/>
      <c r="J93" s="24"/>
      <c r="K93" s="24"/>
      <c r="L93" s="24"/>
      <c r="M93" s="27" t="str">
        <f t="shared" si="7"/>
        <v/>
      </c>
      <c r="N93" s="25"/>
      <c r="O93" s="22"/>
      <c r="P93" s="24"/>
      <c r="Q93" s="26"/>
    </row>
    <row r="94" spans="1:17" ht="15" x14ac:dyDescent="0.15">
      <c r="A94" s="22"/>
      <c r="B94" s="26" t="str">
        <f t="shared" si="4"/>
        <v/>
      </c>
      <c r="C94" s="26" t="str">
        <f t="shared" si="5"/>
        <v/>
      </c>
      <c r="D94" s="26" t="str">
        <f t="shared" si="6"/>
        <v/>
      </c>
      <c r="E94" s="29"/>
      <c r="F94" s="22"/>
      <c r="G94" s="22"/>
      <c r="H94" s="22"/>
      <c r="I94" s="24"/>
      <c r="J94" s="24"/>
      <c r="K94" s="24"/>
      <c r="L94" s="24"/>
      <c r="M94" s="27" t="str">
        <f t="shared" si="7"/>
        <v/>
      </c>
      <c r="N94" s="25"/>
      <c r="O94" s="22"/>
      <c r="P94" s="24"/>
      <c r="Q94" s="26"/>
    </row>
    <row r="95" spans="1:17" ht="15" x14ac:dyDescent="0.15">
      <c r="A95" s="22"/>
      <c r="B95" s="26" t="str">
        <f t="shared" si="4"/>
        <v/>
      </c>
      <c r="C95" s="26" t="str">
        <f t="shared" si="5"/>
        <v/>
      </c>
      <c r="D95" s="26" t="str">
        <f t="shared" si="6"/>
        <v/>
      </c>
      <c r="E95" s="29"/>
      <c r="F95" s="22"/>
      <c r="G95" s="22"/>
      <c r="H95" s="22"/>
      <c r="I95" s="24"/>
      <c r="J95" s="24"/>
      <c r="K95" s="24"/>
      <c r="L95" s="24"/>
      <c r="M95" s="27" t="str">
        <f t="shared" si="7"/>
        <v/>
      </c>
      <c r="N95" s="25"/>
      <c r="O95" s="22"/>
      <c r="P95" s="24"/>
      <c r="Q95" s="26"/>
    </row>
    <row r="96" spans="1:17" ht="15" x14ac:dyDescent="0.15">
      <c r="A96" s="22"/>
      <c r="B96" s="26" t="str">
        <f t="shared" si="4"/>
        <v/>
      </c>
      <c r="C96" s="26" t="str">
        <f t="shared" si="5"/>
        <v/>
      </c>
      <c r="D96" s="26" t="str">
        <f t="shared" si="6"/>
        <v/>
      </c>
      <c r="E96" s="29"/>
      <c r="F96" s="22"/>
      <c r="G96" s="22"/>
      <c r="H96" s="22"/>
      <c r="I96" s="24"/>
      <c r="J96" s="24"/>
      <c r="K96" s="24"/>
      <c r="L96" s="24"/>
      <c r="M96" s="27" t="str">
        <f t="shared" si="7"/>
        <v/>
      </c>
      <c r="N96" s="25"/>
      <c r="O96" s="22"/>
      <c r="P96" s="24"/>
      <c r="Q96" s="26"/>
    </row>
    <row r="97" spans="1:17" ht="15" x14ac:dyDescent="0.15">
      <c r="A97" s="22"/>
      <c r="B97" s="26" t="str">
        <f t="shared" si="4"/>
        <v/>
      </c>
      <c r="C97" s="26" t="str">
        <f t="shared" si="5"/>
        <v/>
      </c>
      <c r="D97" s="26" t="str">
        <f t="shared" si="6"/>
        <v/>
      </c>
      <c r="E97" s="29"/>
      <c r="F97" s="22"/>
      <c r="G97" s="22"/>
      <c r="H97" s="22"/>
      <c r="I97" s="24"/>
      <c r="J97" s="24"/>
      <c r="K97" s="24"/>
      <c r="L97" s="24"/>
      <c r="M97" s="27" t="str">
        <f t="shared" si="7"/>
        <v/>
      </c>
      <c r="N97" s="25"/>
      <c r="O97" s="22"/>
      <c r="P97" s="24"/>
      <c r="Q97" s="26"/>
    </row>
    <row r="98" spans="1:17" ht="15" x14ac:dyDescent="0.15">
      <c r="A98" s="22"/>
      <c r="B98" s="26" t="str">
        <f t="shared" si="4"/>
        <v/>
      </c>
      <c r="C98" s="26" t="str">
        <f t="shared" si="5"/>
        <v/>
      </c>
      <c r="D98" s="26" t="str">
        <f t="shared" si="6"/>
        <v/>
      </c>
      <c r="E98" s="29"/>
      <c r="F98" s="22"/>
      <c r="G98" s="22"/>
      <c r="H98" s="22"/>
      <c r="I98" s="24"/>
      <c r="J98" s="24"/>
      <c r="K98" s="24"/>
      <c r="L98" s="24"/>
      <c r="M98" s="27" t="str">
        <f t="shared" si="7"/>
        <v/>
      </c>
      <c r="N98" s="25"/>
      <c r="O98" s="22"/>
      <c r="P98" s="24"/>
      <c r="Q98" s="26"/>
    </row>
    <row r="99" spans="1:17" ht="15" x14ac:dyDescent="0.15">
      <c r="A99" s="22"/>
      <c r="B99" s="26" t="str">
        <f t="shared" si="4"/>
        <v/>
      </c>
      <c r="C99" s="26" t="str">
        <f t="shared" si="5"/>
        <v/>
      </c>
      <c r="D99" s="26" t="str">
        <f t="shared" si="6"/>
        <v/>
      </c>
      <c r="E99" s="29"/>
      <c r="F99" s="22"/>
      <c r="G99" s="22"/>
      <c r="H99" s="22"/>
      <c r="I99" s="24"/>
      <c r="J99" s="24"/>
      <c r="K99" s="24"/>
      <c r="L99" s="24"/>
      <c r="M99" s="27" t="str">
        <f t="shared" si="7"/>
        <v/>
      </c>
      <c r="N99" s="25"/>
      <c r="O99" s="22"/>
      <c r="P99" s="24"/>
      <c r="Q99" s="26"/>
    </row>
    <row r="100" spans="1:17" ht="15" x14ac:dyDescent="0.15">
      <c r="A100" s="22"/>
      <c r="B100" s="26" t="str">
        <f t="shared" si="4"/>
        <v/>
      </c>
      <c r="C100" s="26" t="str">
        <f t="shared" si="5"/>
        <v/>
      </c>
      <c r="D100" s="26" t="str">
        <f t="shared" si="6"/>
        <v/>
      </c>
      <c r="E100" s="29"/>
      <c r="F100" s="22"/>
      <c r="G100" s="22"/>
      <c r="H100" s="22"/>
      <c r="I100" s="24"/>
      <c r="J100" s="24"/>
      <c r="K100" s="24"/>
      <c r="L100" s="24"/>
      <c r="M100" s="27" t="str">
        <f t="shared" si="7"/>
        <v/>
      </c>
      <c r="N100" s="25"/>
      <c r="O100" s="22"/>
      <c r="P100" s="24"/>
      <c r="Q100" s="26"/>
    </row>
    <row r="101" spans="1:17" ht="15" x14ac:dyDescent="0.15">
      <c r="A101" s="22"/>
      <c r="B101" s="26" t="str">
        <f t="shared" si="4"/>
        <v/>
      </c>
      <c r="C101" s="26" t="str">
        <f t="shared" si="5"/>
        <v/>
      </c>
      <c r="D101" s="26" t="str">
        <f t="shared" si="6"/>
        <v/>
      </c>
      <c r="E101" s="29"/>
      <c r="F101" s="22"/>
      <c r="G101" s="22"/>
      <c r="H101" s="22"/>
      <c r="I101" s="24"/>
      <c r="J101" s="24"/>
      <c r="K101" s="24"/>
      <c r="L101" s="24"/>
      <c r="M101" s="27" t="str">
        <f t="shared" si="7"/>
        <v/>
      </c>
      <c r="N101" s="25"/>
      <c r="O101" s="22"/>
      <c r="P101" s="24"/>
      <c r="Q101" s="26"/>
    </row>
    <row r="102" spans="1:17" ht="15" x14ac:dyDescent="0.15">
      <c r="A102" s="22"/>
      <c r="B102" s="26" t="str">
        <f t="shared" si="4"/>
        <v/>
      </c>
      <c r="C102" s="26" t="str">
        <f t="shared" si="5"/>
        <v/>
      </c>
      <c r="D102" s="26" t="str">
        <f t="shared" si="6"/>
        <v/>
      </c>
      <c r="E102" s="29"/>
      <c r="F102" s="22"/>
      <c r="G102" s="22"/>
      <c r="H102" s="22"/>
      <c r="I102" s="24"/>
      <c r="J102" s="24"/>
      <c r="K102" s="24"/>
      <c r="L102" s="24"/>
      <c r="M102" s="27" t="str">
        <f t="shared" si="7"/>
        <v/>
      </c>
      <c r="N102" s="25"/>
      <c r="O102" s="22"/>
      <c r="P102" s="24"/>
      <c r="Q102" s="26"/>
    </row>
    <row r="103" spans="1:17" ht="15" x14ac:dyDescent="0.15">
      <c r="A103" s="22"/>
      <c r="B103" s="26" t="str">
        <f t="shared" si="4"/>
        <v/>
      </c>
      <c r="C103" s="26" t="str">
        <f t="shared" si="5"/>
        <v/>
      </c>
      <c r="D103" s="26" t="str">
        <f t="shared" si="6"/>
        <v/>
      </c>
      <c r="E103" s="29"/>
      <c r="F103" s="22"/>
      <c r="G103" s="22"/>
      <c r="H103" s="22"/>
      <c r="I103" s="24"/>
      <c r="J103" s="24"/>
      <c r="K103" s="24"/>
      <c r="L103" s="24"/>
      <c r="M103" s="27" t="str">
        <f t="shared" si="7"/>
        <v/>
      </c>
      <c r="N103" s="25"/>
      <c r="O103" s="22"/>
      <c r="P103" s="24"/>
      <c r="Q103" s="26"/>
    </row>
    <row r="104" spans="1:17" ht="15" x14ac:dyDescent="0.15">
      <c r="A104" s="22"/>
      <c r="B104" s="26" t="str">
        <f t="shared" si="4"/>
        <v/>
      </c>
      <c r="C104" s="26" t="str">
        <f t="shared" si="5"/>
        <v/>
      </c>
      <c r="D104" s="26" t="str">
        <f t="shared" si="6"/>
        <v/>
      </c>
      <c r="E104" s="29"/>
      <c r="F104" s="22"/>
      <c r="G104" s="22"/>
      <c r="H104" s="22"/>
      <c r="I104" s="24"/>
      <c r="J104" s="24"/>
      <c r="K104" s="24"/>
      <c r="L104" s="24"/>
      <c r="M104" s="27" t="str">
        <f t="shared" si="7"/>
        <v/>
      </c>
      <c r="N104" s="25"/>
      <c r="O104" s="22"/>
      <c r="P104" s="24"/>
      <c r="Q104" s="26"/>
    </row>
    <row r="105" spans="1:17" ht="15" x14ac:dyDescent="0.15">
      <c r="A105" s="22"/>
      <c r="B105" s="26" t="str">
        <f t="shared" si="4"/>
        <v/>
      </c>
      <c r="C105" s="26" t="str">
        <f t="shared" si="5"/>
        <v/>
      </c>
      <c r="D105" s="26" t="str">
        <f t="shared" si="6"/>
        <v/>
      </c>
      <c r="E105" s="29"/>
      <c r="F105" s="22"/>
      <c r="G105" s="22"/>
      <c r="H105" s="22"/>
      <c r="I105" s="24"/>
      <c r="J105" s="24"/>
      <c r="K105" s="24"/>
      <c r="L105" s="24"/>
      <c r="M105" s="27" t="str">
        <f t="shared" si="7"/>
        <v/>
      </c>
      <c r="N105" s="25"/>
      <c r="O105" s="22"/>
      <c r="P105" s="24"/>
      <c r="Q105" s="26"/>
    </row>
    <row r="106" spans="1:17" ht="15" x14ac:dyDescent="0.15">
      <c r="A106" s="22"/>
      <c r="B106" s="26" t="str">
        <f t="shared" si="4"/>
        <v/>
      </c>
      <c r="C106" s="26" t="str">
        <f t="shared" si="5"/>
        <v/>
      </c>
      <c r="D106" s="26" t="str">
        <f t="shared" si="6"/>
        <v/>
      </c>
      <c r="E106" s="29"/>
      <c r="F106" s="22"/>
      <c r="G106" s="22"/>
      <c r="H106" s="22"/>
      <c r="I106" s="24"/>
      <c r="J106" s="24"/>
      <c r="K106" s="24"/>
      <c r="L106" s="24"/>
      <c r="M106" s="27" t="str">
        <f t="shared" si="7"/>
        <v/>
      </c>
      <c r="N106" s="25"/>
      <c r="O106" s="22"/>
      <c r="P106" s="24"/>
      <c r="Q106" s="26"/>
    </row>
    <row r="107" spans="1:17" ht="15" x14ac:dyDescent="0.15">
      <c r="A107" s="22"/>
      <c r="B107" s="26" t="str">
        <f t="shared" si="4"/>
        <v/>
      </c>
      <c r="C107" s="26" t="str">
        <f t="shared" si="5"/>
        <v/>
      </c>
      <c r="D107" s="26" t="str">
        <f t="shared" si="6"/>
        <v/>
      </c>
      <c r="E107" s="29"/>
      <c r="F107" s="22"/>
      <c r="G107" s="22"/>
      <c r="H107" s="22"/>
      <c r="I107" s="24"/>
      <c r="J107" s="24"/>
      <c r="K107" s="24"/>
      <c r="L107" s="24"/>
      <c r="M107" s="27" t="str">
        <f t="shared" si="7"/>
        <v/>
      </c>
      <c r="N107" s="25"/>
      <c r="O107" s="22"/>
      <c r="P107" s="24"/>
      <c r="Q107" s="26"/>
    </row>
    <row r="108" spans="1:17" ht="15" x14ac:dyDescent="0.15">
      <c r="A108" s="22"/>
      <c r="B108" s="26" t="str">
        <f t="shared" si="4"/>
        <v/>
      </c>
      <c r="C108" s="26" t="str">
        <f t="shared" si="5"/>
        <v/>
      </c>
      <c r="D108" s="26" t="str">
        <f t="shared" si="6"/>
        <v/>
      </c>
      <c r="E108" s="29"/>
      <c r="F108" s="22"/>
      <c r="G108" s="22"/>
      <c r="H108" s="22"/>
      <c r="I108" s="24"/>
      <c r="J108" s="24"/>
      <c r="K108" s="24"/>
      <c r="L108" s="24"/>
      <c r="M108" s="27" t="str">
        <f t="shared" si="7"/>
        <v/>
      </c>
      <c r="N108" s="25"/>
      <c r="O108" s="22"/>
      <c r="P108" s="24"/>
      <c r="Q108" s="26"/>
    </row>
    <row r="109" spans="1:17" ht="15" x14ac:dyDescent="0.15">
      <c r="A109" s="22"/>
      <c r="B109" s="26" t="str">
        <f t="shared" si="4"/>
        <v/>
      </c>
      <c r="C109" s="26" t="str">
        <f t="shared" si="5"/>
        <v/>
      </c>
      <c r="D109" s="26" t="str">
        <f t="shared" si="6"/>
        <v/>
      </c>
      <c r="E109" s="29"/>
      <c r="F109" s="22"/>
      <c r="G109" s="22"/>
      <c r="H109" s="22"/>
      <c r="I109" s="24"/>
      <c r="J109" s="24"/>
      <c r="K109" s="24"/>
      <c r="L109" s="24"/>
      <c r="M109" s="27" t="str">
        <f t="shared" si="7"/>
        <v/>
      </c>
      <c r="N109" s="25"/>
      <c r="O109" s="22"/>
      <c r="P109" s="24"/>
      <c r="Q109" s="26"/>
    </row>
    <row r="110" spans="1:17" ht="15" x14ac:dyDescent="0.15">
      <c r="A110" s="22"/>
      <c r="B110" s="26" t="str">
        <f t="shared" si="4"/>
        <v/>
      </c>
      <c r="C110" s="26" t="str">
        <f t="shared" si="5"/>
        <v/>
      </c>
      <c r="D110" s="26" t="str">
        <f t="shared" si="6"/>
        <v/>
      </c>
      <c r="E110" s="29"/>
      <c r="F110" s="22"/>
      <c r="G110" s="22"/>
      <c r="H110" s="22"/>
      <c r="I110" s="24"/>
      <c r="J110" s="24"/>
      <c r="K110" s="24"/>
      <c r="L110" s="24"/>
      <c r="M110" s="27" t="str">
        <f t="shared" si="7"/>
        <v/>
      </c>
      <c r="N110" s="25"/>
      <c r="O110" s="22"/>
      <c r="P110" s="24"/>
      <c r="Q110" s="26"/>
    </row>
    <row r="111" spans="1:17" ht="15" x14ac:dyDescent="0.15">
      <c r="A111" s="22"/>
      <c r="B111" s="26" t="str">
        <f t="shared" si="4"/>
        <v/>
      </c>
      <c r="C111" s="26" t="str">
        <f t="shared" si="5"/>
        <v/>
      </c>
      <c r="D111" s="26" t="str">
        <f t="shared" si="6"/>
        <v/>
      </c>
      <c r="E111" s="29"/>
      <c r="F111" s="22"/>
      <c r="G111" s="22"/>
      <c r="H111" s="22"/>
      <c r="I111" s="24"/>
      <c r="J111" s="24"/>
      <c r="K111" s="24"/>
      <c r="L111" s="24"/>
      <c r="M111" s="27" t="str">
        <f t="shared" si="7"/>
        <v/>
      </c>
      <c r="N111" s="25"/>
      <c r="O111" s="22"/>
      <c r="P111" s="24"/>
      <c r="Q111" s="26"/>
    </row>
    <row r="112" spans="1:17" ht="15" x14ac:dyDescent="0.15">
      <c r="A112" s="22"/>
      <c r="B112" s="26" t="str">
        <f t="shared" si="4"/>
        <v/>
      </c>
      <c r="C112" s="26" t="str">
        <f t="shared" si="5"/>
        <v/>
      </c>
      <c r="D112" s="26" t="str">
        <f t="shared" si="6"/>
        <v/>
      </c>
      <c r="E112" s="29"/>
      <c r="F112" s="22"/>
      <c r="G112" s="22"/>
      <c r="H112" s="22"/>
      <c r="I112" s="24"/>
      <c r="J112" s="24"/>
      <c r="K112" s="24"/>
      <c r="L112" s="24"/>
      <c r="M112" s="27" t="str">
        <f t="shared" si="7"/>
        <v/>
      </c>
      <c r="N112" s="25"/>
      <c r="O112" s="22"/>
      <c r="P112" s="24"/>
      <c r="Q112" s="26"/>
    </row>
    <row r="113" spans="1:17" ht="15" x14ac:dyDescent="0.15">
      <c r="A113" s="22"/>
      <c r="B113" s="26" t="str">
        <f t="shared" si="4"/>
        <v/>
      </c>
      <c r="C113" s="26" t="str">
        <f t="shared" si="5"/>
        <v/>
      </c>
      <c r="D113" s="26" t="str">
        <f t="shared" si="6"/>
        <v/>
      </c>
      <c r="E113" s="29"/>
      <c r="F113" s="22"/>
      <c r="G113" s="22"/>
      <c r="H113" s="22"/>
      <c r="I113" s="24"/>
      <c r="J113" s="24"/>
      <c r="K113" s="24"/>
      <c r="L113" s="24"/>
      <c r="M113" s="27" t="str">
        <f t="shared" si="7"/>
        <v/>
      </c>
      <c r="N113" s="25"/>
      <c r="O113" s="22"/>
      <c r="P113" s="24"/>
      <c r="Q113" s="26"/>
    </row>
    <row r="114" spans="1:17" ht="15" x14ac:dyDescent="0.15">
      <c r="A114" s="22"/>
      <c r="B114" s="26" t="str">
        <f t="shared" si="4"/>
        <v/>
      </c>
      <c r="C114" s="26" t="str">
        <f t="shared" si="5"/>
        <v/>
      </c>
      <c r="D114" s="26" t="str">
        <f t="shared" si="6"/>
        <v/>
      </c>
      <c r="E114" s="29"/>
      <c r="F114" s="22"/>
      <c r="G114" s="22"/>
      <c r="H114" s="22"/>
      <c r="I114" s="24"/>
      <c r="J114" s="24"/>
      <c r="K114" s="24"/>
      <c r="L114" s="24"/>
      <c r="M114" s="27" t="str">
        <f t="shared" si="7"/>
        <v/>
      </c>
      <c r="N114" s="25"/>
      <c r="O114" s="22"/>
      <c r="P114" s="24"/>
      <c r="Q114" s="26"/>
    </row>
    <row r="115" spans="1:17" ht="15" x14ac:dyDescent="0.15">
      <c r="A115" s="22"/>
      <c r="B115" s="26" t="str">
        <f t="shared" si="4"/>
        <v/>
      </c>
      <c r="C115" s="26" t="str">
        <f t="shared" si="5"/>
        <v/>
      </c>
      <c r="D115" s="26" t="str">
        <f t="shared" si="6"/>
        <v/>
      </c>
      <c r="E115" s="29"/>
      <c r="F115" s="22"/>
      <c r="G115" s="22"/>
      <c r="H115" s="22"/>
      <c r="I115" s="24"/>
      <c r="J115" s="24"/>
      <c r="K115" s="24"/>
      <c r="L115" s="24"/>
      <c r="M115" s="27" t="str">
        <f t="shared" si="7"/>
        <v/>
      </c>
      <c r="N115" s="25"/>
      <c r="O115" s="22"/>
      <c r="P115" s="24"/>
      <c r="Q115" s="26"/>
    </row>
    <row r="116" spans="1:17" ht="15" x14ac:dyDescent="0.15">
      <c r="A116" s="22"/>
      <c r="B116" s="26" t="str">
        <f t="shared" si="4"/>
        <v/>
      </c>
      <c r="C116" s="26" t="str">
        <f t="shared" si="5"/>
        <v/>
      </c>
      <c r="D116" s="26" t="str">
        <f t="shared" si="6"/>
        <v/>
      </c>
      <c r="E116" s="29"/>
      <c r="F116" s="22"/>
      <c r="G116" s="22"/>
      <c r="H116" s="22"/>
      <c r="I116" s="24"/>
      <c r="J116" s="24"/>
      <c r="K116" s="24"/>
      <c r="L116" s="24"/>
      <c r="M116" s="27" t="str">
        <f t="shared" si="7"/>
        <v/>
      </c>
      <c r="N116" s="25"/>
      <c r="O116" s="22"/>
      <c r="P116" s="24"/>
      <c r="Q116" s="26"/>
    </row>
    <row r="117" spans="1:17" ht="15" x14ac:dyDescent="0.15">
      <c r="A117" s="22"/>
      <c r="B117" s="26" t="str">
        <f t="shared" si="4"/>
        <v/>
      </c>
      <c r="C117" s="26" t="str">
        <f t="shared" si="5"/>
        <v/>
      </c>
      <c r="D117" s="26" t="str">
        <f t="shared" si="6"/>
        <v/>
      </c>
      <c r="E117" s="29"/>
      <c r="F117" s="22"/>
      <c r="G117" s="22"/>
      <c r="H117" s="22"/>
      <c r="I117" s="24"/>
      <c r="J117" s="24"/>
      <c r="K117" s="24"/>
      <c r="L117" s="24"/>
      <c r="M117" s="27" t="str">
        <f t="shared" si="7"/>
        <v/>
      </c>
      <c r="N117" s="25"/>
      <c r="O117" s="22"/>
      <c r="P117" s="24"/>
      <c r="Q117" s="26"/>
    </row>
    <row r="118" spans="1:17" ht="15" x14ac:dyDescent="0.15">
      <c r="A118" s="22"/>
      <c r="B118" s="26" t="str">
        <f t="shared" si="4"/>
        <v/>
      </c>
      <c r="C118" s="26" t="str">
        <f t="shared" si="5"/>
        <v/>
      </c>
      <c r="D118" s="26" t="str">
        <f t="shared" si="6"/>
        <v/>
      </c>
      <c r="E118" s="29"/>
      <c r="F118" s="22"/>
      <c r="G118" s="22"/>
      <c r="H118" s="22"/>
      <c r="I118" s="24"/>
      <c r="J118" s="24"/>
      <c r="K118" s="24"/>
      <c r="L118" s="24"/>
      <c r="M118" s="27" t="str">
        <f t="shared" si="7"/>
        <v/>
      </c>
      <c r="N118" s="25"/>
      <c r="O118" s="22"/>
      <c r="P118" s="24"/>
      <c r="Q118" s="26"/>
    </row>
    <row r="119" spans="1:17" ht="15" x14ac:dyDescent="0.15">
      <c r="A119" s="22"/>
      <c r="B119" s="26" t="str">
        <f t="shared" si="4"/>
        <v/>
      </c>
      <c r="C119" s="26" t="str">
        <f t="shared" si="5"/>
        <v/>
      </c>
      <c r="D119" s="26" t="str">
        <f t="shared" si="6"/>
        <v/>
      </c>
      <c r="E119" s="29"/>
      <c r="F119" s="22"/>
      <c r="G119" s="22"/>
      <c r="H119" s="22"/>
      <c r="I119" s="24"/>
      <c r="J119" s="24"/>
      <c r="K119" s="24"/>
      <c r="L119" s="24"/>
      <c r="M119" s="27" t="str">
        <f t="shared" si="7"/>
        <v/>
      </c>
      <c r="N119" s="25"/>
      <c r="O119" s="22"/>
      <c r="P119" s="24"/>
      <c r="Q119" s="26"/>
    </row>
    <row r="120" spans="1:17" ht="15" x14ac:dyDescent="0.15">
      <c r="A120" s="22"/>
      <c r="B120" s="26" t="str">
        <f t="shared" si="4"/>
        <v/>
      </c>
      <c r="C120" s="26" t="str">
        <f t="shared" si="5"/>
        <v/>
      </c>
      <c r="D120" s="26" t="str">
        <f t="shared" si="6"/>
        <v/>
      </c>
      <c r="E120" s="29"/>
      <c r="F120" s="22"/>
      <c r="G120" s="22"/>
      <c r="H120" s="22"/>
      <c r="I120" s="24"/>
      <c r="J120" s="24"/>
      <c r="K120" s="24"/>
      <c r="L120" s="24"/>
      <c r="M120" s="27" t="str">
        <f t="shared" si="7"/>
        <v/>
      </c>
      <c r="N120" s="25"/>
      <c r="O120" s="22"/>
      <c r="P120" s="24"/>
      <c r="Q120" s="26"/>
    </row>
    <row r="121" spans="1:17" ht="15" x14ac:dyDescent="0.15">
      <c r="A121" s="22"/>
      <c r="B121" s="26" t="str">
        <f t="shared" si="4"/>
        <v/>
      </c>
      <c r="C121" s="26" t="str">
        <f t="shared" si="5"/>
        <v/>
      </c>
      <c r="D121" s="26" t="str">
        <f t="shared" si="6"/>
        <v/>
      </c>
      <c r="E121" s="29"/>
      <c r="F121" s="22"/>
      <c r="G121" s="22"/>
      <c r="H121" s="22"/>
      <c r="I121" s="24"/>
      <c r="J121" s="24"/>
      <c r="K121" s="24"/>
      <c r="L121" s="24"/>
      <c r="M121" s="27" t="str">
        <f t="shared" si="7"/>
        <v/>
      </c>
      <c r="N121" s="25"/>
      <c r="O121" s="22"/>
      <c r="P121" s="24"/>
      <c r="Q121" s="26"/>
    </row>
    <row r="122" spans="1:17" ht="15" x14ac:dyDescent="0.15">
      <c r="A122" s="22"/>
      <c r="B122" s="26" t="str">
        <f t="shared" si="4"/>
        <v/>
      </c>
      <c r="C122" s="26" t="str">
        <f t="shared" si="5"/>
        <v/>
      </c>
      <c r="D122" s="26" t="str">
        <f t="shared" si="6"/>
        <v/>
      </c>
      <c r="E122" s="29"/>
      <c r="F122" s="22"/>
      <c r="G122" s="22"/>
      <c r="H122" s="22"/>
      <c r="I122" s="24"/>
      <c r="J122" s="24"/>
      <c r="K122" s="24"/>
      <c r="L122" s="24"/>
      <c r="M122" s="27" t="str">
        <f t="shared" si="7"/>
        <v/>
      </c>
      <c r="N122" s="25"/>
      <c r="O122" s="22"/>
      <c r="P122" s="24"/>
      <c r="Q122" s="26"/>
    </row>
    <row r="123" spans="1:17" ht="15" x14ac:dyDescent="0.15">
      <c r="A123" s="22"/>
      <c r="B123" s="26" t="str">
        <f t="shared" si="4"/>
        <v/>
      </c>
      <c r="C123" s="26" t="str">
        <f t="shared" si="5"/>
        <v/>
      </c>
      <c r="D123" s="26" t="str">
        <f t="shared" si="6"/>
        <v/>
      </c>
      <c r="E123" s="29"/>
      <c r="F123" s="22"/>
      <c r="G123" s="22"/>
      <c r="H123" s="22"/>
      <c r="I123" s="24"/>
      <c r="J123" s="24"/>
      <c r="K123" s="24"/>
      <c r="L123" s="24"/>
      <c r="M123" s="27" t="str">
        <f t="shared" si="7"/>
        <v/>
      </c>
      <c r="N123" s="25"/>
      <c r="O123" s="22"/>
      <c r="P123" s="24"/>
      <c r="Q123" s="26"/>
    </row>
    <row r="124" spans="1:17" ht="15" x14ac:dyDescent="0.15">
      <c r="A124" s="22"/>
      <c r="B124" s="26" t="str">
        <f t="shared" si="4"/>
        <v/>
      </c>
      <c r="C124" s="26" t="str">
        <f t="shared" si="5"/>
        <v/>
      </c>
      <c r="D124" s="26" t="str">
        <f t="shared" si="6"/>
        <v/>
      </c>
      <c r="E124" s="29"/>
      <c r="F124" s="22"/>
      <c r="G124" s="22"/>
      <c r="H124" s="22"/>
      <c r="I124" s="24"/>
      <c r="J124" s="24"/>
      <c r="K124" s="24"/>
      <c r="L124" s="24"/>
      <c r="M124" s="27" t="str">
        <f t="shared" si="7"/>
        <v/>
      </c>
      <c r="N124" s="25"/>
      <c r="O124" s="22"/>
      <c r="P124" s="24"/>
      <c r="Q124" s="26"/>
    </row>
    <row r="125" spans="1:17" ht="15" x14ac:dyDescent="0.15">
      <c r="A125" s="22"/>
      <c r="B125" s="26" t="str">
        <f t="shared" si="4"/>
        <v/>
      </c>
      <c r="C125" s="26" t="str">
        <f t="shared" si="5"/>
        <v/>
      </c>
      <c r="D125" s="26" t="str">
        <f t="shared" si="6"/>
        <v/>
      </c>
      <c r="E125" s="29"/>
      <c r="F125" s="22"/>
      <c r="G125" s="22"/>
      <c r="H125" s="22"/>
      <c r="I125" s="24"/>
      <c r="J125" s="24"/>
      <c r="K125" s="24"/>
      <c r="L125" s="24"/>
      <c r="M125" s="27" t="str">
        <f t="shared" si="7"/>
        <v/>
      </c>
      <c r="N125" s="25"/>
      <c r="O125" s="22"/>
      <c r="P125" s="24"/>
      <c r="Q125" s="26"/>
    </row>
    <row r="126" spans="1:17" ht="15" x14ac:dyDescent="0.15">
      <c r="A126" s="22"/>
      <c r="B126" s="26" t="str">
        <f t="shared" si="4"/>
        <v/>
      </c>
      <c r="C126" s="26" t="str">
        <f t="shared" si="5"/>
        <v/>
      </c>
      <c r="D126" s="26" t="str">
        <f t="shared" si="6"/>
        <v/>
      </c>
      <c r="E126" s="29"/>
      <c r="F126" s="22"/>
      <c r="G126" s="22"/>
      <c r="H126" s="22"/>
      <c r="I126" s="24"/>
      <c r="J126" s="24"/>
      <c r="K126" s="24"/>
      <c r="L126" s="24"/>
      <c r="M126" s="27" t="str">
        <f t="shared" si="7"/>
        <v/>
      </c>
      <c r="N126" s="25"/>
      <c r="O126" s="22"/>
      <c r="P126" s="24"/>
      <c r="Q126" s="26"/>
    </row>
    <row r="127" spans="1:17" ht="15" x14ac:dyDescent="0.15">
      <c r="A127" s="22"/>
      <c r="B127" s="26" t="str">
        <f t="shared" si="4"/>
        <v/>
      </c>
      <c r="C127" s="26" t="str">
        <f t="shared" si="5"/>
        <v/>
      </c>
      <c r="D127" s="26" t="str">
        <f t="shared" si="6"/>
        <v/>
      </c>
      <c r="E127" s="29"/>
      <c r="F127" s="22"/>
      <c r="G127" s="22"/>
      <c r="H127" s="22"/>
      <c r="I127" s="24"/>
      <c r="J127" s="24"/>
      <c r="K127" s="24"/>
      <c r="L127" s="24"/>
      <c r="M127" s="27" t="str">
        <f t="shared" si="7"/>
        <v/>
      </c>
      <c r="N127" s="25"/>
      <c r="O127" s="22"/>
      <c r="P127" s="24"/>
      <c r="Q127" s="26"/>
    </row>
    <row r="128" spans="1:17" ht="15" x14ac:dyDescent="0.15">
      <c r="A128" s="22"/>
      <c r="B128" s="26" t="str">
        <f t="shared" si="4"/>
        <v/>
      </c>
      <c r="C128" s="26" t="str">
        <f t="shared" si="5"/>
        <v/>
      </c>
      <c r="D128" s="26" t="str">
        <f t="shared" si="6"/>
        <v/>
      </c>
      <c r="E128" s="29"/>
      <c r="F128" s="22"/>
      <c r="G128" s="22"/>
      <c r="H128" s="22"/>
      <c r="I128" s="24"/>
      <c r="J128" s="24"/>
      <c r="K128" s="24"/>
      <c r="L128" s="24"/>
      <c r="M128" s="27" t="str">
        <f t="shared" si="7"/>
        <v/>
      </c>
      <c r="N128" s="25"/>
      <c r="O128" s="22"/>
      <c r="P128" s="24"/>
      <c r="Q128" s="26"/>
    </row>
    <row r="129" spans="1:17" ht="15" x14ac:dyDescent="0.15">
      <c r="A129" s="22"/>
      <c r="B129" s="26" t="str">
        <f t="shared" si="4"/>
        <v/>
      </c>
      <c r="C129" s="26" t="str">
        <f t="shared" si="5"/>
        <v/>
      </c>
      <c r="D129" s="26" t="str">
        <f t="shared" si="6"/>
        <v/>
      </c>
      <c r="E129" s="29"/>
      <c r="F129" s="22"/>
      <c r="G129" s="22"/>
      <c r="H129" s="22"/>
      <c r="I129" s="24"/>
      <c r="J129" s="24"/>
      <c r="K129" s="24"/>
      <c r="L129" s="24"/>
      <c r="M129" s="27" t="str">
        <f t="shared" si="7"/>
        <v/>
      </c>
      <c r="N129" s="25"/>
      <c r="O129" s="22"/>
      <c r="P129" s="24"/>
      <c r="Q129" s="26"/>
    </row>
    <row r="130" spans="1:17" ht="15" x14ac:dyDescent="0.15">
      <c r="A130" s="22"/>
      <c r="B130" s="26" t="str">
        <f t="shared" si="4"/>
        <v/>
      </c>
      <c r="C130" s="26" t="str">
        <f t="shared" si="5"/>
        <v/>
      </c>
      <c r="D130" s="26" t="str">
        <f t="shared" si="6"/>
        <v/>
      </c>
      <c r="E130" s="29"/>
      <c r="F130" s="22"/>
      <c r="G130" s="22"/>
      <c r="H130" s="22"/>
      <c r="I130" s="24"/>
      <c r="J130" s="24"/>
      <c r="K130" s="24"/>
      <c r="L130" s="24"/>
      <c r="M130" s="27" t="str">
        <f t="shared" si="7"/>
        <v/>
      </c>
      <c r="N130" s="25"/>
      <c r="O130" s="22"/>
      <c r="P130" s="24"/>
      <c r="Q130" s="26"/>
    </row>
    <row r="131" spans="1:17" ht="15" x14ac:dyDescent="0.15">
      <c r="A131" s="22"/>
      <c r="B131" s="26" t="str">
        <f t="shared" si="4"/>
        <v/>
      </c>
      <c r="C131" s="26" t="str">
        <f t="shared" si="5"/>
        <v/>
      </c>
      <c r="D131" s="26" t="str">
        <f t="shared" si="6"/>
        <v/>
      </c>
      <c r="E131" s="29"/>
      <c r="F131" s="22"/>
      <c r="G131" s="22"/>
      <c r="H131" s="22"/>
      <c r="I131" s="24"/>
      <c r="J131" s="24"/>
      <c r="K131" s="24"/>
      <c r="L131" s="24"/>
      <c r="M131" s="27" t="str">
        <f t="shared" si="7"/>
        <v/>
      </c>
      <c r="N131" s="25"/>
      <c r="O131" s="22"/>
      <c r="P131" s="24"/>
      <c r="Q131" s="26"/>
    </row>
    <row r="132" spans="1:17" ht="15" x14ac:dyDescent="0.15">
      <c r="A132" s="22"/>
      <c r="B132" s="26" t="str">
        <f t="shared" si="4"/>
        <v/>
      </c>
      <c r="C132" s="26" t="str">
        <f t="shared" si="5"/>
        <v/>
      </c>
      <c r="D132" s="26" t="str">
        <f t="shared" si="6"/>
        <v/>
      </c>
      <c r="E132" s="29"/>
      <c r="F132" s="22"/>
      <c r="G132" s="22"/>
      <c r="H132" s="22"/>
      <c r="I132" s="24"/>
      <c r="J132" s="24"/>
      <c r="K132" s="24"/>
      <c r="L132" s="24"/>
      <c r="M132" s="27" t="str">
        <f t="shared" si="7"/>
        <v/>
      </c>
      <c r="N132" s="25"/>
      <c r="O132" s="22"/>
      <c r="P132" s="24"/>
      <c r="Q132" s="26"/>
    </row>
    <row r="133" spans="1:17" ht="15" x14ac:dyDescent="0.15">
      <c r="A133" s="22"/>
      <c r="B133" s="26" t="str">
        <f t="shared" si="4"/>
        <v/>
      </c>
      <c r="C133" s="26" t="str">
        <f t="shared" si="5"/>
        <v/>
      </c>
      <c r="D133" s="26" t="str">
        <f t="shared" si="6"/>
        <v/>
      </c>
      <c r="E133" s="29"/>
      <c r="F133" s="22"/>
      <c r="G133" s="22"/>
      <c r="H133" s="22"/>
      <c r="I133" s="24"/>
      <c r="J133" s="24"/>
      <c r="K133" s="24"/>
      <c r="L133" s="24"/>
      <c r="M133" s="27" t="str">
        <f t="shared" si="7"/>
        <v/>
      </c>
      <c r="N133" s="25"/>
      <c r="O133" s="22"/>
      <c r="P133" s="24"/>
      <c r="Q133" s="26"/>
    </row>
    <row r="134" spans="1:17" ht="15" x14ac:dyDescent="0.15">
      <c r="A134" s="22"/>
      <c r="B134" s="26" t="str">
        <f t="shared" si="4"/>
        <v/>
      </c>
      <c r="C134" s="26" t="str">
        <f t="shared" si="5"/>
        <v/>
      </c>
      <c r="D134" s="26" t="str">
        <f t="shared" si="6"/>
        <v/>
      </c>
      <c r="E134" s="29"/>
      <c r="F134" s="22"/>
      <c r="G134" s="22"/>
      <c r="H134" s="22"/>
      <c r="I134" s="24"/>
      <c r="J134" s="24"/>
      <c r="K134" s="24"/>
      <c r="L134" s="24"/>
      <c r="M134" s="27" t="str">
        <f t="shared" si="7"/>
        <v/>
      </c>
      <c r="N134" s="25"/>
      <c r="O134" s="22"/>
      <c r="P134" s="24"/>
      <c r="Q134" s="26"/>
    </row>
    <row r="135" spans="1:17" ht="15" x14ac:dyDescent="0.15">
      <c r="A135" s="22"/>
      <c r="B135" s="26" t="str">
        <f t="shared" ref="B135:B198" si="8">IFERROR(IF($A135="","",LEFT($A135,FIND(" | ",$A135)-1)),"")</f>
        <v/>
      </c>
      <c r="C135" s="26" t="str">
        <f t="shared" ref="C135:C198" si="9">IFERROR(IF($A135="","",MID($A135,FIND(" | ",$A135)+3,FIND(" | ",$A135,FIND(" | ",$A135)+3)-FIND(" | ",$A135)-3)),"")</f>
        <v/>
      </c>
      <c r="D135" s="26" t="str">
        <f t="shared" ref="D135:D198" si="10">IFERROR(IF($A135="","",RIGHT($A135,LEN($A135)-FIND(" | ",$A135,FIND(" | ",$A135)+3)-2)),"")</f>
        <v/>
      </c>
      <c r="E135" s="29"/>
      <c r="F135" s="22"/>
      <c r="G135" s="22"/>
      <c r="H135" s="22"/>
      <c r="I135" s="24"/>
      <c r="J135" s="24"/>
      <c r="K135" s="24"/>
      <c r="L135" s="24"/>
      <c r="M135" s="27" t="str">
        <f t="shared" ref="M135:M198" si="11">IF($B135="","",SUM($J135,-$K135,$L135))</f>
        <v/>
      </c>
      <c r="N135" s="25"/>
      <c r="O135" s="22"/>
      <c r="P135" s="24"/>
      <c r="Q135" s="26"/>
    </row>
    <row r="136" spans="1:17" ht="15" x14ac:dyDescent="0.15">
      <c r="A136" s="22"/>
      <c r="B136" s="26" t="str">
        <f t="shared" si="8"/>
        <v/>
      </c>
      <c r="C136" s="26" t="str">
        <f t="shared" si="9"/>
        <v/>
      </c>
      <c r="D136" s="26" t="str">
        <f t="shared" si="10"/>
        <v/>
      </c>
      <c r="E136" s="29"/>
      <c r="F136" s="22"/>
      <c r="G136" s="22"/>
      <c r="H136" s="22"/>
      <c r="I136" s="24"/>
      <c r="J136" s="24"/>
      <c r="K136" s="24"/>
      <c r="L136" s="24"/>
      <c r="M136" s="27" t="str">
        <f t="shared" si="11"/>
        <v/>
      </c>
      <c r="N136" s="25"/>
      <c r="O136" s="22"/>
      <c r="P136" s="24"/>
      <c r="Q136" s="26"/>
    </row>
    <row r="137" spans="1:17" ht="15" x14ac:dyDescent="0.15">
      <c r="A137" s="22"/>
      <c r="B137" s="26" t="str">
        <f t="shared" si="8"/>
        <v/>
      </c>
      <c r="C137" s="26" t="str">
        <f t="shared" si="9"/>
        <v/>
      </c>
      <c r="D137" s="26" t="str">
        <f t="shared" si="10"/>
        <v/>
      </c>
      <c r="E137" s="29"/>
      <c r="F137" s="22"/>
      <c r="G137" s="22"/>
      <c r="H137" s="22"/>
      <c r="I137" s="24"/>
      <c r="J137" s="24"/>
      <c r="K137" s="24"/>
      <c r="L137" s="24"/>
      <c r="M137" s="27" t="str">
        <f t="shared" si="11"/>
        <v/>
      </c>
      <c r="N137" s="25"/>
      <c r="O137" s="22"/>
      <c r="P137" s="24"/>
      <c r="Q137" s="26"/>
    </row>
    <row r="138" spans="1:17" ht="15" x14ac:dyDescent="0.15">
      <c r="A138" s="22"/>
      <c r="B138" s="26" t="str">
        <f t="shared" si="8"/>
        <v/>
      </c>
      <c r="C138" s="26" t="str">
        <f t="shared" si="9"/>
        <v/>
      </c>
      <c r="D138" s="26" t="str">
        <f t="shared" si="10"/>
        <v/>
      </c>
      <c r="E138" s="29"/>
      <c r="F138" s="22"/>
      <c r="G138" s="22"/>
      <c r="H138" s="22"/>
      <c r="I138" s="24"/>
      <c r="J138" s="24"/>
      <c r="K138" s="24"/>
      <c r="L138" s="24"/>
      <c r="M138" s="27" t="str">
        <f t="shared" si="11"/>
        <v/>
      </c>
      <c r="N138" s="25"/>
      <c r="O138" s="22"/>
      <c r="P138" s="24"/>
      <c r="Q138" s="26"/>
    </row>
    <row r="139" spans="1:17" ht="15" x14ac:dyDescent="0.15">
      <c r="A139" s="22"/>
      <c r="B139" s="26" t="str">
        <f t="shared" si="8"/>
        <v/>
      </c>
      <c r="C139" s="26" t="str">
        <f t="shared" si="9"/>
        <v/>
      </c>
      <c r="D139" s="26" t="str">
        <f t="shared" si="10"/>
        <v/>
      </c>
      <c r="E139" s="29"/>
      <c r="F139" s="22"/>
      <c r="G139" s="22"/>
      <c r="H139" s="22"/>
      <c r="I139" s="24"/>
      <c r="J139" s="24"/>
      <c r="K139" s="24"/>
      <c r="L139" s="24"/>
      <c r="M139" s="27" t="str">
        <f t="shared" si="11"/>
        <v/>
      </c>
      <c r="N139" s="25"/>
      <c r="O139" s="22"/>
      <c r="P139" s="24"/>
      <c r="Q139" s="26"/>
    </row>
    <row r="140" spans="1:17" ht="15" x14ac:dyDescent="0.15">
      <c r="A140" s="22"/>
      <c r="B140" s="26" t="str">
        <f t="shared" si="8"/>
        <v/>
      </c>
      <c r="C140" s="26" t="str">
        <f t="shared" si="9"/>
        <v/>
      </c>
      <c r="D140" s="26" t="str">
        <f t="shared" si="10"/>
        <v/>
      </c>
      <c r="E140" s="29"/>
      <c r="F140" s="22"/>
      <c r="G140" s="22"/>
      <c r="H140" s="22"/>
      <c r="I140" s="24"/>
      <c r="J140" s="24"/>
      <c r="K140" s="24"/>
      <c r="L140" s="24"/>
      <c r="M140" s="27" t="str">
        <f t="shared" si="11"/>
        <v/>
      </c>
      <c r="N140" s="25"/>
      <c r="O140" s="22"/>
      <c r="P140" s="24"/>
      <c r="Q140" s="26"/>
    </row>
    <row r="141" spans="1:17" ht="15" x14ac:dyDescent="0.15">
      <c r="A141" s="22"/>
      <c r="B141" s="26" t="str">
        <f t="shared" si="8"/>
        <v/>
      </c>
      <c r="C141" s="26" t="str">
        <f t="shared" si="9"/>
        <v/>
      </c>
      <c r="D141" s="26" t="str">
        <f t="shared" si="10"/>
        <v/>
      </c>
      <c r="E141" s="29"/>
      <c r="F141" s="22"/>
      <c r="G141" s="22"/>
      <c r="H141" s="22"/>
      <c r="I141" s="24"/>
      <c r="J141" s="24"/>
      <c r="K141" s="24"/>
      <c r="L141" s="24"/>
      <c r="M141" s="27" t="str">
        <f t="shared" si="11"/>
        <v/>
      </c>
      <c r="N141" s="25"/>
      <c r="O141" s="22"/>
      <c r="P141" s="24"/>
      <c r="Q141" s="26"/>
    </row>
    <row r="142" spans="1:17" ht="15" x14ac:dyDescent="0.15">
      <c r="A142" s="22"/>
      <c r="B142" s="26" t="str">
        <f t="shared" si="8"/>
        <v/>
      </c>
      <c r="C142" s="26" t="str">
        <f t="shared" si="9"/>
        <v/>
      </c>
      <c r="D142" s="26" t="str">
        <f t="shared" si="10"/>
        <v/>
      </c>
      <c r="E142" s="29"/>
      <c r="F142" s="22"/>
      <c r="G142" s="22"/>
      <c r="H142" s="22"/>
      <c r="I142" s="24"/>
      <c r="J142" s="24"/>
      <c r="K142" s="24"/>
      <c r="L142" s="24"/>
      <c r="M142" s="27" t="str">
        <f t="shared" si="11"/>
        <v/>
      </c>
      <c r="N142" s="25"/>
      <c r="O142" s="22"/>
      <c r="P142" s="24"/>
      <c r="Q142" s="26"/>
    </row>
    <row r="143" spans="1:17" ht="15" x14ac:dyDescent="0.15">
      <c r="A143" s="22"/>
      <c r="B143" s="26" t="str">
        <f t="shared" si="8"/>
        <v/>
      </c>
      <c r="C143" s="26" t="str">
        <f t="shared" si="9"/>
        <v/>
      </c>
      <c r="D143" s="26" t="str">
        <f t="shared" si="10"/>
        <v/>
      </c>
      <c r="E143" s="29"/>
      <c r="F143" s="22"/>
      <c r="G143" s="22"/>
      <c r="H143" s="22"/>
      <c r="I143" s="24"/>
      <c r="J143" s="24"/>
      <c r="K143" s="24"/>
      <c r="L143" s="24"/>
      <c r="M143" s="27" t="str">
        <f t="shared" si="11"/>
        <v/>
      </c>
      <c r="N143" s="25"/>
      <c r="O143" s="22"/>
      <c r="P143" s="24"/>
      <c r="Q143" s="26"/>
    </row>
    <row r="144" spans="1:17" ht="15" x14ac:dyDescent="0.15">
      <c r="A144" s="22"/>
      <c r="B144" s="26" t="str">
        <f t="shared" si="8"/>
        <v/>
      </c>
      <c r="C144" s="26" t="str">
        <f t="shared" si="9"/>
        <v/>
      </c>
      <c r="D144" s="26" t="str">
        <f t="shared" si="10"/>
        <v/>
      </c>
      <c r="E144" s="29"/>
      <c r="F144" s="22"/>
      <c r="G144" s="22"/>
      <c r="H144" s="22"/>
      <c r="I144" s="24"/>
      <c r="J144" s="24"/>
      <c r="K144" s="24"/>
      <c r="L144" s="24"/>
      <c r="M144" s="27" t="str">
        <f t="shared" si="11"/>
        <v/>
      </c>
      <c r="N144" s="25"/>
      <c r="O144" s="22"/>
      <c r="P144" s="24"/>
      <c r="Q144" s="26"/>
    </row>
    <row r="145" spans="1:17" ht="15" x14ac:dyDescent="0.15">
      <c r="A145" s="22"/>
      <c r="B145" s="26" t="str">
        <f t="shared" si="8"/>
        <v/>
      </c>
      <c r="C145" s="26" t="str">
        <f t="shared" si="9"/>
        <v/>
      </c>
      <c r="D145" s="26" t="str">
        <f t="shared" si="10"/>
        <v/>
      </c>
      <c r="E145" s="29"/>
      <c r="F145" s="22"/>
      <c r="G145" s="22"/>
      <c r="H145" s="22"/>
      <c r="I145" s="24"/>
      <c r="J145" s="24"/>
      <c r="K145" s="24"/>
      <c r="L145" s="24"/>
      <c r="M145" s="27" t="str">
        <f t="shared" si="11"/>
        <v/>
      </c>
      <c r="N145" s="25"/>
      <c r="O145" s="22"/>
      <c r="P145" s="24"/>
      <c r="Q145" s="26"/>
    </row>
    <row r="146" spans="1:17" ht="15" x14ac:dyDescent="0.15">
      <c r="A146" s="22"/>
      <c r="B146" s="26" t="str">
        <f t="shared" si="8"/>
        <v/>
      </c>
      <c r="C146" s="26" t="str">
        <f t="shared" si="9"/>
        <v/>
      </c>
      <c r="D146" s="26" t="str">
        <f t="shared" si="10"/>
        <v/>
      </c>
      <c r="E146" s="29"/>
      <c r="F146" s="22"/>
      <c r="G146" s="22"/>
      <c r="H146" s="22"/>
      <c r="I146" s="24"/>
      <c r="J146" s="24"/>
      <c r="K146" s="24"/>
      <c r="L146" s="24"/>
      <c r="M146" s="27" t="str">
        <f t="shared" si="11"/>
        <v/>
      </c>
      <c r="N146" s="25"/>
      <c r="O146" s="22"/>
      <c r="P146" s="24"/>
      <c r="Q146" s="26"/>
    </row>
    <row r="147" spans="1:17" ht="15" x14ac:dyDescent="0.15">
      <c r="A147" s="22"/>
      <c r="B147" s="26" t="str">
        <f t="shared" si="8"/>
        <v/>
      </c>
      <c r="C147" s="26" t="str">
        <f t="shared" si="9"/>
        <v/>
      </c>
      <c r="D147" s="26" t="str">
        <f t="shared" si="10"/>
        <v/>
      </c>
      <c r="E147" s="29"/>
      <c r="F147" s="22"/>
      <c r="G147" s="22"/>
      <c r="H147" s="22"/>
      <c r="I147" s="24"/>
      <c r="J147" s="24"/>
      <c r="K147" s="24"/>
      <c r="L147" s="24"/>
      <c r="M147" s="27" t="str">
        <f t="shared" si="11"/>
        <v/>
      </c>
      <c r="N147" s="25"/>
      <c r="O147" s="22"/>
      <c r="P147" s="24"/>
      <c r="Q147" s="26"/>
    </row>
    <row r="148" spans="1:17" ht="15" x14ac:dyDescent="0.15">
      <c r="A148" s="22"/>
      <c r="B148" s="26" t="str">
        <f t="shared" si="8"/>
        <v/>
      </c>
      <c r="C148" s="26" t="str">
        <f t="shared" si="9"/>
        <v/>
      </c>
      <c r="D148" s="26" t="str">
        <f t="shared" si="10"/>
        <v/>
      </c>
      <c r="E148" s="29"/>
      <c r="F148" s="22"/>
      <c r="G148" s="22"/>
      <c r="H148" s="22"/>
      <c r="I148" s="24"/>
      <c r="J148" s="24"/>
      <c r="K148" s="24"/>
      <c r="L148" s="24"/>
      <c r="M148" s="27" t="str">
        <f t="shared" si="11"/>
        <v/>
      </c>
      <c r="N148" s="25"/>
      <c r="O148" s="22"/>
      <c r="P148" s="24"/>
      <c r="Q148" s="26"/>
    </row>
    <row r="149" spans="1:17" ht="15" x14ac:dyDescent="0.15">
      <c r="A149" s="22"/>
      <c r="B149" s="26" t="str">
        <f t="shared" si="8"/>
        <v/>
      </c>
      <c r="C149" s="26" t="str">
        <f t="shared" si="9"/>
        <v/>
      </c>
      <c r="D149" s="26" t="str">
        <f t="shared" si="10"/>
        <v/>
      </c>
      <c r="E149" s="29"/>
      <c r="F149" s="22"/>
      <c r="G149" s="22"/>
      <c r="H149" s="22"/>
      <c r="I149" s="24"/>
      <c r="J149" s="24"/>
      <c r="K149" s="24"/>
      <c r="L149" s="24"/>
      <c r="M149" s="27" t="str">
        <f t="shared" si="11"/>
        <v/>
      </c>
      <c r="N149" s="25"/>
      <c r="O149" s="22"/>
      <c r="P149" s="24"/>
      <c r="Q149" s="26"/>
    </row>
    <row r="150" spans="1:17" ht="15" x14ac:dyDescent="0.15">
      <c r="A150" s="22"/>
      <c r="B150" s="26" t="str">
        <f t="shared" si="8"/>
        <v/>
      </c>
      <c r="C150" s="26" t="str">
        <f t="shared" si="9"/>
        <v/>
      </c>
      <c r="D150" s="26" t="str">
        <f t="shared" si="10"/>
        <v/>
      </c>
      <c r="E150" s="29"/>
      <c r="F150" s="22"/>
      <c r="G150" s="22"/>
      <c r="H150" s="22"/>
      <c r="I150" s="24"/>
      <c r="J150" s="24"/>
      <c r="K150" s="24"/>
      <c r="L150" s="24"/>
      <c r="M150" s="27" t="str">
        <f t="shared" si="11"/>
        <v/>
      </c>
      <c r="N150" s="25"/>
      <c r="O150" s="22"/>
      <c r="P150" s="24"/>
      <c r="Q150" s="26"/>
    </row>
    <row r="151" spans="1:17" ht="15" x14ac:dyDescent="0.15">
      <c r="A151" s="22"/>
      <c r="B151" s="26" t="str">
        <f t="shared" si="8"/>
        <v/>
      </c>
      <c r="C151" s="26" t="str">
        <f t="shared" si="9"/>
        <v/>
      </c>
      <c r="D151" s="26" t="str">
        <f t="shared" si="10"/>
        <v/>
      </c>
      <c r="E151" s="29"/>
      <c r="F151" s="22"/>
      <c r="G151" s="22"/>
      <c r="H151" s="22"/>
      <c r="I151" s="24"/>
      <c r="J151" s="24"/>
      <c r="K151" s="24"/>
      <c r="L151" s="24"/>
      <c r="M151" s="27" t="str">
        <f t="shared" si="11"/>
        <v/>
      </c>
      <c r="N151" s="25"/>
      <c r="O151" s="22"/>
      <c r="P151" s="24"/>
      <c r="Q151" s="26"/>
    </row>
    <row r="152" spans="1:17" ht="15" x14ac:dyDescent="0.15">
      <c r="A152" s="22"/>
      <c r="B152" s="26" t="str">
        <f t="shared" si="8"/>
        <v/>
      </c>
      <c r="C152" s="26" t="str">
        <f t="shared" si="9"/>
        <v/>
      </c>
      <c r="D152" s="26" t="str">
        <f t="shared" si="10"/>
        <v/>
      </c>
      <c r="E152" s="29"/>
      <c r="F152" s="22"/>
      <c r="G152" s="22"/>
      <c r="H152" s="22"/>
      <c r="I152" s="24"/>
      <c r="J152" s="24"/>
      <c r="K152" s="24"/>
      <c r="L152" s="24"/>
      <c r="M152" s="27" t="str">
        <f t="shared" si="11"/>
        <v/>
      </c>
      <c r="N152" s="25"/>
      <c r="O152" s="22"/>
      <c r="P152" s="24"/>
      <c r="Q152" s="26"/>
    </row>
    <row r="153" spans="1:17" ht="15" x14ac:dyDescent="0.15">
      <c r="A153" s="22"/>
      <c r="B153" s="26" t="str">
        <f t="shared" si="8"/>
        <v/>
      </c>
      <c r="C153" s="26" t="str">
        <f t="shared" si="9"/>
        <v/>
      </c>
      <c r="D153" s="26" t="str">
        <f t="shared" si="10"/>
        <v/>
      </c>
      <c r="E153" s="29"/>
      <c r="F153" s="22"/>
      <c r="G153" s="22"/>
      <c r="H153" s="22"/>
      <c r="I153" s="24"/>
      <c r="J153" s="24"/>
      <c r="K153" s="24"/>
      <c r="L153" s="24"/>
      <c r="M153" s="27" t="str">
        <f t="shared" si="11"/>
        <v/>
      </c>
      <c r="N153" s="25"/>
      <c r="O153" s="22"/>
      <c r="P153" s="24"/>
      <c r="Q153" s="26"/>
    </row>
    <row r="154" spans="1:17" ht="15" x14ac:dyDescent="0.15">
      <c r="A154" s="22"/>
      <c r="B154" s="26" t="str">
        <f t="shared" si="8"/>
        <v/>
      </c>
      <c r="C154" s="26" t="str">
        <f t="shared" si="9"/>
        <v/>
      </c>
      <c r="D154" s="26" t="str">
        <f t="shared" si="10"/>
        <v/>
      </c>
      <c r="E154" s="29"/>
      <c r="F154" s="22"/>
      <c r="G154" s="22"/>
      <c r="H154" s="22"/>
      <c r="I154" s="24"/>
      <c r="J154" s="24"/>
      <c r="K154" s="24"/>
      <c r="L154" s="24"/>
      <c r="M154" s="27" t="str">
        <f t="shared" si="11"/>
        <v/>
      </c>
      <c r="N154" s="25"/>
      <c r="O154" s="22"/>
      <c r="P154" s="24"/>
      <c r="Q154" s="26"/>
    </row>
    <row r="155" spans="1:17" ht="15" x14ac:dyDescent="0.15">
      <c r="A155" s="22"/>
      <c r="B155" s="26" t="str">
        <f t="shared" si="8"/>
        <v/>
      </c>
      <c r="C155" s="26" t="str">
        <f t="shared" si="9"/>
        <v/>
      </c>
      <c r="D155" s="26" t="str">
        <f t="shared" si="10"/>
        <v/>
      </c>
      <c r="E155" s="29"/>
      <c r="F155" s="22"/>
      <c r="G155" s="22"/>
      <c r="H155" s="22"/>
      <c r="I155" s="24"/>
      <c r="J155" s="24"/>
      <c r="K155" s="24"/>
      <c r="L155" s="24"/>
      <c r="M155" s="27" t="str">
        <f t="shared" si="11"/>
        <v/>
      </c>
      <c r="N155" s="25"/>
      <c r="O155" s="22"/>
      <c r="P155" s="24"/>
      <c r="Q155" s="26"/>
    </row>
    <row r="156" spans="1:17" ht="15" x14ac:dyDescent="0.15">
      <c r="A156" s="22"/>
      <c r="B156" s="26" t="str">
        <f t="shared" si="8"/>
        <v/>
      </c>
      <c r="C156" s="26" t="str">
        <f t="shared" si="9"/>
        <v/>
      </c>
      <c r="D156" s="26" t="str">
        <f t="shared" si="10"/>
        <v/>
      </c>
      <c r="E156" s="29"/>
      <c r="F156" s="22"/>
      <c r="G156" s="22"/>
      <c r="H156" s="22"/>
      <c r="I156" s="24"/>
      <c r="J156" s="24"/>
      <c r="K156" s="24"/>
      <c r="L156" s="24"/>
      <c r="M156" s="27" t="str">
        <f t="shared" si="11"/>
        <v/>
      </c>
      <c r="N156" s="25"/>
      <c r="O156" s="22"/>
      <c r="P156" s="24"/>
      <c r="Q156" s="26"/>
    </row>
    <row r="157" spans="1:17" ht="15" x14ac:dyDescent="0.15">
      <c r="A157" s="22"/>
      <c r="B157" s="26" t="str">
        <f t="shared" si="8"/>
        <v/>
      </c>
      <c r="C157" s="26" t="str">
        <f t="shared" si="9"/>
        <v/>
      </c>
      <c r="D157" s="26" t="str">
        <f t="shared" si="10"/>
        <v/>
      </c>
      <c r="E157" s="29"/>
      <c r="F157" s="22"/>
      <c r="G157" s="22"/>
      <c r="H157" s="22"/>
      <c r="I157" s="24"/>
      <c r="J157" s="24"/>
      <c r="K157" s="24"/>
      <c r="L157" s="24"/>
      <c r="M157" s="27" t="str">
        <f t="shared" si="11"/>
        <v/>
      </c>
      <c r="N157" s="25"/>
      <c r="O157" s="22"/>
      <c r="P157" s="24"/>
      <c r="Q157" s="26"/>
    </row>
    <row r="158" spans="1:17" ht="15" x14ac:dyDescent="0.15">
      <c r="A158" s="22"/>
      <c r="B158" s="26" t="str">
        <f t="shared" si="8"/>
        <v/>
      </c>
      <c r="C158" s="26" t="str">
        <f t="shared" si="9"/>
        <v/>
      </c>
      <c r="D158" s="26" t="str">
        <f t="shared" si="10"/>
        <v/>
      </c>
      <c r="E158" s="29"/>
      <c r="F158" s="22"/>
      <c r="G158" s="22"/>
      <c r="H158" s="22"/>
      <c r="I158" s="24"/>
      <c r="J158" s="24"/>
      <c r="K158" s="24"/>
      <c r="L158" s="24"/>
      <c r="M158" s="27" t="str">
        <f t="shared" si="11"/>
        <v/>
      </c>
      <c r="N158" s="25"/>
      <c r="O158" s="22"/>
      <c r="P158" s="24"/>
      <c r="Q158" s="26"/>
    </row>
    <row r="159" spans="1:17" ht="15" x14ac:dyDescent="0.15">
      <c r="A159" s="22"/>
      <c r="B159" s="26" t="str">
        <f t="shared" si="8"/>
        <v/>
      </c>
      <c r="C159" s="26" t="str">
        <f t="shared" si="9"/>
        <v/>
      </c>
      <c r="D159" s="26" t="str">
        <f t="shared" si="10"/>
        <v/>
      </c>
      <c r="E159" s="29"/>
      <c r="F159" s="22"/>
      <c r="G159" s="22"/>
      <c r="H159" s="22"/>
      <c r="I159" s="24"/>
      <c r="J159" s="24"/>
      <c r="K159" s="24"/>
      <c r="L159" s="24"/>
      <c r="M159" s="27" t="str">
        <f t="shared" si="11"/>
        <v/>
      </c>
      <c r="N159" s="25"/>
      <c r="O159" s="22"/>
      <c r="P159" s="24"/>
      <c r="Q159" s="26"/>
    </row>
    <row r="160" spans="1:17" ht="15" x14ac:dyDescent="0.15">
      <c r="A160" s="22"/>
      <c r="B160" s="26" t="str">
        <f t="shared" si="8"/>
        <v/>
      </c>
      <c r="C160" s="26" t="str">
        <f t="shared" si="9"/>
        <v/>
      </c>
      <c r="D160" s="26" t="str">
        <f t="shared" si="10"/>
        <v/>
      </c>
      <c r="E160" s="29"/>
      <c r="F160" s="22"/>
      <c r="G160" s="22"/>
      <c r="H160" s="22"/>
      <c r="I160" s="24"/>
      <c r="J160" s="24"/>
      <c r="K160" s="24"/>
      <c r="L160" s="24"/>
      <c r="M160" s="27" t="str">
        <f t="shared" si="11"/>
        <v/>
      </c>
      <c r="N160" s="25"/>
      <c r="O160" s="22"/>
      <c r="P160" s="24"/>
      <c r="Q160" s="26"/>
    </row>
    <row r="161" spans="1:17" ht="15" x14ac:dyDescent="0.15">
      <c r="A161" s="22"/>
      <c r="B161" s="26" t="str">
        <f t="shared" si="8"/>
        <v/>
      </c>
      <c r="C161" s="26" t="str">
        <f t="shared" si="9"/>
        <v/>
      </c>
      <c r="D161" s="26" t="str">
        <f t="shared" si="10"/>
        <v/>
      </c>
      <c r="E161" s="29"/>
      <c r="F161" s="22"/>
      <c r="G161" s="22"/>
      <c r="H161" s="22"/>
      <c r="I161" s="24"/>
      <c r="J161" s="24"/>
      <c r="K161" s="24"/>
      <c r="L161" s="24"/>
      <c r="M161" s="27" t="str">
        <f t="shared" si="11"/>
        <v/>
      </c>
      <c r="N161" s="25"/>
      <c r="O161" s="22"/>
      <c r="P161" s="24"/>
      <c r="Q161" s="26"/>
    </row>
    <row r="162" spans="1:17" ht="15" x14ac:dyDescent="0.15">
      <c r="A162" s="22"/>
      <c r="B162" s="26" t="str">
        <f t="shared" si="8"/>
        <v/>
      </c>
      <c r="C162" s="26" t="str">
        <f t="shared" si="9"/>
        <v/>
      </c>
      <c r="D162" s="26" t="str">
        <f t="shared" si="10"/>
        <v/>
      </c>
      <c r="E162" s="29"/>
      <c r="F162" s="22"/>
      <c r="G162" s="22"/>
      <c r="H162" s="22"/>
      <c r="I162" s="24"/>
      <c r="J162" s="24"/>
      <c r="K162" s="24"/>
      <c r="L162" s="24"/>
      <c r="M162" s="27" t="str">
        <f t="shared" si="11"/>
        <v/>
      </c>
      <c r="N162" s="25"/>
      <c r="O162" s="22"/>
      <c r="P162" s="24"/>
      <c r="Q162" s="26"/>
    </row>
    <row r="163" spans="1:17" ht="15" x14ac:dyDescent="0.15">
      <c r="A163" s="22"/>
      <c r="B163" s="26" t="str">
        <f t="shared" si="8"/>
        <v/>
      </c>
      <c r="C163" s="26" t="str">
        <f t="shared" si="9"/>
        <v/>
      </c>
      <c r="D163" s="26" t="str">
        <f t="shared" si="10"/>
        <v/>
      </c>
      <c r="E163" s="29"/>
      <c r="F163" s="22"/>
      <c r="G163" s="22"/>
      <c r="H163" s="22"/>
      <c r="I163" s="24"/>
      <c r="J163" s="24"/>
      <c r="K163" s="24"/>
      <c r="L163" s="24"/>
      <c r="M163" s="27" t="str">
        <f t="shared" si="11"/>
        <v/>
      </c>
      <c r="N163" s="25"/>
      <c r="O163" s="22"/>
      <c r="P163" s="24"/>
      <c r="Q163" s="26"/>
    </row>
    <row r="164" spans="1:17" ht="15" x14ac:dyDescent="0.15">
      <c r="A164" s="22"/>
      <c r="B164" s="26" t="str">
        <f t="shared" si="8"/>
        <v/>
      </c>
      <c r="C164" s="26" t="str">
        <f t="shared" si="9"/>
        <v/>
      </c>
      <c r="D164" s="26" t="str">
        <f t="shared" si="10"/>
        <v/>
      </c>
      <c r="E164" s="29"/>
      <c r="F164" s="22"/>
      <c r="G164" s="22"/>
      <c r="H164" s="22"/>
      <c r="I164" s="24"/>
      <c r="J164" s="24"/>
      <c r="K164" s="24"/>
      <c r="L164" s="24"/>
      <c r="M164" s="27" t="str">
        <f t="shared" si="11"/>
        <v/>
      </c>
      <c r="N164" s="25"/>
      <c r="O164" s="22"/>
      <c r="P164" s="24"/>
      <c r="Q164" s="26"/>
    </row>
    <row r="165" spans="1:17" ht="15" x14ac:dyDescent="0.15">
      <c r="A165" s="22"/>
      <c r="B165" s="26" t="str">
        <f t="shared" si="8"/>
        <v/>
      </c>
      <c r="C165" s="26" t="str">
        <f t="shared" si="9"/>
        <v/>
      </c>
      <c r="D165" s="26" t="str">
        <f t="shared" si="10"/>
        <v/>
      </c>
      <c r="E165" s="29"/>
      <c r="F165" s="22"/>
      <c r="G165" s="22"/>
      <c r="H165" s="22"/>
      <c r="I165" s="24"/>
      <c r="J165" s="24"/>
      <c r="K165" s="24"/>
      <c r="L165" s="24"/>
      <c r="M165" s="27" t="str">
        <f t="shared" si="11"/>
        <v/>
      </c>
      <c r="N165" s="25"/>
      <c r="O165" s="22"/>
      <c r="P165" s="24"/>
      <c r="Q165" s="26"/>
    </row>
    <row r="166" spans="1:17" ht="15" x14ac:dyDescent="0.15">
      <c r="A166" s="22"/>
      <c r="B166" s="26" t="str">
        <f t="shared" si="8"/>
        <v/>
      </c>
      <c r="C166" s="26" t="str">
        <f t="shared" si="9"/>
        <v/>
      </c>
      <c r="D166" s="26" t="str">
        <f t="shared" si="10"/>
        <v/>
      </c>
      <c r="E166" s="29"/>
      <c r="F166" s="22"/>
      <c r="G166" s="22"/>
      <c r="H166" s="22"/>
      <c r="I166" s="24"/>
      <c r="J166" s="24"/>
      <c r="K166" s="24"/>
      <c r="L166" s="24"/>
      <c r="M166" s="27" t="str">
        <f t="shared" si="11"/>
        <v/>
      </c>
      <c r="N166" s="25"/>
      <c r="O166" s="22"/>
      <c r="P166" s="24"/>
      <c r="Q166" s="26"/>
    </row>
    <row r="167" spans="1:17" ht="15" x14ac:dyDescent="0.15">
      <c r="A167" s="22"/>
      <c r="B167" s="26" t="str">
        <f t="shared" si="8"/>
        <v/>
      </c>
      <c r="C167" s="26" t="str">
        <f t="shared" si="9"/>
        <v/>
      </c>
      <c r="D167" s="26" t="str">
        <f t="shared" si="10"/>
        <v/>
      </c>
      <c r="E167" s="29"/>
      <c r="F167" s="22"/>
      <c r="G167" s="22"/>
      <c r="H167" s="22"/>
      <c r="I167" s="24"/>
      <c r="J167" s="24"/>
      <c r="K167" s="24"/>
      <c r="L167" s="24"/>
      <c r="M167" s="27" t="str">
        <f t="shared" si="11"/>
        <v/>
      </c>
      <c r="N167" s="25"/>
      <c r="O167" s="22"/>
      <c r="P167" s="24"/>
      <c r="Q167" s="26"/>
    </row>
    <row r="168" spans="1:17" ht="15" x14ac:dyDescent="0.15">
      <c r="A168" s="22"/>
      <c r="B168" s="26" t="str">
        <f t="shared" si="8"/>
        <v/>
      </c>
      <c r="C168" s="26" t="str">
        <f t="shared" si="9"/>
        <v/>
      </c>
      <c r="D168" s="26" t="str">
        <f t="shared" si="10"/>
        <v/>
      </c>
      <c r="E168" s="29"/>
      <c r="F168" s="22"/>
      <c r="G168" s="22"/>
      <c r="H168" s="22"/>
      <c r="I168" s="24"/>
      <c r="J168" s="24"/>
      <c r="K168" s="24"/>
      <c r="L168" s="24"/>
      <c r="M168" s="27" t="str">
        <f t="shared" si="11"/>
        <v/>
      </c>
      <c r="N168" s="25"/>
      <c r="O168" s="22"/>
      <c r="P168" s="24"/>
      <c r="Q168" s="26"/>
    </row>
    <row r="169" spans="1:17" ht="15" x14ac:dyDescent="0.15">
      <c r="A169" s="22"/>
      <c r="B169" s="26" t="str">
        <f t="shared" si="8"/>
        <v/>
      </c>
      <c r="C169" s="26" t="str">
        <f t="shared" si="9"/>
        <v/>
      </c>
      <c r="D169" s="26" t="str">
        <f t="shared" si="10"/>
        <v/>
      </c>
      <c r="E169" s="29"/>
      <c r="F169" s="22"/>
      <c r="G169" s="22"/>
      <c r="H169" s="22"/>
      <c r="I169" s="24"/>
      <c r="J169" s="24"/>
      <c r="K169" s="24"/>
      <c r="L169" s="24"/>
      <c r="M169" s="27" t="str">
        <f t="shared" si="11"/>
        <v/>
      </c>
      <c r="N169" s="25"/>
      <c r="O169" s="22"/>
      <c r="P169" s="24"/>
      <c r="Q169" s="26"/>
    </row>
    <row r="170" spans="1:17" ht="15" x14ac:dyDescent="0.15">
      <c r="A170" s="22"/>
      <c r="B170" s="26" t="str">
        <f t="shared" si="8"/>
        <v/>
      </c>
      <c r="C170" s="26" t="str">
        <f t="shared" si="9"/>
        <v/>
      </c>
      <c r="D170" s="26" t="str">
        <f t="shared" si="10"/>
        <v/>
      </c>
      <c r="E170" s="29"/>
      <c r="F170" s="22"/>
      <c r="G170" s="22"/>
      <c r="H170" s="22"/>
      <c r="I170" s="24"/>
      <c r="J170" s="24"/>
      <c r="K170" s="24"/>
      <c r="L170" s="24"/>
      <c r="M170" s="27" t="str">
        <f t="shared" si="11"/>
        <v/>
      </c>
      <c r="N170" s="25"/>
      <c r="O170" s="22"/>
      <c r="P170" s="24"/>
      <c r="Q170" s="26"/>
    </row>
    <row r="171" spans="1:17" ht="15" x14ac:dyDescent="0.15">
      <c r="A171" s="22"/>
      <c r="B171" s="26" t="str">
        <f t="shared" si="8"/>
        <v/>
      </c>
      <c r="C171" s="26" t="str">
        <f t="shared" si="9"/>
        <v/>
      </c>
      <c r="D171" s="26" t="str">
        <f t="shared" si="10"/>
        <v/>
      </c>
      <c r="E171" s="29"/>
      <c r="F171" s="22"/>
      <c r="G171" s="22"/>
      <c r="H171" s="22"/>
      <c r="I171" s="24"/>
      <c r="J171" s="24"/>
      <c r="K171" s="24"/>
      <c r="L171" s="24"/>
      <c r="M171" s="27" t="str">
        <f t="shared" si="11"/>
        <v/>
      </c>
      <c r="N171" s="25"/>
      <c r="O171" s="22"/>
      <c r="P171" s="24"/>
      <c r="Q171" s="26"/>
    </row>
    <row r="172" spans="1:17" ht="15" x14ac:dyDescent="0.15">
      <c r="A172" s="22"/>
      <c r="B172" s="26" t="str">
        <f t="shared" si="8"/>
        <v/>
      </c>
      <c r="C172" s="26" t="str">
        <f t="shared" si="9"/>
        <v/>
      </c>
      <c r="D172" s="26" t="str">
        <f t="shared" si="10"/>
        <v/>
      </c>
      <c r="E172" s="29"/>
      <c r="F172" s="22"/>
      <c r="G172" s="22"/>
      <c r="H172" s="22"/>
      <c r="I172" s="24"/>
      <c r="J172" s="24"/>
      <c r="K172" s="24"/>
      <c r="L172" s="24"/>
      <c r="M172" s="27" t="str">
        <f t="shared" si="11"/>
        <v/>
      </c>
      <c r="N172" s="25"/>
      <c r="O172" s="22"/>
      <c r="P172" s="24"/>
      <c r="Q172" s="26"/>
    </row>
    <row r="173" spans="1:17" ht="15" x14ac:dyDescent="0.15">
      <c r="A173" s="22"/>
      <c r="B173" s="26" t="str">
        <f t="shared" si="8"/>
        <v/>
      </c>
      <c r="C173" s="26" t="str">
        <f t="shared" si="9"/>
        <v/>
      </c>
      <c r="D173" s="26" t="str">
        <f t="shared" si="10"/>
        <v/>
      </c>
      <c r="E173" s="29"/>
      <c r="F173" s="22"/>
      <c r="G173" s="22"/>
      <c r="H173" s="22"/>
      <c r="I173" s="24"/>
      <c r="J173" s="24"/>
      <c r="K173" s="24"/>
      <c r="L173" s="24"/>
      <c r="M173" s="27" t="str">
        <f t="shared" si="11"/>
        <v/>
      </c>
      <c r="N173" s="25"/>
      <c r="O173" s="22"/>
      <c r="P173" s="24"/>
      <c r="Q173" s="26"/>
    </row>
    <row r="174" spans="1:17" ht="15" x14ac:dyDescent="0.15">
      <c r="A174" s="22"/>
      <c r="B174" s="26" t="str">
        <f t="shared" si="8"/>
        <v/>
      </c>
      <c r="C174" s="26" t="str">
        <f t="shared" si="9"/>
        <v/>
      </c>
      <c r="D174" s="26" t="str">
        <f t="shared" si="10"/>
        <v/>
      </c>
      <c r="E174" s="29"/>
      <c r="F174" s="22"/>
      <c r="G174" s="22"/>
      <c r="H174" s="22"/>
      <c r="I174" s="24"/>
      <c r="J174" s="24"/>
      <c r="K174" s="24"/>
      <c r="L174" s="24"/>
      <c r="M174" s="27" t="str">
        <f t="shared" si="11"/>
        <v/>
      </c>
      <c r="N174" s="25"/>
      <c r="O174" s="22"/>
      <c r="P174" s="24"/>
      <c r="Q174" s="26"/>
    </row>
    <row r="175" spans="1:17" ht="15" x14ac:dyDescent="0.15">
      <c r="A175" s="22"/>
      <c r="B175" s="26" t="str">
        <f t="shared" si="8"/>
        <v/>
      </c>
      <c r="C175" s="26" t="str">
        <f t="shared" si="9"/>
        <v/>
      </c>
      <c r="D175" s="26" t="str">
        <f t="shared" si="10"/>
        <v/>
      </c>
      <c r="E175" s="29"/>
      <c r="F175" s="22"/>
      <c r="G175" s="22"/>
      <c r="H175" s="22"/>
      <c r="I175" s="24"/>
      <c r="J175" s="24"/>
      <c r="K175" s="24"/>
      <c r="L175" s="24"/>
      <c r="M175" s="27" t="str">
        <f t="shared" si="11"/>
        <v/>
      </c>
      <c r="N175" s="25"/>
      <c r="O175" s="22"/>
      <c r="P175" s="24"/>
      <c r="Q175" s="26"/>
    </row>
    <row r="176" spans="1:17" ht="15" x14ac:dyDescent="0.15">
      <c r="A176" s="22"/>
      <c r="B176" s="26" t="str">
        <f t="shared" si="8"/>
        <v/>
      </c>
      <c r="C176" s="26" t="str">
        <f t="shared" si="9"/>
        <v/>
      </c>
      <c r="D176" s="26" t="str">
        <f t="shared" si="10"/>
        <v/>
      </c>
      <c r="E176" s="29"/>
      <c r="F176" s="22"/>
      <c r="G176" s="22"/>
      <c r="H176" s="22"/>
      <c r="I176" s="24"/>
      <c r="J176" s="24"/>
      <c r="K176" s="24"/>
      <c r="L176" s="24"/>
      <c r="M176" s="27" t="str">
        <f t="shared" si="11"/>
        <v/>
      </c>
      <c r="N176" s="25"/>
      <c r="O176" s="22"/>
      <c r="P176" s="24"/>
      <c r="Q176" s="26"/>
    </row>
    <row r="177" spans="1:17" ht="15" x14ac:dyDescent="0.15">
      <c r="A177" s="22"/>
      <c r="B177" s="26" t="str">
        <f t="shared" si="8"/>
        <v/>
      </c>
      <c r="C177" s="26" t="str">
        <f t="shared" si="9"/>
        <v/>
      </c>
      <c r="D177" s="26" t="str">
        <f t="shared" si="10"/>
        <v/>
      </c>
      <c r="E177" s="29"/>
      <c r="F177" s="22"/>
      <c r="G177" s="22"/>
      <c r="H177" s="22"/>
      <c r="I177" s="24"/>
      <c r="J177" s="24"/>
      <c r="K177" s="24"/>
      <c r="L177" s="24"/>
      <c r="M177" s="27" t="str">
        <f t="shared" si="11"/>
        <v/>
      </c>
      <c r="N177" s="25"/>
      <c r="O177" s="22"/>
      <c r="P177" s="24"/>
      <c r="Q177" s="26"/>
    </row>
    <row r="178" spans="1:17" ht="15" x14ac:dyDescent="0.15">
      <c r="A178" s="22"/>
      <c r="B178" s="26" t="str">
        <f t="shared" si="8"/>
        <v/>
      </c>
      <c r="C178" s="26" t="str">
        <f t="shared" si="9"/>
        <v/>
      </c>
      <c r="D178" s="26" t="str">
        <f t="shared" si="10"/>
        <v/>
      </c>
      <c r="E178" s="29"/>
      <c r="F178" s="22"/>
      <c r="G178" s="22"/>
      <c r="H178" s="22"/>
      <c r="I178" s="24"/>
      <c r="J178" s="24"/>
      <c r="K178" s="24"/>
      <c r="L178" s="24"/>
      <c r="M178" s="27" t="str">
        <f t="shared" si="11"/>
        <v/>
      </c>
      <c r="N178" s="25"/>
      <c r="O178" s="22"/>
      <c r="P178" s="24"/>
      <c r="Q178" s="26"/>
    </row>
    <row r="179" spans="1:17" ht="15" x14ac:dyDescent="0.15">
      <c r="A179" s="22"/>
      <c r="B179" s="26" t="str">
        <f t="shared" si="8"/>
        <v/>
      </c>
      <c r="C179" s="26" t="str">
        <f t="shared" si="9"/>
        <v/>
      </c>
      <c r="D179" s="26" t="str">
        <f t="shared" si="10"/>
        <v/>
      </c>
      <c r="E179" s="29"/>
      <c r="F179" s="22"/>
      <c r="G179" s="22"/>
      <c r="H179" s="22"/>
      <c r="I179" s="24"/>
      <c r="J179" s="24"/>
      <c r="K179" s="24"/>
      <c r="L179" s="24"/>
      <c r="M179" s="27" t="str">
        <f t="shared" si="11"/>
        <v/>
      </c>
      <c r="N179" s="25"/>
      <c r="O179" s="22"/>
      <c r="P179" s="24"/>
      <c r="Q179" s="26"/>
    </row>
    <row r="180" spans="1:17" ht="15" x14ac:dyDescent="0.15">
      <c r="A180" s="22"/>
      <c r="B180" s="26" t="str">
        <f t="shared" si="8"/>
        <v/>
      </c>
      <c r="C180" s="26" t="str">
        <f t="shared" si="9"/>
        <v/>
      </c>
      <c r="D180" s="26" t="str">
        <f t="shared" si="10"/>
        <v/>
      </c>
      <c r="E180" s="29"/>
      <c r="F180" s="22"/>
      <c r="G180" s="22"/>
      <c r="H180" s="22"/>
      <c r="I180" s="24"/>
      <c r="J180" s="24"/>
      <c r="K180" s="24"/>
      <c r="L180" s="24"/>
      <c r="M180" s="27" t="str">
        <f t="shared" si="11"/>
        <v/>
      </c>
      <c r="N180" s="25"/>
      <c r="O180" s="22"/>
      <c r="P180" s="24"/>
      <c r="Q180" s="26"/>
    </row>
    <row r="181" spans="1:17" ht="15" x14ac:dyDescent="0.15">
      <c r="A181" s="22"/>
      <c r="B181" s="26" t="str">
        <f t="shared" si="8"/>
        <v/>
      </c>
      <c r="C181" s="26" t="str">
        <f t="shared" si="9"/>
        <v/>
      </c>
      <c r="D181" s="26" t="str">
        <f t="shared" si="10"/>
        <v/>
      </c>
      <c r="E181" s="29"/>
      <c r="F181" s="22"/>
      <c r="G181" s="22"/>
      <c r="H181" s="22"/>
      <c r="I181" s="24"/>
      <c r="J181" s="24"/>
      <c r="K181" s="24"/>
      <c r="L181" s="24"/>
      <c r="M181" s="27" t="str">
        <f t="shared" si="11"/>
        <v/>
      </c>
      <c r="N181" s="25"/>
      <c r="O181" s="22"/>
      <c r="P181" s="24"/>
      <c r="Q181" s="26"/>
    </row>
    <row r="182" spans="1:17" ht="15" x14ac:dyDescent="0.15">
      <c r="A182" s="22"/>
      <c r="B182" s="26" t="str">
        <f t="shared" si="8"/>
        <v/>
      </c>
      <c r="C182" s="26" t="str">
        <f t="shared" si="9"/>
        <v/>
      </c>
      <c r="D182" s="26" t="str">
        <f t="shared" si="10"/>
        <v/>
      </c>
      <c r="E182" s="29"/>
      <c r="F182" s="22"/>
      <c r="G182" s="22"/>
      <c r="H182" s="22"/>
      <c r="I182" s="24"/>
      <c r="J182" s="24"/>
      <c r="K182" s="24"/>
      <c r="L182" s="24"/>
      <c r="M182" s="27" t="str">
        <f t="shared" si="11"/>
        <v/>
      </c>
      <c r="N182" s="25"/>
      <c r="O182" s="22"/>
      <c r="P182" s="24"/>
      <c r="Q182" s="26"/>
    </row>
    <row r="183" spans="1:17" ht="15" x14ac:dyDescent="0.15">
      <c r="A183" s="22"/>
      <c r="B183" s="26" t="str">
        <f t="shared" si="8"/>
        <v/>
      </c>
      <c r="C183" s="26" t="str">
        <f t="shared" si="9"/>
        <v/>
      </c>
      <c r="D183" s="26" t="str">
        <f t="shared" si="10"/>
        <v/>
      </c>
      <c r="E183" s="29"/>
      <c r="F183" s="22"/>
      <c r="G183" s="22"/>
      <c r="H183" s="22"/>
      <c r="I183" s="24"/>
      <c r="J183" s="24"/>
      <c r="K183" s="24"/>
      <c r="L183" s="24"/>
      <c r="M183" s="27" t="str">
        <f t="shared" si="11"/>
        <v/>
      </c>
      <c r="N183" s="25"/>
      <c r="O183" s="22"/>
      <c r="P183" s="24"/>
      <c r="Q183" s="26"/>
    </row>
    <row r="184" spans="1:17" ht="15" x14ac:dyDescent="0.15">
      <c r="A184" s="22"/>
      <c r="B184" s="26" t="str">
        <f t="shared" si="8"/>
        <v/>
      </c>
      <c r="C184" s="26" t="str">
        <f t="shared" si="9"/>
        <v/>
      </c>
      <c r="D184" s="26" t="str">
        <f t="shared" si="10"/>
        <v/>
      </c>
      <c r="E184" s="29"/>
      <c r="F184" s="22"/>
      <c r="G184" s="22"/>
      <c r="H184" s="22"/>
      <c r="I184" s="24"/>
      <c r="J184" s="24"/>
      <c r="K184" s="24"/>
      <c r="L184" s="24"/>
      <c r="M184" s="27" t="str">
        <f t="shared" si="11"/>
        <v/>
      </c>
      <c r="N184" s="25"/>
      <c r="O184" s="22"/>
      <c r="P184" s="24"/>
      <c r="Q184" s="26"/>
    </row>
    <row r="185" spans="1:17" ht="15" x14ac:dyDescent="0.15">
      <c r="A185" s="22"/>
      <c r="B185" s="26" t="str">
        <f t="shared" si="8"/>
        <v/>
      </c>
      <c r="C185" s="26" t="str">
        <f t="shared" si="9"/>
        <v/>
      </c>
      <c r="D185" s="26" t="str">
        <f t="shared" si="10"/>
        <v/>
      </c>
      <c r="E185" s="29"/>
      <c r="F185" s="22"/>
      <c r="G185" s="22"/>
      <c r="H185" s="22"/>
      <c r="I185" s="24"/>
      <c r="J185" s="24"/>
      <c r="K185" s="24"/>
      <c r="L185" s="24"/>
      <c r="M185" s="27" t="str">
        <f t="shared" si="11"/>
        <v/>
      </c>
      <c r="N185" s="25"/>
      <c r="O185" s="22"/>
      <c r="P185" s="24"/>
      <c r="Q185" s="26"/>
    </row>
    <row r="186" spans="1:17" ht="15" x14ac:dyDescent="0.15">
      <c r="A186" s="22"/>
      <c r="B186" s="26" t="str">
        <f t="shared" si="8"/>
        <v/>
      </c>
      <c r="C186" s="26" t="str">
        <f t="shared" si="9"/>
        <v/>
      </c>
      <c r="D186" s="26" t="str">
        <f t="shared" si="10"/>
        <v/>
      </c>
      <c r="E186" s="29"/>
      <c r="F186" s="22"/>
      <c r="G186" s="22"/>
      <c r="H186" s="22"/>
      <c r="I186" s="24"/>
      <c r="J186" s="24"/>
      <c r="K186" s="24"/>
      <c r="L186" s="24"/>
      <c r="M186" s="27" t="str">
        <f t="shared" si="11"/>
        <v/>
      </c>
      <c r="N186" s="25"/>
      <c r="O186" s="22"/>
      <c r="P186" s="24"/>
      <c r="Q186" s="26"/>
    </row>
    <row r="187" spans="1:17" ht="15" x14ac:dyDescent="0.15">
      <c r="A187" s="22"/>
      <c r="B187" s="26" t="str">
        <f t="shared" si="8"/>
        <v/>
      </c>
      <c r="C187" s="26" t="str">
        <f t="shared" si="9"/>
        <v/>
      </c>
      <c r="D187" s="26" t="str">
        <f t="shared" si="10"/>
        <v/>
      </c>
      <c r="E187" s="29"/>
      <c r="F187" s="22"/>
      <c r="G187" s="22"/>
      <c r="H187" s="22"/>
      <c r="I187" s="24"/>
      <c r="J187" s="24"/>
      <c r="K187" s="24"/>
      <c r="L187" s="24"/>
      <c r="M187" s="27" t="str">
        <f t="shared" si="11"/>
        <v/>
      </c>
      <c r="N187" s="25"/>
      <c r="O187" s="22"/>
      <c r="P187" s="24"/>
      <c r="Q187" s="26"/>
    </row>
    <row r="188" spans="1:17" ht="15" x14ac:dyDescent="0.15">
      <c r="A188" s="22"/>
      <c r="B188" s="26" t="str">
        <f t="shared" si="8"/>
        <v/>
      </c>
      <c r="C188" s="26" t="str">
        <f t="shared" si="9"/>
        <v/>
      </c>
      <c r="D188" s="26" t="str">
        <f t="shared" si="10"/>
        <v/>
      </c>
      <c r="E188" s="29"/>
      <c r="F188" s="22"/>
      <c r="G188" s="22"/>
      <c r="H188" s="22"/>
      <c r="I188" s="24"/>
      <c r="J188" s="24"/>
      <c r="K188" s="24"/>
      <c r="L188" s="24"/>
      <c r="M188" s="27" t="str">
        <f t="shared" si="11"/>
        <v/>
      </c>
      <c r="N188" s="25"/>
      <c r="O188" s="22"/>
      <c r="P188" s="24"/>
      <c r="Q188" s="26"/>
    </row>
    <row r="189" spans="1:17" ht="15" x14ac:dyDescent="0.15">
      <c r="A189" s="22"/>
      <c r="B189" s="26" t="str">
        <f t="shared" si="8"/>
        <v/>
      </c>
      <c r="C189" s="26" t="str">
        <f t="shared" si="9"/>
        <v/>
      </c>
      <c r="D189" s="26" t="str">
        <f t="shared" si="10"/>
        <v/>
      </c>
      <c r="E189" s="29"/>
      <c r="F189" s="22"/>
      <c r="G189" s="22"/>
      <c r="H189" s="22"/>
      <c r="I189" s="24"/>
      <c r="J189" s="24"/>
      <c r="K189" s="24"/>
      <c r="L189" s="24"/>
      <c r="M189" s="27" t="str">
        <f t="shared" si="11"/>
        <v/>
      </c>
      <c r="N189" s="25"/>
      <c r="O189" s="22"/>
      <c r="P189" s="24"/>
      <c r="Q189" s="26"/>
    </row>
    <row r="190" spans="1:17" ht="15" x14ac:dyDescent="0.15">
      <c r="A190" s="22"/>
      <c r="B190" s="26" t="str">
        <f t="shared" si="8"/>
        <v/>
      </c>
      <c r="C190" s="26" t="str">
        <f t="shared" si="9"/>
        <v/>
      </c>
      <c r="D190" s="26" t="str">
        <f t="shared" si="10"/>
        <v/>
      </c>
      <c r="E190" s="29"/>
      <c r="F190" s="22"/>
      <c r="G190" s="22"/>
      <c r="H190" s="22"/>
      <c r="I190" s="24"/>
      <c r="J190" s="24"/>
      <c r="K190" s="24"/>
      <c r="L190" s="24"/>
      <c r="M190" s="27" t="str">
        <f t="shared" si="11"/>
        <v/>
      </c>
      <c r="N190" s="25"/>
      <c r="O190" s="22"/>
      <c r="P190" s="24"/>
      <c r="Q190" s="26"/>
    </row>
    <row r="191" spans="1:17" ht="15" x14ac:dyDescent="0.15">
      <c r="A191" s="22"/>
      <c r="B191" s="26" t="str">
        <f t="shared" si="8"/>
        <v/>
      </c>
      <c r="C191" s="26" t="str">
        <f t="shared" si="9"/>
        <v/>
      </c>
      <c r="D191" s="26" t="str">
        <f t="shared" si="10"/>
        <v/>
      </c>
      <c r="E191" s="29"/>
      <c r="F191" s="22"/>
      <c r="G191" s="22"/>
      <c r="H191" s="22"/>
      <c r="I191" s="24"/>
      <c r="J191" s="24"/>
      <c r="K191" s="24"/>
      <c r="L191" s="24"/>
      <c r="M191" s="27" t="str">
        <f t="shared" si="11"/>
        <v/>
      </c>
      <c r="N191" s="25"/>
      <c r="O191" s="22"/>
      <c r="P191" s="24"/>
      <c r="Q191" s="26"/>
    </row>
    <row r="192" spans="1:17" ht="15" x14ac:dyDescent="0.15">
      <c r="A192" s="22"/>
      <c r="B192" s="26" t="str">
        <f t="shared" si="8"/>
        <v/>
      </c>
      <c r="C192" s="26" t="str">
        <f t="shared" si="9"/>
        <v/>
      </c>
      <c r="D192" s="26" t="str">
        <f t="shared" si="10"/>
        <v/>
      </c>
      <c r="E192" s="29"/>
      <c r="F192" s="22"/>
      <c r="G192" s="22"/>
      <c r="H192" s="22"/>
      <c r="I192" s="24"/>
      <c r="J192" s="24"/>
      <c r="K192" s="24"/>
      <c r="L192" s="24"/>
      <c r="M192" s="27" t="str">
        <f t="shared" si="11"/>
        <v/>
      </c>
      <c r="N192" s="25"/>
      <c r="O192" s="22"/>
      <c r="P192" s="24"/>
      <c r="Q192" s="26"/>
    </row>
    <row r="193" spans="1:17" ht="15" x14ac:dyDescent="0.15">
      <c r="A193" s="22"/>
      <c r="B193" s="26" t="str">
        <f t="shared" si="8"/>
        <v/>
      </c>
      <c r="C193" s="26" t="str">
        <f t="shared" si="9"/>
        <v/>
      </c>
      <c r="D193" s="26" t="str">
        <f t="shared" si="10"/>
        <v/>
      </c>
      <c r="E193" s="29"/>
      <c r="F193" s="22"/>
      <c r="G193" s="22"/>
      <c r="H193" s="22"/>
      <c r="I193" s="24"/>
      <c r="J193" s="24"/>
      <c r="K193" s="24"/>
      <c r="L193" s="24"/>
      <c r="M193" s="27" t="str">
        <f t="shared" si="11"/>
        <v/>
      </c>
      <c r="N193" s="25"/>
      <c r="O193" s="22"/>
      <c r="P193" s="24"/>
      <c r="Q193" s="26"/>
    </row>
    <row r="194" spans="1:17" ht="15" x14ac:dyDescent="0.15">
      <c r="A194" s="22"/>
      <c r="B194" s="26" t="str">
        <f t="shared" si="8"/>
        <v/>
      </c>
      <c r="C194" s="26" t="str">
        <f t="shared" si="9"/>
        <v/>
      </c>
      <c r="D194" s="26" t="str">
        <f t="shared" si="10"/>
        <v/>
      </c>
      <c r="E194" s="29"/>
      <c r="F194" s="22"/>
      <c r="G194" s="22"/>
      <c r="H194" s="22"/>
      <c r="I194" s="24"/>
      <c r="J194" s="24"/>
      <c r="K194" s="24"/>
      <c r="L194" s="24"/>
      <c r="M194" s="27" t="str">
        <f t="shared" si="11"/>
        <v/>
      </c>
      <c r="N194" s="25"/>
      <c r="O194" s="22"/>
      <c r="P194" s="24"/>
      <c r="Q194" s="26"/>
    </row>
    <row r="195" spans="1:17" ht="15" x14ac:dyDescent="0.15">
      <c r="A195" s="22"/>
      <c r="B195" s="26" t="str">
        <f t="shared" si="8"/>
        <v/>
      </c>
      <c r="C195" s="26" t="str">
        <f t="shared" si="9"/>
        <v/>
      </c>
      <c r="D195" s="26" t="str">
        <f t="shared" si="10"/>
        <v/>
      </c>
      <c r="E195" s="29"/>
      <c r="F195" s="22"/>
      <c r="G195" s="22"/>
      <c r="H195" s="22"/>
      <c r="I195" s="24"/>
      <c r="J195" s="24"/>
      <c r="K195" s="24"/>
      <c r="L195" s="24"/>
      <c r="M195" s="27" t="str">
        <f t="shared" si="11"/>
        <v/>
      </c>
      <c r="N195" s="25"/>
      <c r="O195" s="22"/>
      <c r="P195" s="24"/>
      <c r="Q195" s="26"/>
    </row>
    <row r="196" spans="1:17" ht="15" x14ac:dyDescent="0.15">
      <c r="A196" s="22"/>
      <c r="B196" s="26" t="str">
        <f t="shared" si="8"/>
        <v/>
      </c>
      <c r="C196" s="26" t="str">
        <f t="shared" si="9"/>
        <v/>
      </c>
      <c r="D196" s="26" t="str">
        <f t="shared" si="10"/>
        <v/>
      </c>
      <c r="E196" s="29"/>
      <c r="F196" s="22"/>
      <c r="G196" s="22"/>
      <c r="H196" s="22"/>
      <c r="I196" s="24"/>
      <c r="J196" s="24"/>
      <c r="K196" s="24"/>
      <c r="L196" s="24"/>
      <c r="M196" s="27" t="str">
        <f t="shared" si="11"/>
        <v/>
      </c>
      <c r="N196" s="25"/>
      <c r="O196" s="22"/>
      <c r="P196" s="24"/>
      <c r="Q196" s="26"/>
    </row>
    <row r="197" spans="1:17" ht="15" x14ac:dyDescent="0.15">
      <c r="A197" s="22"/>
      <c r="B197" s="26" t="str">
        <f t="shared" si="8"/>
        <v/>
      </c>
      <c r="C197" s="26" t="str">
        <f t="shared" si="9"/>
        <v/>
      </c>
      <c r="D197" s="26" t="str">
        <f t="shared" si="10"/>
        <v/>
      </c>
      <c r="E197" s="29"/>
      <c r="F197" s="22"/>
      <c r="G197" s="22"/>
      <c r="H197" s="22"/>
      <c r="I197" s="24"/>
      <c r="J197" s="24"/>
      <c r="K197" s="24"/>
      <c r="L197" s="24"/>
      <c r="M197" s="27" t="str">
        <f t="shared" si="11"/>
        <v/>
      </c>
      <c r="N197" s="25"/>
      <c r="O197" s="22"/>
      <c r="P197" s="24"/>
      <c r="Q197" s="26"/>
    </row>
    <row r="198" spans="1:17" ht="15" x14ac:dyDescent="0.15">
      <c r="A198" s="22"/>
      <c r="B198" s="26" t="str">
        <f t="shared" si="8"/>
        <v/>
      </c>
      <c r="C198" s="26" t="str">
        <f t="shared" si="9"/>
        <v/>
      </c>
      <c r="D198" s="26" t="str">
        <f t="shared" si="10"/>
        <v/>
      </c>
      <c r="E198" s="29"/>
      <c r="F198" s="22"/>
      <c r="G198" s="22"/>
      <c r="H198" s="22"/>
      <c r="I198" s="24"/>
      <c r="J198" s="24"/>
      <c r="K198" s="24"/>
      <c r="L198" s="24"/>
      <c r="M198" s="27" t="str">
        <f t="shared" si="11"/>
        <v/>
      </c>
      <c r="N198" s="25"/>
      <c r="O198" s="22"/>
      <c r="P198" s="24"/>
      <c r="Q198" s="26"/>
    </row>
    <row r="199" spans="1:17" ht="15" x14ac:dyDescent="0.15">
      <c r="A199" s="22"/>
      <c r="B199" s="26" t="str">
        <f t="shared" ref="B199:B262" si="12">IFERROR(IF($A199="","",LEFT($A199,FIND(" | ",$A199)-1)),"")</f>
        <v/>
      </c>
      <c r="C199" s="26" t="str">
        <f t="shared" ref="C199:C262" si="13">IFERROR(IF($A199="","",MID($A199,FIND(" | ",$A199)+3,FIND(" | ",$A199,FIND(" | ",$A199)+3)-FIND(" | ",$A199)-3)),"")</f>
        <v/>
      </c>
      <c r="D199" s="26" t="str">
        <f t="shared" ref="D199:D262" si="14">IFERROR(IF($A199="","",RIGHT($A199,LEN($A199)-FIND(" | ",$A199,FIND(" | ",$A199)+3)-2)),"")</f>
        <v/>
      </c>
      <c r="E199" s="29"/>
      <c r="F199" s="22"/>
      <c r="G199" s="22"/>
      <c r="H199" s="22"/>
      <c r="I199" s="24"/>
      <c r="J199" s="24"/>
      <c r="K199" s="24"/>
      <c r="L199" s="24"/>
      <c r="M199" s="27" t="str">
        <f t="shared" ref="M199:M262" si="15">IF($B199="","",SUM($J199,-$K199,$L199))</f>
        <v/>
      </c>
      <c r="N199" s="25"/>
      <c r="O199" s="22"/>
      <c r="P199" s="24"/>
      <c r="Q199" s="26"/>
    </row>
    <row r="200" spans="1:17" ht="15" x14ac:dyDescent="0.15">
      <c r="A200" s="22"/>
      <c r="B200" s="26" t="str">
        <f t="shared" si="12"/>
        <v/>
      </c>
      <c r="C200" s="26" t="str">
        <f t="shared" si="13"/>
        <v/>
      </c>
      <c r="D200" s="26" t="str">
        <f t="shared" si="14"/>
        <v/>
      </c>
      <c r="E200" s="29"/>
      <c r="F200" s="22"/>
      <c r="G200" s="22"/>
      <c r="H200" s="22"/>
      <c r="I200" s="24"/>
      <c r="J200" s="24"/>
      <c r="K200" s="24"/>
      <c r="L200" s="24"/>
      <c r="M200" s="27" t="str">
        <f t="shared" si="15"/>
        <v/>
      </c>
      <c r="N200" s="25"/>
      <c r="O200" s="22"/>
      <c r="P200" s="24"/>
      <c r="Q200" s="26"/>
    </row>
    <row r="201" spans="1:17" ht="15" x14ac:dyDescent="0.15">
      <c r="A201" s="22"/>
      <c r="B201" s="26" t="str">
        <f t="shared" si="12"/>
        <v/>
      </c>
      <c r="C201" s="26" t="str">
        <f t="shared" si="13"/>
        <v/>
      </c>
      <c r="D201" s="26" t="str">
        <f t="shared" si="14"/>
        <v/>
      </c>
      <c r="E201" s="29"/>
      <c r="F201" s="22"/>
      <c r="G201" s="22"/>
      <c r="H201" s="22"/>
      <c r="I201" s="24"/>
      <c r="J201" s="24"/>
      <c r="K201" s="24"/>
      <c r="L201" s="24"/>
      <c r="M201" s="27" t="str">
        <f t="shared" si="15"/>
        <v/>
      </c>
      <c r="N201" s="25"/>
      <c r="O201" s="22"/>
      <c r="P201" s="24"/>
      <c r="Q201" s="26"/>
    </row>
    <row r="202" spans="1:17" ht="15" x14ac:dyDescent="0.15">
      <c r="A202" s="22"/>
      <c r="B202" s="26" t="str">
        <f t="shared" si="12"/>
        <v/>
      </c>
      <c r="C202" s="26" t="str">
        <f t="shared" si="13"/>
        <v/>
      </c>
      <c r="D202" s="26" t="str">
        <f t="shared" si="14"/>
        <v/>
      </c>
      <c r="E202" s="29"/>
      <c r="F202" s="22"/>
      <c r="G202" s="22"/>
      <c r="H202" s="22"/>
      <c r="I202" s="24"/>
      <c r="J202" s="24"/>
      <c r="K202" s="24"/>
      <c r="L202" s="24"/>
      <c r="M202" s="27" t="str">
        <f t="shared" si="15"/>
        <v/>
      </c>
      <c r="N202" s="25"/>
      <c r="O202" s="22"/>
      <c r="P202" s="24"/>
      <c r="Q202" s="26"/>
    </row>
    <row r="203" spans="1:17" ht="15" x14ac:dyDescent="0.15">
      <c r="A203" s="22"/>
      <c r="B203" s="26" t="str">
        <f t="shared" si="12"/>
        <v/>
      </c>
      <c r="C203" s="26" t="str">
        <f t="shared" si="13"/>
        <v/>
      </c>
      <c r="D203" s="26" t="str">
        <f t="shared" si="14"/>
        <v/>
      </c>
      <c r="E203" s="29"/>
      <c r="F203" s="22"/>
      <c r="G203" s="22"/>
      <c r="H203" s="22"/>
      <c r="I203" s="24"/>
      <c r="J203" s="24"/>
      <c r="K203" s="24"/>
      <c r="L203" s="24"/>
      <c r="M203" s="27" t="str">
        <f t="shared" si="15"/>
        <v/>
      </c>
      <c r="N203" s="25"/>
      <c r="O203" s="22"/>
      <c r="P203" s="24"/>
      <c r="Q203" s="26"/>
    </row>
    <row r="204" spans="1:17" ht="15" x14ac:dyDescent="0.15">
      <c r="A204" s="22"/>
      <c r="B204" s="26" t="str">
        <f t="shared" si="12"/>
        <v/>
      </c>
      <c r="C204" s="26" t="str">
        <f t="shared" si="13"/>
        <v/>
      </c>
      <c r="D204" s="26" t="str">
        <f t="shared" si="14"/>
        <v/>
      </c>
      <c r="E204" s="29"/>
      <c r="F204" s="22"/>
      <c r="G204" s="22"/>
      <c r="H204" s="22"/>
      <c r="I204" s="24"/>
      <c r="J204" s="24"/>
      <c r="K204" s="24"/>
      <c r="L204" s="24"/>
      <c r="M204" s="27" t="str">
        <f t="shared" si="15"/>
        <v/>
      </c>
      <c r="N204" s="25"/>
      <c r="O204" s="22"/>
      <c r="P204" s="24"/>
      <c r="Q204" s="26"/>
    </row>
    <row r="205" spans="1:17" ht="15" x14ac:dyDescent="0.15">
      <c r="A205" s="22"/>
      <c r="B205" s="26" t="str">
        <f t="shared" si="12"/>
        <v/>
      </c>
      <c r="C205" s="26" t="str">
        <f t="shared" si="13"/>
        <v/>
      </c>
      <c r="D205" s="26" t="str">
        <f t="shared" si="14"/>
        <v/>
      </c>
      <c r="E205" s="29"/>
      <c r="F205" s="22"/>
      <c r="G205" s="22"/>
      <c r="H205" s="22"/>
      <c r="I205" s="24"/>
      <c r="J205" s="24"/>
      <c r="K205" s="24"/>
      <c r="L205" s="24"/>
      <c r="M205" s="27" t="str">
        <f t="shared" si="15"/>
        <v/>
      </c>
      <c r="N205" s="25"/>
      <c r="O205" s="22"/>
      <c r="P205" s="24"/>
      <c r="Q205" s="26"/>
    </row>
    <row r="206" spans="1:17" ht="15" x14ac:dyDescent="0.15">
      <c r="A206" s="22"/>
      <c r="B206" s="26" t="str">
        <f t="shared" si="12"/>
        <v/>
      </c>
      <c r="C206" s="26" t="str">
        <f t="shared" si="13"/>
        <v/>
      </c>
      <c r="D206" s="26" t="str">
        <f t="shared" si="14"/>
        <v/>
      </c>
      <c r="E206" s="29"/>
      <c r="F206" s="22"/>
      <c r="G206" s="22"/>
      <c r="H206" s="22"/>
      <c r="I206" s="24"/>
      <c r="J206" s="24"/>
      <c r="K206" s="24"/>
      <c r="L206" s="24"/>
      <c r="M206" s="27" t="str">
        <f t="shared" si="15"/>
        <v/>
      </c>
      <c r="N206" s="25"/>
      <c r="O206" s="22"/>
      <c r="P206" s="24"/>
      <c r="Q206" s="26"/>
    </row>
    <row r="207" spans="1:17" ht="15" x14ac:dyDescent="0.15">
      <c r="A207" s="22"/>
      <c r="B207" s="26" t="str">
        <f t="shared" si="12"/>
        <v/>
      </c>
      <c r="C207" s="26" t="str">
        <f t="shared" si="13"/>
        <v/>
      </c>
      <c r="D207" s="26" t="str">
        <f t="shared" si="14"/>
        <v/>
      </c>
      <c r="E207" s="29"/>
      <c r="F207" s="22"/>
      <c r="G207" s="22"/>
      <c r="H207" s="22"/>
      <c r="I207" s="24"/>
      <c r="J207" s="24"/>
      <c r="K207" s="24"/>
      <c r="L207" s="24"/>
      <c r="M207" s="27" t="str">
        <f t="shared" si="15"/>
        <v/>
      </c>
      <c r="N207" s="25"/>
      <c r="O207" s="22"/>
      <c r="P207" s="24"/>
      <c r="Q207" s="26"/>
    </row>
    <row r="208" spans="1:17" ht="15" x14ac:dyDescent="0.15">
      <c r="A208" s="22"/>
      <c r="B208" s="26" t="str">
        <f t="shared" si="12"/>
        <v/>
      </c>
      <c r="C208" s="26" t="str">
        <f t="shared" si="13"/>
        <v/>
      </c>
      <c r="D208" s="26" t="str">
        <f t="shared" si="14"/>
        <v/>
      </c>
      <c r="E208" s="29"/>
      <c r="F208" s="22"/>
      <c r="G208" s="22"/>
      <c r="H208" s="22"/>
      <c r="I208" s="24"/>
      <c r="J208" s="24"/>
      <c r="K208" s="24"/>
      <c r="L208" s="24"/>
      <c r="M208" s="27" t="str">
        <f t="shared" si="15"/>
        <v/>
      </c>
      <c r="N208" s="25"/>
      <c r="O208" s="22"/>
      <c r="P208" s="24"/>
      <c r="Q208" s="26"/>
    </row>
    <row r="209" spans="1:17" ht="15" x14ac:dyDescent="0.15">
      <c r="A209" s="22"/>
      <c r="B209" s="26" t="str">
        <f t="shared" si="12"/>
        <v/>
      </c>
      <c r="C209" s="26" t="str">
        <f t="shared" si="13"/>
        <v/>
      </c>
      <c r="D209" s="26" t="str">
        <f t="shared" si="14"/>
        <v/>
      </c>
      <c r="E209" s="29"/>
      <c r="F209" s="22"/>
      <c r="G209" s="22"/>
      <c r="H209" s="22"/>
      <c r="I209" s="24"/>
      <c r="J209" s="24"/>
      <c r="K209" s="24"/>
      <c r="L209" s="24"/>
      <c r="M209" s="27" t="str">
        <f t="shared" si="15"/>
        <v/>
      </c>
      <c r="N209" s="25"/>
      <c r="O209" s="22"/>
      <c r="P209" s="24"/>
      <c r="Q209" s="26"/>
    </row>
    <row r="210" spans="1:17" ht="15" x14ac:dyDescent="0.15">
      <c r="A210" s="22"/>
      <c r="B210" s="26" t="str">
        <f t="shared" si="12"/>
        <v/>
      </c>
      <c r="C210" s="26" t="str">
        <f t="shared" si="13"/>
        <v/>
      </c>
      <c r="D210" s="26" t="str">
        <f t="shared" si="14"/>
        <v/>
      </c>
      <c r="E210" s="29"/>
      <c r="F210" s="22"/>
      <c r="G210" s="22"/>
      <c r="H210" s="22"/>
      <c r="I210" s="24"/>
      <c r="J210" s="24"/>
      <c r="K210" s="24"/>
      <c r="L210" s="24"/>
      <c r="M210" s="27" t="str">
        <f t="shared" si="15"/>
        <v/>
      </c>
      <c r="N210" s="25"/>
      <c r="O210" s="22"/>
      <c r="P210" s="24"/>
      <c r="Q210" s="26"/>
    </row>
    <row r="211" spans="1:17" ht="15" x14ac:dyDescent="0.15">
      <c r="A211" s="22"/>
      <c r="B211" s="26" t="str">
        <f t="shared" si="12"/>
        <v/>
      </c>
      <c r="C211" s="26" t="str">
        <f t="shared" si="13"/>
        <v/>
      </c>
      <c r="D211" s="26" t="str">
        <f t="shared" si="14"/>
        <v/>
      </c>
      <c r="E211" s="29"/>
      <c r="F211" s="22"/>
      <c r="G211" s="22"/>
      <c r="H211" s="22"/>
      <c r="I211" s="24"/>
      <c r="J211" s="24"/>
      <c r="K211" s="24"/>
      <c r="L211" s="24"/>
      <c r="M211" s="27" t="str">
        <f t="shared" si="15"/>
        <v/>
      </c>
      <c r="N211" s="25"/>
      <c r="O211" s="22"/>
      <c r="P211" s="24"/>
      <c r="Q211" s="26"/>
    </row>
    <row r="212" spans="1:17" ht="15" x14ac:dyDescent="0.15">
      <c r="A212" s="22"/>
      <c r="B212" s="26" t="str">
        <f t="shared" si="12"/>
        <v/>
      </c>
      <c r="C212" s="26" t="str">
        <f t="shared" si="13"/>
        <v/>
      </c>
      <c r="D212" s="26" t="str">
        <f t="shared" si="14"/>
        <v/>
      </c>
      <c r="E212" s="29"/>
      <c r="F212" s="22"/>
      <c r="G212" s="22"/>
      <c r="H212" s="22"/>
      <c r="I212" s="24"/>
      <c r="J212" s="24"/>
      <c r="K212" s="24"/>
      <c r="L212" s="24"/>
      <c r="M212" s="27" t="str">
        <f t="shared" si="15"/>
        <v/>
      </c>
      <c r="N212" s="25"/>
      <c r="O212" s="22"/>
      <c r="P212" s="24"/>
      <c r="Q212" s="26"/>
    </row>
    <row r="213" spans="1:17" ht="15" x14ac:dyDescent="0.15">
      <c r="A213" s="22"/>
      <c r="B213" s="26" t="str">
        <f t="shared" si="12"/>
        <v/>
      </c>
      <c r="C213" s="26" t="str">
        <f t="shared" si="13"/>
        <v/>
      </c>
      <c r="D213" s="26" t="str">
        <f t="shared" si="14"/>
        <v/>
      </c>
      <c r="E213" s="29"/>
      <c r="F213" s="22"/>
      <c r="G213" s="22"/>
      <c r="H213" s="22"/>
      <c r="I213" s="24"/>
      <c r="J213" s="24"/>
      <c r="K213" s="24"/>
      <c r="L213" s="24"/>
      <c r="M213" s="27" t="str">
        <f t="shared" si="15"/>
        <v/>
      </c>
      <c r="N213" s="25"/>
      <c r="O213" s="22"/>
      <c r="P213" s="24"/>
      <c r="Q213" s="26"/>
    </row>
    <row r="214" spans="1:17" ht="15" x14ac:dyDescent="0.15">
      <c r="A214" s="22"/>
      <c r="B214" s="26" t="str">
        <f t="shared" si="12"/>
        <v/>
      </c>
      <c r="C214" s="26" t="str">
        <f t="shared" si="13"/>
        <v/>
      </c>
      <c r="D214" s="26" t="str">
        <f t="shared" si="14"/>
        <v/>
      </c>
      <c r="E214" s="29"/>
      <c r="F214" s="22"/>
      <c r="G214" s="22"/>
      <c r="H214" s="22"/>
      <c r="I214" s="24"/>
      <c r="J214" s="24"/>
      <c r="K214" s="24"/>
      <c r="L214" s="24"/>
      <c r="M214" s="27" t="str">
        <f t="shared" si="15"/>
        <v/>
      </c>
      <c r="N214" s="25"/>
      <c r="O214" s="22"/>
      <c r="P214" s="24"/>
      <c r="Q214" s="26"/>
    </row>
    <row r="215" spans="1:17" ht="15" x14ac:dyDescent="0.15">
      <c r="A215" s="22"/>
      <c r="B215" s="26" t="str">
        <f t="shared" si="12"/>
        <v/>
      </c>
      <c r="C215" s="26" t="str">
        <f t="shared" si="13"/>
        <v/>
      </c>
      <c r="D215" s="26" t="str">
        <f t="shared" si="14"/>
        <v/>
      </c>
      <c r="E215" s="29"/>
      <c r="F215" s="22"/>
      <c r="G215" s="22"/>
      <c r="H215" s="22"/>
      <c r="I215" s="24"/>
      <c r="J215" s="24"/>
      <c r="K215" s="24"/>
      <c r="L215" s="24"/>
      <c r="M215" s="27" t="str">
        <f t="shared" si="15"/>
        <v/>
      </c>
      <c r="N215" s="25"/>
      <c r="O215" s="22"/>
      <c r="P215" s="24"/>
      <c r="Q215" s="26"/>
    </row>
    <row r="216" spans="1:17" ht="15" x14ac:dyDescent="0.15">
      <c r="A216" s="22"/>
      <c r="B216" s="26" t="str">
        <f t="shared" si="12"/>
        <v/>
      </c>
      <c r="C216" s="26" t="str">
        <f t="shared" si="13"/>
        <v/>
      </c>
      <c r="D216" s="26" t="str">
        <f t="shared" si="14"/>
        <v/>
      </c>
      <c r="E216" s="29"/>
      <c r="F216" s="22"/>
      <c r="G216" s="22"/>
      <c r="H216" s="22"/>
      <c r="I216" s="24"/>
      <c r="J216" s="24"/>
      <c r="K216" s="24"/>
      <c r="L216" s="24"/>
      <c r="M216" s="27" t="str">
        <f t="shared" si="15"/>
        <v/>
      </c>
      <c r="N216" s="25"/>
      <c r="O216" s="22"/>
      <c r="P216" s="24"/>
      <c r="Q216" s="26"/>
    </row>
    <row r="217" spans="1:17" ht="15" x14ac:dyDescent="0.15">
      <c r="A217" s="22"/>
      <c r="B217" s="26" t="str">
        <f t="shared" si="12"/>
        <v/>
      </c>
      <c r="C217" s="26" t="str">
        <f t="shared" si="13"/>
        <v/>
      </c>
      <c r="D217" s="26" t="str">
        <f t="shared" si="14"/>
        <v/>
      </c>
      <c r="E217" s="29"/>
      <c r="F217" s="22"/>
      <c r="G217" s="22"/>
      <c r="H217" s="22"/>
      <c r="I217" s="24"/>
      <c r="J217" s="24"/>
      <c r="K217" s="24"/>
      <c r="L217" s="24"/>
      <c r="M217" s="27" t="str">
        <f t="shared" si="15"/>
        <v/>
      </c>
      <c r="N217" s="25"/>
      <c r="O217" s="22"/>
      <c r="P217" s="24"/>
      <c r="Q217" s="26"/>
    </row>
    <row r="218" spans="1:17" ht="15" x14ac:dyDescent="0.15">
      <c r="A218" s="22"/>
      <c r="B218" s="26" t="str">
        <f t="shared" si="12"/>
        <v/>
      </c>
      <c r="C218" s="26" t="str">
        <f t="shared" si="13"/>
        <v/>
      </c>
      <c r="D218" s="26" t="str">
        <f t="shared" si="14"/>
        <v/>
      </c>
      <c r="E218" s="29"/>
      <c r="F218" s="22"/>
      <c r="G218" s="22"/>
      <c r="H218" s="22"/>
      <c r="I218" s="24"/>
      <c r="J218" s="24"/>
      <c r="K218" s="24"/>
      <c r="L218" s="24"/>
      <c r="M218" s="27" t="str">
        <f t="shared" si="15"/>
        <v/>
      </c>
      <c r="N218" s="25"/>
      <c r="O218" s="22"/>
      <c r="P218" s="24"/>
      <c r="Q218" s="26"/>
    </row>
    <row r="219" spans="1:17" ht="15" x14ac:dyDescent="0.15">
      <c r="A219" s="22"/>
      <c r="B219" s="26" t="str">
        <f t="shared" si="12"/>
        <v/>
      </c>
      <c r="C219" s="26" t="str">
        <f t="shared" si="13"/>
        <v/>
      </c>
      <c r="D219" s="26" t="str">
        <f t="shared" si="14"/>
        <v/>
      </c>
      <c r="E219" s="29"/>
      <c r="F219" s="22"/>
      <c r="G219" s="22"/>
      <c r="H219" s="22"/>
      <c r="I219" s="24"/>
      <c r="J219" s="24"/>
      <c r="K219" s="24"/>
      <c r="L219" s="24"/>
      <c r="M219" s="27" t="str">
        <f t="shared" si="15"/>
        <v/>
      </c>
      <c r="N219" s="25"/>
      <c r="O219" s="22"/>
      <c r="P219" s="24"/>
      <c r="Q219" s="26"/>
    </row>
    <row r="220" spans="1:17" ht="15" x14ac:dyDescent="0.15">
      <c r="A220" s="22"/>
      <c r="B220" s="26" t="str">
        <f t="shared" si="12"/>
        <v/>
      </c>
      <c r="C220" s="26" t="str">
        <f t="shared" si="13"/>
        <v/>
      </c>
      <c r="D220" s="26" t="str">
        <f t="shared" si="14"/>
        <v/>
      </c>
      <c r="E220" s="29"/>
      <c r="F220" s="22"/>
      <c r="G220" s="22"/>
      <c r="H220" s="22"/>
      <c r="I220" s="24"/>
      <c r="J220" s="24"/>
      <c r="K220" s="24"/>
      <c r="L220" s="24"/>
      <c r="M220" s="27" t="str">
        <f t="shared" si="15"/>
        <v/>
      </c>
      <c r="N220" s="25"/>
      <c r="O220" s="22"/>
      <c r="P220" s="24"/>
      <c r="Q220" s="26"/>
    </row>
    <row r="221" spans="1:17" ht="15" x14ac:dyDescent="0.15">
      <c r="A221" s="22"/>
      <c r="B221" s="26" t="str">
        <f t="shared" si="12"/>
        <v/>
      </c>
      <c r="C221" s="26" t="str">
        <f t="shared" si="13"/>
        <v/>
      </c>
      <c r="D221" s="26" t="str">
        <f t="shared" si="14"/>
        <v/>
      </c>
      <c r="E221" s="29"/>
      <c r="F221" s="22"/>
      <c r="G221" s="22"/>
      <c r="H221" s="22"/>
      <c r="I221" s="24"/>
      <c r="J221" s="24"/>
      <c r="K221" s="24"/>
      <c r="L221" s="24"/>
      <c r="M221" s="27" t="str">
        <f t="shared" si="15"/>
        <v/>
      </c>
      <c r="N221" s="25"/>
      <c r="O221" s="22"/>
      <c r="P221" s="24"/>
      <c r="Q221" s="26"/>
    </row>
    <row r="222" spans="1:17" ht="15" x14ac:dyDescent="0.15">
      <c r="A222" s="22"/>
      <c r="B222" s="26" t="str">
        <f t="shared" si="12"/>
        <v/>
      </c>
      <c r="C222" s="26" t="str">
        <f t="shared" si="13"/>
        <v/>
      </c>
      <c r="D222" s="26" t="str">
        <f t="shared" si="14"/>
        <v/>
      </c>
      <c r="E222" s="29"/>
      <c r="F222" s="22"/>
      <c r="G222" s="22"/>
      <c r="H222" s="22"/>
      <c r="I222" s="24"/>
      <c r="J222" s="24"/>
      <c r="K222" s="24"/>
      <c r="L222" s="24"/>
      <c r="M222" s="27" t="str">
        <f t="shared" si="15"/>
        <v/>
      </c>
      <c r="N222" s="25"/>
      <c r="O222" s="22"/>
      <c r="P222" s="24"/>
      <c r="Q222" s="26"/>
    </row>
    <row r="223" spans="1:17" ht="15" x14ac:dyDescent="0.15">
      <c r="A223" s="22"/>
      <c r="B223" s="26" t="str">
        <f t="shared" si="12"/>
        <v/>
      </c>
      <c r="C223" s="26" t="str">
        <f t="shared" si="13"/>
        <v/>
      </c>
      <c r="D223" s="26" t="str">
        <f t="shared" si="14"/>
        <v/>
      </c>
      <c r="E223" s="29"/>
      <c r="F223" s="22"/>
      <c r="G223" s="22"/>
      <c r="H223" s="22"/>
      <c r="I223" s="24"/>
      <c r="J223" s="24"/>
      <c r="K223" s="24"/>
      <c r="L223" s="24"/>
      <c r="M223" s="27" t="str">
        <f t="shared" si="15"/>
        <v/>
      </c>
      <c r="N223" s="25"/>
      <c r="O223" s="22"/>
      <c r="P223" s="24"/>
      <c r="Q223" s="26"/>
    </row>
    <row r="224" spans="1:17" ht="15" x14ac:dyDescent="0.15">
      <c r="A224" s="22"/>
      <c r="B224" s="26" t="str">
        <f t="shared" si="12"/>
        <v/>
      </c>
      <c r="C224" s="26" t="str">
        <f t="shared" si="13"/>
        <v/>
      </c>
      <c r="D224" s="26" t="str">
        <f t="shared" si="14"/>
        <v/>
      </c>
      <c r="E224" s="29"/>
      <c r="F224" s="22"/>
      <c r="G224" s="22"/>
      <c r="H224" s="22"/>
      <c r="I224" s="24"/>
      <c r="J224" s="24"/>
      <c r="K224" s="24"/>
      <c r="L224" s="24"/>
      <c r="M224" s="27" t="str">
        <f t="shared" si="15"/>
        <v/>
      </c>
      <c r="N224" s="25"/>
      <c r="O224" s="22"/>
      <c r="P224" s="24"/>
      <c r="Q224" s="26"/>
    </row>
    <row r="225" spans="1:17" ht="15" x14ac:dyDescent="0.15">
      <c r="A225" s="22"/>
      <c r="B225" s="26" t="str">
        <f t="shared" si="12"/>
        <v/>
      </c>
      <c r="C225" s="26" t="str">
        <f t="shared" si="13"/>
        <v/>
      </c>
      <c r="D225" s="26" t="str">
        <f t="shared" si="14"/>
        <v/>
      </c>
      <c r="E225" s="29"/>
      <c r="F225" s="22"/>
      <c r="G225" s="22"/>
      <c r="H225" s="22"/>
      <c r="I225" s="24"/>
      <c r="J225" s="24"/>
      <c r="K225" s="24"/>
      <c r="L225" s="24"/>
      <c r="M225" s="27" t="str">
        <f t="shared" si="15"/>
        <v/>
      </c>
      <c r="N225" s="25"/>
      <c r="O225" s="22"/>
      <c r="P225" s="24"/>
      <c r="Q225" s="26"/>
    </row>
    <row r="226" spans="1:17" ht="15" x14ac:dyDescent="0.15">
      <c r="A226" s="22"/>
      <c r="B226" s="26" t="str">
        <f t="shared" si="12"/>
        <v/>
      </c>
      <c r="C226" s="26" t="str">
        <f t="shared" si="13"/>
        <v/>
      </c>
      <c r="D226" s="26" t="str">
        <f t="shared" si="14"/>
        <v/>
      </c>
      <c r="E226" s="29"/>
      <c r="F226" s="22"/>
      <c r="G226" s="22"/>
      <c r="H226" s="22"/>
      <c r="I226" s="24"/>
      <c r="J226" s="24"/>
      <c r="K226" s="24"/>
      <c r="L226" s="24"/>
      <c r="M226" s="27" t="str">
        <f t="shared" si="15"/>
        <v/>
      </c>
      <c r="N226" s="25"/>
      <c r="O226" s="22"/>
      <c r="P226" s="24"/>
      <c r="Q226" s="26"/>
    </row>
    <row r="227" spans="1:17" ht="15" x14ac:dyDescent="0.15">
      <c r="A227" s="22"/>
      <c r="B227" s="26" t="str">
        <f t="shared" si="12"/>
        <v/>
      </c>
      <c r="C227" s="26" t="str">
        <f t="shared" si="13"/>
        <v/>
      </c>
      <c r="D227" s="26" t="str">
        <f t="shared" si="14"/>
        <v/>
      </c>
      <c r="E227" s="29"/>
      <c r="F227" s="22"/>
      <c r="G227" s="22"/>
      <c r="H227" s="22"/>
      <c r="I227" s="24"/>
      <c r="J227" s="24"/>
      <c r="K227" s="24"/>
      <c r="L227" s="24"/>
      <c r="M227" s="27" t="str">
        <f t="shared" si="15"/>
        <v/>
      </c>
      <c r="N227" s="25"/>
      <c r="O227" s="22"/>
      <c r="P227" s="24"/>
      <c r="Q227" s="26"/>
    </row>
    <row r="228" spans="1:17" ht="15" x14ac:dyDescent="0.15">
      <c r="A228" s="22"/>
      <c r="B228" s="26" t="str">
        <f t="shared" si="12"/>
        <v/>
      </c>
      <c r="C228" s="26" t="str">
        <f t="shared" si="13"/>
        <v/>
      </c>
      <c r="D228" s="26" t="str">
        <f t="shared" si="14"/>
        <v/>
      </c>
      <c r="E228" s="29"/>
      <c r="F228" s="22"/>
      <c r="G228" s="22"/>
      <c r="H228" s="22"/>
      <c r="I228" s="24"/>
      <c r="J228" s="24"/>
      <c r="K228" s="24"/>
      <c r="L228" s="24"/>
      <c r="M228" s="27" t="str">
        <f t="shared" si="15"/>
        <v/>
      </c>
      <c r="N228" s="25"/>
      <c r="O228" s="22"/>
      <c r="P228" s="24"/>
      <c r="Q228" s="26"/>
    </row>
    <row r="229" spans="1:17" ht="15" x14ac:dyDescent="0.15">
      <c r="A229" s="22"/>
      <c r="B229" s="26" t="str">
        <f t="shared" si="12"/>
        <v/>
      </c>
      <c r="C229" s="26" t="str">
        <f t="shared" si="13"/>
        <v/>
      </c>
      <c r="D229" s="26" t="str">
        <f t="shared" si="14"/>
        <v/>
      </c>
      <c r="E229" s="29"/>
      <c r="F229" s="22"/>
      <c r="G229" s="22"/>
      <c r="H229" s="22"/>
      <c r="I229" s="24"/>
      <c r="J229" s="24"/>
      <c r="K229" s="24"/>
      <c r="L229" s="24"/>
      <c r="M229" s="27" t="str">
        <f t="shared" si="15"/>
        <v/>
      </c>
      <c r="N229" s="25"/>
      <c r="O229" s="22"/>
      <c r="P229" s="24"/>
      <c r="Q229" s="26"/>
    </row>
    <row r="230" spans="1:17" ht="15" x14ac:dyDescent="0.15">
      <c r="A230" s="22"/>
      <c r="B230" s="26" t="str">
        <f t="shared" si="12"/>
        <v/>
      </c>
      <c r="C230" s="26" t="str">
        <f t="shared" si="13"/>
        <v/>
      </c>
      <c r="D230" s="26" t="str">
        <f t="shared" si="14"/>
        <v/>
      </c>
      <c r="E230" s="29"/>
      <c r="F230" s="22"/>
      <c r="G230" s="22"/>
      <c r="H230" s="22"/>
      <c r="I230" s="24"/>
      <c r="J230" s="24"/>
      <c r="K230" s="24"/>
      <c r="L230" s="24"/>
      <c r="M230" s="27" t="str">
        <f t="shared" si="15"/>
        <v/>
      </c>
      <c r="N230" s="25"/>
      <c r="O230" s="22"/>
      <c r="P230" s="24"/>
      <c r="Q230" s="26"/>
    </row>
    <row r="231" spans="1:17" ht="15" x14ac:dyDescent="0.15">
      <c r="A231" s="22"/>
      <c r="B231" s="26" t="str">
        <f t="shared" si="12"/>
        <v/>
      </c>
      <c r="C231" s="26" t="str">
        <f t="shared" si="13"/>
        <v/>
      </c>
      <c r="D231" s="26" t="str">
        <f t="shared" si="14"/>
        <v/>
      </c>
      <c r="E231" s="29"/>
      <c r="F231" s="22"/>
      <c r="G231" s="22"/>
      <c r="H231" s="22"/>
      <c r="I231" s="24"/>
      <c r="J231" s="24"/>
      <c r="K231" s="24"/>
      <c r="L231" s="24"/>
      <c r="M231" s="27" t="str">
        <f t="shared" si="15"/>
        <v/>
      </c>
      <c r="N231" s="25"/>
      <c r="O231" s="22"/>
      <c r="P231" s="24"/>
      <c r="Q231" s="26"/>
    </row>
    <row r="232" spans="1:17" ht="15" x14ac:dyDescent="0.15">
      <c r="A232" s="22"/>
      <c r="B232" s="26" t="str">
        <f t="shared" si="12"/>
        <v/>
      </c>
      <c r="C232" s="26" t="str">
        <f t="shared" si="13"/>
        <v/>
      </c>
      <c r="D232" s="26" t="str">
        <f t="shared" si="14"/>
        <v/>
      </c>
      <c r="E232" s="29"/>
      <c r="F232" s="22"/>
      <c r="G232" s="22"/>
      <c r="H232" s="22"/>
      <c r="I232" s="24"/>
      <c r="J232" s="24"/>
      <c r="K232" s="24"/>
      <c r="L232" s="24"/>
      <c r="M232" s="27" t="str">
        <f t="shared" si="15"/>
        <v/>
      </c>
      <c r="N232" s="25"/>
      <c r="O232" s="22"/>
      <c r="P232" s="24"/>
      <c r="Q232" s="26"/>
    </row>
    <row r="233" spans="1:17" ht="15" x14ac:dyDescent="0.15">
      <c r="A233" s="22"/>
      <c r="B233" s="26" t="str">
        <f t="shared" si="12"/>
        <v/>
      </c>
      <c r="C233" s="26" t="str">
        <f t="shared" si="13"/>
        <v/>
      </c>
      <c r="D233" s="26" t="str">
        <f t="shared" si="14"/>
        <v/>
      </c>
      <c r="E233" s="29"/>
      <c r="F233" s="22"/>
      <c r="G233" s="22"/>
      <c r="H233" s="22"/>
      <c r="I233" s="24"/>
      <c r="J233" s="24"/>
      <c r="K233" s="24"/>
      <c r="L233" s="24"/>
      <c r="M233" s="27" t="str">
        <f t="shared" si="15"/>
        <v/>
      </c>
      <c r="N233" s="25"/>
      <c r="O233" s="22"/>
      <c r="P233" s="24"/>
      <c r="Q233" s="26"/>
    </row>
    <row r="234" spans="1:17" ht="15" x14ac:dyDescent="0.15">
      <c r="A234" s="22"/>
      <c r="B234" s="26" t="str">
        <f t="shared" si="12"/>
        <v/>
      </c>
      <c r="C234" s="26" t="str">
        <f t="shared" si="13"/>
        <v/>
      </c>
      <c r="D234" s="26" t="str">
        <f t="shared" si="14"/>
        <v/>
      </c>
      <c r="E234" s="29"/>
      <c r="F234" s="22"/>
      <c r="G234" s="22"/>
      <c r="H234" s="22"/>
      <c r="I234" s="24"/>
      <c r="J234" s="24"/>
      <c r="K234" s="24"/>
      <c r="L234" s="24"/>
      <c r="M234" s="27" t="str">
        <f t="shared" si="15"/>
        <v/>
      </c>
      <c r="N234" s="25"/>
      <c r="O234" s="22"/>
      <c r="P234" s="24"/>
      <c r="Q234" s="26"/>
    </row>
    <row r="235" spans="1:17" ht="15" x14ac:dyDescent="0.15">
      <c r="A235" s="22"/>
      <c r="B235" s="26" t="str">
        <f t="shared" si="12"/>
        <v/>
      </c>
      <c r="C235" s="26" t="str">
        <f t="shared" si="13"/>
        <v/>
      </c>
      <c r="D235" s="26" t="str">
        <f t="shared" si="14"/>
        <v/>
      </c>
      <c r="E235" s="29"/>
      <c r="F235" s="22"/>
      <c r="G235" s="22"/>
      <c r="H235" s="22"/>
      <c r="I235" s="24"/>
      <c r="J235" s="24"/>
      <c r="K235" s="24"/>
      <c r="L235" s="24"/>
      <c r="M235" s="27" t="str">
        <f t="shared" si="15"/>
        <v/>
      </c>
      <c r="N235" s="25"/>
      <c r="O235" s="22"/>
      <c r="P235" s="24"/>
      <c r="Q235" s="26"/>
    </row>
    <row r="236" spans="1:17" ht="15" x14ac:dyDescent="0.15">
      <c r="A236" s="22"/>
      <c r="B236" s="26" t="str">
        <f t="shared" si="12"/>
        <v/>
      </c>
      <c r="C236" s="26" t="str">
        <f t="shared" si="13"/>
        <v/>
      </c>
      <c r="D236" s="26" t="str">
        <f t="shared" si="14"/>
        <v/>
      </c>
      <c r="E236" s="29"/>
      <c r="F236" s="22"/>
      <c r="G236" s="22"/>
      <c r="H236" s="22"/>
      <c r="I236" s="24"/>
      <c r="J236" s="24"/>
      <c r="K236" s="24"/>
      <c r="L236" s="24"/>
      <c r="M236" s="27" t="str">
        <f t="shared" si="15"/>
        <v/>
      </c>
      <c r="N236" s="25"/>
      <c r="O236" s="22"/>
      <c r="P236" s="24"/>
      <c r="Q236" s="26"/>
    </row>
    <row r="237" spans="1:17" ht="15" x14ac:dyDescent="0.15">
      <c r="A237" s="22"/>
      <c r="B237" s="26" t="str">
        <f t="shared" si="12"/>
        <v/>
      </c>
      <c r="C237" s="26" t="str">
        <f t="shared" si="13"/>
        <v/>
      </c>
      <c r="D237" s="26" t="str">
        <f t="shared" si="14"/>
        <v/>
      </c>
      <c r="E237" s="29"/>
      <c r="F237" s="22"/>
      <c r="G237" s="22"/>
      <c r="H237" s="22"/>
      <c r="I237" s="24"/>
      <c r="J237" s="24"/>
      <c r="K237" s="24"/>
      <c r="L237" s="24"/>
      <c r="M237" s="27" t="str">
        <f t="shared" si="15"/>
        <v/>
      </c>
      <c r="N237" s="25"/>
      <c r="O237" s="22"/>
      <c r="P237" s="24"/>
      <c r="Q237" s="26"/>
    </row>
    <row r="238" spans="1:17" ht="15" x14ac:dyDescent="0.15">
      <c r="A238" s="22"/>
      <c r="B238" s="26" t="str">
        <f t="shared" si="12"/>
        <v/>
      </c>
      <c r="C238" s="26" t="str">
        <f t="shared" si="13"/>
        <v/>
      </c>
      <c r="D238" s="26" t="str">
        <f t="shared" si="14"/>
        <v/>
      </c>
      <c r="E238" s="29"/>
      <c r="F238" s="22"/>
      <c r="G238" s="22"/>
      <c r="H238" s="22"/>
      <c r="I238" s="24"/>
      <c r="J238" s="24"/>
      <c r="K238" s="24"/>
      <c r="L238" s="24"/>
      <c r="M238" s="27" t="str">
        <f t="shared" si="15"/>
        <v/>
      </c>
      <c r="N238" s="25"/>
      <c r="O238" s="22"/>
      <c r="P238" s="24"/>
      <c r="Q238" s="26"/>
    </row>
    <row r="239" spans="1:17" ht="15" x14ac:dyDescent="0.15">
      <c r="A239" s="22"/>
      <c r="B239" s="26" t="str">
        <f t="shared" si="12"/>
        <v/>
      </c>
      <c r="C239" s="26" t="str">
        <f t="shared" si="13"/>
        <v/>
      </c>
      <c r="D239" s="26" t="str">
        <f t="shared" si="14"/>
        <v/>
      </c>
      <c r="E239" s="29"/>
      <c r="F239" s="22"/>
      <c r="G239" s="22"/>
      <c r="H239" s="22"/>
      <c r="I239" s="24"/>
      <c r="J239" s="24"/>
      <c r="K239" s="24"/>
      <c r="L239" s="24"/>
      <c r="M239" s="27" t="str">
        <f t="shared" si="15"/>
        <v/>
      </c>
      <c r="N239" s="25"/>
      <c r="O239" s="22"/>
      <c r="P239" s="24"/>
      <c r="Q239" s="26"/>
    </row>
    <row r="240" spans="1:17" ht="15" x14ac:dyDescent="0.15">
      <c r="A240" s="22"/>
      <c r="B240" s="26" t="str">
        <f t="shared" si="12"/>
        <v/>
      </c>
      <c r="C240" s="26" t="str">
        <f t="shared" si="13"/>
        <v/>
      </c>
      <c r="D240" s="26" t="str">
        <f t="shared" si="14"/>
        <v/>
      </c>
      <c r="E240" s="29"/>
      <c r="F240" s="22"/>
      <c r="G240" s="22"/>
      <c r="H240" s="22"/>
      <c r="I240" s="24"/>
      <c r="J240" s="24"/>
      <c r="K240" s="24"/>
      <c r="L240" s="24"/>
      <c r="M240" s="27" t="str">
        <f t="shared" si="15"/>
        <v/>
      </c>
      <c r="N240" s="25"/>
      <c r="O240" s="22"/>
      <c r="P240" s="24"/>
      <c r="Q240" s="26"/>
    </row>
    <row r="241" spans="1:17" ht="15" x14ac:dyDescent="0.15">
      <c r="A241" s="22"/>
      <c r="B241" s="26" t="str">
        <f t="shared" si="12"/>
        <v/>
      </c>
      <c r="C241" s="26" t="str">
        <f t="shared" si="13"/>
        <v/>
      </c>
      <c r="D241" s="26" t="str">
        <f t="shared" si="14"/>
        <v/>
      </c>
      <c r="E241" s="29"/>
      <c r="F241" s="22"/>
      <c r="G241" s="22"/>
      <c r="H241" s="22"/>
      <c r="I241" s="24"/>
      <c r="J241" s="24"/>
      <c r="K241" s="24"/>
      <c r="L241" s="24"/>
      <c r="M241" s="27" t="str">
        <f t="shared" si="15"/>
        <v/>
      </c>
      <c r="N241" s="25"/>
      <c r="O241" s="22"/>
      <c r="P241" s="24"/>
      <c r="Q241" s="26"/>
    </row>
    <row r="242" spans="1:17" ht="15" x14ac:dyDescent="0.15">
      <c r="A242" s="22"/>
      <c r="B242" s="26" t="str">
        <f t="shared" si="12"/>
        <v/>
      </c>
      <c r="C242" s="26" t="str">
        <f t="shared" si="13"/>
        <v/>
      </c>
      <c r="D242" s="26" t="str">
        <f t="shared" si="14"/>
        <v/>
      </c>
      <c r="E242" s="29"/>
      <c r="F242" s="22"/>
      <c r="G242" s="22"/>
      <c r="H242" s="22"/>
      <c r="I242" s="24"/>
      <c r="J242" s="24"/>
      <c r="K242" s="24"/>
      <c r="L242" s="24"/>
      <c r="M242" s="27" t="str">
        <f t="shared" si="15"/>
        <v/>
      </c>
      <c r="N242" s="25"/>
      <c r="O242" s="22"/>
      <c r="P242" s="24"/>
      <c r="Q242" s="26"/>
    </row>
    <row r="243" spans="1:17" ht="15" x14ac:dyDescent="0.15">
      <c r="A243" s="22"/>
      <c r="B243" s="26" t="str">
        <f t="shared" si="12"/>
        <v/>
      </c>
      <c r="C243" s="26" t="str">
        <f t="shared" si="13"/>
        <v/>
      </c>
      <c r="D243" s="26" t="str">
        <f t="shared" si="14"/>
        <v/>
      </c>
      <c r="E243" s="29"/>
      <c r="F243" s="22"/>
      <c r="G243" s="22"/>
      <c r="H243" s="22"/>
      <c r="I243" s="24"/>
      <c r="J243" s="24"/>
      <c r="K243" s="24"/>
      <c r="L243" s="24"/>
      <c r="M243" s="27" t="str">
        <f t="shared" si="15"/>
        <v/>
      </c>
      <c r="N243" s="25"/>
      <c r="O243" s="22"/>
      <c r="P243" s="24"/>
      <c r="Q243" s="26"/>
    </row>
    <row r="244" spans="1:17" ht="15" x14ac:dyDescent="0.15">
      <c r="A244" s="22"/>
      <c r="B244" s="26" t="str">
        <f t="shared" si="12"/>
        <v/>
      </c>
      <c r="C244" s="26" t="str">
        <f t="shared" si="13"/>
        <v/>
      </c>
      <c r="D244" s="26" t="str">
        <f t="shared" si="14"/>
        <v/>
      </c>
      <c r="E244" s="29"/>
      <c r="F244" s="22"/>
      <c r="G244" s="22"/>
      <c r="H244" s="22"/>
      <c r="I244" s="24"/>
      <c r="J244" s="24"/>
      <c r="K244" s="24"/>
      <c r="L244" s="24"/>
      <c r="M244" s="27" t="str">
        <f t="shared" si="15"/>
        <v/>
      </c>
      <c r="N244" s="25"/>
      <c r="O244" s="22"/>
      <c r="P244" s="24"/>
      <c r="Q244" s="26"/>
    </row>
    <row r="245" spans="1:17" ht="15" x14ac:dyDescent="0.15">
      <c r="A245" s="22"/>
      <c r="B245" s="26" t="str">
        <f t="shared" si="12"/>
        <v/>
      </c>
      <c r="C245" s="26" t="str">
        <f t="shared" si="13"/>
        <v/>
      </c>
      <c r="D245" s="26" t="str">
        <f t="shared" si="14"/>
        <v/>
      </c>
      <c r="E245" s="29"/>
      <c r="F245" s="22"/>
      <c r="G245" s="22"/>
      <c r="H245" s="22"/>
      <c r="I245" s="24"/>
      <c r="J245" s="24"/>
      <c r="K245" s="24"/>
      <c r="L245" s="24"/>
      <c r="M245" s="27" t="str">
        <f t="shared" si="15"/>
        <v/>
      </c>
      <c r="N245" s="25"/>
      <c r="O245" s="22"/>
      <c r="P245" s="24"/>
      <c r="Q245" s="26"/>
    </row>
    <row r="246" spans="1:17" ht="15" x14ac:dyDescent="0.15">
      <c r="A246" s="22"/>
      <c r="B246" s="26" t="str">
        <f t="shared" si="12"/>
        <v/>
      </c>
      <c r="C246" s="26" t="str">
        <f t="shared" si="13"/>
        <v/>
      </c>
      <c r="D246" s="26" t="str">
        <f t="shared" si="14"/>
        <v/>
      </c>
      <c r="E246" s="29"/>
      <c r="F246" s="22"/>
      <c r="G246" s="22"/>
      <c r="H246" s="22"/>
      <c r="I246" s="24"/>
      <c r="J246" s="24"/>
      <c r="K246" s="24"/>
      <c r="L246" s="24"/>
      <c r="M246" s="27" t="str">
        <f t="shared" si="15"/>
        <v/>
      </c>
      <c r="N246" s="25"/>
      <c r="O246" s="22"/>
      <c r="P246" s="24"/>
      <c r="Q246" s="26"/>
    </row>
    <row r="247" spans="1:17" ht="15" x14ac:dyDescent="0.15">
      <c r="A247" s="22"/>
      <c r="B247" s="26" t="str">
        <f t="shared" si="12"/>
        <v/>
      </c>
      <c r="C247" s="26" t="str">
        <f t="shared" si="13"/>
        <v/>
      </c>
      <c r="D247" s="26" t="str">
        <f t="shared" si="14"/>
        <v/>
      </c>
      <c r="E247" s="29"/>
      <c r="F247" s="22"/>
      <c r="G247" s="22"/>
      <c r="H247" s="22"/>
      <c r="I247" s="24"/>
      <c r="J247" s="24"/>
      <c r="K247" s="24"/>
      <c r="L247" s="24"/>
      <c r="M247" s="27" t="str">
        <f t="shared" si="15"/>
        <v/>
      </c>
      <c r="N247" s="25"/>
      <c r="O247" s="22"/>
      <c r="P247" s="24"/>
      <c r="Q247" s="26"/>
    </row>
    <row r="248" spans="1:17" ht="15" x14ac:dyDescent="0.15">
      <c r="A248" s="22"/>
      <c r="B248" s="26" t="str">
        <f t="shared" si="12"/>
        <v/>
      </c>
      <c r="C248" s="26" t="str">
        <f t="shared" si="13"/>
        <v/>
      </c>
      <c r="D248" s="26" t="str">
        <f t="shared" si="14"/>
        <v/>
      </c>
      <c r="E248" s="29"/>
      <c r="F248" s="22"/>
      <c r="G248" s="22"/>
      <c r="H248" s="22"/>
      <c r="I248" s="24"/>
      <c r="J248" s="24"/>
      <c r="K248" s="24"/>
      <c r="L248" s="24"/>
      <c r="M248" s="27" t="str">
        <f t="shared" si="15"/>
        <v/>
      </c>
      <c r="N248" s="25"/>
      <c r="O248" s="22"/>
      <c r="P248" s="24"/>
      <c r="Q248" s="26"/>
    </row>
    <row r="249" spans="1:17" ht="15" x14ac:dyDescent="0.15">
      <c r="A249" s="22"/>
      <c r="B249" s="26" t="str">
        <f t="shared" si="12"/>
        <v/>
      </c>
      <c r="C249" s="26" t="str">
        <f t="shared" si="13"/>
        <v/>
      </c>
      <c r="D249" s="26" t="str">
        <f t="shared" si="14"/>
        <v/>
      </c>
      <c r="E249" s="29"/>
      <c r="F249" s="22"/>
      <c r="G249" s="22"/>
      <c r="H249" s="22"/>
      <c r="I249" s="24"/>
      <c r="J249" s="24"/>
      <c r="K249" s="24"/>
      <c r="L249" s="24"/>
      <c r="M249" s="27" t="str">
        <f t="shared" si="15"/>
        <v/>
      </c>
      <c r="N249" s="25"/>
      <c r="O249" s="22"/>
      <c r="P249" s="24"/>
      <c r="Q249" s="26"/>
    </row>
    <row r="250" spans="1:17" ht="15" x14ac:dyDescent="0.15">
      <c r="A250" s="22"/>
      <c r="B250" s="26" t="str">
        <f t="shared" si="12"/>
        <v/>
      </c>
      <c r="C250" s="26" t="str">
        <f t="shared" si="13"/>
        <v/>
      </c>
      <c r="D250" s="26" t="str">
        <f t="shared" si="14"/>
        <v/>
      </c>
      <c r="E250" s="29"/>
      <c r="F250" s="22"/>
      <c r="G250" s="22"/>
      <c r="H250" s="22"/>
      <c r="I250" s="24"/>
      <c r="J250" s="24"/>
      <c r="K250" s="24"/>
      <c r="L250" s="24"/>
      <c r="M250" s="27" t="str">
        <f t="shared" si="15"/>
        <v/>
      </c>
      <c r="N250" s="25"/>
      <c r="O250" s="22"/>
      <c r="P250" s="24"/>
      <c r="Q250" s="26"/>
    </row>
    <row r="251" spans="1:17" ht="15" x14ac:dyDescent="0.15">
      <c r="A251" s="22"/>
      <c r="B251" s="26" t="str">
        <f t="shared" si="12"/>
        <v/>
      </c>
      <c r="C251" s="26" t="str">
        <f t="shared" si="13"/>
        <v/>
      </c>
      <c r="D251" s="26" t="str">
        <f t="shared" si="14"/>
        <v/>
      </c>
      <c r="E251" s="29"/>
      <c r="F251" s="22"/>
      <c r="G251" s="22"/>
      <c r="H251" s="22"/>
      <c r="I251" s="24"/>
      <c r="J251" s="24"/>
      <c r="K251" s="24"/>
      <c r="L251" s="24"/>
      <c r="M251" s="27" t="str">
        <f t="shared" si="15"/>
        <v/>
      </c>
      <c r="N251" s="25"/>
      <c r="O251" s="22"/>
      <c r="P251" s="24"/>
      <c r="Q251" s="26"/>
    </row>
    <row r="252" spans="1:17" ht="15" x14ac:dyDescent="0.15">
      <c r="A252" s="22"/>
      <c r="B252" s="26" t="str">
        <f t="shared" si="12"/>
        <v/>
      </c>
      <c r="C252" s="26" t="str">
        <f t="shared" si="13"/>
        <v/>
      </c>
      <c r="D252" s="26" t="str">
        <f t="shared" si="14"/>
        <v/>
      </c>
      <c r="E252" s="29"/>
      <c r="F252" s="22"/>
      <c r="G252" s="22"/>
      <c r="H252" s="22"/>
      <c r="I252" s="24"/>
      <c r="J252" s="24"/>
      <c r="K252" s="24"/>
      <c r="L252" s="24"/>
      <c r="M252" s="27" t="str">
        <f t="shared" si="15"/>
        <v/>
      </c>
      <c r="N252" s="25"/>
      <c r="O252" s="22"/>
      <c r="P252" s="24"/>
      <c r="Q252" s="26"/>
    </row>
    <row r="253" spans="1:17" ht="15" x14ac:dyDescent="0.15">
      <c r="A253" s="22"/>
      <c r="B253" s="26" t="str">
        <f t="shared" si="12"/>
        <v/>
      </c>
      <c r="C253" s="26" t="str">
        <f t="shared" si="13"/>
        <v/>
      </c>
      <c r="D253" s="26" t="str">
        <f t="shared" si="14"/>
        <v/>
      </c>
      <c r="E253" s="29"/>
      <c r="F253" s="22"/>
      <c r="G253" s="22"/>
      <c r="H253" s="22"/>
      <c r="I253" s="24"/>
      <c r="J253" s="24"/>
      <c r="K253" s="24"/>
      <c r="L253" s="24"/>
      <c r="M253" s="27" t="str">
        <f t="shared" si="15"/>
        <v/>
      </c>
      <c r="N253" s="25"/>
      <c r="O253" s="22"/>
      <c r="P253" s="24"/>
      <c r="Q253" s="26"/>
    </row>
    <row r="254" spans="1:17" ht="15" x14ac:dyDescent="0.15">
      <c r="A254" s="22"/>
      <c r="B254" s="26" t="str">
        <f t="shared" si="12"/>
        <v/>
      </c>
      <c r="C254" s="26" t="str">
        <f t="shared" si="13"/>
        <v/>
      </c>
      <c r="D254" s="26" t="str">
        <f t="shared" si="14"/>
        <v/>
      </c>
      <c r="E254" s="29"/>
      <c r="F254" s="22"/>
      <c r="G254" s="22"/>
      <c r="H254" s="22"/>
      <c r="I254" s="24"/>
      <c r="J254" s="24"/>
      <c r="K254" s="24"/>
      <c r="L254" s="24"/>
      <c r="M254" s="27" t="str">
        <f t="shared" si="15"/>
        <v/>
      </c>
      <c r="N254" s="25"/>
      <c r="O254" s="22"/>
      <c r="P254" s="24"/>
      <c r="Q254" s="26"/>
    </row>
    <row r="255" spans="1:17" ht="15" x14ac:dyDescent="0.15">
      <c r="A255" s="22"/>
      <c r="B255" s="26" t="str">
        <f t="shared" si="12"/>
        <v/>
      </c>
      <c r="C255" s="26" t="str">
        <f t="shared" si="13"/>
        <v/>
      </c>
      <c r="D255" s="26" t="str">
        <f t="shared" si="14"/>
        <v/>
      </c>
      <c r="E255" s="29"/>
      <c r="F255" s="22"/>
      <c r="G255" s="22"/>
      <c r="H255" s="22"/>
      <c r="I255" s="24"/>
      <c r="J255" s="24"/>
      <c r="K255" s="24"/>
      <c r="L255" s="24"/>
      <c r="M255" s="27" t="str">
        <f t="shared" si="15"/>
        <v/>
      </c>
      <c r="N255" s="25"/>
      <c r="O255" s="22"/>
      <c r="P255" s="24"/>
      <c r="Q255" s="26"/>
    </row>
    <row r="256" spans="1:17" ht="15" x14ac:dyDescent="0.15">
      <c r="A256" s="22"/>
      <c r="B256" s="26" t="str">
        <f t="shared" si="12"/>
        <v/>
      </c>
      <c r="C256" s="26" t="str">
        <f t="shared" si="13"/>
        <v/>
      </c>
      <c r="D256" s="26" t="str">
        <f t="shared" si="14"/>
        <v/>
      </c>
      <c r="E256" s="29"/>
      <c r="F256" s="22"/>
      <c r="G256" s="22"/>
      <c r="H256" s="22"/>
      <c r="I256" s="24"/>
      <c r="J256" s="24"/>
      <c r="K256" s="24"/>
      <c r="L256" s="24"/>
      <c r="M256" s="27" t="str">
        <f t="shared" si="15"/>
        <v/>
      </c>
      <c r="N256" s="25"/>
      <c r="O256" s="22"/>
      <c r="P256" s="24"/>
      <c r="Q256" s="26"/>
    </row>
    <row r="257" spans="1:17" ht="15" x14ac:dyDescent="0.15">
      <c r="A257" s="22"/>
      <c r="B257" s="26" t="str">
        <f t="shared" si="12"/>
        <v/>
      </c>
      <c r="C257" s="26" t="str">
        <f t="shared" si="13"/>
        <v/>
      </c>
      <c r="D257" s="26" t="str">
        <f t="shared" si="14"/>
        <v/>
      </c>
      <c r="E257" s="29"/>
      <c r="F257" s="22"/>
      <c r="G257" s="22"/>
      <c r="H257" s="22"/>
      <c r="I257" s="24"/>
      <c r="J257" s="24"/>
      <c r="K257" s="24"/>
      <c r="L257" s="24"/>
      <c r="M257" s="27" t="str">
        <f t="shared" si="15"/>
        <v/>
      </c>
      <c r="N257" s="25"/>
      <c r="O257" s="22"/>
      <c r="P257" s="24"/>
      <c r="Q257" s="26"/>
    </row>
    <row r="258" spans="1:17" ht="15" x14ac:dyDescent="0.15">
      <c r="A258" s="22"/>
      <c r="B258" s="26" t="str">
        <f t="shared" si="12"/>
        <v/>
      </c>
      <c r="C258" s="26" t="str">
        <f t="shared" si="13"/>
        <v/>
      </c>
      <c r="D258" s="26" t="str">
        <f t="shared" si="14"/>
        <v/>
      </c>
      <c r="E258" s="29"/>
      <c r="F258" s="22"/>
      <c r="G258" s="22"/>
      <c r="H258" s="22"/>
      <c r="I258" s="24"/>
      <c r="J258" s="24"/>
      <c r="K258" s="24"/>
      <c r="L258" s="24"/>
      <c r="M258" s="27" t="str">
        <f t="shared" si="15"/>
        <v/>
      </c>
      <c r="N258" s="25"/>
      <c r="O258" s="22"/>
      <c r="P258" s="24"/>
      <c r="Q258" s="26"/>
    </row>
    <row r="259" spans="1:17" ht="15" x14ac:dyDescent="0.15">
      <c r="A259" s="22"/>
      <c r="B259" s="26" t="str">
        <f t="shared" si="12"/>
        <v/>
      </c>
      <c r="C259" s="26" t="str">
        <f t="shared" si="13"/>
        <v/>
      </c>
      <c r="D259" s="26" t="str">
        <f t="shared" si="14"/>
        <v/>
      </c>
      <c r="E259" s="29"/>
      <c r="F259" s="22"/>
      <c r="G259" s="22"/>
      <c r="H259" s="22"/>
      <c r="I259" s="24"/>
      <c r="J259" s="24"/>
      <c r="K259" s="24"/>
      <c r="L259" s="24"/>
      <c r="M259" s="27" t="str">
        <f t="shared" si="15"/>
        <v/>
      </c>
      <c r="N259" s="25"/>
      <c r="O259" s="22"/>
      <c r="P259" s="24"/>
      <c r="Q259" s="26"/>
    </row>
    <row r="260" spans="1:17" ht="15" x14ac:dyDescent="0.15">
      <c r="A260" s="22"/>
      <c r="B260" s="26" t="str">
        <f t="shared" si="12"/>
        <v/>
      </c>
      <c r="C260" s="26" t="str">
        <f t="shared" si="13"/>
        <v/>
      </c>
      <c r="D260" s="26" t="str">
        <f t="shared" si="14"/>
        <v/>
      </c>
      <c r="E260" s="29"/>
      <c r="F260" s="22"/>
      <c r="G260" s="22"/>
      <c r="H260" s="22"/>
      <c r="I260" s="24"/>
      <c r="J260" s="24"/>
      <c r="K260" s="24"/>
      <c r="L260" s="24"/>
      <c r="M260" s="27" t="str">
        <f t="shared" si="15"/>
        <v/>
      </c>
      <c r="N260" s="25"/>
      <c r="O260" s="22"/>
      <c r="P260" s="24"/>
      <c r="Q260" s="26"/>
    </row>
    <row r="261" spans="1:17" ht="15" x14ac:dyDescent="0.15">
      <c r="A261" s="22"/>
      <c r="B261" s="26" t="str">
        <f t="shared" si="12"/>
        <v/>
      </c>
      <c r="C261" s="26" t="str">
        <f t="shared" si="13"/>
        <v/>
      </c>
      <c r="D261" s="26" t="str">
        <f t="shared" si="14"/>
        <v/>
      </c>
      <c r="E261" s="29"/>
      <c r="F261" s="22"/>
      <c r="G261" s="22"/>
      <c r="H261" s="22"/>
      <c r="I261" s="24"/>
      <c r="J261" s="24"/>
      <c r="K261" s="24"/>
      <c r="L261" s="24"/>
      <c r="M261" s="27" t="str">
        <f t="shared" si="15"/>
        <v/>
      </c>
      <c r="N261" s="25"/>
      <c r="O261" s="22"/>
      <c r="P261" s="24"/>
      <c r="Q261" s="26"/>
    </row>
    <row r="262" spans="1:17" ht="15" x14ac:dyDescent="0.15">
      <c r="A262" s="22"/>
      <c r="B262" s="26" t="str">
        <f t="shared" si="12"/>
        <v/>
      </c>
      <c r="C262" s="26" t="str">
        <f t="shared" si="13"/>
        <v/>
      </c>
      <c r="D262" s="26" t="str">
        <f t="shared" si="14"/>
        <v/>
      </c>
      <c r="E262" s="29"/>
      <c r="F262" s="22"/>
      <c r="G262" s="22"/>
      <c r="H262" s="22"/>
      <c r="I262" s="24"/>
      <c r="J262" s="24"/>
      <c r="K262" s="24"/>
      <c r="L262" s="24"/>
      <c r="M262" s="27" t="str">
        <f t="shared" si="15"/>
        <v/>
      </c>
      <c r="N262" s="25"/>
      <c r="O262" s="22"/>
      <c r="P262" s="24"/>
      <c r="Q262" s="26"/>
    </row>
    <row r="263" spans="1:17" ht="15" x14ac:dyDescent="0.15">
      <c r="A263" s="22"/>
      <c r="B263" s="26" t="str">
        <f t="shared" ref="B263:B326" si="16">IFERROR(IF($A263="","",LEFT($A263,FIND(" | ",$A263)-1)),"")</f>
        <v/>
      </c>
      <c r="C263" s="26" t="str">
        <f t="shared" ref="C263:C326" si="17">IFERROR(IF($A263="","",MID($A263,FIND(" | ",$A263)+3,FIND(" | ",$A263,FIND(" | ",$A263)+3)-FIND(" | ",$A263)-3)),"")</f>
        <v/>
      </c>
      <c r="D263" s="26" t="str">
        <f t="shared" ref="D263:D326" si="18">IFERROR(IF($A263="","",RIGHT($A263,LEN($A263)-FIND(" | ",$A263,FIND(" | ",$A263)+3)-2)),"")</f>
        <v/>
      </c>
      <c r="E263" s="29"/>
      <c r="F263" s="22"/>
      <c r="G263" s="22"/>
      <c r="H263" s="22"/>
      <c r="I263" s="24"/>
      <c r="J263" s="24"/>
      <c r="K263" s="24"/>
      <c r="L263" s="24"/>
      <c r="M263" s="27" t="str">
        <f t="shared" ref="M263:M326" si="19">IF($B263="","",SUM($J263,-$K263,$L263))</f>
        <v/>
      </c>
      <c r="N263" s="25"/>
      <c r="O263" s="22"/>
      <c r="P263" s="24"/>
      <c r="Q263" s="26"/>
    </row>
    <row r="264" spans="1:17" ht="15" x14ac:dyDescent="0.15">
      <c r="A264" s="22"/>
      <c r="B264" s="26" t="str">
        <f t="shared" si="16"/>
        <v/>
      </c>
      <c r="C264" s="26" t="str">
        <f t="shared" si="17"/>
        <v/>
      </c>
      <c r="D264" s="26" t="str">
        <f t="shared" si="18"/>
        <v/>
      </c>
      <c r="E264" s="29"/>
      <c r="F264" s="22"/>
      <c r="G264" s="22"/>
      <c r="H264" s="22"/>
      <c r="I264" s="24"/>
      <c r="J264" s="24"/>
      <c r="K264" s="24"/>
      <c r="L264" s="24"/>
      <c r="M264" s="27" t="str">
        <f t="shared" si="19"/>
        <v/>
      </c>
      <c r="N264" s="25"/>
      <c r="O264" s="22"/>
      <c r="P264" s="24"/>
      <c r="Q264" s="26"/>
    </row>
    <row r="265" spans="1:17" ht="15" x14ac:dyDescent="0.15">
      <c r="A265" s="22"/>
      <c r="B265" s="26" t="str">
        <f t="shared" si="16"/>
        <v/>
      </c>
      <c r="C265" s="26" t="str">
        <f t="shared" si="17"/>
        <v/>
      </c>
      <c r="D265" s="26" t="str">
        <f t="shared" si="18"/>
        <v/>
      </c>
      <c r="E265" s="29"/>
      <c r="F265" s="22"/>
      <c r="G265" s="22"/>
      <c r="H265" s="22"/>
      <c r="I265" s="24"/>
      <c r="J265" s="24"/>
      <c r="K265" s="24"/>
      <c r="L265" s="24"/>
      <c r="M265" s="27" t="str">
        <f t="shared" si="19"/>
        <v/>
      </c>
      <c r="N265" s="25"/>
      <c r="O265" s="22"/>
      <c r="P265" s="24"/>
      <c r="Q265" s="26"/>
    </row>
    <row r="266" spans="1:17" ht="15" x14ac:dyDescent="0.15">
      <c r="A266" s="22"/>
      <c r="B266" s="26" t="str">
        <f t="shared" si="16"/>
        <v/>
      </c>
      <c r="C266" s="26" t="str">
        <f t="shared" si="17"/>
        <v/>
      </c>
      <c r="D266" s="26" t="str">
        <f t="shared" si="18"/>
        <v/>
      </c>
      <c r="E266" s="29"/>
      <c r="F266" s="22"/>
      <c r="G266" s="22"/>
      <c r="H266" s="22"/>
      <c r="I266" s="24"/>
      <c r="J266" s="24"/>
      <c r="K266" s="24"/>
      <c r="L266" s="24"/>
      <c r="M266" s="27" t="str">
        <f t="shared" si="19"/>
        <v/>
      </c>
      <c r="N266" s="25"/>
      <c r="O266" s="22"/>
      <c r="P266" s="24"/>
      <c r="Q266" s="26"/>
    </row>
    <row r="267" spans="1:17" ht="15" x14ac:dyDescent="0.15">
      <c r="A267" s="22"/>
      <c r="B267" s="26" t="str">
        <f t="shared" si="16"/>
        <v/>
      </c>
      <c r="C267" s="26" t="str">
        <f t="shared" si="17"/>
        <v/>
      </c>
      <c r="D267" s="26" t="str">
        <f t="shared" si="18"/>
        <v/>
      </c>
      <c r="E267" s="29"/>
      <c r="F267" s="22"/>
      <c r="G267" s="22"/>
      <c r="H267" s="22"/>
      <c r="I267" s="24"/>
      <c r="J267" s="24"/>
      <c r="K267" s="24"/>
      <c r="L267" s="24"/>
      <c r="M267" s="27" t="str">
        <f t="shared" si="19"/>
        <v/>
      </c>
      <c r="N267" s="25"/>
      <c r="O267" s="22"/>
      <c r="P267" s="24"/>
      <c r="Q267" s="26"/>
    </row>
    <row r="268" spans="1:17" ht="15" x14ac:dyDescent="0.15">
      <c r="A268" s="22"/>
      <c r="B268" s="26" t="str">
        <f t="shared" si="16"/>
        <v/>
      </c>
      <c r="C268" s="26" t="str">
        <f t="shared" si="17"/>
        <v/>
      </c>
      <c r="D268" s="26" t="str">
        <f t="shared" si="18"/>
        <v/>
      </c>
      <c r="E268" s="29"/>
      <c r="F268" s="22"/>
      <c r="G268" s="22"/>
      <c r="H268" s="22"/>
      <c r="I268" s="24"/>
      <c r="J268" s="24"/>
      <c r="K268" s="24"/>
      <c r="L268" s="24"/>
      <c r="M268" s="27" t="str">
        <f t="shared" si="19"/>
        <v/>
      </c>
      <c r="N268" s="25"/>
      <c r="O268" s="22"/>
      <c r="P268" s="24"/>
      <c r="Q268" s="26"/>
    </row>
    <row r="269" spans="1:17" ht="15" x14ac:dyDescent="0.15">
      <c r="A269" s="22"/>
      <c r="B269" s="26" t="str">
        <f t="shared" si="16"/>
        <v/>
      </c>
      <c r="C269" s="26" t="str">
        <f t="shared" si="17"/>
        <v/>
      </c>
      <c r="D269" s="26" t="str">
        <f t="shared" si="18"/>
        <v/>
      </c>
      <c r="E269" s="29"/>
      <c r="F269" s="22"/>
      <c r="G269" s="22"/>
      <c r="H269" s="22"/>
      <c r="I269" s="24"/>
      <c r="J269" s="24"/>
      <c r="K269" s="24"/>
      <c r="L269" s="24"/>
      <c r="M269" s="27" t="str">
        <f t="shared" si="19"/>
        <v/>
      </c>
      <c r="N269" s="25"/>
      <c r="O269" s="22"/>
      <c r="P269" s="24"/>
      <c r="Q269" s="26"/>
    </row>
    <row r="270" spans="1:17" ht="15" x14ac:dyDescent="0.15">
      <c r="A270" s="22"/>
      <c r="B270" s="26" t="str">
        <f t="shared" si="16"/>
        <v/>
      </c>
      <c r="C270" s="26" t="str">
        <f t="shared" si="17"/>
        <v/>
      </c>
      <c r="D270" s="26" t="str">
        <f t="shared" si="18"/>
        <v/>
      </c>
      <c r="E270" s="29"/>
      <c r="F270" s="22"/>
      <c r="G270" s="22"/>
      <c r="H270" s="22"/>
      <c r="I270" s="24"/>
      <c r="J270" s="24"/>
      <c r="K270" s="24"/>
      <c r="L270" s="24"/>
      <c r="M270" s="27" t="str">
        <f t="shared" si="19"/>
        <v/>
      </c>
      <c r="N270" s="25"/>
      <c r="O270" s="22"/>
      <c r="P270" s="24"/>
      <c r="Q270" s="26"/>
    </row>
    <row r="271" spans="1:17" ht="15" x14ac:dyDescent="0.15">
      <c r="A271" s="22"/>
      <c r="B271" s="26" t="str">
        <f t="shared" si="16"/>
        <v/>
      </c>
      <c r="C271" s="26" t="str">
        <f t="shared" si="17"/>
        <v/>
      </c>
      <c r="D271" s="26" t="str">
        <f t="shared" si="18"/>
        <v/>
      </c>
      <c r="E271" s="29"/>
      <c r="F271" s="22"/>
      <c r="G271" s="22"/>
      <c r="H271" s="22"/>
      <c r="I271" s="24"/>
      <c r="J271" s="24"/>
      <c r="K271" s="24"/>
      <c r="L271" s="24"/>
      <c r="M271" s="27" t="str">
        <f t="shared" si="19"/>
        <v/>
      </c>
      <c r="N271" s="25"/>
      <c r="O271" s="22"/>
      <c r="P271" s="24"/>
      <c r="Q271" s="26"/>
    </row>
    <row r="272" spans="1:17" ht="15" x14ac:dyDescent="0.15">
      <c r="A272" s="22"/>
      <c r="B272" s="26" t="str">
        <f t="shared" si="16"/>
        <v/>
      </c>
      <c r="C272" s="26" t="str">
        <f t="shared" si="17"/>
        <v/>
      </c>
      <c r="D272" s="26" t="str">
        <f t="shared" si="18"/>
        <v/>
      </c>
      <c r="E272" s="29"/>
      <c r="F272" s="22"/>
      <c r="G272" s="22"/>
      <c r="H272" s="22"/>
      <c r="I272" s="24"/>
      <c r="J272" s="24"/>
      <c r="K272" s="24"/>
      <c r="L272" s="24"/>
      <c r="M272" s="27" t="str">
        <f t="shared" si="19"/>
        <v/>
      </c>
      <c r="N272" s="25"/>
      <c r="O272" s="22"/>
      <c r="P272" s="24"/>
      <c r="Q272" s="26"/>
    </row>
    <row r="273" spans="1:17" ht="15" x14ac:dyDescent="0.15">
      <c r="A273" s="22"/>
      <c r="B273" s="26" t="str">
        <f t="shared" si="16"/>
        <v/>
      </c>
      <c r="C273" s="26" t="str">
        <f t="shared" si="17"/>
        <v/>
      </c>
      <c r="D273" s="26" t="str">
        <f t="shared" si="18"/>
        <v/>
      </c>
      <c r="E273" s="29"/>
      <c r="F273" s="22"/>
      <c r="G273" s="22"/>
      <c r="H273" s="22"/>
      <c r="I273" s="24"/>
      <c r="J273" s="24"/>
      <c r="K273" s="24"/>
      <c r="L273" s="24"/>
      <c r="M273" s="27" t="str">
        <f t="shared" si="19"/>
        <v/>
      </c>
      <c r="N273" s="25"/>
      <c r="O273" s="22"/>
      <c r="P273" s="24"/>
      <c r="Q273" s="26"/>
    </row>
    <row r="274" spans="1:17" ht="15" x14ac:dyDescent="0.15">
      <c r="A274" s="22"/>
      <c r="B274" s="26" t="str">
        <f t="shared" si="16"/>
        <v/>
      </c>
      <c r="C274" s="26" t="str">
        <f t="shared" si="17"/>
        <v/>
      </c>
      <c r="D274" s="26" t="str">
        <f t="shared" si="18"/>
        <v/>
      </c>
      <c r="E274" s="29"/>
      <c r="F274" s="22"/>
      <c r="G274" s="22"/>
      <c r="H274" s="22"/>
      <c r="I274" s="24"/>
      <c r="J274" s="24"/>
      <c r="K274" s="24"/>
      <c r="L274" s="24"/>
      <c r="M274" s="27" t="str">
        <f t="shared" si="19"/>
        <v/>
      </c>
      <c r="N274" s="25"/>
      <c r="O274" s="22"/>
      <c r="P274" s="24"/>
      <c r="Q274" s="26"/>
    </row>
    <row r="275" spans="1:17" ht="15" x14ac:dyDescent="0.15">
      <c r="A275" s="22"/>
      <c r="B275" s="26" t="str">
        <f t="shared" si="16"/>
        <v/>
      </c>
      <c r="C275" s="26" t="str">
        <f t="shared" si="17"/>
        <v/>
      </c>
      <c r="D275" s="26" t="str">
        <f t="shared" si="18"/>
        <v/>
      </c>
      <c r="E275" s="29"/>
      <c r="F275" s="22"/>
      <c r="G275" s="22"/>
      <c r="H275" s="22"/>
      <c r="I275" s="24"/>
      <c r="J275" s="24"/>
      <c r="K275" s="24"/>
      <c r="L275" s="24"/>
      <c r="M275" s="27" t="str">
        <f t="shared" si="19"/>
        <v/>
      </c>
      <c r="N275" s="25"/>
      <c r="O275" s="22"/>
      <c r="P275" s="24"/>
      <c r="Q275" s="26"/>
    </row>
    <row r="276" spans="1:17" ht="15" x14ac:dyDescent="0.15">
      <c r="A276" s="22"/>
      <c r="B276" s="26" t="str">
        <f t="shared" si="16"/>
        <v/>
      </c>
      <c r="C276" s="26" t="str">
        <f t="shared" si="17"/>
        <v/>
      </c>
      <c r="D276" s="26" t="str">
        <f t="shared" si="18"/>
        <v/>
      </c>
      <c r="E276" s="29"/>
      <c r="F276" s="22"/>
      <c r="G276" s="22"/>
      <c r="H276" s="22"/>
      <c r="I276" s="24"/>
      <c r="J276" s="24"/>
      <c r="K276" s="24"/>
      <c r="L276" s="24"/>
      <c r="M276" s="27" t="str">
        <f t="shared" si="19"/>
        <v/>
      </c>
      <c r="N276" s="25"/>
      <c r="O276" s="22"/>
      <c r="P276" s="24"/>
      <c r="Q276" s="26"/>
    </row>
    <row r="277" spans="1:17" ht="15" x14ac:dyDescent="0.15">
      <c r="A277" s="22"/>
      <c r="B277" s="26" t="str">
        <f t="shared" si="16"/>
        <v/>
      </c>
      <c r="C277" s="26" t="str">
        <f t="shared" si="17"/>
        <v/>
      </c>
      <c r="D277" s="26" t="str">
        <f t="shared" si="18"/>
        <v/>
      </c>
      <c r="E277" s="29"/>
      <c r="F277" s="22"/>
      <c r="G277" s="22"/>
      <c r="H277" s="22"/>
      <c r="I277" s="24"/>
      <c r="J277" s="24"/>
      <c r="K277" s="24"/>
      <c r="L277" s="24"/>
      <c r="M277" s="27" t="str">
        <f t="shared" si="19"/>
        <v/>
      </c>
      <c r="N277" s="25"/>
      <c r="O277" s="22"/>
      <c r="P277" s="24"/>
      <c r="Q277" s="26"/>
    </row>
    <row r="278" spans="1:17" ht="15" x14ac:dyDescent="0.15">
      <c r="A278" s="22"/>
      <c r="B278" s="26" t="str">
        <f t="shared" si="16"/>
        <v/>
      </c>
      <c r="C278" s="26" t="str">
        <f t="shared" si="17"/>
        <v/>
      </c>
      <c r="D278" s="26" t="str">
        <f t="shared" si="18"/>
        <v/>
      </c>
      <c r="E278" s="29"/>
      <c r="F278" s="22"/>
      <c r="G278" s="22"/>
      <c r="H278" s="22"/>
      <c r="I278" s="24"/>
      <c r="J278" s="24"/>
      <c r="K278" s="24"/>
      <c r="L278" s="24"/>
      <c r="M278" s="27" t="str">
        <f t="shared" si="19"/>
        <v/>
      </c>
      <c r="N278" s="25"/>
      <c r="O278" s="22"/>
      <c r="P278" s="24"/>
      <c r="Q278" s="26"/>
    </row>
    <row r="279" spans="1:17" ht="15" x14ac:dyDescent="0.15">
      <c r="A279" s="22"/>
      <c r="B279" s="26" t="str">
        <f t="shared" si="16"/>
        <v/>
      </c>
      <c r="C279" s="26" t="str">
        <f t="shared" si="17"/>
        <v/>
      </c>
      <c r="D279" s="26" t="str">
        <f t="shared" si="18"/>
        <v/>
      </c>
      <c r="E279" s="29"/>
      <c r="F279" s="22"/>
      <c r="G279" s="22"/>
      <c r="H279" s="22"/>
      <c r="I279" s="24"/>
      <c r="J279" s="24"/>
      <c r="K279" s="24"/>
      <c r="L279" s="24"/>
      <c r="M279" s="27" t="str">
        <f t="shared" si="19"/>
        <v/>
      </c>
      <c r="N279" s="25"/>
      <c r="O279" s="22"/>
      <c r="P279" s="24"/>
      <c r="Q279" s="26"/>
    </row>
    <row r="280" spans="1:17" ht="15" x14ac:dyDescent="0.15">
      <c r="A280" s="22"/>
      <c r="B280" s="26" t="str">
        <f t="shared" si="16"/>
        <v/>
      </c>
      <c r="C280" s="26" t="str">
        <f t="shared" si="17"/>
        <v/>
      </c>
      <c r="D280" s="26" t="str">
        <f t="shared" si="18"/>
        <v/>
      </c>
      <c r="E280" s="29"/>
      <c r="F280" s="22"/>
      <c r="G280" s="22"/>
      <c r="H280" s="22"/>
      <c r="I280" s="24"/>
      <c r="J280" s="24"/>
      <c r="K280" s="24"/>
      <c r="L280" s="24"/>
      <c r="M280" s="27" t="str">
        <f t="shared" si="19"/>
        <v/>
      </c>
      <c r="N280" s="25"/>
      <c r="O280" s="22"/>
      <c r="P280" s="24"/>
      <c r="Q280" s="26"/>
    </row>
    <row r="281" spans="1:17" ht="15" x14ac:dyDescent="0.15">
      <c r="A281" s="22"/>
      <c r="B281" s="26" t="str">
        <f t="shared" si="16"/>
        <v/>
      </c>
      <c r="C281" s="26" t="str">
        <f t="shared" si="17"/>
        <v/>
      </c>
      <c r="D281" s="26" t="str">
        <f t="shared" si="18"/>
        <v/>
      </c>
      <c r="E281" s="29"/>
      <c r="F281" s="22"/>
      <c r="G281" s="22"/>
      <c r="H281" s="22"/>
      <c r="I281" s="24"/>
      <c r="J281" s="24"/>
      <c r="K281" s="24"/>
      <c r="L281" s="24"/>
      <c r="M281" s="27" t="str">
        <f t="shared" si="19"/>
        <v/>
      </c>
      <c r="N281" s="25"/>
      <c r="O281" s="22"/>
      <c r="P281" s="24"/>
      <c r="Q281" s="26"/>
    </row>
    <row r="282" spans="1:17" ht="15" x14ac:dyDescent="0.15">
      <c r="A282" s="22"/>
      <c r="B282" s="26" t="str">
        <f t="shared" si="16"/>
        <v/>
      </c>
      <c r="C282" s="26" t="str">
        <f t="shared" si="17"/>
        <v/>
      </c>
      <c r="D282" s="26" t="str">
        <f t="shared" si="18"/>
        <v/>
      </c>
      <c r="E282" s="29"/>
      <c r="F282" s="22"/>
      <c r="G282" s="22"/>
      <c r="H282" s="22"/>
      <c r="I282" s="24"/>
      <c r="J282" s="24"/>
      <c r="K282" s="24"/>
      <c r="L282" s="24"/>
      <c r="M282" s="27" t="str">
        <f t="shared" si="19"/>
        <v/>
      </c>
      <c r="N282" s="25"/>
      <c r="O282" s="22"/>
      <c r="P282" s="24"/>
      <c r="Q282" s="26"/>
    </row>
    <row r="283" spans="1:17" ht="15" x14ac:dyDescent="0.15">
      <c r="A283" s="22"/>
      <c r="B283" s="26" t="str">
        <f t="shared" si="16"/>
        <v/>
      </c>
      <c r="C283" s="26" t="str">
        <f t="shared" si="17"/>
        <v/>
      </c>
      <c r="D283" s="26" t="str">
        <f t="shared" si="18"/>
        <v/>
      </c>
      <c r="E283" s="29"/>
      <c r="F283" s="22"/>
      <c r="G283" s="22"/>
      <c r="H283" s="22"/>
      <c r="I283" s="24"/>
      <c r="J283" s="24"/>
      <c r="K283" s="24"/>
      <c r="L283" s="24"/>
      <c r="M283" s="27" t="str">
        <f t="shared" si="19"/>
        <v/>
      </c>
      <c r="N283" s="25"/>
      <c r="O283" s="22"/>
      <c r="P283" s="24"/>
      <c r="Q283" s="26"/>
    </row>
    <row r="284" spans="1:17" ht="15" x14ac:dyDescent="0.15">
      <c r="A284" s="22"/>
      <c r="B284" s="26" t="str">
        <f t="shared" si="16"/>
        <v/>
      </c>
      <c r="C284" s="26" t="str">
        <f t="shared" si="17"/>
        <v/>
      </c>
      <c r="D284" s="26" t="str">
        <f t="shared" si="18"/>
        <v/>
      </c>
      <c r="E284" s="29"/>
      <c r="F284" s="22"/>
      <c r="G284" s="22"/>
      <c r="H284" s="22"/>
      <c r="I284" s="24"/>
      <c r="J284" s="24"/>
      <c r="K284" s="24"/>
      <c r="L284" s="24"/>
      <c r="M284" s="27" t="str">
        <f t="shared" si="19"/>
        <v/>
      </c>
      <c r="N284" s="25"/>
      <c r="O284" s="22"/>
      <c r="P284" s="24"/>
      <c r="Q284" s="26"/>
    </row>
    <row r="285" spans="1:17" ht="15" x14ac:dyDescent="0.15">
      <c r="A285" s="22"/>
      <c r="B285" s="26" t="str">
        <f t="shared" si="16"/>
        <v/>
      </c>
      <c r="C285" s="26" t="str">
        <f t="shared" si="17"/>
        <v/>
      </c>
      <c r="D285" s="26" t="str">
        <f t="shared" si="18"/>
        <v/>
      </c>
      <c r="E285" s="29"/>
      <c r="F285" s="22"/>
      <c r="G285" s="22"/>
      <c r="H285" s="22"/>
      <c r="I285" s="24"/>
      <c r="J285" s="24"/>
      <c r="K285" s="24"/>
      <c r="L285" s="24"/>
      <c r="M285" s="27" t="str">
        <f t="shared" si="19"/>
        <v/>
      </c>
      <c r="N285" s="25"/>
      <c r="O285" s="22"/>
      <c r="P285" s="24"/>
      <c r="Q285" s="26"/>
    </row>
    <row r="286" spans="1:17" ht="15" x14ac:dyDescent="0.15">
      <c r="A286" s="22"/>
      <c r="B286" s="26" t="str">
        <f t="shared" si="16"/>
        <v/>
      </c>
      <c r="C286" s="26" t="str">
        <f t="shared" si="17"/>
        <v/>
      </c>
      <c r="D286" s="26" t="str">
        <f t="shared" si="18"/>
        <v/>
      </c>
      <c r="E286" s="29"/>
      <c r="F286" s="22"/>
      <c r="G286" s="22"/>
      <c r="H286" s="22"/>
      <c r="I286" s="24"/>
      <c r="J286" s="24"/>
      <c r="K286" s="24"/>
      <c r="L286" s="24"/>
      <c r="M286" s="27" t="str">
        <f t="shared" si="19"/>
        <v/>
      </c>
      <c r="N286" s="25"/>
      <c r="O286" s="22"/>
      <c r="P286" s="24"/>
      <c r="Q286" s="26"/>
    </row>
    <row r="287" spans="1:17" ht="15" x14ac:dyDescent="0.15">
      <c r="A287" s="22"/>
      <c r="B287" s="26" t="str">
        <f t="shared" si="16"/>
        <v/>
      </c>
      <c r="C287" s="26" t="str">
        <f t="shared" si="17"/>
        <v/>
      </c>
      <c r="D287" s="26" t="str">
        <f t="shared" si="18"/>
        <v/>
      </c>
      <c r="E287" s="29"/>
      <c r="F287" s="22"/>
      <c r="G287" s="22"/>
      <c r="H287" s="22"/>
      <c r="I287" s="24"/>
      <c r="J287" s="24"/>
      <c r="K287" s="24"/>
      <c r="L287" s="24"/>
      <c r="M287" s="27" t="str">
        <f t="shared" si="19"/>
        <v/>
      </c>
      <c r="N287" s="25"/>
      <c r="O287" s="22"/>
      <c r="P287" s="24"/>
      <c r="Q287" s="26"/>
    </row>
    <row r="288" spans="1:17" ht="15" x14ac:dyDescent="0.15">
      <c r="A288" s="22"/>
      <c r="B288" s="26" t="str">
        <f t="shared" si="16"/>
        <v/>
      </c>
      <c r="C288" s="26" t="str">
        <f t="shared" si="17"/>
        <v/>
      </c>
      <c r="D288" s="26" t="str">
        <f t="shared" si="18"/>
        <v/>
      </c>
      <c r="E288" s="29"/>
      <c r="F288" s="22"/>
      <c r="G288" s="22"/>
      <c r="H288" s="22"/>
      <c r="I288" s="24"/>
      <c r="J288" s="24"/>
      <c r="K288" s="24"/>
      <c r="L288" s="24"/>
      <c r="M288" s="27" t="str">
        <f t="shared" si="19"/>
        <v/>
      </c>
      <c r="N288" s="25"/>
      <c r="O288" s="22"/>
      <c r="P288" s="24"/>
      <c r="Q288" s="26"/>
    </row>
    <row r="289" spans="1:17" ht="15" x14ac:dyDescent="0.15">
      <c r="A289" s="22"/>
      <c r="B289" s="26" t="str">
        <f t="shared" si="16"/>
        <v/>
      </c>
      <c r="C289" s="26" t="str">
        <f t="shared" si="17"/>
        <v/>
      </c>
      <c r="D289" s="26" t="str">
        <f t="shared" si="18"/>
        <v/>
      </c>
      <c r="E289" s="29"/>
      <c r="F289" s="22"/>
      <c r="G289" s="22"/>
      <c r="H289" s="22"/>
      <c r="I289" s="24"/>
      <c r="J289" s="24"/>
      <c r="K289" s="24"/>
      <c r="L289" s="24"/>
      <c r="M289" s="27" t="str">
        <f t="shared" si="19"/>
        <v/>
      </c>
      <c r="N289" s="25"/>
      <c r="O289" s="22"/>
      <c r="P289" s="24"/>
      <c r="Q289" s="26"/>
    </row>
    <row r="290" spans="1:17" ht="15" x14ac:dyDescent="0.15">
      <c r="A290" s="22"/>
      <c r="B290" s="26" t="str">
        <f t="shared" si="16"/>
        <v/>
      </c>
      <c r="C290" s="26" t="str">
        <f t="shared" si="17"/>
        <v/>
      </c>
      <c r="D290" s="26" t="str">
        <f t="shared" si="18"/>
        <v/>
      </c>
      <c r="E290" s="29"/>
      <c r="F290" s="22"/>
      <c r="G290" s="22"/>
      <c r="H290" s="22"/>
      <c r="I290" s="24"/>
      <c r="J290" s="24"/>
      <c r="K290" s="24"/>
      <c r="L290" s="24"/>
      <c r="M290" s="27" t="str">
        <f t="shared" si="19"/>
        <v/>
      </c>
      <c r="N290" s="25"/>
      <c r="O290" s="22"/>
      <c r="P290" s="24"/>
      <c r="Q290" s="26"/>
    </row>
    <row r="291" spans="1:17" ht="15" x14ac:dyDescent="0.15">
      <c r="A291" s="22"/>
      <c r="B291" s="26" t="str">
        <f t="shared" si="16"/>
        <v/>
      </c>
      <c r="C291" s="26" t="str">
        <f t="shared" si="17"/>
        <v/>
      </c>
      <c r="D291" s="26" t="str">
        <f t="shared" si="18"/>
        <v/>
      </c>
      <c r="E291" s="29"/>
      <c r="F291" s="22"/>
      <c r="G291" s="22"/>
      <c r="H291" s="22"/>
      <c r="I291" s="24"/>
      <c r="J291" s="24"/>
      <c r="K291" s="24"/>
      <c r="L291" s="24"/>
      <c r="M291" s="27" t="str">
        <f t="shared" si="19"/>
        <v/>
      </c>
      <c r="N291" s="25"/>
      <c r="O291" s="22"/>
      <c r="P291" s="24"/>
      <c r="Q291" s="26"/>
    </row>
    <row r="292" spans="1:17" ht="15" x14ac:dyDescent="0.15">
      <c r="A292" s="22"/>
      <c r="B292" s="26" t="str">
        <f t="shared" si="16"/>
        <v/>
      </c>
      <c r="C292" s="26" t="str">
        <f t="shared" si="17"/>
        <v/>
      </c>
      <c r="D292" s="26" t="str">
        <f t="shared" si="18"/>
        <v/>
      </c>
      <c r="E292" s="29"/>
      <c r="F292" s="22"/>
      <c r="G292" s="22"/>
      <c r="H292" s="22"/>
      <c r="I292" s="24"/>
      <c r="J292" s="24"/>
      <c r="K292" s="24"/>
      <c r="L292" s="24"/>
      <c r="M292" s="27" t="str">
        <f t="shared" si="19"/>
        <v/>
      </c>
      <c r="N292" s="25"/>
      <c r="O292" s="22"/>
      <c r="P292" s="24"/>
      <c r="Q292" s="26"/>
    </row>
    <row r="293" spans="1:17" ht="15" x14ac:dyDescent="0.15">
      <c r="A293" s="22"/>
      <c r="B293" s="26" t="str">
        <f t="shared" si="16"/>
        <v/>
      </c>
      <c r="C293" s="26" t="str">
        <f t="shared" si="17"/>
        <v/>
      </c>
      <c r="D293" s="26" t="str">
        <f t="shared" si="18"/>
        <v/>
      </c>
      <c r="E293" s="29"/>
      <c r="F293" s="22"/>
      <c r="G293" s="22"/>
      <c r="H293" s="22"/>
      <c r="I293" s="24"/>
      <c r="J293" s="24"/>
      <c r="K293" s="24"/>
      <c r="L293" s="24"/>
      <c r="M293" s="27" t="str">
        <f t="shared" si="19"/>
        <v/>
      </c>
      <c r="N293" s="25"/>
      <c r="O293" s="22"/>
      <c r="P293" s="24"/>
      <c r="Q293" s="26"/>
    </row>
    <row r="294" spans="1:17" ht="15" x14ac:dyDescent="0.15">
      <c r="A294" s="22"/>
      <c r="B294" s="26" t="str">
        <f t="shared" si="16"/>
        <v/>
      </c>
      <c r="C294" s="26" t="str">
        <f t="shared" si="17"/>
        <v/>
      </c>
      <c r="D294" s="26" t="str">
        <f t="shared" si="18"/>
        <v/>
      </c>
      <c r="E294" s="29"/>
      <c r="F294" s="22"/>
      <c r="G294" s="22"/>
      <c r="H294" s="22"/>
      <c r="I294" s="24"/>
      <c r="J294" s="24"/>
      <c r="K294" s="24"/>
      <c r="L294" s="24"/>
      <c r="M294" s="27" t="str">
        <f t="shared" si="19"/>
        <v/>
      </c>
      <c r="N294" s="25"/>
      <c r="O294" s="22"/>
      <c r="P294" s="24"/>
      <c r="Q294" s="26"/>
    </row>
    <row r="295" spans="1:17" ht="15" x14ac:dyDescent="0.15">
      <c r="A295" s="22"/>
      <c r="B295" s="26" t="str">
        <f t="shared" si="16"/>
        <v/>
      </c>
      <c r="C295" s="26" t="str">
        <f t="shared" si="17"/>
        <v/>
      </c>
      <c r="D295" s="26" t="str">
        <f t="shared" si="18"/>
        <v/>
      </c>
      <c r="E295" s="29"/>
      <c r="F295" s="22"/>
      <c r="G295" s="22"/>
      <c r="H295" s="22"/>
      <c r="I295" s="24"/>
      <c r="J295" s="24"/>
      <c r="K295" s="24"/>
      <c r="L295" s="24"/>
      <c r="M295" s="27" t="str">
        <f t="shared" si="19"/>
        <v/>
      </c>
      <c r="N295" s="25"/>
      <c r="O295" s="22"/>
      <c r="P295" s="24"/>
      <c r="Q295" s="26"/>
    </row>
    <row r="296" spans="1:17" ht="15" x14ac:dyDescent="0.15">
      <c r="A296" s="22"/>
      <c r="B296" s="26" t="str">
        <f t="shared" si="16"/>
        <v/>
      </c>
      <c r="C296" s="26" t="str">
        <f t="shared" si="17"/>
        <v/>
      </c>
      <c r="D296" s="26" t="str">
        <f t="shared" si="18"/>
        <v/>
      </c>
      <c r="E296" s="29"/>
      <c r="F296" s="22"/>
      <c r="G296" s="22"/>
      <c r="H296" s="22"/>
      <c r="I296" s="24"/>
      <c r="J296" s="24"/>
      <c r="K296" s="24"/>
      <c r="L296" s="24"/>
      <c r="M296" s="27" t="str">
        <f t="shared" si="19"/>
        <v/>
      </c>
      <c r="N296" s="25"/>
      <c r="O296" s="22"/>
      <c r="P296" s="24"/>
      <c r="Q296" s="26"/>
    </row>
    <row r="297" spans="1:17" ht="15" x14ac:dyDescent="0.15">
      <c r="A297" s="22"/>
      <c r="B297" s="26" t="str">
        <f t="shared" si="16"/>
        <v/>
      </c>
      <c r="C297" s="26" t="str">
        <f t="shared" si="17"/>
        <v/>
      </c>
      <c r="D297" s="26" t="str">
        <f t="shared" si="18"/>
        <v/>
      </c>
      <c r="E297" s="29"/>
      <c r="F297" s="22"/>
      <c r="G297" s="22"/>
      <c r="H297" s="22"/>
      <c r="I297" s="24"/>
      <c r="J297" s="24"/>
      <c r="K297" s="24"/>
      <c r="L297" s="24"/>
      <c r="M297" s="27" t="str">
        <f t="shared" si="19"/>
        <v/>
      </c>
      <c r="N297" s="25"/>
      <c r="O297" s="22"/>
      <c r="P297" s="24"/>
      <c r="Q297" s="26"/>
    </row>
    <row r="298" spans="1:17" ht="15" x14ac:dyDescent="0.15">
      <c r="A298" s="22"/>
      <c r="B298" s="26" t="str">
        <f t="shared" si="16"/>
        <v/>
      </c>
      <c r="C298" s="26" t="str">
        <f t="shared" si="17"/>
        <v/>
      </c>
      <c r="D298" s="26" t="str">
        <f t="shared" si="18"/>
        <v/>
      </c>
      <c r="E298" s="29"/>
      <c r="F298" s="22"/>
      <c r="G298" s="22"/>
      <c r="H298" s="22"/>
      <c r="I298" s="24"/>
      <c r="J298" s="24"/>
      <c r="K298" s="24"/>
      <c r="L298" s="24"/>
      <c r="M298" s="27" t="str">
        <f t="shared" si="19"/>
        <v/>
      </c>
      <c r="N298" s="25"/>
      <c r="O298" s="22"/>
      <c r="P298" s="24"/>
      <c r="Q298" s="26"/>
    </row>
    <row r="299" spans="1:17" ht="15" x14ac:dyDescent="0.15">
      <c r="A299" s="22"/>
      <c r="B299" s="26" t="str">
        <f t="shared" si="16"/>
        <v/>
      </c>
      <c r="C299" s="26" t="str">
        <f t="shared" si="17"/>
        <v/>
      </c>
      <c r="D299" s="26" t="str">
        <f t="shared" si="18"/>
        <v/>
      </c>
      <c r="E299" s="29"/>
      <c r="F299" s="22"/>
      <c r="G299" s="22"/>
      <c r="H299" s="22"/>
      <c r="I299" s="24"/>
      <c r="J299" s="24"/>
      <c r="K299" s="24"/>
      <c r="L299" s="24"/>
      <c r="M299" s="27" t="str">
        <f t="shared" si="19"/>
        <v/>
      </c>
      <c r="N299" s="25"/>
      <c r="O299" s="22"/>
      <c r="P299" s="24"/>
      <c r="Q299" s="26"/>
    </row>
    <row r="300" spans="1:17" ht="15" x14ac:dyDescent="0.15">
      <c r="A300" s="22"/>
      <c r="B300" s="26" t="str">
        <f t="shared" si="16"/>
        <v/>
      </c>
      <c r="C300" s="26" t="str">
        <f t="shared" si="17"/>
        <v/>
      </c>
      <c r="D300" s="26" t="str">
        <f t="shared" si="18"/>
        <v/>
      </c>
      <c r="E300" s="29"/>
      <c r="F300" s="22"/>
      <c r="G300" s="22"/>
      <c r="H300" s="22"/>
      <c r="I300" s="24"/>
      <c r="J300" s="24"/>
      <c r="K300" s="24"/>
      <c r="L300" s="24"/>
      <c r="M300" s="27" t="str">
        <f t="shared" si="19"/>
        <v/>
      </c>
      <c r="N300" s="25"/>
      <c r="O300" s="22"/>
      <c r="P300" s="24"/>
      <c r="Q300" s="26"/>
    </row>
    <row r="301" spans="1:17" ht="15" x14ac:dyDescent="0.15">
      <c r="A301" s="22"/>
      <c r="B301" s="26" t="str">
        <f t="shared" si="16"/>
        <v/>
      </c>
      <c r="C301" s="26" t="str">
        <f t="shared" si="17"/>
        <v/>
      </c>
      <c r="D301" s="26" t="str">
        <f t="shared" si="18"/>
        <v/>
      </c>
      <c r="E301" s="29"/>
      <c r="F301" s="22"/>
      <c r="G301" s="22"/>
      <c r="H301" s="22"/>
      <c r="I301" s="24"/>
      <c r="J301" s="24"/>
      <c r="K301" s="24"/>
      <c r="L301" s="24"/>
      <c r="M301" s="27" t="str">
        <f t="shared" si="19"/>
        <v/>
      </c>
      <c r="N301" s="25"/>
      <c r="O301" s="22"/>
      <c r="P301" s="24"/>
      <c r="Q301" s="26"/>
    </row>
    <row r="302" spans="1:17" ht="15" x14ac:dyDescent="0.15">
      <c r="A302" s="22"/>
      <c r="B302" s="26" t="str">
        <f t="shared" si="16"/>
        <v/>
      </c>
      <c r="C302" s="26" t="str">
        <f t="shared" si="17"/>
        <v/>
      </c>
      <c r="D302" s="26" t="str">
        <f t="shared" si="18"/>
        <v/>
      </c>
      <c r="E302" s="29"/>
      <c r="F302" s="22"/>
      <c r="G302" s="22"/>
      <c r="H302" s="22"/>
      <c r="I302" s="24"/>
      <c r="J302" s="24"/>
      <c r="K302" s="24"/>
      <c r="L302" s="24"/>
      <c r="M302" s="27" t="str">
        <f t="shared" si="19"/>
        <v/>
      </c>
      <c r="N302" s="25"/>
      <c r="O302" s="22"/>
      <c r="P302" s="24"/>
      <c r="Q302" s="26"/>
    </row>
    <row r="303" spans="1:17" ht="15" x14ac:dyDescent="0.15">
      <c r="A303" s="22"/>
      <c r="B303" s="26" t="str">
        <f t="shared" si="16"/>
        <v/>
      </c>
      <c r="C303" s="26" t="str">
        <f t="shared" si="17"/>
        <v/>
      </c>
      <c r="D303" s="26" t="str">
        <f t="shared" si="18"/>
        <v/>
      </c>
      <c r="E303" s="29"/>
      <c r="F303" s="22"/>
      <c r="G303" s="22"/>
      <c r="H303" s="22"/>
      <c r="I303" s="24"/>
      <c r="J303" s="24"/>
      <c r="K303" s="24"/>
      <c r="L303" s="24"/>
      <c r="M303" s="27" t="str">
        <f t="shared" si="19"/>
        <v/>
      </c>
      <c r="N303" s="25"/>
      <c r="O303" s="22"/>
      <c r="P303" s="24"/>
      <c r="Q303" s="26"/>
    </row>
    <row r="304" spans="1:17" ht="15" x14ac:dyDescent="0.15">
      <c r="A304" s="22"/>
      <c r="B304" s="26" t="str">
        <f t="shared" si="16"/>
        <v/>
      </c>
      <c r="C304" s="26" t="str">
        <f t="shared" si="17"/>
        <v/>
      </c>
      <c r="D304" s="26" t="str">
        <f t="shared" si="18"/>
        <v/>
      </c>
      <c r="E304" s="29"/>
      <c r="F304" s="22"/>
      <c r="G304" s="22"/>
      <c r="H304" s="22"/>
      <c r="I304" s="24"/>
      <c r="J304" s="24"/>
      <c r="K304" s="24"/>
      <c r="L304" s="24"/>
      <c r="M304" s="27" t="str">
        <f t="shared" si="19"/>
        <v/>
      </c>
      <c r="N304" s="25"/>
      <c r="O304" s="22"/>
      <c r="P304" s="24"/>
      <c r="Q304" s="26"/>
    </row>
    <row r="305" spans="1:17" ht="15" x14ac:dyDescent="0.15">
      <c r="A305" s="22"/>
      <c r="B305" s="26" t="str">
        <f t="shared" si="16"/>
        <v/>
      </c>
      <c r="C305" s="26" t="str">
        <f t="shared" si="17"/>
        <v/>
      </c>
      <c r="D305" s="26" t="str">
        <f t="shared" si="18"/>
        <v/>
      </c>
      <c r="E305" s="29"/>
      <c r="F305" s="22"/>
      <c r="G305" s="22"/>
      <c r="H305" s="22"/>
      <c r="I305" s="24"/>
      <c r="J305" s="24"/>
      <c r="K305" s="24"/>
      <c r="L305" s="24"/>
      <c r="M305" s="27" t="str">
        <f t="shared" si="19"/>
        <v/>
      </c>
      <c r="N305" s="25"/>
      <c r="O305" s="22"/>
      <c r="P305" s="24"/>
      <c r="Q305" s="26"/>
    </row>
    <row r="306" spans="1:17" ht="15" x14ac:dyDescent="0.15">
      <c r="A306" s="22"/>
      <c r="B306" s="26" t="str">
        <f t="shared" si="16"/>
        <v/>
      </c>
      <c r="C306" s="26" t="str">
        <f t="shared" si="17"/>
        <v/>
      </c>
      <c r="D306" s="26" t="str">
        <f t="shared" si="18"/>
        <v/>
      </c>
      <c r="E306" s="29"/>
      <c r="F306" s="22"/>
      <c r="G306" s="22"/>
      <c r="H306" s="22"/>
      <c r="I306" s="24"/>
      <c r="J306" s="24"/>
      <c r="K306" s="24"/>
      <c r="L306" s="24"/>
      <c r="M306" s="27" t="str">
        <f t="shared" si="19"/>
        <v/>
      </c>
      <c r="N306" s="25"/>
      <c r="O306" s="22"/>
      <c r="P306" s="24"/>
      <c r="Q306" s="26"/>
    </row>
    <row r="307" spans="1:17" ht="15" x14ac:dyDescent="0.15">
      <c r="A307" s="22"/>
      <c r="B307" s="26" t="str">
        <f t="shared" si="16"/>
        <v/>
      </c>
      <c r="C307" s="26" t="str">
        <f t="shared" si="17"/>
        <v/>
      </c>
      <c r="D307" s="26" t="str">
        <f t="shared" si="18"/>
        <v/>
      </c>
      <c r="E307" s="29"/>
      <c r="F307" s="22"/>
      <c r="G307" s="22"/>
      <c r="H307" s="22"/>
      <c r="I307" s="24"/>
      <c r="J307" s="24"/>
      <c r="K307" s="24"/>
      <c r="L307" s="24"/>
      <c r="M307" s="27" t="str">
        <f t="shared" si="19"/>
        <v/>
      </c>
      <c r="N307" s="25"/>
      <c r="O307" s="22"/>
      <c r="P307" s="24"/>
      <c r="Q307" s="26"/>
    </row>
    <row r="308" spans="1:17" ht="15" x14ac:dyDescent="0.15">
      <c r="A308" s="22"/>
      <c r="B308" s="26" t="str">
        <f t="shared" si="16"/>
        <v/>
      </c>
      <c r="C308" s="26" t="str">
        <f t="shared" si="17"/>
        <v/>
      </c>
      <c r="D308" s="26" t="str">
        <f t="shared" si="18"/>
        <v/>
      </c>
      <c r="E308" s="29"/>
      <c r="F308" s="22"/>
      <c r="G308" s="22"/>
      <c r="H308" s="22"/>
      <c r="I308" s="24"/>
      <c r="J308" s="24"/>
      <c r="K308" s="24"/>
      <c r="L308" s="24"/>
      <c r="M308" s="27" t="str">
        <f t="shared" si="19"/>
        <v/>
      </c>
      <c r="N308" s="25"/>
      <c r="O308" s="22"/>
      <c r="P308" s="24"/>
      <c r="Q308" s="26"/>
    </row>
    <row r="309" spans="1:17" ht="15" x14ac:dyDescent="0.15">
      <c r="A309" s="22"/>
      <c r="B309" s="26" t="str">
        <f t="shared" si="16"/>
        <v/>
      </c>
      <c r="C309" s="26" t="str">
        <f t="shared" si="17"/>
        <v/>
      </c>
      <c r="D309" s="26" t="str">
        <f t="shared" si="18"/>
        <v/>
      </c>
      <c r="E309" s="29"/>
      <c r="F309" s="22"/>
      <c r="G309" s="22"/>
      <c r="H309" s="22"/>
      <c r="I309" s="24"/>
      <c r="J309" s="24"/>
      <c r="K309" s="24"/>
      <c r="L309" s="24"/>
      <c r="M309" s="27" t="str">
        <f t="shared" si="19"/>
        <v/>
      </c>
      <c r="N309" s="25"/>
      <c r="O309" s="22"/>
      <c r="P309" s="24"/>
      <c r="Q309" s="26"/>
    </row>
    <row r="310" spans="1:17" ht="15" x14ac:dyDescent="0.15">
      <c r="A310" s="22"/>
      <c r="B310" s="26" t="str">
        <f t="shared" si="16"/>
        <v/>
      </c>
      <c r="C310" s="26" t="str">
        <f t="shared" si="17"/>
        <v/>
      </c>
      <c r="D310" s="26" t="str">
        <f t="shared" si="18"/>
        <v/>
      </c>
      <c r="E310" s="29"/>
      <c r="F310" s="22"/>
      <c r="G310" s="22"/>
      <c r="H310" s="22"/>
      <c r="I310" s="24"/>
      <c r="J310" s="24"/>
      <c r="K310" s="24"/>
      <c r="L310" s="24"/>
      <c r="M310" s="27" t="str">
        <f t="shared" si="19"/>
        <v/>
      </c>
      <c r="N310" s="25"/>
      <c r="O310" s="22"/>
      <c r="P310" s="24"/>
      <c r="Q310" s="26"/>
    </row>
    <row r="311" spans="1:17" ht="15" x14ac:dyDescent="0.15">
      <c r="A311" s="22"/>
      <c r="B311" s="26" t="str">
        <f t="shared" si="16"/>
        <v/>
      </c>
      <c r="C311" s="26" t="str">
        <f t="shared" si="17"/>
        <v/>
      </c>
      <c r="D311" s="26" t="str">
        <f t="shared" si="18"/>
        <v/>
      </c>
      <c r="E311" s="29"/>
      <c r="F311" s="22"/>
      <c r="G311" s="22"/>
      <c r="H311" s="22"/>
      <c r="I311" s="24"/>
      <c r="J311" s="24"/>
      <c r="K311" s="24"/>
      <c r="L311" s="24"/>
      <c r="M311" s="27" t="str">
        <f t="shared" si="19"/>
        <v/>
      </c>
      <c r="N311" s="25"/>
      <c r="O311" s="22"/>
      <c r="P311" s="24"/>
      <c r="Q311" s="26"/>
    </row>
    <row r="312" spans="1:17" ht="15" x14ac:dyDescent="0.15">
      <c r="A312" s="22"/>
      <c r="B312" s="26" t="str">
        <f t="shared" si="16"/>
        <v/>
      </c>
      <c r="C312" s="26" t="str">
        <f t="shared" si="17"/>
        <v/>
      </c>
      <c r="D312" s="26" t="str">
        <f t="shared" si="18"/>
        <v/>
      </c>
      <c r="E312" s="29"/>
      <c r="F312" s="22"/>
      <c r="G312" s="22"/>
      <c r="H312" s="22"/>
      <c r="I312" s="24"/>
      <c r="J312" s="24"/>
      <c r="K312" s="24"/>
      <c r="L312" s="24"/>
      <c r="M312" s="27" t="str">
        <f t="shared" si="19"/>
        <v/>
      </c>
      <c r="N312" s="25"/>
      <c r="O312" s="22"/>
      <c r="P312" s="24"/>
      <c r="Q312" s="26"/>
    </row>
    <row r="313" spans="1:17" ht="15" x14ac:dyDescent="0.15">
      <c r="A313" s="22"/>
      <c r="B313" s="26" t="str">
        <f t="shared" si="16"/>
        <v/>
      </c>
      <c r="C313" s="26" t="str">
        <f t="shared" si="17"/>
        <v/>
      </c>
      <c r="D313" s="26" t="str">
        <f t="shared" si="18"/>
        <v/>
      </c>
      <c r="E313" s="29"/>
      <c r="F313" s="22"/>
      <c r="G313" s="22"/>
      <c r="H313" s="22"/>
      <c r="I313" s="24"/>
      <c r="J313" s="24"/>
      <c r="K313" s="24"/>
      <c r="L313" s="24"/>
      <c r="M313" s="27" t="str">
        <f t="shared" si="19"/>
        <v/>
      </c>
      <c r="N313" s="25"/>
      <c r="O313" s="22"/>
      <c r="P313" s="24"/>
      <c r="Q313" s="26"/>
    </row>
    <row r="314" spans="1:17" ht="15" x14ac:dyDescent="0.15">
      <c r="A314" s="22"/>
      <c r="B314" s="26" t="str">
        <f t="shared" si="16"/>
        <v/>
      </c>
      <c r="C314" s="26" t="str">
        <f t="shared" si="17"/>
        <v/>
      </c>
      <c r="D314" s="26" t="str">
        <f t="shared" si="18"/>
        <v/>
      </c>
      <c r="E314" s="29"/>
      <c r="F314" s="22"/>
      <c r="G314" s="22"/>
      <c r="H314" s="22"/>
      <c r="I314" s="24"/>
      <c r="J314" s="24"/>
      <c r="K314" s="24"/>
      <c r="L314" s="24"/>
      <c r="M314" s="27" t="str">
        <f t="shared" si="19"/>
        <v/>
      </c>
      <c r="N314" s="25"/>
      <c r="O314" s="22"/>
      <c r="P314" s="24"/>
      <c r="Q314" s="26"/>
    </row>
    <row r="315" spans="1:17" ht="15" x14ac:dyDescent="0.15">
      <c r="A315" s="22"/>
      <c r="B315" s="26" t="str">
        <f t="shared" si="16"/>
        <v/>
      </c>
      <c r="C315" s="26" t="str">
        <f t="shared" si="17"/>
        <v/>
      </c>
      <c r="D315" s="26" t="str">
        <f t="shared" si="18"/>
        <v/>
      </c>
      <c r="E315" s="29"/>
      <c r="F315" s="22"/>
      <c r="G315" s="22"/>
      <c r="H315" s="22"/>
      <c r="I315" s="24"/>
      <c r="J315" s="24"/>
      <c r="K315" s="24"/>
      <c r="L315" s="24"/>
      <c r="M315" s="27" t="str">
        <f t="shared" si="19"/>
        <v/>
      </c>
      <c r="N315" s="25"/>
      <c r="O315" s="22"/>
      <c r="P315" s="24"/>
      <c r="Q315" s="26"/>
    </row>
    <row r="316" spans="1:17" ht="15" x14ac:dyDescent="0.15">
      <c r="A316" s="22"/>
      <c r="B316" s="26" t="str">
        <f t="shared" si="16"/>
        <v/>
      </c>
      <c r="C316" s="26" t="str">
        <f t="shared" si="17"/>
        <v/>
      </c>
      <c r="D316" s="26" t="str">
        <f t="shared" si="18"/>
        <v/>
      </c>
      <c r="E316" s="29"/>
      <c r="F316" s="22"/>
      <c r="G316" s="22"/>
      <c r="H316" s="22"/>
      <c r="I316" s="24"/>
      <c r="J316" s="24"/>
      <c r="K316" s="24"/>
      <c r="L316" s="24"/>
      <c r="M316" s="27" t="str">
        <f t="shared" si="19"/>
        <v/>
      </c>
      <c r="N316" s="25"/>
      <c r="O316" s="22"/>
      <c r="P316" s="24"/>
      <c r="Q316" s="26"/>
    </row>
    <row r="317" spans="1:17" ht="15" x14ac:dyDescent="0.15">
      <c r="A317" s="22"/>
      <c r="B317" s="26" t="str">
        <f t="shared" si="16"/>
        <v/>
      </c>
      <c r="C317" s="26" t="str">
        <f t="shared" si="17"/>
        <v/>
      </c>
      <c r="D317" s="26" t="str">
        <f t="shared" si="18"/>
        <v/>
      </c>
      <c r="E317" s="29"/>
      <c r="F317" s="22"/>
      <c r="G317" s="22"/>
      <c r="H317" s="22"/>
      <c r="I317" s="24"/>
      <c r="J317" s="24"/>
      <c r="K317" s="24"/>
      <c r="L317" s="24"/>
      <c r="M317" s="27" t="str">
        <f t="shared" si="19"/>
        <v/>
      </c>
      <c r="N317" s="25"/>
      <c r="O317" s="22"/>
      <c r="P317" s="24"/>
      <c r="Q317" s="26"/>
    </row>
    <row r="318" spans="1:17" ht="15" x14ac:dyDescent="0.15">
      <c r="A318" s="22"/>
      <c r="B318" s="26" t="str">
        <f t="shared" si="16"/>
        <v/>
      </c>
      <c r="C318" s="26" t="str">
        <f t="shared" si="17"/>
        <v/>
      </c>
      <c r="D318" s="26" t="str">
        <f t="shared" si="18"/>
        <v/>
      </c>
      <c r="E318" s="29"/>
      <c r="F318" s="22"/>
      <c r="G318" s="22"/>
      <c r="H318" s="22"/>
      <c r="I318" s="24"/>
      <c r="J318" s="24"/>
      <c r="K318" s="24"/>
      <c r="L318" s="24"/>
      <c r="M318" s="27" t="str">
        <f t="shared" si="19"/>
        <v/>
      </c>
      <c r="N318" s="25"/>
      <c r="O318" s="22"/>
      <c r="P318" s="24"/>
      <c r="Q318" s="26"/>
    </row>
    <row r="319" spans="1:17" ht="15" x14ac:dyDescent="0.15">
      <c r="A319" s="22"/>
      <c r="B319" s="26" t="str">
        <f t="shared" si="16"/>
        <v/>
      </c>
      <c r="C319" s="26" t="str">
        <f t="shared" si="17"/>
        <v/>
      </c>
      <c r="D319" s="26" t="str">
        <f t="shared" si="18"/>
        <v/>
      </c>
      <c r="E319" s="29"/>
      <c r="F319" s="22"/>
      <c r="G319" s="22"/>
      <c r="H319" s="22"/>
      <c r="I319" s="24"/>
      <c r="J319" s="24"/>
      <c r="K319" s="24"/>
      <c r="L319" s="24"/>
      <c r="M319" s="27" t="str">
        <f t="shared" si="19"/>
        <v/>
      </c>
      <c r="N319" s="25"/>
      <c r="O319" s="22"/>
      <c r="P319" s="24"/>
      <c r="Q319" s="26"/>
    </row>
    <row r="320" spans="1:17" ht="15" x14ac:dyDescent="0.15">
      <c r="A320" s="22"/>
      <c r="B320" s="26" t="str">
        <f t="shared" si="16"/>
        <v/>
      </c>
      <c r="C320" s="26" t="str">
        <f t="shared" si="17"/>
        <v/>
      </c>
      <c r="D320" s="26" t="str">
        <f t="shared" si="18"/>
        <v/>
      </c>
      <c r="E320" s="29"/>
      <c r="F320" s="22"/>
      <c r="G320" s="22"/>
      <c r="H320" s="22"/>
      <c r="I320" s="24"/>
      <c r="J320" s="24"/>
      <c r="K320" s="24"/>
      <c r="L320" s="24"/>
      <c r="M320" s="27" t="str">
        <f t="shared" si="19"/>
        <v/>
      </c>
      <c r="N320" s="25"/>
      <c r="O320" s="22"/>
      <c r="P320" s="24"/>
      <c r="Q320" s="26"/>
    </row>
    <row r="321" spans="1:17" ht="15" x14ac:dyDescent="0.15">
      <c r="A321" s="22"/>
      <c r="B321" s="26" t="str">
        <f t="shared" si="16"/>
        <v/>
      </c>
      <c r="C321" s="26" t="str">
        <f t="shared" si="17"/>
        <v/>
      </c>
      <c r="D321" s="26" t="str">
        <f t="shared" si="18"/>
        <v/>
      </c>
      <c r="E321" s="29"/>
      <c r="F321" s="22"/>
      <c r="G321" s="22"/>
      <c r="H321" s="22"/>
      <c r="I321" s="24"/>
      <c r="J321" s="24"/>
      <c r="K321" s="24"/>
      <c r="L321" s="24"/>
      <c r="M321" s="27" t="str">
        <f t="shared" si="19"/>
        <v/>
      </c>
      <c r="N321" s="25"/>
      <c r="O321" s="22"/>
      <c r="P321" s="24"/>
      <c r="Q321" s="26"/>
    </row>
    <row r="322" spans="1:17" ht="15" x14ac:dyDescent="0.15">
      <c r="A322" s="22"/>
      <c r="B322" s="26" t="str">
        <f t="shared" si="16"/>
        <v/>
      </c>
      <c r="C322" s="26" t="str">
        <f t="shared" si="17"/>
        <v/>
      </c>
      <c r="D322" s="26" t="str">
        <f t="shared" si="18"/>
        <v/>
      </c>
      <c r="E322" s="29"/>
      <c r="F322" s="22"/>
      <c r="G322" s="22"/>
      <c r="H322" s="22"/>
      <c r="I322" s="24"/>
      <c r="J322" s="24"/>
      <c r="K322" s="24"/>
      <c r="L322" s="24"/>
      <c r="M322" s="27" t="str">
        <f t="shared" si="19"/>
        <v/>
      </c>
      <c r="N322" s="25"/>
      <c r="O322" s="22"/>
      <c r="P322" s="24"/>
      <c r="Q322" s="26"/>
    </row>
    <row r="323" spans="1:17" ht="15" x14ac:dyDescent="0.15">
      <c r="A323" s="22"/>
      <c r="B323" s="26" t="str">
        <f t="shared" si="16"/>
        <v/>
      </c>
      <c r="C323" s="26" t="str">
        <f t="shared" si="17"/>
        <v/>
      </c>
      <c r="D323" s="26" t="str">
        <f t="shared" si="18"/>
        <v/>
      </c>
      <c r="E323" s="29"/>
      <c r="F323" s="22"/>
      <c r="G323" s="22"/>
      <c r="H323" s="22"/>
      <c r="I323" s="24"/>
      <c r="J323" s="24"/>
      <c r="K323" s="24"/>
      <c r="L323" s="24"/>
      <c r="M323" s="27" t="str">
        <f t="shared" si="19"/>
        <v/>
      </c>
      <c r="N323" s="25"/>
      <c r="O323" s="22"/>
      <c r="P323" s="24"/>
      <c r="Q323" s="26"/>
    </row>
    <row r="324" spans="1:17" ht="15" x14ac:dyDescent="0.15">
      <c r="A324" s="22"/>
      <c r="B324" s="26" t="str">
        <f t="shared" si="16"/>
        <v/>
      </c>
      <c r="C324" s="26" t="str">
        <f t="shared" si="17"/>
        <v/>
      </c>
      <c r="D324" s="26" t="str">
        <f t="shared" si="18"/>
        <v/>
      </c>
      <c r="E324" s="29"/>
      <c r="F324" s="22"/>
      <c r="G324" s="22"/>
      <c r="H324" s="22"/>
      <c r="I324" s="24"/>
      <c r="J324" s="24"/>
      <c r="K324" s="24"/>
      <c r="L324" s="24"/>
      <c r="M324" s="27" t="str">
        <f t="shared" si="19"/>
        <v/>
      </c>
      <c r="N324" s="25"/>
      <c r="O324" s="22"/>
      <c r="P324" s="24"/>
      <c r="Q324" s="26"/>
    </row>
    <row r="325" spans="1:17" ht="15" x14ac:dyDescent="0.15">
      <c r="A325" s="22"/>
      <c r="B325" s="26" t="str">
        <f t="shared" si="16"/>
        <v/>
      </c>
      <c r="C325" s="26" t="str">
        <f t="shared" si="17"/>
        <v/>
      </c>
      <c r="D325" s="26" t="str">
        <f t="shared" si="18"/>
        <v/>
      </c>
      <c r="E325" s="29"/>
      <c r="F325" s="22"/>
      <c r="G325" s="22"/>
      <c r="H325" s="22"/>
      <c r="I325" s="24"/>
      <c r="J325" s="24"/>
      <c r="K325" s="24"/>
      <c r="L325" s="24"/>
      <c r="M325" s="27" t="str">
        <f t="shared" si="19"/>
        <v/>
      </c>
      <c r="N325" s="25"/>
      <c r="O325" s="22"/>
      <c r="P325" s="24"/>
      <c r="Q325" s="26"/>
    </row>
    <row r="326" spans="1:17" ht="15" x14ac:dyDescent="0.15">
      <c r="A326" s="22"/>
      <c r="B326" s="26" t="str">
        <f t="shared" si="16"/>
        <v/>
      </c>
      <c r="C326" s="26" t="str">
        <f t="shared" si="17"/>
        <v/>
      </c>
      <c r="D326" s="26" t="str">
        <f t="shared" si="18"/>
        <v/>
      </c>
      <c r="E326" s="29"/>
      <c r="F326" s="22"/>
      <c r="G326" s="22"/>
      <c r="H326" s="22"/>
      <c r="I326" s="24"/>
      <c r="J326" s="24"/>
      <c r="K326" s="24"/>
      <c r="L326" s="24"/>
      <c r="M326" s="27" t="str">
        <f t="shared" si="19"/>
        <v/>
      </c>
      <c r="N326" s="25"/>
      <c r="O326" s="22"/>
      <c r="P326" s="24"/>
      <c r="Q326" s="26"/>
    </row>
    <row r="327" spans="1:17" ht="15" x14ac:dyDescent="0.15">
      <c r="A327" s="22"/>
      <c r="B327" s="26" t="str">
        <f t="shared" ref="B327:B390" si="20">IFERROR(IF($A327="","",LEFT($A327,FIND(" | ",$A327)-1)),"")</f>
        <v/>
      </c>
      <c r="C327" s="26" t="str">
        <f t="shared" ref="C327:C390" si="21">IFERROR(IF($A327="","",MID($A327,FIND(" | ",$A327)+3,FIND(" | ",$A327,FIND(" | ",$A327)+3)-FIND(" | ",$A327)-3)),"")</f>
        <v/>
      </c>
      <c r="D327" s="26" t="str">
        <f t="shared" ref="D327:D390" si="22">IFERROR(IF($A327="","",RIGHT($A327,LEN($A327)-FIND(" | ",$A327,FIND(" | ",$A327)+3)-2)),"")</f>
        <v/>
      </c>
      <c r="E327" s="29"/>
      <c r="F327" s="22"/>
      <c r="G327" s="22"/>
      <c r="H327" s="22"/>
      <c r="I327" s="24"/>
      <c r="J327" s="24"/>
      <c r="K327" s="24"/>
      <c r="L327" s="24"/>
      <c r="M327" s="27" t="str">
        <f t="shared" ref="M327:M390" si="23">IF($B327="","",SUM($J327,-$K327,$L327))</f>
        <v/>
      </c>
      <c r="N327" s="25"/>
      <c r="O327" s="22"/>
      <c r="P327" s="24"/>
      <c r="Q327" s="26"/>
    </row>
    <row r="328" spans="1:17" ht="15" x14ac:dyDescent="0.15">
      <c r="A328" s="22"/>
      <c r="B328" s="26" t="str">
        <f t="shared" si="20"/>
        <v/>
      </c>
      <c r="C328" s="26" t="str">
        <f t="shared" si="21"/>
        <v/>
      </c>
      <c r="D328" s="26" t="str">
        <f t="shared" si="22"/>
        <v/>
      </c>
      <c r="E328" s="29"/>
      <c r="F328" s="22"/>
      <c r="G328" s="22"/>
      <c r="H328" s="22"/>
      <c r="I328" s="24"/>
      <c r="J328" s="24"/>
      <c r="K328" s="24"/>
      <c r="L328" s="24"/>
      <c r="M328" s="27" t="str">
        <f t="shared" si="23"/>
        <v/>
      </c>
      <c r="N328" s="25"/>
      <c r="O328" s="22"/>
      <c r="P328" s="24"/>
      <c r="Q328" s="26"/>
    </row>
    <row r="329" spans="1:17" ht="15" x14ac:dyDescent="0.15">
      <c r="A329" s="22"/>
      <c r="B329" s="26" t="str">
        <f t="shared" si="20"/>
        <v/>
      </c>
      <c r="C329" s="26" t="str">
        <f t="shared" si="21"/>
        <v/>
      </c>
      <c r="D329" s="26" t="str">
        <f t="shared" si="22"/>
        <v/>
      </c>
      <c r="E329" s="29"/>
      <c r="F329" s="22"/>
      <c r="G329" s="22"/>
      <c r="H329" s="22"/>
      <c r="I329" s="24"/>
      <c r="J329" s="24"/>
      <c r="K329" s="24"/>
      <c r="L329" s="24"/>
      <c r="M329" s="27" t="str">
        <f t="shared" si="23"/>
        <v/>
      </c>
      <c r="N329" s="25"/>
      <c r="O329" s="22"/>
      <c r="P329" s="24"/>
      <c r="Q329" s="26"/>
    </row>
    <row r="330" spans="1:17" ht="15" x14ac:dyDescent="0.15">
      <c r="A330" s="22"/>
      <c r="B330" s="26" t="str">
        <f t="shared" si="20"/>
        <v/>
      </c>
      <c r="C330" s="26" t="str">
        <f t="shared" si="21"/>
        <v/>
      </c>
      <c r="D330" s="26" t="str">
        <f t="shared" si="22"/>
        <v/>
      </c>
      <c r="E330" s="29"/>
      <c r="F330" s="22"/>
      <c r="G330" s="22"/>
      <c r="H330" s="22"/>
      <c r="I330" s="24"/>
      <c r="J330" s="24"/>
      <c r="K330" s="24"/>
      <c r="L330" s="24"/>
      <c r="M330" s="27" t="str">
        <f t="shared" si="23"/>
        <v/>
      </c>
      <c r="N330" s="25"/>
      <c r="O330" s="22"/>
      <c r="P330" s="24"/>
      <c r="Q330" s="26"/>
    </row>
    <row r="331" spans="1:17" ht="15" x14ac:dyDescent="0.15">
      <c r="A331" s="22"/>
      <c r="B331" s="26" t="str">
        <f t="shared" si="20"/>
        <v/>
      </c>
      <c r="C331" s="26" t="str">
        <f t="shared" si="21"/>
        <v/>
      </c>
      <c r="D331" s="26" t="str">
        <f t="shared" si="22"/>
        <v/>
      </c>
      <c r="E331" s="29"/>
      <c r="F331" s="22"/>
      <c r="G331" s="22"/>
      <c r="H331" s="22"/>
      <c r="I331" s="24"/>
      <c r="J331" s="24"/>
      <c r="K331" s="24"/>
      <c r="L331" s="24"/>
      <c r="M331" s="27" t="str">
        <f t="shared" si="23"/>
        <v/>
      </c>
      <c r="N331" s="25"/>
      <c r="O331" s="22"/>
      <c r="P331" s="24"/>
      <c r="Q331" s="26"/>
    </row>
    <row r="332" spans="1:17" ht="15" x14ac:dyDescent="0.15">
      <c r="A332" s="22"/>
      <c r="B332" s="26" t="str">
        <f t="shared" si="20"/>
        <v/>
      </c>
      <c r="C332" s="26" t="str">
        <f t="shared" si="21"/>
        <v/>
      </c>
      <c r="D332" s="26" t="str">
        <f t="shared" si="22"/>
        <v/>
      </c>
      <c r="E332" s="29"/>
      <c r="F332" s="22"/>
      <c r="G332" s="22"/>
      <c r="H332" s="22"/>
      <c r="I332" s="24"/>
      <c r="J332" s="24"/>
      <c r="K332" s="24"/>
      <c r="L332" s="24"/>
      <c r="M332" s="27" t="str">
        <f t="shared" si="23"/>
        <v/>
      </c>
      <c r="N332" s="25"/>
      <c r="O332" s="22"/>
      <c r="P332" s="24"/>
      <c r="Q332" s="26"/>
    </row>
    <row r="333" spans="1:17" ht="15" x14ac:dyDescent="0.15">
      <c r="A333" s="22"/>
      <c r="B333" s="26" t="str">
        <f t="shared" si="20"/>
        <v/>
      </c>
      <c r="C333" s="26" t="str">
        <f t="shared" si="21"/>
        <v/>
      </c>
      <c r="D333" s="26" t="str">
        <f t="shared" si="22"/>
        <v/>
      </c>
      <c r="E333" s="29"/>
      <c r="F333" s="22"/>
      <c r="G333" s="22"/>
      <c r="H333" s="22"/>
      <c r="I333" s="24"/>
      <c r="J333" s="24"/>
      <c r="K333" s="24"/>
      <c r="L333" s="24"/>
      <c r="M333" s="27" t="str">
        <f t="shared" si="23"/>
        <v/>
      </c>
      <c r="N333" s="25"/>
      <c r="O333" s="22"/>
      <c r="P333" s="24"/>
      <c r="Q333" s="26"/>
    </row>
    <row r="334" spans="1:17" ht="15" x14ac:dyDescent="0.15">
      <c r="A334" s="22"/>
      <c r="B334" s="26" t="str">
        <f t="shared" si="20"/>
        <v/>
      </c>
      <c r="C334" s="26" t="str">
        <f t="shared" si="21"/>
        <v/>
      </c>
      <c r="D334" s="26" t="str">
        <f t="shared" si="22"/>
        <v/>
      </c>
      <c r="E334" s="29"/>
      <c r="F334" s="22"/>
      <c r="G334" s="22"/>
      <c r="H334" s="22"/>
      <c r="I334" s="24"/>
      <c r="J334" s="24"/>
      <c r="K334" s="24"/>
      <c r="L334" s="24"/>
      <c r="M334" s="27" t="str">
        <f t="shared" si="23"/>
        <v/>
      </c>
      <c r="N334" s="25"/>
      <c r="O334" s="22"/>
      <c r="P334" s="24"/>
      <c r="Q334" s="26"/>
    </row>
    <row r="335" spans="1:17" ht="15" x14ac:dyDescent="0.15">
      <c r="A335" s="22"/>
      <c r="B335" s="26" t="str">
        <f t="shared" si="20"/>
        <v/>
      </c>
      <c r="C335" s="26" t="str">
        <f t="shared" si="21"/>
        <v/>
      </c>
      <c r="D335" s="26" t="str">
        <f t="shared" si="22"/>
        <v/>
      </c>
      <c r="E335" s="29"/>
      <c r="F335" s="22"/>
      <c r="G335" s="22"/>
      <c r="H335" s="22"/>
      <c r="I335" s="24"/>
      <c r="J335" s="24"/>
      <c r="K335" s="24"/>
      <c r="L335" s="24"/>
      <c r="M335" s="27" t="str">
        <f t="shared" si="23"/>
        <v/>
      </c>
      <c r="N335" s="25"/>
      <c r="O335" s="22"/>
      <c r="P335" s="24"/>
      <c r="Q335" s="26"/>
    </row>
    <row r="336" spans="1:17" ht="15" x14ac:dyDescent="0.15">
      <c r="A336" s="22"/>
      <c r="B336" s="26" t="str">
        <f t="shared" si="20"/>
        <v/>
      </c>
      <c r="C336" s="26" t="str">
        <f t="shared" si="21"/>
        <v/>
      </c>
      <c r="D336" s="26" t="str">
        <f t="shared" si="22"/>
        <v/>
      </c>
      <c r="E336" s="29"/>
      <c r="F336" s="22"/>
      <c r="G336" s="22"/>
      <c r="H336" s="22"/>
      <c r="I336" s="24"/>
      <c r="J336" s="24"/>
      <c r="K336" s="24"/>
      <c r="L336" s="24"/>
      <c r="M336" s="27" t="str">
        <f t="shared" si="23"/>
        <v/>
      </c>
      <c r="N336" s="25"/>
      <c r="O336" s="22"/>
      <c r="P336" s="24"/>
      <c r="Q336" s="26"/>
    </row>
    <row r="337" spans="1:17" ht="15" x14ac:dyDescent="0.15">
      <c r="A337" s="22"/>
      <c r="B337" s="26" t="str">
        <f t="shared" si="20"/>
        <v/>
      </c>
      <c r="C337" s="26" t="str">
        <f t="shared" si="21"/>
        <v/>
      </c>
      <c r="D337" s="26" t="str">
        <f t="shared" si="22"/>
        <v/>
      </c>
      <c r="E337" s="29"/>
      <c r="F337" s="22"/>
      <c r="G337" s="22"/>
      <c r="H337" s="22"/>
      <c r="I337" s="24"/>
      <c r="J337" s="24"/>
      <c r="K337" s="24"/>
      <c r="L337" s="24"/>
      <c r="M337" s="27" t="str">
        <f t="shared" si="23"/>
        <v/>
      </c>
      <c r="N337" s="25"/>
      <c r="O337" s="22"/>
      <c r="P337" s="24"/>
      <c r="Q337" s="26"/>
    </row>
    <row r="338" spans="1:17" ht="15" x14ac:dyDescent="0.15">
      <c r="A338" s="22"/>
      <c r="B338" s="26" t="str">
        <f t="shared" si="20"/>
        <v/>
      </c>
      <c r="C338" s="26" t="str">
        <f t="shared" si="21"/>
        <v/>
      </c>
      <c r="D338" s="26" t="str">
        <f t="shared" si="22"/>
        <v/>
      </c>
      <c r="E338" s="29"/>
      <c r="F338" s="22"/>
      <c r="G338" s="22"/>
      <c r="H338" s="22"/>
      <c r="I338" s="24"/>
      <c r="J338" s="24"/>
      <c r="K338" s="24"/>
      <c r="L338" s="24"/>
      <c r="M338" s="27" t="str">
        <f t="shared" si="23"/>
        <v/>
      </c>
      <c r="N338" s="25"/>
      <c r="O338" s="22"/>
      <c r="P338" s="24"/>
      <c r="Q338" s="26"/>
    </row>
    <row r="339" spans="1:17" ht="15" x14ac:dyDescent="0.15">
      <c r="A339" s="22"/>
      <c r="B339" s="26" t="str">
        <f t="shared" si="20"/>
        <v/>
      </c>
      <c r="C339" s="26" t="str">
        <f t="shared" si="21"/>
        <v/>
      </c>
      <c r="D339" s="26" t="str">
        <f t="shared" si="22"/>
        <v/>
      </c>
      <c r="E339" s="29"/>
      <c r="F339" s="22"/>
      <c r="G339" s="22"/>
      <c r="H339" s="22"/>
      <c r="I339" s="24"/>
      <c r="J339" s="24"/>
      <c r="K339" s="24"/>
      <c r="L339" s="24"/>
      <c r="M339" s="27" t="str">
        <f t="shared" si="23"/>
        <v/>
      </c>
      <c r="N339" s="25"/>
      <c r="O339" s="22"/>
      <c r="P339" s="24"/>
      <c r="Q339" s="26"/>
    </row>
    <row r="340" spans="1:17" ht="15" x14ac:dyDescent="0.15">
      <c r="A340" s="22"/>
      <c r="B340" s="26" t="str">
        <f t="shared" si="20"/>
        <v/>
      </c>
      <c r="C340" s="26" t="str">
        <f t="shared" si="21"/>
        <v/>
      </c>
      <c r="D340" s="26" t="str">
        <f t="shared" si="22"/>
        <v/>
      </c>
      <c r="E340" s="29"/>
      <c r="F340" s="22"/>
      <c r="G340" s="22"/>
      <c r="H340" s="22"/>
      <c r="I340" s="24"/>
      <c r="J340" s="24"/>
      <c r="K340" s="24"/>
      <c r="L340" s="24"/>
      <c r="M340" s="27" t="str">
        <f t="shared" si="23"/>
        <v/>
      </c>
      <c r="N340" s="25"/>
      <c r="O340" s="22"/>
      <c r="P340" s="24"/>
      <c r="Q340" s="26"/>
    </row>
    <row r="341" spans="1:17" ht="15" x14ac:dyDescent="0.15">
      <c r="A341" s="22"/>
      <c r="B341" s="26" t="str">
        <f t="shared" si="20"/>
        <v/>
      </c>
      <c r="C341" s="26" t="str">
        <f t="shared" si="21"/>
        <v/>
      </c>
      <c r="D341" s="26" t="str">
        <f t="shared" si="22"/>
        <v/>
      </c>
      <c r="E341" s="29"/>
      <c r="F341" s="22"/>
      <c r="G341" s="22"/>
      <c r="H341" s="22"/>
      <c r="I341" s="24"/>
      <c r="J341" s="24"/>
      <c r="K341" s="24"/>
      <c r="L341" s="24"/>
      <c r="M341" s="27" t="str">
        <f t="shared" si="23"/>
        <v/>
      </c>
      <c r="N341" s="25"/>
      <c r="O341" s="22"/>
      <c r="P341" s="24"/>
      <c r="Q341" s="26"/>
    </row>
    <row r="342" spans="1:17" ht="15" x14ac:dyDescent="0.15">
      <c r="A342" s="22"/>
      <c r="B342" s="26" t="str">
        <f t="shared" si="20"/>
        <v/>
      </c>
      <c r="C342" s="26" t="str">
        <f t="shared" si="21"/>
        <v/>
      </c>
      <c r="D342" s="26" t="str">
        <f t="shared" si="22"/>
        <v/>
      </c>
      <c r="E342" s="29"/>
      <c r="F342" s="22"/>
      <c r="G342" s="22"/>
      <c r="H342" s="22"/>
      <c r="I342" s="24"/>
      <c r="J342" s="24"/>
      <c r="K342" s="24"/>
      <c r="L342" s="24"/>
      <c r="M342" s="27" t="str">
        <f t="shared" si="23"/>
        <v/>
      </c>
      <c r="N342" s="25"/>
      <c r="O342" s="22"/>
      <c r="P342" s="24"/>
      <c r="Q342" s="26"/>
    </row>
    <row r="343" spans="1:17" ht="15" x14ac:dyDescent="0.15">
      <c r="A343" s="22"/>
      <c r="B343" s="26" t="str">
        <f t="shared" si="20"/>
        <v/>
      </c>
      <c r="C343" s="26" t="str">
        <f t="shared" si="21"/>
        <v/>
      </c>
      <c r="D343" s="26" t="str">
        <f t="shared" si="22"/>
        <v/>
      </c>
      <c r="E343" s="29"/>
      <c r="F343" s="22"/>
      <c r="G343" s="22"/>
      <c r="H343" s="22"/>
      <c r="I343" s="24"/>
      <c r="J343" s="24"/>
      <c r="K343" s="24"/>
      <c r="L343" s="24"/>
      <c r="M343" s="27" t="str">
        <f t="shared" si="23"/>
        <v/>
      </c>
      <c r="N343" s="25"/>
      <c r="O343" s="22"/>
      <c r="P343" s="24"/>
      <c r="Q343" s="26"/>
    </row>
    <row r="344" spans="1:17" ht="15" x14ac:dyDescent="0.15">
      <c r="A344" s="22"/>
      <c r="B344" s="26" t="str">
        <f t="shared" si="20"/>
        <v/>
      </c>
      <c r="C344" s="26" t="str">
        <f t="shared" si="21"/>
        <v/>
      </c>
      <c r="D344" s="26" t="str">
        <f t="shared" si="22"/>
        <v/>
      </c>
      <c r="E344" s="29"/>
      <c r="F344" s="22"/>
      <c r="G344" s="22"/>
      <c r="H344" s="22"/>
      <c r="I344" s="24"/>
      <c r="J344" s="24"/>
      <c r="K344" s="24"/>
      <c r="L344" s="24"/>
      <c r="M344" s="27" t="str">
        <f t="shared" si="23"/>
        <v/>
      </c>
      <c r="N344" s="25"/>
      <c r="O344" s="22"/>
      <c r="P344" s="24"/>
      <c r="Q344" s="26"/>
    </row>
    <row r="345" spans="1:17" ht="15" x14ac:dyDescent="0.15">
      <c r="A345" s="22"/>
      <c r="B345" s="26" t="str">
        <f t="shared" si="20"/>
        <v/>
      </c>
      <c r="C345" s="26" t="str">
        <f t="shared" si="21"/>
        <v/>
      </c>
      <c r="D345" s="26" t="str">
        <f t="shared" si="22"/>
        <v/>
      </c>
      <c r="E345" s="29"/>
      <c r="F345" s="22"/>
      <c r="G345" s="22"/>
      <c r="H345" s="22"/>
      <c r="I345" s="24"/>
      <c r="J345" s="24"/>
      <c r="K345" s="24"/>
      <c r="L345" s="24"/>
      <c r="M345" s="27" t="str">
        <f t="shared" si="23"/>
        <v/>
      </c>
      <c r="N345" s="25"/>
      <c r="O345" s="22"/>
      <c r="P345" s="24"/>
      <c r="Q345" s="26"/>
    </row>
    <row r="346" spans="1:17" ht="15" x14ac:dyDescent="0.15">
      <c r="A346" s="22"/>
      <c r="B346" s="26" t="str">
        <f t="shared" si="20"/>
        <v/>
      </c>
      <c r="C346" s="26" t="str">
        <f t="shared" si="21"/>
        <v/>
      </c>
      <c r="D346" s="26" t="str">
        <f t="shared" si="22"/>
        <v/>
      </c>
      <c r="E346" s="29"/>
      <c r="F346" s="22"/>
      <c r="G346" s="22"/>
      <c r="H346" s="22"/>
      <c r="I346" s="24"/>
      <c r="J346" s="24"/>
      <c r="K346" s="24"/>
      <c r="L346" s="24"/>
      <c r="M346" s="27" t="str">
        <f t="shared" si="23"/>
        <v/>
      </c>
      <c r="N346" s="25"/>
      <c r="O346" s="22"/>
      <c r="P346" s="24"/>
      <c r="Q346" s="26"/>
    </row>
    <row r="347" spans="1:17" ht="15" x14ac:dyDescent="0.15">
      <c r="A347" s="22"/>
      <c r="B347" s="26" t="str">
        <f t="shared" si="20"/>
        <v/>
      </c>
      <c r="C347" s="26" t="str">
        <f t="shared" si="21"/>
        <v/>
      </c>
      <c r="D347" s="26" t="str">
        <f t="shared" si="22"/>
        <v/>
      </c>
      <c r="E347" s="29"/>
      <c r="F347" s="22"/>
      <c r="G347" s="22"/>
      <c r="H347" s="22"/>
      <c r="I347" s="24"/>
      <c r="J347" s="24"/>
      <c r="K347" s="24"/>
      <c r="L347" s="24"/>
      <c r="M347" s="27" t="str">
        <f t="shared" si="23"/>
        <v/>
      </c>
      <c r="N347" s="25"/>
      <c r="O347" s="22"/>
      <c r="P347" s="24"/>
      <c r="Q347" s="26"/>
    </row>
    <row r="348" spans="1:17" ht="15" x14ac:dyDescent="0.15">
      <c r="A348" s="22"/>
      <c r="B348" s="26" t="str">
        <f t="shared" si="20"/>
        <v/>
      </c>
      <c r="C348" s="26" t="str">
        <f t="shared" si="21"/>
        <v/>
      </c>
      <c r="D348" s="26" t="str">
        <f t="shared" si="22"/>
        <v/>
      </c>
      <c r="E348" s="29"/>
      <c r="F348" s="22"/>
      <c r="G348" s="22"/>
      <c r="H348" s="22"/>
      <c r="I348" s="24"/>
      <c r="J348" s="24"/>
      <c r="K348" s="24"/>
      <c r="L348" s="24"/>
      <c r="M348" s="27" t="str">
        <f t="shared" si="23"/>
        <v/>
      </c>
      <c r="N348" s="25"/>
      <c r="O348" s="22"/>
      <c r="P348" s="24"/>
      <c r="Q348" s="26"/>
    </row>
    <row r="349" spans="1:17" ht="15" x14ac:dyDescent="0.15">
      <c r="A349" s="22"/>
      <c r="B349" s="26" t="str">
        <f t="shared" si="20"/>
        <v/>
      </c>
      <c r="C349" s="26" t="str">
        <f t="shared" si="21"/>
        <v/>
      </c>
      <c r="D349" s="26" t="str">
        <f t="shared" si="22"/>
        <v/>
      </c>
      <c r="E349" s="29"/>
      <c r="F349" s="22"/>
      <c r="G349" s="22"/>
      <c r="H349" s="22"/>
      <c r="I349" s="24"/>
      <c r="J349" s="24"/>
      <c r="K349" s="24"/>
      <c r="L349" s="24"/>
      <c r="M349" s="27" t="str">
        <f t="shared" si="23"/>
        <v/>
      </c>
      <c r="N349" s="25"/>
      <c r="O349" s="22"/>
      <c r="P349" s="24"/>
      <c r="Q349" s="26"/>
    </row>
    <row r="350" spans="1:17" ht="15" x14ac:dyDescent="0.15">
      <c r="A350" s="22"/>
      <c r="B350" s="26" t="str">
        <f t="shared" si="20"/>
        <v/>
      </c>
      <c r="C350" s="26" t="str">
        <f t="shared" si="21"/>
        <v/>
      </c>
      <c r="D350" s="26" t="str">
        <f t="shared" si="22"/>
        <v/>
      </c>
      <c r="E350" s="29"/>
      <c r="F350" s="22"/>
      <c r="G350" s="22"/>
      <c r="H350" s="22"/>
      <c r="I350" s="24"/>
      <c r="J350" s="24"/>
      <c r="K350" s="24"/>
      <c r="L350" s="24"/>
      <c r="M350" s="27" t="str">
        <f t="shared" si="23"/>
        <v/>
      </c>
      <c r="N350" s="25"/>
      <c r="O350" s="22"/>
      <c r="P350" s="24"/>
      <c r="Q350" s="26"/>
    </row>
    <row r="351" spans="1:17" ht="15" x14ac:dyDescent="0.15">
      <c r="A351" s="22"/>
      <c r="B351" s="26" t="str">
        <f t="shared" si="20"/>
        <v/>
      </c>
      <c r="C351" s="26" t="str">
        <f t="shared" si="21"/>
        <v/>
      </c>
      <c r="D351" s="26" t="str">
        <f t="shared" si="22"/>
        <v/>
      </c>
      <c r="E351" s="29"/>
      <c r="F351" s="22"/>
      <c r="G351" s="22"/>
      <c r="H351" s="22"/>
      <c r="I351" s="24"/>
      <c r="J351" s="24"/>
      <c r="K351" s="24"/>
      <c r="L351" s="24"/>
      <c r="M351" s="27" t="str">
        <f t="shared" si="23"/>
        <v/>
      </c>
      <c r="N351" s="25"/>
      <c r="O351" s="22"/>
      <c r="P351" s="24"/>
      <c r="Q351" s="26"/>
    </row>
    <row r="352" spans="1:17" ht="15" x14ac:dyDescent="0.15">
      <c r="A352" s="22"/>
      <c r="B352" s="26" t="str">
        <f t="shared" si="20"/>
        <v/>
      </c>
      <c r="C352" s="26" t="str">
        <f t="shared" si="21"/>
        <v/>
      </c>
      <c r="D352" s="26" t="str">
        <f t="shared" si="22"/>
        <v/>
      </c>
      <c r="E352" s="29"/>
      <c r="F352" s="22"/>
      <c r="G352" s="22"/>
      <c r="H352" s="22"/>
      <c r="I352" s="24"/>
      <c r="J352" s="24"/>
      <c r="K352" s="24"/>
      <c r="L352" s="24"/>
      <c r="M352" s="27" t="str">
        <f t="shared" si="23"/>
        <v/>
      </c>
      <c r="N352" s="25"/>
      <c r="O352" s="22"/>
      <c r="P352" s="24"/>
      <c r="Q352" s="26"/>
    </row>
    <row r="353" spans="1:17" ht="15" x14ac:dyDescent="0.15">
      <c r="A353" s="22"/>
      <c r="B353" s="26" t="str">
        <f t="shared" si="20"/>
        <v/>
      </c>
      <c r="C353" s="26" t="str">
        <f t="shared" si="21"/>
        <v/>
      </c>
      <c r="D353" s="26" t="str">
        <f t="shared" si="22"/>
        <v/>
      </c>
      <c r="E353" s="29"/>
      <c r="F353" s="22"/>
      <c r="G353" s="22"/>
      <c r="H353" s="22"/>
      <c r="I353" s="24"/>
      <c r="J353" s="24"/>
      <c r="K353" s="24"/>
      <c r="L353" s="24"/>
      <c r="M353" s="27" t="str">
        <f t="shared" si="23"/>
        <v/>
      </c>
      <c r="N353" s="25"/>
      <c r="O353" s="22"/>
      <c r="P353" s="24"/>
      <c r="Q353" s="26"/>
    </row>
    <row r="354" spans="1:17" ht="15" x14ac:dyDescent="0.15">
      <c r="A354" s="22"/>
      <c r="B354" s="26" t="str">
        <f t="shared" si="20"/>
        <v/>
      </c>
      <c r="C354" s="26" t="str">
        <f t="shared" si="21"/>
        <v/>
      </c>
      <c r="D354" s="26" t="str">
        <f t="shared" si="22"/>
        <v/>
      </c>
      <c r="E354" s="29"/>
      <c r="F354" s="22"/>
      <c r="G354" s="22"/>
      <c r="H354" s="22"/>
      <c r="I354" s="24"/>
      <c r="J354" s="24"/>
      <c r="K354" s="24"/>
      <c r="L354" s="24"/>
      <c r="M354" s="27" t="str">
        <f t="shared" si="23"/>
        <v/>
      </c>
      <c r="N354" s="25"/>
      <c r="O354" s="22"/>
      <c r="P354" s="24"/>
      <c r="Q354" s="26"/>
    </row>
    <row r="355" spans="1:17" ht="15" x14ac:dyDescent="0.15">
      <c r="A355" s="22"/>
      <c r="B355" s="26" t="str">
        <f t="shared" si="20"/>
        <v/>
      </c>
      <c r="C355" s="26" t="str">
        <f t="shared" si="21"/>
        <v/>
      </c>
      <c r="D355" s="26" t="str">
        <f t="shared" si="22"/>
        <v/>
      </c>
      <c r="E355" s="29"/>
      <c r="F355" s="22"/>
      <c r="G355" s="22"/>
      <c r="H355" s="22"/>
      <c r="I355" s="24"/>
      <c r="J355" s="24"/>
      <c r="K355" s="24"/>
      <c r="L355" s="24"/>
      <c r="M355" s="27" t="str">
        <f t="shared" si="23"/>
        <v/>
      </c>
      <c r="N355" s="25"/>
      <c r="O355" s="22"/>
      <c r="P355" s="24"/>
      <c r="Q355" s="26"/>
    </row>
    <row r="356" spans="1:17" ht="15" x14ac:dyDescent="0.15">
      <c r="A356" s="22"/>
      <c r="B356" s="26" t="str">
        <f t="shared" si="20"/>
        <v/>
      </c>
      <c r="C356" s="26" t="str">
        <f t="shared" si="21"/>
        <v/>
      </c>
      <c r="D356" s="26" t="str">
        <f t="shared" si="22"/>
        <v/>
      </c>
      <c r="E356" s="29"/>
      <c r="F356" s="22"/>
      <c r="G356" s="22"/>
      <c r="H356" s="22"/>
      <c r="I356" s="24"/>
      <c r="J356" s="24"/>
      <c r="K356" s="24"/>
      <c r="L356" s="24"/>
      <c r="M356" s="27" t="str">
        <f t="shared" si="23"/>
        <v/>
      </c>
      <c r="N356" s="25"/>
      <c r="O356" s="22"/>
      <c r="P356" s="24"/>
      <c r="Q356" s="26"/>
    </row>
    <row r="357" spans="1:17" ht="15" x14ac:dyDescent="0.15">
      <c r="A357" s="22"/>
      <c r="B357" s="26" t="str">
        <f t="shared" si="20"/>
        <v/>
      </c>
      <c r="C357" s="26" t="str">
        <f t="shared" si="21"/>
        <v/>
      </c>
      <c r="D357" s="26" t="str">
        <f t="shared" si="22"/>
        <v/>
      </c>
      <c r="E357" s="29"/>
      <c r="F357" s="22"/>
      <c r="G357" s="22"/>
      <c r="H357" s="22"/>
      <c r="I357" s="24"/>
      <c r="J357" s="24"/>
      <c r="K357" s="24"/>
      <c r="L357" s="24"/>
      <c r="M357" s="27" t="str">
        <f t="shared" si="23"/>
        <v/>
      </c>
      <c r="N357" s="25"/>
      <c r="O357" s="22"/>
      <c r="P357" s="24"/>
      <c r="Q357" s="26"/>
    </row>
    <row r="358" spans="1:17" ht="15" x14ac:dyDescent="0.15">
      <c r="A358" s="22"/>
      <c r="B358" s="26" t="str">
        <f t="shared" si="20"/>
        <v/>
      </c>
      <c r="C358" s="26" t="str">
        <f t="shared" si="21"/>
        <v/>
      </c>
      <c r="D358" s="26" t="str">
        <f t="shared" si="22"/>
        <v/>
      </c>
      <c r="E358" s="29"/>
      <c r="F358" s="22"/>
      <c r="G358" s="22"/>
      <c r="H358" s="22"/>
      <c r="I358" s="24"/>
      <c r="J358" s="24"/>
      <c r="K358" s="24"/>
      <c r="L358" s="24"/>
      <c r="M358" s="27" t="str">
        <f t="shared" si="23"/>
        <v/>
      </c>
      <c r="N358" s="25"/>
      <c r="O358" s="22"/>
      <c r="P358" s="24"/>
      <c r="Q358" s="26"/>
    </row>
    <row r="359" spans="1:17" ht="15" x14ac:dyDescent="0.15">
      <c r="A359" s="22"/>
      <c r="B359" s="26" t="str">
        <f t="shared" si="20"/>
        <v/>
      </c>
      <c r="C359" s="26" t="str">
        <f t="shared" si="21"/>
        <v/>
      </c>
      <c r="D359" s="26" t="str">
        <f t="shared" si="22"/>
        <v/>
      </c>
      <c r="E359" s="29"/>
      <c r="F359" s="22"/>
      <c r="G359" s="22"/>
      <c r="H359" s="22"/>
      <c r="I359" s="24"/>
      <c r="J359" s="24"/>
      <c r="K359" s="24"/>
      <c r="L359" s="24"/>
      <c r="M359" s="27" t="str">
        <f t="shared" si="23"/>
        <v/>
      </c>
      <c r="N359" s="25"/>
      <c r="O359" s="22"/>
      <c r="P359" s="24"/>
      <c r="Q359" s="26"/>
    </row>
    <row r="360" spans="1:17" ht="15" x14ac:dyDescent="0.15">
      <c r="A360" s="22"/>
      <c r="B360" s="26" t="str">
        <f t="shared" si="20"/>
        <v/>
      </c>
      <c r="C360" s="26" t="str">
        <f t="shared" si="21"/>
        <v/>
      </c>
      <c r="D360" s="26" t="str">
        <f t="shared" si="22"/>
        <v/>
      </c>
      <c r="E360" s="29"/>
      <c r="F360" s="22"/>
      <c r="G360" s="22"/>
      <c r="H360" s="22"/>
      <c r="I360" s="24"/>
      <c r="J360" s="24"/>
      <c r="K360" s="24"/>
      <c r="L360" s="24"/>
      <c r="M360" s="27" t="str">
        <f t="shared" si="23"/>
        <v/>
      </c>
      <c r="N360" s="25"/>
      <c r="O360" s="22"/>
      <c r="P360" s="24"/>
      <c r="Q360" s="26"/>
    </row>
    <row r="361" spans="1:17" ht="15" x14ac:dyDescent="0.15">
      <c r="A361" s="22"/>
      <c r="B361" s="26" t="str">
        <f t="shared" si="20"/>
        <v/>
      </c>
      <c r="C361" s="26" t="str">
        <f t="shared" si="21"/>
        <v/>
      </c>
      <c r="D361" s="26" t="str">
        <f t="shared" si="22"/>
        <v/>
      </c>
      <c r="E361" s="29"/>
      <c r="F361" s="22"/>
      <c r="G361" s="22"/>
      <c r="H361" s="22"/>
      <c r="I361" s="24"/>
      <c r="J361" s="24"/>
      <c r="K361" s="24"/>
      <c r="L361" s="24"/>
      <c r="M361" s="27" t="str">
        <f t="shared" si="23"/>
        <v/>
      </c>
      <c r="N361" s="25"/>
      <c r="O361" s="22"/>
      <c r="P361" s="24"/>
      <c r="Q361" s="26"/>
    </row>
    <row r="362" spans="1:17" ht="15" x14ac:dyDescent="0.15">
      <c r="A362" s="22"/>
      <c r="B362" s="26" t="str">
        <f t="shared" si="20"/>
        <v/>
      </c>
      <c r="C362" s="26" t="str">
        <f t="shared" si="21"/>
        <v/>
      </c>
      <c r="D362" s="26" t="str">
        <f t="shared" si="22"/>
        <v/>
      </c>
      <c r="E362" s="29"/>
      <c r="F362" s="22"/>
      <c r="G362" s="22"/>
      <c r="H362" s="22"/>
      <c r="I362" s="24"/>
      <c r="J362" s="24"/>
      <c r="K362" s="24"/>
      <c r="L362" s="24"/>
      <c r="M362" s="27" t="str">
        <f t="shared" si="23"/>
        <v/>
      </c>
      <c r="N362" s="25"/>
      <c r="O362" s="22"/>
      <c r="P362" s="24"/>
      <c r="Q362" s="26"/>
    </row>
    <row r="363" spans="1:17" ht="15" x14ac:dyDescent="0.15">
      <c r="A363" s="22"/>
      <c r="B363" s="26" t="str">
        <f t="shared" si="20"/>
        <v/>
      </c>
      <c r="C363" s="26" t="str">
        <f t="shared" si="21"/>
        <v/>
      </c>
      <c r="D363" s="26" t="str">
        <f t="shared" si="22"/>
        <v/>
      </c>
      <c r="E363" s="29"/>
      <c r="F363" s="22"/>
      <c r="G363" s="22"/>
      <c r="H363" s="22"/>
      <c r="I363" s="24"/>
      <c r="J363" s="24"/>
      <c r="K363" s="24"/>
      <c r="L363" s="24"/>
      <c r="M363" s="27" t="str">
        <f t="shared" si="23"/>
        <v/>
      </c>
      <c r="N363" s="25"/>
      <c r="O363" s="22"/>
      <c r="P363" s="24"/>
      <c r="Q363" s="26"/>
    </row>
    <row r="364" spans="1:17" ht="15" x14ac:dyDescent="0.15">
      <c r="A364" s="22"/>
      <c r="B364" s="26" t="str">
        <f t="shared" si="20"/>
        <v/>
      </c>
      <c r="C364" s="26" t="str">
        <f t="shared" si="21"/>
        <v/>
      </c>
      <c r="D364" s="26" t="str">
        <f t="shared" si="22"/>
        <v/>
      </c>
      <c r="E364" s="29"/>
      <c r="F364" s="22"/>
      <c r="G364" s="22"/>
      <c r="H364" s="22"/>
      <c r="I364" s="24"/>
      <c r="J364" s="24"/>
      <c r="K364" s="24"/>
      <c r="L364" s="24"/>
      <c r="M364" s="27" t="str">
        <f t="shared" si="23"/>
        <v/>
      </c>
      <c r="N364" s="25"/>
      <c r="O364" s="22"/>
      <c r="P364" s="24"/>
      <c r="Q364" s="26"/>
    </row>
    <row r="365" spans="1:17" ht="15" x14ac:dyDescent="0.15">
      <c r="A365" s="22"/>
      <c r="B365" s="26" t="str">
        <f t="shared" si="20"/>
        <v/>
      </c>
      <c r="C365" s="26" t="str">
        <f t="shared" si="21"/>
        <v/>
      </c>
      <c r="D365" s="26" t="str">
        <f t="shared" si="22"/>
        <v/>
      </c>
      <c r="E365" s="29"/>
      <c r="F365" s="22"/>
      <c r="G365" s="22"/>
      <c r="H365" s="22"/>
      <c r="I365" s="24"/>
      <c r="J365" s="24"/>
      <c r="K365" s="24"/>
      <c r="L365" s="24"/>
      <c r="M365" s="27" t="str">
        <f t="shared" si="23"/>
        <v/>
      </c>
      <c r="N365" s="25"/>
      <c r="O365" s="22"/>
      <c r="P365" s="24"/>
      <c r="Q365" s="26"/>
    </row>
    <row r="366" spans="1:17" ht="15" x14ac:dyDescent="0.15">
      <c r="A366" s="22"/>
      <c r="B366" s="26" t="str">
        <f t="shared" si="20"/>
        <v/>
      </c>
      <c r="C366" s="26" t="str">
        <f t="shared" si="21"/>
        <v/>
      </c>
      <c r="D366" s="26" t="str">
        <f t="shared" si="22"/>
        <v/>
      </c>
      <c r="E366" s="29"/>
      <c r="F366" s="22"/>
      <c r="G366" s="22"/>
      <c r="H366" s="22"/>
      <c r="I366" s="24"/>
      <c r="J366" s="24"/>
      <c r="K366" s="24"/>
      <c r="L366" s="24"/>
      <c r="M366" s="27" t="str">
        <f t="shared" si="23"/>
        <v/>
      </c>
      <c r="N366" s="25"/>
      <c r="O366" s="22"/>
      <c r="P366" s="24"/>
      <c r="Q366" s="26"/>
    </row>
    <row r="367" spans="1:17" ht="15" x14ac:dyDescent="0.15">
      <c r="A367" s="22"/>
      <c r="B367" s="26" t="str">
        <f t="shared" si="20"/>
        <v/>
      </c>
      <c r="C367" s="26" t="str">
        <f t="shared" si="21"/>
        <v/>
      </c>
      <c r="D367" s="26" t="str">
        <f t="shared" si="22"/>
        <v/>
      </c>
      <c r="E367" s="29"/>
      <c r="F367" s="22"/>
      <c r="G367" s="22"/>
      <c r="H367" s="22"/>
      <c r="I367" s="24"/>
      <c r="J367" s="24"/>
      <c r="K367" s="24"/>
      <c r="L367" s="24"/>
      <c r="M367" s="27" t="str">
        <f t="shared" si="23"/>
        <v/>
      </c>
      <c r="N367" s="25"/>
      <c r="O367" s="22"/>
      <c r="P367" s="24"/>
      <c r="Q367" s="26"/>
    </row>
    <row r="368" spans="1:17" ht="15" x14ac:dyDescent="0.15">
      <c r="A368" s="22"/>
      <c r="B368" s="26" t="str">
        <f t="shared" si="20"/>
        <v/>
      </c>
      <c r="C368" s="26" t="str">
        <f t="shared" si="21"/>
        <v/>
      </c>
      <c r="D368" s="26" t="str">
        <f t="shared" si="22"/>
        <v/>
      </c>
      <c r="E368" s="29"/>
      <c r="F368" s="22"/>
      <c r="G368" s="22"/>
      <c r="H368" s="22"/>
      <c r="I368" s="24"/>
      <c r="J368" s="24"/>
      <c r="K368" s="24"/>
      <c r="L368" s="24"/>
      <c r="M368" s="27" t="str">
        <f t="shared" si="23"/>
        <v/>
      </c>
      <c r="N368" s="25"/>
      <c r="O368" s="22"/>
      <c r="P368" s="24"/>
      <c r="Q368" s="26"/>
    </row>
    <row r="369" spans="1:17" ht="15" x14ac:dyDescent="0.15">
      <c r="A369" s="22"/>
      <c r="B369" s="26" t="str">
        <f t="shared" si="20"/>
        <v/>
      </c>
      <c r="C369" s="26" t="str">
        <f t="shared" si="21"/>
        <v/>
      </c>
      <c r="D369" s="26" t="str">
        <f t="shared" si="22"/>
        <v/>
      </c>
      <c r="E369" s="29"/>
      <c r="F369" s="22"/>
      <c r="G369" s="22"/>
      <c r="H369" s="22"/>
      <c r="I369" s="24"/>
      <c r="J369" s="24"/>
      <c r="K369" s="24"/>
      <c r="L369" s="24"/>
      <c r="M369" s="27" t="str">
        <f t="shared" si="23"/>
        <v/>
      </c>
      <c r="N369" s="25"/>
      <c r="O369" s="22"/>
      <c r="P369" s="24"/>
      <c r="Q369" s="26"/>
    </row>
    <row r="370" spans="1:17" ht="15" x14ac:dyDescent="0.15">
      <c r="A370" s="22"/>
      <c r="B370" s="26" t="str">
        <f t="shared" si="20"/>
        <v/>
      </c>
      <c r="C370" s="26" t="str">
        <f t="shared" si="21"/>
        <v/>
      </c>
      <c r="D370" s="26" t="str">
        <f t="shared" si="22"/>
        <v/>
      </c>
      <c r="E370" s="29"/>
      <c r="F370" s="22"/>
      <c r="G370" s="22"/>
      <c r="H370" s="22"/>
      <c r="I370" s="24"/>
      <c r="J370" s="24"/>
      <c r="K370" s="24"/>
      <c r="L370" s="24"/>
      <c r="M370" s="27" t="str">
        <f t="shared" si="23"/>
        <v/>
      </c>
      <c r="N370" s="25"/>
      <c r="O370" s="22"/>
      <c r="P370" s="24"/>
      <c r="Q370" s="26"/>
    </row>
    <row r="371" spans="1:17" ht="15" x14ac:dyDescent="0.15">
      <c r="A371" s="22"/>
      <c r="B371" s="26" t="str">
        <f t="shared" si="20"/>
        <v/>
      </c>
      <c r="C371" s="26" t="str">
        <f t="shared" si="21"/>
        <v/>
      </c>
      <c r="D371" s="26" t="str">
        <f t="shared" si="22"/>
        <v/>
      </c>
      <c r="E371" s="29"/>
      <c r="F371" s="22"/>
      <c r="G371" s="22"/>
      <c r="H371" s="22"/>
      <c r="I371" s="24"/>
      <c r="J371" s="24"/>
      <c r="K371" s="24"/>
      <c r="L371" s="24"/>
      <c r="M371" s="27" t="str">
        <f t="shared" si="23"/>
        <v/>
      </c>
      <c r="N371" s="25"/>
      <c r="O371" s="22"/>
      <c r="P371" s="24"/>
      <c r="Q371" s="26"/>
    </row>
    <row r="372" spans="1:17" ht="15" x14ac:dyDescent="0.15">
      <c r="A372" s="22"/>
      <c r="B372" s="26" t="str">
        <f t="shared" si="20"/>
        <v/>
      </c>
      <c r="C372" s="26" t="str">
        <f t="shared" si="21"/>
        <v/>
      </c>
      <c r="D372" s="26" t="str">
        <f t="shared" si="22"/>
        <v/>
      </c>
      <c r="E372" s="29"/>
      <c r="F372" s="22"/>
      <c r="G372" s="22"/>
      <c r="H372" s="22"/>
      <c r="I372" s="24"/>
      <c r="J372" s="24"/>
      <c r="K372" s="24"/>
      <c r="L372" s="24"/>
      <c r="M372" s="27" t="str">
        <f t="shared" si="23"/>
        <v/>
      </c>
      <c r="N372" s="25"/>
      <c r="O372" s="22"/>
      <c r="P372" s="24"/>
      <c r="Q372" s="26"/>
    </row>
    <row r="373" spans="1:17" ht="15" x14ac:dyDescent="0.15">
      <c r="A373" s="22"/>
      <c r="B373" s="26" t="str">
        <f t="shared" si="20"/>
        <v/>
      </c>
      <c r="C373" s="26" t="str">
        <f t="shared" si="21"/>
        <v/>
      </c>
      <c r="D373" s="26" t="str">
        <f t="shared" si="22"/>
        <v/>
      </c>
      <c r="E373" s="29"/>
      <c r="F373" s="22"/>
      <c r="G373" s="22"/>
      <c r="H373" s="22"/>
      <c r="I373" s="24"/>
      <c r="J373" s="24"/>
      <c r="K373" s="24"/>
      <c r="L373" s="24"/>
      <c r="M373" s="27" t="str">
        <f t="shared" si="23"/>
        <v/>
      </c>
      <c r="N373" s="25"/>
      <c r="O373" s="22"/>
      <c r="P373" s="24"/>
      <c r="Q373" s="26"/>
    </row>
    <row r="374" spans="1:17" ht="15" x14ac:dyDescent="0.15">
      <c r="A374" s="22"/>
      <c r="B374" s="26" t="str">
        <f t="shared" si="20"/>
        <v/>
      </c>
      <c r="C374" s="26" t="str">
        <f t="shared" si="21"/>
        <v/>
      </c>
      <c r="D374" s="26" t="str">
        <f t="shared" si="22"/>
        <v/>
      </c>
      <c r="E374" s="29"/>
      <c r="F374" s="22"/>
      <c r="G374" s="22"/>
      <c r="H374" s="22"/>
      <c r="I374" s="24"/>
      <c r="J374" s="24"/>
      <c r="K374" s="24"/>
      <c r="L374" s="24"/>
      <c r="M374" s="27" t="str">
        <f t="shared" si="23"/>
        <v/>
      </c>
      <c r="N374" s="25"/>
      <c r="O374" s="22"/>
      <c r="P374" s="24"/>
      <c r="Q374" s="26"/>
    </row>
    <row r="375" spans="1:17" ht="15" x14ac:dyDescent="0.15">
      <c r="A375" s="22"/>
      <c r="B375" s="26" t="str">
        <f t="shared" si="20"/>
        <v/>
      </c>
      <c r="C375" s="26" t="str">
        <f t="shared" si="21"/>
        <v/>
      </c>
      <c r="D375" s="26" t="str">
        <f t="shared" si="22"/>
        <v/>
      </c>
      <c r="E375" s="29"/>
      <c r="F375" s="22"/>
      <c r="G375" s="22"/>
      <c r="H375" s="22"/>
      <c r="I375" s="24"/>
      <c r="J375" s="24"/>
      <c r="K375" s="24"/>
      <c r="L375" s="24"/>
      <c r="M375" s="27" t="str">
        <f t="shared" si="23"/>
        <v/>
      </c>
      <c r="N375" s="25"/>
      <c r="O375" s="22"/>
      <c r="P375" s="24"/>
      <c r="Q375" s="26"/>
    </row>
    <row r="376" spans="1:17" ht="15" x14ac:dyDescent="0.15">
      <c r="A376" s="22"/>
      <c r="B376" s="26" t="str">
        <f t="shared" si="20"/>
        <v/>
      </c>
      <c r="C376" s="26" t="str">
        <f t="shared" si="21"/>
        <v/>
      </c>
      <c r="D376" s="26" t="str">
        <f t="shared" si="22"/>
        <v/>
      </c>
      <c r="E376" s="29"/>
      <c r="F376" s="22"/>
      <c r="G376" s="22"/>
      <c r="H376" s="22"/>
      <c r="I376" s="24"/>
      <c r="J376" s="24"/>
      <c r="K376" s="24"/>
      <c r="L376" s="24"/>
      <c r="M376" s="27" t="str">
        <f t="shared" si="23"/>
        <v/>
      </c>
      <c r="N376" s="25"/>
      <c r="O376" s="22"/>
      <c r="P376" s="24"/>
      <c r="Q376" s="26"/>
    </row>
    <row r="377" spans="1:17" ht="15" x14ac:dyDescent="0.15">
      <c r="A377" s="22"/>
      <c r="B377" s="26" t="str">
        <f t="shared" si="20"/>
        <v/>
      </c>
      <c r="C377" s="26" t="str">
        <f t="shared" si="21"/>
        <v/>
      </c>
      <c r="D377" s="26" t="str">
        <f t="shared" si="22"/>
        <v/>
      </c>
      <c r="E377" s="29"/>
      <c r="F377" s="22"/>
      <c r="G377" s="22"/>
      <c r="H377" s="22"/>
      <c r="I377" s="24"/>
      <c r="J377" s="24"/>
      <c r="K377" s="24"/>
      <c r="L377" s="24"/>
      <c r="M377" s="27" t="str">
        <f t="shared" si="23"/>
        <v/>
      </c>
      <c r="N377" s="25"/>
      <c r="O377" s="22"/>
      <c r="P377" s="24"/>
      <c r="Q377" s="26"/>
    </row>
    <row r="378" spans="1:17" ht="15" x14ac:dyDescent="0.15">
      <c r="A378" s="22"/>
      <c r="B378" s="26" t="str">
        <f t="shared" si="20"/>
        <v/>
      </c>
      <c r="C378" s="26" t="str">
        <f t="shared" si="21"/>
        <v/>
      </c>
      <c r="D378" s="26" t="str">
        <f t="shared" si="22"/>
        <v/>
      </c>
      <c r="E378" s="29"/>
      <c r="F378" s="22"/>
      <c r="G378" s="22"/>
      <c r="H378" s="22"/>
      <c r="I378" s="24"/>
      <c r="J378" s="24"/>
      <c r="K378" s="24"/>
      <c r="L378" s="24"/>
      <c r="M378" s="27" t="str">
        <f t="shared" si="23"/>
        <v/>
      </c>
      <c r="N378" s="25"/>
      <c r="O378" s="22"/>
      <c r="P378" s="24"/>
      <c r="Q378" s="26"/>
    </row>
    <row r="379" spans="1:17" ht="15" x14ac:dyDescent="0.15">
      <c r="A379" s="22"/>
      <c r="B379" s="26" t="str">
        <f t="shared" si="20"/>
        <v/>
      </c>
      <c r="C379" s="26" t="str">
        <f t="shared" si="21"/>
        <v/>
      </c>
      <c r="D379" s="26" t="str">
        <f t="shared" si="22"/>
        <v/>
      </c>
      <c r="E379" s="29"/>
      <c r="F379" s="22"/>
      <c r="G379" s="22"/>
      <c r="H379" s="22"/>
      <c r="I379" s="24"/>
      <c r="J379" s="24"/>
      <c r="K379" s="24"/>
      <c r="L379" s="24"/>
      <c r="M379" s="27" t="str">
        <f t="shared" si="23"/>
        <v/>
      </c>
      <c r="N379" s="25"/>
      <c r="O379" s="22"/>
      <c r="P379" s="24"/>
      <c r="Q379" s="26"/>
    </row>
    <row r="380" spans="1:17" ht="15" x14ac:dyDescent="0.15">
      <c r="A380" s="22"/>
      <c r="B380" s="26" t="str">
        <f t="shared" si="20"/>
        <v/>
      </c>
      <c r="C380" s="26" t="str">
        <f t="shared" si="21"/>
        <v/>
      </c>
      <c r="D380" s="26" t="str">
        <f t="shared" si="22"/>
        <v/>
      </c>
      <c r="E380" s="29"/>
      <c r="F380" s="22"/>
      <c r="G380" s="22"/>
      <c r="H380" s="22"/>
      <c r="I380" s="24"/>
      <c r="J380" s="24"/>
      <c r="K380" s="24"/>
      <c r="L380" s="24"/>
      <c r="M380" s="27" t="str">
        <f t="shared" si="23"/>
        <v/>
      </c>
      <c r="N380" s="25"/>
      <c r="O380" s="22"/>
      <c r="P380" s="24"/>
      <c r="Q380" s="26"/>
    </row>
    <row r="381" spans="1:17" ht="15" x14ac:dyDescent="0.15">
      <c r="A381" s="22"/>
      <c r="B381" s="26" t="str">
        <f t="shared" si="20"/>
        <v/>
      </c>
      <c r="C381" s="26" t="str">
        <f t="shared" si="21"/>
        <v/>
      </c>
      <c r="D381" s="26" t="str">
        <f t="shared" si="22"/>
        <v/>
      </c>
      <c r="E381" s="29"/>
      <c r="F381" s="22"/>
      <c r="G381" s="22"/>
      <c r="H381" s="22"/>
      <c r="I381" s="24"/>
      <c r="J381" s="24"/>
      <c r="K381" s="24"/>
      <c r="L381" s="24"/>
      <c r="M381" s="27" t="str">
        <f t="shared" si="23"/>
        <v/>
      </c>
      <c r="N381" s="25"/>
      <c r="O381" s="22"/>
      <c r="P381" s="24"/>
      <c r="Q381" s="26"/>
    </row>
    <row r="382" spans="1:17" ht="15" x14ac:dyDescent="0.15">
      <c r="A382" s="22"/>
      <c r="B382" s="26" t="str">
        <f t="shared" si="20"/>
        <v/>
      </c>
      <c r="C382" s="26" t="str">
        <f t="shared" si="21"/>
        <v/>
      </c>
      <c r="D382" s="26" t="str">
        <f t="shared" si="22"/>
        <v/>
      </c>
      <c r="E382" s="29"/>
      <c r="F382" s="22"/>
      <c r="G382" s="22"/>
      <c r="H382" s="22"/>
      <c r="I382" s="24"/>
      <c r="J382" s="24"/>
      <c r="K382" s="24"/>
      <c r="L382" s="24"/>
      <c r="M382" s="27" t="str">
        <f t="shared" si="23"/>
        <v/>
      </c>
      <c r="N382" s="25"/>
      <c r="O382" s="22"/>
      <c r="P382" s="24"/>
      <c r="Q382" s="26"/>
    </row>
    <row r="383" spans="1:17" ht="15" x14ac:dyDescent="0.15">
      <c r="A383" s="22"/>
      <c r="B383" s="26" t="str">
        <f t="shared" si="20"/>
        <v/>
      </c>
      <c r="C383" s="26" t="str">
        <f t="shared" si="21"/>
        <v/>
      </c>
      <c r="D383" s="26" t="str">
        <f t="shared" si="22"/>
        <v/>
      </c>
      <c r="E383" s="29"/>
      <c r="F383" s="22"/>
      <c r="G383" s="22"/>
      <c r="H383" s="22"/>
      <c r="I383" s="24"/>
      <c r="J383" s="24"/>
      <c r="K383" s="24"/>
      <c r="L383" s="24"/>
      <c r="M383" s="27" t="str">
        <f t="shared" si="23"/>
        <v/>
      </c>
      <c r="N383" s="25"/>
      <c r="O383" s="22"/>
      <c r="P383" s="24"/>
      <c r="Q383" s="26"/>
    </row>
    <row r="384" spans="1:17" ht="15" x14ac:dyDescent="0.15">
      <c r="A384" s="22"/>
      <c r="B384" s="26" t="str">
        <f t="shared" si="20"/>
        <v/>
      </c>
      <c r="C384" s="26" t="str">
        <f t="shared" si="21"/>
        <v/>
      </c>
      <c r="D384" s="26" t="str">
        <f t="shared" si="22"/>
        <v/>
      </c>
      <c r="E384" s="29"/>
      <c r="F384" s="22"/>
      <c r="G384" s="22"/>
      <c r="H384" s="22"/>
      <c r="I384" s="24"/>
      <c r="J384" s="24"/>
      <c r="K384" s="24"/>
      <c r="L384" s="24"/>
      <c r="M384" s="27" t="str">
        <f t="shared" si="23"/>
        <v/>
      </c>
      <c r="N384" s="25"/>
      <c r="O384" s="22"/>
      <c r="P384" s="24"/>
      <c r="Q384" s="26"/>
    </row>
    <row r="385" spans="1:17" ht="15" x14ac:dyDescent="0.15">
      <c r="A385" s="22"/>
      <c r="B385" s="26" t="str">
        <f t="shared" si="20"/>
        <v/>
      </c>
      <c r="C385" s="26" t="str">
        <f t="shared" si="21"/>
        <v/>
      </c>
      <c r="D385" s="26" t="str">
        <f t="shared" si="22"/>
        <v/>
      </c>
      <c r="E385" s="29"/>
      <c r="F385" s="22"/>
      <c r="G385" s="22"/>
      <c r="H385" s="22"/>
      <c r="I385" s="24"/>
      <c r="J385" s="24"/>
      <c r="K385" s="24"/>
      <c r="L385" s="24"/>
      <c r="M385" s="27" t="str">
        <f t="shared" si="23"/>
        <v/>
      </c>
      <c r="N385" s="25"/>
      <c r="O385" s="22"/>
      <c r="P385" s="24"/>
      <c r="Q385" s="26"/>
    </row>
    <row r="386" spans="1:17" ht="15" x14ac:dyDescent="0.15">
      <c r="A386" s="22"/>
      <c r="B386" s="26" t="str">
        <f t="shared" si="20"/>
        <v/>
      </c>
      <c r="C386" s="26" t="str">
        <f t="shared" si="21"/>
        <v/>
      </c>
      <c r="D386" s="26" t="str">
        <f t="shared" si="22"/>
        <v/>
      </c>
      <c r="E386" s="29"/>
      <c r="F386" s="22"/>
      <c r="G386" s="22"/>
      <c r="H386" s="22"/>
      <c r="I386" s="24"/>
      <c r="J386" s="24"/>
      <c r="K386" s="24"/>
      <c r="L386" s="24"/>
      <c r="M386" s="27" t="str">
        <f t="shared" si="23"/>
        <v/>
      </c>
      <c r="N386" s="25"/>
      <c r="O386" s="22"/>
      <c r="P386" s="24"/>
      <c r="Q386" s="26"/>
    </row>
    <row r="387" spans="1:17" ht="15" x14ac:dyDescent="0.15">
      <c r="A387" s="22"/>
      <c r="B387" s="26" t="str">
        <f t="shared" si="20"/>
        <v/>
      </c>
      <c r="C387" s="26" t="str">
        <f t="shared" si="21"/>
        <v/>
      </c>
      <c r="D387" s="26" t="str">
        <f t="shared" si="22"/>
        <v/>
      </c>
      <c r="E387" s="29"/>
      <c r="F387" s="22"/>
      <c r="G387" s="22"/>
      <c r="H387" s="22"/>
      <c r="I387" s="24"/>
      <c r="J387" s="24"/>
      <c r="K387" s="24"/>
      <c r="L387" s="24"/>
      <c r="M387" s="27" t="str">
        <f t="shared" si="23"/>
        <v/>
      </c>
      <c r="N387" s="25"/>
      <c r="O387" s="22"/>
      <c r="P387" s="24"/>
      <c r="Q387" s="26"/>
    </row>
    <row r="388" spans="1:17" ht="15" x14ac:dyDescent="0.15">
      <c r="A388" s="22"/>
      <c r="B388" s="26" t="str">
        <f t="shared" si="20"/>
        <v/>
      </c>
      <c r="C388" s="26" t="str">
        <f t="shared" si="21"/>
        <v/>
      </c>
      <c r="D388" s="26" t="str">
        <f t="shared" si="22"/>
        <v/>
      </c>
      <c r="E388" s="29"/>
      <c r="F388" s="22"/>
      <c r="G388" s="22"/>
      <c r="H388" s="22"/>
      <c r="I388" s="24"/>
      <c r="J388" s="24"/>
      <c r="K388" s="24"/>
      <c r="L388" s="24"/>
      <c r="M388" s="27" t="str">
        <f t="shared" si="23"/>
        <v/>
      </c>
      <c r="N388" s="25"/>
      <c r="O388" s="22"/>
      <c r="P388" s="24"/>
      <c r="Q388" s="26"/>
    </row>
    <row r="389" spans="1:17" ht="15" x14ac:dyDescent="0.15">
      <c r="A389" s="22"/>
      <c r="B389" s="26" t="str">
        <f t="shared" si="20"/>
        <v/>
      </c>
      <c r="C389" s="26" t="str">
        <f t="shared" si="21"/>
        <v/>
      </c>
      <c r="D389" s="26" t="str">
        <f t="shared" si="22"/>
        <v/>
      </c>
      <c r="E389" s="29"/>
      <c r="F389" s="22"/>
      <c r="G389" s="22"/>
      <c r="H389" s="22"/>
      <c r="I389" s="24"/>
      <c r="J389" s="24"/>
      <c r="K389" s="24"/>
      <c r="L389" s="24"/>
      <c r="M389" s="27" t="str">
        <f t="shared" si="23"/>
        <v/>
      </c>
      <c r="N389" s="25"/>
      <c r="O389" s="22"/>
      <c r="P389" s="24"/>
      <c r="Q389" s="26"/>
    </row>
    <row r="390" spans="1:17" ht="15" x14ac:dyDescent="0.15">
      <c r="A390" s="22"/>
      <c r="B390" s="26" t="str">
        <f t="shared" si="20"/>
        <v/>
      </c>
      <c r="C390" s="26" t="str">
        <f t="shared" si="21"/>
        <v/>
      </c>
      <c r="D390" s="26" t="str">
        <f t="shared" si="22"/>
        <v/>
      </c>
      <c r="E390" s="29"/>
      <c r="F390" s="22"/>
      <c r="G390" s="22"/>
      <c r="H390" s="22"/>
      <c r="I390" s="24"/>
      <c r="J390" s="24"/>
      <c r="K390" s="24"/>
      <c r="L390" s="24"/>
      <c r="M390" s="27" t="str">
        <f t="shared" si="23"/>
        <v/>
      </c>
      <c r="N390" s="25"/>
      <c r="O390" s="22"/>
      <c r="P390" s="24"/>
      <c r="Q390" s="26"/>
    </row>
    <row r="391" spans="1:17" ht="15" x14ac:dyDescent="0.15">
      <c r="A391" s="22"/>
      <c r="B391" s="26" t="str">
        <f t="shared" ref="B391:B454" si="24">IFERROR(IF($A391="","",LEFT($A391,FIND(" | ",$A391)-1)),"")</f>
        <v/>
      </c>
      <c r="C391" s="26" t="str">
        <f t="shared" ref="C391:C454" si="25">IFERROR(IF($A391="","",MID($A391,FIND(" | ",$A391)+3,FIND(" | ",$A391,FIND(" | ",$A391)+3)-FIND(" | ",$A391)-3)),"")</f>
        <v/>
      </c>
      <c r="D391" s="26" t="str">
        <f t="shared" ref="D391:D454" si="26">IFERROR(IF($A391="","",RIGHT($A391,LEN($A391)-FIND(" | ",$A391,FIND(" | ",$A391)+3)-2)),"")</f>
        <v/>
      </c>
      <c r="E391" s="29"/>
      <c r="F391" s="22"/>
      <c r="G391" s="22"/>
      <c r="H391" s="22"/>
      <c r="I391" s="24"/>
      <c r="J391" s="24"/>
      <c r="K391" s="24"/>
      <c r="L391" s="24"/>
      <c r="M391" s="27" t="str">
        <f t="shared" ref="M391:M454" si="27">IF($B391="","",SUM($J391,-$K391,$L391))</f>
        <v/>
      </c>
      <c r="N391" s="25"/>
      <c r="O391" s="22"/>
      <c r="P391" s="24"/>
      <c r="Q391" s="26"/>
    </row>
    <row r="392" spans="1:17" ht="15" x14ac:dyDescent="0.15">
      <c r="A392" s="22"/>
      <c r="B392" s="26" t="str">
        <f t="shared" si="24"/>
        <v/>
      </c>
      <c r="C392" s="26" t="str">
        <f t="shared" si="25"/>
        <v/>
      </c>
      <c r="D392" s="26" t="str">
        <f t="shared" si="26"/>
        <v/>
      </c>
      <c r="E392" s="29"/>
      <c r="F392" s="22"/>
      <c r="G392" s="22"/>
      <c r="H392" s="22"/>
      <c r="I392" s="24"/>
      <c r="J392" s="24"/>
      <c r="K392" s="24"/>
      <c r="L392" s="24"/>
      <c r="M392" s="27" t="str">
        <f t="shared" si="27"/>
        <v/>
      </c>
      <c r="N392" s="25"/>
      <c r="O392" s="22"/>
      <c r="P392" s="24"/>
      <c r="Q392" s="26"/>
    </row>
    <row r="393" spans="1:17" ht="15" x14ac:dyDescent="0.15">
      <c r="A393" s="22"/>
      <c r="B393" s="26" t="str">
        <f t="shared" si="24"/>
        <v/>
      </c>
      <c r="C393" s="26" t="str">
        <f t="shared" si="25"/>
        <v/>
      </c>
      <c r="D393" s="26" t="str">
        <f t="shared" si="26"/>
        <v/>
      </c>
      <c r="E393" s="29"/>
      <c r="F393" s="22"/>
      <c r="G393" s="22"/>
      <c r="H393" s="22"/>
      <c r="I393" s="24"/>
      <c r="J393" s="24"/>
      <c r="K393" s="24"/>
      <c r="L393" s="24"/>
      <c r="M393" s="27" t="str">
        <f t="shared" si="27"/>
        <v/>
      </c>
      <c r="N393" s="25"/>
      <c r="O393" s="22"/>
      <c r="P393" s="24"/>
      <c r="Q393" s="26"/>
    </row>
    <row r="394" spans="1:17" ht="15" x14ac:dyDescent="0.15">
      <c r="A394" s="22"/>
      <c r="B394" s="26" t="str">
        <f t="shared" si="24"/>
        <v/>
      </c>
      <c r="C394" s="26" t="str">
        <f t="shared" si="25"/>
        <v/>
      </c>
      <c r="D394" s="26" t="str">
        <f t="shared" si="26"/>
        <v/>
      </c>
      <c r="E394" s="29"/>
      <c r="F394" s="22"/>
      <c r="G394" s="22"/>
      <c r="H394" s="22"/>
      <c r="I394" s="24"/>
      <c r="J394" s="24"/>
      <c r="K394" s="24"/>
      <c r="L394" s="24"/>
      <c r="M394" s="27" t="str">
        <f t="shared" si="27"/>
        <v/>
      </c>
      <c r="N394" s="25"/>
      <c r="O394" s="22"/>
      <c r="P394" s="24"/>
      <c r="Q394" s="26"/>
    </row>
    <row r="395" spans="1:17" ht="15" x14ac:dyDescent="0.15">
      <c r="A395" s="22"/>
      <c r="B395" s="26" t="str">
        <f t="shared" si="24"/>
        <v/>
      </c>
      <c r="C395" s="26" t="str">
        <f t="shared" si="25"/>
        <v/>
      </c>
      <c r="D395" s="26" t="str">
        <f t="shared" si="26"/>
        <v/>
      </c>
      <c r="E395" s="29"/>
      <c r="F395" s="22"/>
      <c r="G395" s="22"/>
      <c r="H395" s="22"/>
      <c r="I395" s="24"/>
      <c r="J395" s="24"/>
      <c r="K395" s="24"/>
      <c r="L395" s="24"/>
      <c r="M395" s="27" t="str">
        <f t="shared" si="27"/>
        <v/>
      </c>
      <c r="N395" s="25"/>
      <c r="O395" s="22"/>
      <c r="P395" s="24"/>
      <c r="Q395" s="26"/>
    </row>
    <row r="396" spans="1:17" ht="15" x14ac:dyDescent="0.15">
      <c r="A396" s="22"/>
      <c r="B396" s="26" t="str">
        <f t="shared" si="24"/>
        <v/>
      </c>
      <c r="C396" s="26" t="str">
        <f t="shared" si="25"/>
        <v/>
      </c>
      <c r="D396" s="26" t="str">
        <f t="shared" si="26"/>
        <v/>
      </c>
      <c r="E396" s="29"/>
      <c r="F396" s="22"/>
      <c r="G396" s="22"/>
      <c r="H396" s="22"/>
      <c r="I396" s="24"/>
      <c r="J396" s="24"/>
      <c r="K396" s="24"/>
      <c r="L396" s="24"/>
      <c r="M396" s="27" t="str">
        <f t="shared" si="27"/>
        <v/>
      </c>
      <c r="N396" s="25"/>
      <c r="O396" s="22"/>
      <c r="P396" s="24"/>
      <c r="Q396" s="26"/>
    </row>
    <row r="397" spans="1:17" ht="15" x14ac:dyDescent="0.15">
      <c r="A397" s="22"/>
      <c r="B397" s="26" t="str">
        <f t="shared" si="24"/>
        <v/>
      </c>
      <c r="C397" s="26" t="str">
        <f t="shared" si="25"/>
        <v/>
      </c>
      <c r="D397" s="26" t="str">
        <f t="shared" si="26"/>
        <v/>
      </c>
      <c r="E397" s="29"/>
      <c r="F397" s="22"/>
      <c r="G397" s="22"/>
      <c r="H397" s="22"/>
      <c r="I397" s="24"/>
      <c r="J397" s="24"/>
      <c r="K397" s="24"/>
      <c r="L397" s="24"/>
      <c r="M397" s="27" t="str">
        <f t="shared" si="27"/>
        <v/>
      </c>
      <c r="N397" s="25"/>
      <c r="O397" s="22"/>
      <c r="P397" s="24"/>
      <c r="Q397" s="26"/>
    </row>
    <row r="398" spans="1:17" ht="15" x14ac:dyDescent="0.15">
      <c r="A398" s="22"/>
      <c r="B398" s="26" t="str">
        <f t="shared" si="24"/>
        <v/>
      </c>
      <c r="C398" s="26" t="str">
        <f t="shared" si="25"/>
        <v/>
      </c>
      <c r="D398" s="26" t="str">
        <f t="shared" si="26"/>
        <v/>
      </c>
      <c r="E398" s="29"/>
      <c r="F398" s="22"/>
      <c r="G398" s="22"/>
      <c r="H398" s="22"/>
      <c r="I398" s="24"/>
      <c r="J398" s="24"/>
      <c r="K398" s="24"/>
      <c r="L398" s="24"/>
      <c r="M398" s="27" t="str">
        <f t="shared" si="27"/>
        <v/>
      </c>
      <c r="N398" s="25"/>
      <c r="O398" s="22"/>
      <c r="P398" s="24"/>
      <c r="Q398" s="26"/>
    </row>
    <row r="399" spans="1:17" ht="15" x14ac:dyDescent="0.15">
      <c r="A399" s="22"/>
      <c r="B399" s="26" t="str">
        <f t="shared" si="24"/>
        <v/>
      </c>
      <c r="C399" s="26" t="str">
        <f t="shared" si="25"/>
        <v/>
      </c>
      <c r="D399" s="26" t="str">
        <f t="shared" si="26"/>
        <v/>
      </c>
      <c r="E399" s="29"/>
      <c r="F399" s="22"/>
      <c r="G399" s="22"/>
      <c r="H399" s="22"/>
      <c r="I399" s="24"/>
      <c r="J399" s="24"/>
      <c r="K399" s="24"/>
      <c r="L399" s="24"/>
      <c r="M399" s="27" t="str">
        <f t="shared" si="27"/>
        <v/>
      </c>
      <c r="N399" s="25"/>
      <c r="O399" s="22"/>
      <c r="P399" s="24"/>
      <c r="Q399" s="26"/>
    </row>
    <row r="400" spans="1:17" ht="15" x14ac:dyDescent="0.15">
      <c r="A400" s="22"/>
      <c r="B400" s="26" t="str">
        <f t="shared" si="24"/>
        <v/>
      </c>
      <c r="C400" s="26" t="str">
        <f t="shared" si="25"/>
        <v/>
      </c>
      <c r="D400" s="26" t="str">
        <f t="shared" si="26"/>
        <v/>
      </c>
      <c r="E400" s="29"/>
      <c r="F400" s="22"/>
      <c r="G400" s="22"/>
      <c r="H400" s="22"/>
      <c r="I400" s="24"/>
      <c r="J400" s="24"/>
      <c r="K400" s="24"/>
      <c r="L400" s="24"/>
      <c r="M400" s="27" t="str">
        <f t="shared" si="27"/>
        <v/>
      </c>
      <c r="N400" s="25"/>
      <c r="O400" s="22"/>
      <c r="P400" s="24"/>
      <c r="Q400" s="26"/>
    </row>
    <row r="401" spans="1:17" ht="15" x14ac:dyDescent="0.15">
      <c r="A401" s="22"/>
      <c r="B401" s="26" t="str">
        <f t="shared" si="24"/>
        <v/>
      </c>
      <c r="C401" s="26" t="str">
        <f t="shared" si="25"/>
        <v/>
      </c>
      <c r="D401" s="26" t="str">
        <f t="shared" si="26"/>
        <v/>
      </c>
      <c r="E401" s="29"/>
      <c r="F401" s="22"/>
      <c r="G401" s="22"/>
      <c r="H401" s="22"/>
      <c r="I401" s="24"/>
      <c r="J401" s="24"/>
      <c r="K401" s="24"/>
      <c r="L401" s="24"/>
      <c r="M401" s="27" t="str">
        <f t="shared" si="27"/>
        <v/>
      </c>
      <c r="N401" s="25"/>
      <c r="O401" s="22"/>
      <c r="P401" s="24"/>
      <c r="Q401" s="26"/>
    </row>
    <row r="402" spans="1:17" ht="15" x14ac:dyDescent="0.15">
      <c r="A402" s="22"/>
      <c r="B402" s="26" t="str">
        <f t="shared" si="24"/>
        <v/>
      </c>
      <c r="C402" s="26" t="str">
        <f t="shared" si="25"/>
        <v/>
      </c>
      <c r="D402" s="26" t="str">
        <f t="shared" si="26"/>
        <v/>
      </c>
      <c r="E402" s="29"/>
      <c r="F402" s="22"/>
      <c r="G402" s="22"/>
      <c r="H402" s="22"/>
      <c r="I402" s="24"/>
      <c r="J402" s="24"/>
      <c r="K402" s="24"/>
      <c r="L402" s="24"/>
      <c r="M402" s="27" t="str">
        <f t="shared" si="27"/>
        <v/>
      </c>
      <c r="N402" s="25"/>
      <c r="O402" s="22"/>
      <c r="P402" s="24"/>
      <c r="Q402" s="26"/>
    </row>
    <row r="403" spans="1:17" ht="15" x14ac:dyDescent="0.15">
      <c r="A403" s="22"/>
      <c r="B403" s="26" t="str">
        <f t="shared" si="24"/>
        <v/>
      </c>
      <c r="C403" s="26" t="str">
        <f t="shared" si="25"/>
        <v/>
      </c>
      <c r="D403" s="26" t="str">
        <f t="shared" si="26"/>
        <v/>
      </c>
      <c r="E403" s="29"/>
      <c r="F403" s="22"/>
      <c r="G403" s="22"/>
      <c r="H403" s="22"/>
      <c r="I403" s="24"/>
      <c r="J403" s="24"/>
      <c r="K403" s="24"/>
      <c r="L403" s="24"/>
      <c r="M403" s="27" t="str">
        <f t="shared" si="27"/>
        <v/>
      </c>
      <c r="N403" s="25"/>
      <c r="O403" s="22"/>
      <c r="P403" s="24"/>
      <c r="Q403" s="26"/>
    </row>
    <row r="404" spans="1:17" ht="15" x14ac:dyDescent="0.15">
      <c r="A404" s="22"/>
      <c r="B404" s="26" t="str">
        <f t="shared" si="24"/>
        <v/>
      </c>
      <c r="C404" s="26" t="str">
        <f t="shared" si="25"/>
        <v/>
      </c>
      <c r="D404" s="26" t="str">
        <f t="shared" si="26"/>
        <v/>
      </c>
      <c r="E404" s="29"/>
      <c r="F404" s="22"/>
      <c r="G404" s="22"/>
      <c r="H404" s="22"/>
      <c r="I404" s="24"/>
      <c r="J404" s="24"/>
      <c r="K404" s="24"/>
      <c r="L404" s="24"/>
      <c r="M404" s="27" t="str">
        <f t="shared" si="27"/>
        <v/>
      </c>
      <c r="N404" s="25"/>
      <c r="O404" s="22"/>
      <c r="P404" s="24"/>
      <c r="Q404" s="26"/>
    </row>
    <row r="405" spans="1:17" ht="15" x14ac:dyDescent="0.15">
      <c r="A405" s="22"/>
      <c r="B405" s="26" t="str">
        <f t="shared" si="24"/>
        <v/>
      </c>
      <c r="C405" s="26" t="str">
        <f t="shared" si="25"/>
        <v/>
      </c>
      <c r="D405" s="26" t="str">
        <f t="shared" si="26"/>
        <v/>
      </c>
      <c r="E405" s="29"/>
      <c r="F405" s="22"/>
      <c r="G405" s="22"/>
      <c r="H405" s="22"/>
      <c r="I405" s="24"/>
      <c r="J405" s="24"/>
      <c r="K405" s="24"/>
      <c r="L405" s="24"/>
      <c r="M405" s="27" t="str">
        <f t="shared" si="27"/>
        <v/>
      </c>
      <c r="N405" s="25"/>
      <c r="O405" s="22"/>
      <c r="P405" s="24"/>
      <c r="Q405" s="26"/>
    </row>
    <row r="406" spans="1:17" ht="15" x14ac:dyDescent="0.15">
      <c r="A406" s="22"/>
      <c r="B406" s="26" t="str">
        <f t="shared" si="24"/>
        <v/>
      </c>
      <c r="C406" s="26" t="str">
        <f t="shared" si="25"/>
        <v/>
      </c>
      <c r="D406" s="26" t="str">
        <f t="shared" si="26"/>
        <v/>
      </c>
      <c r="E406" s="29"/>
      <c r="F406" s="22"/>
      <c r="G406" s="22"/>
      <c r="H406" s="22"/>
      <c r="I406" s="24"/>
      <c r="J406" s="24"/>
      <c r="K406" s="24"/>
      <c r="L406" s="24"/>
      <c r="M406" s="27" t="str">
        <f t="shared" si="27"/>
        <v/>
      </c>
      <c r="N406" s="25"/>
      <c r="O406" s="22"/>
      <c r="P406" s="24"/>
      <c r="Q406" s="26"/>
    </row>
    <row r="407" spans="1:17" ht="15" x14ac:dyDescent="0.15">
      <c r="A407" s="22"/>
      <c r="B407" s="26" t="str">
        <f t="shared" si="24"/>
        <v/>
      </c>
      <c r="C407" s="26" t="str">
        <f t="shared" si="25"/>
        <v/>
      </c>
      <c r="D407" s="26" t="str">
        <f t="shared" si="26"/>
        <v/>
      </c>
      <c r="E407" s="29"/>
      <c r="F407" s="22"/>
      <c r="G407" s="22"/>
      <c r="H407" s="22"/>
      <c r="I407" s="24"/>
      <c r="J407" s="24"/>
      <c r="K407" s="24"/>
      <c r="L407" s="24"/>
      <c r="M407" s="27" t="str">
        <f t="shared" si="27"/>
        <v/>
      </c>
      <c r="N407" s="25"/>
      <c r="O407" s="22"/>
      <c r="P407" s="24"/>
      <c r="Q407" s="26"/>
    </row>
    <row r="408" spans="1:17" ht="15" x14ac:dyDescent="0.15">
      <c r="A408" s="22"/>
      <c r="B408" s="26" t="str">
        <f t="shared" si="24"/>
        <v/>
      </c>
      <c r="C408" s="26" t="str">
        <f t="shared" si="25"/>
        <v/>
      </c>
      <c r="D408" s="26" t="str">
        <f t="shared" si="26"/>
        <v/>
      </c>
      <c r="E408" s="29"/>
      <c r="F408" s="22"/>
      <c r="G408" s="22"/>
      <c r="H408" s="22"/>
      <c r="I408" s="24"/>
      <c r="J408" s="24"/>
      <c r="K408" s="24"/>
      <c r="L408" s="24"/>
      <c r="M408" s="27" t="str">
        <f t="shared" si="27"/>
        <v/>
      </c>
      <c r="N408" s="25"/>
      <c r="O408" s="22"/>
      <c r="P408" s="24"/>
      <c r="Q408" s="26"/>
    </row>
    <row r="409" spans="1:17" ht="15" x14ac:dyDescent="0.15">
      <c r="A409" s="22"/>
      <c r="B409" s="26" t="str">
        <f t="shared" si="24"/>
        <v/>
      </c>
      <c r="C409" s="26" t="str">
        <f t="shared" si="25"/>
        <v/>
      </c>
      <c r="D409" s="26" t="str">
        <f t="shared" si="26"/>
        <v/>
      </c>
      <c r="E409" s="29"/>
      <c r="F409" s="22"/>
      <c r="G409" s="22"/>
      <c r="H409" s="22"/>
      <c r="I409" s="24"/>
      <c r="J409" s="24"/>
      <c r="K409" s="24"/>
      <c r="L409" s="24"/>
      <c r="M409" s="27" t="str">
        <f t="shared" si="27"/>
        <v/>
      </c>
      <c r="N409" s="25"/>
      <c r="O409" s="22"/>
      <c r="P409" s="24"/>
      <c r="Q409" s="26"/>
    </row>
    <row r="410" spans="1:17" ht="15" x14ac:dyDescent="0.15">
      <c r="A410" s="22"/>
      <c r="B410" s="26" t="str">
        <f t="shared" si="24"/>
        <v/>
      </c>
      <c r="C410" s="26" t="str">
        <f t="shared" si="25"/>
        <v/>
      </c>
      <c r="D410" s="26" t="str">
        <f t="shared" si="26"/>
        <v/>
      </c>
      <c r="E410" s="29"/>
      <c r="F410" s="22"/>
      <c r="G410" s="22"/>
      <c r="H410" s="22"/>
      <c r="I410" s="24"/>
      <c r="J410" s="24"/>
      <c r="K410" s="24"/>
      <c r="L410" s="24"/>
      <c r="M410" s="27" t="str">
        <f t="shared" si="27"/>
        <v/>
      </c>
      <c r="N410" s="25"/>
      <c r="O410" s="22"/>
      <c r="P410" s="24"/>
      <c r="Q410" s="26"/>
    </row>
    <row r="411" spans="1:17" ht="15" x14ac:dyDescent="0.15">
      <c r="A411" s="22"/>
      <c r="B411" s="26" t="str">
        <f t="shared" si="24"/>
        <v/>
      </c>
      <c r="C411" s="26" t="str">
        <f t="shared" si="25"/>
        <v/>
      </c>
      <c r="D411" s="26" t="str">
        <f t="shared" si="26"/>
        <v/>
      </c>
      <c r="E411" s="29"/>
      <c r="F411" s="22"/>
      <c r="G411" s="22"/>
      <c r="H411" s="22"/>
      <c r="I411" s="24"/>
      <c r="J411" s="24"/>
      <c r="K411" s="24"/>
      <c r="L411" s="24"/>
      <c r="M411" s="27" t="str">
        <f t="shared" si="27"/>
        <v/>
      </c>
      <c r="N411" s="25"/>
      <c r="O411" s="22"/>
      <c r="P411" s="24"/>
      <c r="Q411" s="26"/>
    </row>
    <row r="412" spans="1:17" ht="15" x14ac:dyDescent="0.15">
      <c r="A412" s="22"/>
      <c r="B412" s="26" t="str">
        <f t="shared" si="24"/>
        <v/>
      </c>
      <c r="C412" s="26" t="str">
        <f t="shared" si="25"/>
        <v/>
      </c>
      <c r="D412" s="26" t="str">
        <f t="shared" si="26"/>
        <v/>
      </c>
      <c r="E412" s="29"/>
      <c r="F412" s="22"/>
      <c r="G412" s="22"/>
      <c r="H412" s="22"/>
      <c r="I412" s="24"/>
      <c r="J412" s="24"/>
      <c r="K412" s="24"/>
      <c r="L412" s="24"/>
      <c r="M412" s="27" t="str">
        <f t="shared" si="27"/>
        <v/>
      </c>
      <c r="N412" s="25"/>
      <c r="O412" s="22"/>
      <c r="P412" s="24"/>
      <c r="Q412" s="26"/>
    </row>
    <row r="413" spans="1:17" ht="15" x14ac:dyDescent="0.15">
      <c r="A413" s="22"/>
      <c r="B413" s="26" t="str">
        <f t="shared" si="24"/>
        <v/>
      </c>
      <c r="C413" s="26" t="str">
        <f t="shared" si="25"/>
        <v/>
      </c>
      <c r="D413" s="26" t="str">
        <f t="shared" si="26"/>
        <v/>
      </c>
      <c r="E413" s="29"/>
      <c r="F413" s="22"/>
      <c r="G413" s="22"/>
      <c r="H413" s="22"/>
      <c r="I413" s="24"/>
      <c r="J413" s="24"/>
      <c r="K413" s="24"/>
      <c r="L413" s="24"/>
      <c r="M413" s="27" t="str">
        <f t="shared" si="27"/>
        <v/>
      </c>
      <c r="N413" s="25"/>
      <c r="O413" s="22"/>
      <c r="P413" s="24"/>
      <c r="Q413" s="26"/>
    </row>
    <row r="414" spans="1:17" ht="15" x14ac:dyDescent="0.15">
      <c r="A414" s="22"/>
      <c r="B414" s="26" t="str">
        <f t="shared" si="24"/>
        <v/>
      </c>
      <c r="C414" s="26" t="str">
        <f t="shared" si="25"/>
        <v/>
      </c>
      <c r="D414" s="26" t="str">
        <f t="shared" si="26"/>
        <v/>
      </c>
      <c r="E414" s="29"/>
      <c r="F414" s="22"/>
      <c r="G414" s="22"/>
      <c r="H414" s="22"/>
      <c r="I414" s="24"/>
      <c r="J414" s="24"/>
      <c r="K414" s="24"/>
      <c r="L414" s="24"/>
      <c r="M414" s="27" t="str">
        <f t="shared" si="27"/>
        <v/>
      </c>
      <c r="N414" s="25"/>
      <c r="O414" s="22"/>
      <c r="P414" s="24"/>
      <c r="Q414" s="26"/>
    </row>
    <row r="415" spans="1:17" ht="15" x14ac:dyDescent="0.15">
      <c r="A415" s="22"/>
      <c r="B415" s="26" t="str">
        <f t="shared" si="24"/>
        <v/>
      </c>
      <c r="C415" s="26" t="str">
        <f t="shared" si="25"/>
        <v/>
      </c>
      <c r="D415" s="26" t="str">
        <f t="shared" si="26"/>
        <v/>
      </c>
      <c r="E415" s="29"/>
      <c r="F415" s="22"/>
      <c r="G415" s="22"/>
      <c r="H415" s="22"/>
      <c r="I415" s="24"/>
      <c r="J415" s="24"/>
      <c r="K415" s="24"/>
      <c r="L415" s="24"/>
      <c r="M415" s="27" t="str">
        <f t="shared" si="27"/>
        <v/>
      </c>
      <c r="N415" s="25"/>
      <c r="O415" s="22"/>
      <c r="P415" s="24"/>
      <c r="Q415" s="26"/>
    </row>
    <row r="416" spans="1:17" ht="15" x14ac:dyDescent="0.15">
      <c r="A416" s="22"/>
      <c r="B416" s="26" t="str">
        <f t="shared" si="24"/>
        <v/>
      </c>
      <c r="C416" s="26" t="str">
        <f t="shared" si="25"/>
        <v/>
      </c>
      <c r="D416" s="26" t="str">
        <f t="shared" si="26"/>
        <v/>
      </c>
      <c r="E416" s="29"/>
      <c r="F416" s="22"/>
      <c r="G416" s="22"/>
      <c r="H416" s="22"/>
      <c r="I416" s="24"/>
      <c r="J416" s="24"/>
      <c r="K416" s="24"/>
      <c r="L416" s="24"/>
      <c r="M416" s="27" t="str">
        <f t="shared" si="27"/>
        <v/>
      </c>
      <c r="N416" s="25"/>
      <c r="O416" s="22"/>
      <c r="P416" s="24"/>
      <c r="Q416" s="26"/>
    </row>
    <row r="417" spans="1:17" ht="15" x14ac:dyDescent="0.15">
      <c r="A417" s="22"/>
      <c r="B417" s="26" t="str">
        <f t="shared" si="24"/>
        <v/>
      </c>
      <c r="C417" s="26" t="str">
        <f t="shared" si="25"/>
        <v/>
      </c>
      <c r="D417" s="26" t="str">
        <f t="shared" si="26"/>
        <v/>
      </c>
      <c r="E417" s="29"/>
      <c r="F417" s="22"/>
      <c r="G417" s="22"/>
      <c r="H417" s="22"/>
      <c r="I417" s="24"/>
      <c r="J417" s="24"/>
      <c r="K417" s="24"/>
      <c r="L417" s="24"/>
      <c r="M417" s="27" t="str">
        <f t="shared" si="27"/>
        <v/>
      </c>
      <c r="N417" s="25"/>
      <c r="O417" s="22"/>
      <c r="P417" s="24"/>
      <c r="Q417" s="26"/>
    </row>
    <row r="418" spans="1:17" ht="15" x14ac:dyDescent="0.15">
      <c r="A418" s="22"/>
      <c r="B418" s="26" t="str">
        <f t="shared" si="24"/>
        <v/>
      </c>
      <c r="C418" s="26" t="str">
        <f t="shared" si="25"/>
        <v/>
      </c>
      <c r="D418" s="26" t="str">
        <f t="shared" si="26"/>
        <v/>
      </c>
      <c r="E418" s="29"/>
      <c r="F418" s="22"/>
      <c r="G418" s="22"/>
      <c r="H418" s="22"/>
      <c r="I418" s="24"/>
      <c r="J418" s="24"/>
      <c r="K418" s="24"/>
      <c r="L418" s="24"/>
      <c r="M418" s="27" t="str">
        <f t="shared" si="27"/>
        <v/>
      </c>
      <c r="N418" s="25"/>
      <c r="O418" s="22"/>
      <c r="P418" s="24"/>
      <c r="Q418" s="26"/>
    </row>
    <row r="419" spans="1:17" ht="15" x14ac:dyDescent="0.15">
      <c r="A419" s="22"/>
      <c r="B419" s="26" t="str">
        <f t="shared" si="24"/>
        <v/>
      </c>
      <c r="C419" s="26" t="str">
        <f t="shared" si="25"/>
        <v/>
      </c>
      <c r="D419" s="26" t="str">
        <f t="shared" si="26"/>
        <v/>
      </c>
      <c r="E419" s="29"/>
      <c r="F419" s="22"/>
      <c r="G419" s="22"/>
      <c r="H419" s="22"/>
      <c r="I419" s="24"/>
      <c r="J419" s="24"/>
      <c r="K419" s="24"/>
      <c r="L419" s="24"/>
      <c r="M419" s="27" t="str">
        <f t="shared" si="27"/>
        <v/>
      </c>
      <c r="N419" s="25"/>
      <c r="O419" s="22"/>
      <c r="P419" s="24"/>
      <c r="Q419" s="26"/>
    </row>
    <row r="420" spans="1:17" ht="15" x14ac:dyDescent="0.15">
      <c r="A420" s="22"/>
      <c r="B420" s="26" t="str">
        <f t="shared" si="24"/>
        <v/>
      </c>
      <c r="C420" s="26" t="str">
        <f t="shared" si="25"/>
        <v/>
      </c>
      <c r="D420" s="26" t="str">
        <f t="shared" si="26"/>
        <v/>
      </c>
      <c r="E420" s="29"/>
      <c r="F420" s="22"/>
      <c r="G420" s="22"/>
      <c r="H420" s="22"/>
      <c r="I420" s="24"/>
      <c r="J420" s="24"/>
      <c r="K420" s="24"/>
      <c r="L420" s="24"/>
      <c r="M420" s="27" t="str">
        <f t="shared" si="27"/>
        <v/>
      </c>
      <c r="N420" s="25"/>
      <c r="O420" s="22"/>
      <c r="P420" s="24"/>
      <c r="Q420" s="26"/>
    </row>
    <row r="421" spans="1:17" ht="15" x14ac:dyDescent="0.15">
      <c r="A421" s="22"/>
      <c r="B421" s="26" t="str">
        <f t="shared" si="24"/>
        <v/>
      </c>
      <c r="C421" s="26" t="str">
        <f t="shared" si="25"/>
        <v/>
      </c>
      <c r="D421" s="26" t="str">
        <f t="shared" si="26"/>
        <v/>
      </c>
      <c r="E421" s="29"/>
      <c r="F421" s="22"/>
      <c r="G421" s="22"/>
      <c r="H421" s="22"/>
      <c r="I421" s="24"/>
      <c r="J421" s="24"/>
      <c r="K421" s="24"/>
      <c r="L421" s="24"/>
      <c r="M421" s="27" t="str">
        <f t="shared" si="27"/>
        <v/>
      </c>
      <c r="N421" s="25"/>
      <c r="O421" s="22"/>
      <c r="P421" s="24"/>
      <c r="Q421" s="26"/>
    </row>
    <row r="422" spans="1:17" ht="15" x14ac:dyDescent="0.15">
      <c r="A422" s="22"/>
      <c r="B422" s="26" t="str">
        <f t="shared" si="24"/>
        <v/>
      </c>
      <c r="C422" s="26" t="str">
        <f t="shared" si="25"/>
        <v/>
      </c>
      <c r="D422" s="26" t="str">
        <f t="shared" si="26"/>
        <v/>
      </c>
      <c r="E422" s="29"/>
      <c r="F422" s="22"/>
      <c r="G422" s="22"/>
      <c r="H422" s="22"/>
      <c r="I422" s="24"/>
      <c r="J422" s="24"/>
      <c r="K422" s="24"/>
      <c r="L422" s="24"/>
      <c r="M422" s="27" t="str">
        <f t="shared" si="27"/>
        <v/>
      </c>
      <c r="N422" s="25"/>
      <c r="O422" s="22"/>
      <c r="P422" s="24"/>
      <c r="Q422" s="26"/>
    </row>
    <row r="423" spans="1:17" ht="15" x14ac:dyDescent="0.15">
      <c r="A423" s="22"/>
      <c r="B423" s="26" t="str">
        <f t="shared" si="24"/>
        <v/>
      </c>
      <c r="C423" s="26" t="str">
        <f t="shared" si="25"/>
        <v/>
      </c>
      <c r="D423" s="26" t="str">
        <f t="shared" si="26"/>
        <v/>
      </c>
      <c r="E423" s="29"/>
      <c r="F423" s="22"/>
      <c r="G423" s="22"/>
      <c r="H423" s="22"/>
      <c r="I423" s="24"/>
      <c r="J423" s="24"/>
      <c r="K423" s="24"/>
      <c r="L423" s="24"/>
      <c r="M423" s="27" t="str">
        <f t="shared" si="27"/>
        <v/>
      </c>
      <c r="N423" s="25"/>
      <c r="O423" s="22"/>
      <c r="P423" s="24"/>
      <c r="Q423" s="26"/>
    </row>
    <row r="424" spans="1:17" ht="15" x14ac:dyDescent="0.15">
      <c r="A424" s="22"/>
      <c r="B424" s="26" t="str">
        <f t="shared" si="24"/>
        <v/>
      </c>
      <c r="C424" s="26" t="str">
        <f t="shared" si="25"/>
        <v/>
      </c>
      <c r="D424" s="26" t="str">
        <f t="shared" si="26"/>
        <v/>
      </c>
      <c r="E424" s="29"/>
      <c r="F424" s="22"/>
      <c r="G424" s="22"/>
      <c r="H424" s="22"/>
      <c r="I424" s="24"/>
      <c r="J424" s="24"/>
      <c r="K424" s="24"/>
      <c r="L424" s="24"/>
      <c r="M424" s="27" t="str">
        <f t="shared" si="27"/>
        <v/>
      </c>
      <c r="N424" s="25"/>
      <c r="O424" s="22"/>
      <c r="P424" s="24"/>
      <c r="Q424" s="26"/>
    </row>
    <row r="425" spans="1:17" ht="15" x14ac:dyDescent="0.15">
      <c r="A425" s="22"/>
      <c r="B425" s="26" t="str">
        <f t="shared" si="24"/>
        <v/>
      </c>
      <c r="C425" s="26" t="str">
        <f t="shared" si="25"/>
        <v/>
      </c>
      <c r="D425" s="26" t="str">
        <f t="shared" si="26"/>
        <v/>
      </c>
      <c r="E425" s="29"/>
      <c r="F425" s="22"/>
      <c r="G425" s="22"/>
      <c r="H425" s="22"/>
      <c r="I425" s="24"/>
      <c r="J425" s="24"/>
      <c r="K425" s="24"/>
      <c r="L425" s="24"/>
      <c r="M425" s="27" t="str">
        <f t="shared" si="27"/>
        <v/>
      </c>
      <c r="N425" s="25"/>
      <c r="O425" s="22"/>
      <c r="P425" s="24"/>
      <c r="Q425" s="26"/>
    </row>
    <row r="426" spans="1:17" ht="15" x14ac:dyDescent="0.15">
      <c r="A426" s="22"/>
      <c r="B426" s="26" t="str">
        <f t="shared" si="24"/>
        <v/>
      </c>
      <c r="C426" s="26" t="str">
        <f t="shared" si="25"/>
        <v/>
      </c>
      <c r="D426" s="26" t="str">
        <f t="shared" si="26"/>
        <v/>
      </c>
      <c r="E426" s="29"/>
      <c r="F426" s="22"/>
      <c r="G426" s="22"/>
      <c r="H426" s="22"/>
      <c r="I426" s="24"/>
      <c r="J426" s="24"/>
      <c r="K426" s="24"/>
      <c r="L426" s="24"/>
      <c r="M426" s="27" t="str">
        <f t="shared" si="27"/>
        <v/>
      </c>
      <c r="N426" s="25"/>
      <c r="O426" s="22"/>
      <c r="P426" s="24"/>
      <c r="Q426" s="26"/>
    </row>
    <row r="427" spans="1:17" ht="15" x14ac:dyDescent="0.15">
      <c r="A427" s="22"/>
      <c r="B427" s="26" t="str">
        <f t="shared" si="24"/>
        <v/>
      </c>
      <c r="C427" s="26" t="str">
        <f t="shared" si="25"/>
        <v/>
      </c>
      <c r="D427" s="26" t="str">
        <f t="shared" si="26"/>
        <v/>
      </c>
      <c r="E427" s="29"/>
      <c r="F427" s="22"/>
      <c r="G427" s="22"/>
      <c r="H427" s="22"/>
      <c r="I427" s="24"/>
      <c r="J427" s="24"/>
      <c r="K427" s="24"/>
      <c r="L427" s="24"/>
      <c r="M427" s="27" t="str">
        <f t="shared" si="27"/>
        <v/>
      </c>
      <c r="N427" s="25"/>
      <c r="O427" s="22"/>
      <c r="P427" s="24"/>
      <c r="Q427" s="26"/>
    </row>
    <row r="428" spans="1:17" ht="15" x14ac:dyDescent="0.15">
      <c r="A428" s="22"/>
      <c r="B428" s="26" t="str">
        <f t="shared" si="24"/>
        <v/>
      </c>
      <c r="C428" s="26" t="str">
        <f t="shared" si="25"/>
        <v/>
      </c>
      <c r="D428" s="26" t="str">
        <f t="shared" si="26"/>
        <v/>
      </c>
      <c r="E428" s="29"/>
      <c r="F428" s="22"/>
      <c r="G428" s="22"/>
      <c r="H428" s="22"/>
      <c r="I428" s="24"/>
      <c r="J428" s="24"/>
      <c r="K428" s="24"/>
      <c r="L428" s="24"/>
      <c r="M428" s="27" t="str">
        <f t="shared" si="27"/>
        <v/>
      </c>
      <c r="N428" s="25"/>
      <c r="O428" s="22"/>
      <c r="P428" s="24"/>
      <c r="Q428" s="26"/>
    </row>
    <row r="429" spans="1:17" ht="15" x14ac:dyDescent="0.15">
      <c r="A429" s="22"/>
      <c r="B429" s="26" t="str">
        <f t="shared" si="24"/>
        <v/>
      </c>
      <c r="C429" s="26" t="str">
        <f t="shared" si="25"/>
        <v/>
      </c>
      <c r="D429" s="26" t="str">
        <f t="shared" si="26"/>
        <v/>
      </c>
      <c r="E429" s="29"/>
      <c r="F429" s="22"/>
      <c r="G429" s="22"/>
      <c r="H429" s="22"/>
      <c r="I429" s="24"/>
      <c r="J429" s="24"/>
      <c r="K429" s="24"/>
      <c r="L429" s="24"/>
      <c r="M429" s="27" t="str">
        <f t="shared" si="27"/>
        <v/>
      </c>
      <c r="N429" s="25"/>
      <c r="O429" s="22"/>
      <c r="P429" s="24"/>
      <c r="Q429" s="26"/>
    </row>
    <row r="430" spans="1:17" ht="15" x14ac:dyDescent="0.15">
      <c r="A430" s="22"/>
      <c r="B430" s="26" t="str">
        <f t="shared" si="24"/>
        <v/>
      </c>
      <c r="C430" s="26" t="str">
        <f t="shared" si="25"/>
        <v/>
      </c>
      <c r="D430" s="26" t="str">
        <f t="shared" si="26"/>
        <v/>
      </c>
      <c r="E430" s="29"/>
      <c r="F430" s="22"/>
      <c r="G430" s="22"/>
      <c r="H430" s="22"/>
      <c r="I430" s="24"/>
      <c r="J430" s="24"/>
      <c r="K430" s="24"/>
      <c r="L430" s="24"/>
      <c r="M430" s="27" t="str">
        <f t="shared" si="27"/>
        <v/>
      </c>
      <c r="N430" s="25"/>
      <c r="O430" s="22"/>
      <c r="P430" s="24"/>
      <c r="Q430" s="26"/>
    </row>
    <row r="431" spans="1:17" ht="15" x14ac:dyDescent="0.15">
      <c r="A431" s="22"/>
      <c r="B431" s="26" t="str">
        <f t="shared" si="24"/>
        <v/>
      </c>
      <c r="C431" s="26" t="str">
        <f t="shared" si="25"/>
        <v/>
      </c>
      <c r="D431" s="26" t="str">
        <f t="shared" si="26"/>
        <v/>
      </c>
      <c r="E431" s="29"/>
      <c r="F431" s="22"/>
      <c r="G431" s="22"/>
      <c r="H431" s="22"/>
      <c r="I431" s="24"/>
      <c r="J431" s="24"/>
      <c r="K431" s="24"/>
      <c r="L431" s="24"/>
      <c r="M431" s="27" t="str">
        <f t="shared" si="27"/>
        <v/>
      </c>
      <c r="N431" s="25"/>
      <c r="O431" s="22"/>
      <c r="P431" s="24"/>
      <c r="Q431" s="26"/>
    </row>
    <row r="432" spans="1:17" ht="15" x14ac:dyDescent="0.15">
      <c r="A432" s="22"/>
      <c r="B432" s="26" t="str">
        <f t="shared" si="24"/>
        <v/>
      </c>
      <c r="C432" s="26" t="str">
        <f t="shared" si="25"/>
        <v/>
      </c>
      <c r="D432" s="26" t="str">
        <f t="shared" si="26"/>
        <v/>
      </c>
      <c r="E432" s="29"/>
      <c r="F432" s="22"/>
      <c r="G432" s="22"/>
      <c r="H432" s="22"/>
      <c r="I432" s="24"/>
      <c r="J432" s="24"/>
      <c r="K432" s="24"/>
      <c r="L432" s="24"/>
      <c r="M432" s="27" t="str">
        <f t="shared" si="27"/>
        <v/>
      </c>
      <c r="N432" s="25"/>
      <c r="O432" s="22"/>
      <c r="P432" s="24"/>
      <c r="Q432" s="26"/>
    </row>
    <row r="433" spans="1:17" ht="15" x14ac:dyDescent="0.15">
      <c r="A433" s="22"/>
      <c r="B433" s="26" t="str">
        <f t="shared" si="24"/>
        <v/>
      </c>
      <c r="C433" s="26" t="str">
        <f t="shared" si="25"/>
        <v/>
      </c>
      <c r="D433" s="26" t="str">
        <f t="shared" si="26"/>
        <v/>
      </c>
      <c r="E433" s="29"/>
      <c r="F433" s="22"/>
      <c r="G433" s="22"/>
      <c r="H433" s="22"/>
      <c r="I433" s="24"/>
      <c r="J433" s="24"/>
      <c r="K433" s="24"/>
      <c r="L433" s="24"/>
      <c r="M433" s="27" t="str">
        <f t="shared" si="27"/>
        <v/>
      </c>
      <c r="N433" s="25"/>
      <c r="O433" s="22"/>
      <c r="P433" s="24"/>
      <c r="Q433" s="26"/>
    </row>
    <row r="434" spans="1:17" ht="15" x14ac:dyDescent="0.15">
      <c r="A434" s="22"/>
      <c r="B434" s="26" t="str">
        <f t="shared" si="24"/>
        <v/>
      </c>
      <c r="C434" s="26" t="str">
        <f t="shared" si="25"/>
        <v/>
      </c>
      <c r="D434" s="26" t="str">
        <f t="shared" si="26"/>
        <v/>
      </c>
      <c r="E434" s="29"/>
      <c r="F434" s="22"/>
      <c r="G434" s="22"/>
      <c r="H434" s="22"/>
      <c r="I434" s="24"/>
      <c r="J434" s="24"/>
      <c r="K434" s="24"/>
      <c r="L434" s="24"/>
      <c r="M434" s="27" t="str">
        <f t="shared" si="27"/>
        <v/>
      </c>
      <c r="N434" s="25"/>
      <c r="O434" s="22"/>
      <c r="P434" s="24"/>
      <c r="Q434" s="26"/>
    </row>
    <row r="435" spans="1:17" ht="15" x14ac:dyDescent="0.15">
      <c r="A435" s="22"/>
      <c r="B435" s="26" t="str">
        <f t="shared" si="24"/>
        <v/>
      </c>
      <c r="C435" s="26" t="str">
        <f t="shared" si="25"/>
        <v/>
      </c>
      <c r="D435" s="26" t="str">
        <f t="shared" si="26"/>
        <v/>
      </c>
      <c r="E435" s="29"/>
      <c r="F435" s="22"/>
      <c r="G435" s="22"/>
      <c r="H435" s="22"/>
      <c r="I435" s="24"/>
      <c r="J435" s="24"/>
      <c r="K435" s="24"/>
      <c r="L435" s="24"/>
      <c r="M435" s="27" t="str">
        <f t="shared" si="27"/>
        <v/>
      </c>
      <c r="N435" s="25"/>
      <c r="O435" s="22"/>
      <c r="P435" s="24"/>
      <c r="Q435" s="26"/>
    </row>
    <row r="436" spans="1:17" ht="15" x14ac:dyDescent="0.15">
      <c r="A436" s="22"/>
      <c r="B436" s="26" t="str">
        <f t="shared" si="24"/>
        <v/>
      </c>
      <c r="C436" s="26" t="str">
        <f t="shared" si="25"/>
        <v/>
      </c>
      <c r="D436" s="26" t="str">
        <f t="shared" si="26"/>
        <v/>
      </c>
      <c r="E436" s="29"/>
      <c r="F436" s="22"/>
      <c r="G436" s="22"/>
      <c r="H436" s="22"/>
      <c r="I436" s="24"/>
      <c r="J436" s="24"/>
      <c r="K436" s="24"/>
      <c r="L436" s="24"/>
      <c r="M436" s="27" t="str">
        <f t="shared" si="27"/>
        <v/>
      </c>
      <c r="N436" s="25"/>
      <c r="O436" s="22"/>
      <c r="P436" s="24"/>
      <c r="Q436" s="26"/>
    </row>
    <row r="437" spans="1:17" ht="15" x14ac:dyDescent="0.15">
      <c r="A437" s="22"/>
      <c r="B437" s="26" t="str">
        <f t="shared" si="24"/>
        <v/>
      </c>
      <c r="C437" s="26" t="str">
        <f t="shared" si="25"/>
        <v/>
      </c>
      <c r="D437" s="26" t="str">
        <f t="shared" si="26"/>
        <v/>
      </c>
      <c r="E437" s="29"/>
      <c r="F437" s="22"/>
      <c r="G437" s="22"/>
      <c r="H437" s="22"/>
      <c r="I437" s="24"/>
      <c r="J437" s="24"/>
      <c r="K437" s="24"/>
      <c r="L437" s="24"/>
      <c r="M437" s="27" t="str">
        <f t="shared" si="27"/>
        <v/>
      </c>
      <c r="N437" s="25"/>
      <c r="O437" s="22"/>
      <c r="P437" s="24"/>
      <c r="Q437" s="26"/>
    </row>
    <row r="438" spans="1:17" ht="15" x14ac:dyDescent="0.15">
      <c r="A438" s="22"/>
      <c r="B438" s="26" t="str">
        <f t="shared" si="24"/>
        <v/>
      </c>
      <c r="C438" s="26" t="str">
        <f t="shared" si="25"/>
        <v/>
      </c>
      <c r="D438" s="26" t="str">
        <f t="shared" si="26"/>
        <v/>
      </c>
      <c r="E438" s="29"/>
      <c r="F438" s="22"/>
      <c r="G438" s="22"/>
      <c r="H438" s="22"/>
      <c r="I438" s="24"/>
      <c r="J438" s="24"/>
      <c r="K438" s="24"/>
      <c r="L438" s="24"/>
      <c r="M438" s="27" t="str">
        <f t="shared" si="27"/>
        <v/>
      </c>
      <c r="N438" s="25"/>
      <c r="O438" s="22"/>
      <c r="P438" s="24"/>
      <c r="Q438" s="26"/>
    </row>
    <row r="439" spans="1:17" ht="15" x14ac:dyDescent="0.15">
      <c r="A439" s="22"/>
      <c r="B439" s="26" t="str">
        <f t="shared" si="24"/>
        <v/>
      </c>
      <c r="C439" s="26" t="str">
        <f t="shared" si="25"/>
        <v/>
      </c>
      <c r="D439" s="26" t="str">
        <f t="shared" si="26"/>
        <v/>
      </c>
      <c r="E439" s="29"/>
      <c r="F439" s="22"/>
      <c r="G439" s="22"/>
      <c r="H439" s="22"/>
      <c r="I439" s="24"/>
      <c r="J439" s="24"/>
      <c r="K439" s="24"/>
      <c r="L439" s="24"/>
      <c r="M439" s="27" t="str">
        <f t="shared" si="27"/>
        <v/>
      </c>
      <c r="N439" s="25"/>
      <c r="O439" s="22"/>
      <c r="P439" s="24"/>
      <c r="Q439" s="26"/>
    </row>
    <row r="440" spans="1:17" ht="15" x14ac:dyDescent="0.15">
      <c r="A440" s="22"/>
      <c r="B440" s="26" t="str">
        <f t="shared" si="24"/>
        <v/>
      </c>
      <c r="C440" s="26" t="str">
        <f t="shared" si="25"/>
        <v/>
      </c>
      <c r="D440" s="26" t="str">
        <f t="shared" si="26"/>
        <v/>
      </c>
      <c r="E440" s="29"/>
      <c r="F440" s="22"/>
      <c r="G440" s="22"/>
      <c r="H440" s="22"/>
      <c r="I440" s="24"/>
      <c r="J440" s="24"/>
      <c r="K440" s="24"/>
      <c r="L440" s="24"/>
      <c r="M440" s="27" t="str">
        <f t="shared" si="27"/>
        <v/>
      </c>
      <c r="N440" s="25"/>
      <c r="O440" s="22"/>
      <c r="P440" s="24"/>
      <c r="Q440" s="26"/>
    </row>
    <row r="441" spans="1:17" ht="15" x14ac:dyDescent="0.15">
      <c r="A441" s="22"/>
      <c r="B441" s="26" t="str">
        <f t="shared" si="24"/>
        <v/>
      </c>
      <c r="C441" s="26" t="str">
        <f t="shared" si="25"/>
        <v/>
      </c>
      <c r="D441" s="26" t="str">
        <f t="shared" si="26"/>
        <v/>
      </c>
      <c r="E441" s="29"/>
      <c r="F441" s="22"/>
      <c r="G441" s="22"/>
      <c r="H441" s="22"/>
      <c r="I441" s="24"/>
      <c r="J441" s="24"/>
      <c r="K441" s="24"/>
      <c r="L441" s="24"/>
      <c r="M441" s="27" t="str">
        <f t="shared" si="27"/>
        <v/>
      </c>
      <c r="N441" s="25"/>
      <c r="O441" s="22"/>
      <c r="P441" s="24"/>
      <c r="Q441" s="26"/>
    </row>
    <row r="442" spans="1:17" ht="15" x14ac:dyDescent="0.15">
      <c r="A442" s="22"/>
      <c r="B442" s="26" t="str">
        <f t="shared" si="24"/>
        <v/>
      </c>
      <c r="C442" s="26" t="str">
        <f t="shared" si="25"/>
        <v/>
      </c>
      <c r="D442" s="26" t="str">
        <f t="shared" si="26"/>
        <v/>
      </c>
      <c r="E442" s="29"/>
      <c r="F442" s="22"/>
      <c r="G442" s="22"/>
      <c r="H442" s="22"/>
      <c r="I442" s="24"/>
      <c r="J442" s="24"/>
      <c r="K442" s="24"/>
      <c r="L442" s="24"/>
      <c r="M442" s="27" t="str">
        <f t="shared" si="27"/>
        <v/>
      </c>
      <c r="N442" s="25"/>
      <c r="O442" s="22"/>
      <c r="P442" s="24"/>
      <c r="Q442" s="26"/>
    </row>
    <row r="443" spans="1:17" ht="15" x14ac:dyDescent="0.15">
      <c r="A443" s="22"/>
      <c r="B443" s="26" t="str">
        <f t="shared" si="24"/>
        <v/>
      </c>
      <c r="C443" s="26" t="str">
        <f t="shared" si="25"/>
        <v/>
      </c>
      <c r="D443" s="26" t="str">
        <f t="shared" si="26"/>
        <v/>
      </c>
      <c r="E443" s="29"/>
      <c r="F443" s="22"/>
      <c r="G443" s="22"/>
      <c r="H443" s="22"/>
      <c r="I443" s="24"/>
      <c r="J443" s="24"/>
      <c r="K443" s="24"/>
      <c r="L443" s="24"/>
      <c r="M443" s="27" t="str">
        <f t="shared" si="27"/>
        <v/>
      </c>
      <c r="N443" s="25"/>
      <c r="O443" s="22"/>
      <c r="P443" s="24"/>
      <c r="Q443" s="26"/>
    </row>
    <row r="444" spans="1:17" ht="15" x14ac:dyDescent="0.15">
      <c r="A444" s="22"/>
      <c r="B444" s="26" t="str">
        <f t="shared" si="24"/>
        <v/>
      </c>
      <c r="C444" s="26" t="str">
        <f t="shared" si="25"/>
        <v/>
      </c>
      <c r="D444" s="26" t="str">
        <f t="shared" si="26"/>
        <v/>
      </c>
      <c r="E444" s="29"/>
      <c r="F444" s="22"/>
      <c r="G444" s="22"/>
      <c r="H444" s="22"/>
      <c r="I444" s="24"/>
      <c r="J444" s="24"/>
      <c r="K444" s="24"/>
      <c r="L444" s="24"/>
      <c r="M444" s="27" t="str">
        <f t="shared" si="27"/>
        <v/>
      </c>
      <c r="N444" s="25"/>
      <c r="O444" s="22"/>
      <c r="P444" s="24"/>
      <c r="Q444" s="26"/>
    </row>
    <row r="445" spans="1:17" ht="15" x14ac:dyDescent="0.15">
      <c r="A445" s="22"/>
      <c r="B445" s="26" t="str">
        <f t="shared" si="24"/>
        <v/>
      </c>
      <c r="C445" s="26" t="str">
        <f t="shared" si="25"/>
        <v/>
      </c>
      <c r="D445" s="26" t="str">
        <f t="shared" si="26"/>
        <v/>
      </c>
      <c r="E445" s="29"/>
      <c r="F445" s="22"/>
      <c r="G445" s="22"/>
      <c r="H445" s="22"/>
      <c r="I445" s="24"/>
      <c r="J445" s="24"/>
      <c r="K445" s="24"/>
      <c r="L445" s="24"/>
      <c r="M445" s="27" t="str">
        <f t="shared" si="27"/>
        <v/>
      </c>
      <c r="N445" s="25"/>
      <c r="O445" s="22"/>
      <c r="P445" s="24"/>
      <c r="Q445" s="26"/>
    </row>
    <row r="446" spans="1:17" ht="15" x14ac:dyDescent="0.15">
      <c r="A446" s="22"/>
      <c r="B446" s="26" t="str">
        <f t="shared" si="24"/>
        <v/>
      </c>
      <c r="C446" s="26" t="str">
        <f t="shared" si="25"/>
        <v/>
      </c>
      <c r="D446" s="26" t="str">
        <f t="shared" si="26"/>
        <v/>
      </c>
      <c r="E446" s="29"/>
      <c r="F446" s="22"/>
      <c r="G446" s="22"/>
      <c r="H446" s="22"/>
      <c r="I446" s="24"/>
      <c r="J446" s="24"/>
      <c r="K446" s="24"/>
      <c r="L446" s="24"/>
      <c r="M446" s="27" t="str">
        <f t="shared" si="27"/>
        <v/>
      </c>
      <c r="N446" s="25"/>
      <c r="O446" s="22"/>
      <c r="P446" s="24"/>
      <c r="Q446" s="26"/>
    </row>
    <row r="447" spans="1:17" ht="15" x14ac:dyDescent="0.15">
      <c r="A447" s="22"/>
      <c r="B447" s="26" t="str">
        <f t="shared" si="24"/>
        <v/>
      </c>
      <c r="C447" s="26" t="str">
        <f t="shared" si="25"/>
        <v/>
      </c>
      <c r="D447" s="26" t="str">
        <f t="shared" si="26"/>
        <v/>
      </c>
      <c r="E447" s="29"/>
      <c r="F447" s="22"/>
      <c r="G447" s="22"/>
      <c r="H447" s="22"/>
      <c r="I447" s="24"/>
      <c r="J447" s="24"/>
      <c r="K447" s="24"/>
      <c r="L447" s="24"/>
      <c r="M447" s="27" t="str">
        <f t="shared" si="27"/>
        <v/>
      </c>
      <c r="N447" s="25"/>
      <c r="O447" s="22"/>
      <c r="P447" s="24"/>
      <c r="Q447" s="26"/>
    </row>
    <row r="448" spans="1:17" ht="15" x14ac:dyDescent="0.15">
      <c r="A448" s="22"/>
      <c r="B448" s="26" t="str">
        <f t="shared" si="24"/>
        <v/>
      </c>
      <c r="C448" s="26" t="str">
        <f t="shared" si="25"/>
        <v/>
      </c>
      <c r="D448" s="26" t="str">
        <f t="shared" si="26"/>
        <v/>
      </c>
      <c r="E448" s="29"/>
      <c r="F448" s="22"/>
      <c r="G448" s="22"/>
      <c r="H448" s="22"/>
      <c r="I448" s="24"/>
      <c r="J448" s="24"/>
      <c r="K448" s="24"/>
      <c r="L448" s="24"/>
      <c r="M448" s="27" t="str">
        <f t="shared" si="27"/>
        <v/>
      </c>
      <c r="N448" s="25"/>
      <c r="O448" s="22"/>
      <c r="P448" s="24"/>
      <c r="Q448" s="26"/>
    </row>
    <row r="449" spans="1:17" ht="15" x14ac:dyDescent="0.15">
      <c r="A449" s="22"/>
      <c r="B449" s="26" t="str">
        <f t="shared" si="24"/>
        <v/>
      </c>
      <c r="C449" s="26" t="str">
        <f t="shared" si="25"/>
        <v/>
      </c>
      <c r="D449" s="26" t="str">
        <f t="shared" si="26"/>
        <v/>
      </c>
      <c r="E449" s="29"/>
      <c r="F449" s="22"/>
      <c r="G449" s="22"/>
      <c r="H449" s="22"/>
      <c r="I449" s="24"/>
      <c r="J449" s="24"/>
      <c r="K449" s="24"/>
      <c r="L449" s="24"/>
      <c r="M449" s="27" t="str">
        <f t="shared" si="27"/>
        <v/>
      </c>
      <c r="N449" s="25"/>
      <c r="O449" s="22"/>
      <c r="P449" s="24"/>
      <c r="Q449" s="26"/>
    </row>
    <row r="450" spans="1:17" ht="15" x14ac:dyDescent="0.15">
      <c r="A450" s="22"/>
      <c r="B450" s="26" t="str">
        <f t="shared" si="24"/>
        <v/>
      </c>
      <c r="C450" s="26" t="str">
        <f t="shared" si="25"/>
        <v/>
      </c>
      <c r="D450" s="26" t="str">
        <f t="shared" si="26"/>
        <v/>
      </c>
      <c r="E450" s="29"/>
      <c r="F450" s="22"/>
      <c r="G450" s="22"/>
      <c r="H450" s="22"/>
      <c r="I450" s="24"/>
      <c r="J450" s="24"/>
      <c r="K450" s="24"/>
      <c r="L450" s="24"/>
      <c r="M450" s="27" t="str">
        <f t="shared" si="27"/>
        <v/>
      </c>
      <c r="N450" s="25"/>
      <c r="O450" s="22"/>
      <c r="P450" s="24"/>
      <c r="Q450" s="26"/>
    </row>
    <row r="451" spans="1:17" ht="15" x14ac:dyDescent="0.15">
      <c r="A451" s="22"/>
      <c r="B451" s="26" t="str">
        <f t="shared" si="24"/>
        <v/>
      </c>
      <c r="C451" s="26" t="str">
        <f t="shared" si="25"/>
        <v/>
      </c>
      <c r="D451" s="26" t="str">
        <f t="shared" si="26"/>
        <v/>
      </c>
      <c r="E451" s="29"/>
      <c r="F451" s="22"/>
      <c r="G451" s="22"/>
      <c r="H451" s="22"/>
      <c r="I451" s="24"/>
      <c r="J451" s="24"/>
      <c r="K451" s="24"/>
      <c r="L451" s="24"/>
      <c r="M451" s="27" t="str">
        <f t="shared" si="27"/>
        <v/>
      </c>
      <c r="N451" s="25"/>
      <c r="O451" s="22"/>
      <c r="P451" s="24"/>
      <c r="Q451" s="26"/>
    </row>
    <row r="452" spans="1:17" ht="15" x14ac:dyDescent="0.15">
      <c r="A452" s="22"/>
      <c r="B452" s="26" t="str">
        <f t="shared" si="24"/>
        <v/>
      </c>
      <c r="C452" s="26" t="str">
        <f t="shared" si="25"/>
        <v/>
      </c>
      <c r="D452" s="26" t="str">
        <f t="shared" si="26"/>
        <v/>
      </c>
      <c r="E452" s="29"/>
      <c r="F452" s="22"/>
      <c r="G452" s="22"/>
      <c r="H452" s="22"/>
      <c r="I452" s="24"/>
      <c r="J452" s="24"/>
      <c r="K452" s="24"/>
      <c r="L452" s="24"/>
      <c r="M452" s="27" t="str">
        <f t="shared" si="27"/>
        <v/>
      </c>
      <c r="N452" s="25"/>
      <c r="O452" s="22"/>
      <c r="P452" s="24"/>
      <c r="Q452" s="26"/>
    </row>
    <row r="453" spans="1:17" ht="15" x14ac:dyDescent="0.15">
      <c r="A453" s="22"/>
      <c r="B453" s="26" t="str">
        <f t="shared" si="24"/>
        <v/>
      </c>
      <c r="C453" s="26" t="str">
        <f t="shared" si="25"/>
        <v/>
      </c>
      <c r="D453" s="26" t="str">
        <f t="shared" si="26"/>
        <v/>
      </c>
      <c r="E453" s="29"/>
      <c r="F453" s="22"/>
      <c r="G453" s="22"/>
      <c r="H453" s="22"/>
      <c r="I453" s="24"/>
      <c r="J453" s="24"/>
      <c r="K453" s="24"/>
      <c r="L453" s="24"/>
      <c r="M453" s="27" t="str">
        <f t="shared" si="27"/>
        <v/>
      </c>
      <c r="N453" s="25"/>
      <c r="O453" s="22"/>
      <c r="P453" s="24"/>
      <c r="Q453" s="26"/>
    </row>
    <row r="454" spans="1:17" ht="15" x14ac:dyDescent="0.15">
      <c r="A454" s="22"/>
      <c r="B454" s="26" t="str">
        <f t="shared" si="24"/>
        <v/>
      </c>
      <c r="C454" s="26" t="str">
        <f t="shared" si="25"/>
        <v/>
      </c>
      <c r="D454" s="26" t="str">
        <f t="shared" si="26"/>
        <v/>
      </c>
      <c r="E454" s="29"/>
      <c r="F454" s="22"/>
      <c r="G454" s="22"/>
      <c r="H454" s="22"/>
      <c r="I454" s="24"/>
      <c r="J454" s="24"/>
      <c r="K454" s="24"/>
      <c r="L454" s="24"/>
      <c r="M454" s="27" t="str">
        <f t="shared" si="27"/>
        <v/>
      </c>
      <c r="N454" s="25"/>
      <c r="O454" s="22"/>
      <c r="P454" s="24"/>
      <c r="Q454" s="26"/>
    </row>
    <row r="455" spans="1:17" ht="15" x14ac:dyDescent="0.15">
      <c r="A455" s="22"/>
      <c r="B455" s="26" t="str">
        <f t="shared" ref="B455:B518" si="28">IFERROR(IF($A455="","",LEFT($A455,FIND(" | ",$A455)-1)),"")</f>
        <v/>
      </c>
      <c r="C455" s="26" t="str">
        <f t="shared" ref="C455:C518" si="29">IFERROR(IF($A455="","",MID($A455,FIND(" | ",$A455)+3,FIND(" | ",$A455,FIND(" | ",$A455)+3)-FIND(" | ",$A455)-3)),"")</f>
        <v/>
      </c>
      <c r="D455" s="26" t="str">
        <f t="shared" ref="D455:D518" si="30">IFERROR(IF($A455="","",RIGHT($A455,LEN($A455)-FIND(" | ",$A455,FIND(" | ",$A455)+3)-2)),"")</f>
        <v/>
      </c>
      <c r="E455" s="29"/>
      <c r="F455" s="22"/>
      <c r="G455" s="22"/>
      <c r="H455" s="22"/>
      <c r="I455" s="24"/>
      <c r="J455" s="24"/>
      <c r="K455" s="24"/>
      <c r="L455" s="24"/>
      <c r="M455" s="27" t="str">
        <f t="shared" ref="M455:M518" si="31">IF($B455="","",SUM($J455,-$K455,$L455))</f>
        <v/>
      </c>
      <c r="N455" s="25"/>
      <c r="O455" s="22"/>
      <c r="P455" s="24"/>
      <c r="Q455" s="26"/>
    </row>
    <row r="456" spans="1:17" ht="15" x14ac:dyDescent="0.15">
      <c r="A456" s="22"/>
      <c r="B456" s="26" t="str">
        <f t="shared" si="28"/>
        <v/>
      </c>
      <c r="C456" s="26" t="str">
        <f t="shared" si="29"/>
        <v/>
      </c>
      <c r="D456" s="26" t="str">
        <f t="shared" si="30"/>
        <v/>
      </c>
      <c r="E456" s="29"/>
      <c r="F456" s="22"/>
      <c r="G456" s="22"/>
      <c r="H456" s="22"/>
      <c r="I456" s="24"/>
      <c r="J456" s="24"/>
      <c r="K456" s="24"/>
      <c r="L456" s="24"/>
      <c r="M456" s="27" t="str">
        <f t="shared" si="31"/>
        <v/>
      </c>
      <c r="N456" s="25"/>
      <c r="O456" s="22"/>
      <c r="P456" s="24"/>
      <c r="Q456" s="26"/>
    </row>
    <row r="457" spans="1:17" ht="15" x14ac:dyDescent="0.15">
      <c r="A457" s="22"/>
      <c r="B457" s="26" t="str">
        <f t="shared" si="28"/>
        <v/>
      </c>
      <c r="C457" s="26" t="str">
        <f t="shared" si="29"/>
        <v/>
      </c>
      <c r="D457" s="26" t="str">
        <f t="shared" si="30"/>
        <v/>
      </c>
      <c r="E457" s="29"/>
      <c r="F457" s="22"/>
      <c r="G457" s="22"/>
      <c r="H457" s="22"/>
      <c r="I457" s="24"/>
      <c r="J457" s="24"/>
      <c r="K457" s="24"/>
      <c r="L457" s="24"/>
      <c r="M457" s="27" t="str">
        <f t="shared" si="31"/>
        <v/>
      </c>
      <c r="N457" s="25"/>
      <c r="O457" s="22"/>
      <c r="P457" s="24"/>
      <c r="Q457" s="26"/>
    </row>
    <row r="458" spans="1:17" ht="15" x14ac:dyDescent="0.15">
      <c r="A458" s="22"/>
      <c r="B458" s="26" t="str">
        <f t="shared" si="28"/>
        <v/>
      </c>
      <c r="C458" s="26" t="str">
        <f t="shared" si="29"/>
        <v/>
      </c>
      <c r="D458" s="26" t="str">
        <f t="shared" si="30"/>
        <v/>
      </c>
      <c r="E458" s="29"/>
      <c r="F458" s="22"/>
      <c r="G458" s="22"/>
      <c r="H458" s="22"/>
      <c r="I458" s="24"/>
      <c r="J458" s="24"/>
      <c r="K458" s="24"/>
      <c r="L458" s="24"/>
      <c r="M458" s="27" t="str">
        <f t="shared" si="31"/>
        <v/>
      </c>
      <c r="N458" s="25"/>
      <c r="O458" s="22"/>
      <c r="P458" s="24"/>
      <c r="Q458" s="26"/>
    </row>
    <row r="459" spans="1:17" ht="15" x14ac:dyDescent="0.15">
      <c r="A459" s="22"/>
      <c r="B459" s="26" t="str">
        <f t="shared" si="28"/>
        <v/>
      </c>
      <c r="C459" s="26" t="str">
        <f t="shared" si="29"/>
        <v/>
      </c>
      <c r="D459" s="26" t="str">
        <f t="shared" si="30"/>
        <v/>
      </c>
      <c r="E459" s="29"/>
      <c r="F459" s="22"/>
      <c r="G459" s="22"/>
      <c r="H459" s="22"/>
      <c r="I459" s="24"/>
      <c r="J459" s="24"/>
      <c r="K459" s="24"/>
      <c r="L459" s="24"/>
      <c r="M459" s="27" t="str">
        <f t="shared" si="31"/>
        <v/>
      </c>
      <c r="N459" s="25"/>
      <c r="O459" s="22"/>
      <c r="P459" s="24"/>
      <c r="Q459" s="26"/>
    </row>
    <row r="460" spans="1:17" ht="15" x14ac:dyDescent="0.15">
      <c r="A460" s="22"/>
      <c r="B460" s="26" t="str">
        <f t="shared" si="28"/>
        <v/>
      </c>
      <c r="C460" s="26" t="str">
        <f t="shared" si="29"/>
        <v/>
      </c>
      <c r="D460" s="26" t="str">
        <f t="shared" si="30"/>
        <v/>
      </c>
      <c r="E460" s="29"/>
      <c r="F460" s="22"/>
      <c r="G460" s="22"/>
      <c r="H460" s="22"/>
      <c r="I460" s="24"/>
      <c r="J460" s="24"/>
      <c r="K460" s="24"/>
      <c r="L460" s="24"/>
      <c r="M460" s="27" t="str">
        <f t="shared" si="31"/>
        <v/>
      </c>
      <c r="N460" s="25"/>
      <c r="O460" s="22"/>
      <c r="P460" s="24"/>
      <c r="Q460" s="26"/>
    </row>
    <row r="461" spans="1:17" ht="15" x14ac:dyDescent="0.15">
      <c r="A461" s="22"/>
      <c r="B461" s="26" t="str">
        <f t="shared" si="28"/>
        <v/>
      </c>
      <c r="C461" s="26" t="str">
        <f t="shared" si="29"/>
        <v/>
      </c>
      <c r="D461" s="26" t="str">
        <f t="shared" si="30"/>
        <v/>
      </c>
      <c r="E461" s="29"/>
      <c r="F461" s="22"/>
      <c r="G461" s="22"/>
      <c r="H461" s="22"/>
      <c r="I461" s="24"/>
      <c r="J461" s="24"/>
      <c r="K461" s="24"/>
      <c r="L461" s="24"/>
      <c r="M461" s="27" t="str">
        <f t="shared" si="31"/>
        <v/>
      </c>
      <c r="N461" s="25"/>
      <c r="O461" s="22"/>
      <c r="P461" s="24"/>
      <c r="Q461" s="26"/>
    </row>
    <row r="462" spans="1:17" ht="15" x14ac:dyDescent="0.15">
      <c r="A462" s="22"/>
      <c r="B462" s="26" t="str">
        <f t="shared" si="28"/>
        <v/>
      </c>
      <c r="C462" s="26" t="str">
        <f t="shared" si="29"/>
        <v/>
      </c>
      <c r="D462" s="26" t="str">
        <f t="shared" si="30"/>
        <v/>
      </c>
      <c r="E462" s="29"/>
      <c r="F462" s="22"/>
      <c r="G462" s="22"/>
      <c r="H462" s="22"/>
      <c r="I462" s="24"/>
      <c r="J462" s="24"/>
      <c r="K462" s="24"/>
      <c r="L462" s="24"/>
      <c r="M462" s="27" t="str">
        <f t="shared" si="31"/>
        <v/>
      </c>
      <c r="N462" s="25"/>
      <c r="O462" s="22"/>
      <c r="P462" s="24"/>
      <c r="Q462" s="26"/>
    </row>
    <row r="463" spans="1:17" ht="15" x14ac:dyDescent="0.15">
      <c r="A463" s="22"/>
      <c r="B463" s="26" t="str">
        <f t="shared" si="28"/>
        <v/>
      </c>
      <c r="C463" s="26" t="str">
        <f t="shared" si="29"/>
        <v/>
      </c>
      <c r="D463" s="26" t="str">
        <f t="shared" si="30"/>
        <v/>
      </c>
      <c r="E463" s="29"/>
      <c r="F463" s="22"/>
      <c r="G463" s="22"/>
      <c r="H463" s="22"/>
      <c r="I463" s="24"/>
      <c r="J463" s="24"/>
      <c r="K463" s="24"/>
      <c r="L463" s="24"/>
      <c r="M463" s="27" t="str">
        <f t="shared" si="31"/>
        <v/>
      </c>
      <c r="N463" s="25"/>
      <c r="O463" s="22"/>
      <c r="P463" s="24"/>
      <c r="Q463" s="26"/>
    </row>
    <row r="464" spans="1:17" ht="15" x14ac:dyDescent="0.15">
      <c r="A464" s="22"/>
      <c r="B464" s="26" t="str">
        <f t="shared" si="28"/>
        <v/>
      </c>
      <c r="C464" s="26" t="str">
        <f t="shared" si="29"/>
        <v/>
      </c>
      <c r="D464" s="26" t="str">
        <f t="shared" si="30"/>
        <v/>
      </c>
      <c r="E464" s="29"/>
      <c r="F464" s="22"/>
      <c r="G464" s="22"/>
      <c r="H464" s="22"/>
      <c r="I464" s="24"/>
      <c r="J464" s="24"/>
      <c r="K464" s="24"/>
      <c r="L464" s="24"/>
      <c r="M464" s="27" t="str">
        <f t="shared" si="31"/>
        <v/>
      </c>
      <c r="N464" s="25"/>
      <c r="O464" s="22"/>
      <c r="P464" s="24"/>
      <c r="Q464" s="26"/>
    </row>
    <row r="465" spans="1:17" ht="15" x14ac:dyDescent="0.15">
      <c r="A465" s="22"/>
      <c r="B465" s="26" t="str">
        <f t="shared" si="28"/>
        <v/>
      </c>
      <c r="C465" s="26" t="str">
        <f t="shared" si="29"/>
        <v/>
      </c>
      <c r="D465" s="26" t="str">
        <f t="shared" si="30"/>
        <v/>
      </c>
      <c r="E465" s="29"/>
      <c r="F465" s="22"/>
      <c r="G465" s="22"/>
      <c r="H465" s="22"/>
      <c r="I465" s="24"/>
      <c r="J465" s="24"/>
      <c r="K465" s="24"/>
      <c r="L465" s="24"/>
      <c r="M465" s="27" t="str">
        <f t="shared" si="31"/>
        <v/>
      </c>
      <c r="N465" s="25"/>
      <c r="O465" s="22"/>
      <c r="P465" s="24"/>
      <c r="Q465" s="26"/>
    </row>
    <row r="466" spans="1:17" ht="15" x14ac:dyDescent="0.15">
      <c r="A466" s="22"/>
      <c r="B466" s="26" t="str">
        <f t="shared" si="28"/>
        <v/>
      </c>
      <c r="C466" s="26" t="str">
        <f t="shared" si="29"/>
        <v/>
      </c>
      <c r="D466" s="26" t="str">
        <f t="shared" si="30"/>
        <v/>
      </c>
      <c r="E466" s="29"/>
      <c r="F466" s="22"/>
      <c r="G466" s="22"/>
      <c r="H466" s="22"/>
      <c r="I466" s="24"/>
      <c r="J466" s="24"/>
      <c r="K466" s="24"/>
      <c r="L466" s="24"/>
      <c r="M466" s="27" t="str">
        <f t="shared" si="31"/>
        <v/>
      </c>
      <c r="N466" s="25"/>
      <c r="O466" s="22"/>
      <c r="P466" s="24"/>
      <c r="Q466" s="26"/>
    </row>
    <row r="467" spans="1:17" ht="15" x14ac:dyDescent="0.15">
      <c r="A467" s="22"/>
      <c r="B467" s="26" t="str">
        <f t="shared" si="28"/>
        <v/>
      </c>
      <c r="C467" s="26" t="str">
        <f t="shared" si="29"/>
        <v/>
      </c>
      <c r="D467" s="26" t="str">
        <f t="shared" si="30"/>
        <v/>
      </c>
      <c r="E467" s="29"/>
      <c r="F467" s="22"/>
      <c r="G467" s="22"/>
      <c r="H467" s="22"/>
      <c r="I467" s="24"/>
      <c r="J467" s="24"/>
      <c r="K467" s="24"/>
      <c r="L467" s="24"/>
      <c r="M467" s="27" t="str">
        <f t="shared" si="31"/>
        <v/>
      </c>
      <c r="N467" s="25"/>
      <c r="O467" s="22"/>
      <c r="P467" s="24"/>
      <c r="Q467" s="26"/>
    </row>
    <row r="468" spans="1:17" ht="15" x14ac:dyDescent="0.15">
      <c r="A468" s="22"/>
      <c r="B468" s="26" t="str">
        <f t="shared" si="28"/>
        <v/>
      </c>
      <c r="C468" s="26" t="str">
        <f t="shared" si="29"/>
        <v/>
      </c>
      <c r="D468" s="26" t="str">
        <f t="shared" si="30"/>
        <v/>
      </c>
      <c r="E468" s="29"/>
      <c r="F468" s="22"/>
      <c r="G468" s="22"/>
      <c r="H468" s="22"/>
      <c r="I468" s="24"/>
      <c r="J468" s="24"/>
      <c r="K468" s="24"/>
      <c r="L468" s="24"/>
      <c r="M468" s="27" t="str">
        <f t="shared" si="31"/>
        <v/>
      </c>
      <c r="N468" s="25"/>
      <c r="O468" s="22"/>
      <c r="P468" s="24"/>
      <c r="Q468" s="26"/>
    </row>
    <row r="469" spans="1:17" ht="15" x14ac:dyDescent="0.15">
      <c r="A469" s="22"/>
      <c r="B469" s="26" t="str">
        <f t="shared" si="28"/>
        <v/>
      </c>
      <c r="C469" s="26" t="str">
        <f t="shared" si="29"/>
        <v/>
      </c>
      <c r="D469" s="26" t="str">
        <f t="shared" si="30"/>
        <v/>
      </c>
      <c r="E469" s="29"/>
      <c r="F469" s="22"/>
      <c r="G469" s="22"/>
      <c r="H469" s="22"/>
      <c r="I469" s="24"/>
      <c r="J469" s="24"/>
      <c r="K469" s="24"/>
      <c r="L469" s="24"/>
      <c r="M469" s="27" t="str">
        <f t="shared" si="31"/>
        <v/>
      </c>
      <c r="N469" s="25"/>
      <c r="O469" s="22"/>
      <c r="P469" s="24"/>
      <c r="Q469" s="26"/>
    </row>
    <row r="470" spans="1:17" ht="15" x14ac:dyDescent="0.15">
      <c r="A470" s="22"/>
      <c r="B470" s="26" t="str">
        <f t="shared" si="28"/>
        <v/>
      </c>
      <c r="C470" s="26" t="str">
        <f t="shared" si="29"/>
        <v/>
      </c>
      <c r="D470" s="26" t="str">
        <f t="shared" si="30"/>
        <v/>
      </c>
      <c r="E470" s="29"/>
      <c r="F470" s="22"/>
      <c r="G470" s="22"/>
      <c r="H470" s="22"/>
      <c r="I470" s="24"/>
      <c r="J470" s="24"/>
      <c r="K470" s="24"/>
      <c r="L470" s="24"/>
      <c r="M470" s="27" t="str">
        <f t="shared" si="31"/>
        <v/>
      </c>
      <c r="N470" s="25"/>
      <c r="O470" s="22"/>
      <c r="P470" s="24"/>
      <c r="Q470" s="26"/>
    </row>
    <row r="471" spans="1:17" ht="15" x14ac:dyDescent="0.15">
      <c r="A471" s="22"/>
      <c r="B471" s="26" t="str">
        <f t="shared" si="28"/>
        <v/>
      </c>
      <c r="C471" s="26" t="str">
        <f t="shared" si="29"/>
        <v/>
      </c>
      <c r="D471" s="26" t="str">
        <f t="shared" si="30"/>
        <v/>
      </c>
      <c r="E471" s="29"/>
      <c r="F471" s="22"/>
      <c r="G471" s="22"/>
      <c r="H471" s="22"/>
      <c r="I471" s="24"/>
      <c r="J471" s="24"/>
      <c r="K471" s="24"/>
      <c r="L471" s="24"/>
      <c r="M471" s="27" t="str">
        <f t="shared" si="31"/>
        <v/>
      </c>
      <c r="N471" s="25"/>
      <c r="O471" s="22"/>
      <c r="P471" s="24"/>
      <c r="Q471" s="26"/>
    </row>
    <row r="472" spans="1:17" ht="15" x14ac:dyDescent="0.15">
      <c r="A472" s="22"/>
      <c r="B472" s="26" t="str">
        <f t="shared" si="28"/>
        <v/>
      </c>
      <c r="C472" s="26" t="str">
        <f t="shared" si="29"/>
        <v/>
      </c>
      <c r="D472" s="26" t="str">
        <f t="shared" si="30"/>
        <v/>
      </c>
      <c r="E472" s="29"/>
      <c r="F472" s="22"/>
      <c r="G472" s="22"/>
      <c r="H472" s="22"/>
      <c r="I472" s="24"/>
      <c r="J472" s="24"/>
      <c r="K472" s="24"/>
      <c r="L472" s="24"/>
      <c r="M472" s="27" t="str">
        <f t="shared" si="31"/>
        <v/>
      </c>
      <c r="N472" s="25"/>
      <c r="O472" s="22"/>
      <c r="P472" s="24"/>
      <c r="Q472" s="26"/>
    </row>
    <row r="473" spans="1:17" ht="15" x14ac:dyDescent="0.15">
      <c r="A473" s="22"/>
      <c r="B473" s="26" t="str">
        <f t="shared" si="28"/>
        <v/>
      </c>
      <c r="C473" s="26" t="str">
        <f t="shared" si="29"/>
        <v/>
      </c>
      <c r="D473" s="26" t="str">
        <f t="shared" si="30"/>
        <v/>
      </c>
      <c r="E473" s="29"/>
      <c r="F473" s="22"/>
      <c r="G473" s="22"/>
      <c r="H473" s="22"/>
      <c r="I473" s="24"/>
      <c r="J473" s="24"/>
      <c r="K473" s="24"/>
      <c r="L473" s="24"/>
      <c r="M473" s="27" t="str">
        <f t="shared" si="31"/>
        <v/>
      </c>
      <c r="N473" s="25"/>
      <c r="O473" s="22"/>
      <c r="P473" s="24"/>
      <c r="Q473" s="26"/>
    </row>
    <row r="474" spans="1:17" ht="15" x14ac:dyDescent="0.15">
      <c r="A474" s="22"/>
      <c r="B474" s="26" t="str">
        <f t="shared" si="28"/>
        <v/>
      </c>
      <c r="C474" s="26" t="str">
        <f t="shared" si="29"/>
        <v/>
      </c>
      <c r="D474" s="26" t="str">
        <f t="shared" si="30"/>
        <v/>
      </c>
      <c r="E474" s="29"/>
      <c r="F474" s="22"/>
      <c r="G474" s="22"/>
      <c r="H474" s="22"/>
      <c r="I474" s="24"/>
      <c r="J474" s="24"/>
      <c r="K474" s="24"/>
      <c r="L474" s="24"/>
      <c r="M474" s="27" t="str">
        <f t="shared" si="31"/>
        <v/>
      </c>
      <c r="N474" s="25"/>
      <c r="O474" s="22"/>
      <c r="P474" s="24"/>
      <c r="Q474" s="26"/>
    </row>
    <row r="475" spans="1:17" ht="15" x14ac:dyDescent="0.15">
      <c r="A475" s="22"/>
      <c r="B475" s="26" t="str">
        <f t="shared" si="28"/>
        <v/>
      </c>
      <c r="C475" s="26" t="str">
        <f t="shared" si="29"/>
        <v/>
      </c>
      <c r="D475" s="26" t="str">
        <f t="shared" si="30"/>
        <v/>
      </c>
      <c r="E475" s="29"/>
      <c r="F475" s="22"/>
      <c r="G475" s="22"/>
      <c r="H475" s="22"/>
      <c r="I475" s="24"/>
      <c r="J475" s="24"/>
      <c r="K475" s="24"/>
      <c r="L475" s="24"/>
      <c r="M475" s="27" t="str">
        <f t="shared" si="31"/>
        <v/>
      </c>
      <c r="N475" s="25"/>
      <c r="O475" s="22"/>
      <c r="P475" s="24"/>
      <c r="Q475" s="26"/>
    </row>
    <row r="476" spans="1:17" ht="15" x14ac:dyDescent="0.15">
      <c r="A476" s="22"/>
      <c r="B476" s="26" t="str">
        <f t="shared" si="28"/>
        <v/>
      </c>
      <c r="C476" s="26" t="str">
        <f t="shared" si="29"/>
        <v/>
      </c>
      <c r="D476" s="26" t="str">
        <f t="shared" si="30"/>
        <v/>
      </c>
      <c r="E476" s="29"/>
      <c r="F476" s="22"/>
      <c r="G476" s="22"/>
      <c r="H476" s="22"/>
      <c r="I476" s="24"/>
      <c r="J476" s="24"/>
      <c r="K476" s="24"/>
      <c r="L476" s="24"/>
      <c r="M476" s="27" t="str">
        <f t="shared" si="31"/>
        <v/>
      </c>
      <c r="N476" s="25"/>
      <c r="O476" s="22"/>
      <c r="P476" s="24"/>
      <c r="Q476" s="26"/>
    </row>
    <row r="477" spans="1:17" ht="15" x14ac:dyDescent="0.15">
      <c r="A477" s="22"/>
      <c r="B477" s="26" t="str">
        <f t="shared" si="28"/>
        <v/>
      </c>
      <c r="C477" s="26" t="str">
        <f t="shared" si="29"/>
        <v/>
      </c>
      <c r="D477" s="26" t="str">
        <f t="shared" si="30"/>
        <v/>
      </c>
      <c r="E477" s="29"/>
      <c r="F477" s="22"/>
      <c r="G477" s="22"/>
      <c r="H477" s="22"/>
      <c r="I477" s="24"/>
      <c r="J477" s="24"/>
      <c r="K477" s="24"/>
      <c r="L477" s="24"/>
      <c r="M477" s="27" t="str">
        <f t="shared" si="31"/>
        <v/>
      </c>
      <c r="N477" s="25"/>
      <c r="O477" s="22"/>
      <c r="P477" s="24"/>
      <c r="Q477" s="26"/>
    </row>
    <row r="478" spans="1:17" ht="15" x14ac:dyDescent="0.15">
      <c r="A478" s="22"/>
      <c r="B478" s="26" t="str">
        <f t="shared" si="28"/>
        <v/>
      </c>
      <c r="C478" s="26" t="str">
        <f t="shared" si="29"/>
        <v/>
      </c>
      <c r="D478" s="26" t="str">
        <f t="shared" si="30"/>
        <v/>
      </c>
      <c r="E478" s="29"/>
      <c r="F478" s="22"/>
      <c r="G478" s="22"/>
      <c r="H478" s="22"/>
      <c r="I478" s="24"/>
      <c r="J478" s="24"/>
      <c r="K478" s="24"/>
      <c r="L478" s="24"/>
      <c r="M478" s="27" t="str">
        <f t="shared" si="31"/>
        <v/>
      </c>
      <c r="N478" s="25"/>
      <c r="O478" s="22"/>
      <c r="P478" s="24"/>
      <c r="Q478" s="26"/>
    </row>
    <row r="479" spans="1:17" ht="15" x14ac:dyDescent="0.15">
      <c r="A479" s="22"/>
      <c r="B479" s="26" t="str">
        <f t="shared" si="28"/>
        <v/>
      </c>
      <c r="C479" s="26" t="str">
        <f t="shared" si="29"/>
        <v/>
      </c>
      <c r="D479" s="26" t="str">
        <f t="shared" si="30"/>
        <v/>
      </c>
      <c r="E479" s="29"/>
      <c r="F479" s="22"/>
      <c r="G479" s="22"/>
      <c r="H479" s="22"/>
      <c r="I479" s="24"/>
      <c r="J479" s="24"/>
      <c r="K479" s="24"/>
      <c r="L479" s="24"/>
      <c r="M479" s="27" t="str">
        <f t="shared" si="31"/>
        <v/>
      </c>
      <c r="N479" s="25"/>
      <c r="O479" s="22"/>
      <c r="P479" s="24"/>
      <c r="Q479" s="26"/>
    </row>
    <row r="480" spans="1:17" ht="15" x14ac:dyDescent="0.15">
      <c r="A480" s="22"/>
      <c r="B480" s="26" t="str">
        <f t="shared" si="28"/>
        <v/>
      </c>
      <c r="C480" s="26" t="str">
        <f t="shared" si="29"/>
        <v/>
      </c>
      <c r="D480" s="26" t="str">
        <f t="shared" si="30"/>
        <v/>
      </c>
      <c r="E480" s="29"/>
      <c r="F480" s="22"/>
      <c r="G480" s="22"/>
      <c r="H480" s="22"/>
      <c r="I480" s="24"/>
      <c r="J480" s="24"/>
      <c r="K480" s="24"/>
      <c r="L480" s="24"/>
      <c r="M480" s="27" t="str">
        <f t="shared" si="31"/>
        <v/>
      </c>
      <c r="N480" s="25"/>
      <c r="O480" s="22"/>
      <c r="P480" s="24"/>
      <c r="Q480" s="26"/>
    </row>
    <row r="481" spans="1:17" ht="15" x14ac:dyDescent="0.15">
      <c r="A481" s="22"/>
      <c r="B481" s="26" t="str">
        <f t="shared" si="28"/>
        <v/>
      </c>
      <c r="C481" s="26" t="str">
        <f t="shared" si="29"/>
        <v/>
      </c>
      <c r="D481" s="26" t="str">
        <f t="shared" si="30"/>
        <v/>
      </c>
      <c r="E481" s="29"/>
      <c r="F481" s="22"/>
      <c r="G481" s="22"/>
      <c r="H481" s="22"/>
      <c r="I481" s="24"/>
      <c r="J481" s="24"/>
      <c r="K481" s="24"/>
      <c r="L481" s="24"/>
      <c r="M481" s="27" t="str">
        <f t="shared" si="31"/>
        <v/>
      </c>
      <c r="N481" s="25"/>
      <c r="O481" s="22"/>
      <c r="P481" s="24"/>
      <c r="Q481" s="26"/>
    </row>
    <row r="482" spans="1:17" ht="15" x14ac:dyDescent="0.15">
      <c r="A482" s="22"/>
      <c r="B482" s="26" t="str">
        <f t="shared" si="28"/>
        <v/>
      </c>
      <c r="C482" s="26" t="str">
        <f t="shared" si="29"/>
        <v/>
      </c>
      <c r="D482" s="26" t="str">
        <f t="shared" si="30"/>
        <v/>
      </c>
      <c r="E482" s="29"/>
      <c r="F482" s="22"/>
      <c r="G482" s="22"/>
      <c r="H482" s="22"/>
      <c r="I482" s="24"/>
      <c r="J482" s="24"/>
      <c r="K482" s="24"/>
      <c r="L482" s="24"/>
      <c r="M482" s="27" t="str">
        <f t="shared" si="31"/>
        <v/>
      </c>
      <c r="N482" s="25"/>
      <c r="O482" s="22"/>
      <c r="P482" s="24"/>
      <c r="Q482" s="26"/>
    </row>
    <row r="483" spans="1:17" ht="15" x14ac:dyDescent="0.15">
      <c r="A483" s="22"/>
      <c r="B483" s="26" t="str">
        <f t="shared" si="28"/>
        <v/>
      </c>
      <c r="C483" s="26" t="str">
        <f t="shared" si="29"/>
        <v/>
      </c>
      <c r="D483" s="26" t="str">
        <f t="shared" si="30"/>
        <v/>
      </c>
      <c r="E483" s="29"/>
      <c r="F483" s="22"/>
      <c r="G483" s="22"/>
      <c r="H483" s="22"/>
      <c r="I483" s="24"/>
      <c r="J483" s="24"/>
      <c r="K483" s="24"/>
      <c r="L483" s="24"/>
      <c r="M483" s="27" t="str">
        <f t="shared" si="31"/>
        <v/>
      </c>
      <c r="N483" s="25"/>
      <c r="O483" s="22"/>
      <c r="P483" s="24"/>
      <c r="Q483" s="26"/>
    </row>
    <row r="484" spans="1:17" ht="15" x14ac:dyDescent="0.15">
      <c r="A484" s="22"/>
      <c r="B484" s="26" t="str">
        <f t="shared" si="28"/>
        <v/>
      </c>
      <c r="C484" s="26" t="str">
        <f t="shared" si="29"/>
        <v/>
      </c>
      <c r="D484" s="26" t="str">
        <f t="shared" si="30"/>
        <v/>
      </c>
      <c r="E484" s="29"/>
      <c r="F484" s="22"/>
      <c r="G484" s="22"/>
      <c r="H484" s="22"/>
      <c r="I484" s="24"/>
      <c r="J484" s="24"/>
      <c r="K484" s="24"/>
      <c r="L484" s="24"/>
      <c r="M484" s="27" t="str">
        <f t="shared" si="31"/>
        <v/>
      </c>
      <c r="N484" s="25"/>
      <c r="O484" s="22"/>
      <c r="P484" s="24"/>
      <c r="Q484" s="26"/>
    </row>
    <row r="485" spans="1:17" ht="15" x14ac:dyDescent="0.15">
      <c r="A485" s="22"/>
      <c r="B485" s="26" t="str">
        <f t="shared" si="28"/>
        <v/>
      </c>
      <c r="C485" s="26" t="str">
        <f t="shared" si="29"/>
        <v/>
      </c>
      <c r="D485" s="26" t="str">
        <f t="shared" si="30"/>
        <v/>
      </c>
      <c r="E485" s="29"/>
      <c r="F485" s="22"/>
      <c r="G485" s="22"/>
      <c r="H485" s="22"/>
      <c r="I485" s="24"/>
      <c r="J485" s="24"/>
      <c r="K485" s="24"/>
      <c r="L485" s="24"/>
      <c r="M485" s="27" t="str">
        <f t="shared" si="31"/>
        <v/>
      </c>
      <c r="N485" s="25"/>
      <c r="O485" s="22"/>
      <c r="P485" s="24"/>
      <c r="Q485" s="26"/>
    </row>
    <row r="486" spans="1:17" ht="15" x14ac:dyDescent="0.15">
      <c r="A486" s="22"/>
      <c r="B486" s="26" t="str">
        <f t="shared" si="28"/>
        <v/>
      </c>
      <c r="C486" s="26" t="str">
        <f t="shared" si="29"/>
        <v/>
      </c>
      <c r="D486" s="26" t="str">
        <f t="shared" si="30"/>
        <v/>
      </c>
      <c r="E486" s="29"/>
      <c r="F486" s="22"/>
      <c r="G486" s="22"/>
      <c r="H486" s="22"/>
      <c r="I486" s="24"/>
      <c r="J486" s="24"/>
      <c r="K486" s="24"/>
      <c r="L486" s="24"/>
      <c r="M486" s="27" t="str">
        <f t="shared" si="31"/>
        <v/>
      </c>
      <c r="N486" s="25"/>
      <c r="O486" s="22"/>
      <c r="P486" s="24"/>
      <c r="Q486" s="26"/>
    </row>
    <row r="487" spans="1:17" ht="15" x14ac:dyDescent="0.15">
      <c r="A487" s="22"/>
      <c r="B487" s="26" t="str">
        <f t="shared" si="28"/>
        <v/>
      </c>
      <c r="C487" s="26" t="str">
        <f t="shared" si="29"/>
        <v/>
      </c>
      <c r="D487" s="26" t="str">
        <f t="shared" si="30"/>
        <v/>
      </c>
      <c r="E487" s="29"/>
      <c r="F487" s="22"/>
      <c r="G487" s="22"/>
      <c r="H487" s="22"/>
      <c r="I487" s="24"/>
      <c r="J487" s="24"/>
      <c r="K487" s="24"/>
      <c r="L487" s="24"/>
      <c r="M487" s="27" t="str">
        <f t="shared" si="31"/>
        <v/>
      </c>
      <c r="N487" s="25"/>
      <c r="O487" s="22"/>
      <c r="P487" s="24"/>
      <c r="Q487" s="26"/>
    </row>
    <row r="488" spans="1:17" ht="15" x14ac:dyDescent="0.15">
      <c r="A488" s="22"/>
      <c r="B488" s="26" t="str">
        <f t="shared" si="28"/>
        <v/>
      </c>
      <c r="C488" s="26" t="str">
        <f t="shared" si="29"/>
        <v/>
      </c>
      <c r="D488" s="26" t="str">
        <f t="shared" si="30"/>
        <v/>
      </c>
      <c r="E488" s="29"/>
      <c r="F488" s="22"/>
      <c r="G488" s="22"/>
      <c r="H488" s="22"/>
      <c r="I488" s="24"/>
      <c r="J488" s="24"/>
      <c r="K488" s="24"/>
      <c r="L488" s="24"/>
      <c r="M488" s="27" t="str">
        <f t="shared" si="31"/>
        <v/>
      </c>
      <c r="N488" s="25"/>
      <c r="O488" s="22"/>
      <c r="P488" s="24"/>
      <c r="Q488" s="26"/>
    </row>
    <row r="489" spans="1:17" ht="15" x14ac:dyDescent="0.15">
      <c r="A489" s="22"/>
      <c r="B489" s="26" t="str">
        <f t="shared" si="28"/>
        <v/>
      </c>
      <c r="C489" s="26" t="str">
        <f t="shared" si="29"/>
        <v/>
      </c>
      <c r="D489" s="26" t="str">
        <f t="shared" si="30"/>
        <v/>
      </c>
      <c r="E489" s="29"/>
      <c r="F489" s="22"/>
      <c r="G489" s="22"/>
      <c r="H489" s="22"/>
      <c r="I489" s="24"/>
      <c r="J489" s="24"/>
      <c r="K489" s="24"/>
      <c r="L489" s="24"/>
      <c r="M489" s="27" t="str">
        <f t="shared" si="31"/>
        <v/>
      </c>
      <c r="N489" s="25"/>
      <c r="O489" s="22"/>
      <c r="P489" s="24"/>
      <c r="Q489" s="26"/>
    </row>
    <row r="490" spans="1:17" ht="15" x14ac:dyDescent="0.15">
      <c r="A490" s="22"/>
      <c r="B490" s="26" t="str">
        <f t="shared" si="28"/>
        <v/>
      </c>
      <c r="C490" s="26" t="str">
        <f t="shared" si="29"/>
        <v/>
      </c>
      <c r="D490" s="26" t="str">
        <f t="shared" si="30"/>
        <v/>
      </c>
      <c r="E490" s="29"/>
      <c r="F490" s="22"/>
      <c r="G490" s="22"/>
      <c r="H490" s="22"/>
      <c r="I490" s="24"/>
      <c r="J490" s="24"/>
      <c r="K490" s="24"/>
      <c r="L490" s="24"/>
      <c r="M490" s="27" t="str">
        <f t="shared" si="31"/>
        <v/>
      </c>
      <c r="N490" s="25"/>
      <c r="O490" s="22"/>
      <c r="P490" s="24"/>
      <c r="Q490" s="26"/>
    </row>
    <row r="491" spans="1:17" ht="15" x14ac:dyDescent="0.15">
      <c r="A491" s="22"/>
      <c r="B491" s="26" t="str">
        <f t="shared" si="28"/>
        <v/>
      </c>
      <c r="C491" s="26" t="str">
        <f t="shared" si="29"/>
        <v/>
      </c>
      <c r="D491" s="26" t="str">
        <f t="shared" si="30"/>
        <v/>
      </c>
      <c r="E491" s="29"/>
      <c r="F491" s="22"/>
      <c r="G491" s="22"/>
      <c r="H491" s="22"/>
      <c r="I491" s="24"/>
      <c r="J491" s="24"/>
      <c r="K491" s="24"/>
      <c r="L491" s="24"/>
      <c r="M491" s="27" t="str">
        <f t="shared" si="31"/>
        <v/>
      </c>
      <c r="N491" s="25"/>
      <c r="O491" s="22"/>
      <c r="P491" s="24"/>
      <c r="Q491" s="26"/>
    </row>
    <row r="492" spans="1:17" ht="15" x14ac:dyDescent="0.15">
      <c r="A492" s="22"/>
      <c r="B492" s="26" t="str">
        <f t="shared" si="28"/>
        <v/>
      </c>
      <c r="C492" s="26" t="str">
        <f t="shared" si="29"/>
        <v/>
      </c>
      <c r="D492" s="26" t="str">
        <f t="shared" si="30"/>
        <v/>
      </c>
      <c r="E492" s="29"/>
      <c r="F492" s="22"/>
      <c r="G492" s="22"/>
      <c r="H492" s="22"/>
      <c r="I492" s="24"/>
      <c r="J492" s="24"/>
      <c r="K492" s="24"/>
      <c r="L492" s="24"/>
      <c r="M492" s="27" t="str">
        <f t="shared" si="31"/>
        <v/>
      </c>
      <c r="N492" s="25"/>
      <c r="O492" s="22"/>
      <c r="P492" s="24"/>
      <c r="Q492" s="26"/>
    </row>
    <row r="493" spans="1:17" ht="15" x14ac:dyDescent="0.15">
      <c r="A493" s="22"/>
      <c r="B493" s="26" t="str">
        <f t="shared" si="28"/>
        <v/>
      </c>
      <c r="C493" s="26" t="str">
        <f t="shared" si="29"/>
        <v/>
      </c>
      <c r="D493" s="26" t="str">
        <f t="shared" si="30"/>
        <v/>
      </c>
      <c r="E493" s="29"/>
      <c r="F493" s="22"/>
      <c r="G493" s="22"/>
      <c r="H493" s="22"/>
      <c r="I493" s="24"/>
      <c r="J493" s="24"/>
      <c r="K493" s="24"/>
      <c r="L493" s="24"/>
      <c r="M493" s="27" t="str">
        <f t="shared" si="31"/>
        <v/>
      </c>
      <c r="N493" s="25"/>
      <c r="O493" s="22"/>
      <c r="P493" s="24"/>
      <c r="Q493" s="26"/>
    </row>
    <row r="494" spans="1:17" ht="15" x14ac:dyDescent="0.15">
      <c r="A494" s="22"/>
      <c r="B494" s="26" t="str">
        <f t="shared" si="28"/>
        <v/>
      </c>
      <c r="C494" s="26" t="str">
        <f t="shared" si="29"/>
        <v/>
      </c>
      <c r="D494" s="26" t="str">
        <f t="shared" si="30"/>
        <v/>
      </c>
      <c r="E494" s="29"/>
      <c r="F494" s="22"/>
      <c r="G494" s="22"/>
      <c r="H494" s="22"/>
      <c r="I494" s="24"/>
      <c r="J494" s="24"/>
      <c r="K494" s="24"/>
      <c r="L494" s="24"/>
      <c r="M494" s="27" t="str">
        <f t="shared" si="31"/>
        <v/>
      </c>
      <c r="N494" s="25"/>
      <c r="O494" s="22"/>
      <c r="P494" s="24"/>
      <c r="Q494" s="26"/>
    </row>
    <row r="495" spans="1:17" ht="15" x14ac:dyDescent="0.15">
      <c r="A495" s="22"/>
      <c r="B495" s="26" t="str">
        <f t="shared" si="28"/>
        <v/>
      </c>
      <c r="C495" s="26" t="str">
        <f t="shared" si="29"/>
        <v/>
      </c>
      <c r="D495" s="26" t="str">
        <f t="shared" si="30"/>
        <v/>
      </c>
      <c r="E495" s="29"/>
      <c r="F495" s="22"/>
      <c r="G495" s="22"/>
      <c r="H495" s="22"/>
      <c r="I495" s="24"/>
      <c r="J495" s="24"/>
      <c r="K495" s="24"/>
      <c r="L495" s="24"/>
      <c r="M495" s="27" t="str">
        <f t="shared" si="31"/>
        <v/>
      </c>
      <c r="N495" s="25"/>
      <c r="O495" s="22"/>
      <c r="P495" s="24"/>
      <c r="Q495" s="26"/>
    </row>
    <row r="496" spans="1:17" ht="15" x14ac:dyDescent="0.15">
      <c r="A496" s="22"/>
      <c r="B496" s="26" t="str">
        <f t="shared" si="28"/>
        <v/>
      </c>
      <c r="C496" s="26" t="str">
        <f t="shared" si="29"/>
        <v/>
      </c>
      <c r="D496" s="26" t="str">
        <f t="shared" si="30"/>
        <v/>
      </c>
      <c r="E496" s="29"/>
      <c r="F496" s="22"/>
      <c r="G496" s="22"/>
      <c r="H496" s="22"/>
      <c r="I496" s="24"/>
      <c r="J496" s="24"/>
      <c r="K496" s="24"/>
      <c r="L496" s="24"/>
      <c r="M496" s="27" t="str">
        <f t="shared" si="31"/>
        <v/>
      </c>
      <c r="N496" s="25"/>
      <c r="O496" s="22"/>
      <c r="P496" s="24"/>
      <c r="Q496" s="26"/>
    </row>
    <row r="497" spans="1:17" ht="15" x14ac:dyDescent="0.15">
      <c r="A497" s="22"/>
      <c r="B497" s="26" t="str">
        <f t="shared" si="28"/>
        <v/>
      </c>
      <c r="C497" s="26" t="str">
        <f t="shared" si="29"/>
        <v/>
      </c>
      <c r="D497" s="26" t="str">
        <f t="shared" si="30"/>
        <v/>
      </c>
      <c r="E497" s="29"/>
      <c r="F497" s="22"/>
      <c r="G497" s="22"/>
      <c r="H497" s="22"/>
      <c r="I497" s="24"/>
      <c r="J497" s="24"/>
      <c r="K497" s="24"/>
      <c r="L497" s="24"/>
      <c r="M497" s="27" t="str">
        <f t="shared" si="31"/>
        <v/>
      </c>
      <c r="N497" s="25"/>
      <c r="O497" s="22"/>
      <c r="P497" s="24"/>
      <c r="Q497" s="26"/>
    </row>
    <row r="498" spans="1:17" ht="15" x14ac:dyDescent="0.15">
      <c r="A498" s="22"/>
      <c r="B498" s="26" t="str">
        <f t="shared" si="28"/>
        <v/>
      </c>
      <c r="C498" s="26" t="str">
        <f t="shared" si="29"/>
        <v/>
      </c>
      <c r="D498" s="26" t="str">
        <f t="shared" si="30"/>
        <v/>
      </c>
      <c r="E498" s="29"/>
      <c r="F498" s="22"/>
      <c r="G498" s="22"/>
      <c r="H498" s="22"/>
      <c r="I498" s="24"/>
      <c r="J498" s="24"/>
      <c r="K498" s="24"/>
      <c r="L498" s="24"/>
      <c r="M498" s="27" t="str">
        <f t="shared" si="31"/>
        <v/>
      </c>
      <c r="N498" s="25"/>
      <c r="O498" s="22"/>
      <c r="P498" s="24"/>
      <c r="Q498" s="26"/>
    </row>
    <row r="499" spans="1:17" ht="15" x14ac:dyDescent="0.15">
      <c r="A499" s="22"/>
      <c r="B499" s="26" t="str">
        <f t="shared" si="28"/>
        <v/>
      </c>
      <c r="C499" s="26" t="str">
        <f t="shared" si="29"/>
        <v/>
      </c>
      <c r="D499" s="26" t="str">
        <f t="shared" si="30"/>
        <v/>
      </c>
      <c r="E499" s="29"/>
      <c r="F499" s="22"/>
      <c r="G499" s="22"/>
      <c r="H499" s="22"/>
      <c r="I499" s="24"/>
      <c r="J499" s="24"/>
      <c r="K499" s="24"/>
      <c r="L499" s="24"/>
      <c r="M499" s="27" t="str">
        <f t="shared" si="31"/>
        <v/>
      </c>
      <c r="N499" s="25"/>
      <c r="O499" s="22"/>
      <c r="P499" s="24"/>
      <c r="Q499" s="26"/>
    </row>
    <row r="500" spans="1:17" ht="15" x14ac:dyDescent="0.15">
      <c r="A500" s="22"/>
      <c r="B500" s="26" t="str">
        <f t="shared" si="28"/>
        <v/>
      </c>
      <c r="C500" s="26" t="str">
        <f t="shared" si="29"/>
        <v/>
      </c>
      <c r="D500" s="26" t="str">
        <f t="shared" si="30"/>
        <v/>
      </c>
      <c r="E500" s="29"/>
      <c r="F500" s="22"/>
      <c r="G500" s="22"/>
      <c r="H500" s="22"/>
      <c r="I500" s="24"/>
      <c r="J500" s="24"/>
      <c r="K500" s="24"/>
      <c r="L500" s="24"/>
      <c r="M500" s="27" t="str">
        <f t="shared" si="31"/>
        <v/>
      </c>
      <c r="N500" s="25"/>
      <c r="O500" s="22"/>
      <c r="P500" s="24"/>
      <c r="Q500" s="26"/>
    </row>
    <row r="501" spans="1:17" ht="15" x14ac:dyDescent="0.15">
      <c r="A501" s="22"/>
      <c r="B501" s="26" t="str">
        <f t="shared" si="28"/>
        <v/>
      </c>
      <c r="C501" s="26" t="str">
        <f t="shared" si="29"/>
        <v/>
      </c>
      <c r="D501" s="26" t="str">
        <f t="shared" si="30"/>
        <v/>
      </c>
      <c r="E501" s="29"/>
      <c r="F501" s="22"/>
      <c r="G501" s="22"/>
      <c r="H501" s="22"/>
      <c r="I501" s="24"/>
      <c r="J501" s="24"/>
      <c r="K501" s="24"/>
      <c r="L501" s="24"/>
      <c r="M501" s="27" t="str">
        <f t="shared" si="31"/>
        <v/>
      </c>
      <c r="N501" s="25"/>
      <c r="O501" s="22"/>
      <c r="P501" s="24"/>
      <c r="Q501" s="26"/>
    </row>
    <row r="502" spans="1:17" ht="15" x14ac:dyDescent="0.15">
      <c r="A502" s="22"/>
      <c r="B502" s="26" t="str">
        <f t="shared" si="28"/>
        <v/>
      </c>
      <c r="C502" s="26" t="str">
        <f t="shared" si="29"/>
        <v/>
      </c>
      <c r="D502" s="26" t="str">
        <f t="shared" si="30"/>
        <v/>
      </c>
      <c r="E502" s="29"/>
      <c r="F502" s="22"/>
      <c r="G502" s="22"/>
      <c r="H502" s="22"/>
      <c r="I502" s="24"/>
      <c r="J502" s="24"/>
      <c r="K502" s="24"/>
      <c r="L502" s="24"/>
      <c r="M502" s="27" t="str">
        <f t="shared" si="31"/>
        <v/>
      </c>
      <c r="N502" s="25"/>
      <c r="O502" s="22"/>
      <c r="P502" s="24"/>
      <c r="Q502" s="26"/>
    </row>
    <row r="503" spans="1:17" ht="15" x14ac:dyDescent="0.15">
      <c r="A503" s="22"/>
      <c r="B503" s="26" t="str">
        <f t="shared" si="28"/>
        <v/>
      </c>
      <c r="C503" s="26" t="str">
        <f t="shared" si="29"/>
        <v/>
      </c>
      <c r="D503" s="26" t="str">
        <f t="shared" si="30"/>
        <v/>
      </c>
      <c r="E503" s="29"/>
      <c r="F503" s="22"/>
      <c r="G503" s="22"/>
      <c r="H503" s="22"/>
      <c r="I503" s="24"/>
      <c r="J503" s="24"/>
      <c r="K503" s="24"/>
      <c r="L503" s="24"/>
      <c r="M503" s="27" t="str">
        <f t="shared" si="31"/>
        <v/>
      </c>
      <c r="N503" s="25"/>
      <c r="O503" s="22"/>
      <c r="P503" s="24"/>
      <c r="Q503" s="26"/>
    </row>
    <row r="504" spans="1:17" ht="15" x14ac:dyDescent="0.15">
      <c r="A504" s="22"/>
      <c r="B504" s="26" t="str">
        <f t="shared" si="28"/>
        <v/>
      </c>
      <c r="C504" s="26" t="str">
        <f t="shared" si="29"/>
        <v/>
      </c>
      <c r="D504" s="26" t="str">
        <f t="shared" si="30"/>
        <v/>
      </c>
      <c r="E504" s="29"/>
      <c r="F504" s="22"/>
      <c r="G504" s="22"/>
      <c r="H504" s="22"/>
      <c r="I504" s="24"/>
      <c r="J504" s="24"/>
      <c r="K504" s="24"/>
      <c r="L504" s="24"/>
      <c r="M504" s="27" t="str">
        <f t="shared" si="31"/>
        <v/>
      </c>
      <c r="N504" s="25"/>
      <c r="O504" s="22"/>
      <c r="P504" s="24"/>
      <c r="Q504" s="26"/>
    </row>
    <row r="505" spans="1:17" ht="15" x14ac:dyDescent="0.15">
      <c r="A505" s="22"/>
      <c r="B505" s="26" t="str">
        <f t="shared" si="28"/>
        <v/>
      </c>
      <c r="C505" s="26" t="str">
        <f t="shared" si="29"/>
        <v/>
      </c>
      <c r="D505" s="26" t="str">
        <f t="shared" si="30"/>
        <v/>
      </c>
      <c r="E505" s="29"/>
      <c r="F505" s="22"/>
      <c r="G505" s="22"/>
      <c r="H505" s="22"/>
      <c r="I505" s="24"/>
      <c r="J505" s="24"/>
      <c r="K505" s="24"/>
      <c r="L505" s="24"/>
      <c r="M505" s="27" t="str">
        <f t="shared" si="31"/>
        <v/>
      </c>
      <c r="N505" s="25"/>
      <c r="O505" s="22"/>
      <c r="P505" s="24"/>
      <c r="Q505" s="26"/>
    </row>
    <row r="506" spans="1:17" ht="15" x14ac:dyDescent="0.15">
      <c r="A506" s="22"/>
      <c r="B506" s="26" t="str">
        <f t="shared" si="28"/>
        <v/>
      </c>
      <c r="C506" s="26" t="str">
        <f t="shared" si="29"/>
        <v/>
      </c>
      <c r="D506" s="26" t="str">
        <f t="shared" si="30"/>
        <v/>
      </c>
      <c r="E506" s="29"/>
      <c r="F506" s="22"/>
      <c r="G506" s="22"/>
      <c r="H506" s="22"/>
      <c r="I506" s="24"/>
      <c r="J506" s="24"/>
      <c r="K506" s="24"/>
      <c r="L506" s="24"/>
      <c r="M506" s="27" t="str">
        <f t="shared" si="31"/>
        <v/>
      </c>
      <c r="N506" s="25"/>
      <c r="O506" s="22"/>
      <c r="P506" s="24"/>
      <c r="Q506" s="26"/>
    </row>
    <row r="507" spans="1:17" ht="15" x14ac:dyDescent="0.15">
      <c r="A507" s="22"/>
      <c r="B507" s="26" t="str">
        <f t="shared" si="28"/>
        <v/>
      </c>
      <c r="C507" s="26" t="str">
        <f t="shared" si="29"/>
        <v/>
      </c>
      <c r="D507" s="26" t="str">
        <f t="shared" si="30"/>
        <v/>
      </c>
      <c r="E507" s="29"/>
      <c r="F507" s="22"/>
      <c r="G507" s="22"/>
      <c r="H507" s="22"/>
      <c r="I507" s="24"/>
      <c r="J507" s="24"/>
      <c r="K507" s="24"/>
      <c r="L507" s="24"/>
      <c r="M507" s="27" t="str">
        <f t="shared" si="31"/>
        <v/>
      </c>
      <c r="N507" s="25"/>
      <c r="O507" s="22"/>
      <c r="P507" s="24"/>
      <c r="Q507" s="26"/>
    </row>
    <row r="508" spans="1:17" ht="15" x14ac:dyDescent="0.15">
      <c r="A508" s="22"/>
      <c r="B508" s="26" t="str">
        <f t="shared" si="28"/>
        <v/>
      </c>
      <c r="C508" s="26" t="str">
        <f t="shared" si="29"/>
        <v/>
      </c>
      <c r="D508" s="26" t="str">
        <f t="shared" si="30"/>
        <v/>
      </c>
      <c r="E508" s="29"/>
      <c r="F508" s="22"/>
      <c r="G508" s="22"/>
      <c r="H508" s="22"/>
      <c r="I508" s="24"/>
      <c r="J508" s="24"/>
      <c r="K508" s="24"/>
      <c r="L508" s="24"/>
      <c r="M508" s="27" t="str">
        <f t="shared" si="31"/>
        <v/>
      </c>
      <c r="N508" s="25"/>
      <c r="O508" s="22"/>
      <c r="P508" s="24"/>
      <c r="Q508" s="26"/>
    </row>
    <row r="509" spans="1:17" ht="15" x14ac:dyDescent="0.15">
      <c r="A509" s="22"/>
      <c r="B509" s="26" t="str">
        <f t="shared" si="28"/>
        <v/>
      </c>
      <c r="C509" s="26" t="str">
        <f t="shared" si="29"/>
        <v/>
      </c>
      <c r="D509" s="26" t="str">
        <f t="shared" si="30"/>
        <v/>
      </c>
      <c r="E509" s="29"/>
      <c r="F509" s="22"/>
      <c r="G509" s="22"/>
      <c r="H509" s="22"/>
      <c r="I509" s="24"/>
      <c r="J509" s="24"/>
      <c r="K509" s="24"/>
      <c r="L509" s="24"/>
      <c r="M509" s="27" t="str">
        <f t="shared" si="31"/>
        <v/>
      </c>
      <c r="N509" s="25"/>
      <c r="O509" s="22"/>
      <c r="P509" s="24"/>
      <c r="Q509" s="26"/>
    </row>
    <row r="510" spans="1:17" ht="15" x14ac:dyDescent="0.15">
      <c r="A510" s="22"/>
      <c r="B510" s="26" t="str">
        <f t="shared" si="28"/>
        <v/>
      </c>
      <c r="C510" s="26" t="str">
        <f t="shared" si="29"/>
        <v/>
      </c>
      <c r="D510" s="26" t="str">
        <f t="shared" si="30"/>
        <v/>
      </c>
      <c r="E510" s="29"/>
      <c r="F510" s="22"/>
      <c r="G510" s="22"/>
      <c r="H510" s="22"/>
      <c r="I510" s="24"/>
      <c r="J510" s="24"/>
      <c r="K510" s="24"/>
      <c r="L510" s="24"/>
      <c r="M510" s="27" t="str">
        <f t="shared" si="31"/>
        <v/>
      </c>
      <c r="N510" s="25"/>
      <c r="O510" s="22"/>
      <c r="P510" s="24"/>
      <c r="Q510" s="26"/>
    </row>
    <row r="511" spans="1:17" ht="15" x14ac:dyDescent="0.15">
      <c r="A511" s="22"/>
      <c r="B511" s="26" t="str">
        <f t="shared" si="28"/>
        <v/>
      </c>
      <c r="C511" s="26" t="str">
        <f t="shared" si="29"/>
        <v/>
      </c>
      <c r="D511" s="26" t="str">
        <f t="shared" si="30"/>
        <v/>
      </c>
      <c r="E511" s="29"/>
      <c r="F511" s="22"/>
      <c r="G511" s="22"/>
      <c r="H511" s="22"/>
      <c r="I511" s="24"/>
      <c r="J511" s="24"/>
      <c r="K511" s="24"/>
      <c r="L511" s="24"/>
      <c r="M511" s="27" t="str">
        <f t="shared" si="31"/>
        <v/>
      </c>
      <c r="N511" s="25"/>
      <c r="O511" s="22"/>
      <c r="P511" s="24"/>
      <c r="Q511" s="26"/>
    </row>
    <row r="512" spans="1:17" ht="15" x14ac:dyDescent="0.15">
      <c r="A512" s="22"/>
      <c r="B512" s="26" t="str">
        <f t="shared" si="28"/>
        <v/>
      </c>
      <c r="C512" s="26" t="str">
        <f t="shared" si="29"/>
        <v/>
      </c>
      <c r="D512" s="26" t="str">
        <f t="shared" si="30"/>
        <v/>
      </c>
      <c r="E512" s="29"/>
      <c r="F512" s="22"/>
      <c r="G512" s="22"/>
      <c r="H512" s="22"/>
      <c r="I512" s="24"/>
      <c r="J512" s="24"/>
      <c r="K512" s="24"/>
      <c r="L512" s="24"/>
      <c r="M512" s="27" t="str">
        <f t="shared" si="31"/>
        <v/>
      </c>
      <c r="N512" s="25"/>
      <c r="O512" s="22"/>
      <c r="P512" s="24"/>
      <c r="Q512" s="26"/>
    </row>
    <row r="513" spans="1:17" ht="15" x14ac:dyDescent="0.15">
      <c r="A513" s="22"/>
      <c r="B513" s="26" t="str">
        <f t="shared" si="28"/>
        <v/>
      </c>
      <c r="C513" s="26" t="str">
        <f t="shared" si="29"/>
        <v/>
      </c>
      <c r="D513" s="26" t="str">
        <f t="shared" si="30"/>
        <v/>
      </c>
      <c r="E513" s="29"/>
      <c r="F513" s="22"/>
      <c r="G513" s="22"/>
      <c r="H513" s="22"/>
      <c r="I513" s="24"/>
      <c r="J513" s="24"/>
      <c r="K513" s="24"/>
      <c r="L513" s="24"/>
      <c r="M513" s="27" t="str">
        <f t="shared" si="31"/>
        <v/>
      </c>
      <c r="N513" s="25"/>
      <c r="O513" s="22"/>
      <c r="P513" s="24"/>
      <c r="Q513" s="26"/>
    </row>
    <row r="514" spans="1:17" ht="15" x14ac:dyDescent="0.15">
      <c r="A514" s="22"/>
      <c r="B514" s="26" t="str">
        <f t="shared" si="28"/>
        <v/>
      </c>
      <c r="C514" s="26" t="str">
        <f t="shared" si="29"/>
        <v/>
      </c>
      <c r="D514" s="26" t="str">
        <f t="shared" si="30"/>
        <v/>
      </c>
      <c r="E514" s="29"/>
      <c r="F514" s="22"/>
      <c r="G514" s="22"/>
      <c r="H514" s="22"/>
      <c r="I514" s="24"/>
      <c r="J514" s="24"/>
      <c r="K514" s="24"/>
      <c r="L514" s="24"/>
      <c r="M514" s="27" t="str">
        <f t="shared" si="31"/>
        <v/>
      </c>
      <c r="N514" s="25"/>
      <c r="O514" s="22"/>
      <c r="P514" s="24"/>
      <c r="Q514" s="26"/>
    </row>
    <row r="515" spans="1:17" ht="15" x14ac:dyDescent="0.15">
      <c r="A515" s="22"/>
      <c r="B515" s="26" t="str">
        <f t="shared" si="28"/>
        <v/>
      </c>
      <c r="C515" s="26" t="str">
        <f t="shared" si="29"/>
        <v/>
      </c>
      <c r="D515" s="26" t="str">
        <f t="shared" si="30"/>
        <v/>
      </c>
      <c r="E515" s="29"/>
      <c r="F515" s="22"/>
      <c r="G515" s="22"/>
      <c r="H515" s="22"/>
      <c r="I515" s="24"/>
      <c r="J515" s="24"/>
      <c r="K515" s="24"/>
      <c r="L515" s="24"/>
      <c r="M515" s="27" t="str">
        <f t="shared" si="31"/>
        <v/>
      </c>
      <c r="N515" s="25"/>
      <c r="O515" s="22"/>
      <c r="P515" s="24"/>
      <c r="Q515" s="26"/>
    </row>
    <row r="516" spans="1:17" ht="15" x14ac:dyDescent="0.15">
      <c r="A516" s="22"/>
      <c r="B516" s="26" t="str">
        <f t="shared" si="28"/>
        <v/>
      </c>
      <c r="C516" s="26" t="str">
        <f t="shared" si="29"/>
        <v/>
      </c>
      <c r="D516" s="26" t="str">
        <f t="shared" si="30"/>
        <v/>
      </c>
      <c r="E516" s="29"/>
      <c r="F516" s="22"/>
      <c r="G516" s="22"/>
      <c r="H516" s="22"/>
      <c r="I516" s="24"/>
      <c r="J516" s="24"/>
      <c r="K516" s="24"/>
      <c r="L516" s="24"/>
      <c r="M516" s="27" t="str">
        <f t="shared" si="31"/>
        <v/>
      </c>
      <c r="N516" s="25"/>
      <c r="O516" s="22"/>
      <c r="P516" s="24"/>
      <c r="Q516" s="26"/>
    </row>
    <row r="517" spans="1:17" ht="15" x14ac:dyDescent="0.15">
      <c r="A517" s="22"/>
      <c r="B517" s="26" t="str">
        <f t="shared" si="28"/>
        <v/>
      </c>
      <c r="C517" s="26" t="str">
        <f t="shared" si="29"/>
        <v/>
      </c>
      <c r="D517" s="26" t="str">
        <f t="shared" si="30"/>
        <v/>
      </c>
      <c r="E517" s="29"/>
      <c r="F517" s="22"/>
      <c r="G517" s="22"/>
      <c r="H517" s="22"/>
      <c r="I517" s="24"/>
      <c r="J517" s="24"/>
      <c r="K517" s="24"/>
      <c r="L517" s="24"/>
      <c r="M517" s="27" t="str">
        <f t="shared" si="31"/>
        <v/>
      </c>
      <c r="N517" s="25"/>
      <c r="O517" s="22"/>
      <c r="P517" s="24"/>
      <c r="Q517" s="26"/>
    </row>
    <row r="518" spans="1:17" ht="15" x14ac:dyDescent="0.15">
      <c r="A518" s="22"/>
      <c r="B518" s="26" t="str">
        <f t="shared" si="28"/>
        <v/>
      </c>
      <c r="C518" s="26" t="str">
        <f t="shared" si="29"/>
        <v/>
      </c>
      <c r="D518" s="26" t="str">
        <f t="shared" si="30"/>
        <v/>
      </c>
      <c r="E518" s="29"/>
      <c r="F518" s="22"/>
      <c r="G518" s="22"/>
      <c r="H518" s="22"/>
      <c r="I518" s="24"/>
      <c r="J518" s="24"/>
      <c r="K518" s="24"/>
      <c r="L518" s="24"/>
      <c r="M518" s="27" t="str">
        <f t="shared" si="31"/>
        <v/>
      </c>
      <c r="N518" s="25"/>
      <c r="O518" s="22"/>
      <c r="P518" s="24"/>
      <c r="Q518" s="26"/>
    </row>
    <row r="519" spans="1:17" ht="15" x14ac:dyDescent="0.15">
      <c r="A519" s="22"/>
      <c r="B519" s="26" t="str">
        <f t="shared" ref="B519:B582" si="32">IFERROR(IF($A519="","",LEFT($A519,FIND(" | ",$A519)-1)),"")</f>
        <v/>
      </c>
      <c r="C519" s="26" t="str">
        <f t="shared" ref="C519:C582" si="33">IFERROR(IF($A519="","",MID($A519,FIND(" | ",$A519)+3,FIND(" | ",$A519,FIND(" | ",$A519)+3)-FIND(" | ",$A519)-3)),"")</f>
        <v/>
      </c>
      <c r="D519" s="26" t="str">
        <f t="shared" ref="D519:D582" si="34">IFERROR(IF($A519="","",RIGHT($A519,LEN($A519)-FIND(" | ",$A519,FIND(" | ",$A519)+3)-2)),"")</f>
        <v/>
      </c>
      <c r="E519" s="29"/>
      <c r="F519" s="22"/>
      <c r="G519" s="22"/>
      <c r="H519" s="22"/>
      <c r="I519" s="24"/>
      <c r="J519" s="24"/>
      <c r="K519" s="24"/>
      <c r="L519" s="24"/>
      <c r="M519" s="27" t="str">
        <f t="shared" ref="M519:M582" si="35">IF($B519="","",SUM($J519,-$K519,$L519))</f>
        <v/>
      </c>
      <c r="N519" s="25"/>
      <c r="O519" s="22"/>
      <c r="P519" s="24"/>
      <c r="Q519" s="26"/>
    </row>
    <row r="520" spans="1:17" ht="15" x14ac:dyDescent="0.15">
      <c r="A520" s="22"/>
      <c r="B520" s="26" t="str">
        <f t="shared" si="32"/>
        <v/>
      </c>
      <c r="C520" s="26" t="str">
        <f t="shared" si="33"/>
        <v/>
      </c>
      <c r="D520" s="26" t="str">
        <f t="shared" si="34"/>
        <v/>
      </c>
      <c r="E520" s="29"/>
      <c r="F520" s="22"/>
      <c r="G520" s="22"/>
      <c r="H520" s="22"/>
      <c r="I520" s="24"/>
      <c r="J520" s="24"/>
      <c r="K520" s="24"/>
      <c r="L520" s="24"/>
      <c r="M520" s="27" t="str">
        <f t="shared" si="35"/>
        <v/>
      </c>
      <c r="N520" s="25"/>
      <c r="O520" s="22"/>
      <c r="P520" s="24"/>
      <c r="Q520" s="26"/>
    </row>
    <row r="521" spans="1:17" ht="15" x14ac:dyDescent="0.15">
      <c r="A521" s="22"/>
      <c r="B521" s="26" t="str">
        <f t="shared" si="32"/>
        <v/>
      </c>
      <c r="C521" s="26" t="str">
        <f t="shared" si="33"/>
        <v/>
      </c>
      <c r="D521" s="26" t="str">
        <f t="shared" si="34"/>
        <v/>
      </c>
      <c r="E521" s="29"/>
      <c r="F521" s="22"/>
      <c r="G521" s="22"/>
      <c r="H521" s="22"/>
      <c r="I521" s="24"/>
      <c r="J521" s="24"/>
      <c r="K521" s="24"/>
      <c r="L521" s="24"/>
      <c r="M521" s="27" t="str">
        <f t="shared" si="35"/>
        <v/>
      </c>
      <c r="N521" s="25"/>
      <c r="O521" s="22"/>
      <c r="P521" s="24"/>
      <c r="Q521" s="26"/>
    </row>
    <row r="522" spans="1:17" ht="15" x14ac:dyDescent="0.15">
      <c r="A522" s="22"/>
      <c r="B522" s="26" t="str">
        <f t="shared" si="32"/>
        <v/>
      </c>
      <c r="C522" s="26" t="str">
        <f t="shared" si="33"/>
        <v/>
      </c>
      <c r="D522" s="26" t="str">
        <f t="shared" si="34"/>
        <v/>
      </c>
      <c r="E522" s="29"/>
      <c r="F522" s="22"/>
      <c r="G522" s="22"/>
      <c r="H522" s="22"/>
      <c r="I522" s="24"/>
      <c r="J522" s="24"/>
      <c r="K522" s="24"/>
      <c r="L522" s="24"/>
      <c r="M522" s="27" t="str">
        <f t="shared" si="35"/>
        <v/>
      </c>
      <c r="N522" s="25"/>
      <c r="O522" s="22"/>
      <c r="P522" s="24"/>
      <c r="Q522" s="26"/>
    </row>
    <row r="523" spans="1:17" ht="15" x14ac:dyDescent="0.15">
      <c r="A523" s="22"/>
      <c r="B523" s="26" t="str">
        <f t="shared" si="32"/>
        <v/>
      </c>
      <c r="C523" s="26" t="str">
        <f t="shared" si="33"/>
        <v/>
      </c>
      <c r="D523" s="26" t="str">
        <f t="shared" si="34"/>
        <v/>
      </c>
      <c r="E523" s="29"/>
      <c r="F523" s="22"/>
      <c r="G523" s="22"/>
      <c r="H523" s="22"/>
      <c r="I523" s="24"/>
      <c r="J523" s="24"/>
      <c r="K523" s="24"/>
      <c r="L523" s="24"/>
      <c r="M523" s="27" t="str">
        <f t="shared" si="35"/>
        <v/>
      </c>
      <c r="N523" s="25"/>
      <c r="O523" s="22"/>
      <c r="P523" s="24"/>
      <c r="Q523" s="26"/>
    </row>
    <row r="524" spans="1:17" ht="15" x14ac:dyDescent="0.15">
      <c r="A524" s="22"/>
      <c r="B524" s="26" t="str">
        <f t="shared" si="32"/>
        <v/>
      </c>
      <c r="C524" s="26" t="str">
        <f t="shared" si="33"/>
        <v/>
      </c>
      <c r="D524" s="26" t="str">
        <f t="shared" si="34"/>
        <v/>
      </c>
      <c r="E524" s="29"/>
      <c r="F524" s="22"/>
      <c r="G524" s="22"/>
      <c r="H524" s="22"/>
      <c r="I524" s="24"/>
      <c r="J524" s="24"/>
      <c r="K524" s="24"/>
      <c r="L524" s="24"/>
      <c r="M524" s="27" t="str">
        <f t="shared" si="35"/>
        <v/>
      </c>
      <c r="N524" s="25"/>
      <c r="O524" s="22"/>
      <c r="P524" s="24"/>
      <c r="Q524" s="26"/>
    </row>
    <row r="525" spans="1:17" ht="15" x14ac:dyDescent="0.15">
      <c r="A525" s="22"/>
      <c r="B525" s="26" t="str">
        <f t="shared" si="32"/>
        <v/>
      </c>
      <c r="C525" s="26" t="str">
        <f t="shared" si="33"/>
        <v/>
      </c>
      <c r="D525" s="26" t="str">
        <f t="shared" si="34"/>
        <v/>
      </c>
      <c r="E525" s="29"/>
      <c r="F525" s="22"/>
      <c r="G525" s="22"/>
      <c r="H525" s="22"/>
      <c r="I525" s="24"/>
      <c r="J525" s="24"/>
      <c r="K525" s="24"/>
      <c r="L525" s="24"/>
      <c r="M525" s="27" t="str">
        <f t="shared" si="35"/>
        <v/>
      </c>
      <c r="N525" s="25"/>
      <c r="O525" s="22"/>
      <c r="P525" s="24"/>
      <c r="Q525" s="26"/>
    </row>
    <row r="526" spans="1:17" ht="15" x14ac:dyDescent="0.15">
      <c r="A526" s="22"/>
      <c r="B526" s="26" t="str">
        <f t="shared" si="32"/>
        <v/>
      </c>
      <c r="C526" s="26" t="str">
        <f t="shared" si="33"/>
        <v/>
      </c>
      <c r="D526" s="26" t="str">
        <f t="shared" si="34"/>
        <v/>
      </c>
      <c r="E526" s="29"/>
      <c r="F526" s="22"/>
      <c r="G526" s="22"/>
      <c r="H526" s="22"/>
      <c r="I526" s="24"/>
      <c r="J526" s="24"/>
      <c r="K526" s="24"/>
      <c r="L526" s="24"/>
      <c r="M526" s="27" t="str">
        <f t="shared" si="35"/>
        <v/>
      </c>
      <c r="N526" s="25"/>
      <c r="O526" s="22"/>
      <c r="P526" s="24"/>
      <c r="Q526" s="26"/>
    </row>
    <row r="527" spans="1:17" ht="15" x14ac:dyDescent="0.15">
      <c r="A527" s="22"/>
      <c r="B527" s="26" t="str">
        <f t="shared" si="32"/>
        <v/>
      </c>
      <c r="C527" s="26" t="str">
        <f t="shared" si="33"/>
        <v/>
      </c>
      <c r="D527" s="26" t="str">
        <f t="shared" si="34"/>
        <v/>
      </c>
      <c r="E527" s="29"/>
      <c r="F527" s="22"/>
      <c r="G527" s="22"/>
      <c r="H527" s="22"/>
      <c r="I527" s="24"/>
      <c r="J527" s="24"/>
      <c r="K527" s="24"/>
      <c r="L527" s="24"/>
      <c r="M527" s="27" t="str">
        <f t="shared" si="35"/>
        <v/>
      </c>
      <c r="N527" s="25"/>
      <c r="O527" s="22"/>
      <c r="P527" s="24"/>
      <c r="Q527" s="26"/>
    </row>
    <row r="528" spans="1:17" ht="15" x14ac:dyDescent="0.15">
      <c r="A528" s="22"/>
      <c r="B528" s="26" t="str">
        <f t="shared" si="32"/>
        <v/>
      </c>
      <c r="C528" s="26" t="str">
        <f t="shared" si="33"/>
        <v/>
      </c>
      <c r="D528" s="26" t="str">
        <f t="shared" si="34"/>
        <v/>
      </c>
      <c r="E528" s="29"/>
      <c r="F528" s="22"/>
      <c r="G528" s="22"/>
      <c r="H528" s="22"/>
      <c r="I528" s="24"/>
      <c r="J528" s="24"/>
      <c r="K528" s="24"/>
      <c r="L528" s="24"/>
      <c r="M528" s="27" t="str">
        <f t="shared" si="35"/>
        <v/>
      </c>
      <c r="N528" s="25"/>
      <c r="O528" s="22"/>
      <c r="P528" s="24"/>
      <c r="Q528" s="26"/>
    </row>
    <row r="529" spans="1:17" ht="15" x14ac:dyDescent="0.15">
      <c r="A529" s="22"/>
      <c r="B529" s="26" t="str">
        <f t="shared" si="32"/>
        <v/>
      </c>
      <c r="C529" s="26" t="str">
        <f t="shared" si="33"/>
        <v/>
      </c>
      <c r="D529" s="26" t="str">
        <f t="shared" si="34"/>
        <v/>
      </c>
      <c r="E529" s="29"/>
      <c r="F529" s="22"/>
      <c r="G529" s="22"/>
      <c r="H529" s="22"/>
      <c r="I529" s="24"/>
      <c r="J529" s="24"/>
      <c r="K529" s="24"/>
      <c r="L529" s="24"/>
      <c r="M529" s="27" t="str">
        <f t="shared" si="35"/>
        <v/>
      </c>
      <c r="N529" s="25"/>
      <c r="O529" s="22"/>
      <c r="P529" s="24"/>
      <c r="Q529" s="26"/>
    </row>
    <row r="530" spans="1:17" ht="15" x14ac:dyDescent="0.15">
      <c r="A530" s="22"/>
      <c r="B530" s="26" t="str">
        <f t="shared" si="32"/>
        <v/>
      </c>
      <c r="C530" s="26" t="str">
        <f t="shared" si="33"/>
        <v/>
      </c>
      <c r="D530" s="26" t="str">
        <f t="shared" si="34"/>
        <v/>
      </c>
      <c r="E530" s="29"/>
      <c r="F530" s="22"/>
      <c r="G530" s="22"/>
      <c r="H530" s="22"/>
      <c r="I530" s="24"/>
      <c r="J530" s="24"/>
      <c r="K530" s="24"/>
      <c r="L530" s="24"/>
      <c r="M530" s="27" t="str">
        <f t="shared" si="35"/>
        <v/>
      </c>
      <c r="N530" s="25"/>
      <c r="O530" s="22"/>
      <c r="P530" s="24"/>
      <c r="Q530" s="26"/>
    </row>
    <row r="531" spans="1:17" ht="15" x14ac:dyDescent="0.15">
      <c r="A531" s="22"/>
      <c r="B531" s="26" t="str">
        <f t="shared" si="32"/>
        <v/>
      </c>
      <c r="C531" s="26" t="str">
        <f t="shared" si="33"/>
        <v/>
      </c>
      <c r="D531" s="26" t="str">
        <f t="shared" si="34"/>
        <v/>
      </c>
      <c r="E531" s="29"/>
      <c r="F531" s="22"/>
      <c r="G531" s="22"/>
      <c r="H531" s="22"/>
      <c r="I531" s="24"/>
      <c r="J531" s="24"/>
      <c r="K531" s="24"/>
      <c r="L531" s="24"/>
      <c r="M531" s="27" t="str">
        <f t="shared" si="35"/>
        <v/>
      </c>
      <c r="N531" s="25"/>
      <c r="O531" s="22"/>
      <c r="P531" s="24"/>
      <c r="Q531" s="26"/>
    </row>
    <row r="532" spans="1:17" ht="15" x14ac:dyDescent="0.15">
      <c r="A532" s="22"/>
      <c r="B532" s="26" t="str">
        <f t="shared" si="32"/>
        <v/>
      </c>
      <c r="C532" s="26" t="str">
        <f t="shared" si="33"/>
        <v/>
      </c>
      <c r="D532" s="26" t="str">
        <f t="shared" si="34"/>
        <v/>
      </c>
      <c r="E532" s="29"/>
      <c r="F532" s="22"/>
      <c r="G532" s="22"/>
      <c r="H532" s="22"/>
      <c r="I532" s="24"/>
      <c r="J532" s="24"/>
      <c r="K532" s="24"/>
      <c r="L532" s="24"/>
      <c r="M532" s="27" t="str">
        <f t="shared" si="35"/>
        <v/>
      </c>
      <c r="N532" s="25"/>
      <c r="O532" s="22"/>
      <c r="P532" s="24"/>
      <c r="Q532" s="26"/>
    </row>
    <row r="533" spans="1:17" ht="15" x14ac:dyDescent="0.15">
      <c r="A533" s="22"/>
      <c r="B533" s="26" t="str">
        <f t="shared" si="32"/>
        <v/>
      </c>
      <c r="C533" s="26" t="str">
        <f t="shared" si="33"/>
        <v/>
      </c>
      <c r="D533" s="26" t="str">
        <f t="shared" si="34"/>
        <v/>
      </c>
      <c r="E533" s="29"/>
      <c r="F533" s="22"/>
      <c r="G533" s="22"/>
      <c r="H533" s="22"/>
      <c r="I533" s="24"/>
      <c r="J533" s="24"/>
      <c r="K533" s="24"/>
      <c r="L533" s="24"/>
      <c r="M533" s="27" t="str">
        <f t="shared" si="35"/>
        <v/>
      </c>
      <c r="N533" s="25"/>
      <c r="O533" s="22"/>
      <c r="P533" s="24"/>
      <c r="Q533" s="26"/>
    </row>
    <row r="534" spans="1:17" ht="15" x14ac:dyDescent="0.15">
      <c r="A534" s="22"/>
      <c r="B534" s="26" t="str">
        <f t="shared" si="32"/>
        <v/>
      </c>
      <c r="C534" s="26" t="str">
        <f t="shared" si="33"/>
        <v/>
      </c>
      <c r="D534" s="26" t="str">
        <f t="shared" si="34"/>
        <v/>
      </c>
      <c r="E534" s="29"/>
      <c r="F534" s="22"/>
      <c r="G534" s="22"/>
      <c r="H534" s="22"/>
      <c r="I534" s="24"/>
      <c r="J534" s="24"/>
      <c r="K534" s="24"/>
      <c r="L534" s="24"/>
      <c r="M534" s="27" t="str">
        <f t="shared" si="35"/>
        <v/>
      </c>
      <c r="N534" s="25"/>
      <c r="O534" s="22"/>
      <c r="P534" s="24"/>
      <c r="Q534" s="26"/>
    </row>
    <row r="535" spans="1:17" ht="15" x14ac:dyDescent="0.15">
      <c r="A535" s="22"/>
      <c r="B535" s="26" t="str">
        <f t="shared" si="32"/>
        <v/>
      </c>
      <c r="C535" s="26" t="str">
        <f t="shared" si="33"/>
        <v/>
      </c>
      <c r="D535" s="26" t="str">
        <f t="shared" si="34"/>
        <v/>
      </c>
      <c r="E535" s="29"/>
      <c r="F535" s="22"/>
      <c r="G535" s="22"/>
      <c r="H535" s="22"/>
      <c r="I535" s="24"/>
      <c r="J535" s="24"/>
      <c r="K535" s="24"/>
      <c r="L535" s="24"/>
      <c r="M535" s="27" t="str">
        <f t="shared" si="35"/>
        <v/>
      </c>
      <c r="N535" s="25"/>
      <c r="O535" s="22"/>
      <c r="P535" s="24"/>
      <c r="Q535" s="26"/>
    </row>
    <row r="536" spans="1:17" ht="15" x14ac:dyDescent="0.15">
      <c r="A536" s="22"/>
      <c r="B536" s="26" t="str">
        <f t="shared" si="32"/>
        <v/>
      </c>
      <c r="C536" s="26" t="str">
        <f t="shared" si="33"/>
        <v/>
      </c>
      <c r="D536" s="26" t="str">
        <f t="shared" si="34"/>
        <v/>
      </c>
      <c r="E536" s="29"/>
      <c r="F536" s="22"/>
      <c r="G536" s="22"/>
      <c r="H536" s="22"/>
      <c r="I536" s="24"/>
      <c r="J536" s="24"/>
      <c r="K536" s="24"/>
      <c r="L536" s="24"/>
      <c r="M536" s="27" t="str">
        <f t="shared" si="35"/>
        <v/>
      </c>
      <c r="N536" s="25"/>
      <c r="O536" s="22"/>
      <c r="P536" s="24"/>
      <c r="Q536" s="26"/>
    </row>
    <row r="537" spans="1:17" ht="15" x14ac:dyDescent="0.15">
      <c r="A537" s="22"/>
      <c r="B537" s="26" t="str">
        <f t="shared" si="32"/>
        <v/>
      </c>
      <c r="C537" s="26" t="str">
        <f t="shared" si="33"/>
        <v/>
      </c>
      <c r="D537" s="26" t="str">
        <f t="shared" si="34"/>
        <v/>
      </c>
      <c r="E537" s="29"/>
      <c r="F537" s="22"/>
      <c r="G537" s="22"/>
      <c r="H537" s="22"/>
      <c r="I537" s="24"/>
      <c r="J537" s="24"/>
      <c r="K537" s="24"/>
      <c r="L537" s="24"/>
      <c r="M537" s="27" t="str">
        <f t="shared" si="35"/>
        <v/>
      </c>
      <c r="N537" s="25"/>
      <c r="O537" s="22"/>
      <c r="P537" s="24"/>
      <c r="Q537" s="26"/>
    </row>
    <row r="538" spans="1:17" ht="15" x14ac:dyDescent="0.15">
      <c r="A538" s="22"/>
      <c r="B538" s="26" t="str">
        <f t="shared" si="32"/>
        <v/>
      </c>
      <c r="C538" s="26" t="str">
        <f t="shared" si="33"/>
        <v/>
      </c>
      <c r="D538" s="26" t="str">
        <f t="shared" si="34"/>
        <v/>
      </c>
      <c r="E538" s="29"/>
      <c r="F538" s="22"/>
      <c r="G538" s="22"/>
      <c r="H538" s="22"/>
      <c r="I538" s="24"/>
      <c r="J538" s="24"/>
      <c r="K538" s="24"/>
      <c r="L538" s="24"/>
      <c r="M538" s="27" t="str">
        <f t="shared" si="35"/>
        <v/>
      </c>
      <c r="N538" s="25"/>
      <c r="O538" s="22"/>
      <c r="P538" s="24"/>
      <c r="Q538" s="26"/>
    </row>
    <row r="539" spans="1:17" ht="15" x14ac:dyDescent="0.15">
      <c r="A539" s="22"/>
      <c r="B539" s="26" t="str">
        <f t="shared" si="32"/>
        <v/>
      </c>
      <c r="C539" s="26" t="str">
        <f t="shared" si="33"/>
        <v/>
      </c>
      <c r="D539" s="26" t="str">
        <f t="shared" si="34"/>
        <v/>
      </c>
      <c r="E539" s="29"/>
      <c r="F539" s="22"/>
      <c r="G539" s="22"/>
      <c r="H539" s="22"/>
      <c r="I539" s="24"/>
      <c r="J539" s="24"/>
      <c r="K539" s="24"/>
      <c r="L539" s="24"/>
      <c r="M539" s="27" t="str">
        <f t="shared" si="35"/>
        <v/>
      </c>
      <c r="N539" s="25"/>
      <c r="O539" s="22"/>
      <c r="P539" s="24"/>
      <c r="Q539" s="26"/>
    </row>
    <row r="540" spans="1:17" ht="15" x14ac:dyDescent="0.15">
      <c r="A540" s="22"/>
      <c r="B540" s="26" t="str">
        <f t="shared" si="32"/>
        <v/>
      </c>
      <c r="C540" s="26" t="str">
        <f t="shared" si="33"/>
        <v/>
      </c>
      <c r="D540" s="26" t="str">
        <f t="shared" si="34"/>
        <v/>
      </c>
      <c r="E540" s="29"/>
      <c r="F540" s="22"/>
      <c r="G540" s="22"/>
      <c r="H540" s="22"/>
      <c r="I540" s="24"/>
      <c r="J540" s="24"/>
      <c r="K540" s="24"/>
      <c r="L540" s="24"/>
      <c r="M540" s="27" t="str">
        <f t="shared" si="35"/>
        <v/>
      </c>
      <c r="N540" s="25"/>
      <c r="O540" s="22"/>
      <c r="P540" s="24"/>
      <c r="Q540" s="26"/>
    </row>
    <row r="541" spans="1:17" ht="15" x14ac:dyDescent="0.15">
      <c r="A541" s="22"/>
      <c r="B541" s="26" t="str">
        <f t="shared" si="32"/>
        <v/>
      </c>
      <c r="C541" s="26" t="str">
        <f t="shared" si="33"/>
        <v/>
      </c>
      <c r="D541" s="26" t="str">
        <f t="shared" si="34"/>
        <v/>
      </c>
      <c r="E541" s="29"/>
      <c r="F541" s="22"/>
      <c r="G541" s="22"/>
      <c r="H541" s="22"/>
      <c r="I541" s="24"/>
      <c r="J541" s="24"/>
      <c r="K541" s="24"/>
      <c r="L541" s="24"/>
      <c r="M541" s="27" t="str">
        <f t="shared" si="35"/>
        <v/>
      </c>
      <c r="N541" s="25"/>
      <c r="O541" s="22"/>
      <c r="P541" s="24"/>
      <c r="Q541" s="26"/>
    </row>
    <row r="542" spans="1:17" ht="15" x14ac:dyDescent="0.15">
      <c r="A542" s="22"/>
      <c r="B542" s="26" t="str">
        <f t="shared" si="32"/>
        <v/>
      </c>
      <c r="C542" s="26" t="str">
        <f t="shared" si="33"/>
        <v/>
      </c>
      <c r="D542" s="26" t="str">
        <f t="shared" si="34"/>
        <v/>
      </c>
      <c r="E542" s="29"/>
      <c r="F542" s="22"/>
      <c r="G542" s="22"/>
      <c r="H542" s="22"/>
      <c r="I542" s="24"/>
      <c r="J542" s="24"/>
      <c r="K542" s="24"/>
      <c r="L542" s="24"/>
      <c r="M542" s="27" t="str">
        <f t="shared" si="35"/>
        <v/>
      </c>
      <c r="N542" s="25"/>
      <c r="O542" s="22"/>
      <c r="P542" s="24"/>
      <c r="Q542" s="26"/>
    </row>
    <row r="543" spans="1:17" ht="15" x14ac:dyDescent="0.15">
      <c r="A543" s="22"/>
      <c r="B543" s="26" t="str">
        <f t="shared" si="32"/>
        <v/>
      </c>
      <c r="C543" s="26" t="str">
        <f t="shared" si="33"/>
        <v/>
      </c>
      <c r="D543" s="26" t="str">
        <f t="shared" si="34"/>
        <v/>
      </c>
      <c r="E543" s="29"/>
      <c r="F543" s="22"/>
      <c r="G543" s="22"/>
      <c r="H543" s="22"/>
      <c r="I543" s="24"/>
      <c r="J543" s="24"/>
      <c r="K543" s="24"/>
      <c r="L543" s="24"/>
      <c r="M543" s="27" t="str">
        <f t="shared" si="35"/>
        <v/>
      </c>
      <c r="N543" s="25"/>
      <c r="O543" s="22"/>
      <c r="P543" s="24"/>
      <c r="Q543" s="26"/>
    </row>
    <row r="544" spans="1:17" ht="15" x14ac:dyDescent="0.15">
      <c r="A544" s="22"/>
      <c r="B544" s="26" t="str">
        <f t="shared" si="32"/>
        <v/>
      </c>
      <c r="C544" s="26" t="str">
        <f t="shared" si="33"/>
        <v/>
      </c>
      <c r="D544" s="26" t="str">
        <f t="shared" si="34"/>
        <v/>
      </c>
      <c r="E544" s="29"/>
      <c r="F544" s="22"/>
      <c r="G544" s="22"/>
      <c r="H544" s="22"/>
      <c r="I544" s="24"/>
      <c r="J544" s="24"/>
      <c r="K544" s="24"/>
      <c r="L544" s="24"/>
      <c r="M544" s="27" t="str">
        <f t="shared" si="35"/>
        <v/>
      </c>
      <c r="N544" s="25"/>
      <c r="O544" s="22"/>
      <c r="P544" s="24"/>
      <c r="Q544" s="26"/>
    </row>
    <row r="545" spans="1:17" ht="15" x14ac:dyDescent="0.15">
      <c r="A545" s="22"/>
      <c r="B545" s="26" t="str">
        <f t="shared" si="32"/>
        <v/>
      </c>
      <c r="C545" s="26" t="str">
        <f t="shared" si="33"/>
        <v/>
      </c>
      <c r="D545" s="26" t="str">
        <f t="shared" si="34"/>
        <v/>
      </c>
      <c r="E545" s="29"/>
      <c r="F545" s="22"/>
      <c r="G545" s="22"/>
      <c r="H545" s="22"/>
      <c r="I545" s="24"/>
      <c r="J545" s="24"/>
      <c r="K545" s="24"/>
      <c r="L545" s="24"/>
      <c r="M545" s="27" t="str">
        <f t="shared" si="35"/>
        <v/>
      </c>
      <c r="N545" s="25"/>
      <c r="O545" s="22"/>
      <c r="P545" s="24"/>
      <c r="Q545" s="26"/>
    </row>
    <row r="546" spans="1:17" ht="15" x14ac:dyDescent="0.15">
      <c r="A546" s="22"/>
      <c r="B546" s="26" t="str">
        <f t="shared" si="32"/>
        <v/>
      </c>
      <c r="C546" s="26" t="str">
        <f t="shared" si="33"/>
        <v/>
      </c>
      <c r="D546" s="26" t="str">
        <f t="shared" si="34"/>
        <v/>
      </c>
      <c r="E546" s="29"/>
      <c r="F546" s="22"/>
      <c r="G546" s="22"/>
      <c r="H546" s="22"/>
      <c r="I546" s="24"/>
      <c r="J546" s="24"/>
      <c r="K546" s="24"/>
      <c r="L546" s="24"/>
      <c r="M546" s="27" t="str">
        <f t="shared" si="35"/>
        <v/>
      </c>
      <c r="N546" s="25"/>
      <c r="O546" s="22"/>
      <c r="P546" s="24"/>
      <c r="Q546" s="26"/>
    </row>
    <row r="547" spans="1:17" ht="15" x14ac:dyDescent="0.15">
      <c r="A547" s="22"/>
      <c r="B547" s="26" t="str">
        <f t="shared" si="32"/>
        <v/>
      </c>
      <c r="C547" s="26" t="str">
        <f t="shared" si="33"/>
        <v/>
      </c>
      <c r="D547" s="26" t="str">
        <f t="shared" si="34"/>
        <v/>
      </c>
      <c r="E547" s="29"/>
      <c r="F547" s="22"/>
      <c r="G547" s="22"/>
      <c r="H547" s="22"/>
      <c r="I547" s="24"/>
      <c r="J547" s="24"/>
      <c r="K547" s="24"/>
      <c r="L547" s="24"/>
      <c r="M547" s="27" t="str">
        <f t="shared" si="35"/>
        <v/>
      </c>
      <c r="N547" s="25"/>
      <c r="O547" s="22"/>
      <c r="P547" s="24"/>
      <c r="Q547" s="26"/>
    </row>
    <row r="548" spans="1:17" ht="15" x14ac:dyDescent="0.15">
      <c r="A548" s="22"/>
      <c r="B548" s="26" t="str">
        <f t="shared" si="32"/>
        <v/>
      </c>
      <c r="C548" s="26" t="str">
        <f t="shared" si="33"/>
        <v/>
      </c>
      <c r="D548" s="26" t="str">
        <f t="shared" si="34"/>
        <v/>
      </c>
      <c r="E548" s="29"/>
      <c r="F548" s="22"/>
      <c r="G548" s="22"/>
      <c r="H548" s="22"/>
      <c r="I548" s="24"/>
      <c r="J548" s="24"/>
      <c r="K548" s="24"/>
      <c r="L548" s="24"/>
      <c r="M548" s="27" t="str">
        <f t="shared" si="35"/>
        <v/>
      </c>
      <c r="N548" s="25"/>
      <c r="O548" s="22"/>
      <c r="P548" s="24"/>
      <c r="Q548" s="26"/>
    </row>
    <row r="549" spans="1:17" ht="15" x14ac:dyDescent="0.15">
      <c r="A549" s="22"/>
      <c r="B549" s="26" t="str">
        <f t="shared" si="32"/>
        <v/>
      </c>
      <c r="C549" s="26" t="str">
        <f t="shared" si="33"/>
        <v/>
      </c>
      <c r="D549" s="26" t="str">
        <f t="shared" si="34"/>
        <v/>
      </c>
      <c r="E549" s="29"/>
      <c r="F549" s="22"/>
      <c r="G549" s="22"/>
      <c r="H549" s="22"/>
      <c r="I549" s="24"/>
      <c r="J549" s="24"/>
      <c r="K549" s="24"/>
      <c r="L549" s="24"/>
      <c r="M549" s="27" t="str">
        <f t="shared" si="35"/>
        <v/>
      </c>
      <c r="N549" s="25"/>
      <c r="O549" s="22"/>
      <c r="P549" s="24"/>
      <c r="Q549" s="26"/>
    </row>
    <row r="550" spans="1:17" ht="15" x14ac:dyDescent="0.15">
      <c r="A550" s="22"/>
      <c r="B550" s="26" t="str">
        <f t="shared" si="32"/>
        <v/>
      </c>
      <c r="C550" s="26" t="str">
        <f t="shared" si="33"/>
        <v/>
      </c>
      <c r="D550" s="26" t="str">
        <f t="shared" si="34"/>
        <v/>
      </c>
      <c r="E550" s="29"/>
      <c r="F550" s="22"/>
      <c r="G550" s="22"/>
      <c r="H550" s="22"/>
      <c r="I550" s="24"/>
      <c r="J550" s="24"/>
      <c r="K550" s="24"/>
      <c r="L550" s="24"/>
      <c r="M550" s="27" t="str">
        <f t="shared" si="35"/>
        <v/>
      </c>
      <c r="N550" s="25"/>
      <c r="O550" s="22"/>
      <c r="P550" s="24"/>
      <c r="Q550" s="26"/>
    </row>
    <row r="551" spans="1:17" ht="15" x14ac:dyDescent="0.15">
      <c r="A551" s="22"/>
      <c r="B551" s="26" t="str">
        <f t="shared" si="32"/>
        <v/>
      </c>
      <c r="C551" s="26" t="str">
        <f t="shared" si="33"/>
        <v/>
      </c>
      <c r="D551" s="26" t="str">
        <f t="shared" si="34"/>
        <v/>
      </c>
      <c r="E551" s="29"/>
      <c r="F551" s="22"/>
      <c r="G551" s="22"/>
      <c r="H551" s="22"/>
      <c r="I551" s="24"/>
      <c r="J551" s="24"/>
      <c r="K551" s="24"/>
      <c r="L551" s="24"/>
      <c r="M551" s="27" t="str">
        <f t="shared" si="35"/>
        <v/>
      </c>
      <c r="N551" s="25"/>
      <c r="O551" s="22"/>
      <c r="P551" s="24"/>
      <c r="Q551" s="26"/>
    </row>
    <row r="552" spans="1:17" ht="15" x14ac:dyDescent="0.15">
      <c r="A552" s="22"/>
      <c r="B552" s="26" t="str">
        <f t="shared" si="32"/>
        <v/>
      </c>
      <c r="C552" s="26" t="str">
        <f t="shared" si="33"/>
        <v/>
      </c>
      <c r="D552" s="26" t="str">
        <f t="shared" si="34"/>
        <v/>
      </c>
      <c r="E552" s="29"/>
      <c r="F552" s="22"/>
      <c r="G552" s="22"/>
      <c r="H552" s="22"/>
      <c r="I552" s="24"/>
      <c r="J552" s="24"/>
      <c r="K552" s="24"/>
      <c r="L552" s="24"/>
      <c r="M552" s="27" t="str">
        <f t="shared" si="35"/>
        <v/>
      </c>
      <c r="N552" s="25"/>
      <c r="O552" s="22"/>
      <c r="P552" s="24"/>
      <c r="Q552" s="26"/>
    </row>
    <row r="553" spans="1:17" ht="15" x14ac:dyDescent="0.15">
      <c r="A553" s="22"/>
      <c r="B553" s="26" t="str">
        <f t="shared" si="32"/>
        <v/>
      </c>
      <c r="C553" s="26" t="str">
        <f t="shared" si="33"/>
        <v/>
      </c>
      <c r="D553" s="26" t="str">
        <f t="shared" si="34"/>
        <v/>
      </c>
      <c r="E553" s="29"/>
      <c r="F553" s="22"/>
      <c r="G553" s="22"/>
      <c r="H553" s="22"/>
      <c r="I553" s="24"/>
      <c r="J553" s="24"/>
      <c r="K553" s="24"/>
      <c r="L553" s="24"/>
      <c r="M553" s="27" t="str">
        <f t="shared" si="35"/>
        <v/>
      </c>
      <c r="N553" s="25"/>
      <c r="O553" s="22"/>
      <c r="P553" s="24"/>
      <c r="Q553" s="26"/>
    </row>
    <row r="554" spans="1:17" ht="15" x14ac:dyDescent="0.15">
      <c r="A554" s="22"/>
      <c r="B554" s="26" t="str">
        <f t="shared" si="32"/>
        <v/>
      </c>
      <c r="C554" s="26" t="str">
        <f t="shared" si="33"/>
        <v/>
      </c>
      <c r="D554" s="26" t="str">
        <f t="shared" si="34"/>
        <v/>
      </c>
      <c r="E554" s="29"/>
      <c r="F554" s="22"/>
      <c r="G554" s="22"/>
      <c r="H554" s="22"/>
      <c r="I554" s="24"/>
      <c r="J554" s="24"/>
      <c r="K554" s="24"/>
      <c r="L554" s="24"/>
      <c r="M554" s="27" t="str">
        <f t="shared" si="35"/>
        <v/>
      </c>
      <c r="N554" s="25"/>
      <c r="O554" s="22"/>
      <c r="P554" s="24"/>
      <c r="Q554" s="26"/>
    </row>
    <row r="555" spans="1:17" ht="15" x14ac:dyDescent="0.15">
      <c r="A555" s="22"/>
      <c r="B555" s="26" t="str">
        <f t="shared" si="32"/>
        <v/>
      </c>
      <c r="C555" s="26" t="str">
        <f t="shared" si="33"/>
        <v/>
      </c>
      <c r="D555" s="26" t="str">
        <f t="shared" si="34"/>
        <v/>
      </c>
      <c r="E555" s="29"/>
      <c r="F555" s="22"/>
      <c r="G555" s="22"/>
      <c r="H555" s="22"/>
      <c r="I555" s="24"/>
      <c r="J555" s="24"/>
      <c r="K555" s="24"/>
      <c r="L555" s="24"/>
      <c r="M555" s="27" t="str">
        <f t="shared" si="35"/>
        <v/>
      </c>
      <c r="N555" s="25"/>
      <c r="O555" s="22"/>
      <c r="P555" s="24"/>
      <c r="Q555" s="26"/>
    </row>
    <row r="556" spans="1:17" ht="15" x14ac:dyDescent="0.15">
      <c r="A556" s="22"/>
      <c r="B556" s="26" t="str">
        <f t="shared" si="32"/>
        <v/>
      </c>
      <c r="C556" s="26" t="str">
        <f t="shared" si="33"/>
        <v/>
      </c>
      <c r="D556" s="26" t="str">
        <f t="shared" si="34"/>
        <v/>
      </c>
      <c r="E556" s="29"/>
      <c r="F556" s="22"/>
      <c r="G556" s="22"/>
      <c r="H556" s="22"/>
      <c r="I556" s="24"/>
      <c r="J556" s="24"/>
      <c r="K556" s="24"/>
      <c r="L556" s="24"/>
      <c r="M556" s="27" t="str">
        <f t="shared" si="35"/>
        <v/>
      </c>
      <c r="N556" s="25"/>
      <c r="O556" s="22"/>
      <c r="P556" s="24"/>
      <c r="Q556" s="26"/>
    </row>
    <row r="557" spans="1:17" ht="15" x14ac:dyDescent="0.15">
      <c r="A557" s="22"/>
      <c r="B557" s="26" t="str">
        <f t="shared" si="32"/>
        <v/>
      </c>
      <c r="C557" s="26" t="str">
        <f t="shared" si="33"/>
        <v/>
      </c>
      <c r="D557" s="26" t="str">
        <f t="shared" si="34"/>
        <v/>
      </c>
      <c r="E557" s="29"/>
      <c r="F557" s="22"/>
      <c r="G557" s="22"/>
      <c r="H557" s="22"/>
      <c r="I557" s="24"/>
      <c r="J557" s="24"/>
      <c r="K557" s="24"/>
      <c r="L557" s="24"/>
      <c r="M557" s="27" t="str">
        <f t="shared" si="35"/>
        <v/>
      </c>
      <c r="N557" s="25"/>
      <c r="O557" s="22"/>
      <c r="P557" s="24"/>
      <c r="Q557" s="26"/>
    </row>
    <row r="558" spans="1:17" ht="15" x14ac:dyDescent="0.15">
      <c r="A558" s="22"/>
      <c r="B558" s="26" t="str">
        <f t="shared" si="32"/>
        <v/>
      </c>
      <c r="C558" s="26" t="str">
        <f t="shared" si="33"/>
        <v/>
      </c>
      <c r="D558" s="26" t="str">
        <f t="shared" si="34"/>
        <v/>
      </c>
      <c r="E558" s="29"/>
      <c r="F558" s="22"/>
      <c r="G558" s="22"/>
      <c r="H558" s="22"/>
      <c r="I558" s="24"/>
      <c r="J558" s="24"/>
      <c r="K558" s="24"/>
      <c r="L558" s="24"/>
      <c r="M558" s="27" t="str">
        <f t="shared" si="35"/>
        <v/>
      </c>
      <c r="N558" s="25"/>
      <c r="O558" s="22"/>
      <c r="P558" s="24"/>
      <c r="Q558" s="26"/>
    </row>
    <row r="559" spans="1:17" ht="15" x14ac:dyDescent="0.15">
      <c r="A559" s="22"/>
      <c r="B559" s="26" t="str">
        <f t="shared" si="32"/>
        <v/>
      </c>
      <c r="C559" s="26" t="str">
        <f t="shared" si="33"/>
        <v/>
      </c>
      <c r="D559" s="26" t="str">
        <f t="shared" si="34"/>
        <v/>
      </c>
      <c r="E559" s="29"/>
      <c r="F559" s="22"/>
      <c r="G559" s="22"/>
      <c r="H559" s="22"/>
      <c r="I559" s="24"/>
      <c r="J559" s="24"/>
      <c r="K559" s="24"/>
      <c r="L559" s="24"/>
      <c r="M559" s="27" t="str">
        <f t="shared" si="35"/>
        <v/>
      </c>
      <c r="N559" s="25"/>
      <c r="O559" s="22"/>
      <c r="P559" s="24"/>
      <c r="Q559" s="26"/>
    </row>
    <row r="560" spans="1:17" ht="15" x14ac:dyDescent="0.15">
      <c r="A560" s="22"/>
      <c r="B560" s="26" t="str">
        <f t="shared" si="32"/>
        <v/>
      </c>
      <c r="C560" s="26" t="str">
        <f t="shared" si="33"/>
        <v/>
      </c>
      <c r="D560" s="26" t="str">
        <f t="shared" si="34"/>
        <v/>
      </c>
      <c r="E560" s="29"/>
      <c r="F560" s="22"/>
      <c r="G560" s="22"/>
      <c r="H560" s="22"/>
      <c r="I560" s="24"/>
      <c r="J560" s="24"/>
      <c r="K560" s="24"/>
      <c r="L560" s="24"/>
      <c r="M560" s="27" t="str">
        <f t="shared" si="35"/>
        <v/>
      </c>
      <c r="N560" s="25"/>
      <c r="O560" s="22"/>
      <c r="P560" s="24"/>
      <c r="Q560" s="26"/>
    </row>
    <row r="561" spans="1:17" ht="15" x14ac:dyDescent="0.15">
      <c r="A561" s="22"/>
      <c r="B561" s="26" t="str">
        <f t="shared" si="32"/>
        <v/>
      </c>
      <c r="C561" s="26" t="str">
        <f t="shared" si="33"/>
        <v/>
      </c>
      <c r="D561" s="26" t="str">
        <f t="shared" si="34"/>
        <v/>
      </c>
      <c r="E561" s="29"/>
      <c r="F561" s="22"/>
      <c r="G561" s="22"/>
      <c r="H561" s="22"/>
      <c r="I561" s="24"/>
      <c r="J561" s="24"/>
      <c r="K561" s="24"/>
      <c r="L561" s="24"/>
      <c r="M561" s="27" t="str">
        <f t="shared" si="35"/>
        <v/>
      </c>
      <c r="N561" s="25"/>
      <c r="O561" s="22"/>
      <c r="P561" s="24"/>
      <c r="Q561" s="26"/>
    </row>
    <row r="562" spans="1:17" ht="15" x14ac:dyDescent="0.15">
      <c r="A562" s="22"/>
      <c r="B562" s="26" t="str">
        <f t="shared" si="32"/>
        <v/>
      </c>
      <c r="C562" s="26" t="str">
        <f t="shared" si="33"/>
        <v/>
      </c>
      <c r="D562" s="26" t="str">
        <f t="shared" si="34"/>
        <v/>
      </c>
      <c r="E562" s="29"/>
      <c r="F562" s="22"/>
      <c r="G562" s="22"/>
      <c r="H562" s="22"/>
      <c r="I562" s="24"/>
      <c r="J562" s="24"/>
      <c r="K562" s="24"/>
      <c r="L562" s="24"/>
      <c r="M562" s="27" t="str">
        <f t="shared" si="35"/>
        <v/>
      </c>
      <c r="N562" s="25"/>
      <c r="O562" s="22"/>
      <c r="P562" s="24"/>
      <c r="Q562" s="26"/>
    </row>
    <row r="563" spans="1:17" ht="15" x14ac:dyDescent="0.15">
      <c r="A563" s="22"/>
      <c r="B563" s="26" t="str">
        <f t="shared" si="32"/>
        <v/>
      </c>
      <c r="C563" s="26" t="str">
        <f t="shared" si="33"/>
        <v/>
      </c>
      <c r="D563" s="26" t="str">
        <f t="shared" si="34"/>
        <v/>
      </c>
      <c r="E563" s="29"/>
      <c r="F563" s="22"/>
      <c r="G563" s="22"/>
      <c r="H563" s="22"/>
      <c r="I563" s="24"/>
      <c r="J563" s="24"/>
      <c r="K563" s="24"/>
      <c r="L563" s="24"/>
      <c r="M563" s="27" t="str">
        <f t="shared" si="35"/>
        <v/>
      </c>
      <c r="N563" s="25"/>
      <c r="O563" s="22"/>
      <c r="P563" s="24"/>
      <c r="Q563" s="26"/>
    </row>
    <row r="564" spans="1:17" ht="15" x14ac:dyDescent="0.15">
      <c r="A564" s="22"/>
      <c r="B564" s="26" t="str">
        <f t="shared" si="32"/>
        <v/>
      </c>
      <c r="C564" s="26" t="str">
        <f t="shared" si="33"/>
        <v/>
      </c>
      <c r="D564" s="26" t="str">
        <f t="shared" si="34"/>
        <v/>
      </c>
      <c r="E564" s="29"/>
      <c r="F564" s="22"/>
      <c r="G564" s="22"/>
      <c r="H564" s="22"/>
      <c r="I564" s="24"/>
      <c r="J564" s="24"/>
      <c r="K564" s="24"/>
      <c r="L564" s="24"/>
      <c r="M564" s="27" t="str">
        <f t="shared" si="35"/>
        <v/>
      </c>
      <c r="N564" s="25"/>
      <c r="O564" s="22"/>
      <c r="P564" s="24"/>
      <c r="Q564" s="26"/>
    </row>
    <row r="565" spans="1:17" ht="15" x14ac:dyDescent="0.15">
      <c r="A565" s="22"/>
      <c r="B565" s="26" t="str">
        <f t="shared" si="32"/>
        <v/>
      </c>
      <c r="C565" s="26" t="str">
        <f t="shared" si="33"/>
        <v/>
      </c>
      <c r="D565" s="26" t="str">
        <f t="shared" si="34"/>
        <v/>
      </c>
      <c r="E565" s="29"/>
      <c r="F565" s="22"/>
      <c r="G565" s="22"/>
      <c r="H565" s="22"/>
      <c r="I565" s="24"/>
      <c r="J565" s="24"/>
      <c r="K565" s="24"/>
      <c r="L565" s="24"/>
      <c r="M565" s="27" t="str">
        <f t="shared" si="35"/>
        <v/>
      </c>
      <c r="N565" s="25"/>
      <c r="O565" s="22"/>
      <c r="P565" s="24"/>
      <c r="Q565" s="26"/>
    </row>
    <row r="566" spans="1:17" ht="15" x14ac:dyDescent="0.15">
      <c r="A566" s="22"/>
      <c r="B566" s="26" t="str">
        <f t="shared" si="32"/>
        <v/>
      </c>
      <c r="C566" s="26" t="str">
        <f t="shared" si="33"/>
        <v/>
      </c>
      <c r="D566" s="26" t="str">
        <f t="shared" si="34"/>
        <v/>
      </c>
      <c r="E566" s="29"/>
      <c r="F566" s="22"/>
      <c r="G566" s="22"/>
      <c r="H566" s="22"/>
      <c r="I566" s="24"/>
      <c r="J566" s="24"/>
      <c r="K566" s="24"/>
      <c r="L566" s="24"/>
      <c r="M566" s="27" t="str">
        <f t="shared" si="35"/>
        <v/>
      </c>
      <c r="N566" s="25"/>
      <c r="O566" s="22"/>
      <c r="P566" s="24"/>
      <c r="Q566" s="26"/>
    </row>
    <row r="567" spans="1:17" ht="15" x14ac:dyDescent="0.15">
      <c r="A567" s="22"/>
      <c r="B567" s="26" t="str">
        <f t="shared" si="32"/>
        <v/>
      </c>
      <c r="C567" s="26" t="str">
        <f t="shared" si="33"/>
        <v/>
      </c>
      <c r="D567" s="26" t="str">
        <f t="shared" si="34"/>
        <v/>
      </c>
      <c r="E567" s="29"/>
      <c r="F567" s="22"/>
      <c r="G567" s="22"/>
      <c r="H567" s="22"/>
      <c r="I567" s="24"/>
      <c r="J567" s="24"/>
      <c r="K567" s="24"/>
      <c r="L567" s="24"/>
      <c r="M567" s="27" t="str">
        <f t="shared" si="35"/>
        <v/>
      </c>
      <c r="N567" s="25"/>
      <c r="O567" s="22"/>
      <c r="P567" s="24"/>
      <c r="Q567" s="26"/>
    </row>
    <row r="568" spans="1:17" ht="15" x14ac:dyDescent="0.15">
      <c r="A568" s="22"/>
      <c r="B568" s="26" t="str">
        <f t="shared" si="32"/>
        <v/>
      </c>
      <c r="C568" s="26" t="str">
        <f t="shared" si="33"/>
        <v/>
      </c>
      <c r="D568" s="26" t="str">
        <f t="shared" si="34"/>
        <v/>
      </c>
      <c r="E568" s="29"/>
      <c r="F568" s="22"/>
      <c r="G568" s="22"/>
      <c r="H568" s="22"/>
      <c r="I568" s="24"/>
      <c r="J568" s="24"/>
      <c r="K568" s="24"/>
      <c r="L568" s="24"/>
      <c r="M568" s="27" t="str">
        <f t="shared" si="35"/>
        <v/>
      </c>
      <c r="N568" s="25"/>
      <c r="O568" s="22"/>
      <c r="P568" s="24"/>
      <c r="Q568" s="26"/>
    </row>
    <row r="569" spans="1:17" ht="15" x14ac:dyDescent="0.15">
      <c r="A569" s="22"/>
      <c r="B569" s="26" t="str">
        <f t="shared" si="32"/>
        <v/>
      </c>
      <c r="C569" s="26" t="str">
        <f t="shared" si="33"/>
        <v/>
      </c>
      <c r="D569" s="26" t="str">
        <f t="shared" si="34"/>
        <v/>
      </c>
      <c r="E569" s="29"/>
      <c r="F569" s="22"/>
      <c r="G569" s="22"/>
      <c r="H569" s="22"/>
      <c r="I569" s="24"/>
      <c r="J569" s="24"/>
      <c r="K569" s="24"/>
      <c r="L569" s="24"/>
      <c r="M569" s="27" t="str">
        <f t="shared" si="35"/>
        <v/>
      </c>
      <c r="N569" s="25"/>
      <c r="O569" s="22"/>
      <c r="P569" s="24"/>
      <c r="Q569" s="26"/>
    </row>
    <row r="570" spans="1:17" ht="15" x14ac:dyDescent="0.15">
      <c r="A570" s="22"/>
      <c r="B570" s="26" t="str">
        <f t="shared" si="32"/>
        <v/>
      </c>
      <c r="C570" s="26" t="str">
        <f t="shared" si="33"/>
        <v/>
      </c>
      <c r="D570" s="26" t="str">
        <f t="shared" si="34"/>
        <v/>
      </c>
      <c r="E570" s="29"/>
      <c r="F570" s="22"/>
      <c r="G570" s="22"/>
      <c r="H570" s="22"/>
      <c r="I570" s="24"/>
      <c r="J570" s="24"/>
      <c r="K570" s="24"/>
      <c r="L570" s="24"/>
      <c r="M570" s="27" t="str">
        <f t="shared" si="35"/>
        <v/>
      </c>
      <c r="N570" s="25"/>
      <c r="O570" s="22"/>
      <c r="P570" s="24"/>
      <c r="Q570" s="26"/>
    </row>
    <row r="571" spans="1:17" ht="15" x14ac:dyDescent="0.15">
      <c r="A571" s="22"/>
      <c r="B571" s="26" t="str">
        <f t="shared" si="32"/>
        <v/>
      </c>
      <c r="C571" s="26" t="str">
        <f t="shared" si="33"/>
        <v/>
      </c>
      <c r="D571" s="26" t="str">
        <f t="shared" si="34"/>
        <v/>
      </c>
      <c r="E571" s="29"/>
      <c r="F571" s="22"/>
      <c r="G571" s="22"/>
      <c r="H571" s="22"/>
      <c r="I571" s="24"/>
      <c r="J571" s="24"/>
      <c r="K571" s="24"/>
      <c r="L571" s="24"/>
      <c r="M571" s="27" t="str">
        <f t="shared" si="35"/>
        <v/>
      </c>
      <c r="N571" s="25"/>
      <c r="O571" s="22"/>
      <c r="P571" s="24"/>
      <c r="Q571" s="26"/>
    </row>
    <row r="572" spans="1:17" ht="15" x14ac:dyDescent="0.15">
      <c r="A572" s="22"/>
      <c r="B572" s="26" t="str">
        <f t="shared" si="32"/>
        <v/>
      </c>
      <c r="C572" s="26" t="str">
        <f t="shared" si="33"/>
        <v/>
      </c>
      <c r="D572" s="26" t="str">
        <f t="shared" si="34"/>
        <v/>
      </c>
      <c r="E572" s="29"/>
      <c r="F572" s="22"/>
      <c r="G572" s="22"/>
      <c r="H572" s="22"/>
      <c r="I572" s="24"/>
      <c r="J572" s="24"/>
      <c r="K572" s="24"/>
      <c r="L572" s="24"/>
      <c r="M572" s="27" t="str">
        <f t="shared" si="35"/>
        <v/>
      </c>
      <c r="N572" s="25"/>
      <c r="O572" s="22"/>
      <c r="P572" s="24"/>
      <c r="Q572" s="26"/>
    </row>
    <row r="573" spans="1:17" ht="15" x14ac:dyDescent="0.15">
      <c r="A573" s="22"/>
      <c r="B573" s="26" t="str">
        <f t="shared" si="32"/>
        <v/>
      </c>
      <c r="C573" s="26" t="str">
        <f t="shared" si="33"/>
        <v/>
      </c>
      <c r="D573" s="26" t="str">
        <f t="shared" si="34"/>
        <v/>
      </c>
      <c r="E573" s="29"/>
      <c r="F573" s="22"/>
      <c r="G573" s="22"/>
      <c r="H573" s="22"/>
      <c r="I573" s="24"/>
      <c r="J573" s="24"/>
      <c r="K573" s="24"/>
      <c r="L573" s="24"/>
      <c r="M573" s="27" t="str">
        <f t="shared" si="35"/>
        <v/>
      </c>
      <c r="N573" s="25"/>
      <c r="O573" s="22"/>
      <c r="P573" s="24"/>
      <c r="Q573" s="26"/>
    </row>
    <row r="574" spans="1:17" ht="15" x14ac:dyDescent="0.15">
      <c r="A574" s="22"/>
      <c r="B574" s="26" t="str">
        <f t="shared" si="32"/>
        <v/>
      </c>
      <c r="C574" s="26" t="str">
        <f t="shared" si="33"/>
        <v/>
      </c>
      <c r="D574" s="26" t="str">
        <f t="shared" si="34"/>
        <v/>
      </c>
      <c r="E574" s="29"/>
      <c r="F574" s="22"/>
      <c r="G574" s="22"/>
      <c r="H574" s="22"/>
      <c r="I574" s="24"/>
      <c r="J574" s="24"/>
      <c r="K574" s="24"/>
      <c r="L574" s="24"/>
      <c r="M574" s="27" t="str">
        <f t="shared" si="35"/>
        <v/>
      </c>
      <c r="N574" s="25"/>
      <c r="O574" s="22"/>
      <c r="P574" s="24"/>
      <c r="Q574" s="26"/>
    </row>
    <row r="575" spans="1:17" ht="15" x14ac:dyDescent="0.15">
      <c r="A575" s="22"/>
      <c r="B575" s="26" t="str">
        <f t="shared" si="32"/>
        <v/>
      </c>
      <c r="C575" s="26" t="str">
        <f t="shared" si="33"/>
        <v/>
      </c>
      <c r="D575" s="26" t="str">
        <f t="shared" si="34"/>
        <v/>
      </c>
      <c r="E575" s="29"/>
      <c r="F575" s="22"/>
      <c r="G575" s="22"/>
      <c r="H575" s="22"/>
      <c r="I575" s="24"/>
      <c r="J575" s="24"/>
      <c r="K575" s="24"/>
      <c r="L575" s="24"/>
      <c r="M575" s="27" t="str">
        <f t="shared" si="35"/>
        <v/>
      </c>
      <c r="N575" s="25"/>
      <c r="O575" s="22"/>
      <c r="P575" s="24"/>
      <c r="Q575" s="26"/>
    </row>
    <row r="576" spans="1:17" ht="15" x14ac:dyDescent="0.15">
      <c r="A576" s="22"/>
      <c r="B576" s="26" t="str">
        <f t="shared" si="32"/>
        <v/>
      </c>
      <c r="C576" s="26" t="str">
        <f t="shared" si="33"/>
        <v/>
      </c>
      <c r="D576" s="26" t="str">
        <f t="shared" si="34"/>
        <v/>
      </c>
      <c r="E576" s="29"/>
      <c r="F576" s="22"/>
      <c r="G576" s="22"/>
      <c r="H576" s="22"/>
      <c r="I576" s="24"/>
      <c r="J576" s="24"/>
      <c r="K576" s="24"/>
      <c r="L576" s="24"/>
      <c r="M576" s="27" t="str">
        <f t="shared" si="35"/>
        <v/>
      </c>
      <c r="N576" s="25"/>
      <c r="O576" s="22"/>
      <c r="P576" s="24"/>
      <c r="Q576" s="26"/>
    </row>
    <row r="577" spans="1:17" ht="15" x14ac:dyDescent="0.15">
      <c r="A577" s="22"/>
      <c r="B577" s="26" t="str">
        <f t="shared" si="32"/>
        <v/>
      </c>
      <c r="C577" s="26" t="str">
        <f t="shared" si="33"/>
        <v/>
      </c>
      <c r="D577" s="26" t="str">
        <f t="shared" si="34"/>
        <v/>
      </c>
      <c r="E577" s="29"/>
      <c r="F577" s="22"/>
      <c r="G577" s="22"/>
      <c r="H577" s="22"/>
      <c r="I577" s="24"/>
      <c r="J577" s="24"/>
      <c r="K577" s="24"/>
      <c r="L577" s="24"/>
      <c r="M577" s="27" t="str">
        <f t="shared" si="35"/>
        <v/>
      </c>
      <c r="N577" s="25"/>
      <c r="O577" s="22"/>
      <c r="P577" s="24"/>
      <c r="Q577" s="26"/>
    </row>
    <row r="578" spans="1:17" ht="15" x14ac:dyDescent="0.15">
      <c r="A578" s="22"/>
      <c r="B578" s="26" t="str">
        <f t="shared" si="32"/>
        <v/>
      </c>
      <c r="C578" s="26" t="str">
        <f t="shared" si="33"/>
        <v/>
      </c>
      <c r="D578" s="26" t="str">
        <f t="shared" si="34"/>
        <v/>
      </c>
      <c r="E578" s="29"/>
      <c r="F578" s="22"/>
      <c r="G578" s="22"/>
      <c r="H578" s="22"/>
      <c r="I578" s="24"/>
      <c r="J578" s="24"/>
      <c r="K578" s="24"/>
      <c r="L578" s="24"/>
      <c r="M578" s="27" t="str">
        <f t="shared" si="35"/>
        <v/>
      </c>
      <c r="N578" s="25"/>
      <c r="O578" s="22"/>
      <c r="P578" s="24"/>
      <c r="Q578" s="26"/>
    </row>
    <row r="579" spans="1:17" ht="15" x14ac:dyDescent="0.15">
      <c r="A579" s="22"/>
      <c r="B579" s="26" t="str">
        <f t="shared" si="32"/>
        <v/>
      </c>
      <c r="C579" s="26" t="str">
        <f t="shared" si="33"/>
        <v/>
      </c>
      <c r="D579" s="26" t="str">
        <f t="shared" si="34"/>
        <v/>
      </c>
      <c r="E579" s="29"/>
      <c r="F579" s="22"/>
      <c r="G579" s="22"/>
      <c r="H579" s="22"/>
      <c r="I579" s="24"/>
      <c r="J579" s="24"/>
      <c r="K579" s="24"/>
      <c r="L579" s="24"/>
      <c r="M579" s="27" t="str">
        <f t="shared" si="35"/>
        <v/>
      </c>
      <c r="N579" s="25"/>
      <c r="O579" s="22"/>
      <c r="P579" s="24"/>
      <c r="Q579" s="26"/>
    </row>
    <row r="580" spans="1:17" ht="15" x14ac:dyDescent="0.15">
      <c r="A580" s="22"/>
      <c r="B580" s="26" t="str">
        <f t="shared" si="32"/>
        <v/>
      </c>
      <c r="C580" s="26" t="str">
        <f t="shared" si="33"/>
        <v/>
      </c>
      <c r="D580" s="26" t="str">
        <f t="shared" si="34"/>
        <v/>
      </c>
      <c r="E580" s="29"/>
      <c r="F580" s="22"/>
      <c r="G580" s="22"/>
      <c r="H580" s="22"/>
      <c r="I580" s="24"/>
      <c r="J580" s="24"/>
      <c r="K580" s="24"/>
      <c r="L580" s="24"/>
      <c r="M580" s="27" t="str">
        <f t="shared" si="35"/>
        <v/>
      </c>
      <c r="N580" s="25"/>
      <c r="O580" s="22"/>
      <c r="P580" s="24"/>
      <c r="Q580" s="26"/>
    </row>
    <row r="581" spans="1:17" ht="15" x14ac:dyDescent="0.15">
      <c r="A581" s="22"/>
      <c r="B581" s="26" t="str">
        <f t="shared" si="32"/>
        <v/>
      </c>
      <c r="C581" s="26" t="str">
        <f t="shared" si="33"/>
        <v/>
      </c>
      <c r="D581" s="26" t="str">
        <f t="shared" si="34"/>
        <v/>
      </c>
      <c r="E581" s="29"/>
      <c r="F581" s="22"/>
      <c r="G581" s="22"/>
      <c r="H581" s="22"/>
      <c r="I581" s="24"/>
      <c r="J581" s="24"/>
      <c r="K581" s="24"/>
      <c r="L581" s="24"/>
      <c r="M581" s="27" t="str">
        <f t="shared" si="35"/>
        <v/>
      </c>
      <c r="N581" s="25"/>
      <c r="O581" s="22"/>
      <c r="P581" s="24"/>
      <c r="Q581" s="26"/>
    </row>
    <row r="582" spans="1:17" ht="15" x14ac:dyDescent="0.15">
      <c r="A582" s="22"/>
      <c r="B582" s="26" t="str">
        <f t="shared" si="32"/>
        <v/>
      </c>
      <c r="C582" s="26" t="str">
        <f t="shared" si="33"/>
        <v/>
      </c>
      <c r="D582" s="26" t="str">
        <f t="shared" si="34"/>
        <v/>
      </c>
      <c r="E582" s="29"/>
      <c r="F582" s="22"/>
      <c r="G582" s="22"/>
      <c r="H582" s="22"/>
      <c r="I582" s="24"/>
      <c r="J582" s="24"/>
      <c r="K582" s="24"/>
      <c r="L582" s="24"/>
      <c r="M582" s="27" t="str">
        <f t="shared" si="35"/>
        <v/>
      </c>
      <c r="N582" s="25"/>
      <c r="O582" s="22"/>
      <c r="P582" s="24"/>
      <c r="Q582" s="26"/>
    </row>
    <row r="583" spans="1:17" ht="15" x14ac:dyDescent="0.15">
      <c r="A583" s="22"/>
      <c r="B583" s="26" t="str">
        <f t="shared" ref="B583:B646" si="36">IFERROR(IF($A583="","",LEFT($A583,FIND(" | ",$A583)-1)),"")</f>
        <v/>
      </c>
      <c r="C583" s="26" t="str">
        <f t="shared" ref="C583:C646" si="37">IFERROR(IF($A583="","",MID($A583,FIND(" | ",$A583)+3,FIND(" | ",$A583,FIND(" | ",$A583)+3)-FIND(" | ",$A583)-3)),"")</f>
        <v/>
      </c>
      <c r="D583" s="26" t="str">
        <f t="shared" ref="D583:D646" si="38">IFERROR(IF($A583="","",RIGHT($A583,LEN($A583)-FIND(" | ",$A583,FIND(" | ",$A583)+3)-2)),"")</f>
        <v/>
      </c>
      <c r="E583" s="29"/>
      <c r="F583" s="22"/>
      <c r="G583" s="22"/>
      <c r="H583" s="22"/>
      <c r="I583" s="24"/>
      <c r="J583" s="24"/>
      <c r="K583" s="24"/>
      <c r="L583" s="24"/>
      <c r="M583" s="27" t="str">
        <f t="shared" ref="M583:M646" si="39">IF($B583="","",SUM($J583,-$K583,$L583))</f>
        <v/>
      </c>
      <c r="N583" s="25"/>
      <c r="O583" s="22"/>
      <c r="P583" s="24"/>
      <c r="Q583" s="26"/>
    </row>
    <row r="584" spans="1:17" ht="15" x14ac:dyDescent="0.15">
      <c r="A584" s="22"/>
      <c r="B584" s="26" t="str">
        <f t="shared" si="36"/>
        <v/>
      </c>
      <c r="C584" s="26" t="str">
        <f t="shared" si="37"/>
        <v/>
      </c>
      <c r="D584" s="26" t="str">
        <f t="shared" si="38"/>
        <v/>
      </c>
      <c r="E584" s="29"/>
      <c r="F584" s="22"/>
      <c r="G584" s="22"/>
      <c r="H584" s="22"/>
      <c r="I584" s="24"/>
      <c r="J584" s="24"/>
      <c r="K584" s="24"/>
      <c r="L584" s="24"/>
      <c r="M584" s="27" t="str">
        <f t="shared" si="39"/>
        <v/>
      </c>
      <c r="N584" s="25"/>
      <c r="O584" s="22"/>
      <c r="P584" s="24"/>
      <c r="Q584" s="26"/>
    </row>
    <row r="585" spans="1:17" ht="15" x14ac:dyDescent="0.15">
      <c r="A585" s="22"/>
      <c r="B585" s="26" t="str">
        <f t="shared" si="36"/>
        <v/>
      </c>
      <c r="C585" s="26" t="str">
        <f t="shared" si="37"/>
        <v/>
      </c>
      <c r="D585" s="26" t="str">
        <f t="shared" si="38"/>
        <v/>
      </c>
      <c r="E585" s="29"/>
      <c r="F585" s="22"/>
      <c r="G585" s="22"/>
      <c r="H585" s="22"/>
      <c r="I585" s="24"/>
      <c r="J585" s="24"/>
      <c r="K585" s="24"/>
      <c r="L585" s="24"/>
      <c r="M585" s="27" t="str">
        <f t="shared" si="39"/>
        <v/>
      </c>
      <c r="N585" s="25"/>
      <c r="O585" s="22"/>
      <c r="P585" s="24"/>
      <c r="Q585" s="26"/>
    </row>
    <row r="586" spans="1:17" ht="15" x14ac:dyDescent="0.15">
      <c r="A586" s="22"/>
      <c r="B586" s="26" t="str">
        <f t="shared" si="36"/>
        <v/>
      </c>
      <c r="C586" s="26" t="str">
        <f t="shared" si="37"/>
        <v/>
      </c>
      <c r="D586" s="26" t="str">
        <f t="shared" si="38"/>
        <v/>
      </c>
      <c r="E586" s="29"/>
      <c r="F586" s="22"/>
      <c r="G586" s="22"/>
      <c r="H586" s="22"/>
      <c r="I586" s="24"/>
      <c r="J586" s="24"/>
      <c r="K586" s="24"/>
      <c r="L586" s="24"/>
      <c r="M586" s="27" t="str">
        <f t="shared" si="39"/>
        <v/>
      </c>
      <c r="N586" s="25"/>
      <c r="O586" s="22"/>
      <c r="P586" s="24"/>
      <c r="Q586" s="26"/>
    </row>
    <row r="587" spans="1:17" ht="15" x14ac:dyDescent="0.15">
      <c r="A587" s="22"/>
      <c r="B587" s="26" t="str">
        <f t="shared" si="36"/>
        <v/>
      </c>
      <c r="C587" s="26" t="str">
        <f t="shared" si="37"/>
        <v/>
      </c>
      <c r="D587" s="26" t="str">
        <f t="shared" si="38"/>
        <v/>
      </c>
      <c r="E587" s="29"/>
      <c r="F587" s="22"/>
      <c r="G587" s="22"/>
      <c r="H587" s="22"/>
      <c r="I587" s="24"/>
      <c r="J587" s="24"/>
      <c r="K587" s="24"/>
      <c r="L587" s="24"/>
      <c r="M587" s="27" t="str">
        <f t="shared" si="39"/>
        <v/>
      </c>
      <c r="N587" s="25"/>
      <c r="O587" s="22"/>
      <c r="P587" s="24"/>
      <c r="Q587" s="26"/>
    </row>
    <row r="588" spans="1:17" ht="15" x14ac:dyDescent="0.15">
      <c r="A588" s="22"/>
      <c r="B588" s="26" t="str">
        <f t="shared" si="36"/>
        <v/>
      </c>
      <c r="C588" s="26" t="str">
        <f t="shared" si="37"/>
        <v/>
      </c>
      <c r="D588" s="26" t="str">
        <f t="shared" si="38"/>
        <v/>
      </c>
      <c r="E588" s="29"/>
      <c r="F588" s="22"/>
      <c r="G588" s="22"/>
      <c r="H588" s="22"/>
      <c r="I588" s="24"/>
      <c r="J588" s="24"/>
      <c r="K588" s="24"/>
      <c r="L588" s="24"/>
      <c r="M588" s="27" t="str">
        <f t="shared" si="39"/>
        <v/>
      </c>
      <c r="N588" s="25"/>
      <c r="O588" s="22"/>
      <c r="P588" s="24"/>
      <c r="Q588" s="26"/>
    </row>
    <row r="589" spans="1:17" ht="15" x14ac:dyDescent="0.15">
      <c r="A589" s="22"/>
      <c r="B589" s="26" t="str">
        <f t="shared" si="36"/>
        <v/>
      </c>
      <c r="C589" s="26" t="str">
        <f t="shared" si="37"/>
        <v/>
      </c>
      <c r="D589" s="26" t="str">
        <f t="shared" si="38"/>
        <v/>
      </c>
      <c r="E589" s="29"/>
      <c r="F589" s="22"/>
      <c r="G589" s="22"/>
      <c r="H589" s="22"/>
      <c r="I589" s="24"/>
      <c r="J589" s="24"/>
      <c r="K589" s="24"/>
      <c r="L589" s="24"/>
      <c r="M589" s="27" t="str">
        <f t="shared" si="39"/>
        <v/>
      </c>
      <c r="N589" s="25"/>
      <c r="O589" s="22"/>
      <c r="P589" s="24"/>
      <c r="Q589" s="26"/>
    </row>
    <row r="590" spans="1:17" ht="15" x14ac:dyDescent="0.15">
      <c r="A590" s="22"/>
      <c r="B590" s="26" t="str">
        <f t="shared" si="36"/>
        <v/>
      </c>
      <c r="C590" s="26" t="str">
        <f t="shared" si="37"/>
        <v/>
      </c>
      <c r="D590" s="26" t="str">
        <f t="shared" si="38"/>
        <v/>
      </c>
      <c r="E590" s="29"/>
      <c r="F590" s="22"/>
      <c r="G590" s="22"/>
      <c r="H590" s="22"/>
      <c r="I590" s="24"/>
      <c r="J590" s="24"/>
      <c r="K590" s="24"/>
      <c r="L590" s="24"/>
      <c r="M590" s="27" t="str">
        <f t="shared" si="39"/>
        <v/>
      </c>
      <c r="N590" s="25"/>
      <c r="O590" s="22"/>
      <c r="P590" s="24"/>
      <c r="Q590" s="26"/>
    </row>
    <row r="591" spans="1:17" ht="15" x14ac:dyDescent="0.15">
      <c r="A591" s="22"/>
      <c r="B591" s="26" t="str">
        <f t="shared" si="36"/>
        <v/>
      </c>
      <c r="C591" s="26" t="str">
        <f t="shared" si="37"/>
        <v/>
      </c>
      <c r="D591" s="26" t="str">
        <f t="shared" si="38"/>
        <v/>
      </c>
      <c r="E591" s="29"/>
      <c r="F591" s="22"/>
      <c r="G591" s="22"/>
      <c r="H591" s="22"/>
      <c r="I591" s="24"/>
      <c r="J591" s="24"/>
      <c r="K591" s="24"/>
      <c r="L591" s="24"/>
      <c r="M591" s="27" t="str">
        <f t="shared" si="39"/>
        <v/>
      </c>
      <c r="N591" s="25"/>
      <c r="O591" s="22"/>
      <c r="P591" s="24"/>
      <c r="Q591" s="26"/>
    </row>
    <row r="592" spans="1:17" ht="15" x14ac:dyDescent="0.15">
      <c r="A592" s="22"/>
      <c r="B592" s="26" t="str">
        <f t="shared" si="36"/>
        <v/>
      </c>
      <c r="C592" s="26" t="str">
        <f t="shared" si="37"/>
        <v/>
      </c>
      <c r="D592" s="26" t="str">
        <f t="shared" si="38"/>
        <v/>
      </c>
      <c r="E592" s="29"/>
      <c r="F592" s="22"/>
      <c r="G592" s="22"/>
      <c r="H592" s="22"/>
      <c r="I592" s="24"/>
      <c r="J592" s="24"/>
      <c r="K592" s="24"/>
      <c r="L592" s="24"/>
      <c r="M592" s="27" t="str">
        <f t="shared" si="39"/>
        <v/>
      </c>
      <c r="N592" s="25"/>
      <c r="O592" s="22"/>
      <c r="P592" s="24"/>
      <c r="Q592" s="26"/>
    </row>
    <row r="593" spans="1:17" ht="15" x14ac:dyDescent="0.15">
      <c r="A593" s="22"/>
      <c r="B593" s="26" t="str">
        <f t="shared" si="36"/>
        <v/>
      </c>
      <c r="C593" s="26" t="str">
        <f t="shared" si="37"/>
        <v/>
      </c>
      <c r="D593" s="26" t="str">
        <f t="shared" si="38"/>
        <v/>
      </c>
      <c r="E593" s="29"/>
      <c r="F593" s="22"/>
      <c r="G593" s="22"/>
      <c r="H593" s="22"/>
      <c r="I593" s="24"/>
      <c r="J593" s="24"/>
      <c r="K593" s="24"/>
      <c r="L593" s="24"/>
      <c r="M593" s="27" t="str">
        <f t="shared" si="39"/>
        <v/>
      </c>
      <c r="N593" s="25"/>
      <c r="O593" s="22"/>
      <c r="P593" s="24"/>
      <c r="Q593" s="26"/>
    </row>
    <row r="594" spans="1:17" ht="15" x14ac:dyDescent="0.15">
      <c r="A594" s="22"/>
      <c r="B594" s="26" t="str">
        <f t="shared" si="36"/>
        <v/>
      </c>
      <c r="C594" s="26" t="str">
        <f t="shared" si="37"/>
        <v/>
      </c>
      <c r="D594" s="26" t="str">
        <f t="shared" si="38"/>
        <v/>
      </c>
      <c r="E594" s="29"/>
      <c r="F594" s="22"/>
      <c r="G594" s="22"/>
      <c r="H594" s="22"/>
      <c r="I594" s="24"/>
      <c r="J594" s="24"/>
      <c r="K594" s="24"/>
      <c r="L594" s="24"/>
      <c r="M594" s="27" t="str">
        <f t="shared" si="39"/>
        <v/>
      </c>
      <c r="N594" s="25"/>
      <c r="O594" s="22"/>
      <c r="P594" s="24"/>
      <c r="Q594" s="26"/>
    </row>
    <row r="595" spans="1:17" ht="15" x14ac:dyDescent="0.15">
      <c r="A595" s="22"/>
      <c r="B595" s="26" t="str">
        <f t="shared" si="36"/>
        <v/>
      </c>
      <c r="C595" s="26" t="str">
        <f t="shared" si="37"/>
        <v/>
      </c>
      <c r="D595" s="26" t="str">
        <f t="shared" si="38"/>
        <v/>
      </c>
      <c r="E595" s="29"/>
      <c r="F595" s="22"/>
      <c r="G595" s="22"/>
      <c r="H595" s="22"/>
      <c r="I595" s="24"/>
      <c r="J595" s="24"/>
      <c r="K595" s="24"/>
      <c r="L595" s="24"/>
      <c r="M595" s="27" t="str">
        <f t="shared" si="39"/>
        <v/>
      </c>
      <c r="N595" s="25"/>
      <c r="O595" s="22"/>
      <c r="P595" s="24"/>
      <c r="Q595" s="26"/>
    </row>
    <row r="596" spans="1:17" ht="15" x14ac:dyDescent="0.15">
      <c r="A596" s="22"/>
      <c r="B596" s="26" t="str">
        <f t="shared" si="36"/>
        <v/>
      </c>
      <c r="C596" s="26" t="str">
        <f t="shared" si="37"/>
        <v/>
      </c>
      <c r="D596" s="26" t="str">
        <f t="shared" si="38"/>
        <v/>
      </c>
      <c r="E596" s="29"/>
      <c r="F596" s="22"/>
      <c r="G596" s="22"/>
      <c r="H596" s="22"/>
      <c r="I596" s="24"/>
      <c r="J596" s="24"/>
      <c r="K596" s="24"/>
      <c r="L596" s="24"/>
      <c r="M596" s="27" t="str">
        <f t="shared" si="39"/>
        <v/>
      </c>
      <c r="N596" s="25"/>
      <c r="O596" s="22"/>
      <c r="P596" s="24"/>
      <c r="Q596" s="26"/>
    </row>
    <row r="597" spans="1:17" ht="15" x14ac:dyDescent="0.15">
      <c r="A597" s="22"/>
      <c r="B597" s="26" t="str">
        <f t="shared" si="36"/>
        <v/>
      </c>
      <c r="C597" s="26" t="str">
        <f t="shared" si="37"/>
        <v/>
      </c>
      <c r="D597" s="26" t="str">
        <f t="shared" si="38"/>
        <v/>
      </c>
      <c r="E597" s="29"/>
      <c r="F597" s="22"/>
      <c r="G597" s="22"/>
      <c r="H597" s="22"/>
      <c r="I597" s="24"/>
      <c r="J597" s="24"/>
      <c r="K597" s="24"/>
      <c r="L597" s="24"/>
      <c r="M597" s="27" t="str">
        <f t="shared" si="39"/>
        <v/>
      </c>
      <c r="N597" s="25"/>
      <c r="O597" s="22"/>
      <c r="P597" s="24"/>
      <c r="Q597" s="26"/>
    </row>
    <row r="598" spans="1:17" ht="15" x14ac:dyDescent="0.15">
      <c r="A598" s="22"/>
      <c r="B598" s="26" t="str">
        <f t="shared" si="36"/>
        <v/>
      </c>
      <c r="C598" s="26" t="str">
        <f t="shared" si="37"/>
        <v/>
      </c>
      <c r="D598" s="26" t="str">
        <f t="shared" si="38"/>
        <v/>
      </c>
      <c r="E598" s="29"/>
      <c r="F598" s="22"/>
      <c r="G598" s="22"/>
      <c r="H598" s="22"/>
      <c r="I598" s="24"/>
      <c r="J598" s="24"/>
      <c r="K598" s="24"/>
      <c r="L598" s="24"/>
      <c r="M598" s="27" t="str">
        <f t="shared" si="39"/>
        <v/>
      </c>
      <c r="N598" s="25"/>
      <c r="O598" s="22"/>
      <c r="P598" s="24"/>
      <c r="Q598" s="26"/>
    </row>
    <row r="599" spans="1:17" ht="15" x14ac:dyDescent="0.15">
      <c r="A599" s="22"/>
      <c r="B599" s="26" t="str">
        <f t="shared" si="36"/>
        <v/>
      </c>
      <c r="C599" s="26" t="str">
        <f t="shared" si="37"/>
        <v/>
      </c>
      <c r="D599" s="26" t="str">
        <f t="shared" si="38"/>
        <v/>
      </c>
      <c r="E599" s="29"/>
      <c r="F599" s="22"/>
      <c r="G599" s="22"/>
      <c r="H599" s="22"/>
      <c r="I599" s="24"/>
      <c r="J599" s="24"/>
      <c r="K599" s="24"/>
      <c r="L599" s="24"/>
      <c r="M599" s="27" t="str">
        <f t="shared" si="39"/>
        <v/>
      </c>
      <c r="N599" s="25"/>
      <c r="O599" s="22"/>
      <c r="P599" s="24"/>
      <c r="Q599" s="26"/>
    </row>
    <row r="600" spans="1:17" ht="15" x14ac:dyDescent="0.15">
      <c r="A600" s="22"/>
      <c r="B600" s="26" t="str">
        <f t="shared" si="36"/>
        <v/>
      </c>
      <c r="C600" s="26" t="str">
        <f t="shared" si="37"/>
        <v/>
      </c>
      <c r="D600" s="26" t="str">
        <f t="shared" si="38"/>
        <v/>
      </c>
      <c r="E600" s="29"/>
      <c r="F600" s="22"/>
      <c r="G600" s="22"/>
      <c r="H600" s="22"/>
      <c r="I600" s="24"/>
      <c r="J600" s="24"/>
      <c r="K600" s="24"/>
      <c r="L600" s="24"/>
      <c r="M600" s="27" t="str">
        <f t="shared" si="39"/>
        <v/>
      </c>
      <c r="N600" s="25"/>
      <c r="O600" s="22"/>
      <c r="P600" s="24"/>
      <c r="Q600" s="26"/>
    </row>
    <row r="601" spans="1:17" ht="15" x14ac:dyDescent="0.15">
      <c r="A601" s="22"/>
      <c r="B601" s="26" t="str">
        <f t="shared" si="36"/>
        <v/>
      </c>
      <c r="C601" s="26" t="str">
        <f t="shared" si="37"/>
        <v/>
      </c>
      <c r="D601" s="26" t="str">
        <f t="shared" si="38"/>
        <v/>
      </c>
      <c r="E601" s="29"/>
      <c r="F601" s="22"/>
      <c r="G601" s="22"/>
      <c r="H601" s="22"/>
      <c r="I601" s="24"/>
      <c r="J601" s="24"/>
      <c r="K601" s="24"/>
      <c r="L601" s="24"/>
      <c r="M601" s="27" t="str">
        <f t="shared" si="39"/>
        <v/>
      </c>
      <c r="N601" s="25"/>
      <c r="O601" s="22"/>
      <c r="P601" s="24"/>
      <c r="Q601" s="26"/>
    </row>
    <row r="602" spans="1:17" ht="15" x14ac:dyDescent="0.15">
      <c r="A602" s="22"/>
      <c r="B602" s="26" t="str">
        <f t="shared" si="36"/>
        <v/>
      </c>
      <c r="C602" s="26" t="str">
        <f t="shared" si="37"/>
        <v/>
      </c>
      <c r="D602" s="26" t="str">
        <f t="shared" si="38"/>
        <v/>
      </c>
      <c r="E602" s="29"/>
      <c r="F602" s="22"/>
      <c r="G602" s="22"/>
      <c r="H602" s="22"/>
      <c r="I602" s="24"/>
      <c r="J602" s="24"/>
      <c r="K602" s="24"/>
      <c r="L602" s="24"/>
      <c r="M602" s="27" t="str">
        <f t="shared" si="39"/>
        <v/>
      </c>
      <c r="N602" s="25"/>
      <c r="O602" s="22"/>
      <c r="P602" s="24"/>
      <c r="Q602" s="26"/>
    </row>
    <row r="603" spans="1:17" ht="15" x14ac:dyDescent="0.15">
      <c r="A603" s="22"/>
      <c r="B603" s="26" t="str">
        <f t="shared" si="36"/>
        <v/>
      </c>
      <c r="C603" s="26" t="str">
        <f t="shared" si="37"/>
        <v/>
      </c>
      <c r="D603" s="26" t="str">
        <f t="shared" si="38"/>
        <v/>
      </c>
      <c r="E603" s="29"/>
      <c r="F603" s="22"/>
      <c r="G603" s="22"/>
      <c r="H603" s="22"/>
      <c r="I603" s="24"/>
      <c r="J603" s="24"/>
      <c r="K603" s="24"/>
      <c r="L603" s="24"/>
      <c r="M603" s="27" t="str">
        <f t="shared" si="39"/>
        <v/>
      </c>
      <c r="N603" s="25"/>
      <c r="O603" s="22"/>
      <c r="P603" s="24"/>
      <c r="Q603" s="26"/>
    </row>
    <row r="604" spans="1:17" ht="15" x14ac:dyDescent="0.15">
      <c r="A604" s="22"/>
      <c r="B604" s="26" t="str">
        <f t="shared" si="36"/>
        <v/>
      </c>
      <c r="C604" s="26" t="str">
        <f t="shared" si="37"/>
        <v/>
      </c>
      <c r="D604" s="26" t="str">
        <f t="shared" si="38"/>
        <v/>
      </c>
      <c r="E604" s="29"/>
      <c r="F604" s="22"/>
      <c r="G604" s="22"/>
      <c r="H604" s="22"/>
      <c r="I604" s="24"/>
      <c r="J604" s="24"/>
      <c r="K604" s="24"/>
      <c r="L604" s="24"/>
      <c r="M604" s="27" t="str">
        <f t="shared" si="39"/>
        <v/>
      </c>
      <c r="N604" s="25"/>
      <c r="O604" s="22"/>
      <c r="P604" s="24"/>
      <c r="Q604" s="26"/>
    </row>
    <row r="605" spans="1:17" ht="15" x14ac:dyDescent="0.15">
      <c r="A605" s="22"/>
      <c r="B605" s="26" t="str">
        <f t="shared" si="36"/>
        <v/>
      </c>
      <c r="C605" s="26" t="str">
        <f t="shared" si="37"/>
        <v/>
      </c>
      <c r="D605" s="26" t="str">
        <f t="shared" si="38"/>
        <v/>
      </c>
      <c r="E605" s="29"/>
      <c r="F605" s="22"/>
      <c r="G605" s="22"/>
      <c r="H605" s="22"/>
      <c r="I605" s="24"/>
      <c r="J605" s="24"/>
      <c r="K605" s="24"/>
      <c r="L605" s="24"/>
      <c r="M605" s="27" t="str">
        <f t="shared" si="39"/>
        <v/>
      </c>
      <c r="N605" s="25"/>
      <c r="O605" s="22"/>
      <c r="P605" s="24"/>
      <c r="Q605" s="26"/>
    </row>
    <row r="606" spans="1:17" ht="15" x14ac:dyDescent="0.15">
      <c r="A606" s="22"/>
      <c r="B606" s="26" t="str">
        <f t="shared" si="36"/>
        <v/>
      </c>
      <c r="C606" s="26" t="str">
        <f t="shared" si="37"/>
        <v/>
      </c>
      <c r="D606" s="26" t="str">
        <f t="shared" si="38"/>
        <v/>
      </c>
      <c r="E606" s="29"/>
      <c r="F606" s="22"/>
      <c r="G606" s="22"/>
      <c r="H606" s="22"/>
      <c r="I606" s="24"/>
      <c r="J606" s="24"/>
      <c r="K606" s="24"/>
      <c r="L606" s="24"/>
      <c r="M606" s="27" t="str">
        <f t="shared" si="39"/>
        <v/>
      </c>
      <c r="N606" s="25"/>
      <c r="O606" s="22"/>
      <c r="P606" s="24"/>
      <c r="Q606" s="26"/>
    </row>
    <row r="607" spans="1:17" ht="15" x14ac:dyDescent="0.15">
      <c r="A607" s="22"/>
      <c r="B607" s="26" t="str">
        <f t="shared" si="36"/>
        <v/>
      </c>
      <c r="C607" s="26" t="str">
        <f t="shared" si="37"/>
        <v/>
      </c>
      <c r="D607" s="26" t="str">
        <f t="shared" si="38"/>
        <v/>
      </c>
      <c r="E607" s="29"/>
      <c r="F607" s="22"/>
      <c r="G607" s="22"/>
      <c r="H607" s="22"/>
      <c r="I607" s="24"/>
      <c r="J607" s="24"/>
      <c r="K607" s="24"/>
      <c r="L607" s="24"/>
      <c r="M607" s="27" t="str">
        <f t="shared" si="39"/>
        <v/>
      </c>
      <c r="N607" s="25"/>
      <c r="O607" s="22"/>
      <c r="P607" s="24"/>
      <c r="Q607" s="26"/>
    </row>
    <row r="608" spans="1:17" ht="15" x14ac:dyDescent="0.15">
      <c r="A608" s="22"/>
      <c r="B608" s="26" t="str">
        <f t="shared" si="36"/>
        <v/>
      </c>
      <c r="C608" s="26" t="str">
        <f t="shared" si="37"/>
        <v/>
      </c>
      <c r="D608" s="26" t="str">
        <f t="shared" si="38"/>
        <v/>
      </c>
      <c r="E608" s="29"/>
      <c r="F608" s="22"/>
      <c r="G608" s="22"/>
      <c r="H608" s="22"/>
      <c r="I608" s="24"/>
      <c r="J608" s="24"/>
      <c r="K608" s="24"/>
      <c r="L608" s="24"/>
      <c r="M608" s="27" t="str">
        <f t="shared" si="39"/>
        <v/>
      </c>
      <c r="N608" s="25"/>
      <c r="O608" s="22"/>
      <c r="P608" s="24"/>
      <c r="Q608" s="26"/>
    </row>
    <row r="609" spans="1:17" ht="15" x14ac:dyDescent="0.15">
      <c r="A609" s="22"/>
      <c r="B609" s="26" t="str">
        <f t="shared" si="36"/>
        <v/>
      </c>
      <c r="C609" s="26" t="str">
        <f t="shared" si="37"/>
        <v/>
      </c>
      <c r="D609" s="26" t="str">
        <f t="shared" si="38"/>
        <v/>
      </c>
      <c r="E609" s="29"/>
      <c r="F609" s="22"/>
      <c r="G609" s="22"/>
      <c r="H609" s="22"/>
      <c r="I609" s="24"/>
      <c r="J609" s="24"/>
      <c r="K609" s="24"/>
      <c r="L609" s="24"/>
      <c r="M609" s="27" t="str">
        <f t="shared" si="39"/>
        <v/>
      </c>
      <c r="N609" s="25"/>
      <c r="O609" s="22"/>
      <c r="P609" s="24"/>
      <c r="Q609" s="26"/>
    </row>
    <row r="610" spans="1:17" ht="15" x14ac:dyDescent="0.15">
      <c r="A610" s="22"/>
      <c r="B610" s="26" t="str">
        <f t="shared" si="36"/>
        <v/>
      </c>
      <c r="C610" s="26" t="str">
        <f t="shared" si="37"/>
        <v/>
      </c>
      <c r="D610" s="26" t="str">
        <f t="shared" si="38"/>
        <v/>
      </c>
      <c r="E610" s="29"/>
      <c r="F610" s="22"/>
      <c r="G610" s="22"/>
      <c r="H610" s="22"/>
      <c r="I610" s="24"/>
      <c r="J610" s="24"/>
      <c r="K610" s="24"/>
      <c r="L610" s="24"/>
      <c r="M610" s="27" t="str">
        <f t="shared" si="39"/>
        <v/>
      </c>
      <c r="N610" s="25"/>
      <c r="O610" s="22"/>
      <c r="P610" s="24"/>
      <c r="Q610" s="26"/>
    </row>
    <row r="611" spans="1:17" ht="15" x14ac:dyDescent="0.15">
      <c r="A611" s="22"/>
      <c r="B611" s="26" t="str">
        <f t="shared" si="36"/>
        <v/>
      </c>
      <c r="C611" s="26" t="str">
        <f t="shared" si="37"/>
        <v/>
      </c>
      <c r="D611" s="26" t="str">
        <f t="shared" si="38"/>
        <v/>
      </c>
      <c r="E611" s="29"/>
      <c r="F611" s="22"/>
      <c r="G611" s="22"/>
      <c r="H611" s="22"/>
      <c r="I611" s="24"/>
      <c r="J611" s="24"/>
      <c r="K611" s="24"/>
      <c r="L611" s="24"/>
      <c r="M611" s="27" t="str">
        <f t="shared" si="39"/>
        <v/>
      </c>
      <c r="N611" s="25"/>
      <c r="O611" s="22"/>
      <c r="P611" s="24"/>
      <c r="Q611" s="26"/>
    </row>
    <row r="612" spans="1:17" ht="15" x14ac:dyDescent="0.15">
      <c r="A612" s="22"/>
      <c r="B612" s="26" t="str">
        <f t="shared" si="36"/>
        <v/>
      </c>
      <c r="C612" s="26" t="str">
        <f t="shared" si="37"/>
        <v/>
      </c>
      <c r="D612" s="26" t="str">
        <f t="shared" si="38"/>
        <v/>
      </c>
      <c r="E612" s="29"/>
      <c r="F612" s="22"/>
      <c r="G612" s="22"/>
      <c r="H612" s="22"/>
      <c r="I612" s="24"/>
      <c r="J612" s="24"/>
      <c r="K612" s="24"/>
      <c r="L612" s="24"/>
      <c r="M612" s="27" t="str">
        <f t="shared" si="39"/>
        <v/>
      </c>
      <c r="N612" s="25"/>
      <c r="O612" s="22"/>
      <c r="P612" s="24"/>
      <c r="Q612" s="26"/>
    </row>
    <row r="613" spans="1:17" ht="15" x14ac:dyDescent="0.15">
      <c r="A613" s="22"/>
      <c r="B613" s="26" t="str">
        <f t="shared" si="36"/>
        <v/>
      </c>
      <c r="C613" s="26" t="str">
        <f t="shared" si="37"/>
        <v/>
      </c>
      <c r="D613" s="26" t="str">
        <f t="shared" si="38"/>
        <v/>
      </c>
      <c r="E613" s="29"/>
      <c r="F613" s="22"/>
      <c r="G613" s="22"/>
      <c r="H613" s="22"/>
      <c r="I613" s="24"/>
      <c r="J613" s="24"/>
      <c r="K613" s="24"/>
      <c r="L613" s="24"/>
      <c r="M613" s="27" t="str">
        <f t="shared" si="39"/>
        <v/>
      </c>
      <c r="N613" s="25"/>
      <c r="O613" s="22"/>
      <c r="P613" s="24"/>
      <c r="Q613" s="26"/>
    </row>
    <row r="614" spans="1:17" ht="15" x14ac:dyDescent="0.15">
      <c r="A614" s="22"/>
      <c r="B614" s="26" t="str">
        <f t="shared" si="36"/>
        <v/>
      </c>
      <c r="C614" s="26" t="str">
        <f t="shared" si="37"/>
        <v/>
      </c>
      <c r="D614" s="26" t="str">
        <f t="shared" si="38"/>
        <v/>
      </c>
      <c r="E614" s="29"/>
      <c r="F614" s="22"/>
      <c r="G614" s="22"/>
      <c r="H614" s="22"/>
      <c r="I614" s="24"/>
      <c r="J614" s="24"/>
      <c r="K614" s="24"/>
      <c r="L614" s="24"/>
      <c r="M614" s="27" t="str">
        <f t="shared" si="39"/>
        <v/>
      </c>
      <c r="N614" s="25"/>
      <c r="O614" s="22"/>
      <c r="P614" s="24"/>
      <c r="Q614" s="26"/>
    </row>
    <row r="615" spans="1:17" ht="15" x14ac:dyDescent="0.15">
      <c r="A615" s="22"/>
      <c r="B615" s="26" t="str">
        <f t="shared" si="36"/>
        <v/>
      </c>
      <c r="C615" s="26" t="str">
        <f t="shared" si="37"/>
        <v/>
      </c>
      <c r="D615" s="26" t="str">
        <f t="shared" si="38"/>
        <v/>
      </c>
      <c r="E615" s="29"/>
      <c r="F615" s="22"/>
      <c r="G615" s="22"/>
      <c r="H615" s="22"/>
      <c r="I615" s="24"/>
      <c r="J615" s="24"/>
      <c r="K615" s="24"/>
      <c r="L615" s="24"/>
      <c r="M615" s="27" t="str">
        <f t="shared" si="39"/>
        <v/>
      </c>
      <c r="N615" s="25"/>
      <c r="O615" s="22"/>
      <c r="P615" s="24"/>
      <c r="Q615" s="26"/>
    </row>
    <row r="616" spans="1:17" ht="15" x14ac:dyDescent="0.15">
      <c r="A616" s="22"/>
      <c r="B616" s="26" t="str">
        <f t="shared" si="36"/>
        <v/>
      </c>
      <c r="C616" s="26" t="str">
        <f t="shared" si="37"/>
        <v/>
      </c>
      <c r="D616" s="26" t="str">
        <f t="shared" si="38"/>
        <v/>
      </c>
      <c r="E616" s="29"/>
      <c r="F616" s="22"/>
      <c r="G616" s="22"/>
      <c r="H616" s="22"/>
      <c r="I616" s="24"/>
      <c r="J616" s="24"/>
      <c r="K616" s="24"/>
      <c r="L616" s="24"/>
      <c r="M616" s="27" t="str">
        <f t="shared" si="39"/>
        <v/>
      </c>
      <c r="N616" s="25"/>
      <c r="O616" s="22"/>
      <c r="P616" s="24"/>
      <c r="Q616" s="26"/>
    </row>
    <row r="617" spans="1:17" ht="15" x14ac:dyDescent="0.15">
      <c r="A617" s="22"/>
      <c r="B617" s="26" t="str">
        <f t="shared" si="36"/>
        <v/>
      </c>
      <c r="C617" s="26" t="str">
        <f t="shared" si="37"/>
        <v/>
      </c>
      <c r="D617" s="26" t="str">
        <f t="shared" si="38"/>
        <v/>
      </c>
      <c r="E617" s="29"/>
      <c r="F617" s="22"/>
      <c r="G617" s="22"/>
      <c r="H617" s="22"/>
      <c r="I617" s="24"/>
      <c r="J617" s="24"/>
      <c r="K617" s="24"/>
      <c r="L617" s="24"/>
      <c r="M617" s="27" t="str">
        <f t="shared" si="39"/>
        <v/>
      </c>
      <c r="N617" s="25"/>
      <c r="O617" s="22"/>
      <c r="P617" s="24"/>
      <c r="Q617" s="26"/>
    </row>
    <row r="618" spans="1:17" ht="15" x14ac:dyDescent="0.15">
      <c r="A618" s="22"/>
      <c r="B618" s="26" t="str">
        <f t="shared" si="36"/>
        <v/>
      </c>
      <c r="C618" s="26" t="str">
        <f t="shared" si="37"/>
        <v/>
      </c>
      <c r="D618" s="26" t="str">
        <f t="shared" si="38"/>
        <v/>
      </c>
      <c r="E618" s="29"/>
      <c r="F618" s="22"/>
      <c r="G618" s="22"/>
      <c r="H618" s="22"/>
      <c r="I618" s="24"/>
      <c r="J618" s="24"/>
      <c r="K618" s="24"/>
      <c r="L618" s="24"/>
      <c r="M618" s="27" t="str">
        <f t="shared" si="39"/>
        <v/>
      </c>
      <c r="N618" s="25"/>
      <c r="O618" s="22"/>
      <c r="P618" s="24"/>
      <c r="Q618" s="26"/>
    </row>
    <row r="619" spans="1:17" ht="15" x14ac:dyDescent="0.15">
      <c r="A619" s="22"/>
      <c r="B619" s="26" t="str">
        <f t="shared" si="36"/>
        <v/>
      </c>
      <c r="C619" s="26" t="str">
        <f t="shared" si="37"/>
        <v/>
      </c>
      <c r="D619" s="26" t="str">
        <f t="shared" si="38"/>
        <v/>
      </c>
      <c r="E619" s="29"/>
      <c r="F619" s="22"/>
      <c r="G619" s="22"/>
      <c r="H619" s="22"/>
      <c r="I619" s="24"/>
      <c r="J619" s="24"/>
      <c r="K619" s="24"/>
      <c r="L619" s="24"/>
      <c r="M619" s="27" t="str">
        <f t="shared" si="39"/>
        <v/>
      </c>
      <c r="N619" s="25"/>
      <c r="O619" s="22"/>
      <c r="P619" s="24"/>
      <c r="Q619" s="26"/>
    </row>
    <row r="620" spans="1:17" ht="15" x14ac:dyDescent="0.15">
      <c r="A620" s="22"/>
      <c r="B620" s="26" t="str">
        <f t="shared" si="36"/>
        <v/>
      </c>
      <c r="C620" s="26" t="str">
        <f t="shared" si="37"/>
        <v/>
      </c>
      <c r="D620" s="26" t="str">
        <f t="shared" si="38"/>
        <v/>
      </c>
      <c r="E620" s="29"/>
      <c r="F620" s="22"/>
      <c r="G620" s="22"/>
      <c r="H620" s="22"/>
      <c r="I620" s="24"/>
      <c r="J620" s="24"/>
      <c r="K620" s="24"/>
      <c r="L620" s="24"/>
      <c r="M620" s="27" t="str">
        <f t="shared" si="39"/>
        <v/>
      </c>
      <c r="N620" s="25"/>
      <c r="O620" s="22"/>
      <c r="P620" s="24"/>
      <c r="Q620" s="26"/>
    </row>
    <row r="621" spans="1:17" ht="15" x14ac:dyDescent="0.15">
      <c r="A621" s="22"/>
      <c r="B621" s="26" t="str">
        <f t="shared" si="36"/>
        <v/>
      </c>
      <c r="C621" s="26" t="str">
        <f t="shared" si="37"/>
        <v/>
      </c>
      <c r="D621" s="26" t="str">
        <f t="shared" si="38"/>
        <v/>
      </c>
      <c r="E621" s="29"/>
      <c r="F621" s="22"/>
      <c r="G621" s="22"/>
      <c r="H621" s="22"/>
      <c r="I621" s="24"/>
      <c r="J621" s="24"/>
      <c r="K621" s="24"/>
      <c r="L621" s="24"/>
      <c r="M621" s="27" t="str">
        <f t="shared" si="39"/>
        <v/>
      </c>
      <c r="N621" s="25"/>
      <c r="O621" s="22"/>
      <c r="P621" s="24"/>
      <c r="Q621" s="26"/>
    </row>
    <row r="622" spans="1:17" ht="15" x14ac:dyDescent="0.15">
      <c r="A622" s="22"/>
      <c r="B622" s="26" t="str">
        <f t="shared" si="36"/>
        <v/>
      </c>
      <c r="C622" s="26" t="str">
        <f t="shared" si="37"/>
        <v/>
      </c>
      <c r="D622" s="26" t="str">
        <f t="shared" si="38"/>
        <v/>
      </c>
      <c r="E622" s="29"/>
      <c r="F622" s="22"/>
      <c r="G622" s="22"/>
      <c r="H622" s="22"/>
      <c r="I622" s="24"/>
      <c r="J622" s="24"/>
      <c r="K622" s="24"/>
      <c r="L622" s="24"/>
      <c r="M622" s="27" t="str">
        <f t="shared" si="39"/>
        <v/>
      </c>
      <c r="N622" s="25"/>
      <c r="O622" s="22"/>
      <c r="P622" s="24"/>
      <c r="Q622" s="26"/>
    </row>
    <row r="623" spans="1:17" ht="15" x14ac:dyDescent="0.15">
      <c r="A623" s="22"/>
      <c r="B623" s="26" t="str">
        <f t="shared" si="36"/>
        <v/>
      </c>
      <c r="C623" s="26" t="str">
        <f t="shared" si="37"/>
        <v/>
      </c>
      <c r="D623" s="26" t="str">
        <f t="shared" si="38"/>
        <v/>
      </c>
      <c r="E623" s="29"/>
      <c r="F623" s="22"/>
      <c r="G623" s="22"/>
      <c r="H623" s="22"/>
      <c r="I623" s="24"/>
      <c r="J623" s="24"/>
      <c r="K623" s="24"/>
      <c r="L623" s="24"/>
      <c r="M623" s="27" t="str">
        <f t="shared" si="39"/>
        <v/>
      </c>
      <c r="N623" s="25"/>
      <c r="O623" s="22"/>
      <c r="P623" s="24"/>
      <c r="Q623" s="26"/>
    </row>
    <row r="624" spans="1:17" ht="15" x14ac:dyDescent="0.15">
      <c r="A624" s="22"/>
      <c r="B624" s="26" t="str">
        <f t="shared" si="36"/>
        <v/>
      </c>
      <c r="C624" s="26" t="str">
        <f t="shared" si="37"/>
        <v/>
      </c>
      <c r="D624" s="26" t="str">
        <f t="shared" si="38"/>
        <v/>
      </c>
      <c r="E624" s="29"/>
      <c r="F624" s="22"/>
      <c r="G624" s="22"/>
      <c r="H624" s="22"/>
      <c r="I624" s="24"/>
      <c r="J624" s="24"/>
      <c r="K624" s="24"/>
      <c r="L624" s="24"/>
      <c r="M624" s="27" t="str">
        <f t="shared" si="39"/>
        <v/>
      </c>
      <c r="N624" s="25"/>
      <c r="O624" s="22"/>
      <c r="P624" s="24"/>
      <c r="Q624" s="26"/>
    </row>
    <row r="625" spans="1:17" ht="15" x14ac:dyDescent="0.15">
      <c r="A625" s="22"/>
      <c r="B625" s="26" t="str">
        <f t="shared" si="36"/>
        <v/>
      </c>
      <c r="C625" s="26" t="str">
        <f t="shared" si="37"/>
        <v/>
      </c>
      <c r="D625" s="26" t="str">
        <f t="shared" si="38"/>
        <v/>
      </c>
      <c r="E625" s="29"/>
      <c r="F625" s="22"/>
      <c r="G625" s="22"/>
      <c r="H625" s="22"/>
      <c r="I625" s="24"/>
      <c r="J625" s="24"/>
      <c r="K625" s="24"/>
      <c r="L625" s="24"/>
      <c r="M625" s="27" t="str">
        <f t="shared" si="39"/>
        <v/>
      </c>
      <c r="N625" s="25"/>
      <c r="O625" s="22"/>
      <c r="P625" s="24"/>
      <c r="Q625" s="26"/>
    </row>
    <row r="626" spans="1:17" ht="15" x14ac:dyDescent="0.15">
      <c r="A626" s="22"/>
      <c r="B626" s="26" t="str">
        <f t="shared" si="36"/>
        <v/>
      </c>
      <c r="C626" s="26" t="str">
        <f t="shared" si="37"/>
        <v/>
      </c>
      <c r="D626" s="26" t="str">
        <f t="shared" si="38"/>
        <v/>
      </c>
      <c r="E626" s="29"/>
      <c r="F626" s="22"/>
      <c r="G626" s="22"/>
      <c r="H626" s="22"/>
      <c r="I626" s="24"/>
      <c r="J626" s="24"/>
      <c r="K626" s="24"/>
      <c r="L626" s="24"/>
      <c r="M626" s="27" t="str">
        <f t="shared" si="39"/>
        <v/>
      </c>
      <c r="N626" s="25"/>
      <c r="O626" s="22"/>
      <c r="P626" s="24"/>
      <c r="Q626" s="26"/>
    </row>
    <row r="627" spans="1:17" ht="15" x14ac:dyDescent="0.15">
      <c r="A627" s="22"/>
      <c r="B627" s="26" t="str">
        <f t="shared" si="36"/>
        <v/>
      </c>
      <c r="C627" s="26" t="str">
        <f t="shared" si="37"/>
        <v/>
      </c>
      <c r="D627" s="26" t="str">
        <f t="shared" si="38"/>
        <v/>
      </c>
      <c r="E627" s="29"/>
      <c r="F627" s="22"/>
      <c r="G627" s="22"/>
      <c r="H627" s="22"/>
      <c r="I627" s="24"/>
      <c r="J627" s="24"/>
      <c r="K627" s="24"/>
      <c r="L627" s="24"/>
      <c r="M627" s="27" t="str">
        <f t="shared" si="39"/>
        <v/>
      </c>
      <c r="N627" s="25"/>
      <c r="O627" s="22"/>
      <c r="P627" s="24"/>
      <c r="Q627" s="26"/>
    </row>
    <row r="628" spans="1:17" ht="15" x14ac:dyDescent="0.15">
      <c r="A628" s="22"/>
      <c r="B628" s="26" t="str">
        <f t="shared" si="36"/>
        <v/>
      </c>
      <c r="C628" s="26" t="str">
        <f t="shared" si="37"/>
        <v/>
      </c>
      <c r="D628" s="26" t="str">
        <f t="shared" si="38"/>
        <v/>
      </c>
      <c r="E628" s="29"/>
      <c r="F628" s="22"/>
      <c r="G628" s="22"/>
      <c r="H628" s="22"/>
      <c r="I628" s="24"/>
      <c r="J628" s="24"/>
      <c r="K628" s="24"/>
      <c r="L628" s="24"/>
      <c r="M628" s="27" t="str">
        <f t="shared" si="39"/>
        <v/>
      </c>
      <c r="N628" s="25"/>
      <c r="O628" s="22"/>
      <c r="P628" s="24"/>
      <c r="Q628" s="26"/>
    </row>
    <row r="629" spans="1:17" ht="15" x14ac:dyDescent="0.15">
      <c r="A629" s="22"/>
      <c r="B629" s="26" t="str">
        <f t="shared" si="36"/>
        <v/>
      </c>
      <c r="C629" s="26" t="str">
        <f t="shared" si="37"/>
        <v/>
      </c>
      <c r="D629" s="26" t="str">
        <f t="shared" si="38"/>
        <v/>
      </c>
      <c r="E629" s="29"/>
      <c r="F629" s="22"/>
      <c r="G629" s="22"/>
      <c r="H629" s="22"/>
      <c r="I629" s="24"/>
      <c r="J629" s="24"/>
      <c r="K629" s="24"/>
      <c r="L629" s="24"/>
      <c r="M629" s="27" t="str">
        <f t="shared" si="39"/>
        <v/>
      </c>
      <c r="N629" s="25"/>
      <c r="O629" s="22"/>
      <c r="P629" s="24"/>
      <c r="Q629" s="26"/>
    </row>
    <row r="630" spans="1:17" ht="15" x14ac:dyDescent="0.15">
      <c r="A630" s="22"/>
      <c r="B630" s="26" t="str">
        <f t="shared" si="36"/>
        <v/>
      </c>
      <c r="C630" s="26" t="str">
        <f t="shared" si="37"/>
        <v/>
      </c>
      <c r="D630" s="26" t="str">
        <f t="shared" si="38"/>
        <v/>
      </c>
      <c r="E630" s="29"/>
      <c r="F630" s="22"/>
      <c r="G630" s="22"/>
      <c r="H630" s="22"/>
      <c r="I630" s="24"/>
      <c r="J630" s="24"/>
      <c r="K630" s="24"/>
      <c r="L630" s="24"/>
      <c r="M630" s="27" t="str">
        <f t="shared" si="39"/>
        <v/>
      </c>
      <c r="N630" s="25"/>
      <c r="O630" s="22"/>
      <c r="P630" s="24"/>
      <c r="Q630" s="26"/>
    </row>
    <row r="631" spans="1:17" ht="15" x14ac:dyDescent="0.15">
      <c r="A631" s="22"/>
      <c r="B631" s="26" t="str">
        <f t="shared" si="36"/>
        <v/>
      </c>
      <c r="C631" s="26" t="str">
        <f t="shared" si="37"/>
        <v/>
      </c>
      <c r="D631" s="26" t="str">
        <f t="shared" si="38"/>
        <v/>
      </c>
      <c r="E631" s="29"/>
      <c r="F631" s="22"/>
      <c r="G631" s="22"/>
      <c r="H631" s="22"/>
      <c r="I631" s="24"/>
      <c r="J631" s="24"/>
      <c r="K631" s="24"/>
      <c r="L631" s="24"/>
      <c r="M631" s="27" t="str">
        <f t="shared" si="39"/>
        <v/>
      </c>
      <c r="N631" s="25"/>
      <c r="O631" s="22"/>
      <c r="P631" s="24"/>
      <c r="Q631" s="26"/>
    </row>
    <row r="632" spans="1:17" ht="15" x14ac:dyDescent="0.15">
      <c r="A632" s="22"/>
      <c r="B632" s="26" t="str">
        <f t="shared" si="36"/>
        <v/>
      </c>
      <c r="C632" s="26" t="str">
        <f t="shared" si="37"/>
        <v/>
      </c>
      <c r="D632" s="26" t="str">
        <f t="shared" si="38"/>
        <v/>
      </c>
      <c r="E632" s="29"/>
      <c r="F632" s="22"/>
      <c r="G632" s="22"/>
      <c r="H632" s="22"/>
      <c r="I632" s="24"/>
      <c r="J632" s="24"/>
      <c r="K632" s="24"/>
      <c r="L632" s="24"/>
      <c r="M632" s="27" t="str">
        <f t="shared" si="39"/>
        <v/>
      </c>
      <c r="N632" s="25"/>
      <c r="O632" s="22"/>
      <c r="P632" s="24"/>
      <c r="Q632" s="26"/>
    </row>
    <row r="633" spans="1:17" ht="15" x14ac:dyDescent="0.15">
      <c r="A633" s="22"/>
      <c r="B633" s="26" t="str">
        <f t="shared" si="36"/>
        <v/>
      </c>
      <c r="C633" s="26" t="str">
        <f t="shared" si="37"/>
        <v/>
      </c>
      <c r="D633" s="26" t="str">
        <f t="shared" si="38"/>
        <v/>
      </c>
      <c r="E633" s="29"/>
      <c r="F633" s="22"/>
      <c r="G633" s="22"/>
      <c r="H633" s="22"/>
      <c r="I633" s="24"/>
      <c r="J633" s="24"/>
      <c r="K633" s="24"/>
      <c r="L633" s="24"/>
      <c r="M633" s="27" t="str">
        <f t="shared" si="39"/>
        <v/>
      </c>
      <c r="N633" s="25"/>
      <c r="O633" s="22"/>
      <c r="P633" s="24"/>
      <c r="Q633" s="26"/>
    </row>
    <row r="634" spans="1:17" ht="15" x14ac:dyDescent="0.15">
      <c r="A634" s="22"/>
      <c r="B634" s="26" t="str">
        <f t="shared" si="36"/>
        <v/>
      </c>
      <c r="C634" s="26" t="str">
        <f t="shared" si="37"/>
        <v/>
      </c>
      <c r="D634" s="26" t="str">
        <f t="shared" si="38"/>
        <v/>
      </c>
      <c r="E634" s="29"/>
      <c r="F634" s="22"/>
      <c r="G634" s="22"/>
      <c r="H634" s="22"/>
      <c r="I634" s="24"/>
      <c r="J634" s="24"/>
      <c r="K634" s="24"/>
      <c r="L634" s="24"/>
      <c r="M634" s="27" t="str">
        <f t="shared" si="39"/>
        <v/>
      </c>
      <c r="N634" s="25"/>
      <c r="O634" s="22"/>
      <c r="P634" s="24"/>
      <c r="Q634" s="26"/>
    </row>
    <row r="635" spans="1:17" ht="15" x14ac:dyDescent="0.15">
      <c r="A635" s="22"/>
      <c r="B635" s="26" t="str">
        <f t="shared" si="36"/>
        <v/>
      </c>
      <c r="C635" s="26" t="str">
        <f t="shared" si="37"/>
        <v/>
      </c>
      <c r="D635" s="26" t="str">
        <f t="shared" si="38"/>
        <v/>
      </c>
      <c r="E635" s="29"/>
      <c r="F635" s="22"/>
      <c r="G635" s="22"/>
      <c r="H635" s="22"/>
      <c r="I635" s="24"/>
      <c r="J635" s="24"/>
      <c r="K635" s="24"/>
      <c r="L635" s="24"/>
      <c r="M635" s="27" t="str">
        <f t="shared" si="39"/>
        <v/>
      </c>
      <c r="N635" s="25"/>
      <c r="O635" s="22"/>
      <c r="P635" s="24"/>
      <c r="Q635" s="26"/>
    </row>
    <row r="636" spans="1:17" ht="15" x14ac:dyDescent="0.15">
      <c r="A636" s="22"/>
      <c r="B636" s="26" t="str">
        <f t="shared" si="36"/>
        <v/>
      </c>
      <c r="C636" s="26" t="str">
        <f t="shared" si="37"/>
        <v/>
      </c>
      <c r="D636" s="26" t="str">
        <f t="shared" si="38"/>
        <v/>
      </c>
      <c r="E636" s="29"/>
      <c r="F636" s="22"/>
      <c r="G636" s="22"/>
      <c r="H636" s="22"/>
      <c r="I636" s="24"/>
      <c r="J636" s="24"/>
      <c r="K636" s="24"/>
      <c r="L636" s="24"/>
      <c r="M636" s="27" t="str">
        <f t="shared" si="39"/>
        <v/>
      </c>
      <c r="N636" s="25"/>
      <c r="O636" s="22"/>
      <c r="P636" s="24"/>
      <c r="Q636" s="26"/>
    </row>
    <row r="637" spans="1:17" ht="15" x14ac:dyDescent="0.15">
      <c r="A637" s="22"/>
      <c r="B637" s="26" t="str">
        <f t="shared" si="36"/>
        <v/>
      </c>
      <c r="C637" s="26" t="str">
        <f t="shared" si="37"/>
        <v/>
      </c>
      <c r="D637" s="26" t="str">
        <f t="shared" si="38"/>
        <v/>
      </c>
      <c r="E637" s="29"/>
      <c r="F637" s="22"/>
      <c r="G637" s="22"/>
      <c r="H637" s="22"/>
      <c r="I637" s="24"/>
      <c r="J637" s="24"/>
      <c r="K637" s="24"/>
      <c r="L637" s="24"/>
      <c r="M637" s="27" t="str">
        <f t="shared" si="39"/>
        <v/>
      </c>
      <c r="N637" s="25"/>
      <c r="O637" s="22"/>
      <c r="P637" s="24"/>
      <c r="Q637" s="26"/>
    </row>
    <row r="638" spans="1:17" ht="15" x14ac:dyDescent="0.15">
      <c r="A638" s="22"/>
      <c r="B638" s="26" t="str">
        <f t="shared" si="36"/>
        <v/>
      </c>
      <c r="C638" s="26" t="str">
        <f t="shared" si="37"/>
        <v/>
      </c>
      <c r="D638" s="26" t="str">
        <f t="shared" si="38"/>
        <v/>
      </c>
      <c r="E638" s="29"/>
      <c r="F638" s="22"/>
      <c r="G638" s="22"/>
      <c r="H638" s="22"/>
      <c r="I638" s="24"/>
      <c r="J638" s="24"/>
      <c r="K638" s="24"/>
      <c r="L638" s="24"/>
      <c r="M638" s="27" t="str">
        <f t="shared" si="39"/>
        <v/>
      </c>
      <c r="N638" s="25"/>
      <c r="O638" s="22"/>
      <c r="P638" s="24"/>
      <c r="Q638" s="26"/>
    </row>
    <row r="639" spans="1:17" ht="15" x14ac:dyDescent="0.15">
      <c r="A639" s="22"/>
      <c r="B639" s="26" t="str">
        <f t="shared" si="36"/>
        <v/>
      </c>
      <c r="C639" s="26" t="str">
        <f t="shared" si="37"/>
        <v/>
      </c>
      <c r="D639" s="26" t="str">
        <f t="shared" si="38"/>
        <v/>
      </c>
      <c r="E639" s="29"/>
      <c r="F639" s="22"/>
      <c r="G639" s="22"/>
      <c r="H639" s="22"/>
      <c r="I639" s="24"/>
      <c r="J639" s="24"/>
      <c r="K639" s="24"/>
      <c r="L639" s="24"/>
      <c r="M639" s="27" t="str">
        <f t="shared" si="39"/>
        <v/>
      </c>
      <c r="N639" s="25"/>
      <c r="O639" s="22"/>
      <c r="P639" s="24"/>
      <c r="Q639" s="26"/>
    </row>
    <row r="640" spans="1:17" ht="15" x14ac:dyDescent="0.15">
      <c r="A640" s="22"/>
      <c r="B640" s="26" t="str">
        <f t="shared" si="36"/>
        <v/>
      </c>
      <c r="C640" s="26" t="str">
        <f t="shared" si="37"/>
        <v/>
      </c>
      <c r="D640" s="26" t="str">
        <f t="shared" si="38"/>
        <v/>
      </c>
      <c r="E640" s="29"/>
      <c r="F640" s="22"/>
      <c r="G640" s="22"/>
      <c r="H640" s="22"/>
      <c r="I640" s="24"/>
      <c r="J640" s="24"/>
      <c r="K640" s="24"/>
      <c r="L640" s="24"/>
      <c r="M640" s="27" t="str">
        <f t="shared" si="39"/>
        <v/>
      </c>
      <c r="N640" s="25"/>
      <c r="O640" s="22"/>
      <c r="P640" s="24"/>
      <c r="Q640" s="26"/>
    </row>
    <row r="641" spans="1:17" ht="15" x14ac:dyDescent="0.15">
      <c r="A641" s="22"/>
      <c r="B641" s="26" t="str">
        <f t="shared" si="36"/>
        <v/>
      </c>
      <c r="C641" s="26" t="str">
        <f t="shared" si="37"/>
        <v/>
      </c>
      <c r="D641" s="26" t="str">
        <f t="shared" si="38"/>
        <v/>
      </c>
      <c r="E641" s="29"/>
      <c r="F641" s="22"/>
      <c r="G641" s="22"/>
      <c r="H641" s="22"/>
      <c r="I641" s="24"/>
      <c r="J641" s="24"/>
      <c r="K641" s="24"/>
      <c r="L641" s="24"/>
      <c r="M641" s="27" t="str">
        <f t="shared" si="39"/>
        <v/>
      </c>
      <c r="N641" s="25"/>
      <c r="O641" s="22"/>
      <c r="P641" s="24"/>
      <c r="Q641" s="26"/>
    </row>
    <row r="642" spans="1:17" ht="15" x14ac:dyDescent="0.15">
      <c r="A642" s="22"/>
      <c r="B642" s="26" t="str">
        <f t="shared" si="36"/>
        <v/>
      </c>
      <c r="C642" s="26" t="str">
        <f t="shared" si="37"/>
        <v/>
      </c>
      <c r="D642" s="26" t="str">
        <f t="shared" si="38"/>
        <v/>
      </c>
      <c r="E642" s="29"/>
      <c r="F642" s="22"/>
      <c r="G642" s="22"/>
      <c r="H642" s="22"/>
      <c r="I642" s="24"/>
      <c r="J642" s="24"/>
      <c r="K642" s="24"/>
      <c r="L642" s="24"/>
      <c r="M642" s="27" t="str">
        <f t="shared" si="39"/>
        <v/>
      </c>
      <c r="N642" s="25"/>
      <c r="O642" s="22"/>
      <c r="P642" s="24"/>
      <c r="Q642" s="26"/>
    </row>
    <row r="643" spans="1:17" ht="15" x14ac:dyDescent="0.15">
      <c r="A643" s="22"/>
      <c r="B643" s="26" t="str">
        <f t="shared" si="36"/>
        <v/>
      </c>
      <c r="C643" s="26" t="str">
        <f t="shared" si="37"/>
        <v/>
      </c>
      <c r="D643" s="26" t="str">
        <f t="shared" si="38"/>
        <v/>
      </c>
      <c r="E643" s="29"/>
      <c r="F643" s="22"/>
      <c r="G643" s="22"/>
      <c r="H643" s="22"/>
      <c r="I643" s="24"/>
      <c r="J643" s="24"/>
      <c r="K643" s="24"/>
      <c r="L643" s="24"/>
      <c r="M643" s="27" t="str">
        <f t="shared" si="39"/>
        <v/>
      </c>
      <c r="N643" s="25"/>
      <c r="O643" s="22"/>
      <c r="P643" s="24"/>
      <c r="Q643" s="26"/>
    </row>
    <row r="644" spans="1:17" ht="15" x14ac:dyDescent="0.15">
      <c r="A644" s="22"/>
      <c r="B644" s="26" t="str">
        <f t="shared" si="36"/>
        <v/>
      </c>
      <c r="C644" s="26" t="str">
        <f t="shared" si="37"/>
        <v/>
      </c>
      <c r="D644" s="26" t="str">
        <f t="shared" si="38"/>
        <v/>
      </c>
      <c r="E644" s="29"/>
      <c r="F644" s="22"/>
      <c r="G644" s="22"/>
      <c r="H644" s="22"/>
      <c r="I644" s="24"/>
      <c r="J644" s="24"/>
      <c r="K644" s="24"/>
      <c r="L644" s="24"/>
      <c r="M644" s="27" t="str">
        <f t="shared" si="39"/>
        <v/>
      </c>
      <c r="N644" s="25"/>
      <c r="O644" s="22"/>
      <c r="P644" s="24"/>
      <c r="Q644" s="26"/>
    </row>
    <row r="645" spans="1:17" ht="15" x14ac:dyDescent="0.15">
      <c r="A645" s="22"/>
      <c r="B645" s="26" t="str">
        <f t="shared" si="36"/>
        <v/>
      </c>
      <c r="C645" s="26" t="str">
        <f t="shared" si="37"/>
        <v/>
      </c>
      <c r="D645" s="26" t="str">
        <f t="shared" si="38"/>
        <v/>
      </c>
      <c r="E645" s="29"/>
      <c r="F645" s="22"/>
      <c r="G645" s="22"/>
      <c r="H645" s="22"/>
      <c r="I645" s="24"/>
      <c r="J645" s="24"/>
      <c r="K645" s="24"/>
      <c r="L645" s="24"/>
      <c r="M645" s="27" t="str">
        <f t="shared" si="39"/>
        <v/>
      </c>
      <c r="N645" s="25"/>
      <c r="O645" s="22"/>
      <c r="P645" s="24"/>
      <c r="Q645" s="26"/>
    </row>
    <row r="646" spans="1:17" ht="15" x14ac:dyDescent="0.15">
      <c r="A646" s="22"/>
      <c r="B646" s="26" t="str">
        <f t="shared" si="36"/>
        <v/>
      </c>
      <c r="C646" s="26" t="str">
        <f t="shared" si="37"/>
        <v/>
      </c>
      <c r="D646" s="26" t="str">
        <f t="shared" si="38"/>
        <v/>
      </c>
      <c r="E646" s="29"/>
      <c r="F646" s="22"/>
      <c r="G646" s="22"/>
      <c r="H646" s="22"/>
      <c r="I646" s="24"/>
      <c r="J646" s="24"/>
      <c r="K646" s="24"/>
      <c r="L646" s="24"/>
      <c r="M646" s="27" t="str">
        <f t="shared" si="39"/>
        <v/>
      </c>
      <c r="N646" s="25"/>
      <c r="O646" s="22"/>
      <c r="P646" s="24"/>
      <c r="Q646" s="26"/>
    </row>
    <row r="647" spans="1:17" ht="15" x14ac:dyDescent="0.15">
      <c r="A647" s="22"/>
      <c r="B647" s="26" t="str">
        <f t="shared" ref="B647:B710" si="40">IFERROR(IF($A647="","",LEFT($A647,FIND(" | ",$A647)-1)),"")</f>
        <v/>
      </c>
      <c r="C647" s="26" t="str">
        <f t="shared" ref="C647:C710" si="41">IFERROR(IF($A647="","",MID($A647,FIND(" | ",$A647)+3,FIND(" | ",$A647,FIND(" | ",$A647)+3)-FIND(" | ",$A647)-3)),"")</f>
        <v/>
      </c>
      <c r="D647" s="26" t="str">
        <f t="shared" ref="D647:D710" si="42">IFERROR(IF($A647="","",RIGHT($A647,LEN($A647)-FIND(" | ",$A647,FIND(" | ",$A647)+3)-2)),"")</f>
        <v/>
      </c>
      <c r="E647" s="29"/>
      <c r="F647" s="22"/>
      <c r="G647" s="22"/>
      <c r="H647" s="22"/>
      <c r="I647" s="24"/>
      <c r="J647" s="24"/>
      <c r="K647" s="24"/>
      <c r="L647" s="24"/>
      <c r="M647" s="27" t="str">
        <f t="shared" ref="M647:M710" si="43">IF($B647="","",SUM($J647,-$K647,$L647))</f>
        <v/>
      </c>
      <c r="N647" s="25"/>
      <c r="O647" s="22"/>
      <c r="P647" s="24"/>
      <c r="Q647" s="26"/>
    </row>
    <row r="648" spans="1:17" ht="15" x14ac:dyDescent="0.15">
      <c r="A648" s="22"/>
      <c r="B648" s="26" t="str">
        <f t="shared" si="40"/>
        <v/>
      </c>
      <c r="C648" s="26" t="str">
        <f t="shared" si="41"/>
        <v/>
      </c>
      <c r="D648" s="26" t="str">
        <f t="shared" si="42"/>
        <v/>
      </c>
      <c r="E648" s="29"/>
      <c r="F648" s="22"/>
      <c r="G648" s="22"/>
      <c r="H648" s="22"/>
      <c r="I648" s="24"/>
      <c r="J648" s="24"/>
      <c r="K648" s="24"/>
      <c r="L648" s="24"/>
      <c r="M648" s="27" t="str">
        <f t="shared" si="43"/>
        <v/>
      </c>
      <c r="N648" s="25"/>
      <c r="O648" s="22"/>
      <c r="P648" s="24"/>
      <c r="Q648" s="26"/>
    </row>
    <row r="649" spans="1:17" ht="15" x14ac:dyDescent="0.15">
      <c r="A649" s="22"/>
      <c r="B649" s="26" t="str">
        <f t="shared" si="40"/>
        <v/>
      </c>
      <c r="C649" s="26" t="str">
        <f t="shared" si="41"/>
        <v/>
      </c>
      <c r="D649" s="26" t="str">
        <f t="shared" si="42"/>
        <v/>
      </c>
      <c r="E649" s="29"/>
      <c r="F649" s="22"/>
      <c r="G649" s="22"/>
      <c r="H649" s="22"/>
      <c r="I649" s="24"/>
      <c r="J649" s="24"/>
      <c r="K649" s="24"/>
      <c r="L649" s="24"/>
      <c r="M649" s="27" t="str">
        <f t="shared" si="43"/>
        <v/>
      </c>
      <c r="N649" s="25"/>
      <c r="O649" s="22"/>
      <c r="P649" s="24"/>
      <c r="Q649" s="26"/>
    </row>
    <row r="650" spans="1:17" ht="15" x14ac:dyDescent="0.15">
      <c r="A650" s="22"/>
      <c r="B650" s="26" t="str">
        <f t="shared" si="40"/>
        <v/>
      </c>
      <c r="C650" s="26" t="str">
        <f t="shared" si="41"/>
        <v/>
      </c>
      <c r="D650" s="26" t="str">
        <f t="shared" si="42"/>
        <v/>
      </c>
      <c r="E650" s="29"/>
      <c r="F650" s="22"/>
      <c r="G650" s="22"/>
      <c r="H650" s="22"/>
      <c r="I650" s="24"/>
      <c r="J650" s="24"/>
      <c r="K650" s="24"/>
      <c r="L650" s="24"/>
      <c r="M650" s="27" t="str">
        <f t="shared" si="43"/>
        <v/>
      </c>
      <c r="N650" s="25"/>
      <c r="O650" s="22"/>
      <c r="P650" s="24"/>
      <c r="Q650" s="26"/>
    </row>
    <row r="651" spans="1:17" ht="15" x14ac:dyDescent="0.15">
      <c r="A651" s="22"/>
      <c r="B651" s="26" t="str">
        <f t="shared" si="40"/>
        <v/>
      </c>
      <c r="C651" s="26" t="str">
        <f t="shared" si="41"/>
        <v/>
      </c>
      <c r="D651" s="26" t="str">
        <f t="shared" si="42"/>
        <v/>
      </c>
      <c r="E651" s="29"/>
      <c r="F651" s="22"/>
      <c r="G651" s="22"/>
      <c r="H651" s="22"/>
      <c r="I651" s="24"/>
      <c r="J651" s="24"/>
      <c r="K651" s="24"/>
      <c r="L651" s="24"/>
      <c r="M651" s="27" t="str">
        <f t="shared" si="43"/>
        <v/>
      </c>
      <c r="N651" s="25"/>
      <c r="O651" s="22"/>
      <c r="P651" s="24"/>
      <c r="Q651" s="26"/>
    </row>
    <row r="652" spans="1:17" ht="15" x14ac:dyDescent="0.15">
      <c r="A652" s="22"/>
      <c r="B652" s="26" t="str">
        <f t="shared" si="40"/>
        <v/>
      </c>
      <c r="C652" s="26" t="str">
        <f t="shared" si="41"/>
        <v/>
      </c>
      <c r="D652" s="26" t="str">
        <f t="shared" si="42"/>
        <v/>
      </c>
      <c r="E652" s="29"/>
      <c r="F652" s="22"/>
      <c r="G652" s="22"/>
      <c r="H652" s="22"/>
      <c r="I652" s="24"/>
      <c r="J652" s="24"/>
      <c r="K652" s="24"/>
      <c r="L652" s="24"/>
      <c r="M652" s="27" t="str">
        <f t="shared" si="43"/>
        <v/>
      </c>
      <c r="N652" s="25"/>
      <c r="O652" s="22"/>
      <c r="P652" s="24"/>
      <c r="Q652" s="26"/>
    </row>
    <row r="653" spans="1:17" ht="15" x14ac:dyDescent="0.15">
      <c r="A653" s="22"/>
      <c r="B653" s="26" t="str">
        <f t="shared" si="40"/>
        <v/>
      </c>
      <c r="C653" s="26" t="str">
        <f t="shared" si="41"/>
        <v/>
      </c>
      <c r="D653" s="26" t="str">
        <f t="shared" si="42"/>
        <v/>
      </c>
      <c r="E653" s="29"/>
      <c r="F653" s="22"/>
      <c r="G653" s="22"/>
      <c r="H653" s="22"/>
      <c r="I653" s="24"/>
      <c r="J653" s="24"/>
      <c r="K653" s="24"/>
      <c r="L653" s="24"/>
      <c r="M653" s="27" t="str">
        <f t="shared" si="43"/>
        <v/>
      </c>
      <c r="N653" s="25"/>
      <c r="O653" s="22"/>
      <c r="P653" s="24"/>
      <c r="Q653" s="26"/>
    </row>
    <row r="654" spans="1:17" ht="15" x14ac:dyDescent="0.15">
      <c r="A654" s="22"/>
      <c r="B654" s="26" t="str">
        <f t="shared" si="40"/>
        <v/>
      </c>
      <c r="C654" s="26" t="str">
        <f t="shared" si="41"/>
        <v/>
      </c>
      <c r="D654" s="26" t="str">
        <f t="shared" si="42"/>
        <v/>
      </c>
      <c r="E654" s="29"/>
      <c r="F654" s="22"/>
      <c r="G654" s="22"/>
      <c r="H654" s="22"/>
      <c r="I654" s="24"/>
      <c r="J654" s="24"/>
      <c r="K654" s="24"/>
      <c r="L654" s="24"/>
      <c r="M654" s="27" t="str">
        <f t="shared" si="43"/>
        <v/>
      </c>
      <c r="N654" s="25"/>
      <c r="O654" s="22"/>
      <c r="P654" s="24"/>
      <c r="Q654" s="26"/>
    </row>
    <row r="655" spans="1:17" ht="15" x14ac:dyDescent="0.15">
      <c r="A655" s="22"/>
      <c r="B655" s="26" t="str">
        <f t="shared" si="40"/>
        <v/>
      </c>
      <c r="C655" s="26" t="str">
        <f t="shared" si="41"/>
        <v/>
      </c>
      <c r="D655" s="26" t="str">
        <f t="shared" si="42"/>
        <v/>
      </c>
      <c r="E655" s="29"/>
      <c r="F655" s="22"/>
      <c r="G655" s="22"/>
      <c r="H655" s="22"/>
      <c r="I655" s="24"/>
      <c r="J655" s="24"/>
      <c r="K655" s="24"/>
      <c r="L655" s="24"/>
      <c r="M655" s="27" t="str">
        <f t="shared" si="43"/>
        <v/>
      </c>
      <c r="N655" s="25"/>
      <c r="O655" s="22"/>
      <c r="P655" s="24"/>
      <c r="Q655" s="26"/>
    </row>
    <row r="656" spans="1:17" ht="15" x14ac:dyDescent="0.15">
      <c r="A656" s="22"/>
      <c r="B656" s="26" t="str">
        <f t="shared" si="40"/>
        <v/>
      </c>
      <c r="C656" s="26" t="str">
        <f t="shared" si="41"/>
        <v/>
      </c>
      <c r="D656" s="26" t="str">
        <f t="shared" si="42"/>
        <v/>
      </c>
      <c r="E656" s="29"/>
      <c r="F656" s="22"/>
      <c r="G656" s="22"/>
      <c r="H656" s="22"/>
      <c r="I656" s="24"/>
      <c r="J656" s="24"/>
      <c r="K656" s="24"/>
      <c r="L656" s="24"/>
      <c r="M656" s="27" t="str">
        <f t="shared" si="43"/>
        <v/>
      </c>
      <c r="N656" s="25"/>
      <c r="O656" s="22"/>
      <c r="P656" s="24"/>
      <c r="Q656" s="26"/>
    </row>
    <row r="657" spans="1:17" ht="15" x14ac:dyDescent="0.15">
      <c r="A657" s="22"/>
      <c r="B657" s="26" t="str">
        <f t="shared" si="40"/>
        <v/>
      </c>
      <c r="C657" s="26" t="str">
        <f t="shared" si="41"/>
        <v/>
      </c>
      <c r="D657" s="26" t="str">
        <f t="shared" si="42"/>
        <v/>
      </c>
      <c r="E657" s="29"/>
      <c r="F657" s="22"/>
      <c r="G657" s="22"/>
      <c r="H657" s="22"/>
      <c r="I657" s="24"/>
      <c r="J657" s="24"/>
      <c r="K657" s="24"/>
      <c r="L657" s="24"/>
      <c r="M657" s="27" t="str">
        <f t="shared" si="43"/>
        <v/>
      </c>
      <c r="N657" s="25"/>
      <c r="O657" s="22"/>
      <c r="P657" s="24"/>
      <c r="Q657" s="26"/>
    </row>
    <row r="658" spans="1:17" ht="15" x14ac:dyDescent="0.15">
      <c r="A658" s="22"/>
      <c r="B658" s="26" t="str">
        <f t="shared" si="40"/>
        <v/>
      </c>
      <c r="C658" s="26" t="str">
        <f t="shared" si="41"/>
        <v/>
      </c>
      <c r="D658" s="26" t="str">
        <f t="shared" si="42"/>
        <v/>
      </c>
      <c r="E658" s="29"/>
      <c r="F658" s="22"/>
      <c r="G658" s="22"/>
      <c r="H658" s="22"/>
      <c r="I658" s="24"/>
      <c r="J658" s="24"/>
      <c r="K658" s="24"/>
      <c r="L658" s="24"/>
      <c r="M658" s="27" t="str">
        <f t="shared" si="43"/>
        <v/>
      </c>
      <c r="N658" s="25"/>
      <c r="O658" s="22"/>
      <c r="P658" s="24"/>
      <c r="Q658" s="26"/>
    </row>
    <row r="659" spans="1:17" ht="15" x14ac:dyDescent="0.15">
      <c r="A659" s="22"/>
      <c r="B659" s="26" t="str">
        <f t="shared" si="40"/>
        <v/>
      </c>
      <c r="C659" s="26" t="str">
        <f t="shared" si="41"/>
        <v/>
      </c>
      <c r="D659" s="26" t="str">
        <f t="shared" si="42"/>
        <v/>
      </c>
      <c r="E659" s="29"/>
      <c r="F659" s="22"/>
      <c r="G659" s="22"/>
      <c r="H659" s="22"/>
      <c r="I659" s="24"/>
      <c r="J659" s="24"/>
      <c r="K659" s="24"/>
      <c r="L659" s="24"/>
      <c r="M659" s="27" t="str">
        <f t="shared" si="43"/>
        <v/>
      </c>
      <c r="N659" s="25"/>
      <c r="O659" s="22"/>
      <c r="P659" s="24"/>
      <c r="Q659" s="26"/>
    </row>
    <row r="660" spans="1:17" ht="15" x14ac:dyDescent="0.15">
      <c r="A660" s="22"/>
      <c r="B660" s="26" t="str">
        <f t="shared" si="40"/>
        <v/>
      </c>
      <c r="C660" s="26" t="str">
        <f t="shared" si="41"/>
        <v/>
      </c>
      <c r="D660" s="26" t="str">
        <f t="shared" si="42"/>
        <v/>
      </c>
      <c r="E660" s="29"/>
      <c r="F660" s="22"/>
      <c r="G660" s="22"/>
      <c r="H660" s="22"/>
      <c r="I660" s="24"/>
      <c r="J660" s="24"/>
      <c r="K660" s="24"/>
      <c r="L660" s="24"/>
      <c r="M660" s="27" t="str">
        <f t="shared" si="43"/>
        <v/>
      </c>
      <c r="N660" s="25"/>
      <c r="O660" s="22"/>
      <c r="P660" s="24"/>
      <c r="Q660" s="26"/>
    </row>
    <row r="661" spans="1:17" ht="15" x14ac:dyDescent="0.15">
      <c r="A661" s="22"/>
      <c r="B661" s="26" t="str">
        <f t="shared" si="40"/>
        <v/>
      </c>
      <c r="C661" s="26" t="str">
        <f t="shared" si="41"/>
        <v/>
      </c>
      <c r="D661" s="26" t="str">
        <f t="shared" si="42"/>
        <v/>
      </c>
      <c r="E661" s="29"/>
      <c r="F661" s="22"/>
      <c r="G661" s="22"/>
      <c r="H661" s="22"/>
      <c r="I661" s="24"/>
      <c r="J661" s="24"/>
      <c r="K661" s="24"/>
      <c r="L661" s="24"/>
      <c r="M661" s="27" t="str">
        <f t="shared" si="43"/>
        <v/>
      </c>
      <c r="N661" s="25"/>
      <c r="O661" s="22"/>
      <c r="P661" s="24"/>
      <c r="Q661" s="26"/>
    </row>
    <row r="662" spans="1:17" ht="15" x14ac:dyDescent="0.15">
      <c r="A662" s="22"/>
      <c r="B662" s="26" t="str">
        <f t="shared" si="40"/>
        <v/>
      </c>
      <c r="C662" s="26" t="str">
        <f t="shared" si="41"/>
        <v/>
      </c>
      <c r="D662" s="26" t="str">
        <f t="shared" si="42"/>
        <v/>
      </c>
      <c r="E662" s="29"/>
      <c r="F662" s="22"/>
      <c r="G662" s="22"/>
      <c r="H662" s="22"/>
      <c r="I662" s="24"/>
      <c r="J662" s="24"/>
      <c r="K662" s="24"/>
      <c r="L662" s="24"/>
      <c r="M662" s="27" t="str">
        <f t="shared" si="43"/>
        <v/>
      </c>
      <c r="N662" s="25"/>
      <c r="O662" s="22"/>
      <c r="P662" s="24"/>
      <c r="Q662" s="26"/>
    </row>
    <row r="663" spans="1:17" ht="15" x14ac:dyDescent="0.15">
      <c r="A663" s="22"/>
      <c r="B663" s="26" t="str">
        <f t="shared" si="40"/>
        <v/>
      </c>
      <c r="C663" s="26" t="str">
        <f t="shared" si="41"/>
        <v/>
      </c>
      <c r="D663" s="26" t="str">
        <f t="shared" si="42"/>
        <v/>
      </c>
      <c r="E663" s="29"/>
      <c r="F663" s="22"/>
      <c r="G663" s="22"/>
      <c r="H663" s="22"/>
      <c r="I663" s="24"/>
      <c r="J663" s="24"/>
      <c r="K663" s="24"/>
      <c r="L663" s="24"/>
      <c r="M663" s="27" t="str">
        <f t="shared" si="43"/>
        <v/>
      </c>
      <c r="N663" s="25"/>
      <c r="O663" s="22"/>
      <c r="P663" s="24"/>
      <c r="Q663" s="26"/>
    </row>
    <row r="664" spans="1:17" ht="15" x14ac:dyDescent="0.15">
      <c r="A664" s="22"/>
      <c r="B664" s="26" t="str">
        <f t="shared" si="40"/>
        <v/>
      </c>
      <c r="C664" s="26" t="str">
        <f t="shared" si="41"/>
        <v/>
      </c>
      <c r="D664" s="26" t="str">
        <f t="shared" si="42"/>
        <v/>
      </c>
      <c r="E664" s="29"/>
      <c r="F664" s="22"/>
      <c r="G664" s="22"/>
      <c r="H664" s="22"/>
      <c r="I664" s="24"/>
      <c r="J664" s="24"/>
      <c r="K664" s="24"/>
      <c r="L664" s="24"/>
      <c r="M664" s="27" t="str">
        <f t="shared" si="43"/>
        <v/>
      </c>
      <c r="N664" s="25"/>
      <c r="O664" s="22"/>
      <c r="P664" s="24"/>
      <c r="Q664" s="26"/>
    </row>
    <row r="665" spans="1:17" ht="15" x14ac:dyDescent="0.15">
      <c r="A665" s="22"/>
      <c r="B665" s="26" t="str">
        <f t="shared" si="40"/>
        <v/>
      </c>
      <c r="C665" s="26" t="str">
        <f t="shared" si="41"/>
        <v/>
      </c>
      <c r="D665" s="26" t="str">
        <f t="shared" si="42"/>
        <v/>
      </c>
      <c r="E665" s="29"/>
      <c r="F665" s="22"/>
      <c r="G665" s="22"/>
      <c r="H665" s="22"/>
      <c r="I665" s="24"/>
      <c r="J665" s="24"/>
      <c r="K665" s="24"/>
      <c r="L665" s="24"/>
      <c r="M665" s="27" t="str">
        <f t="shared" si="43"/>
        <v/>
      </c>
      <c r="N665" s="25"/>
      <c r="O665" s="22"/>
      <c r="P665" s="24"/>
      <c r="Q665" s="26"/>
    </row>
    <row r="666" spans="1:17" ht="15" x14ac:dyDescent="0.15">
      <c r="A666" s="22"/>
      <c r="B666" s="26" t="str">
        <f t="shared" si="40"/>
        <v/>
      </c>
      <c r="C666" s="26" t="str">
        <f t="shared" si="41"/>
        <v/>
      </c>
      <c r="D666" s="26" t="str">
        <f t="shared" si="42"/>
        <v/>
      </c>
      <c r="E666" s="29"/>
      <c r="F666" s="22"/>
      <c r="G666" s="22"/>
      <c r="H666" s="22"/>
      <c r="I666" s="24"/>
      <c r="J666" s="24"/>
      <c r="K666" s="24"/>
      <c r="L666" s="24"/>
      <c r="M666" s="27" t="str">
        <f t="shared" si="43"/>
        <v/>
      </c>
      <c r="N666" s="25"/>
      <c r="O666" s="22"/>
      <c r="P666" s="24"/>
      <c r="Q666" s="26"/>
    </row>
    <row r="667" spans="1:17" ht="15" x14ac:dyDescent="0.15">
      <c r="A667" s="22"/>
      <c r="B667" s="26" t="str">
        <f t="shared" si="40"/>
        <v/>
      </c>
      <c r="C667" s="26" t="str">
        <f t="shared" si="41"/>
        <v/>
      </c>
      <c r="D667" s="26" t="str">
        <f t="shared" si="42"/>
        <v/>
      </c>
      <c r="E667" s="29"/>
      <c r="F667" s="22"/>
      <c r="G667" s="22"/>
      <c r="H667" s="22"/>
      <c r="I667" s="24"/>
      <c r="J667" s="24"/>
      <c r="K667" s="24"/>
      <c r="L667" s="24"/>
      <c r="M667" s="27" t="str">
        <f t="shared" si="43"/>
        <v/>
      </c>
      <c r="N667" s="25"/>
      <c r="O667" s="22"/>
      <c r="P667" s="24"/>
      <c r="Q667" s="26"/>
    </row>
    <row r="668" spans="1:17" ht="15" x14ac:dyDescent="0.15">
      <c r="A668" s="22"/>
      <c r="B668" s="26" t="str">
        <f t="shared" si="40"/>
        <v/>
      </c>
      <c r="C668" s="26" t="str">
        <f t="shared" si="41"/>
        <v/>
      </c>
      <c r="D668" s="26" t="str">
        <f t="shared" si="42"/>
        <v/>
      </c>
      <c r="E668" s="29"/>
      <c r="F668" s="22"/>
      <c r="G668" s="22"/>
      <c r="H668" s="22"/>
      <c r="I668" s="24"/>
      <c r="J668" s="24"/>
      <c r="K668" s="24"/>
      <c r="L668" s="24"/>
      <c r="M668" s="27" t="str">
        <f t="shared" si="43"/>
        <v/>
      </c>
      <c r="N668" s="25"/>
      <c r="O668" s="22"/>
      <c r="P668" s="24"/>
      <c r="Q668" s="26"/>
    </row>
    <row r="669" spans="1:17" ht="15" x14ac:dyDescent="0.15">
      <c r="A669" s="22"/>
      <c r="B669" s="26" t="str">
        <f t="shared" si="40"/>
        <v/>
      </c>
      <c r="C669" s="26" t="str">
        <f t="shared" si="41"/>
        <v/>
      </c>
      <c r="D669" s="26" t="str">
        <f t="shared" si="42"/>
        <v/>
      </c>
      <c r="E669" s="29"/>
      <c r="F669" s="22"/>
      <c r="G669" s="22"/>
      <c r="H669" s="22"/>
      <c r="I669" s="24"/>
      <c r="J669" s="24"/>
      <c r="K669" s="24"/>
      <c r="L669" s="24"/>
      <c r="M669" s="27" t="str">
        <f t="shared" si="43"/>
        <v/>
      </c>
      <c r="N669" s="25"/>
      <c r="O669" s="22"/>
      <c r="P669" s="24"/>
      <c r="Q669" s="26"/>
    </row>
    <row r="670" spans="1:17" ht="15" x14ac:dyDescent="0.15">
      <c r="A670" s="22"/>
      <c r="B670" s="26" t="str">
        <f t="shared" si="40"/>
        <v/>
      </c>
      <c r="C670" s="26" t="str">
        <f t="shared" si="41"/>
        <v/>
      </c>
      <c r="D670" s="26" t="str">
        <f t="shared" si="42"/>
        <v/>
      </c>
      <c r="E670" s="29"/>
      <c r="F670" s="22"/>
      <c r="G670" s="22"/>
      <c r="H670" s="22"/>
      <c r="I670" s="24"/>
      <c r="J670" s="24"/>
      <c r="K670" s="24"/>
      <c r="L670" s="24"/>
      <c r="M670" s="27" t="str">
        <f t="shared" si="43"/>
        <v/>
      </c>
      <c r="N670" s="25"/>
      <c r="O670" s="22"/>
      <c r="P670" s="24"/>
      <c r="Q670" s="26"/>
    </row>
    <row r="671" spans="1:17" ht="15" x14ac:dyDescent="0.15">
      <c r="A671" s="22"/>
      <c r="B671" s="26" t="str">
        <f t="shared" si="40"/>
        <v/>
      </c>
      <c r="C671" s="26" t="str">
        <f t="shared" si="41"/>
        <v/>
      </c>
      <c r="D671" s="26" t="str">
        <f t="shared" si="42"/>
        <v/>
      </c>
      <c r="E671" s="29"/>
      <c r="F671" s="22"/>
      <c r="G671" s="22"/>
      <c r="H671" s="22"/>
      <c r="I671" s="24"/>
      <c r="J671" s="24"/>
      <c r="K671" s="24"/>
      <c r="L671" s="24"/>
      <c r="M671" s="27" t="str">
        <f t="shared" si="43"/>
        <v/>
      </c>
      <c r="N671" s="25"/>
      <c r="O671" s="22"/>
      <c r="P671" s="24"/>
      <c r="Q671" s="26"/>
    </row>
    <row r="672" spans="1:17" ht="15" x14ac:dyDescent="0.15">
      <c r="A672" s="22"/>
      <c r="B672" s="26" t="str">
        <f t="shared" si="40"/>
        <v/>
      </c>
      <c r="C672" s="26" t="str">
        <f t="shared" si="41"/>
        <v/>
      </c>
      <c r="D672" s="26" t="str">
        <f t="shared" si="42"/>
        <v/>
      </c>
      <c r="E672" s="29"/>
      <c r="F672" s="22"/>
      <c r="G672" s="22"/>
      <c r="H672" s="22"/>
      <c r="I672" s="24"/>
      <c r="J672" s="24"/>
      <c r="K672" s="24"/>
      <c r="L672" s="24"/>
      <c r="M672" s="27" t="str">
        <f t="shared" si="43"/>
        <v/>
      </c>
      <c r="N672" s="25"/>
      <c r="O672" s="22"/>
      <c r="P672" s="24"/>
      <c r="Q672" s="26"/>
    </row>
    <row r="673" spans="1:17" ht="15" x14ac:dyDescent="0.15">
      <c r="A673" s="22"/>
      <c r="B673" s="26" t="str">
        <f t="shared" si="40"/>
        <v/>
      </c>
      <c r="C673" s="26" t="str">
        <f t="shared" si="41"/>
        <v/>
      </c>
      <c r="D673" s="26" t="str">
        <f t="shared" si="42"/>
        <v/>
      </c>
      <c r="E673" s="29"/>
      <c r="F673" s="22"/>
      <c r="G673" s="22"/>
      <c r="H673" s="22"/>
      <c r="I673" s="24"/>
      <c r="J673" s="24"/>
      <c r="K673" s="24"/>
      <c r="L673" s="24"/>
      <c r="M673" s="27" t="str">
        <f t="shared" si="43"/>
        <v/>
      </c>
      <c r="N673" s="25"/>
      <c r="O673" s="22"/>
      <c r="P673" s="24"/>
      <c r="Q673" s="26"/>
    </row>
    <row r="674" spans="1:17" ht="15" x14ac:dyDescent="0.15">
      <c r="A674" s="22"/>
      <c r="B674" s="26" t="str">
        <f t="shared" si="40"/>
        <v/>
      </c>
      <c r="C674" s="26" t="str">
        <f t="shared" si="41"/>
        <v/>
      </c>
      <c r="D674" s="26" t="str">
        <f t="shared" si="42"/>
        <v/>
      </c>
      <c r="E674" s="29"/>
      <c r="F674" s="22"/>
      <c r="G674" s="22"/>
      <c r="H674" s="22"/>
      <c r="I674" s="24"/>
      <c r="J674" s="24"/>
      <c r="K674" s="24"/>
      <c r="L674" s="24"/>
      <c r="M674" s="27" t="str">
        <f t="shared" si="43"/>
        <v/>
      </c>
      <c r="N674" s="25"/>
      <c r="O674" s="22"/>
      <c r="P674" s="24"/>
      <c r="Q674" s="26"/>
    </row>
    <row r="675" spans="1:17" ht="15" x14ac:dyDescent="0.15">
      <c r="A675" s="22"/>
      <c r="B675" s="26" t="str">
        <f t="shared" si="40"/>
        <v/>
      </c>
      <c r="C675" s="26" t="str">
        <f t="shared" si="41"/>
        <v/>
      </c>
      <c r="D675" s="26" t="str">
        <f t="shared" si="42"/>
        <v/>
      </c>
      <c r="E675" s="29"/>
      <c r="F675" s="22"/>
      <c r="G675" s="22"/>
      <c r="H675" s="22"/>
      <c r="I675" s="24"/>
      <c r="J675" s="24"/>
      <c r="K675" s="24"/>
      <c r="L675" s="24"/>
      <c r="M675" s="27" t="str">
        <f t="shared" si="43"/>
        <v/>
      </c>
      <c r="N675" s="25"/>
      <c r="O675" s="22"/>
      <c r="P675" s="24"/>
      <c r="Q675" s="26"/>
    </row>
    <row r="676" spans="1:17" ht="15" x14ac:dyDescent="0.15">
      <c r="A676" s="22"/>
      <c r="B676" s="26" t="str">
        <f t="shared" si="40"/>
        <v/>
      </c>
      <c r="C676" s="26" t="str">
        <f t="shared" si="41"/>
        <v/>
      </c>
      <c r="D676" s="26" t="str">
        <f t="shared" si="42"/>
        <v/>
      </c>
      <c r="E676" s="29"/>
      <c r="F676" s="22"/>
      <c r="G676" s="22"/>
      <c r="H676" s="22"/>
      <c r="I676" s="24"/>
      <c r="J676" s="24"/>
      <c r="K676" s="24"/>
      <c r="L676" s="24"/>
      <c r="M676" s="27" t="str">
        <f t="shared" si="43"/>
        <v/>
      </c>
      <c r="N676" s="25"/>
      <c r="O676" s="22"/>
      <c r="P676" s="24"/>
      <c r="Q676" s="26"/>
    </row>
    <row r="677" spans="1:17" ht="15" x14ac:dyDescent="0.15">
      <c r="A677" s="22"/>
      <c r="B677" s="26" t="str">
        <f t="shared" si="40"/>
        <v/>
      </c>
      <c r="C677" s="26" t="str">
        <f t="shared" si="41"/>
        <v/>
      </c>
      <c r="D677" s="26" t="str">
        <f t="shared" si="42"/>
        <v/>
      </c>
      <c r="E677" s="29"/>
      <c r="F677" s="22"/>
      <c r="G677" s="22"/>
      <c r="H677" s="22"/>
      <c r="I677" s="24"/>
      <c r="J677" s="24"/>
      <c r="K677" s="24"/>
      <c r="L677" s="24"/>
      <c r="M677" s="27" t="str">
        <f t="shared" si="43"/>
        <v/>
      </c>
      <c r="N677" s="25"/>
      <c r="O677" s="22"/>
      <c r="P677" s="24"/>
      <c r="Q677" s="26"/>
    </row>
    <row r="678" spans="1:17" ht="15" x14ac:dyDescent="0.15">
      <c r="A678" s="22"/>
      <c r="B678" s="26" t="str">
        <f t="shared" si="40"/>
        <v/>
      </c>
      <c r="C678" s="26" t="str">
        <f t="shared" si="41"/>
        <v/>
      </c>
      <c r="D678" s="26" t="str">
        <f t="shared" si="42"/>
        <v/>
      </c>
      <c r="E678" s="29"/>
      <c r="F678" s="22"/>
      <c r="G678" s="22"/>
      <c r="H678" s="22"/>
      <c r="I678" s="24"/>
      <c r="J678" s="24"/>
      <c r="K678" s="24"/>
      <c r="L678" s="24"/>
      <c r="M678" s="27" t="str">
        <f t="shared" si="43"/>
        <v/>
      </c>
      <c r="N678" s="25"/>
      <c r="O678" s="22"/>
      <c r="P678" s="24"/>
      <c r="Q678" s="26"/>
    </row>
    <row r="679" spans="1:17" ht="15" x14ac:dyDescent="0.15">
      <c r="A679" s="22"/>
      <c r="B679" s="26" t="str">
        <f t="shared" si="40"/>
        <v/>
      </c>
      <c r="C679" s="26" t="str">
        <f t="shared" si="41"/>
        <v/>
      </c>
      <c r="D679" s="26" t="str">
        <f t="shared" si="42"/>
        <v/>
      </c>
      <c r="E679" s="29"/>
      <c r="F679" s="22"/>
      <c r="G679" s="22"/>
      <c r="H679" s="22"/>
      <c r="I679" s="24"/>
      <c r="J679" s="24"/>
      <c r="K679" s="24"/>
      <c r="L679" s="24"/>
      <c r="M679" s="27" t="str">
        <f t="shared" si="43"/>
        <v/>
      </c>
      <c r="N679" s="25"/>
      <c r="O679" s="22"/>
      <c r="P679" s="24"/>
      <c r="Q679" s="26"/>
    </row>
    <row r="680" spans="1:17" ht="15" x14ac:dyDescent="0.15">
      <c r="A680" s="22"/>
      <c r="B680" s="26" t="str">
        <f t="shared" si="40"/>
        <v/>
      </c>
      <c r="C680" s="26" t="str">
        <f t="shared" si="41"/>
        <v/>
      </c>
      <c r="D680" s="26" t="str">
        <f t="shared" si="42"/>
        <v/>
      </c>
      <c r="E680" s="29"/>
      <c r="F680" s="22"/>
      <c r="G680" s="22"/>
      <c r="H680" s="22"/>
      <c r="I680" s="24"/>
      <c r="J680" s="24"/>
      <c r="K680" s="24"/>
      <c r="L680" s="24"/>
      <c r="M680" s="27" t="str">
        <f t="shared" si="43"/>
        <v/>
      </c>
      <c r="N680" s="25"/>
      <c r="O680" s="22"/>
      <c r="P680" s="24"/>
      <c r="Q680" s="26"/>
    </row>
    <row r="681" spans="1:17" ht="15" x14ac:dyDescent="0.15">
      <c r="A681" s="22"/>
      <c r="B681" s="26" t="str">
        <f t="shared" si="40"/>
        <v/>
      </c>
      <c r="C681" s="26" t="str">
        <f t="shared" si="41"/>
        <v/>
      </c>
      <c r="D681" s="26" t="str">
        <f t="shared" si="42"/>
        <v/>
      </c>
      <c r="E681" s="29"/>
      <c r="F681" s="22"/>
      <c r="G681" s="22"/>
      <c r="H681" s="22"/>
      <c r="I681" s="24"/>
      <c r="J681" s="24"/>
      <c r="K681" s="24"/>
      <c r="L681" s="24"/>
      <c r="M681" s="27" t="str">
        <f t="shared" si="43"/>
        <v/>
      </c>
      <c r="N681" s="25"/>
      <c r="O681" s="22"/>
      <c r="P681" s="24"/>
      <c r="Q681" s="26"/>
    </row>
    <row r="682" spans="1:17" ht="15" x14ac:dyDescent="0.15">
      <c r="A682" s="22"/>
      <c r="B682" s="26" t="str">
        <f t="shared" si="40"/>
        <v/>
      </c>
      <c r="C682" s="26" t="str">
        <f t="shared" si="41"/>
        <v/>
      </c>
      <c r="D682" s="26" t="str">
        <f t="shared" si="42"/>
        <v/>
      </c>
      <c r="E682" s="29"/>
      <c r="F682" s="22"/>
      <c r="G682" s="22"/>
      <c r="H682" s="22"/>
      <c r="I682" s="24"/>
      <c r="J682" s="24"/>
      <c r="K682" s="24"/>
      <c r="L682" s="24"/>
      <c r="M682" s="27" t="str">
        <f t="shared" si="43"/>
        <v/>
      </c>
      <c r="N682" s="25"/>
      <c r="O682" s="22"/>
      <c r="P682" s="24"/>
      <c r="Q682" s="26"/>
    </row>
    <row r="683" spans="1:17" ht="15" x14ac:dyDescent="0.15">
      <c r="A683" s="22"/>
      <c r="B683" s="26" t="str">
        <f t="shared" si="40"/>
        <v/>
      </c>
      <c r="C683" s="26" t="str">
        <f t="shared" si="41"/>
        <v/>
      </c>
      <c r="D683" s="26" t="str">
        <f t="shared" si="42"/>
        <v/>
      </c>
      <c r="E683" s="29"/>
      <c r="F683" s="22"/>
      <c r="G683" s="22"/>
      <c r="H683" s="22"/>
      <c r="I683" s="24"/>
      <c r="J683" s="24"/>
      <c r="K683" s="24"/>
      <c r="L683" s="24"/>
      <c r="M683" s="27" t="str">
        <f t="shared" si="43"/>
        <v/>
      </c>
      <c r="N683" s="25"/>
      <c r="O683" s="22"/>
      <c r="P683" s="24"/>
      <c r="Q683" s="26"/>
    </row>
    <row r="684" spans="1:17" ht="15" x14ac:dyDescent="0.15">
      <c r="A684" s="22"/>
      <c r="B684" s="26" t="str">
        <f t="shared" si="40"/>
        <v/>
      </c>
      <c r="C684" s="26" t="str">
        <f t="shared" si="41"/>
        <v/>
      </c>
      <c r="D684" s="26" t="str">
        <f t="shared" si="42"/>
        <v/>
      </c>
      <c r="E684" s="29"/>
      <c r="F684" s="22"/>
      <c r="G684" s="22"/>
      <c r="H684" s="22"/>
      <c r="I684" s="24"/>
      <c r="J684" s="24"/>
      <c r="K684" s="24"/>
      <c r="L684" s="24"/>
      <c r="M684" s="27" t="str">
        <f t="shared" si="43"/>
        <v/>
      </c>
      <c r="N684" s="25"/>
      <c r="O684" s="22"/>
      <c r="P684" s="24"/>
      <c r="Q684" s="26"/>
    </row>
    <row r="685" spans="1:17" ht="15" x14ac:dyDescent="0.15">
      <c r="A685" s="22"/>
      <c r="B685" s="26" t="str">
        <f t="shared" si="40"/>
        <v/>
      </c>
      <c r="C685" s="26" t="str">
        <f t="shared" si="41"/>
        <v/>
      </c>
      <c r="D685" s="26" t="str">
        <f t="shared" si="42"/>
        <v/>
      </c>
      <c r="E685" s="29"/>
      <c r="F685" s="22"/>
      <c r="G685" s="22"/>
      <c r="H685" s="22"/>
      <c r="I685" s="24"/>
      <c r="J685" s="24"/>
      <c r="K685" s="24"/>
      <c r="L685" s="24"/>
      <c r="M685" s="27" t="str">
        <f t="shared" si="43"/>
        <v/>
      </c>
      <c r="N685" s="25"/>
      <c r="O685" s="22"/>
      <c r="P685" s="24"/>
      <c r="Q685" s="26"/>
    </row>
    <row r="686" spans="1:17" ht="15" x14ac:dyDescent="0.15">
      <c r="A686" s="22"/>
      <c r="B686" s="26" t="str">
        <f t="shared" si="40"/>
        <v/>
      </c>
      <c r="C686" s="26" t="str">
        <f t="shared" si="41"/>
        <v/>
      </c>
      <c r="D686" s="26" t="str">
        <f t="shared" si="42"/>
        <v/>
      </c>
      <c r="E686" s="29"/>
      <c r="F686" s="22"/>
      <c r="G686" s="22"/>
      <c r="H686" s="22"/>
      <c r="I686" s="24"/>
      <c r="J686" s="24"/>
      <c r="K686" s="24"/>
      <c r="L686" s="24"/>
      <c r="M686" s="27" t="str">
        <f t="shared" si="43"/>
        <v/>
      </c>
      <c r="N686" s="25"/>
      <c r="O686" s="22"/>
      <c r="P686" s="24"/>
      <c r="Q686" s="26"/>
    </row>
    <row r="687" spans="1:17" ht="15" x14ac:dyDescent="0.15">
      <c r="A687" s="22"/>
      <c r="B687" s="26" t="str">
        <f t="shared" si="40"/>
        <v/>
      </c>
      <c r="C687" s="26" t="str">
        <f t="shared" si="41"/>
        <v/>
      </c>
      <c r="D687" s="26" t="str">
        <f t="shared" si="42"/>
        <v/>
      </c>
      <c r="E687" s="29"/>
      <c r="F687" s="22"/>
      <c r="G687" s="22"/>
      <c r="H687" s="22"/>
      <c r="I687" s="24"/>
      <c r="J687" s="24"/>
      <c r="K687" s="24"/>
      <c r="L687" s="24"/>
      <c r="M687" s="27" t="str">
        <f t="shared" si="43"/>
        <v/>
      </c>
      <c r="N687" s="25"/>
      <c r="O687" s="22"/>
      <c r="P687" s="24"/>
      <c r="Q687" s="26"/>
    </row>
    <row r="688" spans="1:17" ht="15" x14ac:dyDescent="0.15">
      <c r="A688" s="22"/>
      <c r="B688" s="26" t="str">
        <f t="shared" si="40"/>
        <v/>
      </c>
      <c r="C688" s="26" t="str">
        <f t="shared" si="41"/>
        <v/>
      </c>
      <c r="D688" s="26" t="str">
        <f t="shared" si="42"/>
        <v/>
      </c>
      <c r="E688" s="29"/>
      <c r="F688" s="22"/>
      <c r="G688" s="22"/>
      <c r="H688" s="22"/>
      <c r="I688" s="24"/>
      <c r="J688" s="24"/>
      <c r="K688" s="24"/>
      <c r="L688" s="24"/>
      <c r="M688" s="27" t="str">
        <f t="shared" si="43"/>
        <v/>
      </c>
      <c r="N688" s="25"/>
      <c r="O688" s="22"/>
      <c r="P688" s="24"/>
      <c r="Q688" s="26"/>
    </row>
    <row r="689" spans="1:17" ht="15" x14ac:dyDescent="0.15">
      <c r="A689" s="22"/>
      <c r="B689" s="26" t="str">
        <f t="shared" si="40"/>
        <v/>
      </c>
      <c r="C689" s="26" t="str">
        <f t="shared" si="41"/>
        <v/>
      </c>
      <c r="D689" s="26" t="str">
        <f t="shared" si="42"/>
        <v/>
      </c>
      <c r="E689" s="29"/>
      <c r="F689" s="22"/>
      <c r="G689" s="22"/>
      <c r="H689" s="22"/>
      <c r="I689" s="24"/>
      <c r="J689" s="24"/>
      <c r="K689" s="24"/>
      <c r="L689" s="24"/>
      <c r="M689" s="27" t="str">
        <f t="shared" si="43"/>
        <v/>
      </c>
      <c r="N689" s="25"/>
      <c r="O689" s="22"/>
      <c r="P689" s="24"/>
      <c r="Q689" s="26"/>
    </row>
    <row r="690" spans="1:17" ht="15" x14ac:dyDescent="0.15">
      <c r="A690" s="22"/>
      <c r="B690" s="26" t="str">
        <f t="shared" si="40"/>
        <v/>
      </c>
      <c r="C690" s="26" t="str">
        <f t="shared" si="41"/>
        <v/>
      </c>
      <c r="D690" s="26" t="str">
        <f t="shared" si="42"/>
        <v/>
      </c>
      <c r="E690" s="29"/>
      <c r="F690" s="22"/>
      <c r="G690" s="22"/>
      <c r="H690" s="22"/>
      <c r="I690" s="24"/>
      <c r="J690" s="24"/>
      <c r="K690" s="24"/>
      <c r="L690" s="24"/>
      <c r="M690" s="27" t="str">
        <f t="shared" si="43"/>
        <v/>
      </c>
      <c r="N690" s="25"/>
      <c r="O690" s="22"/>
      <c r="P690" s="24"/>
      <c r="Q690" s="26"/>
    </row>
    <row r="691" spans="1:17" ht="15" x14ac:dyDescent="0.15">
      <c r="A691" s="22"/>
      <c r="B691" s="26" t="str">
        <f t="shared" si="40"/>
        <v/>
      </c>
      <c r="C691" s="26" t="str">
        <f t="shared" si="41"/>
        <v/>
      </c>
      <c r="D691" s="26" t="str">
        <f t="shared" si="42"/>
        <v/>
      </c>
      <c r="E691" s="29"/>
      <c r="F691" s="22"/>
      <c r="G691" s="22"/>
      <c r="H691" s="22"/>
      <c r="I691" s="24"/>
      <c r="J691" s="24"/>
      <c r="K691" s="24"/>
      <c r="L691" s="24"/>
      <c r="M691" s="27" t="str">
        <f t="shared" si="43"/>
        <v/>
      </c>
      <c r="N691" s="25"/>
      <c r="O691" s="22"/>
      <c r="P691" s="24"/>
      <c r="Q691" s="26"/>
    </row>
    <row r="692" spans="1:17" ht="15" x14ac:dyDescent="0.15">
      <c r="A692" s="22"/>
      <c r="B692" s="26" t="str">
        <f t="shared" si="40"/>
        <v/>
      </c>
      <c r="C692" s="26" t="str">
        <f t="shared" si="41"/>
        <v/>
      </c>
      <c r="D692" s="26" t="str">
        <f t="shared" si="42"/>
        <v/>
      </c>
      <c r="E692" s="29"/>
      <c r="F692" s="22"/>
      <c r="G692" s="22"/>
      <c r="H692" s="22"/>
      <c r="I692" s="24"/>
      <c r="J692" s="24"/>
      <c r="K692" s="24"/>
      <c r="L692" s="24"/>
      <c r="M692" s="27" t="str">
        <f t="shared" si="43"/>
        <v/>
      </c>
      <c r="N692" s="25"/>
      <c r="O692" s="22"/>
      <c r="P692" s="24"/>
      <c r="Q692" s="26"/>
    </row>
    <row r="693" spans="1:17" ht="15" x14ac:dyDescent="0.15">
      <c r="A693" s="22"/>
      <c r="B693" s="26" t="str">
        <f t="shared" si="40"/>
        <v/>
      </c>
      <c r="C693" s="26" t="str">
        <f t="shared" si="41"/>
        <v/>
      </c>
      <c r="D693" s="26" t="str">
        <f t="shared" si="42"/>
        <v/>
      </c>
      <c r="E693" s="29"/>
      <c r="F693" s="22"/>
      <c r="G693" s="22"/>
      <c r="H693" s="22"/>
      <c r="I693" s="24"/>
      <c r="J693" s="24"/>
      <c r="K693" s="24"/>
      <c r="L693" s="24"/>
      <c r="M693" s="27" t="str">
        <f t="shared" si="43"/>
        <v/>
      </c>
      <c r="N693" s="25"/>
      <c r="O693" s="22"/>
      <c r="P693" s="24"/>
      <c r="Q693" s="26"/>
    </row>
    <row r="694" spans="1:17" ht="15" x14ac:dyDescent="0.15">
      <c r="A694" s="22"/>
      <c r="B694" s="26" t="str">
        <f t="shared" si="40"/>
        <v/>
      </c>
      <c r="C694" s="26" t="str">
        <f t="shared" si="41"/>
        <v/>
      </c>
      <c r="D694" s="26" t="str">
        <f t="shared" si="42"/>
        <v/>
      </c>
      <c r="E694" s="29"/>
      <c r="F694" s="22"/>
      <c r="G694" s="22"/>
      <c r="H694" s="22"/>
      <c r="I694" s="24"/>
      <c r="J694" s="24"/>
      <c r="K694" s="24"/>
      <c r="L694" s="24"/>
      <c r="M694" s="27" t="str">
        <f t="shared" si="43"/>
        <v/>
      </c>
      <c r="N694" s="25"/>
      <c r="O694" s="22"/>
      <c r="P694" s="24"/>
      <c r="Q694" s="26"/>
    </row>
    <row r="695" spans="1:17" ht="15" x14ac:dyDescent="0.15">
      <c r="A695" s="22"/>
      <c r="B695" s="26" t="str">
        <f t="shared" si="40"/>
        <v/>
      </c>
      <c r="C695" s="26" t="str">
        <f t="shared" si="41"/>
        <v/>
      </c>
      <c r="D695" s="26" t="str">
        <f t="shared" si="42"/>
        <v/>
      </c>
      <c r="E695" s="29"/>
      <c r="F695" s="22"/>
      <c r="G695" s="22"/>
      <c r="H695" s="22"/>
      <c r="I695" s="24"/>
      <c r="J695" s="24"/>
      <c r="K695" s="24"/>
      <c r="L695" s="24"/>
      <c r="M695" s="27" t="str">
        <f t="shared" si="43"/>
        <v/>
      </c>
      <c r="N695" s="25"/>
      <c r="O695" s="22"/>
      <c r="P695" s="24"/>
      <c r="Q695" s="26"/>
    </row>
    <row r="696" spans="1:17" ht="15" x14ac:dyDescent="0.15">
      <c r="A696" s="22"/>
      <c r="B696" s="26" t="str">
        <f t="shared" si="40"/>
        <v/>
      </c>
      <c r="C696" s="26" t="str">
        <f t="shared" si="41"/>
        <v/>
      </c>
      <c r="D696" s="26" t="str">
        <f t="shared" si="42"/>
        <v/>
      </c>
      <c r="E696" s="29"/>
      <c r="F696" s="22"/>
      <c r="G696" s="22"/>
      <c r="H696" s="22"/>
      <c r="I696" s="24"/>
      <c r="J696" s="24"/>
      <c r="K696" s="24"/>
      <c r="L696" s="24"/>
      <c r="M696" s="27" t="str">
        <f t="shared" si="43"/>
        <v/>
      </c>
      <c r="N696" s="25"/>
      <c r="O696" s="22"/>
      <c r="P696" s="24"/>
      <c r="Q696" s="26"/>
    </row>
    <row r="697" spans="1:17" ht="15" x14ac:dyDescent="0.15">
      <c r="A697" s="22"/>
      <c r="B697" s="26" t="str">
        <f t="shared" si="40"/>
        <v/>
      </c>
      <c r="C697" s="26" t="str">
        <f t="shared" si="41"/>
        <v/>
      </c>
      <c r="D697" s="26" t="str">
        <f t="shared" si="42"/>
        <v/>
      </c>
      <c r="E697" s="29"/>
      <c r="F697" s="22"/>
      <c r="G697" s="22"/>
      <c r="H697" s="22"/>
      <c r="I697" s="24"/>
      <c r="J697" s="24"/>
      <c r="K697" s="24"/>
      <c r="L697" s="24"/>
      <c r="M697" s="27" t="str">
        <f t="shared" si="43"/>
        <v/>
      </c>
      <c r="N697" s="25"/>
      <c r="O697" s="22"/>
      <c r="P697" s="24"/>
      <c r="Q697" s="26"/>
    </row>
    <row r="698" spans="1:17" ht="15" x14ac:dyDescent="0.15">
      <c r="A698" s="22"/>
      <c r="B698" s="26" t="str">
        <f t="shared" si="40"/>
        <v/>
      </c>
      <c r="C698" s="26" t="str">
        <f t="shared" si="41"/>
        <v/>
      </c>
      <c r="D698" s="26" t="str">
        <f t="shared" si="42"/>
        <v/>
      </c>
      <c r="E698" s="29"/>
      <c r="F698" s="22"/>
      <c r="G698" s="22"/>
      <c r="H698" s="22"/>
      <c r="I698" s="24"/>
      <c r="J698" s="24"/>
      <c r="K698" s="24"/>
      <c r="L698" s="24"/>
      <c r="M698" s="27" t="str">
        <f t="shared" si="43"/>
        <v/>
      </c>
      <c r="N698" s="25"/>
      <c r="O698" s="22"/>
      <c r="P698" s="24"/>
      <c r="Q698" s="26"/>
    </row>
    <row r="699" spans="1:17" ht="15" x14ac:dyDescent="0.15">
      <c r="A699" s="22"/>
      <c r="B699" s="26" t="str">
        <f t="shared" si="40"/>
        <v/>
      </c>
      <c r="C699" s="26" t="str">
        <f t="shared" si="41"/>
        <v/>
      </c>
      <c r="D699" s="26" t="str">
        <f t="shared" si="42"/>
        <v/>
      </c>
      <c r="E699" s="29"/>
      <c r="F699" s="22"/>
      <c r="G699" s="22"/>
      <c r="H699" s="22"/>
      <c r="I699" s="24"/>
      <c r="J699" s="24"/>
      <c r="K699" s="24"/>
      <c r="L699" s="24"/>
      <c r="M699" s="27" t="str">
        <f t="shared" si="43"/>
        <v/>
      </c>
      <c r="N699" s="25"/>
      <c r="O699" s="22"/>
      <c r="P699" s="24"/>
      <c r="Q699" s="26"/>
    </row>
    <row r="700" spans="1:17" ht="15" x14ac:dyDescent="0.15">
      <c r="A700" s="22"/>
      <c r="B700" s="26" t="str">
        <f t="shared" si="40"/>
        <v/>
      </c>
      <c r="C700" s="26" t="str">
        <f t="shared" si="41"/>
        <v/>
      </c>
      <c r="D700" s="26" t="str">
        <f t="shared" si="42"/>
        <v/>
      </c>
      <c r="E700" s="29"/>
      <c r="F700" s="22"/>
      <c r="G700" s="22"/>
      <c r="H700" s="22"/>
      <c r="I700" s="24"/>
      <c r="J700" s="24"/>
      <c r="K700" s="24"/>
      <c r="L700" s="24"/>
      <c r="M700" s="27" t="str">
        <f t="shared" si="43"/>
        <v/>
      </c>
      <c r="N700" s="25"/>
      <c r="O700" s="22"/>
      <c r="P700" s="24"/>
      <c r="Q700" s="26"/>
    </row>
    <row r="701" spans="1:17" ht="15" x14ac:dyDescent="0.15">
      <c r="A701" s="22"/>
      <c r="B701" s="26" t="str">
        <f t="shared" si="40"/>
        <v/>
      </c>
      <c r="C701" s="26" t="str">
        <f t="shared" si="41"/>
        <v/>
      </c>
      <c r="D701" s="26" t="str">
        <f t="shared" si="42"/>
        <v/>
      </c>
      <c r="E701" s="29"/>
      <c r="F701" s="22"/>
      <c r="G701" s="22"/>
      <c r="H701" s="22"/>
      <c r="I701" s="24"/>
      <c r="J701" s="24"/>
      <c r="K701" s="24"/>
      <c r="L701" s="24"/>
      <c r="M701" s="27" t="str">
        <f t="shared" si="43"/>
        <v/>
      </c>
      <c r="N701" s="25"/>
      <c r="O701" s="22"/>
      <c r="P701" s="24"/>
      <c r="Q701" s="26"/>
    </row>
    <row r="702" spans="1:17" ht="15" x14ac:dyDescent="0.15">
      <c r="A702" s="22"/>
      <c r="B702" s="26" t="str">
        <f t="shared" si="40"/>
        <v/>
      </c>
      <c r="C702" s="26" t="str">
        <f t="shared" si="41"/>
        <v/>
      </c>
      <c r="D702" s="26" t="str">
        <f t="shared" si="42"/>
        <v/>
      </c>
      <c r="E702" s="29"/>
      <c r="F702" s="22"/>
      <c r="G702" s="22"/>
      <c r="H702" s="22"/>
      <c r="I702" s="24"/>
      <c r="J702" s="24"/>
      <c r="K702" s="24"/>
      <c r="L702" s="24"/>
      <c r="M702" s="27" t="str">
        <f t="shared" si="43"/>
        <v/>
      </c>
      <c r="N702" s="25"/>
      <c r="O702" s="22"/>
      <c r="P702" s="24"/>
      <c r="Q702" s="26"/>
    </row>
    <row r="703" spans="1:17" ht="15" x14ac:dyDescent="0.15">
      <c r="A703" s="22"/>
      <c r="B703" s="26" t="str">
        <f t="shared" si="40"/>
        <v/>
      </c>
      <c r="C703" s="26" t="str">
        <f t="shared" si="41"/>
        <v/>
      </c>
      <c r="D703" s="26" t="str">
        <f t="shared" si="42"/>
        <v/>
      </c>
      <c r="E703" s="29"/>
      <c r="F703" s="22"/>
      <c r="G703" s="22"/>
      <c r="H703" s="22"/>
      <c r="I703" s="24"/>
      <c r="J703" s="24"/>
      <c r="K703" s="24"/>
      <c r="L703" s="24"/>
      <c r="M703" s="27" t="str">
        <f t="shared" si="43"/>
        <v/>
      </c>
      <c r="N703" s="25"/>
      <c r="O703" s="22"/>
      <c r="P703" s="24"/>
      <c r="Q703" s="26"/>
    </row>
    <row r="704" spans="1:17" ht="15" x14ac:dyDescent="0.15">
      <c r="A704" s="22"/>
      <c r="B704" s="26" t="str">
        <f t="shared" si="40"/>
        <v/>
      </c>
      <c r="C704" s="26" t="str">
        <f t="shared" si="41"/>
        <v/>
      </c>
      <c r="D704" s="26" t="str">
        <f t="shared" si="42"/>
        <v/>
      </c>
      <c r="E704" s="29"/>
      <c r="F704" s="22"/>
      <c r="G704" s="22"/>
      <c r="H704" s="22"/>
      <c r="I704" s="24"/>
      <c r="J704" s="24"/>
      <c r="K704" s="24"/>
      <c r="L704" s="24"/>
      <c r="M704" s="27" t="str">
        <f t="shared" si="43"/>
        <v/>
      </c>
      <c r="N704" s="25"/>
      <c r="O704" s="22"/>
      <c r="P704" s="24"/>
      <c r="Q704" s="26"/>
    </row>
    <row r="705" spans="1:17" ht="15" x14ac:dyDescent="0.15">
      <c r="A705" s="22"/>
      <c r="B705" s="26" t="str">
        <f t="shared" si="40"/>
        <v/>
      </c>
      <c r="C705" s="26" t="str">
        <f t="shared" si="41"/>
        <v/>
      </c>
      <c r="D705" s="26" t="str">
        <f t="shared" si="42"/>
        <v/>
      </c>
      <c r="E705" s="29"/>
      <c r="F705" s="22"/>
      <c r="G705" s="22"/>
      <c r="H705" s="22"/>
      <c r="I705" s="24"/>
      <c r="J705" s="24"/>
      <c r="K705" s="24"/>
      <c r="L705" s="24"/>
      <c r="M705" s="27" t="str">
        <f t="shared" si="43"/>
        <v/>
      </c>
      <c r="N705" s="25"/>
      <c r="O705" s="22"/>
      <c r="P705" s="24"/>
      <c r="Q705" s="26"/>
    </row>
    <row r="706" spans="1:17" ht="15" x14ac:dyDescent="0.15">
      <c r="A706" s="22"/>
      <c r="B706" s="26" t="str">
        <f t="shared" si="40"/>
        <v/>
      </c>
      <c r="C706" s="26" t="str">
        <f t="shared" si="41"/>
        <v/>
      </c>
      <c r="D706" s="26" t="str">
        <f t="shared" si="42"/>
        <v/>
      </c>
      <c r="E706" s="29"/>
      <c r="F706" s="22"/>
      <c r="G706" s="22"/>
      <c r="H706" s="22"/>
      <c r="I706" s="24"/>
      <c r="J706" s="24"/>
      <c r="K706" s="24"/>
      <c r="L706" s="24"/>
      <c r="M706" s="27" t="str">
        <f t="shared" si="43"/>
        <v/>
      </c>
      <c r="N706" s="25"/>
      <c r="O706" s="22"/>
      <c r="P706" s="24"/>
      <c r="Q706" s="26"/>
    </row>
    <row r="707" spans="1:17" ht="15" x14ac:dyDescent="0.15">
      <c r="A707" s="22"/>
      <c r="B707" s="26" t="str">
        <f t="shared" si="40"/>
        <v/>
      </c>
      <c r="C707" s="26" t="str">
        <f t="shared" si="41"/>
        <v/>
      </c>
      <c r="D707" s="26" t="str">
        <f t="shared" si="42"/>
        <v/>
      </c>
      <c r="E707" s="29"/>
      <c r="F707" s="22"/>
      <c r="G707" s="22"/>
      <c r="H707" s="22"/>
      <c r="I707" s="24"/>
      <c r="J707" s="24"/>
      <c r="K707" s="24"/>
      <c r="L707" s="24"/>
      <c r="M707" s="27" t="str">
        <f t="shared" si="43"/>
        <v/>
      </c>
      <c r="N707" s="25"/>
      <c r="O707" s="22"/>
      <c r="P707" s="24"/>
      <c r="Q707" s="26"/>
    </row>
    <row r="708" spans="1:17" ht="15" x14ac:dyDescent="0.15">
      <c r="A708" s="22"/>
      <c r="B708" s="26" t="str">
        <f t="shared" si="40"/>
        <v/>
      </c>
      <c r="C708" s="26" t="str">
        <f t="shared" si="41"/>
        <v/>
      </c>
      <c r="D708" s="26" t="str">
        <f t="shared" si="42"/>
        <v/>
      </c>
      <c r="E708" s="29"/>
      <c r="F708" s="22"/>
      <c r="G708" s="22"/>
      <c r="H708" s="22"/>
      <c r="I708" s="24"/>
      <c r="J708" s="24"/>
      <c r="K708" s="24"/>
      <c r="L708" s="24"/>
      <c r="M708" s="27" t="str">
        <f t="shared" si="43"/>
        <v/>
      </c>
      <c r="N708" s="25"/>
      <c r="O708" s="22"/>
      <c r="P708" s="24"/>
      <c r="Q708" s="26"/>
    </row>
    <row r="709" spans="1:17" ht="15" x14ac:dyDescent="0.15">
      <c r="A709" s="22"/>
      <c r="B709" s="26" t="str">
        <f t="shared" si="40"/>
        <v/>
      </c>
      <c r="C709" s="26" t="str">
        <f t="shared" si="41"/>
        <v/>
      </c>
      <c r="D709" s="26" t="str">
        <f t="shared" si="42"/>
        <v/>
      </c>
      <c r="E709" s="29"/>
      <c r="F709" s="22"/>
      <c r="G709" s="22"/>
      <c r="H709" s="22"/>
      <c r="I709" s="24"/>
      <c r="J709" s="24"/>
      <c r="K709" s="24"/>
      <c r="L709" s="24"/>
      <c r="M709" s="27" t="str">
        <f t="shared" si="43"/>
        <v/>
      </c>
      <c r="N709" s="25"/>
      <c r="O709" s="22"/>
      <c r="P709" s="24"/>
      <c r="Q709" s="26"/>
    </row>
    <row r="710" spans="1:17" ht="15" x14ac:dyDescent="0.15">
      <c r="A710" s="22"/>
      <c r="B710" s="26" t="str">
        <f t="shared" si="40"/>
        <v/>
      </c>
      <c r="C710" s="26" t="str">
        <f t="shared" si="41"/>
        <v/>
      </c>
      <c r="D710" s="26" t="str">
        <f t="shared" si="42"/>
        <v/>
      </c>
      <c r="E710" s="29"/>
      <c r="F710" s="22"/>
      <c r="G710" s="22"/>
      <c r="H710" s="22"/>
      <c r="I710" s="24"/>
      <c r="J710" s="24"/>
      <c r="K710" s="24"/>
      <c r="L710" s="24"/>
      <c r="M710" s="27" t="str">
        <f t="shared" si="43"/>
        <v/>
      </c>
      <c r="N710" s="25"/>
      <c r="O710" s="22"/>
      <c r="P710" s="24"/>
      <c r="Q710" s="26"/>
    </row>
    <row r="711" spans="1:17" ht="15" x14ac:dyDescent="0.15">
      <c r="A711" s="22"/>
      <c r="B711" s="26" t="str">
        <f t="shared" ref="B711:B774" si="44">IFERROR(IF($A711="","",LEFT($A711,FIND(" | ",$A711)-1)),"")</f>
        <v/>
      </c>
      <c r="C711" s="26" t="str">
        <f t="shared" ref="C711:C774" si="45">IFERROR(IF($A711="","",MID($A711,FIND(" | ",$A711)+3,FIND(" | ",$A711,FIND(" | ",$A711)+3)-FIND(" | ",$A711)-3)),"")</f>
        <v/>
      </c>
      <c r="D711" s="26" t="str">
        <f t="shared" ref="D711:D774" si="46">IFERROR(IF($A711="","",RIGHT($A711,LEN($A711)-FIND(" | ",$A711,FIND(" | ",$A711)+3)-2)),"")</f>
        <v/>
      </c>
      <c r="E711" s="29"/>
      <c r="F711" s="22"/>
      <c r="G711" s="22"/>
      <c r="H711" s="22"/>
      <c r="I711" s="24"/>
      <c r="J711" s="24"/>
      <c r="K711" s="24"/>
      <c r="L711" s="24"/>
      <c r="M711" s="27" t="str">
        <f t="shared" ref="M711:M774" si="47">IF($B711="","",SUM($J711,-$K711,$L711))</f>
        <v/>
      </c>
      <c r="N711" s="25"/>
      <c r="O711" s="22"/>
      <c r="P711" s="24"/>
      <c r="Q711" s="26"/>
    </row>
    <row r="712" spans="1:17" ht="15" x14ac:dyDescent="0.15">
      <c r="A712" s="22"/>
      <c r="B712" s="26" t="str">
        <f t="shared" si="44"/>
        <v/>
      </c>
      <c r="C712" s="26" t="str">
        <f t="shared" si="45"/>
        <v/>
      </c>
      <c r="D712" s="26" t="str">
        <f t="shared" si="46"/>
        <v/>
      </c>
      <c r="E712" s="29"/>
      <c r="F712" s="22"/>
      <c r="G712" s="22"/>
      <c r="H712" s="22"/>
      <c r="I712" s="24"/>
      <c r="J712" s="24"/>
      <c r="K712" s="24"/>
      <c r="L712" s="24"/>
      <c r="M712" s="27" t="str">
        <f t="shared" si="47"/>
        <v/>
      </c>
      <c r="N712" s="25"/>
      <c r="O712" s="22"/>
      <c r="P712" s="24"/>
      <c r="Q712" s="26"/>
    </row>
    <row r="713" spans="1:17" ht="15" x14ac:dyDescent="0.15">
      <c r="A713" s="22"/>
      <c r="B713" s="26" t="str">
        <f t="shared" si="44"/>
        <v/>
      </c>
      <c r="C713" s="26" t="str">
        <f t="shared" si="45"/>
        <v/>
      </c>
      <c r="D713" s="26" t="str">
        <f t="shared" si="46"/>
        <v/>
      </c>
      <c r="E713" s="29"/>
      <c r="F713" s="22"/>
      <c r="G713" s="22"/>
      <c r="H713" s="22"/>
      <c r="I713" s="24"/>
      <c r="J713" s="24"/>
      <c r="K713" s="24"/>
      <c r="L713" s="24"/>
      <c r="M713" s="27" t="str">
        <f t="shared" si="47"/>
        <v/>
      </c>
      <c r="N713" s="25"/>
      <c r="O713" s="22"/>
      <c r="P713" s="24"/>
      <c r="Q713" s="26"/>
    </row>
    <row r="714" spans="1:17" ht="15" x14ac:dyDescent="0.15">
      <c r="A714" s="22"/>
      <c r="B714" s="26" t="str">
        <f t="shared" si="44"/>
        <v/>
      </c>
      <c r="C714" s="26" t="str">
        <f t="shared" si="45"/>
        <v/>
      </c>
      <c r="D714" s="26" t="str">
        <f t="shared" si="46"/>
        <v/>
      </c>
      <c r="E714" s="29"/>
      <c r="F714" s="22"/>
      <c r="G714" s="22"/>
      <c r="H714" s="22"/>
      <c r="I714" s="24"/>
      <c r="J714" s="24"/>
      <c r="K714" s="24"/>
      <c r="L714" s="24"/>
      <c r="M714" s="27" t="str">
        <f t="shared" si="47"/>
        <v/>
      </c>
      <c r="N714" s="25"/>
      <c r="O714" s="22"/>
      <c r="P714" s="24"/>
      <c r="Q714" s="26"/>
    </row>
    <row r="715" spans="1:17" ht="15" x14ac:dyDescent="0.15">
      <c r="A715" s="22"/>
      <c r="B715" s="26" t="str">
        <f t="shared" si="44"/>
        <v/>
      </c>
      <c r="C715" s="26" t="str">
        <f t="shared" si="45"/>
        <v/>
      </c>
      <c r="D715" s="26" t="str">
        <f t="shared" si="46"/>
        <v/>
      </c>
      <c r="E715" s="29"/>
      <c r="F715" s="22"/>
      <c r="G715" s="22"/>
      <c r="H715" s="22"/>
      <c r="I715" s="24"/>
      <c r="J715" s="24"/>
      <c r="K715" s="24"/>
      <c r="L715" s="24"/>
      <c r="M715" s="27" t="str">
        <f t="shared" si="47"/>
        <v/>
      </c>
      <c r="N715" s="25"/>
      <c r="O715" s="22"/>
      <c r="P715" s="24"/>
      <c r="Q715" s="26"/>
    </row>
    <row r="716" spans="1:17" ht="15" x14ac:dyDescent="0.15">
      <c r="A716" s="22"/>
      <c r="B716" s="26" t="str">
        <f t="shared" si="44"/>
        <v/>
      </c>
      <c r="C716" s="26" t="str">
        <f t="shared" si="45"/>
        <v/>
      </c>
      <c r="D716" s="26" t="str">
        <f t="shared" si="46"/>
        <v/>
      </c>
      <c r="E716" s="29"/>
      <c r="F716" s="22"/>
      <c r="G716" s="22"/>
      <c r="H716" s="22"/>
      <c r="I716" s="24"/>
      <c r="J716" s="24"/>
      <c r="K716" s="24"/>
      <c r="L716" s="24"/>
      <c r="M716" s="27" t="str">
        <f t="shared" si="47"/>
        <v/>
      </c>
      <c r="N716" s="25"/>
      <c r="O716" s="22"/>
      <c r="P716" s="24"/>
      <c r="Q716" s="26"/>
    </row>
    <row r="717" spans="1:17" ht="15" x14ac:dyDescent="0.15">
      <c r="A717" s="22"/>
      <c r="B717" s="26" t="str">
        <f t="shared" si="44"/>
        <v/>
      </c>
      <c r="C717" s="26" t="str">
        <f t="shared" si="45"/>
        <v/>
      </c>
      <c r="D717" s="26" t="str">
        <f t="shared" si="46"/>
        <v/>
      </c>
      <c r="E717" s="29"/>
      <c r="F717" s="22"/>
      <c r="G717" s="22"/>
      <c r="H717" s="22"/>
      <c r="I717" s="24"/>
      <c r="J717" s="24"/>
      <c r="K717" s="24"/>
      <c r="L717" s="24"/>
      <c r="M717" s="27" t="str">
        <f t="shared" si="47"/>
        <v/>
      </c>
      <c r="N717" s="25"/>
      <c r="O717" s="22"/>
      <c r="P717" s="24"/>
      <c r="Q717" s="26"/>
    </row>
    <row r="718" spans="1:17" ht="15" x14ac:dyDescent="0.15">
      <c r="A718" s="22"/>
      <c r="B718" s="26" t="str">
        <f t="shared" si="44"/>
        <v/>
      </c>
      <c r="C718" s="26" t="str">
        <f t="shared" si="45"/>
        <v/>
      </c>
      <c r="D718" s="26" t="str">
        <f t="shared" si="46"/>
        <v/>
      </c>
      <c r="E718" s="29"/>
      <c r="F718" s="22"/>
      <c r="G718" s="22"/>
      <c r="H718" s="22"/>
      <c r="I718" s="24"/>
      <c r="J718" s="24"/>
      <c r="K718" s="24"/>
      <c r="L718" s="24"/>
      <c r="M718" s="27" t="str">
        <f t="shared" si="47"/>
        <v/>
      </c>
      <c r="N718" s="25"/>
      <c r="O718" s="22"/>
      <c r="P718" s="24"/>
      <c r="Q718" s="26"/>
    </row>
    <row r="719" spans="1:17" ht="15" x14ac:dyDescent="0.15">
      <c r="A719" s="22"/>
      <c r="B719" s="26" t="str">
        <f t="shared" si="44"/>
        <v/>
      </c>
      <c r="C719" s="26" t="str">
        <f t="shared" si="45"/>
        <v/>
      </c>
      <c r="D719" s="26" t="str">
        <f t="shared" si="46"/>
        <v/>
      </c>
      <c r="E719" s="29"/>
      <c r="F719" s="22"/>
      <c r="G719" s="22"/>
      <c r="H719" s="22"/>
      <c r="I719" s="24"/>
      <c r="J719" s="24"/>
      <c r="K719" s="24"/>
      <c r="L719" s="24"/>
      <c r="M719" s="27" t="str">
        <f t="shared" si="47"/>
        <v/>
      </c>
      <c r="N719" s="25"/>
      <c r="O719" s="22"/>
      <c r="P719" s="24"/>
      <c r="Q719" s="26"/>
    </row>
    <row r="720" spans="1:17" ht="15" x14ac:dyDescent="0.15">
      <c r="A720" s="22"/>
      <c r="B720" s="26" t="str">
        <f t="shared" si="44"/>
        <v/>
      </c>
      <c r="C720" s="26" t="str">
        <f t="shared" si="45"/>
        <v/>
      </c>
      <c r="D720" s="26" t="str">
        <f t="shared" si="46"/>
        <v/>
      </c>
      <c r="E720" s="29"/>
      <c r="F720" s="22"/>
      <c r="G720" s="22"/>
      <c r="H720" s="22"/>
      <c r="I720" s="24"/>
      <c r="J720" s="24"/>
      <c r="K720" s="24"/>
      <c r="L720" s="24"/>
      <c r="M720" s="27" t="str">
        <f t="shared" si="47"/>
        <v/>
      </c>
      <c r="N720" s="25"/>
      <c r="O720" s="22"/>
      <c r="P720" s="24"/>
      <c r="Q720" s="26"/>
    </row>
    <row r="721" spans="1:17" ht="15" x14ac:dyDescent="0.15">
      <c r="A721" s="22"/>
      <c r="B721" s="26" t="str">
        <f t="shared" si="44"/>
        <v/>
      </c>
      <c r="C721" s="26" t="str">
        <f t="shared" si="45"/>
        <v/>
      </c>
      <c r="D721" s="26" t="str">
        <f t="shared" si="46"/>
        <v/>
      </c>
      <c r="E721" s="29"/>
      <c r="F721" s="22"/>
      <c r="G721" s="22"/>
      <c r="H721" s="22"/>
      <c r="I721" s="24"/>
      <c r="J721" s="24"/>
      <c r="K721" s="24"/>
      <c r="L721" s="24"/>
      <c r="M721" s="27" t="str">
        <f t="shared" si="47"/>
        <v/>
      </c>
      <c r="N721" s="25"/>
      <c r="O721" s="22"/>
      <c r="P721" s="24"/>
      <c r="Q721" s="26"/>
    </row>
    <row r="722" spans="1:17" ht="15" x14ac:dyDescent="0.15">
      <c r="A722" s="22"/>
      <c r="B722" s="26" t="str">
        <f t="shared" si="44"/>
        <v/>
      </c>
      <c r="C722" s="26" t="str">
        <f t="shared" si="45"/>
        <v/>
      </c>
      <c r="D722" s="26" t="str">
        <f t="shared" si="46"/>
        <v/>
      </c>
      <c r="E722" s="29"/>
      <c r="F722" s="22"/>
      <c r="G722" s="22"/>
      <c r="H722" s="22"/>
      <c r="I722" s="24"/>
      <c r="J722" s="24"/>
      <c r="K722" s="24"/>
      <c r="L722" s="24"/>
      <c r="M722" s="27" t="str">
        <f t="shared" si="47"/>
        <v/>
      </c>
      <c r="N722" s="25"/>
      <c r="O722" s="22"/>
      <c r="P722" s="24"/>
      <c r="Q722" s="26"/>
    </row>
    <row r="723" spans="1:17" ht="15" x14ac:dyDescent="0.15">
      <c r="A723" s="22"/>
      <c r="B723" s="26" t="str">
        <f t="shared" si="44"/>
        <v/>
      </c>
      <c r="C723" s="26" t="str">
        <f t="shared" si="45"/>
        <v/>
      </c>
      <c r="D723" s="26" t="str">
        <f t="shared" si="46"/>
        <v/>
      </c>
      <c r="E723" s="29"/>
      <c r="F723" s="22"/>
      <c r="G723" s="22"/>
      <c r="H723" s="22"/>
      <c r="I723" s="24"/>
      <c r="J723" s="24"/>
      <c r="K723" s="24"/>
      <c r="L723" s="24"/>
      <c r="M723" s="27" t="str">
        <f t="shared" si="47"/>
        <v/>
      </c>
      <c r="N723" s="25"/>
      <c r="O723" s="22"/>
      <c r="P723" s="24"/>
      <c r="Q723" s="26"/>
    </row>
    <row r="724" spans="1:17" ht="15" x14ac:dyDescent="0.15">
      <c r="A724" s="22"/>
      <c r="B724" s="26" t="str">
        <f t="shared" si="44"/>
        <v/>
      </c>
      <c r="C724" s="26" t="str">
        <f t="shared" si="45"/>
        <v/>
      </c>
      <c r="D724" s="26" t="str">
        <f t="shared" si="46"/>
        <v/>
      </c>
      <c r="E724" s="29"/>
      <c r="F724" s="22"/>
      <c r="G724" s="22"/>
      <c r="H724" s="22"/>
      <c r="I724" s="24"/>
      <c r="J724" s="24"/>
      <c r="K724" s="24"/>
      <c r="L724" s="24"/>
      <c r="M724" s="27" t="str">
        <f t="shared" si="47"/>
        <v/>
      </c>
      <c r="N724" s="25"/>
      <c r="O724" s="22"/>
      <c r="P724" s="24"/>
      <c r="Q724" s="26"/>
    </row>
    <row r="725" spans="1:17" ht="15" x14ac:dyDescent="0.15">
      <c r="A725" s="22"/>
      <c r="B725" s="26" t="str">
        <f t="shared" si="44"/>
        <v/>
      </c>
      <c r="C725" s="26" t="str">
        <f t="shared" si="45"/>
        <v/>
      </c>
      <c r="D725" s="26" t="str">
        <f t="shared" si="46"/>
        <v/>
      </c>
      <c r="E725" s="29"/>
      <c r="F725" s="22"/>
      <c r="G725" s="22"/>
      <c r="H725" s="22"/>
      <c r="I725" s="24"/>
      <c r="J725" s="24"/>
      <c r="K725" s="24"/>
      <c r="L725" s="24"/>
      <c r="M725" s="27" t="str">
        <f t="shared" si="47"/>
        <v/>
      </c>
      <c r="N725" s="25"/>
      <c r="O725" s="22"/>
      <c r="P725" s="24"/>
      <c r="Q725" s="26"/>
    </row>
    <row r="726" spans="1:17" ht="15" x14ac:dyDescent="0.15">
      <c r="A726" s="22"/>
      <c r="B726" s="26" t="str">
        <f t="shared" si="44"/>
        <v/>
      </c>
      <c r="C726" s="26" t="str">
        <f t="shared" si="45"/>
        <v/>
      </c>
      <c r="D726" s="26" t="str">
        <f t="shared" si="46"/>
        <v/>
      </c>
      <c r="E726" s="29"/>
      <c r="F726" s="22"/>
      <c r="G726" s="22"/>
      <c r="H726" s="22"/>
      <c r="I726" s="24"/>
      <c r="J726" s="24"/>
      <c r="K726" s="24"/>
      <c r="L726" s="24"/>
      <c r="M726" s="27" t="str">
        <f t="shared" si="47"/>
        <v/>
      </c>
      <c r="N726" s="25"/>
      <c r="O726" s="22"/>
      <c r="P726" s="24"/>
      <c r="Q726" s="26"/>
    </row>
    <row r="727" spans="1:17" ht="15" x14ac:dyDescent="0.15">
      <c r="A727" s="22"/>
      <c r="B727" s="26" t="str">
        <f t="shared" si="44"/>
        <v/>
      </c>
      <c r="C727" s="26" t="str">
        <f t="shared" si="45"/>
        <v/>
      </c>
      <c r="D727" s="26" t="str">
        <f t="shared" si="46"/>
        <v/>
      </c>
      <c r="E727" s="29"/>
      <c r="F727" s="22"/>
      <c r="G727" s="22"/>
      <c r="H727" s="22"/>
      <c r="I727" s="24"/>
      <c r="J727" s="24"/>
      <c r="K727" s="24"/>
      <c r="L727" s="24"/>
      <c r="M727" s="27" t="str">
        <f t="shared" si="47"/>
        <v/>
      </c>
      <c r="N727" s="25"/>
      <c r="O727" s="22"/>
      <c r="P727" s="24"/>
      <c r="Q727" s="26"/>
    </row>
    <row r="728" spans="1:17" ht="15" x14ac:dyDescent="0.15">
      <c r="A728" s="22"/>
      <c r="B728" s="26" t="str">
        <f t="shared" si="44"/>
        <v/>
      </c>
      <c r="C728" s="26" t="str">
        <f t="shared" si="45"/>
        <v/>
      </c>
      <c r="D728" s="26" t="str">
        <f t="shared" si="46"/>
        <v/>
      </c>
      <c r="E728" s="29"/>
      <c r="F728" s="22"/>
      <c r="G728" s="22"/>
      <c r="H728" s="22"/>
      <c r="I728" s="24"/>
      <c r="J728" s="24"/>
      <c r="K728" s="24"/>
      <c r="L728" s="24"/>
      <c r="M728" s="27" t="str">
        <f t="shared" si="47"/>
        <v/>
      </c>
      <c r="N728" s="25"/>
      <c r="O728" s="22"/>
      <c r="P728" s="24"/>
      <c r="Q728" s="26"/>
    </row>
    <row r="729" spans="1:17" ht="15" x14ac:dyDescent="0.15">
      <c r="A729" s="22"/>
      <c r="B729" s="26" t="str">
        <f t="shared" si="44"/>
        <v/>
      </c>
      <c r="C729" s="26" t="str">
        <f t="shared" si="45"/>
        <v/>
      </c>
      <c r="D729" s="26" t="str">
        <f t="shared" si="46"/>
        <v/>
      </c>
      <c r="E729" s="29"/>
      <c r="F729" s="22"/>
      <c r="G729" s="22"/>
      <c r="H729" s="22"/>
      <c r="I729" s="24"/>
      <c r="J729" s="24"/>
      <c r="K729" s="24"/>
      <c r="L729" s="24"/>
      <c r="M729" s="27" t="str">
        <f t="shared" si="47"/>
        <v/>
      </c>
      <c r="N729" s="25"/>
      <c r="O729" s="22"/>
      <c r="P729" s="24"/>
      <c r="Q729" s="26"/>
    </row>
    <row r="730" spans="1:17" ht="15" x14ac:dyDescent="0.15">
      <c r="A730" s="22"/>
      <c r="B730" s="26" t="str">
        <f t="shared" si="44"/>
        <v/>
      </c>
      <c r="C730" s="26" t="str">
        <f t="shared" si="45"/>
        <v/>
      </c>
      <c r="D730" s="26" t="str">
        <f t="shared" si="46"/>
        <v/>
      </c>
      <c r="E730" s="29"/>
      <c r="F730" s="22"/>
      <c r="G730" s="22"/>
      <c r="H730" s="22"/>
      <c r="I730" s="24"/>
      <c r="J730" s="24"/>
      <c r="K730" s="24"/>
      <c r="L730" s="24"/>
      <c r="M730" s="27" t="str">
        <f t="shared" si="47"/>
        <v/>
      </c>
      <c r="N730" s="25"/>
      <c r="O730" s="22"/>
      <c r="P730" s="24"/>
      <c r="Q730" s="26"/>
    </row>
    <row r="731" spans="1:17" ht="15" x14ac:dyDescent="0.15">
      <c r="A731" s="22"/>
      <c r="B731" s="26" t="str">
        <f t="shared" si="44"/>
        <v/>
      </c>
      <c r="C731" s="26" t="str">
        <f t="shared" si="45"/>
        <v/>
      </c>
      <c r="D731" s="26" t="str">
        <f t="shared" si="46"/>
        <v/>
      </c>
      <c r="E731" s="29"/>
      <c r="F731" s="22"/>
      <c r="G731" s="22"/>
      <c r="H731" s="22"/>
      <c r="I731" s="24"/>
      <c r="J731" s="24"/>
      <c r="K731" s="24"/>
      <c r="L731" s="24"/>
      <c r="M731" s="27" t="str">
        <f t="shared" si="47"/>
        <v/>
      </c>
      <c r="N731" s="25"/>
      <c r="O731" s="22"/>
      <c r="P731" s="24"/>
      <c r="Q731" s="26"/>
    </row>
    <row r="732" spans="1:17" ht="15" x14ac:dyDescent="0.15">
      <c r="A732" s="22"/>
      <c r="B732" s="26" t="str">
        <f t="shared" si="44"/>
        <v/>
      </c>
      <c r="C732" s="26" t="str">
        <f t="shared" si="45"/>
        <v/>
      </c>
      <c r="D732" s="26" t="str">
        <f t="shared" si="46"/>
        <v/>
      </c>
      <c r="E732" s="29"/>
      <c r="F732" s="22"/>
      <c r="G732" s="22"/>
      <c r="H732" s="22"/>
      <c r="I732" s="24"/>
      <c r="J732" s="24"/>
      <c r="K732" s="24"/>
      <c r="L732" s="24"/>
      <c r="M732" s="27" t="str">
        <f t="shared" si="47"/>
        <v/>
      </c>
      <c r="N732" s="25"/>
      <c r="O732" s="22"/>
      <c r="P732" s="24"/>
      <c r="Q732" s="26"/>
    </row>
    <row r="733" spans="1:17" ht="15" x14ac:dyDescent="0.15">
      <c r="A733" s="22"/>
      <c r="B733" s="26" t="str">
        <f t="shared" si="44"/>
        <v/>
      </c>
      <c r="C733" s="26" t="str">
        <f t="shared" si="45"/>
        <v/>
      </c>
      <c r="D733" s="26" t="str">
        <f t="shared" si="46"/>
        <v/>
      </c>
      <c r="E733" s="29"/>
      <c r="F733" s="22"/>
      <c r="G733" s="22"/>
      <c r="H733" s="22"/>
      <c r="I733" s="24"/>
      <c r="J733" s="24"/>
      <c r="K733" s="24"/>
      <c r="L733" s="24"/>
      <c r="M733" s="27" t="str">
        <f t="shared" si="47"/>
        <v/>
      </c>
      <c r="N733" s="25"/>
      <c r="O733" s="22"/>
      <c r="P733" s="24"/>
      <c r="Q733" s="26"/>
    </row>
    <row r="734" spans="1:17" ht="15" x14ac:dyDescent="0.15">
      <c r="A734" s="22"/>
      <c r="B734" s="26" t="str">
        <f t="shared" si="44"/>
        <v/>
      </c>
      <c r="C734" s="26" t="str">
        <f t="shared" si="45"/>
        <v/>
      </c>
      <c r="D734" s="26" t="str">
        <f t="shared" si="46"/>
        <v/>
      </c>
      <c r="E734" s="29"/>
      <c r="F734" s="22"/>
      <c r="G734" s="22"/>
      <c r="H734" s="22"/>
      <c r="I734" s="24"/>
      <c r="J734" s="24"/>
      <c r="K734" s="24"/>
      <c r="L734" s="24"/>
      <c r="M734" s="27" t="str">
        <f t="shared" si="47"/>
        <v/>
      </c>
      <c r="N734" s="25"/>
      <c r="O734" s="22"/>
      <c r="P734" s="24"/>
      <c r="Q734" s="26"/>
    </row>
    <row r="735" spans="1:17" ht="15" x14ac:dyDescent="0.15">
      <c r="A735" s="22"/>
      <c r="B735" s="26" t="str">
        <f t="shared" si="44"/>
        <v/>
      </c>
      <c r="C735" s="26" t="str">
        <f t="shared" si="45"/>
        <v/>
      </c>
      <c r="D735" s="26" t="str">
        <f t="shared" si="46"/>
        <v/>
      </c>
      <c r="E735" s="29"/>
      <c r="F735" s="22"/>
      <c r="G735" s="22"/>
      <c r="H735" s="22"/>
      <c r="I735" s="24"/>
      <c r="J735" s="24"/>
      <c r="K735" s="24"/>
      <c r="L735" s="24"/>
      <c r="M735" s="27" t="str">
        <f t="shared" si="47"/>
        <v/>
      </c>
      <c r="N735" s="25"/>
      <c r="O735" s="22"/>
      <c r="P735" s="24"/>
      <c r="Q735" s="26"/>
    </row>
    <row r="736" spans="1:17" ht="15" x14ac:dyDescent="0.15">
      <c r="A736" s="22"/>
      <c r="B736" s="26" t="str">
        <f t="shared" si="44"/>
        <v/>
      </c>
      <c r="C736" s="26" t="str">
        <f t="shared" si="45"/>
        <v/>
      </c>
      <c r="D736" s="26" t="str">
        <f t="shared" si="46"/>
        <v/>
      </c>
      <c r="E736" s="29"/>
      <c r="F736" s="22"/>
      <c r="G736" s="22"/>
      <c r="H736" s="22"/>
      <c r="I736" s="24"/>
      <c r="J736" s="24"/>
      <c r="K736" s="24"/>
      <c r="L736" s="24"/>
      <c r="M736" s="27" t="str">
        <f t="shared" si="47"/>
        <v/>
      </c>
      <c r="N736" s="25"/>
      <c r="O736" s="22"/>
      <c r="P736" s="24"/>
      <c r="Q736" s="26"/>
    </row>
    <row r="737" spans="1:17" ht="15" x14ac:dyDescent="0.15">
      <c r="A737" s="22"/>
      <c r="B737" s="26" t="str">
        <f t="shared" si="44"/>
        <v/>
      </c>
      <c r="C737" s="26" t="str">
        <f t="shared" si="45"/>
        <v/>
      </c>
      <c r="D737" s="26" t="str">
        <f t="shared" si="46"/>
        <v/>
      </c>
      <c r="E737" s="29"/>
      <c r="F737" s="22"/>
      <c r="G737" s="22"/>
      <c r="H737" s="22"/>
      <c r="I737" s="24"/>
      <c r="J737" s="24"/>
      <c r="K737" s="24"/>
      <c r="L737" s="24"/>
      <c r="M737" s="27" t="str">
        <f t="shared" si="47"/>
        <v/>
      </c>
      <c r="N737" s="25"/>
      <c r="O737" s="22"/>
      <c r="P737" s="24"/>
      <c r="Q737" s="26"/>
    </row>
    <row r="738" spans="1:17" ht="15" x14ac:dyDescent="0.15">
      <c r="A738" s="22"/>
      <c r="B738" s="26" t="str">
        <f t="shared" si="44"/>
        <v/>
      </c>
      <c r="C738" s="26" t="str">
        <f t="shared" si="45"/>
        <v/>
      </c>
      <c r="D738" s="26" t="str">
        <f t="shared" si="46"/>
        <v/>
      </c>
      <c r="E738" s="29"/>
      <c r="F738" s="22"/>
      <c r="G738" s="22"/>
      <c r="H738" s="22"/>
      <c r="I738" s="24"/>
      <c r="J738" s="24"/>
      <c r="K738" s="24"/>
      <c r="L738" s="24"/>
      <c r="M738" s="27" t="str">
        <f t="shared" si="47"/>
        <v/>
      </c>
      <c r="N738" s="25"/>
      <c r="O738" s="22"/>
      <c r="P738" s="24"/>
      <c r="Q738" s="26"/>
    </row>
    <row r="739" spans="1:17" ht="15" x14ac:dyDescent="0.15">
      <c r="A739" s="22"/>
      <c r="B739" s="26" t="str">
        <f t="shared" si="44"/>
        <v/>
      </c>
      <c r="C739" s="26" t="str">
        <f t="shared" si="45"/>
        <v/>
      </c>
      <c r="D739" s="26" t="str">
        <f t="shared" si="46"/>
        <v/>
      </c>
      <c r="E739" s="29"/>
      <c r="F739" s="22"/>
      <c r="G739" s="22"/>
      <c r="H739" s="22"/>
      <c r="I739" s="24"/>
      <c r="J739" s="24"/>
      <c r="K739" s="24"/>
      <c r="L739" s="24"/>
      <c r="M739" s="27" t="str">
        <f t="shared" si="47"/>
        <v/>
      </c>
      <c r="N739" s="25"/>
      <c r="O739" s="22"/>
      <c r="P739" s="24"/>
      <c r="Q739" s="26"/>
    </row>
    <row r="740" spans="1:17" ht="15" x14ac:dyDescent="0.15">
      <c r="A740" s="22"/>
      <c r="B740" s="26" t="str">
        <f t="shared" si="44"/>
        <v/>
      </c>
      <c r="C740" s="26" t="str">
        <f t="shared" si="45"/>
        <v/>
      </c>
      <c r="D740" s="26" t="str">
        <f t="shared" si="46"/>
        <v/>
      </c>
      <c r="E740" s="29"/>
      <c r="F740" s="22"/>
      <c r="G740" s="22"/>
      <c r="H740" s="22"/>
      <c r="I740" s="24"/>
      <c r="J740" s="24"/>
      <c r="K740" s="24"/>
      <c r="L740" s="24"/>
      <c r="M740" s="27" t="str">
        <f t="shared" si="47"/>
        <v/>
      </c>
      <c r="N740" s="25"/>
      <c r="O740" s="22"/>
      <c r="P740" s="24"/>
      <c r="Q740" s="26"/>
    </row>
    <row r="741" spans="1:17" ht="15" x14ac:dyDescent="0.15">
      <c r="A741" s="22"/>
      <c r="B741" s="26" t="str">
        <f t="shared" si="44"/>
        <v/>
      </c>
      <c r="C741" s="26" t="str">
        <f t="shared" si="45"/>
        <v/>
      </c>
      <c r="D741" s="26" t="str">
        <f t="shared" si="46"/>
        <v/>
      </c>
      <c r="E741" s="29"/>
      <c r="F741" s="22"/>
      <c r="G741" s="22"/>
      <c r="H741" s="22"/>
      <c r="I741" s="24"/>
      <c r="J741" s="24"/>
      <c r="K741" s="24"/>
      <c r="L741" s="24"/>
      <c r="M741" s="27" t="str">
        <f t="shared" si="47"/>
        <v/>
      </c>
      <c r="N741" s="25"/>
      <c r="O741" s="22"/>
      <c r="P741" s="24"/>
      <c r="Q741" s="26"/>
    </row>
    <row r="742" spans="1:17" ht="15" x14ac:dyDescent="0.15">
      <c r="A742" s="22"/>
      <c r="B742" s="26" t="str">
        <f t="shared" si="44"/>
        <v/>
      </c>
      <c r="C742" s="26" t="str">
        <f t="shared" si="45"/>
        <v/>
      </c>
      <c r="D742" s="26" t="str">
        <f t="shared" si="46"/>
        <v/>
      </c>
      <c r="E742" s="29"/>
      <c r="F742" s="22"/>
      <c r="G742" s="22"/>
      <c r="H742" s="22"/>
      <c r="I742" s="24"/>
      <c r="J742" s="24"/>
      <c r="K742" s="24"/>
      <c r="L742" s="24"/>
      <c r="M742" s="27" t="str">
        <f t="shared" si="47"/>
        <v/>
      </c>
      <c r="N742" s="25"/>
      <c r="O742" s="22"/>
      <c r="P742" s="24"/>
      <c r="Q742" s="26"/>
    </row>
    <row r="743" spans="1:17" ht="15" x14ac:dyDescent="0.15">
      <c r="A743" s="22"/>
      <c r="B743" s="26" t="str">
        <f t="shared" si="44"/>
        <v/>
      </c>
      <c r="C743" s="26" t="str">
        <f t="shared" si="45"/>
        <v/>
      </c>
      <c r="D743" s="26" t="str">
        <f t="shared" si="46"/>
        <v/>
      </c>
      <c r="E743" s="29"/>
      <c r="F743" s="22"/>
      <c r="G743" s="22"/>
      <c r="H743" s="22"/>
      <c r="I743" s="24"/>
      <c r="J743" s="24"/>
      <c r="K743" s="24"/>
      <c r="L743" s="24"/>
      <c r="M743" s="27" t="str">
        <f t="shared" si="47"/>
        <v/>
      </c>
      <c r="N743" s="25"/>
      <c r="O743" s="22"/>
      <c r="P743" s="24"/>
      <c r="Q743" s="26"/>
    </row>
    <row r="744" spans="1:17" ht="15" x14ac:dyDescent="0.15">
      <c r="A744" s="22"/>
      <c r="B744" s="26" t="str">
        <f t="shared" si="44"/>
        <v/>
      </c>
      <c r="C744" s="26" t="str">
        <f t="shared" si="45"/>
        <v/>
      </c>
      <c r="D744" s="26" t="str">
        <f t="shared" si="46"/>
        <v/>
      </c>
      <c r="E744" s="29"/>
      <c r="F744" s="22"/>
      <c r="G744" s="22"/>
      <c r="H744" s="22"/>
      <c r="I744" s="24"/>
      <c r="J744" s="24"/>
      <c r="K744" s="24"/>
      <c r="L744" s="24"/>
      <c r="M744" s="27" t="str">
        <f t="shared" si="47"/>
        <v/>
      </c>
      <c r="N744" s="25"/>
      <c r="O744" s="22"/>
      <c r="P744" s="24"/>
      <c r="Q744" s="26"/>
    </row>
    <row r="745" spans="1:17" ht="15" x14ac:dyDescent="0.15">
      <c r="A745" s="22"/>
      <c r="B745" s="26" t="str">
        <f t="shared" si="44"/>
        <v/>
      </c>
      <c r="C745" s="26" t="str">
        <f t="shared" si="45"/>
        <v/>
      </c>
      <c r="D745" s="26" t="str">
        <f t="shared" si="46"/>
        <v/>
      </c>
      <c r="E745" s="29"/>
      <c r="F745" s="22"/>
      <c r="G745" s="22"/>
      <c r="H745" s="22"/>
      <c r="I745" s="24"/>
      <c r="J745" s="24"/>
      <c r="K745" s="24"/>
      <c r="L745" s="24"/>
      <c r="M745" s="27" t="str">
        <f t="shared" si="47"/>
        <v/>
      </c>
      <c r="N745" s="25"/>
      <c r="O745" s="22"/>
      <c r="P745" s="24"/>
      <c r="Q745" s="26"/>
    </row>
    <row r="746" spans="1:17" ht="15" x14ac:dyDescent="0.15">
      <c r="A746" s="22"/>
      <c r="B746" s="26" t="str">
        <f t="shared" si="44"/>
        <v/>
      </c>
      <c r="C746" s="26" t="str">
        <f t="shared" si="45"/>
        <v/>
      </c>
      <c r="D746" s="26" t="str">
        <f t="shared" si="46"/>
        <v/>
      </c>
      <c r="E746" s="29"/>
      <c r="F746" s="22"/>
      <c r="G746" s="22"/>
      <c r="H746" s="22"/>
      <c r="I746" s="24"/>
      <c r="J746" s="24"/>
      <c r="K746" s="24"/>
      <c r="L746" s="24"/>
      <c r="M746" s="27" t="str">
        <f t="shared" si="47"/>
        <v/>
      </c>
      <c r="N746" s="25"/>
      <c r="O746" s="22"/>
      <c r="P746" s="24"/>
      <c r="Q746" s="26"/>
    </row>
    <row r="747" spans="1:17" ht="15" x14ac:dyDescent="0.15">
      <c r="A747" s="22"/>
      <c r="B747" s="26" t="str">
        <f t="shared" si="44"/>
        <v/>
      </c>
      <c r="C747" s="26" t="str">
        <f t="shared" si="45"/>
        <v/>
      </c>
      <c r="D747" s="26" t="str">
        <f t="shared" si="46"/>
        <v/>
      </c>
      <c r="E747" s="29"/>
      <c r="F747" s="22"/>
      <c r="G747" s="22"/>
      <c r="H747" s="22"/>
      <c r="I747" s="24"/>
      <c r="J747" s="24"/>
      <c r="K747" s="24"/>
      <c r="L747" s="24"/>
      <c r="M747" s="27" t="str">
        <f t="shared" si="47"/>
        <v/>
      </c>
      <c r="N747" s="25"/>
      <c r="O747" s="22"/>
      <c r="P747" s="24"/>
      <c r="Q747" s="26"/>
    </row>
    <row r="748" spans="1:17" ht="15" x14ac:dyDescent="0.15">
      <c r="A748" s="22"/>
      <c r="B748" s="26" t="str">
        <f t="shared" si="44"/>
        <v/>
      </c>
      <c r="C748" s="26" t="str">
        <f t="shared" si="45"/>
        <v/>
      </c>
      <c r="D748" s="26" t="str">
        <f t="shared" si="46"/>
        <v/>
      </c>
      <c r="E748" s="29"/>
      <c r="F748" s="22"/>
      <c r="G748" s="22"/>
      <c r="H748" s="22"/>
      <c r="I748" s="24"/>
      <c r="J748" s="24"/>
      <c r="K748" s="24"/>
      <c r="L748" s="24"/>
      <c r="M748" s="27" t="str">
        <f t="shared" si="47"/>
        <v/>
      </c>
      <c r="N748" s="25"/>
      <c r="O748" s="22"/>
      <c r="P748" s="24"/>
      <c r="Q748" s="26"/>
    </row>
    <row r="749" spans="1:17" ht="15" x14ac:dyDescent="0.15">
      <c r="A749" s="22"/>
      <c r="B749" s="26" t="str">
        <f t="shared" si="44"/>
        <v/>
      </c>
      <c r="C749" s="26" t="str">
        <f t="shared" si="45"/>
        <v/>
      </c>
      <c r="D749" s="26" t="str">
        <f t="shared" si="46"/>
        <v/>
      </c>
      <c r="E749" s="29"/>
      <c r="F749" s="22"/>
      <c r="G749" s="22"/>
      <c r="H749" s="22"/>
      <c r="I749" s="24"/>
      <c r="J749" s="24"/>
      <c r="K749" s="24"/>
      <c r="L749" s="24"/>
      <c r="M749" s="27" t="str">
        <f t="shared" si="47"/>
        <v/>
      </c>
      <c r="N749" s="25"/>
      <c r="O749" s="22"/>
      <c r="P749" s="24"/>
      <c r="Q749" s="26"/>
    </row>
    <row r="750" spans="1:17" ht="15" x14ac:dyDescent="0.15">
      <c r="A750" s="22"/>
      <c r="B750" s="26" t="str">
        <f t="shared" si="44"/>
        <v/>
      </c>
      <c r="C750" s="26" t="str">
        <f t="shared" si="45"/>
        <v/>
      </c>
      <c r="D750" s="26" t="str">
        <f t="shared" si="46"/>
        <v/>
      </c>
      <c r="E750" s="29"/>
      <c r="F750" s="22"/>
      <c r="G750" s="22"/>
      <c r="H750" s="22"/>
      <c r="I750" s="24"/>
      <c r="J750" s="24"/>
      <c r="K750" s="24"/>
      <c r="L750" s="24"/>
      <c r="M750" s="27" t="str">
        <f t="shared" si="47"/>
        <v/>
      </c>
      <c r="N750" s="25"/>
      <c r="O750" s="22"/>
      <c r="P750" s="24"/>
      <c r="Q750" s="26"/>
    </row>
    <row r="751" spans="1:17" ht="15" x14ac:dyDescent="0.15">
      <c r="A751" s="22"/>
      <c r="B751" s="26" t="str">
        <f t="shared" si="44"/>
        <v/>
      </c>
      <c r="C751" s="26" t="str">
        <f t="shared" si="45"/>
        <v/>
      </c>
      <c r="D751" s="26" t="str">
        <f t="shared" si="46"/>
        <v/>
      </c>
      <c r="E751" s="29"/>
      <c r="F751" s="22"/>
      <c r="G751" s="22"/>
      <c r="H751" s="22"/>
      <c r="I751" s="24"/>
      <c r="J751" s="24"/>
      <c r="K751" s="24"/>
      <c r="L751" s="24"/>
      <c r="M751" s="27" t="str">
        <f t="shared" si="47"/>
        <v/>
      </c>
      <c r="N751" s="25"/>
      <c r="O751" s="22"/>
      <c r="P751" s="24"/>
      <c r="Q751" s="26"/>
    </row>
    <row r="752" spans="1:17" ht="15" x14ac:dyDescent="0.15">
      <c r="A752" s="22"/>
      <c r="B752" s="26" t="str">
        <f t="shared" si="44"/>
        <v/>
      </c>
      <c r="C752" s="26" t="str">
        <f t="shared" si="45"/>
        <v/>
      </c>
      <c r="D752" s="26" t="str">
        <f t="shared" si="46"/>
        <v/>
      </c>
      <c r="E752" s="29"/>
      <c r="F752" s="22"/>
      <c r="G752" s="22"/>
      <c r="H752" s="22"/>
      <c r="I752" s="24"/>
      <c r="J752" s="24"/>
      <c r="K752" s="24"/>
      <c r="L752" s="24"/>
      <c r="M752" s="27" t="str">
        <f t="shared" si="47"/>
        <v/>
      </c>
      <c r="N752" s="25"/>
      <c r="O752" s="22"/>
      <c r="P752" s="24"/>
      <c r="Q752" s="26"/>
    </row>
    <row r="753" spans="1:17" ht="15" x14ac:dyDescent="0.15">
      <c r="A753" s="22"/>
      <c r="B753" s="26" t="str">
        <f t="shared" si="44"/>
        <v/>
      </c>
      <c r="C753" s="26" t="str">
        <f t="shared" si="45"/>
        <v/>
      </c>
      <c r="D753" s="26" t="str">
        <f t="shared" si="46"/>
        <v/>
      </c>
      <c r="E753" s="29"/>
      <c r="F753" s="22"/>
      <c r="G753" s="22"/>
      <c r="H753" s="22"/>
      <c r="I753" s="24"/>
      <c r="J753" s="24"/>
      <c r="K753" s="24"/>
      <c r="L753" s="24"/>
      <c r="M753" s="27" t="str">
        <f t="shared" si="47"/>
        <v/>
      </c>
      <c r="N753" s="25"/>
      <c r="O753" s="22"/>
      <c r="P753" s="24"/>
      <c r="Q753" s="26"/>
    </row>
    <row r="754" spans="1:17" ht="15" x14ac:dyDescent="0.15">
      <c r="A754" s="22"/>
      <c r="B754" s="26" t="str">
        <f t="shared" si="44"/>
        <v/>
      </c>
      <c r="C754" s="26" t="str">
        <f t="shared" si="45"/>
        <v/>
      </c>
      <c r="D754" s="26" t="str">
        <f t="shared" si="46"/>
        <v/>
      </c>
      <c r="E754" s="29"/>
      <c r="F754" s="22"/>
      <c r="G754" s="22"/>
      <c r="H754" s="22"/>
      <c r="I754" s="24"/>
      <c r="J754" s="24"/>
      <c r="K754" s="24"/>
      <c r="L754" s="24"/>
      <c r="M754" s="27" t="str">
        <f t="shared" si="47"/>
        <v/>
      </c>
      <c r="N754" s="25"/>
      <c r="O754" s="22"/>
      <c r="P754" s="24"/>
      <c r="Q754" s="26"/>
    </row>
    <row r="755" spans="1:17" ht="15" x14ac:dyDescent="0.15">
      <c r="A755" s="22"/>
      <c r="B755" s="26" t="str">
        <f t="shared" si="44"/>
        <v/>
      </c>
      <c r="C755" s="26" t="str">
        <f t="shared" si="45"/>
        <v/>
      </c>
      <c r="D755" s="26" t="str">
        <f t="shared" si="46"/>
        <v/>
      </c>
      <c r="E755" s="29"/>
      <c r="F755" s="22"/>
      <c r="G755" s="22"/>
      <c r="H755" s="22"/>
      <c r="I755" s="24"/>
      <c r="J755" s="24"/>
      <c r="K755" s="24"/>
      <c r="L755" s="24"/>
      <c r="M755" s="27" t="str">
        <f t="shared" si="47"/>
        <v/>
      </c>
      <c r="N755" s="25"/>
      <c r="O755" s="22"/>
      <c r="P755" s="24"/>
      <c r="Q755" s="26"/>
    </row>
    <row r="756" spans="1:17" ht="15" x14ac:dyDescent="0.15">
      <c r="A756" s="22"/>
      <c r="B756" s="26" t="str">
        <f t="shared" si="44"/>
        <v/>
      </c>
      <c r="C756" s="26" t="str">
        <f t="shared" si="45"/>
        <v/>
      </c>
      <c r="D756" s="26" t="str">
        <f t="shared" si="46"/>
        <v/>
      </c>
      <c r="E756" s="29"/>
      <c r="F756" s="22"/>
      <c r="G756" s="22"/>
      <c r="H756" s="22"/>
      <c r="I756" s="24"/>
      <c r="J756" s="24"/>
      <c r="K756" s="24"/>
      <c r="L756" s="24"/>
      <c r="M756" s="27" t="str">
        <f t="shared" si="47"/>
        <v/>
      </c>
      <c r="N756" s="25"/>
      <c r="O756" s="22"/>
      <c r="P756" s="24"/>
      <c r="Q756" s="26"/>
    </row>
    <row r="757" spans="1:17" ht="15" x14ac:dyDescent="0.15">
      <c r="A757" s="22"/>
      <c r="B757" s="26" t="str">
        <f t="shared" si="44"/>
        <v/>
      </c>
      <c r="C757" s="26" t="str">
        <f t="shared" si="45"/>
        <v/>
      </c>
      <c r="D757" s="26" t="str">
        <f t="shared" si="46"/>
        <v/>
      </c>
      <c r="E757" s="29"/>
      <c r="F757" s="22"/>
      <c r="G757" s="22"/>
      <c r="H757" s="22"/>
      <c r="I757" s="24"/>
      <c r="J757" s="24"/>
      <c r="K757" s="24"/>
      <c r="L757" s="24"/>
      <c r="M757" s="27" t="str">
        <f t="shared" si="47"/>
        <v/>
      </c>
      <c r="N757" s="25"/>
      <c r="O757" s="22"/>
      <c r="P757" s="24"/>
      <c r="Q757" s="26"/>
    </row>
    <row r="758" spans="1:17" ht="15" x14ac:dyDescent="0.15">
      <c r="A758" s="22"/>
      <c r="B758" s="26" t="str">
        <f t="shared" si="44"/>
        <v/>
      </c>
      <c r="C758" s="26" t="str">
        <f t="shared" si="45"/>
        <v/>
      </c>
      <c r="D758" s="26" t="str">
        <f t="shared" si="46"/>
        <v/>
      </c>
      <c r="E758" s="29"/>
      <c r="F758" s="22"/>
      <c r="G758" s="22"/>
      <c r="H758" s="22"/>
      <c r="I758" s="24"/>
      <c r="J758" s="24"/>
      <c r="K758" s="24"/>
      <c r="L758" s="24"/>
      <c r="M758" s="27" t="str">
        <f t="shared" si="47"/>
        <v/>
      </c>
      <c r="N758" s="25"/>
      <c r="O758" s="22"/>
      <c r="P758" s="24"/>
      <c r="Q758" s="26"/>
    </row>
    <row r="759" spans="1:17" ht="15" x14ac:dyDescent="0.15">
      <c r="A759" s="22"/>
      <c r="B759" s="26" t="str">
        <f t="shared" si="44"/>
        <v/>
      </c>
      <c r="C759" s="26" t="str">
        <f t="shared" si="45"/>
        <v/>
      </c>
      <c r="D759" s="26" t="str">
        <f t="shared" si="46"/>
        <v/>
      </c>
      <c r="E759" s="29"/>
      <c r="F759" s="22"/>
      <c r="G759" s="22"/>
      <c r="H759" s="22"/>
      <c r="I759" s="24"/>
      <c r="J759" s="24"/>
      <c r="K759" s="24"/>
      <c r="L759" s="24"/>
      <c r="M759" s="27" t="str">
        <f t="shared" si="47"/>
        <v/>
      </c>
      <c r="N759" s="25"/>
      <c r="O759" s="22"/>
      <c r="P759" s="24"/>
      <c r="Q759" s="26"/>
    </row>
    <row r="760" spans="1:17" ht="15" x14ac:dyDescent="0.15">
      <c r="A760" s="22"/>
      <c r="B760" s="26" t="str">
        <f t="shared" si="44"/>
        <v/>
      </c>
      <c r="C760" s="26" t="str">
        <f t="shared" si="45"/>
        <v/>
      </c>
      <c r="D760" s="26" t="str">
        <f t="shared" si="46"/>
        <v/>
      </c>
      <c r="E760" s="29"/>
      <c r="F760" s="22"/>
      <c r="G760" s="22"/>
      <c r="H760" s="22"/>
      <c r="I760" s="24"/>
      <c r="J760" s="24"/>
      <c r="K760" s="24"/>
      <c r="L760" s="24"/>
      <c r="M760" s="27" t="str">
        <f t="shared" si="47"/>
        <v/>
      </c>
      <c r="N760" s="25"/>
      <c r="O760" s="22"/>
      <c r="P760" s="24"/>
      <c r="Q760" s="26"/>
    </row>
    <row r="761" spans="1:17" ht="15" x14ac:dyDescent="0.15">
      <c r="A761" s="22"/>
      <c r="B761" s="26" t="str">
        <f t="shared" si="44"/>
        <v/>
      </c>
      <c r="C761" s="26" t="str">
        <f t="shared" si="45"/>
        <v/>
      </c>
      <c r="D761" s="26" t="str">
        <f t="shared" si="46"/>
        <v/>
      </c>
      <c r="E761" s="29"/>
      <c r="F761" s="22"/>
      <c r="G761" s="22"/>
      <c r="H761" s="22"/>
      <c r="I761" s="24"/>
      <c r="J761" s="24"/>
      <c r="K761" s="24"/>
      <c r="L761" s="24"/>
      <c r="M761" s="27" t="str">
        <f t="shared" si="47"/>
        <v/>
      </c>
      <c r="N761" s="25"/>
      <c r="O761" s="22"/>
      <c r="P761" s="24"/>
      <c r="Q761" s="26"/>
    </row>
    <row r="762" spans="1:17" ht="15" x14ac:dyDescent="0.15">
      <c r="A762" s="22"/>
      <c r="B762" s="26" t="str">
        <f t="shared" si="44"/>
        <v/>
      </c>
      <c r="C762" s="26" t="str">
        <f t="shared" si="45"/>
        <v/>
      </c>
      <c r="D762" s="26" t="str">
        <f t="shared" si="46"/>
        <v/>
      </c>
      <c r="E762" s="29"/>
      <c r="F762" s="22"/>
      <c r="G762" s="22"/>
      <c r="H762" s="22"/>
      <c r="I762" s="24"/>
      <c r="J762" s="24"/>
      <c r="K762" s="24"/>
      <c r="L762" s="24"/>
      <c r="M762" s="27" t="str">
        <f t="shared" si="47"/>
        <v/>
      </c>
      <c r="N762" s="25"/>
      <c r="O762" s="22"/>
      <c r="P762" s="24"/>
      <c r="Q762" s="26"/>
    </row>
    <row r="763" spans="1:17" ht="15" x14ac:dyDescent="0.15">
      <c r="A763" s="22"/>
      <c r="B763" s="26" t="str">
        <f t="shared" si="44"/>
        <v/>
      </c>
      <c r="C763" s="26" t="str">
        <f t="shared" si="45"/>
        <v/>
      </c>
      <c r="D763" s="26" t="str">
        <f t="shared" si="46"/>
        <v/>
      </c>
      <c r="E763" s="29"/>
      <c r="F763" s="22"/>
      <c r="G763" s="22"/>
      <c r="H763" s="22"/>
      <c r="I763" s="24"/>
      <c r="J763" s="24"/>
      <c r="K763" s="24"/>
      <c r="L763" s="24"/>
      <c r="M763" s="27" t="str">
        <f t="shared" si="47"/>
        <v/>
      </c>
      <c r="N763" s="25"/>
      <c r="O763" s="22"/>
      <c r="P763" s="24"/>
      <c r="Q763" s="26"/>
    </row>
    <row r="764" spans="1:17" ht="15" x14ac:dyDescent="0.15">
      <c r="A764" s="22"/>
      <c r="B764" s="26" t="str">
        <f t="shared" si="44"/>
        <v/>
      </c>
      <c r="C764" s="26" t="str">
        <f t="shared" si="45"/>
        <v/>
      </c>
      <c r="D764" s="26" t="str">
        <f t="shared" si="46"/>
        <v/>
      </c>
      <c r="E764" s="29"/>
      <c r="F764" s="22"/>
      <c r="G764" s="22"/>
      <c r="H764" s="22"/>
      <c r="I764" s="24"/>
      <c r="J764" s="24"/>
      <c r="K764" s="24"/>
      <c r="L764" s="24"/>
      <c r="M764" s="27" t="str">
        <f t="shared" si="47"/>
        <v/>
      </c>
      <c r="N764" s="25"/>
      <c r="O764" s="22"/>
      <c r="P764" s="24"/>
      <c r="Q764" s="26"/>
    </row>
    <row r="765" spans="1:17" ht="15" x14ac:dyDescent="0.15">
      <c r="A765" s="22"/>
      <c r="B765" s="26" t="str">
        <f t="shared" si="44"/>
        <v/>
      </c>
      <c r="C765" s="26" t="str">
        <f t="shared" si="45"/>
        <v/>
      </c>
      <c r="D765" s="26" t="str">
        <f t="shared" si="46"/>
        <v/>
      </c>
      <c r="E765" s="29"/>
      <c r="F765" s="22"/>
      <c r="G765" s="22"/>
      <c r="H765" s="22"/>
      <c r="I765" s="24"/>
      <c r="J765" s="24"/>
      <c r="K765" s="24"/>
      <c r="L765" s="24"/>
      <c r="M765" s="27" t="str">
        <f t="shared" si="47"/>
        <v/>
      </c>
      <c r="N765" s="25"/>
      <c r="O765" s="22"/>
      <c r="P765" s="24"/>
      <c r="Q765" s="26"/>
    </row>
    <row r="766" spans="1:17" ht="15" x14ac:dyDescent="0.15">
      <c r="A766" s="22"/>
      <c r="B766" s="26" t="str">
        <f t="shared" si="44"/>
        <v/>
      </c>
      <c r="C766" s="26" t="str">
        <f t="shared" si="45"/>
        <v/>
      </c>
      <c r="D766" s="26" t="str">
        <f t="shared" si="46"/>
        <v/>
      </c>
      <c r="E766" s="29"/>
      <c r="F766" s="22"/>
      <c r="G766" s="22"/>
      <c r="H766" s="22"/>
      <c r="I766" s="24"/>
      <c r="J766" s="24"/>
      <c r="K766" s="24"/>
      <c r="L766" s="24"/>
      <c r="M766" s="27" t="str">
        <f t="shared" si="47"/>
        <v/>
      </c>
      <c r="N766" s="25"/>
      <c r="O766" s="22"/>
      <c r="P766" s="24"/>
      <c r="Q766" s="26"/>
    </row>
    <row r="767" spans="1:17" ht="15" x14ac:dyDescent="0.15">
      <c r="A767" s="22"/>
      <c r="B767" s="26" t="str">
        <f t="shared" si="44"/>
        <v/>
      </c>
      <c r="C767" s="26" t="str">
        <f t="shared" si="45"/>
        <v/>
      </c>
      <c r="D767" s="26" t="str">
        <f t="shared" si="46"/>
        <v/>
      </c>
      <c r="E767" s="29"/>
      <c r="F767" s="22"/>
      <c r="G767" s="22"/>
      <c r="H767" s="22"/>
      <c r="I767" s="24"/>
      <c r="J767" s="24"/>
      <c r="K767" s="24"/>
      <c r="L767" s="24"/>
      <c r="M767" s="27" t="str">
        <f t="shared" si="47"/>
        <v/>
      </c>
      <c r="N767" s="25"/>
      <c r="O767" s="22"/>
      <c r="P767" s="24"/>
      <c r="Q767" s="26"/>
    </row>
    <row r="768" spans="1:17" ht="15" x14ac:dyDescent="0.15">
      <c r="A768" s="22"/>
      <c r="B768" s="26" t="str">
        <f t="shared" si="44"/>
        <v/>
      </c>
      <c r="C768" s="26" t="str">
        <f t="shared" si="45"/>
        <v/>
      </c>
      <c r="D768" s="26" t="str">
        <f t="shared" si="46"/>
        <v/>
      </c>
      <c r="E768" s="29"/>
      <c r="F768" s="22"/>
      <c r="G768" s="22"/>
      <c r="H768" s="22"/>
      <c r="I768" s="24"/>
      <c r="J768" s="24"/>
      <c r="K768" s="24"/>
      <c r="L768" s="24"/>
      <c r="M768" s="27" t="str">
        <f t="shared" si="47"/>
        <v/>
      </c>
      <c r="N768" s="25"/>
      <c r="O768" s="22"/>
      <c r="P768" s="24"/>
      <c r="Q768" s="26"/>
    </row>
    <row r="769" spans="1:17" ht="15" x14ac:dyDescent="0.15">
      <c r="A769" s="22"/>
      <c r="B769" s="26" t="str">
        <f t="shared" si="44"/>
        <v/>
      </c>
      <c r="C769" s="26" t="str">
        <f t="shared" si="45"/>
        <v/>
      </c>
      <c r="D769" s="26" t="str">
        <f t="shared" si="46"/>
        <v/>
      </c>
      <c r="E769" s="29"/>
      <c r="F769" s="22"/>
      <c r="G769" s="22"/>
      <c r="H769" s="22"/>
      <c r="I769" s="24"/>
      <c r="J769" s="24"/>
      <c r="K769" s="24"/>
      <c r="L769" s="24"/>
      <c r="M769" s="27" t="str">
        <f t="shared" si="47"/>
        <v/>
      </c>
      <c r="N769" s="25"/>
      <c r="O769" s="22"/>
      <c r="P769" s="24"/>
      <c r="Q769" s="26"/>
    </row>
    <row r="770" spans="1:17" ht="15" x14ac:dyDescent="0.15">
      <c r="A770" s="22"/>
      <c r="B770" s="26" t="str">
        <f t="shared" si="44"/>
        <v/>
      </c>
      <c r="C770" s="26" t="str">
        <f t="shared" si="45"/>
        <v/>
      </c>
      <c r="D770" s="26" t="str">
        <f t="shared" si="46"/>
        <v/>
      </c>
      <c r="E770" s="29"/>
      <c r="F770" s="22"/>
      <c r="G770" s="22"/>
      <c r="H770" s="22"/>
      <c r="I770" s="24"/>
      <c r="J770" s="24"/>
      <c r="K770" s="24"/>
      <c r="L770" s="24"/>
      <c r="M770" s="27" t="str">
        <f t="shared" si="47"/>
        <v/>
      </c>
      <c r="N770" s="25"/>
      <c r="O770" s="22"/>
      <c r="P770" s="24"/>
      <c r="Q770" s="26"/>
    </row>
    <row r="771" spans="1:17" ht="15" x14ac:dyDescent="0.15">
      <c r="A771" s="22"/>
      <c r="B771" s="26" t="str">
        <f t="shared" si="44"/>
        <v/>
      </c>
      <c r="C771" s="26" t="str">
        <f t="shared" si="45"/>
        <v/>
      </c>
      <c r="D771" s="26" t="str">
        <f t="shared" si="46"/>
        <v/>
      </c>
      <c r="E771" s="29"/>
      <c r="F771" s="22"/>
      <c r="G771" s="22"/>
      <c r="H771" s="22"/>
      <c r="I771" s="24"/>
      <c r="J771" s="24"/>
      <c r="K771" s="24"/>
      <c r="L771" s="24"/>
      <c r="M771" s="27" t="str">
        <f t="shared" si="47"/>
        <v/>
      </c>
      <c r="N771" s="25"/>
      <c r="O771" s="22"/>
      <c r="P771" s="24"/>
      <c r="Q771" s="26"/>
    </row>
    <row r="772" spans="1:17" ht="15" x14ac:dyDescent="0.15">
      <c r="A772" s="22"/>
      <c r="B772" s="26" t="str">
        <f t="shared" si="44"/>
        <v/>
      </c>
      <c r="C772" s="26" t="str">
        <f t="shared" si="45"/>
        <v/>
      </c>
      <c r="D772" s="26" t="str">
        <f t="shared" si="46"/>
        <v/>
      </c>
      <c r="E772" s="29"/>
      <c r="F772" s="22"/>
      <c r="G772" s="22"/>
      <c r="H772" s="22"/>
      <c r="I772" s="24"/>
      <c r="J772" s="24"/>
      <c r="K772" s="24"/>
      <c r="L772" s="24"/>
      <c r="M772" s="27" t="str">
        <f t="shared" si="47"/>
        <v/>
      </c>
      <c r="N772" s="25"/>
      <c r="O772" s="22"/>
      <c r="P772" s="24"/>
      <c r="Q772" s="26"/>
    </row>
    <row r="773" spans="1:17" ht="15" x14ac:dyDescent="0.15">
      <c r="A773" s="22"/>
      <c r="B773" s="26" t="str">
        <f t="shared" si="44"/>
        <v/>
      </c>
      <c r="C773" s="26" t="str">
        <f t="shared" si="45"/>
        <v/>
      </c>
      <c r="D773" s="26" t="str">
        <f t="shared" si="46"/>
        <v/>
      </c>
      <c r="E773" s="29"/>
      <c r="F773" s="22"/>
      <c r="G773" s="22"/>
      <c r="H773" s="22"/>
      <c r="I773" s="24"/>
      <c r="J773" s="24"/>
      <c r="K773" s="24"/>
      <c r="L773" s="24"/>
      <c r="M773" s="27" t="str">
        <f t="shared" si="47"/>
        <v/>
      </c>
      <c r="N773" s="25"/>
      <c r="O773" s="22"/>
      <c r="P773" s="24"/>
      <c r="Q773" s="26"/>
    </row>
    <row r="774" spans="1:17" ht="15" x14ac:dyDescent="0.15">
      <c r="A774" s="22"/>
      <c r="B774" s="26" t="str">
        <f t="shared" si="44"/>
        <v/>
      </c>
      <c r="C774" s="26" t="str">
        <f t="shared" si="45"/>
        <v/>
      </c>
      <c r="D774" s="26" t="str">
        <f t="shared" si="46"/>
        <v/>
      </c>
      <c r="E774" s="29"/>
      <c r="F774" s="22"/>
      <c r="G774" s="22"/>
      <c r="H774" s="22"/>
      <c r="I774" s="24"/>
      <c r="J774" s="24"/>
      <c r="K774" s="24"/>
      <c r="L774" s="24"/>
      <c r="M774" s="27" t="str">
        <f t="shared" si="47"/>
        <v/>
      </c>
      <c r="N774" s="25"/>
      <c r="O774" s="22"/>
      <c r="P774" s="24"/>
      <c r="Q774" s="26"/>
    </row>
    <row r="775" spans="1:17" ht="15" x14ac:dyDescent="0.15">
      <c r="A775" s="22"/>
      <c r="B775" s="26" t="str">
        <f t="shared" ref="B775:B838" si="48">IFERROR(IF($A775="","",LEFT($A775,FIND(" | ",$A775)-1)),"")</f>
        <v/>
      </c>
      <c r="C775" s="26" t="str">
        <f t="shared" ref="C775:C838" si="49">IFERROR(IF($A775="","",MID($A775,FIND(" | ",$A775)+3,FIND(" | ",$A775,FIND(" | ",$A775)+3)-FIND(" | ",$A775)-3)),"")</f>
        <v/>
      </c>
      <c r="D775" s="26" t="str">
        <f t="shared" ref="D775:D838" si="50">IFERROR(IF($A775="","",RIGHT($A775,LEN($A775)-FIND(" | ",$A775,FIND(" | ",$A775)+3)-2)),"")</f>
        <v/>
      </c>
      <c r="E775" s="29"/>
      <c r="F775" s="22"/>
      <c r="G775" s="22"/>
      <c r="H775" s="22"/>
      <c r="I775" s="24"/>
      <c r="J775" s="24"/>
      <c r="K775" s="24"/>
      <c r="L775" s="24"/>
      <c r="M775" s="27" t="str">
        <f t="shared" ref="M775:M838" si="51">IF($B775="","",SUM($J775,-$K775,$L775))</f>
        <v/>
      </c>
      <c r="N775" s="25"/>
      <c r="O775" s="22"/>
      <c r="P775" s="24"/>
      <c r="Q775" s="26"/>
    </row>
    <row r="776" spans="1:17" ht="15" x14ac:dyDescent="0.15">
      <c r="A776" s="22"/>
      <c r="B776" s="26" t="str">
        <f t="shared" si="48"/>
        <v/>
      </c>
      <c r="C776" s="26" t="str">
        <f t="shared" si="49"/>
        <v/>
      </c>
      <c r="D776" s="26" t="str">
        <f t="shared" si="50"/>
        <v/>
      </c>
      <c r="E776" s="29"/>
      <c r="F776" s="22"/>
      <c r="G776" s="22"/>
      <c r="H776" s="22"/>
      <c r="I776" s="24"/>
      <c r="J776" s="24"/>
      <c r="K776" s="24"/>
      <c r="L776" s="24"/>
      <c r="M776" s="27" t="str">
        <f t="shared" si="51"/>
        <v/>
      </c>
      <c r="N776" s="25"/>
      <c r="O776" s="22"/>
      <c r="P776" s="24"/>
      <c r="Q776" s="26"/>
    </row>
    <row r="777" spans="1:17" ht="15" x14ac:dyDescent="0.15">
      <c r="A777" s="22"/>
      <c r="B777" s="26" t="str">
        <f t="shared" si="48"/>
        <v/>
      </c>
      <c r="C777" s="26" t="str">
        <f t="shared" si="49"/>
        <v/>
      </c>
      <c r="D777" s="26" t="str">
        <f t="shared" si="50"/>
        <v/>
      </c>
      <c r="E777" s="29"/>
      <c r="F777" s="22"/>
      <c r="G777" s="22"/>
      <c r="H777" s="22"/>
      <c r="I777" s="24"/>
      <c r="J777" s="24"/>
      <c r="K777" s="24"/>
      <c r="L777" s="24"/>
      <c r="M777" s="27" t="str">
        <f t="shared" si="51"/>
        <v/>
      </c>
      <c r="N777" s="25"/>
      <c r="O777" s="22"/>
      <c r="P777" s="24"/>
      <c r="Q777" s="26"/>
    </row>
    <row r="778" spans="1:17" ht="15" x14ac:dyDescent="0.15">
      <c r="A778" s="22"/>
      <c r="B778" s="26" t="str">
        <f t="shared" si="48"/>
        <v/>
      </c>
      <c r="C778" s="26" t="str">
        <f t="shared" si="49"/>
        <v/>
      </c>
      <c r="D778" s="26" t="str">
        <f t="shared" si="50"/>
        <v/>
      </c>
      <c r="E778" s="29"/>
      <c r="F778" s="22"/>
      <c r="G778" s="22"/>
      <c r="H778" s="22"/>
      <c r="I778" s="24"/>
      <c r="J778" s="24"/>
      <c r="K778" s="24"/>
      <c r="L778" s="24"/>
      <c r="M778" s="27" t="str">
        <f t="shared" si="51"/>
        <v/>
      </c>
      <c r="N778" s="25"/>
      <c r="O778" s="22"/>
      <c r="P778" s="24"/>
      <c r="Q778" s="26"/>
    </row>
    <row r="779" spans="1:17" ht="15" x14ac:dyDescent="0.15">
      <c r="A779" s="22"/>
      <c r="B779" s="26" t="str">
        <f t="shared" si="48"/>
        <v/>
      </c>
      <c r="C779" s="26" t="str">
        <f t="shared" si="49"/>
        <v/>
      </c>
      <c r="D779" s="26" t="str">
        <f t="shared" si="50"/>
        <v/>
      </c>
      <c r="E779" s="29"/>
      <c r="F779" s="22"/>
      <c r="G779" s="22"/>
      <c r="H779" s="22"/>
      <c r="I779" s="24"/>
      <c r="J779" s="24"/>
      <c r="K779" s="24"/>
      <c r="L779" s="24"/>
      <c r="M779" s="27" t="str">
        <f t="shared" si="51"/>
        <v/>
      </c>
      <c r="N779" s="25"/>
      <c r="O779" s="22"/>
      <c r="P779" s="24"/>
      <c r="Q779" s="26"/>
    </row>
    <row r="780" spans="1:17" ht="15" x14ac:dyDescent="0.15">
      <c r="A780" s="22"/>
      <c r="B780" s="26" t="str">
        <f t="shared" si="48"/>
        <v/>
      </c>
      <c r="C780" s="26" t="str">
        <f t="shared" si="49"/>
        <v/>
      </c>
      <c r="D780" s="26" t="str">
        <f t="shared" si="50"/>
        <v/>
      </c>
      <c r="E780" s="29"/>
      <c r="F780" s="22"/>
      <c r="G780" s="22"/>
      <c r="H780" s="22"/>
      <c r="I780" s="24"/>
      <c r="J780" s="24"/>
      <c r="K780" s="24"/>
      <c r="L780" s="24"/>
      <c r="M780" s="27" t="str">
        <f t="shared" si="51"/>
        <v/>
      </c>
      <c r="N780" s="25"/>
      <c r="O780" s="22"/>
      <c r="P780" s="24"/>
      <c r="Q780" s="26"/>
    </row>
    <row r="781" spans="1:17" ht="15" x14ac:dyDescent="0.15">
      <c r="A781" s="22"/>
      <c r="B781" s="26" t="str">
        <f t="shared" si="48"/>
        <v/>
      </c>
      <c r="C781" s="26" t="str">
        <f t="shared" si="49"/>
        <v/>
      </c>
      <c r="D781" s="26" t="str">
        <f t="shared" si="50"/>
        <v/>
      </c>
      <c r="E781" s="29"/>
      <c r="F781" s="22"/>
      <c r="G781" s="22"/>
      <c r="H781" s="22"/>
      <c r="I781" s="24"/>
      <c r="J781" s="24"/>
      <c r="K781" s="24"/>
      <c r="L781" s="24"/>
      <c r="M781" s="27" t="str">
        <f t="shared" si="51"/>
        <v/>
      </c>
      <c r="N781" s="25"/>
      <c r="O781" s="22"/>
      <c r="P781" s="24"/>
      <c r="Q781" s="26"/>
    </row>
    <row r="782" spans="1:17" ht="15" x14ac:dyDescent="0.15">
      <c r="A782" s="22"/>
      <c r="B782" s="26" t="str">
        <f t="shared" si="48"/>
        <v/>
      </c>
      <c r="C782" s="26" t="str">
        <f t="shared" si="49"/>
        <v/>
      </c>
      <c r="D782" s="26" t="str">
        <f t="shared" si="50"/>
        <v/>
      </c>
      <c r="E782" s="29"/>
      <c r="F782" s="22"/>
      <c r="G782" s="22"/>
      <c r="H782" s="22"/>
      <c r="I782" s="24"/>
      <c r="J782" s="24"/>
      <c r="K782" s="24"/>
      <c r="L782" s="24"/>
      <c r="M782" s="27" t="str">
        <f t="shared" si="51"/>
        <v/>
      </c>
      <c r="N782" s="25"/>
      <c r="O782" s="22"/>
      <c r="P782" s="24"/>
      <c r="Q782" s="26"/>
    </row>
    <row r="783" spans="1:17" ht="15" x14ac:dyDescent="0.15">
      <c r="A783" s="22"/>
      <c r="B783" s="26" t="str">
        <f t="shared" si="48"/>
        <v/>
      </c>
      <c r="C783" s="26" t="str">
        <f t="shared" si="49"/>
        <v/>
      </c>
      <c r="D783" s="26" t="str">
        <f t="shared" si="50"/>
        <v/>
      </c>
      <c r="E783" s="29"/>
      <c r="F783" s="22"/>
      <c r="G783" s="22"/>
      <c r="H783" s="22"/>
      <c r="I783" s="24"/>
      <c r="J783" s="24"/>
      <c r="K783" s="24"/>
      <c r="L783" s="24"/>
      <c r="M783" s="27" t="str">
        <f t="shared" si="51"/>
        <v/>
      </c>
      <c r="N783" s="25"/>
      <c r="O783" s="22"/>
      <c r="P783" s="24"/>
      <c r="Q783" s="26"/>
    </row>
    <row r="784" spans="1:17" ht="15" x14ac:dyDescent="0.15">
      <c r="A784" s="22"/>
      <c r="B784" s="26" t="str">
        <f t="shared" si="48"/>
        <v/>
      </c>
      <c r="C784" s="26" t="str">
        <f t="shared" si="49"/>
        <v/>
      </c>
      <c r="D784" s="26" t="str">
        <f t="shared" si="50"/>
        <v/>
      </c>
      <c r="E784" s="29"/>
      <c r="F784" s="22"/>
      <c r="G784" s="22"/>
      <c r="H784" s="22"/>
      <c r="I784" s="24"/>
      <c r="J784" s="24"/>
      <c r="K784" s="24"/>
      <c r="L784" s="24"/>
      <c r="M784" s="27" t="str">
        <f t="shared" si="51"/>
        <v/>
      </c>
      <c r="N784" s="25"/>
      <c r="O784" s="22"/>
      <c r="P784" s="24"/>
      <c r="Q784" s="26"/>
    </row>
    <row r="785" spans="1:17" ht="15" x14ac:dyDescent="0.15">
      <c r="A785" s="22"/>
      <c r="B785" s="26" t="str">
        <f t="shared" si="48"/>
        <v/>
      </c>
      <c r="C785" s="26" t="str">
        <f t="shared" si="49"/>
        <v/>
      </c>
      <c r="D785" s="26" t="str">
        <f t="shared" si="50"/>
        <v/>
      </c>
      <c r="E785" s="29"/>
      <c r="F785" s="22"/>
      <c r="G785" s="22"/>
      <c r="H785" s="22"/>
      <c r="I785" s="24"/>
      <c r="J785" s="24"/>
      <c r="K785" s="24"/>
      <c r="L785" s="24"/>
      <c r="M785" s="27" t="str">
        <f t="shared" si="51"/>
        <v/>
      </c>
      <c r="N785" s="25"/>
      <c r="O785" s="22"/>
      <c r="P785" s="24"/>
      <c r="Q785" s="26"/>
    </row>
    <row r="786" spans="1:17" ht="15" x14ac:dyDescent="0.15">
      <c r="A786" s="22"/>
      <c r="B786" s="26" t="str">
        <f t="shared" si="48"/>
        <v/>
      </c>
      <c r="C786" s="26" t="str">
        <f t="shared" si="49"/>
        <v/>
      </c>
      <c r="D786" s="26" t="str">
        <f t="shared" si="50"/>
        <v/>
      </c>
      <c r="E786" s="29"/>
      <c r="F786" s="22"/>
      <c r="G786" s="22"/>
      <c r="H786" s="22"/>
      <c r="I786" s="24"/>
      <c r="J786" s="24"/>
      <c r="K786" s="24"/>
      <c r="L786" s="24"/>
      <c r="M786" s="27" t="str">
        <f t="shared" si="51"/>
        <v/>
      </c>
      <c r="N786" s="25"/>
      <c r="O786" s="22"/>
      <c r="P786" s="24"/>
      <c r="Q786" s="26"/>
    </row>
    <row r="787" spans="1:17" ht="15" x14ac:dyDescent="0.15">
      <c r="A787" s="22"/>
      <c r="B787" s="26" t="str">
        <f t="shared" si="48"/>
        <v/>
      </c>
      <c r="C787" s="26" t="str">
        <f t="shared" si="49"/>
        <v/>
      </c>
      <c r="D787" s="26" t="str">
        <f t="shared" si="50"/>
        <v/>
      </c>
      <c r="E787" s="29"/>
      <c r="F787" s="22"/>
      <c r="G787" s="22"/>
      <c r="H787" s="22"/>
      <c r="I787" s="24"/>
      <c r="J787" s="24"/>
      <c r="K787" s="24"/>
      <c r="L787" s="24"/>
      <c r="M787" s="27" t="str">
        <f t="shared" si="51"/>
        <v/>
      </c>
      <c r="N787" s="25"/>
      <c r="O787" s="22"/>
      <c r="P787" s="24"/>
      <c r="Q787" s="26"/>
    </row>
    <row r="788" spans="1:17" ht="15" x14ac:dyDescent="0.15">
      <c r="A788" s="22"/>
      <c r="B788" s="26" t="str">
        <f t="shared" si="48"/>
        <v/>
      </c>
      <c r="C788" s="26" t="str">
        <f t="shared" si="49"/>
        <v/>
      </c>
      <c r="D788" s="26" t="str">
        <f t="shared" si="50"/>
        <v/>
      </c>
      <c r="E788" s="29"/>
      <c r="F788" s="22"/>
      <c r="G788" s="22"/>
      <c r="H788" s="22"/>
      <c r="I788" s="24"/>
      <c r="J788" s="24"/>
      <c r="K788" s="24"/>
      <c r="L788" s="24"/>
      <c r="M788" s="27" t="str">
        <f t="shared" si="51"/>
        <v/>
      </c>
      <c r="N788" s="25"/>
      <c r="O788" s="22"/>
      <c r="P788" s="24"/>
      <c r="Q788" s="26"/>
    </row>
    <row r="789" spans="1:17" ht="15" x14ac:dyDescent="0.15">
      <c r="A789" s="22"/>
      <c r="B789" s="26" t="str">
        <f t="shared" si="48"/>
        <v/>
      </c>
      <c r="C789" s="26" t="str">
        <f t="shared" si="49"/>
        <v/>
      </c>
      <c r="D789" s="26" t="str">
        <f t="shared" si="50"/>
        <v/>
      </c>
      <c r="E789" s="29"/>
      <c r="F789" s="22"/>
      <c r="G789" s="22"/>
      <c r="H789" s="22"/>
      <c r="I789" s="24"/>
      <c r="J789" s="24"/>
      <c r="K789" s="24"/>
      <c r="L789" s="24"/>
      <c r="M789" s="27" t="str">
        <f t="shared" si="51"/>
        <v/>
      </c>
      <c r="N789" s="25"/>
      <c r="O789" s="22"/>
      <c r="P789" s="24"/>
      <c r="Q789" s="26"/>
    </row>
    <row r="790" spans="1:17" ht="15" x14ac:dyDescent="0.15">
      <c r="A790" s="22"/>
      <c r="B790" s="26" t="str">
        <f t="shared" si="48"/>
        <v/>
      </c>
      <c r="C790" s="26" t="str">
        <f t="shared" si="49"/>
        <v/>
      </c>
      <c r="D790" s="26" t="str">
        <f t="shared" si="50"/>
        <v/>
      </c>
      <c r="E790" s="29"/>
      <c r="F790" s="22"/>
      <c r="G790" s="22"/>
      <c r="H790" s="22"/>
      <c r="I790" s="24"/>
      <c r="J790" s="24"/>
      <c r="K790" s="24"/>
      <c r="L790" s="24"/>
      <c r="M790" s="27" t="str">
        <f t="shared" si="51"/>
        <v/>
      </c>
      <c r="N790" s="25"/>
      <c r="O790" s="22"/>
      <c r="P790" s="24"/>
      <c r="Q790" s="26"/>
    </row>
    <row r="791" spans="1:17" ht="15" x14ac:dyDescent="0.15">
      <c r="A791" s="22"/>
      <c r="B791" s="26" t="str">
        <f t="shared" si="48"/>
        <v/>
      </c>
      <c r="C791" s="26" t="str">
        <f t="shared" si="49"/>
        <v/>
      </c>
      <c r="D791" s="26" t="str">
        <f t="shared" si="50"/>
        <v/>
      </c>
      <c r="E791" s="29"/>
      <c r="F791" s="22"/>
      <c r="G791" s="22"/>
      <c r="H791" s="22"/>
      <c r="I791" s="24"/>
      <c r="J791" s="24"/>
      <c r="K791" s="24"/>
      <c r="L791" s="24"/>
      <c r="M791" s="27" t="str">
        <f t="shared" si="51"/>
        <v/>
      </c>
      <c r="N791" s="25"/>
      <c r="O791" s="22"/>
      <c r="P791" s="24"/>
      <c r="Q791" s="26"/>
    </row>
    <row r="792" spans="1:17" ht="15" x14ac:dyDescent="0.15">
      <c r="A792" s="22"/>
      <c r="B792" s="26" t="str">
        <f t="shared" si="48"/>
        <v/>
      </c>
      <c r="C792" s="26" t="str">
        <f t="shared" si="49"/>
        <v/>
      </c>
      <c r="D792" s="26" t="str">
        <f t="shared" si="50"/>
        <v/>
      </c>
      <c r="E792" s="29"/>
      <c r="F792" s="22"/>
      <c r="G792" s="22"/>
      <c r="H792" s="22"/>
      <c r="I792" s="24"/>
      <c r="J792" s="24"/>
      <c r="K792" s="24"/>
      <c r="L792" s="24"/>
      <c r="M792" s="27" t="str">
        <f t="shared" si="51"/>
        <v/>
      </c>
      <c r="N792" s="25"/>
      <c r="O792" s="22"/>
      <c r="P792" s="24"/>
      <c r="Q792" s="26"/>
    </row>
    <row r="793" spans="1:17" ht="15" x14ac:dyDescent="0.15">
      <c r="A793" s="22"/>
      <c r="B793" s="26" t="str">
        <f t="shared" si="48"/>
        <v/>
      </c>
      <c r="C793" s="26" t="str">
        <f t="shared" si="49"/>
        <v/>
      </c>
      <c r="D793" s="26" t="str">
        <f t="shared" si="50"/>
        <v/>
      </c>
      <c r="E793" s="29"/>
      <c r="F793" s="22"/>
      <c r="G793" s="22"/>
      <c r="H793" s="22"/>
      <c r="I793" s="24"/>
      <c r="J793" s="24"/>
      <c r="K793" s="24"/>
      <c r="L793" s="24"/>
      <c r="M793" s="27" t="str">
        <f t="shared" si="51"/>
        <v/>
      </c>
      <c r="N793" s="25"/>
      <c r="O793" s="22"/>
      <c r="P793" s="24"/>
      <c r="Q793" s="26"/>
    </row>
    <row r="794" spans="1:17" ht="15" x14ac:dyDescent="0.15">
      <c r="A794" s="22"/>
      <c r="B794" s="26" t="str">
        <f t="shared" si="48"/>
        <v/>
      </c>
      <c r="C794" s="26" t="str">
        <f t="shared" si="49"/>
        <v/>
      </c>
      <c r="D794" s="26" t="str">
        <f t="shared" si="50"/>
        <v/>
      </c>
      <c r="E794" s="29"/>
      <c r="F794" s="22"/>
      <c r="G794" s="22"/>
      <c r="H794" s="22"/>
      <c r="I794" s="24"/>
      <c r="J794" s="24"/>
      <c r="K794" s="24"/>
      <c r="L794" s="24"/>
      <c r="M794" s="27" t="str">
        <f t="shared" si="51"/>
        <v/>
      </c>
      <c r="N794" s="25"/>
      <c r="O794" s="22"/>
      <c r="P794" s="24"/>
      <c r="Q794" s="26"/>
    </row>
    <row r="795" spans="1:17" ht="15" x14ac:dyDescent="0.15">
      <c r="A795" s="22"/>
      <c r="B795" s="26" t="str">
        <f t="shared" si="48"/>
        <v/>
      </c>
      <c r="C795" s="26" t="str">
        <f t="shared" si="49"/>
        <v/>
      </c>
      <c r="D795" s="26" t="str">
        <f t="shared" si="50"/>
        <v/>
      </c>
      <c r="E795" s="29"/>
      <c r="F795" s="22"/>
      <c r="G795" s="22"/>
      <c r="H795" s="22"/>
      <c r="I795" s="24"/>
      <c r="J795" s="24"/>
      <c r="K795" s="24"/>
      <c r="L795" s="24"/>
      <c r="M795" s="27" t="str">
        <f t="shared" si="51"/>
        <v/>
      </c>
      <c r="N795" s="25"/>
      <c r="O795" s="22"/>
      <c r="P795" s="24"/>
      <c r="Q795" s="26"/>
    </row>
    <row r="796" spans="1:17" ht="15" x14ac:dyDescent="0.15">
      <c r="A796" s="22"/>
      <c r="B796" s="26" t="str">
        <f t="shared" si="48"/>
        <v/>
      </c>
      <c r="C796" s="26" t="str">
        <f t="shared" si="49"/>
        <v/>
      </c>
      <c r="D796" s="26" t="str">
        <f t="shared" si="50"/>
        <v/>
      </c>
      <c r="E796" s="29"/>
      <c r="F796" s="22"/>
      <c r="G796" s="22"/>
      <c r="H796" s="22"/>
      <c r="I796" s="24"/>
      <c r="J796" s="24"/>
      <c r="K796" s="24"/>
      <c r="L796" s="24"/>
      <c r="M796" s="27" t="str">
        <f t="shared" si="51"/>
        <v/>
      </c>
      <c r="N796" s="25"/>
      <c r="O796" s="22"/>
      <c r="P796" s="24"/>
      <c r="Q796" s="26"/>
    </row>
    <row r="797" spans="1:17" ht="15" x14ac:dyDescent="0.15">
      <c r="A797" s="22"/>
      <c r="B797" s="26" t="str">
        <f t="shared" si="48"/>
        <v/>
      </c>
      <c r="C797" s="26" t="str">
        <f t="shared" si="49"/>
        <v/>
      </c>
      <c r="D797" s="26" t="str">
        <f t="shared" si="50"/>
        <v/>
      </c>
      <c r="E797" s="29"/>
      <c r="F797" s="22"/>
      <c r="G797" s="22"/>
      <c r="H797" s="22"/>
      <c r="I797" s="24"/>
      <c r="J797" s="24"/>
      <c r="K797" s="24"/>
      <c r="L797" s="24"/>
      <c r="M797" s="27" t="str">
        <f t="shared" si="51"/>
        <v/>
      </c>
      <c r="N797" s="25"/>
      <c r="O797" s="22"/>
      <c r="P797" s="24"/>
      <c r="Q797" s="26"/>
    </row>
    <row r="798" spans="1:17" ht="15" x14ac:dyDescent="0.15">
      <c r="A798" s="22"/>
      <c r="B798" s="26" t="str">
        <f t="shared" si="48"/>
        <v/>
      </c>
      <c r="C798" s="26" t="str">
        <f t="shared" si="49"/>
        <v/>
      </c>
      <c r="D798" s="26" t="str">
        <f t="shared" si="50"/>
        <v/>
      </c>
      <c r="E798" s="29"/>
      <c r="F798" s="22"/>
      <c r="G798" s="22"/>
      <c r="H798" s="22"/>
      <c r="I798" s="24"/>
      <c r="J798" s="24"/>
      <c r="K798" s="24"/>
      <c r="L798" s="24"/>
      <c r="M798" s="27" t="str">
        <f t="shared" si="51"/>
        <v/>
      </c>
      <c r="N798" s="25"/>
      <c r="O798" s="22"/>
      <c r="P798" s="24"/>
      <c r="Q798" s="26"/>
    </row>
    <row r="799" spans="1:17" ht="15" x14ac:dyDescent="0.15">
      <c r="A799" s="22"/>
      <c r="B799" s="26" t="str">
        <f t="shared" si="48"/>
        <v/>
      </c>
      <c r="C799" s="26" t="str">
        <f t="shared" si="49"/>
        <v/>
      </c>
      <c r="D799" s="26" t="str">
        <f t="shared" si="50"/>
        <v/>
      </c>
      <c r="E799" s="29"/>
      <c r="F799" s="22"/>
      <c r="G799" s="22"/>
      <c r="H799" s="22"/>
      <c r="I799" s="24"/>
      <c r="J799" s="24"/>
      <c r="K799" s="24"/>
      <c r="L799" s="24"/>
      <c r="M799" s="27" t="str">
        <f t="shared" si="51"/>
        <v/>
      </c>
      <c r="N799" s="25"/>
      <c r="O799" s="22"/>
      <c r="P799" s="24"/>
      <c r="Q799" s="26"/>
    </row>
    <row r="800" spans="1:17" ht="15" x14ac:dyDescent="0.15">
      <c r="A800" s="22"/>
      <c r="B800" s="26" t="str">
        <f t="shared" si="48"/>
        <v/>
      </c>
      <c r="C800" s="26" t="str">
        <f t="shared" si="49"/>
        <v/>
      </c>
      <c r="D800" s="26" t="str">
        <f t="shared" si="50"/>
        <v/>
      </c>
      <c r="E800" s="29"/>
      <c r="F800" s="22"/>
      <c r="G800" s="22"/>
      <c r="H800" s="22"/>
      <c r="I800" s="24"/>
      <c r="J800" s="24"/>
      <c r="K800" s="24"/>
      <c r="L800" s="24"/>
      <c r="M800" s="27" t="str">
        <f t="shared" si="51"/>
        <v/>
      </c>
      <c r="N800" s="25"/>
      <c r="O800" s="22"/>
      <c r="P800" s="24"/>
      <c r="Q800" s="26"/>
    </row>
    <row r="801" spans="1:17" ht="15" x14ac:dyDescent="0.15">
      <c r="A801" s="22"/>
      <c r="B801" s="26" t="str">
        <f t="shared" si="48"/>
        <v/>
      </c>
      <c r="C801" s="26" t="str">
        <f t="shared" si="49"/>
        <v/>
      </c>
      <c r="D801" s="26" t="str">
        <f t="shared" si="50"/>
        <v/>
      </c>
      <c r="E801" s="29"/>
      <c r="F801" s="22"/>
      <c r="G801" s="22"/>
      <c r="H801" s="22"/>
      <c r="I801" s="24"/>
      <c r="J801" s="24"/>
      <c r="K801" s="24"/>
      <c r="L801" s="24"/>
      <c r="M801" s="27" t="str">
        <f t="shared" si="51"/>
        <v/>
      </c>
      <c r="N801" s="25"/>
      <c r="O801" s="22"/>
      <c r="P801" s="24"/>
      <c r="Q801" s="26"/>
    </row>
    <row r="802" spans="1:17" ht="15" x14ac:dyDescent="0.15">
      <c r="A802" s="22"/>
      <c r="B802" s="26" t="str">
        <f t="shared" si="48"/>
        <v/>
      </c>
      <c r="C802" s="26" t="str">
        <f t="shared" si="49"/>
        <v/>
      </c>
      <c r="D802" s="26" t="str">
        <f t="shared" si="50"/>
        <v/>
      </c>
      <c r="E802" s="29"/>
      <c r="F802" s="22"/>
      <c r="G802" s="22"/>
      <c r="H802" s="22"/>
      <c r="I802" s="24"/>
      <c r="J802" s="24"/>
      <c r="K802" s="24"/>
      <c r="L802" s="24"/>
      <c r="M802" s="27" t="str">
        <f t="shared" si="51"/>
        <v/>
      </c>
      <c r="N802" s="25"/>
      <c r="O802" s="22"/>
      <c r="P802" s="24"/>
      <c r="Q802" s="26"/>
    </row>
    <row r="803" spans="1:17" ht="15" x14ac:dyDescent="0.15">
      <c r="A803" s="22"/>
      <c r="B803" s="26" t="str">
        <f t="shared" si="48"/>
        <v/>
      </c>
      <c r="C803" s="26" t="str">
        <f t="shared" si="49"/>
        <v/>
      </c>
      <c r="D803" s="26" t="str">
        <f t="shared" si="50"/>
        <v/>
      </c>
      <c r="E803" s="29"/>
      <c r="F803" s="22"/>
      <c r="G803" s="22"/>
      <c r="H803" s="22"/>
      <c r="I803" s="24"/>
      <c r="J803" s="24"/>
      <c r="K803" s="24"/>
      <c r="L803" s="24"/>
      <c r="M803" s="27" t="str">
        <f t="shared" si="51"/>
        <v/>
      </c>
      <c r="N803" s="25"/>
      <c r="O803" s="22"/>
      <c r="P803" s="24"/>
      <c r="Q803" s="26"/>
    </row>
    <row r="804" spans="1:17" ht="15" x14ac:dyDescent="0.15">
      <c r="A804" s="22"/>
      <c r="B804" s="26" t="str">
        <f t="shared" si="48"/>
        <v/>
      </c>
      <c r="C804" s="26" t="str">
        <f t="shared" si="49"/>
        <v/>
      </c>
      <c r="D804" s="26" t="str">
        <f t="shared" si="50"/>
        <v/>
      </c>
      <c r="E804" s="29"/>
      <c r="F804" s="22"/>
      <c r="G804" s="22"/>
      <c r="H804" s="22"/>
      <c r="I804" s="24"/>
      <c r="J804" s="24"/>
      <c r="K804" s="24"/>
      <c r="L804" s="24"/>
      <c r="M804" s="27" t="str">
        <f t="shared" si="51"/>
        <v/>
      </c>
      <c r="N804" s="25"/>
      <c r="O804" s="22"/>
      <c r="P804" s="24"/>
      <c r="Q804" s="26"/>
    </row>
    <row r="805" spans="1:17" ht="15" x14ac:dyDescent="0.15">
      <c r="A805" s="22"/>
      <c r="B805" s="26" t="str">
        <f t="shared" si="48"/>
        <v/>
      </c>
      <c r="C805" s="26" t="str">
        <f t="shared" si="49"/>
        <v/>
      </c>
      <c r="D805" s="26" t="str">
        <f t="shared" si="50"/>
        <v/>
      </c>
      <c r="E805" s="29"/>
      <c r="F805" s="22"/>
      <c r="G805" s="22"/>
      <c r="H805" s="22"/>
      <c r="I805" s="24"/>
      <c r="J805" s="24"/>
      <c r="K805" s="24"/>
      <c r="L805" s="24"/>
      <c r="M805" s="27" t="str">
        <f t="shared" si="51"/>
        <v/>
      </c>
      <c r="N805" s="25"/>
      <c r="O805" s="22"/>
      <c r="P805" s="24"/>
      <c r="Q805" s="26"/>
    </row>
    <row r="806" spans="1:17" ht="15" x14ac:dyDescent="0.15">
      <c r="A806" s="22"/>
      <c r="B806" s="26" t="str">
        <f t="shared" si="48"/>
        <v/>
      </c>
      <c r="C806" s="26" t="str">
        <f t="shared" si="49"/>
        <v/>
      </c>
      <c r="D806" s="26" t="str">
        <f t="shared" si="50"/>
        <v/>
      </c>
      <c r="E806" s="29"/>
      <c r="F806" s="22"/>
      <c r="G806" s="22"/>
      <c r="H806" s="22"/>
      <c r="I806" s="24"/>
      <c r="J806" s="24"/>
      <c r="K806" s="24"/>
      <c r="L806" s="24"/>
      <c r="M806" s="27" t="str">
        <f t="shared" si="51"/>
        <v/>
      </c>
      <c r="N806" s="25"/>
      <c r="O806" s="22"/>
      <c r="P806" s="24"/>
      <c r="Q806" s="26"/>
    </row>
    <row r="807" spans="1:17" ht="15" x14ac:dyDescent="0.15">
      <c r="A807" s="22"/>
      <c r="B807" s="26" t="str">
        <f t="shared" si="48"/>
        <v/>
      </c>
      <c r="C807" s="26" t="str">
        <f t="shared" si="49"/>
        <v/>
      </c>
      <c r="D807" s="26" t="str">
        <f t="shared" si="50"/>
        <v/>
      </c>
      <c r="E807" s="29"/>
      <c r="F807" s="22"/>
      <c r="G807" s="22"/>
      <c r="H807" s="22"/>
      <c r="I807" s="24"/>
      <c r="J807" s="24"/>
      <c r="K807" s="24"/>
      <c r="L807" s="24"/>
      <c r="M807" s="27" t="str">
        <f t="shared" si="51"/>
        <v/>
      </c>
      <c r="N807" s="25"/>
      <c r="O807" s="22"/>
      <c r="P807" s="24"/>
      <c r="Q807" s="26"/>
    </row>
    <row r="808" spans="1:17" ht="15" x14ac:dyDescent="0.15">
      <c r="A808" s="22"/>
      <c r="B808" s="26" t="str">
        <f t="shared" si="48"/>
        <v/>
      </c>
      <c r="C808" s="26" t="str">
        <f t="shared" si="49"/>
        <v/>
      </c>
      <c r="D808" s="26" t="str">
        <f t="shared" si="50"/>
        <v/>
      </c>
      <c r="E808" s="29"/>
      <c r="F808" s="22"/>
      <c r="G808" s="22"/>
      <c r="H808" s="22"/>
      <c r="I808" s="24"/>
      <c r="J808" s="24"/>
      <c r="K808" s="24"/>
      <c r="L808" s="24"/>
      <c r="M808" s="27" t="str">
        <f t="shared" si="51"/>
        <v/>
      </c>
      <c r="N808" s="25"/>
      <c r="O808" s="22"/>
      <c r="P808" s="24"/>
      <c r="Q808" s="26"/>
    </row>
    <row r="809" spans="1:17" ht="15" x14ac:dyDescent="0.15">
      <c r="A809" s="22"/>
      <c r="B809" s="26" t="str">
        <f t="shared" si="48"/>
        <v/>
      </c>
      <c r="C809" s="26" t="str">
        <f t="shared" si="49"/>
        <v/>
      </c>
      <c r="D809" s="26" t="str">
        <f t="shared" si="50"/>
        <v/>
      </c>
      <c r="E809" s="29"/>
      <c r="F809" s="22"/>
      <c r="G809" s="22"/>
      <c r="H809" s="22"/>
      <c r="I809" s="24"/>
      <c r="J809" s="24"/>
      <c r="K809" s="24"/>
      <c r="L809" s="24"/>
      <c r="M809" s="27" t="str">
        <f t="shared" si="51"/>
        <v/>
      </c>
      <c r="N809" s="25"/>
      <c r="O809" s="22"/>
      <c r="P809" s="24"/>
      <c r="Q809" s="26"/>
    </row>
    <row r="810" spans="1:17" ht="15" x14ac:dyDescent="0.15">
      <c r="A810" s="22"/>
      <c r="B810" s="26" t="str">
        <f t="shared" si="48"/>
        <v/>
      </c>
      <c r="C810" s="26" t="str">
        <f t="shared" si="49"/>
        <v/>
      </c>
      <c r="D810" s="26" t="str">
        <f t="shared" si="50"/>
        <v/>
      </c>
      <c r="E810" s="29"/>
      <c r="F810" s="22"/>
      <c r="G810" s="22"/>
      <c r="H810" s="22"/>
      <c r="I810" s="24"/>
      <c r="J810" s="24"/>
      <c r="K810" s="24"/>
      <c r="L810" s="24"/>
      <c r="M810" s="27" t="str">
        <f t="shared" si="51"/>
        <v/>
      </c>
      <c r="N810" s="25"/>
      <c r="O810" s="22"/>
      <c r="P810" s="24"/>
      <c r="Q810" s="26"/>
    </row>
    <row r="811" spans="1:17" ht="15" x14ac:dyDescent="0.15">
      <c r="A811" s="22"/>
      <c r="B811" s="26" t="str">
        <f t="shared" si="48"/>
        <v/>
      </c>
      <c r="C811" s="26" t="str">
        <f t="shared" si="49"/>
        <v/>
      </c>
      <c r="D811" s="26" t="str">
        <f t="shared" si="50"/>
        <v/>
      </c>
      <c r="E811" s="29"/>
      <c r="F811" s="22"/>
      <c r="G811" s="22"/>
      <c r="H811" s="22"/>
      <c r="I811" s="24"/>
      <c r="J811" s="24"/>
      <c r="K811" s="24"/>
      <c r="L811" s="24"/>
      <c r="M811" s="27" t="str">
        <f t="shared" si="51"/>
        <v/>
      </c>
      <c r="N811" s="25"/>
      <c r="O811" s="22"/>
      <c r="P811" s="24"/>
      <c r="Q811" s="26"/>
    </row>
    <row r="812" spans="1:17" ht="15" x14ac:dyDescent="0.15">
      <c r="A812" s="22"/>
      <c r="B812" s="26" t="str">
        <f t="shared" si="48"/>
        <v/>
      </c>
      <c r="C812" s="26" t="str">
        <f t="shared" si="49"/>
        <v/>
      </c>
      <c r="D812" s="26" t="str">
        <f t="shared" si="50"/>
        <v/>
      </c>
      <c r="E812" s="29"/>
      <c r="F812" s="22"/>
      <c r="G812" s="22"/>
      <c r="H812" s="22"/>
      <c r="I812" s="24"/>
      <c r="J812" s="24"/>
      <c r="K812" s="24"/>
      <c r="L812" s="24"/>
      <c r="M812" s="27" t="str">
        <f t="shared" si="51"/>
        <v/>
      </c>
      <c r="N812" s="25"/>
      <c r="O812" s="22"/>
      <c r="P812" s="24"/>
      <c r="Q812" s="26"/>
    </row>
    <row r="813" spans="1:17" ht="15" x14ac:dyDescent="0.15">
      <c r="A813" s="22"/>
      <c r="B813" s="26" t="str">
        <f t="shared" si="48"/>
        <v/>
      </c>
      <c r="C813" s="26" t="str">
        <f t="shared" si="49"/>
        <v/>
      </c>
      <c r="D813" s="26" t="str">
        <f t="shared" si="50"/>
        <v/>
      </c>
      <c r="E813" s="29"/>
      <c r="F813" s="22"/>
      <c r="G813" s="22"/>
      <c r="H813" s="22"/>
      <c r="I813" s="24"/>
      <c r="J813" s="24"/>
      <c r="K813" s="24"/>
      <c r="L813" s="24"/>
      <c r="M813" s="27" t="str">
        <f t="shared" si="51"/>
        <v/>
      </c>
      <c r="N813" s="25"/>
      <c r="O813" s="22"/>
      <c r="P813" s="24"/>
      <c r="Q813" s="26"/>
    </row>
    <row r="814" spans="1:17" ht="15" x14ac:dyDescent="0.15">
      <c r="A814" s="22"/>
      <c r="B814" s="26" t="str">
        <f t="shared" si="48"/>
        <v/>
      </c>
      <c r="C814" s="26" t="str">
        <f t="shared" si="49"/>
        <v/>
      </c>
      <c r="D814" s="26" t="str">
        <f t="shared" si="50"/>
        <v/>
      </c>
      <c r="E814" s="29"/>
      <c r="F814" s="22"/>
      <c r="G814" s="22"/>
      <c r="H814" s="22"/>
      <c r="I814" s="24"/>
      <c r="J814" s="24"/>
      <c r="K814" s="24"/>
      <c r="L814" s="24"/>
      <c r="M814" s="27" t="str">
        <f t="shared" si="51"/>
        <v/>
      </c>
      <c r="N814" s="25"/>
      <c r="O814" s="22"/>
      <c r="P814" s="24"/>
      <c r="Q814" s="26"/>
    </row>
    <row r="815" spans="1:17" ht="15" x14ac:dyDescent="0.15">
      <c r="A815" s="22"/>
      <c r="B815" s="26" t="str">
        <f t="shared" si="48"/>
        <v/>
      </c>
      <c r="C815" s="26" t="str">
        <f t="shared" si="49"/>
        <v/>
      </c>
      <c r="D815" s="26" t="str">
        <f t="shared" si="50"/>
        <v/>
      </c>
      <c r="E815" s="29"/>
      <c r="F815" s="22"/>
      <c r="G815" s="22"/>
      <c r="H815" s="22"/>
      <c r="I815" s="24"/>
      <c r="J815" s="24"/>
      <c r="K815" s="24"/>
      <c r="L815" s="24"/>
      <c r="M815" s="27" t="str">
        <f t="shared" si="51"/>
        <v/>
      </c>
      <c r="N815" s="25"/>
      <c r="O815" s="22"/>
      <c r="P815" s="24"/>
      <c r="Q815" s="26"/>
    </row>
    <row r="816" spans="1:17" ht="15" x14ac:dyDescent="0.15">
      <c r="A816" s="22"/>
      <c r="B816" s="26" t="str">
        <f t="shared" si="48"/>
        <v/>
      </c>
      <c r="C816" s="26" t="str">
        <f t="shared" si="49"/>
        <v/>
      </c>
      <c r="D816" s="26" t="str">
        <f t="shared" si="50"/>
        <v/>
      </c>
      <c r="E816" s="29"/>
      <c r="F816" s="22"/>
      <c r="G816" s="22"/>
      <c r="H816" s="22"/>
      <c r="I816" s="24"/>
      <c r="J816" s="24"/>
      <c r="K816" s="24"/>
      <c r="L816" s="24"/>
      <c r="M816" s="27" t="str">
        <f t="shared" si="51"/>
        <v/>
      </c>
      <c r="N816" s="25"/>
      <c r="O816" s="22"/>
      <c r="P816" s="24"/>
      <c r="Q816" s="26"/>
    </row>
    <row r="817" spans="1:17" ht="15" x14ac:dyDescent="0.15">
      <c r="A817" s="22"/>
      <c r="B817" s="26" t="str">
        <f t="shared" si="48"/>
        <v/>
      </c>
      <c r="C817" s="26" t="str">
        <f t="shared" si="49"/>
        <v/>
      </c>
      <c r="D817" s="26" t="str">
        <f t="shared" si="50"/>
        <v/>
      </c>
      <c r="E817" s="29"/>
      <c r="F817" s="22"/>
      <c r="G817" s="22"/>
      <c r="H817" s="22"/>
      <c r="I817" s="24"/>
      <c r="J817" s="24"/>
      <c r="K817" s="24"/>
      <c r="L817" s="24"/>
      <c r="M817" s="27" t="str">
        <f t="shared" si="51"/>
        <v/>
      </c>
      <c r="N817" s="25"/>
      <c r="O817" s="22"/>
      <c r="P817" s="24"/>
      <c r="Q817" s="26"/>
    </row>
    <row r="818" spans="1:17" ht="15" x14ac:dyDescent="0.15">
      <c r="A818" s="22"/>
      <c r="B818" s="26" t="str">
        <f t="shared" si="48"/>
        <v/>
      </c>
      <c r="C818" s="26" t="str">
        <f t="shared" si="49"/>
        <v/>
      </c>
      <c r="D818" s="26" t="str">
        <f t="shared" si="50"/>
        <v/>
      </c>
      <c r="E818" s="29"/>
      <c r="F818" s="22"/>
      <c r="G818" s="22"/>
      <c r="H818" s="22"/>
      <c r="I818" s="24"/>
      <c r="J818" s="24"/>
      <c r="K818" s="24"/>
      <c r="L818" s="24"/>
      <c r="M818" s="27" t="str">
        <f t="shared" si="51"/>
        <v/>
      </c>
      <c r="N818" s="25"/>
      <c r="O818" s="22"/>
      <c r="P818" s="24"/>
      <c r="Q818" s="26"/>
    </row>
    <row r="819" spans="1:17" ht="15" x14ac:dyDescent="0.15">
      <c r="A819" s="22"/>
      <c r="B819" s="26" t="str">
        <f t="shared" si="48"/>
        <v/>
      </c>
      <c r="C819" s="26" t="str">
        <f t="shared" si="49"/>
        <v/>
      </c>
      <c r="D819" s="26" t="str">
        <f t="shared" si="50"/>
        <v/>
      </c>
      <c r="E819" s="29"/>
      <c r="F819" s="22"/>
      <c r="G819" s="22"/>
      <c r="H819" s="22"/>
      <c r="I819" s="24"/>
      <c r="J819" s="24"/>
      <c r="K819" s="24"/>
      <c r="L819" s="24"/>
      <c r="M819" s="27" t="str">
        <f t="shared" si="51"/>
        <v/>
      </c>
      <c r="N819" s="25"/>
      <c r="O819" s="22"/>
      <c r="P819" s="24"/>
      <c r="Q819" s="26"/>
    </row>
    <row r="820" spans="1:17" ht="15" x14ac:dyDescent="0.15">
      <c r="A820" s="22"/>
      <c r="B820" s="26" t="str">
        <f t="shared" si="48"/>
        <v/>
      </c>
      <c r="C820" s="26" t="str">
        <f t="shared" si="49"/>
        <v/>
      </c>
      <c r="D820" s="26" t="str">
        <f t="shared" si="50"/>
        <v/>
      </c>
      <c r="E820" s="29"/>
      <c r="F820" s="22"/>
      <c r="G820" s="22"/>
      <c r="H820" s="22"/>
      <c r="I820" s="24"/>
      <c r="J820" s="24"/>
      <c r="K820" s="24"/>
      <c r="L820" s="24"/>
      <c r="M820" s="27" t="str">
        <f t="shared" si="51"/>
        <v/>
      </c>
      <c r="N820" s="25"/>
      <c r="O820" s="22"/>
      <c r="P820" s="24"/>
      <c r="Q820" s="26"/>
    </row>
    <row r="821" spans="1:17" ht="15" x14ac:dyDescent="0.15">
      <c r="A821" s="22"/>
      <c r="B821" s="26" t="str">
        <f t="shared" si="48"/>
        <v/>
      </c>
      <c r="C821" s="26" t="str">
        <f t="shared" si="49"/>
        <v/>
      </c>
      <c r="D821" s="26" t="str">
        <f t="shared" si="50"/>
        <v/>
      </c>
      <c r="E821" s="29"/>
      <c r="F821" s="22"/>
      <c r="G821" s="22"/>
      <c r="H821" s="22"/>
      <c r="I821" s="24"/>
      <c r="J821" s="24"/>
      <c r="K821" s="24"/>
      <c r="L821" s="24"/>
      <c r="M821" s="27" t="str">
        <f t="shared" si="51"/>
        <v/>
      </c>
      <c r="N821" s="25"/>
      <c r="O821" s="22"/>
      <c r="P821" s="24"/>
      <c r="Q821" s="26"/>
    </row>
    <row r="822" spans="1:17" ht="15" x14ac:dyDescent="0.15">
      <c r="A822" s="22"/>
      <c r="B822" s="26" t="str">
        <f t="shared" si="48"/>
        <v/>
      </c>
      <c r="C822" s="26" t="str">
        <f t="shared" si="49"/>
        <v/>
      </c>
      <c r="D822" s="26" t="str">
        <f t="shared" si="50"/>
        <v/>
      </c>
      <c r="E822" s="29"/>
      <c r="F822" s="22"/>
      <c r="G822" s="22"/>
      <c r="H822" s="22"/>
      <c r="I822" s="24"/>
      <c r="J822" s="24"/>
      <c r="K822" s="24"/>
      <c r="L822" s="24"/>
      <c r="M822" s="27" t="str">
        <f t="shared" si="51"/>
        <v/>
      </c>
      <c r="N822" s="25"/>
      <c r="O822" s="22"/>
      <c r="P822" s="24"/>
      <c r="Q822" s="26"/>
    </row>
    <row r="823" spans="1:17" ht="15" x14ac:dyDescent="0.15">
      <c r="A823" s="22"/>
      <c r="B823" s="26" t="str">
        <f t="shared" si="48"/>
        <v/>
      </c>
      <c r="C823" s="26" t="str">
        <f t="shared" si="49"/>
        <v/>
      </c>
      <c r="D823" s="26" t="str">
        <f t="shared" si="50"/>
        <v/>
      </c>
      <c r="E823" s="29"/>
      <c r="F823" s="22"/>
      <c r="G823" s="22"/>
      <c r="H823" s="22"/>
      <c r="I823" s="24"/>
      <c r="J823" s="24"/>
      <c r="K823" s="24"/>
      <c r="L823" s="24"/>
      <c r="M823" s="27" t="str">
        <f t="shared" si="51"/>
        <v/>
      </c>
      <c r="N823" s="25"/>
      <c r="O823" s="22"/>
      <c r="P823" s="24"/>
      <c r="Q823" s="26"/>
    </row>
    <row r="824" spans="1:17" ht="15" x14ac:dyDescent="0.15">
      <c r="A824" s="22"/>
      <c r="B824" s="26" t="str">
        <f t="shared" si="48"/>
        <v/>
      </c>
      <c r="C824" s="26" t="str">
        <f t="shared" si="49"/>
        <v/>
      </c>
      <c r="D824" s="26" t="str">
        <f t="shared" si="50"/>
        <v/>
      </c>
      <c r="E824" s="29"/>
      <c r="F824" s="22"/>
      <c r="G824" s="22"/>
      <c r="H824" s="22"/>
      <c r="I824" s="24"/>
      <c r="J824" s="24"/>
      <c r="K824" s="24"/>
      <c r="L824" s="24"/>
      <c r="M824" s="27" t="str">
        <f t="shared" si="51"/>
        <v/>
      </c>
      <c r="N824" s="25"/>
      <c r="O824" s="22"/>
      <c r="P824" s="24"/>
      <c r="Q824" s="26"/>
    </row>
    <row r="825" spans="1:17" ht="15" x14ac:dyDescent="0.15">
      <c r="A825" s="22"/>
      <c r="B825" s="26" t="str">
        <f t="shared" si="48"/>
        <v/>
      </c>
      <c r="C825" s="26" t="str">
        <f t="shared" si="49"/>
        <v/>
      </c>
      <c r="D825" s="26" t="str">
        <f t="shared" si="50"/>
        <v/>
      </c>
      <c r="E825" s="29"/>
      <c r="F825" s="22"/>
      <c r="G825" s="22"/>
      <c r="H825" s="22"/>
      <c r="I825" s="24"/>
      <c r="J825" s="24"/>
      <c r="K825" s="24"/>
      <c r="L825" s="24"/>
      <c r="M825" s="27" t="str">
        <f t="shared" si="51"/>
        <v/>
      </c>
      <c r="N825" s="25"/>
      <c r="O825" s="22"/>
      <c r="P825" s="24"/>
      <c r="Q825" s="26"/>
    </row>
    <row r="826" spans="1:17" ht="15" x14ac:dyDescent="0.15">
      <c r="A826" s="22"/>
      <c r="B826" s="26" t="str">
        <f t="shared" si="48"/>
        <v/>
      </c>
      <c r="C826" s="26" t="str">
        <f t="shared" si="49"/>
        <v/>
      </c>
      <c r="D826" s="26" t="str">
        <f t="shared" si="50"/>
        <v/>
      </c>
      <c r="E826" s="29"/>
      <c r="F826" s="22"/>
      <c r="G826" s="22"/>
      <c r="H826" s="22"/>
      <c r="I826" s="24"/>
      <c r="J826" s="24"/>
      <c r="K826" s="24"/>
      <c r="L826" s="24"/>
      <c r="M826" s="27" t="str">
        <f t="shared" si="51"/>
        <v/>
      </c>
      <c r="N826" s="25"/>
      <c r="O826" s="22"/>
      <c r="P826" s="24"/>
      <c r="Q826" s="26"/>
    </row>
    <row r="827" spans="1:17" ht="15" x14ac:dyDescent="0.15">
      <c r="A827" s="22"/>
      <c r="B827" s="26" t="str">
        <f t="shared" si="48"/>
        <v/>
      </c>
      <c r="C827" s="26" t="str">
        <f t="shared" si="49"/>
        <v/>
      </c>
      <c r="D827" s="26" t="str">
        <f t="shared" si="50"/>
        <v/>
      </c>
      <c r="E827" s="29"/>
      <c r="F827" s="22"/>
      <c r="G827" s="22"/>
      <c r="H827" s="22"/>
      <c r="I827" s="24"/>
      <c r="J827" s="24"/>
      <c r="K827" s="24"/>
      <c r="L827" s="24"/>
      <c r="M827" s="27" t="str">
        <f t="shared" si="51"/>
        <v/>
      </c>
      <c r="N827" s="25"/>
      <c r="O827" s="22"/>
      <c r="P827" s="24"/>
      <c r="Q827" s="26"/>
    </row>
    <row r="828" spans="1:17" ht="15" x14ac:dyDescent="0.15">
      <c r="A828" s="22"/>
      <c r="B828" s="26" t="str">
        <f t="shared" si="48"/>
        <v/>
      </c>
      <c r="C828" s="26" t="str">
        <f t="shared" si="49"/>
        <v/>
      </c>
      <c r="D828" s="26" t="str">
        <f t="shared" si="50"/>
        <v/>
      </c>
      <c r="E828" s="29"/>
      <c r="F828" s="22"/>
      <c r="G828" s="22"/>
      <c r="H828" s="22"/>
      <c r="I828" s="24"/>
      <c r="J828" s="24"/>
      <c r="K828" s="24"/>
      <c r="L828" s="24"/>
      <c r="M828" s="27" t="str">
        <f t="shared" si="51"/>
        <v/>
      </c>
      <c r="N828" s="25"/>
      <c r="O828" s="22"/>
      <c r="P828" s="24"/>
      <c r="Q828" s="26"/>
    </row>
    <row r="829" spans="1:17" ht="15" x14ac:dyDescent="0.15">
      <c r="A829" s="22"/>
      <c r="B829" s="26" t="str">
        <f t="shared" si="48"/>
        <v/>
      </c>
      <c r="C829" s="26" t="str">
        <f t="shared" si="49"/>
        <v/>
      </c>
      <c r="D829" s="26" t="str">
        <f t="shared" si="50"/>
        <v/>
      </c>
      <c r="E829" s="29"/>
      <c r="F829" s="22"/>
      <c r="G829" s="22"/>
      <c r="H829" s="22"/>
      <c r="I829" s="24"/>
      <c r="J829" s="24"/>
      <c r="K829" s="24"/>
      <c r="L829" s="24"/>
      <c r="M829" s="27" t="str">
        <f t="shared" si="51"/>
        <v/>
      </c>
      <c r="N829" s="25"/>
      <c r="O829" s="22"/>
      <c r="P829" s="24"/>
      <c r="Q829" s="26"/>
    </row>
    <row r="830" spans="1:17" ht="15" x14ac:dyDescent="0.15">
      <c r="A830" s="22"/>
      <c r="B830" s="26" t="str">
        <f t="shared" si="48"/>
        <v/>
      </c>
      <c r="C830" s="26" t="str">
        <f t="shared" si="49"/>
        <v/>
      </c>
      <c r="D830" s="26" t="str">
        <f t="shared" si="50"/>
        <v/>
      </c>
      <c r="E830" s="29"/>
      <c r="F830" s="22"/>
      <c r="G830" s="22"/>
      <c r="H830" s="22"/>
      <c r="I830" s="24"/>
      <c r="J830" s="24"/>
      <c r="K830" s="24"/>
      <c r="L830" s="24"/>
      <c r="M830" s="27" t="str">
        <f t="shared" si="51"/>
        <v/>
      </c>
      <c r="N830" s="25"/>
      <c r="O830" s="22"/>
      <c r="P830" s="24"/>
      <c r="Q830" s="26"/>
    </row>
    <row r="831" spans="1:17" ht="15" x14ac:dyDescent="0.15">
      <c r="A831" s="22"/>
      <c r="B831" s="26" t="str">
        <f t="shared" si="48"/>
        <v/>
      </c>
      <c r="C831" s="26" t="str">
        <f t="shared" si="49"/>
        <v/>
      </c>
      <c r="D831" s="26" t="str">
        <f t="shared" si="50"/>
        <v/>
      </c>
      <c r="E831" s="29"/>
      <c r="F831" s="22"/>
      <c r="G831" s="22"/>
      <c r="H831" s="22"/>
      <c r="I831" s="24"/>
      <c r="J831" s="24"/>
      <c r="K831" s="24"/>
      <c r="L831" s="24"/>
      <c r="M831" s="27" t="str">
        <f t="shared" si="51"/>
        <v/>
      </c>
      <c r="N831" s="25"/>
      <c r="O831" s="22"/>
      <c r="P831" s="24"/>
      <c r="Q831" s="26"/>
    </row>
    <row r="832" spans="1:17" ht="15" x14ac:dyDescent="0.15">
      <c r="A832" s="22"/>
      <c r="B832" s="26" t="str">
        <f t="shared" si="48"/>
        <v/>
      </c>
      <c r="C832" s="26" t="str">
        <f t="shared" si="49"/>
        <v/>
      </c>
      <c r="D832" s="26" t="str">
        <f t="shared" si="50"/>
        <v/>
      </c>
      <c r="E832" s="29"/>
      <c r="F832" s="22"/>
      <c r="G832" s="22"/>
      <c r="H832" s="22"/>
      <c r="I832" s="24"/>
      <c r="J832" s="24"/>
      <c r="K832" s="24"/>
      <c r="L832" s="24"/>
      <c r="M832" s="27" t="str">
        <f t="shared" si="51"/>
        <v/>
      </c>
      <c r="N832" s="25"/>
      <c r="O832" s="22"/>
      <c r="P832" s="24"/>
      <c r="Q832" s="26"/>
    </row>
    <row r="833" spans="1:17" ht="15" x14ac:dyDescent="0.15">
      <c r="A833" s="22"/>
      <c r="B833" s="26" t="str">
        <f t="shared" si="48"/>
        <v/>
      </c>
      <c r="C833" s="26" t="str">
        <f t="shared" si="49"/>
        <v/>
      </c>
      <c r="D833" s="26" t="str">
        <f t="shared" si="50"/>
        <v/>
      </c>
      <c r="E833" s="29"/>
      <c r="F833" s="22"/>
      <c r="G833" s="22"/>
      <c r="H833" s="22"/>
      <c r="I833" s="24"/>
      <c r="J833" s="24"/>
      <c r="K833" s="24"/>
      <c r="L833" s="24"/>
      <c r="M833" s="27" t="str">
        <f t="shared" si="51"/>
        <v/>
      </c>
      <c r="N833" s="25"/>
      <c r="O833" s="22"/>
      <c r="P833" s="24"/>
      <c r="Q833" s="26"/>
    </row>
    <row r="834" spans="1:17" ht="15" x14ac:dyDescent="0.15">
      <c r="A834" s="22"/>
      <c r="B834" s="26" t="str">
        <f t="shared" si="48"/>
        <v/>
      </c>
      <c r="C834" s="26" t="str">
        <f t="shared" si="49"/>
        <v/>
      </c>
      <c r="D834" s="26" t="str">
        <f t="shared" si="50"/>
        <v/>
      </c>
      <c r="E834" s="29"/>
      <c r="F834" s="22"/>
      <c r="G834" s="22"/>
      <c r="H834" s="22"/>
      <c r="I834" s="24"/>
      <c r="J834" s="24"/>
      <c r="K834" s="24"/>
      <c r="L834" s="24"/>
      <c r="M834" s="27" t="str">
        <f t="shared" si="51"/>
        <v/>
      </c>
      <c r="N834" s="25"/>
      <c r="O834" s="22"/>
      <c r="P834" s="24"/>
      <c r="Q834" s="26"/>
    </row>
    <row r="835" spans="1:17" ht="15" x14ac:dyDescent="0.15">
      <c r="A835" s="22"/>
      <c r="B835" s="26" t="str">
        <f t="shared" si="48"/>
        <v/>
      </c>
      <c r="C835" s="26" t="str">
        <f t="shared" si="49"/>
        <v/>
      </c>
      <c r="D835" s="26" t="str">
        <f t="shared" si="50"/>
        <v/>
      </c>
      <c r="E835" s="29"/>
      <c r="F835" s="22"/>
      <c r="G835" s="22"/>
      <c r="H835" s="22"/>
      <c r="I835" s="24"/>
      <c r="J835" s="24"/>
      <c r="K835" s="24"/>
      <c r="L835" s="24"/>
      <c r="M835" s="27" t="str">
        <f t="shared" si="51"/>
        <v/>
      </c>
      <c r="N835" s="25"/>
      <c r="O835" s="22"/>
      <c r="P835" s="24"/>
      <c r="Q835" s="26"/>
    </row>
    <row r="836" spans="1:17" ht="15" x14ac:dyDescent="0.15">
      <c r="A836" s="22"/>
      <c r="B836" s="26" t="str">
        <f t="shared" si="48"/>
        <v/>
      </c>
      <c r="C836" s="26" t="str">
        <f t="shared" si="49"/>
        <v/>
      </c>
      <c r="D836" s="26" t="str">
        <f t="shared" si="50"/>
        <v/>
      </c>
      <c r="E836" s="29"/>
      <c r="F836" s="22"/>
      <c r="G836" s="22"/>
      <c r="H836" s="22"/>
      <c r="I836" s="24"/>
      <c r="J836" s="24"/>
      <c r="K836" s="24"/>
      <c r="L836" s="24"/>
      <c r="M836" s="27" t="str">
        <f t="shared" si="51"/>
        <v/>
      </c>
      <c r="N836" s="25"/>
      <c r="O836" s="22"/>
      <c r="P836" s="24"/>
      <c r="Q836" s="26"/>
    </row>
    <row r="837" spans="1:17" ht="15" x14ac:dyDescent="0.15">
      <c r="A837" s="22"/>
      <c r="B837" s="26" t="str">
        <f t="shared" si="48"/>
        <v/>
      </c>
      <c r="C837" s="26" t="str">
        <f t="shared" si="49"/>
        <v/>
      </c>
      <c r="D837" s="26" t="str">
        <f t="shared" si="50"/>
        <v/>
      </c>
      <c r="E837" s="29"/>
      <c r="F837" s="22"/>
      <c r="G837" s="22"/>
      <c r="H837" s="22"/>
      <c r="I837" s="24"/>
      <c r="J837" s="24"/>
      <c r="K837" s="24"/>
      <c r="L837" s="24"/>
      <c r="M837" s="27" t="str">
        <f t="shared" si="51"/>
        <v/>
      </c>
      <c r="N837" s="25"/>
      <c r="O837" s="22"/>
      <c r="P837" s="24"/>
      <c r="Q837" s="26"/>
    </row>
    <row r="838" spans="1:17" ht="15" x14ac:dyDescent="0.15">
      <c r="A838" s="22"/>
      <c r="B838" s="26" t="str">
        <f t="shared" si="48"/>
        <v/>
      </c>
      <c r="C838" s="26" t="str">
        <f t="shared" si="49"/>
        <v/>
      </c>
      <c r="D838" s="26" t="str">
        <f t="shared" si="50"/>
        <v/>
      </c>
      <c r="E838" s="29"/>
      <c r="F838" s="22"/>
      <c r="G838" s="22"/>
      <c r="H838" s="22"/>
      <c r="I838" s="24"/>
      <c r="J838" s="24"/>
      <c r="K838" s="24"/>
      <c r="L838" s="24"/>
      <c r="M838" s="27" t="str">
        <f t="shared" si="51"/>
        <v/>
      </c>
      <c r="N838" s="25"/>
      <c r="O838" s="22"/>
      <c r="P838" s="24"/>
      <c r="Q838" s="26"/>
    </row>
    <row r="839" spans="1:17" ht="15" x14ac:dyDescent="0.15">
      <c r="A839" s="22"/>
      <c r="B839" s="26" t="str">
        <f t="shared" ref="B839:B902" si="52">IFERROR(IF($A839="","",LEFT($A839,FIND(" | ",$A839)-1)),"")</f>
        <v/>
      </c>
      <c r="C839" s="26" t="str">
        <f t="shared" ref="C839:C902" si="53">IFERROR(IF($A839="","",MID($A839,FIND(" | ",$A839)+3,FIND(" | ",$A839,FIND(" | ",$A839)+3)-FIND(" | ",$A839)-3)),"")</f>
        <v/>
      </c>
      <c r="D839" s="26" t="str">
        <f t="shared" ref="D839:D902" si="54">IFERROR(IF($A839="","",RIGHT($A839,LEN($A839)-FIND(" | ",$A839,FIND(" | ",$A839)+3)-2)),"")</f>
        <v/>
      </c>
      <c r="E839" s="29"/>
      <c r="F839" s="22"/>
      <c r="G839" s="22"/>
      <c r="H839" s="22"/>
      <c r="I839" s="24"/>
      <c r="J839" s="24"/>
      <c r="K839" s="24"/>
      <c r="L839" s="24"/>
      <c r="M839" s="27" t="str">
        <f t="shared" ref="M839:M902" si="55">IF($B839="","",SUM($J839,-$K839,$L839))</f>
        <v/>
      </c>
      <c r="N839" s="25"/>
      <c r="O839" s="22"/>
      <c r="P839" s="24"/>
      <c r="Q839" s="26"/>
    </row>
    <row r="840" spans="1:17" ht="15" x14ac:dyDescent="0.15">
      <c r="A840" s="22"/>
      <c r="B840" s="26" t="str">
        <f t="shared" si="52"/>
        <v/>
      </c>
      <c r="C840" s="26" t="str">
        <f t="shared" si="53"/>
        <v/>
      </c>
      <c r="D840" s="26" t="str">
        <f t="shared" si="54"/>
        <v/>
      </c>
      <c r="E840" s="29"/>
      <c r="F840" s="22"/>
      <c r="G840" s="22"/>
      <c r="H840" s="22"/>
      <c r="I840" s="24"/>
      <c r="J840" s="24"/>
      <c r="K840" s="24"/>
      <c r="L840" s="24"/>
      <c r="M840" s="27" t="str">
        <f t="shared" si="55"/>
        <v/>
      </c>
      <c r="N840" s="25"/>
      <c r="O840" s="22"/>
      <c r="P840" s="24"/>
      <c r="Q840" s="26"/>
    </row>
    <row r="841" spans="1:17" ht="15" x14ac:dyDescent="0.15">
      <c r="A841" s="22"/>
      <c r="B841" s="26" t="str">
        <f t="shared" si="52"/>
        <v/>
      </c>
      <c r="C841" s="26" t="str">
        <f t="shared" si="53"/>
        <v/>
      </c>
      <c r="D841" s="26" t="str">
        <f t="shared" si="54"/>
        <v/>
      </c>
      <c r="E841" s="29"/>
      <c r="F841" s="22"/>
      <c r="G841" s="22"/>
      <c r="H841" s="22"/>
      <c r="I841" s="24"/>
      <c r="J841" s="24"/>
      <c r="K841" s="24"/>
      <c r="L841" s="24"/>
      <c r="M841" s="27" t="str">
        <f t="shared" si="55"/>
        <v/>
      </c>
      <c r="N841" s="25"/>
      <c r="O841" s="22"/>
      <c r="P841" s="24"/>
      <c r="Q841" s="26"/>
    </row>
    <row r="842" spans="1:17" ht="15" x14ac:dyDescent="0.15">
      <c r="A842" s="22"/>
      <c r="B842" s="26" t="str">
        <f t="shared" si="52"/>
        <v/>
      </c>
      <c r="C842" s="26" t="str">
        <f t="shared" si="53"/>
        <v/>
      </c>
      <c r="D842" s="26" t="str">
        <f t="shared" si="54"/>
        <v/>
      </c>
      <c r="E842" s="29"/>
      <c r="F842" s="22"/>
      <c r="G842" s="22"/>
      <c r="H842" s="22"/>
      <c r="I842" s="24"/>
      <c r="J842" s="24"/>
      <c r="K842" s="24"/>
      <c r="L842" s="24"/>
      <c r="M842" s="27" t="str">
        <f t="shared" si="55"/>
        <v/>
      </c>
      <c r="N842" s="25"/>
      <c r="O842" s="22"/>
      <c r="P842" s="24"/>
      <c r="Q842" s="26"/>
    </row>
    <row r="843" spans="1:17" ht="15" x14ac:dyDescent="0.15">
      <c r="A843" s="22"/>
      <c r="B843" s="26" t="str">
        <f t="shared" si="52"/>
        <v/>
      </c>
      <c r="C843" s="26" t="str">
        <f t="shared" si="53"/>
        <v/>
      </c>
      <c r="D843" s="26" t="str">
        <f t="shared" si="54"/>
        <v/>
      </c>
      <c r="E843" s="29"/>
      <c r="F843" s="22"/>
      <c r="G843" s="22"/>
      <c r="H843" s="22"/>
      <c r="I843" s="24"/>
      <c r="J843" s="24"/>
      <c r="K843" s="24"/>
      <c r="L843" s="24"/>
      <c r="M843" s="27" t="str">
        <f t="shared" si="55"/>
        <v/>
      </c>
      <c r="N843" s="25"/>
      <c r="O843" s="22"/>
      <c r="P843" s="24"/>
      <c r="Q843" s="26"/>
    </row>
    <row r="844" spans="1:17" ht="15" x14ac:dyDescent="0.15">
      <c r="A844" s="22"/>
      <c r="B844" s="26" t="str">
        <f t="shared" si="52"/>
        <v/>
      </c>
      <c r="C844" s="26" t="str">
        <f t="shared" si="53"/>
        <v/>
      </c>
      <c r="D844" s="26" t="str">
        <f t="shared" si="54"/>
        <v/>
      </c>
      <c r="E844" s="29"/>
      <c r="F844" s="22"/>
      <c r="G844" s="22"/>
      <c r="H844" s="22"/>
      <c r="I844" s="24"/>
      <c r="J844" s="24"/>
      <c r="K844" s="24"/>
      <c r="L844" s="24"/>
      <c r="M844" s="27" t="str">
        <f t="shared" si="55"/>
        <v/>
      </c>
      <c r="N844" s="25"/>
      <c r="O844" s="22"/>
      <c r="P844" s="24"/>
      <c r="Q844" s="26"/>
    </row>
    <row r="845" spans="1:17" ht="15" x14ac:dyDescent="0.15">
      <c r="A845" s="22"/>
      <c r="B845" s="26" t="str">
        <f t="shared" si="52"/>
        <v/>
      </c>
      <c r="C845" s="26" t="str">
        <f t="shared" si="53"/>
        <v/>
      </c>
      <c r="D845" s="26" t="str">
        <f t="shared" si="54"/>
        <v/>
      </c>
      <c r="E845" s="29"/>
      <c r="F845" s="22"/>
      <c r="G845" s="22"/>
      <c r="H845" s="22"/>
      <c r="I845" s="24"/>
      <c r="J845" s="24"/>
      <c r="K845" s="24"/>
      <c r="L845" s="24"/>
      <c r="M845" s="27" t="str">
        <f t="shared" si="55"/>
        <v/>
      </c>
      <c r="N845" s="25"/>
      <c r="O845" s="22"/>
      <c r="P845" s="24"/>
      <c r="Q845" s="26"/>
    </row>
    <row r="846" spans="1:17" ht="15" x14ac:dyDescent="0.15">
      <c r="A846" s="22"/>
      <c r="B846" s="26" t="str">
        <f t="shared" si="52"/>
        <v/>
      </c>
      <c r="C846" s="26" t="str">
        <f t="shared" si="53"/>
        <v/>
      </c>
      <c r="D846" s="26" t="str">
        <f t="shared" si="54"/>
        <v/>
      </c>
      <c r="E846" s="29"/>
      <c r="F846" s="22"/>
      <c r="G846" s="22"/>
      <c r="H846" s="22"/>
      <c r="I846" s="24"/>
      <c r="J846" s="24"/>
      <c r="K846" s="24"/>
      <c r="L846" s="24"/>
      <c r="M846" s="27" t="str">
        <f t="shared" si="55"/>
        <v/>
      </c>
      <c r="N846" s="25"/>
      <c r="O846" s="22"/>
      <c r="P846" s="24"/>
      <c r="Q846" s="26"/>
    </row>
    <row r="847" spans="1:17" ht="15" x14ac:dyDescent="0.15">
      <c r="A847" s="22"/>
      <c r="B847" s="26" t="str">
        <f t="shared" si="52"/>
        <v/>
      </c>
      <c r="C847" s="26" t="str">
        <f t="shared" si="53"/>
        <v/>
      </c>
      <c r="D847" s="26" t="str">
        <f t="shared" si="54"/>
        <v/>
      </c>
      <c r="E847" s="29"/>
      <c r="F847" s="22"/>
      <c r="G847" s="22"/>
      <c r="H847" s="22"/>
      <c r="I847" s="24"/>
      <c r="J847" s="24"/>
      <c r="K847" s="24"/>
      <c r="L847" s="24"/>
      <c r="M847" s="27" t="str">
        <f t="shared" si="55"/>
        <v/>
      </c>
      <c r="N847" s="25"/>
      <c r="O847" s="22"/>
      <c r="P847" s="24"/>
      <c r="Q847" s="26"/>
    </row>
    <row r="848" spans="1:17" ht="15" x14ac:dyDescent="0.15">
      <c r="A848" s="22"/>
      <c r="B848" s="26" t="str">
        <f t="shared" si="52"/>
        <v/>
      </c>
      <c r="C848" s="26" t="str">
        <f t="shared" si="53"/>
        <v/>
      </c>
      <c r="D848" s="26" t="str">
        <f t="shared" si="54"/>
        <v/>
      </c>
      <c r="E848" s="29"/>
      <c r="F848" s="22"/>
      <c r="G848" s="22"/>
      <c r="H848" s="22"/>
      <c r="I848" s="24"/>
      <c r="J848" s="24"/>
      <c r="K848" s="24"/>
      <c r="L848" s="24"/>
      <c r="M848" s="27" t="str">
        <f t="shared" si="55"/>
        <v/>
      </c>
      <c r="N848" s="25"/>
      <c r="O848" s="22"/>
      <c r="P848" s="24"/>
      <c r="Q848" s="26"/>
    </row>
    <row r="849" spans="1:17" ht="15" x14ac:dyDescent="0.15">
      <c r="A849" s="22"/>
      <c r="B849" s="26" t="str">
        <f t="shared" si="52"/>
        <v/>
      </c>
      <c r="C849" s="26" t="str">
        <f t="shared" si="53"/>
        <v/>
      </c>
      <c r="D849" s="26" t="str">
        <f t="shared" si="54"/>
        <v/>
      </c>
      <c r="E849" s="29"/>
      <c r="F849" s="22"/>
      <c r="G849" s="22"/>
      <c r="H849" s="22"/>
      <c r="I849" s="24"/>
      <c r="J849" s="24"/>
      <c r="K849" s="24"/>
      <c r="L849" s="24"/>
      <c r="M849" s="27" t="str">
        <f t="shared" si="55"/>
        <v/>
      </c>
      <c r="N849" s="25"/>
      <c r="O849" s="22"/>
      <c r="P849" s="24"/>
      <c r="Q849" s="26"/>
    </row>
    <row r="850" spans="1:17" ht="15" x14ac:dyDescent="0.15">
      <c r="A850" s="22"/>
      <c r="B850" s="26" t="str">
        <f t="shared" si="52"/>
        <v/>
      </c>
      <c r="C850" s="26" t="str">
        <f t="shared" si="53"/>
        <v/>
      </c>
      <c r="D850" s="26" t="str">
        <f t="shared" si="54"/>
        <v/>
      </c>
      <c r="E850" s="29"/>
      <c r="F850" s="22"/>
      <c r="G850" s="22"/>
      <c r="H850" s="22"/>
      <c r="I850" s="24"/>
      <c r="J850" s="24"/>
      <c r="K850" s="24"/>
      <c r="L850" s="24"/>
      <c r="M850" s="27" t="str">
        <f t="shared" si="55"/>
        <v/>
      </c>
      <c r="N850" s="25"/>
      <c r="O850" s="22"/>
      <c r="P850" s="24"/>
      <c r="Q850" s="26"/>
    </row>
    <row r="851" spans="1:17" ht="15" x14ac:dyDescent="0.15">
      <c r="A851" s="22"/>
      <c r="B851" s="26" t="str">
        <f t="shared" si="52"/>
        <v/>
      </c>
      <c r="C851" s="26" t="str">
        <f t="shared" si="53"/>
        <v/>
      </c>
      <c r="D851" s="26" t="str">
        <f t="shared" si="54"/>
        <v/>
      </c>
      <c r="E851" s="29"/>
      <c r="F851" s="22"/>
      <c r="G851" s="22"/>
      <c r="H851" s="22"/>
      <c r="I851" s="24"/>
      <c r="J851" s="24"/>
      <c r="K851" s="24"/>
      <c r="L851" s="24"/>
      <c r="M851" s="27" t="str">
        <f t="shared" si="55"/>
        <v/>
      </c>
      <c r="N851" s="25"/>
      <c r="O851" s="22"/>
      <c r="P851" s="24"/>
      <c r="Q851" s="26"/>
    </row>
    <row r="852" spans="1:17" ht="15" x14ac:dyDescent="0.15">
      <c r="A852" s="22"/>
      <c r="B852" s="26" t="str">
        <f t="shared" si="52"/>
        <v/>
      </c>
      <c r="C852" s="26" t="str">
        <f t="shared" si="53"/>
        <v/>
      </c>
      <c r="D852" s="26" t="str">
        <f t="shared" si="54"/>
        <v/>
      </c>
      <c r="E852" s="29"/>
      <c r="F852" s="22"/>
      <c r="G852" s="22"/>
      <c r="H852" s="22"/>
      <c r="I852" s="24"/>
      <c r="J852" s="24"/>
      <c r="K852" s="24"/>
      <c r="L852" s="24"/>
      <c r="M852" s="27" t="str">
        <f t="shared" si="55"/>
        <v/>
      </c>
      <c r="N852" s="25"/>
      <c r="O852" s="22"/>
      <c r="P852" s="24"/>
      <c r="Q852" s="26"/>
    </row>
    <row r="853" spans="1:17" ht="15" x14ac:dyDescent="0.15">
      <c r="A853" s="22"/>
      <c r="B853" s="26" t="str">
        <f t="shared" si="52"/>
        <v/>
      </c>
      <c r="C853" s="26" t="str">
        <f t="shared" si="53"/>
        <v/>
      </c>
      <c r="D853" s="26" t="str">
        <f t="shared" si="54"/>
        <v/>
      </c>
      <c r="E853" s="29"/>
      <c r="F853" s="22"/>
      <c r="G853" s="22"/>
      <c r="H853" s="22"/>
      <c r="I853" s="24"/>
      <c r="J853" s="24"/>
      <c r="K853" s="24"/>
      <c r="L853" s="24"/>
      <c r="M853" s="27" t="str">
        <f t="shared" si="55"/>
        <v/>
      </c>
      <c r="N853" s="25"/>
      <c r="O853" s="22"/>
      <c r="P853" s="24"/>
      <c r="Q853" s="26"/>
    </row>
    <row r="854" spans="1:17" ht="15" x14ac:dyDescent="0.15">
      <c r="A854" s="22"/>
      <c r="B854" s="26" t="str">
        <f t="shared" si="52"/>
        <v/>
      </c>
      <c r="C854" s="26" t="str">
        <f t="shared" si="53"/>
        <v/>
      </c>
      <c r="D854" s="26" t="str">
        <f t="shared" si="54"/>
        <v/>
      </c>
      <c r="E854" s="29"/>
      <c r="F854" s="22"/>
      <c r="G854" s="22"/>
      <c r="H854" s="22"/>
      <c r="I854" s="24"/>
      <c r="J854" s="24"/>
      <c r="K854" s="24"/>
      <c r="L854" s="24"/>
      <c r="M854" s="27" t="str">
        <f t="shared" si="55"/>
        <v/>
      </c>
      <c r="N854" s="25"/>
      <c r="O854" s="22"/>
      <c r="P854" s="24"/>
      <c r="Q854" s="26"/>
    </row>
    <row r="855" spans="1:17" ht="15" x14ac:dyDescent="0.15">
      <c r="A855" s="22"/>
      <c r="B855" s="26" t="str">
        <f t="shared" si="52"/>
        <v/>
      </c>
      <c r="C855" s="26" t="str">
        <f t="shared" si="53"/>
        <v/>
      </c>
      <c r="D855" s="26" t="str">
        <f t="shared" si="54"/>
        <v/>
      </c>
      <c r="E855" s="29"/>
      <c r="F855" s="22"/>
      <c r="G855" s="22"/>
      <c r="H855" s="22"/>
      <c r="I855" s="24"/>
      <c r="J855" s="24"/>
      <c r="K855" s="24"/>
      <c r="L855" s="24"/>
      <c r="M855" s="27" t="str">
        <f t="shared" si="55"/>
        <v/>
      </c>
      <c r="N855" s="25"/>
      <c r="O855" s="22"/>
      <c r="P855" s="24"/>
      <c r="Q855" s="26"/>
    </row>
    <row r="856" spans="1:17" ht="15" x14ac:dyDescent="0.15">
      <c r="A856" s="22"/>
      <c r="B856" s="26" t="str">
        <f t="shared" si="52"/>
        <v/>
      </c>
      <c r="C856" s="26" t="str">
        <f t="shared" si="53"/>
        <v/>
      </c>
      <c r="D856" s="26" t="str">
        <f t="shared" si="54"/>
        <v/>
      </c>
      <c r="E856" s="29"/>
      <c r="F856" s="22"/>
      <c r="G856" s="22"/>
      <c r="H856" s="22"/>
      <c r="I856" s="24"/>
      <c r="J856" s="24"/>
      <c r="K856" s="24"/>
      <c r="L856" s="24"/>
      <c r="M856" s="27" t="str">
        <f t="shared" si="55"/>
        <v/>
      </c>
      <c r="N856" s="25"/>
      <c r="O856" s="22"/>
      <c r="P856" s="24"/>
      <c r="Q856" s="26"/>
    </row>
    <row r="857" spans="1:17" ht="15" x14ac:dyDescent="0.15">
      <c r="A857" s="22"/>
      <c r="B857" s="26" t="str">
        <f t="shared" si="52"/>
        <v/>
      </c>
      <c r="C857" s="26" t="str">
        <f t="shared" si="53"/>
        <v/>
      </c>
      <c r="D857" s="26" t="str">
        <f t="shared" si="54"/>
        <v/>
      </c>
      <c r="E857" s="29"/>
      <c r="F857" s="22"/>
      <c r="G857" s="22"/>
      <c r="H857" s="22"/>
      <c r="I857" s="24"/>
      <c r="J857" s="24"/>
      <c r="K857" s="24"/>
      <c r="L857" s="24"/>
      <c r="M857" s="27" t="str">
        <f t="shared" si="55"/>
        <v/>
      </c>
      <c r="N857" s="25"/>
      <c r="O857" s="22"/>
      <c r="P857" s="24"/>
      <c r="Q857" s="26"/>
    </row>
    <row r="858" spans="1:17" ht="15" x14ac:dyDescent="0.15">
      <c r="A858" s="22"/>
      <c r="B858" s="26" t="str">
        <f t="shared" si="52"/>
        <v/>
      </c>
      <c r="C858" s="26" t="str">
        <f t="shared" si="53"/>
        <v/>
      </c>
      <c r="D858" s="26" t="str">
        <f t="shared" si="54"/>
        <v/>
      </c>
      <c r="E858" s="29"/>
      <c r="F858" s="22"/>
      <c r="G858" s="22"/>
      <c r="H858" s="22"/>
      <c r="I858" s="24"/>
      <c r="J858" s="24"/>
      <c r="K858" s="24"/>
      <c r="L858" s="24"/>
      <c r="M858" s="27" t="str">
        <f t="shared" si="55"/>
        <v/>
      </c>
      <c r="N858" s="25"/>
      <c r="O858" s="22"/>
      <c r="P858" s="24"/>
      <c r="Q858" s="26"/>
    </row>
    <row r="859" spans="1:17" ht="15" x14ac:dyDescent="0.15">
      <c r="A859" s="22"/>
      <c r="B859" s="26" t="str">
        <f t="shared" si="52"/>
        <v/>
      </c>
      <c r="C859" s="26" t="str">
        <f t="shared" si="53"/>
        <v/>
      </c>
      <c r="D859" s="26" t="str">
        <f t="shared" si="54"/>
        <v/>
      </c>
      <c r="E859" s="29"/>
      <c r="F859" s="22"/>
      <c r="G859" s="22"/>
      <c r="H859" s="22"/>
      <c r="I859" s="24"/>
      <c r="J859" s="24"/>
      <c r="K859" s="24"/>
      <c r="L859" s="24"/>
      <c r="M859" s="27" t="str">
        <f t="shared" si="55"/>
        <v/>
      </c>
      <c r="N859" s="25"/>
      <c r="O859" s="22"/>
      <c r="P859" s="24"/>
      <c r="Q859" s="26"/>
    </row>
    <row r="860" spans="1:17" ht="15" x14ac:dyDescent="0.15">
      <c r="A860" s="22"/>
      <c r="B860" s="26" t="str">
        <f t="shared" si="52"/>
        <v/>
      </c>
      <c r="C860" s="26" t="str">
        <f t="shared" si="53"/>
        <v/>
      </c>
      <c r="D860" s="26" t="str">
        <f t="shared" si="54"/>
        <v/>
      </c>
      <c r="E860" s="29"/>
      <c r="F860" s="22"/>
      <c r="G860" s="22"/>
      <c r="H860" s="22"/>
      <c r="I860" s="24"/>
      <c r="J860" s="24"/>
      <c r="K860" s="24"/>
      <c r="L860" s="24"/>
      <c r="M860" s="27" t="str">
        <f t="shared" si="55"/>
        <v/>
      </c>
      <c r="N860" s="25"/>
      <c r="O860" s="22"/>
      <c r="P860" s="24"/>
      <c r="Q860" s="26"/>
    </row>
    <row r="861" spans="1:17" ht="15" x14ac:dyDescent="0.15">
      <c r="A861" s="22"/>
      <c r="B861" s="26" t="str">
        <f t="shared" si="52"/>
        <v/>
      </c>
      <c r="C861" s="26" t="str">
        <f t="shared" si="53"/>
        <v/>
      </c>
      <c r="D861" s="26" t="str">
        <f t="shared" si="54"/>
        <v/>
      </c>
      <c r="E861" s="29"/>
      <c r="F861" s="22"/>
      <c r="G861" s="22"/>
      <c r="H861" s="22"/>
      <c r="I861" s="24"/>
      <c r="J861" s="24"/>
      <c r="K861" s="24"/>
      <c r="L861" s="24"/>
      <c r="M861" s="27" t="str">
        <f t="shared" si="55"/>
        <v/>
      </c>
      <c r="N861" s="25"/>
      <c r="O861" s="22"/>
      <c r="P861" s="24"/>
      <c r="Q861" s="26"/>
    </row>
    <row r="862" spans="1:17" ht="15" x14ac:dyDescent="0.15">
      <c r="A862" s="22"/>
      <c r="B862" s="26" t="str">
        <f t="shared" si="52"/>
        <v/>
      </c>
      <c r="C862" s="26" t="str">
        <f t="shared" si="53"/>
        <v/>
      </c>
      <c r="D862" s="26" t="str">
        <f t="shared" si="54"/>
        <v/>
      </c>
      <c r="E862" s="29"/>
      <c r="F862" s="22"/>
      <c r="G862" s="22"/>
      <c r="H862" s="22"/>
      <c r="I862" s="24"/>
      <c r="J862" s="24"/>
      <c r="K862" s="24"/>
      <c r="L862" s="24"/>
      <c r="M862" s="27" t="str">
        <f t="shared" si="55"/>
        <v/>
      </c>
      <c r="N862" s="25"/>
      <c r="O862" s="22"/>
      <c r="P862" s="24"/>
      <c r="Q862" s="26"/>
    </row>
    <row r="863" spans="1:17" ht="15" x14ac:dyDescent="0.15">
      <c r="A863" s="22"/>
      <c r="B863" s="26" t="str">
        <f t="shared" si="52"/>
        <v/>
      </c>
      <c r="C863" s="26" t="str">
        <f t="shared" si="53"/>
        <v/>
      </c>
      <c r="D863" s="26" t="str">
        <f t="shared" si="54"/>
        <v/>
      </c>
      <c r="E863" s="29"/>
      <c r="F863" s="22"/>
      <c r="G863" s="22"/>
      <c r="H863" s="22"/>
      <c r="I863" s="24"/>
      <c r="J863" s="24"/>
      <c r="K863" s="24"/>
      <c r="L863" s="24"/>
      <c r="M863" s="27" t="str">
        <f t="shared" si="55"/>
        <v/>
      </c>
      <c r="N863" s="25"/>
      <c r="O863" s="22"/>
      <c r="P863" s="24"/>
      <c r="Q863" s="26"/>
    </row>
    <row r="864" spans="1:17" ht="15" x14ac:dyDescent="0.15">
      <c r="A864" s="22"/>
      <c r="B864" s="26" t="str">
        <f t="shared" si="52"/>
        <v/>
      </c>
      <c r="C864" s="26" t="str">
        <f t="shared" si="53"/>
        <v/>
      </c>
      <c r="D864" s="26" t="str">
        <f t="shared" si="54"/>
        <v/>
      </c>
      <c r="E864" s="29"/>
      <c r="F864" s="22"/>
      <c r="G864" s="22"/>
      <c r="H864" s="22"/>
      <c r="I864" s="24"/>
      <c r="J864" s="24"/>
      <c r="K864" s="24"/>
      <c r="L864" s="24"/>
      <c r="M864" s="27" t="str">
        <f t="shared" si="55"/>
        <v/>
      </c>
      <c r="N864" s="25"/>
      <c r="O864" s="22"/>
      <c r="P864" s="24"/>
      <c r="Q864" s="26"/>
    </row>
    <row r="865" spans="1:17" ht="15" x14ac:dyDescent="0.15">
      <c r="A865" s="22"/>
      <c r="B865" s="26" t="str">
        <f t="shared" si="52"/>
        <v/>
      </c>
      <c r="C865" s="26" t="str">
        <f t="shared" si="53"/>
        <v/>
      </c>
      <c r="D865" s="26" t="str">
        <f t="shared" si="54"/>
        <v/>
      </c>
      <c r="E865" s="29"/>
      <c r="F865" s="22"/>
      <c r="G865" s="22"/>
      <c r="H865" s="22"/>
      <c r="I865" s="24"/>
      <c r="J865" s="24"/>
      <c r="K865" s="24"/>
      <c r="L865" s="24"/>
      <c r="M865" s="27" t="str">
        <f t="shared" si="55"/>
        <v/>
      </c>
      <c r="N865" s="25"/>
      <c r="O865" s="22"/>
      <c r="P865" s="24"/>
      <c r="Q865" s="26"/>
    </row>
    <row r="866" spans="1:17" ht="15" x14ac:dyDescent="0.15">
      <c r="A866" s="22"/>
      <c r="B866" s="26" t="str">
        <f t="shared" si="52"/>
        <v/>
      </c>
      <c r="C866" s="26" t="str">
        <f t="shared" si="53"/>
        <v/>
      </c>
      <c r="D866" s="26" t="str">
        <f t="shared" si="54"/>
        <v/>
      </c>
      <c r="E866" s="29"/>
      <c r="F866" s="22"/>
      <c r="G866" s="22"/>
      <c r="H866" s="22"/>
      <c r="I866" s="24"/>
      <c r="J866" s="24"/>
      <c r="K866" s="24"/>
      <c r="L866" s="24"/>
      <c r="M866" s="27" t="str">
        <f t="shared" si="55"/>
        <v/>
      </c>
      <c r="N866" s="25"/>
      <c r="O866" s="22"/>
      <c r="P866" s="24"/>
      <c r="Q866" s="26"/>
    </row>
    <row r="867" spans="1:17" ht="15" x14ac:dyDescent="0.15">
      <c r="A867" s="22"/>
      <c r="B867" s="26" t="str">
        <f t="shared" si="52"/>
        <v/>
      </c>
      <c r="C867" s="26" t="str">
        <f t="shared" si="53"/>
        <v/>
      </c>
      <c r="D867" s="26" t="str">
        <f t="shared" si="54"/>
        <v/>
      </c>
      <c r="E867" s="29"/>
      <c r="F867" s="22"/>
      <c r="G867" s="22"/>
      <c r="H867" s="22"/>
      <c r="I867" s="24"/>
      <c r="J867" s="24"/>
      <c r="K867" s="24"/>
      <c r="L867" s="24"/>
      <c r="M867" s="27" t="str">
        <f t="shared" si="55"/>
        <v/>
      </c>
      <c r="N867" s="25"/>
      <c r="O867" s="22"/>
      <c r="P867" s="24"/>
      <c r="Q867" s="26"/>
    </row>
    <row r="868" spans="1:17" ht="15" x14ac:dyDescent="0.15">
      <c r="A868" s="22"/>
      <c r="B868" s="26" t="str">
        <f t="shared" si="52"/>
        <v/>
      </c>
      <c r="C868" s="26" t="str">
        <f t="shared" si="53"/>
        <v/>
      </c>
      <c r="D868" s="26" t="str">
        <f t="shared" si="54"/>
        <v/>
      </c>
      <c r="E868" s="29"/>
      <c r="F868" s="22"/>
      <c r="G868" s="22"/>
      <c r="H868" s="22"/>
      <c r="I868" s="24"/>
      <c r="J868" s="24"/>
      <c r="K868" s="24"/>
      <c r="L868" s="24"/>
      <c r="M868" s="27" t="str">
        <f t="shared" si="55"/>
        <v/>
      </c>
      <c r="N868" s="25"/>
      <c r="O868" s="22"/>
      <c r="P868" s="24"/>
      <c r="Q868" s="26"/>
    </row>
    <row r="869" spans="1:17" ht="15" x14ac:dyDescent="0.15">
      <c r="A869" s="22"/>
      <c r="B869" s="26" t="str">
        <f t="shared" si="52"/>
        <v/>
      </c>
      <c r="C869" s="26" t="str">
        <f t="shared" si="53"/>
        <v/>
      </c>
      <c r="D869" s="26" t="str">
        <f t="shared" si="54"/>
        <v/>
      </c>
      <c r="E869" s="29"/>
      <c r="F869" s="22"/>
      <c r="G869" s="22"/>
      <c r="H869" s="22"/>
      <c r="I869" s="24"/>
      <c r="J869" s="24"/>
      <c r="K869" s="24"/>
      <c r="L869" s="24"/>
      <c r="M869" s="27" t="str">
        <f t="shared" si="55"/>
        <v/>
      </c>
      <c r="N869" s="25"/>
      <c r="O869" s="22"/>
      <c r="P869" s="24"/>
      <c r="Q869" s="26"/>
    </row>
    <row r="870" spans="1:17" ht="15" x14ac:dyDescent="0.15">
      <c r="A870" s="22"/>
      <c r="B870" s="26" t="str">
        <f t="shared" si="52"/>
        <v/>
      </c>
      <c r="C870" s="26" t="str">
        <f t="shared" si="53"/>
        <v/>
      </c>
      <c r="D870" s="26" t="str">
        <f t="shared" si="54"/>
        <v/>
      </c>
      <c r="E870" s="29"/>
      <c r="F870" s="22"/>
      <c r="G870" s="22"/>
      <c r="H870" s="22"/>
      <c r="I870" s="24"/>
      <c r="J870" s="24"/>
      <c r="K870" s="24"/>
      <c r="L870" s="24"/>
      <c r="M870" s="27" t="str">
        <f t="shared" si="55"/>
        <v/>
      </c>
      <c r="N870" s="25"/>
      <c r="O870" s="22"/>
      <c r="P870" s="24"/>
      <c r="Q870" s="26"/>
    </row>
    <row r="871" spans="1:17" ht="15" x14ac:dyDescent="0.15">
      <c r="A871" s="22"/>
      <c r="B871" s="26" t="str">
        <f t="shared" si="52"/>
        <v/>
      </c>
      <c r="C871" s="26" t="str">
        <f t="shared" si="53"/>
        <v/>
      </c>
      <c r="D871" s="26" t="str">
        <f t="shared" si="54"/>
        <v/>
      </c>
      <c r="E871" s="29"/>
      <c r="F871" s="22"/>
      <c r="G871" s="22"/>
      <c r="H871" s="22"/>
      <c r="I871" s="24"/>
      <c r="J871" s="24"/>
      <c r="K871" s="24"/>
      <c r="L871" s="24"/>
      <c r="M871" s="27" t="str">
        <f t="shared" si="55"/>
        <v/>
      </c>
      <c r="N871" s="25"/>
      <c r="O871" s="22"/>
      <c r="P871" s="24"/>
      <c r="Q871" s="26"/>
    </row>
    <row r="872" spans="1:17" ht="15" x14ac:dyDescent="0.15">
      <c r="A872" s="22"/>
      <c r="B872" s="26" t="str">
        <f t="shared" si="52"/>
        <v/>
      </c>
      <c r="C872" s="26" t="str">
        <f t="shared" si="53"/>
        <v/>
      </c>
      <c r="D872" s="26" t="str">
        <f t="shared" si="54"/>
        <v/>
      </c>
      <c r="E872" s="29"/>
      <c r="F872" s="22"/>
      <c r="G872" s="22"/>
      <c r="H872" s="22"/>
      <c r="I872" s="24"/>
      <c r="J872" s="24"/>
      <c r="K872" s="24"/>
      <c r="L872" s="24"/>
      <c r="M872" s="27" t="str">
        <f t="shared" si="55"/>
        <v/>
      </c>
      <c r="N872" s="25"/>
      <c r="O872" s="22"/>
      <c r="P872" s="24"/>
      <c r="Q872" s="26"/>
    </row>
    <row r="873" spans="1:17" ht="15" x14ac:dyDescent="0.15">
      <c r="A873" s="22"/>
      <c r="B873" s="26" t="str">
        <f t="shared" si="52"/>
        <v/>
      </c>
      <c r="C873" s="26" t="str">
        <f t="shared" si="53"/>
        <v/>
      </c>
      <c r="D873" s="26" t="str">
        <f t="shared" si="54"/>
        <v/>
      </c>
      <c r="E873" s="29"/>
      <c r="F873" s="22"/>
      <c r="G873" s="22"/>
      <c r="H873" s="22"/>
      <c r="I873" s="24"/>
      <c r="J873" s="24"/>
      <c r="K873" s="24"/>
      <c r="L873" s="24"/>
      <c r="M873" s="27" t="str">
        <f t="shared" si="55"/>
        <v/>
      </c>
      <c r="N873" s="25"/>
      <c r="O873" s="22"/>
      <c r="P873" s="24"/>
      <c r="Q873" s="26"/>
    </row>
    <row r="874" spans="1:17" ht="15" x14ac:dyDescent="0.15">
      <c r="A874" s="22"/>
      <c r="B874" s="26" t="str">
        <f t="shared" si="52"/>
        <v/>
      </c>
      <c r="C874" s="26" t="str">
        <f t="shared" si="53"/>
        <v/>
      </c>
      <c r="D874" s="26" t="str">
        <f t="shared" si="54"/>
        <v/>
      </c>
      <c r="E874" s="29"/>
      <c r="F874" s="22"/>
      <c r="G874" s="22"/>
      <c r="H874" s="22"/>
      <c r="I874" s="24"/>
      <c r="J874" s="24"/>
      <c r="K874" s="24"/>
      <c r="L874" s="24"/>
      <c r="M874" s="27" t="str">
        <f t="shared" si="55"/>
        <v/>
      </c>
      <c r="N874" s="25"/>
      <c r="O874" s="22"/>
      <c r="P874" s="24"/>
      <c r="Q874" s="26"/>
    </row>
    <row r="875" spans="1:17" ht="15" x14ac:dyDescent="0.15">
      <c r="A875" s="22"/>
      <c r="B875" s="26" t="str">
        <f t="shared" si="52"/>
        <v/>
      </c>
      <c r="C875" s="26" t="str">
        <f t="shared" si="53"/>
        <v/>
      </c>
      <c r="D875" s="26" t="str">
        <f t="shared" si="54"/>
        <v/>
      </c>
      <c r="E875" s="29"/>
      <c r="F875" s="22"/>
      <c r="G875" s="22"/>
      <c r="H875" s="22"/>
      <c r="I875" s="24"/>
      <c r="J875" s="24"/>
      <c r="K875" s="24"/>
      <c r="L875" s="24"/>
      <c r="M875" s="27" t="str">
        <f t="shared" si="55"/>
        <v/>
      </c>
      <c r="N875" s="25"/>
      <c r="O875" s="22"/>
      <c r="P875" s="24"/>
      <c r="Q875" s="26"/>
    </row>
    <row r="876" spans="1:17" ht="15" x14ac:dyDescent="0.15">
      <c r="A876" s="22"/>
      <c r="B876" s="26" t="str">
        <f t="shared" si="52"/>
        <v/>
      </c>
      <c r="C876" s="26" t="str">
        <f t="shared" si="53"/>
        <v/>
      </c>
      <c r="D876" s="26" t="str">
        <f t="shared" si="54"/>
        <v/>
      </c>
      <c r="E876" s="29"/>
      <c r="F876" s="22"/>
      <c r="G876" s="22"/>
      <c r="H876" s="22"/>
      <c r="I876" s="24"/>
      <c r="J876" s="24"/>
      <c r="K876" s="24"/>
      <c r="L876" s="24"/>
      <c r="M876" s="27" t="str">
        <f t="shared" si="55"/>
        <v/>
      </c>
      <c r="N876" s="25"/>
      <c r="O876" s="22"/>
      <c r="P876" s="24"/>
      <c r="Q876" s="26"/>
    </row>
    <row r="877" spans="1:17" ht="15" x14ac:dyDescent="0.15">
      <c r="A877" s="22"/>
      <c r="B877" s="26" t="str">
        <f t="shared" si="52"/>
        <v/>
      </c>
      <c r="C877" s="26" t="str">
        <f t="shared" si="53"/>
        <v/>
      </c>
      <c r="D877" s="26" t="str">
        <f t="shared" si="54"/>
        <v/>
      </c>
      <c r="E877" s="29"/>
      <c r="F877" s="22"/>
      <c r="G877" s="22"/>
      <c r="H877" s="22"/>
      <c r="I877" s="24"/>
      <c r="J877" s="24"/>
      <c r="K877" s="24"/>
      <c r="L877" s="24"/>
      <c r="M877" s="27" t="str">
        <f t="shared" si="55"/>
        <v/>
      </c>
      <c r="N877" s="25"/>
      <c r="O877" s="22"/>
      <c r="P877" s="24"/>
      <c r="Q877" s="26"/>
    </row>
    <row r="878" spans="1:17" ht="15" x14ac:dyDescent="0.15">
      <c r="A878" s="22"/>
      <c r="B878" s="26" t="str">
        <f t="shared" si="52"/>
        <v/>
      </c>
      <c r="C878" s="26" t="str">
        <f t="shared" si="53"/>
        <v/>
      </c>
      <c r="D878" s="26" t="str">
        <f t="shared" si="54"/>
        <v/>
      </c>
      <c r="E878" s="29"/>
      <c r="F878" s="22"/>
      <c r="G878" s="22"/>
      <c r="H878" s="22"/>
      <c r="I878" s="24"/>
      <c r="J878" s="24"/>
      <c r="K878" s="24"/>
      <c r="L878" s="24"/>
      <c r="M878" s="27" t="str">
        <f t="shared" si="55"/>
        <v/>
      </c>
      <c r="N878" s="25"/>
      <c r="O878" s="22"/>
      <c r="P878" s="24"/>
      <c r="Q878" s="26"/>
    </row>
    <row r="879" spans="1:17" ht="15" x14ac:dyDescent="0.15">
      <c r="A879" s="22"/>
      <c r="B879" s="26" t="str">
        <f t="shared" si="52"/>
        <v/>
      </c>
      <c r="C879" s="26" t="str">
        <f t="shared" si="53"/>
        <v/>
      </c>
      <c r="D879" s="26" t="str">
        <f t="shared" si="54"/>
        <v/>
      </c>
      <c r="E879" s="29"/>
      <c r="F879" s="22"/>
      <c r="G879" s="22"/>
      <c r="H879" s="22"/>
      <c r="I879" s="24"/>
      <c r="J879" s="24"/>
      <c r="K879" s="24"/>
      <c r="L879" s="24"/>
      <c r="M879" s="27" t="str">
        <f t="shared" si="55"/>
        <v/>
      </c>
      <c r="N879" s="25"/>
      <c r="O879" s="22"/>
      <c r="P879" s="24"/>
      <c r="Q879" s="26"/>
    </row>
    <row r="880" spans="1:17" ht="15" x14ac:dyDescent="0.15">
      <c r="A880" s="22"/>
      <c r="B880" s="26" t="str">
        <f t="shared" si="52"/>
        <v/>
      </c>
      <c r="C880" s="26" t="str">
        <f t="shared" si="53"/>
        <v/>
      </c>
      <c r="D880" s="26" t="str">
        <f t="shared" si="54"/>
        <v/>
      </c>
      <c r="E880" s="29"/>
      <c r="F880" s="22"/>
      <c r="G880" s="22"/>
      <c r="H880" s="22"/>
      <c r="I880" s="24"/>
      <c r="J880" s="24"/>
      <c r="K880" s="24"/>
      <c r="L880" s="24"/>
      <c r="M880" s="27" t="str">
        <f t="shared" si="55"/>
        <v/>
      </c>
      <c r="N880" s="25"/>
      <c r="O880" s="22"/>
      <c r="P880" s="24"/>
      <c r="Q880" s="26"/>
    </row>
    <row r="881" spans="1:17" ht="15" x14ac:dyDescent="0.15">
      <c r="A881" s="22"/>
      <c r="B881" s="26" t="str">
        <f t="shared" si="52"/>
        <v/>
      </c>
      <c r="C881" s="26" t="str">
        <f t="shared" si="53"/>
        <v/>
      </c>
      <c r="D881" s="26" t="str">
        <f t="shared" si="54"/>
        <v/>
      </c>
      <c r="E881" s="29"/>
      <c r="F881" s="22"/>
      <c r="G881" s="22"/>
      <c r="H881" s="22"/>
      <c r="I881" s="24"/>
      <c r="J881" s="24"/>
      <c r="K881" s="24"/>
      <c r="L881" s="24"/>
      <c r="M881" s="27" t="str">
        <f t="shared" si="55"/>
        <v/>
      </c>
      <c r="N881" s="25"/>
      <c r="O881" s="22"/>
      <c r="P881" s="24"/>
      <c r="Q881" s="26"/>
    </row>
    <row r="882" spans="1:17" ht="15" x14ac:dyDescent="0.15">
      <c r="A882" s="22"/>
      <c r="B882" s="26" t="str">
        <f t="shared" si="52"/>
        <v/>
      </c>
      <c r="C882" s="26" t="str">
        <f t="shared" si="53"/>
        <v/>
      </c>
      <c r="D882" s="26" t="str">
        <f t="shared" si="54"/>
        <v/>
      </c>
      <c r="E882" s="29"/>
      <c r="F882" s="22"/>
      <c r="G882" s="22"/>
      <c r="H882" s="22"/>
      <c r="I882" s="24"/>
      <c r="J882" s="24"/>
      <c r="K882" s="24"/>
      <c r="L882" s="24"/>
      <c r="M882" s="27" t="str">
        <f t="shared" si="55"/>
        <v/>
      </c>
      <c r="N882" s="25"/>
      <c r="O882" s="22"/>
      <c r="P882" s="24"/>
      <c r="Q882" s="26"/>
    </row>
    <row r="883" spans="1:17" ht="15" x14ac:dyDescent="0.15">
      <c r="A883" s="22"/>
      <c r="B883" s="26" t="str">
        <f t="shared" si="52"/>
        <v/>
      </c>
      <c r="C883" s="26" t="str">
        <f t="shared" si="53"/>
        <v/>
      </c>
      <c r="D883" s="26" t="str">
        <f t="shared" si="54"/>
        <v/>
      </c>
      <c r="E883" s="29"/>
      <c r="F883" s="22"/>
      <c r="G883" s="22"/>
      <c r="H883" s="22"/>
      <c r="I883" s="24"/>
      <c r="J883" s="24"/>
      <c r="K883" s="24"/>
      <c r="L883" s="24"/>
      <c r="M883" s="27" t="str">
        <f t="shared" si="55"/>
        <v/>
      </c>
      <c r="N883" s="25"/>
      <c r="O883" s="22"/>
      <c r="P883" s="24"/>
      <c r="Q883" s="26"/>
    </row>
    <row r="884" spans="1:17" ht="15" x14ac:dyDescent="0.15">
      <c r="A884" s="22"/>
      <c r="B884" s="26" t="str">
        <f t="shared" si="52"/>
        <v/>
      </c>
      <c r="C884" s="26" t="str">
        <f t="shared" si="53"/>
        <v/>
      </c>
      <c r="D884" s="26" t="str">
        <f t="shared" si="54"/>
        <v/>
      </c>
      <c r="E884" s="29"/>
      <c r="F884" s="22"/>
      <c r="G884" s="22"/>
      <c r="H884" s="22"/>
      <c r="I884" s="24"/>
      <c r="J884" s="24"/>
      <c r="K884" s="24"/>
      <c r="L884" s="24"/>
      <c r="M884" s="27" t="str">
        <f t="shared" si="55"/>
        <v/>
      </c>
      <c r="N884" s="25"/>
      <c r="O884" s="22"/>
      <c r="P884" s="24"/>
      <c r="Q884" s="26"/>
    </row>
    <row r="885" spans="1:17" ht="15" x14ac:dyDescent="0.15">
      <c r="A885" s="22"/>
      <c r="B885" s="26" t="str">
        <f t="shared" si="52"/>
        <v/>
      </c>
      <c r="C885" s="26" t="str">
        <f t="shared" si="53"/>
        <v/>
      </c>
      <c r="D885" s="26" t="str">
        <f t="shared" si="54"/>
        <v/>
      </c>
      <c r="E885" s="29"/>
      <c r="F885" s="22"/>
      <c r="G885" s="22"/>
      <c r="H885" s="22"/>
      <c r="I885" s="24"/>
      <c r="J885" s="24"/>
      <c r="K885" s="24"/>
      <c r="L885" s="24"/>
      <c r="M885" s="27" t="str">
        <f t="shared" si="55"/>
        <v/>
      </c>
      <c r="N885" s="25"/>
      <c r="O885" s="22"/>
      <c r="P885" s="24"/>
      <c r="Q885" s="26"/>
    </row>
    <row r="886" spans="1:17" ht="15" x14ac:dyDescent="0.15">
      <c r="A886" s="22"/>
      <c r="B886" s="26" t="str">
        <f t="shared" si="52"/>
        <v/>
      </c>
      <c r="C886" s="26" t="str">
        <f t="shared" si="53"/>
        <v/>
      </c>
      <c r="D886" s="26" t="str">
        <f t="shared" si="54"/>
        <v/>
      </c>
      <c r="E886" s="29"/>
      <c r="F886" s="22"/>
      <c r="G886" s="22"/>
      <c r="H886" s="22"/>
      <c r="I886" s="24"/>
      <c r="J886" s="24"/>
      <c r="K886" s="24"/>
      <c r="L886" s="24"/>
      <c r="M886" s="27" t="str">
        <f t="shared" si="55"/>
        <v/>
      </c>
      <c r="N886" s="25"/>
      <c r="O886" s="22"/>
      <c r="P886" s="24"/>
      <c r="Q886" s="26"/>
    </row>
    <row r="887" spans="1:17" ht="15" x14ac:dyDescent="0.15">
      <c r="A887" s="22"/>
      <c r="B887" s="26" t="str">
        <f t="shared" si="52"/>
        <v/>
      </c>
      <c r="C887" s="26" t="str">
        <f t="shared" si="53"/>
        <v/>
      </c>
      <c r="D887" s="26" t="str">
        <f t="shared" si="54"/>
        <v/>
      </c>
      <c r="E887" s="29"/>
      <c r="F887" s="22"/>
      <c r="G887" s="22"/>
      <c r="H887" s="22"/>
      <c r="I887" s="24"/>
      <c r="J887" s="24"/>
      <c r="K887" s="24"/>
      <c r="L887" s="24"/>
      <c r="M887" s="27" t="str">
        <f t="shared" si="55"/>
        <v/>
      </c>
      <c r="N887" s="25"/>
      <c r="O887" s="22"/>
      <c r="P887" s="24"/>
      <c r="Q887" s="26"/>
    </row>
    <row r="888" spans="1:17" ht="15" x14ac:dyDescent="0.15">
      <c r="A888" s="22"/>
      <c r="B888" s="26" t="str">
        <f t="shared" si="52"/>
        <v/>
      </c>
      <c r="C888" s="26" t="str">
        <f t="shared" si="53"/>
        <v/>
      </c>
      <c r="D888" s="26" t="str">
        <f t="shared" si="54"/>
        <v/>
      </c>
      <c r="E888" s="29"/>
      <c r="F888" s="22"/>
      <c r="G888" s="22"/>
      <c r="H888" s="22"/>
      <c r="I888" s="24"/>
      <c r="J888" s="24"/>
      <c r="K888" s="24"/>
      <c r="L888" s="24"/>
      <c r="M888" s="27" t="str">
        <f t="shared" si="55"/>
        <v/>
      </c>
      <c r="N888" s="25"/>
      <c r="O888" s="22"/>
      <c r="P888" s="24"/>
      <c r="Q888" s="26"/>
    </row>
    <row r="889" spans="1:17" ht="15" x14ac:dyDescent="0.15">
      <c r="A889" s="22"/>
      <c r="B889" s="26" t="str">
        <f t="shared" si="52"/>
        <v/>
      </c>
      <c r="C889" s="26" t="str">
        <f t="shared" si="53"/>
        <v/>
      </c>
      <c r="D889" s="26" t="str">
        <f t="shared" si="54"/>
        <v/>
      </c>
      <c r="E889" s="29"/>
      <c r="F889" s="22"/>
      <c r="G889" s="22"/>
      <c r="H889" s="22"/>
      <c r="I889" s="24"/>
      <c r="J889" s="24"/>
      <c r="K889" s="24"/>
      <c r="L889" s="24"/>
      <c r="M889" s="27" t="str">
        <f t="shared" si="55"/>
        <v/>
      </c>
      <c r="N889" s="25"/>
      <c r="O889" s="22"/>
      <c r="P889" s="24"/>
      <c r="Q889" s="26"/>
    </row>
    <row r="890" spans="1:17" ht="15" x14ac:dyDescent="0.15">
      <c r="A890" s="22"/>
      <c r="B890" s="26" t="str">
        <f t="shared" si="52"/>
        <v/>
      </c>
      <c r="C890" s="26" t="str">
        <f t="shared" si="53"/>
        <v/>
      </c>
      <c r="D890" s="26" t="str">
        <f t="shared" si="54"/>
        <v/>
      </c>
      <c r="E890" s="29"/>
      <c r="F890" s="22"/>
      <c r="G890" s="22"/>
      <c r="H890" s="22"/>
      <c r="I890" s="24"/>
      <c r="J890" s="24"/>
      <c r="K890" s="24"/>
      <c r="L890" s="24"/>
      <c r="M890" s="27" t="str">
        <f t="shared" si="55"/>
        <v/>
      </c>
      <c r="N890" s="25"/>
      <c r="O890" s="22"/>
      <c r="P890" s="24"/>
      <c r="Q890" s="26"/>
    </row>
    <row r="891" spans="1:17" ht="15" x14ac:dyDescent="0.15">
      <c r="A891" s="22"/>
      <c r="B891" s="26" t="str">
        <f t="shared" si="52"/>
        <v/>
      </c>
      <c r="C891" s="26" t="str">
        <f t="shared" si="53"/>
        <v/>
      </c>
      <c r="D891" s="26" t="str">
        <f t="shared" si="54"/>
        <v/>
      </c>
      <c r="E891" s="29"/>
      <c r="F891" s="22"/>
      <c r="G891" s="22"/>
      <c r="H891" s="22"/>
      <c r="I891" s="24"/>
      <c r="J891" s="24"/>
      <c r="K891" s="24"/>
      <c r="L891" s="24"/>
      <c r="M891" s="27" t="str">
        <f t="shared" si="55"/>
        <v/>
      </c>
      <c r="N891" s="25"/>
      <c r="O891" s="22"/>
      <c r="P891" s="24"/>
      <c r="Q891" s="26"/>
    </row>
    <row r="892" spans="1:17" ht="15" x14ac:dyDescent="0.15">
      <c r="A892" s="22"/>
      <c r="B892" s="26" t="str">
        <f t="shared" si="52"/>
        <v/>
      </c>
      <c r="C892" s="26" t="str">
        <f t="shared" si="53"/>
        <v/>
      </c>
      <c r="D892" s="26" t="str">
        <f t="shared" si="54"/>
        <v/>
      </c>
      <c r="E892" s="29"/>
      <c r="F892" s="22"/>
      <c r="G892" s="22"/>
      <c r="H892" s="22"/>
      <c r="I892" s="24"/>
      <c r="J892" s="24"/>
      <c r="K892" s="24"/>
      <c r="L892" s="24"/>
      <c r="M892" s="27" t="str">
        <f t="shared" si="55"/>
        <v/>
      </c>
      <c r="N892" s="25"/>
      <c r="O892" s="22"/>
      <c r="P892" s="24"/>
      <c r="Q892" s="26"/>
    </row>
    <row r="893" spans="1:17" ht="15" x14ac:dyDescent="0.15">
      <c r="A893" s="22"/>
      <c r="B893" s="26" t="str">
        <f t="shared" si="52"/>
        <v/>
      </c>
      <c r="C893" s="26" t="str">
        <f t="shared" si="53"/>
        <v/>
      </c>
      <c r="D893" s="26" t="str">
        <f t="shared" si="54"/>
        <v/>
      </c>
      <c r="E893" s="29"/>
      <c r="F893" s="22"/>
      <c r="G893" s="22"/>
      <c r="H893" s="22"/>
      <c r="I893" s="24"/>
      <c r="J893" s="24"/>
      <c r="K893" s="24"/>
      <c r="L893" s="24"/>
      <c r="M893" s="27" t="str">
        <f t="shared" si="55"/>
        <v/>
      </c>
      <c r="N893" s="25"/>
      <c r="O893" s="22"/>
      <c r="P893" s="24"/>
      <c r="Q893" s="26"/>
    </row>
    <row r="894" spans="1:17" ht="15" x14ac:dyDescent="0.15">
      <c r="A894" s="22"/>
      <c r="B894" s="26" t="str">
        <f t="shared" si="52"/>
        <v/>
      </c>
      <c r="C894" s="26" t="str">
        <f t="shared" si="53"/>
        <v/>
      </c>
      <c r="D894" s="26" t="str">
        <f t="shared" si="54"/>
        <v/>
      </c>
      <c r="E894" s="29"/>
      <c r="F894" s="22"/>
      <c r="G894" s="22"/>
      <c r="H894" s="22"/>
      <c r="I894" s="24"/>
      <c r="J894" s="24"/>
      <c r="K894" s="24"/>
      <c r="L894" s="24"/>
      <c r="M894" s="27" t="str">
        <f t="shared" si="55"/>
        <v/>
      </c>
      <c r="N894" s="25"/>
      <c r="O894" s="22"/>
      <c r="P894" s="24"/>
      <c r="Q894" s="26"/>
    </row>
    <row r="895" spans="1:17" ht="15" x14ac:dyDescent="0.15">
      <c r="A895" s="22"/>
      <c r="B895" s="26" t="str">
        <f t="shared" si="52"/>
        <v/>
      </c>
      <c r="C895" s="26" t="str">
        <f t="shared" si="53"/>
        <v/>
      </c>
      <c r="D895" s="26" t="str">
        <f t="shared" si="54"/>
        <v/>
      </c>
      <c r="E895" s="29"/>
      <c r="F895" s="22"/>
      <c r="G895" s="22"/>
      <c r="H895" s="22"/>
      <c r="I895" s="24"/>
      <c r="J895" s="24"/>
      <c r="K895" s="24"/>
      <c r="L895" s="24"/>
      <c r="M895" s="27" t="str">
        <f t="shared" si="55"/>
        <v/>
      </c>
      <c r="N895" s="25"/>
      <c r="O895" s="22"/>
      <c r="P895" s="24"/>
      <c r="Q895" s="26"/>
    </row>
    <row r="896" spans="1:17" ht="15" x14ac:dyDescent="0.15">
      <c r="A896" s="22"/>
      <c r="B896" s="26" t="str">
        <f t="shared" si="52"/>
        <v/>
      </c>
      <c r="C896" s="26" t="str">
        <f t="shared" si="53"/>
        <v/>
      </c>
      <c r="D896" s="26" t="str">
        <f t="shared" si="54"/>
        <v/>
      </c>
      <c r="E896" s="29"/>
      <c r="F896" s="22"/>
      <c r="G896" s="22"/>
      <c r="H896" s="22"/>
      <c r="I896" s="24"/>
      <c r="J896" s="24"/>
      <c r="K896" s="24"/>
      <c r="L896" s="24"/>
      <c r="M896" s="27" t="str">
        <f t="shared" si="55"/>
        <v/>
      </c>
      <c r="N896" s="25"/>
      <c r="O896" s="22"/>
      <c r="P896" s="24"/>
      <c r="Q896" s="26"/>
    </row>
    <row r="897" spans="1:17" ht="15" x14ac:dyDescent="0.15">
      <c r="A897" s="22"/>
      <c r="B897" s="26" t="str">
        <f t="shared" si="52"/>
        <v/>
      </c>
      <c r="C897" s="26" t="str">
        <f t="shared" si="53"/>
        <v/>
      </c>
      <c r="D897" s="26" t="str">
        <f t="shared" si="54"/>
        <v/>
      </c>
      <c r="E897" s="29"/>
      <c r="F897" s="22"/>
      <c r="G897" s="22"/>
      <c r="H897" s="22"/>
      <c r="I897" s="24"/>
      <c r="J897" s="24"/>
      <c r="K897" s="24"/>
      <c r="L897" s="24"/>
      <c r="M897" s="27" t="str">
        <f t="shared" si="55"/>
        <v/>
      </c>
      <c r="N897" s="25"/>
      <c r="O897" s="22"/>
      <c r="P897" s="24"/>
      <c r="Q897" s="26"/>
    </row>
    <row r="898" spans="1:17" ht="15" x14ac:dyDescent="0.15">
      <c r="A898" s="22"/>
      <c r="B898" s="26" t="str">
        <f t="shared" si="52"/>
        <v/>
      </c>
      <c r="C898" s="26" t="str">
        <f t="shared" si="53"/>
        <v/>
      </c>
      <c r="D898" s="26" t="str">
        <f t="shared" si="54"/>
        <v/>
      </c>
      <c r="E898" s="29"/>
      <c r="F898" s="22"/>
      <c r="G898" s="22"/>
      <c r="H898" s="22"/>
      <c r="I898" s="24"/>
      <c r="J898" s="24"/>
      <c r="K898" s="24"/>
      <c r="L898" s="24"/>
      <c r="M898" s="27" t="str">
        <f t="shared" si="55"/>
        <v/>
      </c>
      <c r="N898" s="25"/>
      <c r="O898" s="22"/>
      <c r="P898" s="24"/>
      <c r="Q898" s="26"/>
    </row>
    <row r="899" spans="1:17" ht="15" x14ac:dyDescent="0.15">
      <c r="A899" s="22"/>
      <c r="B899" s="26" t="str">
        <f t="shared" si="52"/>
        <v/>
      </c>
      <c r="C899" s="26" t="str">
        <f t="shared" si="53"/>
        <v/>
      </c>
      <c r="D899" s="26" t="str">
        <f t="shared" si="54"/>
        <v/>
      </c>
      <c r="E899" s="29"/>
      <c r="F899" s="22"/>
      <c r="G899" s="22"/>
      <c r="H899" s="22"/>
      <c r="I899" s="24"/>
      <c r="J899" s="24"/>
      <c r="K899" s="24"/>
      <c r="L899" s="24"/>
      <c r="M899" s="27" t="str">
        <f t="shared" si="55"/>
        <v/>
      </c>
      <c r="N899" s="25"/>
      <c r="O899" s="22"/>
      <c r="P899" s="24"/>
      <c r="Q899" s="26"/>
    </row>
    <row r="900" spans="1:17" ht="15" x14ac:dyDescent="0.15">
      <c r="A900" s="22"/>
      <c r="B900" s="26" t="str">
        <f t="shared" si="52"/>
        <v/>
      </c>
      <c r="C900" s="26" t="str">
        <f t="shared" si="53"/>
        <v/>
      </c>
      <c r="D900" s="26" t="str">
        <f t="shared" si="54"/>
        <v/>
      </c>
      <c r="E900" s="29"/>
      <c r="F900" s="22"/>
      <c r="G900" s="22"/>
      <c r="H900" s="22"/>
      <c r="I900" s="24"/>
      <c r="J900" s="24"/>
      <c r="K900" s="24"/>
      <c r="L900" s="24"/>
      <c r="M900" s="27" t="str">
        <f t="shared" si="55"/>
        <v/>
      </c>
      <c r="N900" s="25"/>
      <c r="O900" s="22"/>
      <c r="P900" s="24"/>
      <c r="Q900" s="26"/>
    </row>
    <row r="901" spans="1:17" ht="15" x14ac:dyDescent="0.15">
      <c r="A901" s="22"/>
      <c r="B901" s="26" t="str">
        <f t="shared" si="52"/>
        <v/>
      </c>
      <c r="C901" s="26" t="str">
        <f t="shared" si="53"/>
        <v/>
      </c>
      <c r="D901" s="26" t="str">
        <f t="shared" si="54"/>
        <v/>
      </c>
      <c r="E901" s="29"/>
      <c r="F901" s="22"/>
      <c r="G901" s="22"/>
      <c r="H901" s="22"/>
      <c r="I901" s="24"/>
      <c r="J901" s="24"/>
      <c r="K901" s="24"/>
      <c r="L901" s="24"/>
      <c r="M901" s="27" t="str">
        <f t="shared" si="55"/>
        <v/>
      </c>
      <c r="N901" s="25"/>
      <c r="O901" s="22"/>
      <c r="P901" s="24"/>
      <c r="Q901" s="26"/>
    </row>
    <row r="902" spans="1:17" ht="15" x14ac:dyDescent="0.15">
      <c r="A902" s="22"/>
      <c r="B902" s="26" t="str">
        <f t="shared" si="52"/>
        <v/>
      </c>
      <c r="C902" s="26" t="str">
        <f t="shared" si="53"/>
        <v/>
      </c>
      <c r="D902" s="26" t="str">
        <f t="shared" si="54"/>
        <v/>
      </c>
      <c r="E902" s="29"/>
      <c r="F902" s="22"/>
      <c r="G902" s="22"/>
      <c r="H902" s="22"/>
      <c r="I902" s="24"/>
      <c r="J902" s="24"/>
      <c r="K902" s="24"/>
      <c r="L902" s="24"/>
      <c r="M902" s="27" t="str">
        <f t="shared" si="55"/>
        <v/>
      </c>
      <c r="N902" s="25"/>
      <c r="O902" s="22"/>
      <c r="P902" s="24"/>
      <c r="Q902" s="26"/>
    </row>
    <row r="903" spans="1:17" ht="15" x14ac:dyDescent="0.15">
      <c r="A903" s="22"/>
      <c r="B903" s="26" t="str">
        <f t="shared" ref="B903:B966" si="56">IFERROR(IF($A903="","",LEFT($A903,FIND(" | ",$A903)-1)),"")</f>
        <v/>
      </c>
      <c r="C903" s="26" t="str">
        <f t="shared" ref="C903:C966" si="57">IFERROR(IF($A903="","",MID($A903,FIND(" | ",$A903)+3,FIND(" | ",$A903,FIND(" | ",$A903)+3)-FIND(" | ",$A903)-3)),"")</f>
        <v/>
      </c>
      <c r="D903" s="26" t="str">
        <f t="shared" ref="D903:D966" si="58">IFERROR(IF($A903="","",RIGHT($A903,LEN($A903)-FIND(" | ",$A903,FIND(" | ",$A903)+3)-2)),"")</f>
        <v/>
      </c>
      <c r="E903" s="29"/>
      <c r="F903" s="22"/>
      <c r="G903" s="22"/>
      <c r="H903" s="22"/>
      <c r="I903" s="24"/>
      <c r="J903" s="24"/>
      <c r="K903" s="24"/>
      <c r="L903" s="24"/>
      <c r="M903" s="27" t="str">
        <f t="shared" ref="M903:M966" si="59">IF($B903="","",SUM($J903,-$K903,$L903))</f>
        <v/>
      </c>
      <c r="N903" s="25"/>
      <c r="O903" s="22"/>
      <c r="P903" s="24"/>
      <c r="Q903" s="26"/>
    </row>
    <row r="904" spans="1:17" ht="15" x14ac:dyDescent="0.15">
      <c r="A904" s="22"/>
      <c r="B904" s="26" t="str">
        <f t="shared" si="56"/>
        <v/>
      </c>
      <c r="C904" s="26" t="str">
        <f t="shared" si="57"/>
        <v/>
      </c>
      <c r="D904" s="26" t="str">
        <f t="shared" si="58"/>
        <v/>
      </c>
      <c r="E904" s="29"/>
      <c r="F904" s="22"/>
      <c r="G904" s="22"/>
      <c r="H904" s="22"/>
      <c r="I904" s="24"/>
      <c r="J904" s="24"/>
      <c r="K904" s="24"/>
      <c r="L904" s="24"/>
      <c r="M904" s="27" t="str">
        <f t="shared" si="59"/>
        <v/>
      </c>
      <c r="N904" s="25"/>
      <c r="O904" s="22"/>
      <c r="P904" s="24"/>
      <c r="Q904" s="26"/>
    </row>
    <row r="905" spans="1:17" ht="15" x14ac:dyDescent="0.15">
      <c r="A905" s="22"/>
      <c r="B905" s="26" t="str">
        <f t="shared" si="56"/>
        <v/>
      </c>
      <c r="C905" s="26" t="str">
        <f t="shared" si="57"/>
        <v/>
      </c>
      <c r="D905" s="26" t="str">
        <f t="shared" si="58"/>
        <v/>
      </c>
      <c r="E905" s="29"/>
      <c r="F905" s="22"/>
      <c r="G905" s="22"/>
      <c r="H905" s="22"/>
      <c r="I905" s="24"/>
      <c r="J905" s="24"/>
      <c r="K905" s="24"/>
      <c r="L905" s="24"/>
      <c r="M905" s="27" t="str">
        <f t="shared" si="59"/>
        <v/>
      </c>
      <c r="N905" s="25"/>
      <c r="O905" s="22"/>
      <c r="P905" s="24"/>
      <c r="Q905" s="26"/>
    </row>
    <row r="906" spans="1:17" ht="15" x14ac:dyDescent="0.15">
      <c r="A906" s="22"/>
      <c r="B906" s="26" t="str">
        <f t="shared" si="56"/>
        <v/>
      </c>
      <c r="C906" s="26" t="str">
        <f t="shared" si="57"/>
        <v/>
      </c>
      <c r="D906" s="26" t="str">
        <f t="shared" si="58"/>
        <v/>
      </c>
      <c r="E906" s="29"/>
      <c r="F906" s="22"/>
      <c r="G906" s="22"/>
      <c r="H906" s="22"/>
      <c r="I906" s="24"/>
      <c r="J906" s="24"/>
      <c r="K906" s="24"/>
      <c r="L906" s="24"/>
      <c r="M906" s="27" t="str">
        <f t="shared" si="59"/>
        <v/>
      </c>
      <c r="N906" s="25"/>
      <c r="O906" s="22"/>
      <c r="P906" s="24"/>
      <c r="Q906" s="26"/>
    </row>
    <row r="907" spans="1:17" ht="15" x14ac:dyDescent="0.15">
      <c r="A907" s="22"/>
      <c r="B907" s="26" t="str">
        <f t="shared" si="56"/>
        <v/>
      </c>
      <c r="C907" s="26" t="str">
        <f t="shared" si="57"/>
        <v/>
      </c>
      <c r="D907" s="26" t="str">
        <f t="shared" si="58"/>
        <v/>
      </c>
      <c r="E907" s="29"/>
      <c r="F907" s="22"/>
      <c r="G907" s="22"/>
      <c r="H907" s="22"/>
      <c r="I907" s="24"/>
      <c r="J907" s="24"/>
      <c r="K907" s="24"/>
      <c r="L907" s="24"/>
      <c r="M907" s="27" t="str">
        <f t="shared" si="59"/>
        <v/>
      </c>
      <c r="N907" s="25"/>
      <c r="O907" s="22"/>
      <c r="P907" s="24"/>
      <c r="Q907" s="26"/>
    </row>
    <row r="908" spans="1:17" ht="15" x14ac:dyDescent="0.15">
      <c r="A908" s="22"/>
      <c r="B908" s="26" t="str">
        <f t="shared" si="56"/>
        <v/>
      </c>
      <c r="C908" s="26" t="str">
        <f t="shared" si="57"/>
        <v/>
      </c>
      <c r="D908" s="26" t="str">
        <f t="shared" si="58"/>
        <v/>
      </c>
      <c r="E908" s="29"/>
      <c r="F908" s="22"/>
      <c r="G908" s="22"/>
      <c r="H908" s="22"/>
      <c r="I908" s="24"/>
      <c r="J908" s="24"/>
      <c r="K908" s="24"/>
      <c r="L908" s="24"/>
      <c r="M908" s="27" t="str">
        <f t="shared" si="59"/>
        <v/>
      </c>
      <c r="N908" s="25"/>
      <c r="O908" s="22"/>
      <c r="P908" s="24"/>
      <c r="Q908" s="26"/>
    </row>
    <row r="909" spans="1:17" ht="15" x14ac:dyDescent="0.15">
      <c r="A909" s="22"/>
      <c r="B909" s="26" t="str">
        <f t="shared" si="56"/>
        <v/>
      </c>
      <c r="C909" s="26" t="str">
        <f t="shared" si="57"/>
        <v/>
      </c>
      <c r="D909" s="26" t="str">
        <f t="shared" si="58"/>
        <v/>
      </c>
      <c r="E909" s="29"/>
      <c r="F909" s="22"/>
      <c r="G909" s="22"/>
      <c r="H909" s="22"/>
      <c r="I909" s="24"/>
      <c r="J909" s="24"/>
      <c r="K909" s="24"/>
      <c r="L909" s="24"/>
      <c r="M909" s="27" t="str">
        <f t="shared" si="59"/>
        <v/>
      </c>
      <c r="N909" s="25"/>
      <c r="O909" s="22"/>
      <c r="P909" s="24"/>
      <c r="Q909" s="26"/>
    </row>
    <row r="910" spans="1:17" ht="15" x14ac:dyDescent="0.15">
      <c r="A910" s="22"/>
      <c r="B910" s="26" t="str">
        <f t="shared" si="56"/>
        <v/>
      </c>
      <c r="C910" s="26" t="str">
        <f t="shared" si="57"/>
        <v/>
      </c>
      <c r="D910" s="26" t="str">
        <f t="shared" si="58"/>
        <v/>
      </c>
      <c r="E910" s="29"/>
      <c r="F910" s="22"/>
      <c r="G910" s="22"/>
      <c r="H910" s="22"/>
      <c r="I910" s="24"/>
      <c r="J910" s="24"/>
      <c r="K910" s="24"/>
      <c r="L910" s="24"/>
      <c r="M910" s="27" t="str">
        <f t="shared" si="59"/>
        <v/>
      </c>
      <c r="N910" s="25"/>
      <c r="O910" s="22"/>
      <c r="P910" s="24"/>
      <c r="Q910" s="26"/>
    </row>
    <row r="911" spans="1:17" ht="15" x14ac:dyDescent="0.15">
      <c r="A911" s="22"/>
      <c r="B911" s="26" t="str">
        <f t="shared" si="56"/>
        <v/>
      </c>
      <c r="C911" s="26" t="str">
        <f t="shared" si="57"/>
        <v/>
      </c>
      <c r="D911" s="26" t="str">
        <f t="shared" si="58"/>
        <v/>
      </c>
      <c r="E911" s="29"/>
      <c r="F911" s="22"/>
      <c r="G911" s="22"/>
      <c r="H911" s="22"/>
      <c r="I911" s="24"/>
      <c r="J911" s="24"/>
      <c r="K911" s="24"/>
      <c r="L911" s="24"/>
      <c r="M911" s="27" t="str">
        <f t="shared" si="59"/>
        <v/>
      </c>
      <c r="N911" s="25"/>
      <c r="O911" s="22"/>
      <c r="P911" s="24"/>
      <c r="Q911" s="26"/>
    </row>
    <row r="912" spans="1:17" ht="15" x14ac:dyDescent="0.15">
      <c r="A912" s="22"/>
      <c r="B912" s="26" t="str">
        <f t="shared" si="56"/>
        <v/>
      </c>
      <c r="C912" s="26" t="str">
        <f t="shared" si="57"/>
        <v/>
      </c>
      <c r="D912" s="26" t="str">
        <f t="shared" si="58"/>
        <v/>
      </c>
      <c r="E912" s="29"/>
      <c r="F912" s="22"/>
      <c r="G912" s="22"/>
      <c r="H912" s="22"/>
      <c r="I912" s="24"/>
      <c r="J912" s="24"/>
      <c r="K912" s="24"/>
      <c r="L912" s="24"/>
      <c r="M912" s="27" t="str">
        <f t="shared" si="59"/>
        <v/>
      </c>
      <c r="N912" s="25"/>
      <c r="O912" s="22"/>
      <c r="P912" s="24"/>
      <c r="Q912" s="26"/>
    </row>
    <row r="913" spans="1:17" ht="15" x14ac:dyDescent="0.15">
      <c r="A913" s="22"/>
      <c r="B913" s="26" t="str">
        <f t="shared" si="56"/>
        <v/>
      </c>
      <c r="C913" s="26" t="str">
        <f t="shared" si="57"/>
        <v/>
      </c>
      <c r="D913" s="26" t="str">
        <f t="shared" si="58"/>
        <v/>
      </c>
      <c r="E913" s="29"/>
      <c r="F913" s="22"/>
      <c r="G913" s="22"/>
      <c r="H913" s="22"/>
      <c r="I913" s="24"/>
      <c r="J913" s="24"/>
      <c r="K913" s="24"/>
      <c r="L913" s="24"/>
      <c r="M913" s="27" t="str">
        <f t="shared" si="59"/>
        <v/>
      </c>
      <c r="N913" s="25"/>
      <c r="O913" s="22"/>
      <c r="P913" s="24"/>
      <c r="Q913" s="26"/>
    </row>
    <row r="914" spans="1:17" ht="15" x14ac:dyDescent="0.15">
      <c r="A914" s="22"/>
      <c r="B914" s="26" t="str">
        <f t="shared" si="56"/>
        <v/>
      </c>
      <c r="C914" s="26" t="str">
        <f t="shared" si="57"/>
        <v/>
      </c>
      <c r="D914" s="26" t="str">
        <f t="shared" si="58"/>
        <v/>
      </c>
      <c r="E914" s="29"/>
      <c r="F914" s="22"/>
      <c r="G914" s="22"/>
      <c r="H914" s="22"/>
      <c r="I914" s="24"/>
      <c r="J914" s="24"/>
      <c r="K914" s="24"/>
      <c r="L914" s="24"/>
      <c r="M914" s="27" t="str">
        <f t="shared" si="59"/>
        <v/>
      </c>
      <c r="N914" s="25"/>
      <c r="O914" s="22"/>
      <c r="P914" s="24"/>
      <c r="Q914" s="26"/>
    </row>
    <row r="915" spans="1:17" ht="15" x14ac:dyDescent="0.15">
      <c r="A915" s="22"/>
      <c r="B915" s="26" t="str">
        <f t="shared" si="56"/>
        <v/>
      </c>
      <c r="C915" s="26" t="str">
        <f t="shared" si="57"/>
        <v/>
      </c>
      <c r="D915" s="26" t="str">
        <f t="shared" si="58"/>
        <v/>
      </c>
      <c r="E915" s="29"/>
      <c r="F915" s="22"/>
      <c r="G915" s="22"/>
      <c r="H915" s="22"/>
      <c r="I915" s="24"/>
      <c r="J915" s="24"/>
      <c r="K915" s="24"/>
      <c r="L915" s="24"/>
      <c r="M915" s="27" t="str">
        <f t="shared" si="59"/>
        <v/>
      </c>
      <c r="N915" s="25"/>
      <c r="O915" s="22"/>
      <c r="P915" s="24"/>
      <c r="Q915" s="26"/>
    </row>
    <row r="916" spans="1:17" ht="15" x14ac:dyDescent="0.15">
      <c r="A916" s="22"/>
      <c r="B916" s="26" t="str">
        <f t="shared" si="56"/>
        <v/>
      </c>
      <c r="C916" s="26" t="str">
        <f t="shared" si="57"/>
        <v/>
      </c>
      <c r="D916" s="26" t="str">
        <f t="shared" si="58"/>
        <v/>
      </c>
      <c r="E916" s="29"/>
      <c r="F916" s="22"/>
      <c r="G916" s="22"/>
      <c r="H916" s="22"/>
      <c r="I916" s="24"/>
      <c r="J916" s="24"/>
      <c r="K916" s="24"/>
      <c r="L916" s="24"/>
      <c r="M916" s="27" t="str">
        <f t="shared" si="59"/>
        <v/>
      </c>
      <c r="N916" s="25"/>
      <c r="O916" s="22"/>
      <c r="P916" s="24"/>
      <c r="Q916" s="26"/>
    </row>
    <row r="917" spans="1:17" ht="15" x14ac:dyDescent="0.15">
      <c r="A917" s="22"/>
      <c r="B917" s="26" t="str">
        <f t="shared" si="56"/>
        <v/>
      </c>
      <c r="C917" s="26" t="str">
        <f t="shared" si="57"/>
        <v/>
      </c>
      <c r="D917" s="26" t="str">
        <f t="shared" si="58"/>
        <v/>
      </c>
      <c r="E917" s="29"/>
      <c r="F917" s="22"/>
      <c r="G917" s="22"/>
      <c r="H917" s="22"/>
      <c r="I917" s="24"/>
      <c r="J917" s="24"/>
      <c r="K917" s="24"/>
      <c r="L917" s="24"/>
      <c r="M917" s="27" t="str">
        <f t="shared" si="59"/>
        <v/>
      </c>
      <c r="N917" s="25"/>
      <c r="O917" s="22"/>
      <c r="P917" s="24"/>
      <c r="Q917" s="26"/>
    </row>
    <row r="918" spans="1:17" ht="15" x14ac:dyDescent="0.15">
      <c r="A918" s="22"/>
      <c r="B918" s="26" t="str">
        <f t="shared" si="56"/>
        <v/>
      </c>
      <c r="C918" s="26" t="str">
        <f t="shared" si="57"/>
        <v/>
      </c>
      <c r="D918" s="26" t="str">
        <f t="shared" si="58"/>
        <v/>
      </c>
      <c r="E918" s="29"/>
      <c r="F918" s="22"/>
      <c r="G918" s="22"/>
      <c r="H918" s="22"/>
      <c r="I918" s="24"/>
      <c r="J918" s="24"/>
      <c r="K918" s="24"/>
      <c r="L918" s="24"/>
      <c r="M918" s="27" t="str">
        <f t="shared" si="59"/>
        <v/>
      </c>
      <c r="N918" s="25"/>
      <c r="O918" s="22"/>
      <c r="P918" s="24"/>
      <c r="Q918" s="26"/>
    </row>
    <row r="919" spans="1:17" ht="15" x14ac:dyDescent="0.15">
      <c r="A919" s="22"/>
      <c r="B919" s="26" t="str">
        <f t="shared" si="56"/>
        <v/>
      </c>
      <c r="C919" s="26" t="str">
        <f t="shared" si="57"/>
        <v/>
      </c>
      <c r="D919" s="26" t="str">
        <f t="shared" si="58"/>
        <v/>
      </c>
      <c r="E919" s="29"/>
      <c r="F919" s="22"/>
      <c r="G919" s="22"/>
      <c r="H919" s="22"/>
      <c r="I919" s="24"/>
      <c r="J919" s="24"/>
      <c r="K919" s="24"/>
      <c r="L919" s="24"/>
      <c r="M919" s="27" t="str">
        <f t="shared" si="59"/>
        <v/>
      </c>
      <c r="N919" s="25"/>
      <c r="O919" s="22"/>
      <c r="P919" s="24"/>
      <c r="Q919" s="26"/>
    </row>
    <row r="920" spans="1:17" ht="15" x14ac:dyDescent="0.15">
      <c r="A920" s="22"/>
      <c r="B920" s="26" t="str">
        <f t="shared" si="56"/>
        <v/>
      </c>
      <c r="C920" s="26" t="str">
        <f t="shared" si="57"/>
        <v/>
      </c>
      <c r="D920" s="26" t="str">
        <f t="shared" si="58"/>
        <v/>
      </c>
      <c r="E920" s="29"/>
      <c r="F920" s="22"/>
      <c r="G920" s="22"/>
      <c r="H920" s="22"/>
      <c r="I920" s="24"/>
      <c r="J920" s="24"/>
      <c r="K920" s="24"/>
      <c r="L920" s="24"/>
      <c r="M920" s="27" t="str">
        <f t="shared" si="59"/>
        <v/>
      </c>
      <c r="N920" s="25"/>
      <c r="O920" s="22"/>
      <c r="P920" s="24"/>
      <c r="Q920" s="26"/>
    </row>
    <row r="921" spans="1:17" ht="15" x14ac:dyDescent="0.15">
      <c r="A921" s="22"/>
      <c r="B921" s="26" t="str">
        <f t="shared" si="56"/>
        <v/>
      </c>
      <c r="C921" s="26" t="str">
        <f t="shared" si="57"/>
        <v/>
      </c>
      <c r="D921" s="26" t="str">
        <f t="shared" si="58"/>
        <v/>
      </c>
      <c r="E921" s="29"/>
      <c r="F921" s="22"/>
      <c r="G921" s="22"/>
      <c r="H921" s="22"/>
      <c r="I921" s="24"/>
      <c r="J921" s="24"/>
      <c r="K921" s="24"/>
      <c r="L921" s="24"/>
      <c r="M921" s="27" t="str">
        <f t="shared" si="59"/>
        <v/>
      </c>
      <c r="N921" s="25"/>
      <c r="O921" s="22"/>
      <c r="P921" s="24"/>
      <c r="Q921" s="26"/>
    </row>
    <row r="922" spans="1:17" ht="15" x14ac:dyDescent="0.15">
      <c r="A922" s="22"/>
      <c r="B922" s="26" t="str">
        <f t="shared" si="56"/>
        <v/>
      </c>
      <c r="C922" s="26" t="str">
        <f t="shared" si="57"/>
        <v/>
      </c>
      <c r="D922" s="26" t="str">
        <f t="shared" si="58"/>
        <v/>
      </c>
      <c r="E922" s="29"/>
      <c r="F922" s="22"/>
      <c r="G922" s="22"/>
      <c r="H922" s="22"/>
      <c r="I922" s="24"/>
      <c r="J922" s="24"/>
      <c r="K922" s="24"/>
      <c r="L922" s="24"/>
      <c r="M922" s="27" t="str">
        <f t="shared" si="59"/>
        <v/>
      </c>
      <c r="N922" s="25"/>
      <c r="O922" s="22"/>
      <c r="P922" s="24"/>
      <c r="Q922" s="26"/>
    </row>
    <row r="923" spans="1:17" ht="15" x14ac:dyDescent="0.15">
      <c r="A923" s="22"/>
      <c r="B923" s="26" t="str">
        <f t="shared" si="56"/>
        <v/>
      </c>
      <c r="C923" s="26" t="str">
        <f t="shared" si="57"/>
        <v/>
      </c>
      <c r="D923" s="26" t="str">
        <f t="shared" si="58"/>
        <v/>
      </c>
      <c r="E923" s="29"/>
      <c r="F923" s="22"/>
      <c r="G923" s="22"/>
      <c r="H923" s="22"/>
      <c r="I923" s="24"/>
      <c r="J923" s="24"/>
      <c r="K923" s="24"/>
      <c r="L923" s="24"/>
      <c r="M923" s="27" t="str">
        <f t="shared" si="59"/>
        <v/>
      </c>
      <c r="N923" s="25"/>
      <c r="O923" s="22"/>
      <c r="P923" s="24"/>
      <c r="Q923" s="26"/>
    </row>
    <row r="924" spans="1:17" ht="15" x14ac:dyDescent="0.15">
      <c r="A924" s="22"/>
      <c r="B924" s="26" t="str">
        <f t="shared" si="56"/>
        <v/>
      </c>
      <c r="C924" s="26" t="str">
        <f t="shared" si="57"/>
        <v/>
      </c>
      <c r="D924" s="26" t="str">
        <f t="shared" si="58"/>
        <v/>
      </c>
      <c r="E924" s="29"/>
      <c r="F924" s="22"/>
      <c r="G924" s="22"/>
      <c r="H924" s="22"/>
      <c r="I924" s="24"/>
      <c r="J924" s="24"/>
      <c r="K924" s="24"/>
      <c r="L924" s="24"/>
      <c r="M924" s="27" t="str">
        <f t="shared" si="59"/>
        <v/>
      </c>
      <c r="N924" s="25"/>
      <c r="O924" s="22"/>
      <c r="P924" s="24"/>
      <c r="Q924" s="26"/>
    </row>
    <row r="925" spans="1:17" ht="15" x14ac:dyDescent="0.15">
      <c r="A925" s="22"/>
      <c r="B925" s="26" t="str">
        <f t="shared" si="56"/>
        <v/>
      </c>
      <c r="C925" s="26" t="str">
        <f t="shared" si="57"/>
        <v/>
      </c>
      <c r="D925" s="26" t="str">
        <f t="shared" si="58"/>
        <v/>
      </c>
      <c r="E925" s="29"/>
      <c r="F925" s="22"/>
      <c r="G925" s="22"/>
      <c r="H925" s="22"/>
      <c r="I925" s="24"/>
      <c r="J925" s="24"/>
      <c r="K925" s="24"/>
      <c r="L925" s="24"/>
      <c r="M925" s="27" t="str">
        <f t="shared" si="59"/>
        <v/>
      </c>
      <c r="N925" s="25"/>
      <c r="O925" s="22"/>
      <c r="P925" s="24"/>
      <c r="Q925" s="26"/>
    </row>
    <row r="926" spans="1:17" ht="15" x14ac:dyDescent="0.15">
      <c r="A926" s="22"/>
      <c r="B926" s="26" t="str">
        <f t="shared" si="56"/>
        <v/>
      </c>
      <c r="C926" s="26" t="str">
        <f t="shared" si="57"/>
        <v/>
      </c>
      <c r="D926" s="26" t="str">
        <f t="shared" si="58"/>
        <v/>
      </c>
      <c r="E926" s="29"/>
      <c r="F926" s="22"/>
      <c r="G926" s="22"/>
      <c r="H926" s="22"/>
      <c r="I926" s="24"/>
      <c r="J926" s="24"/>
      <c r="K926" s="24"/>
      <c r="L926" s="24"/>
      <c r="M926" s="27" t="str">
        <f t="shared" si="59"/>
        <v/>
      </c>
      <c r="N926" s="25"/>
      <c r="O926" s="22"/>
      <c r="P926" s="24"/>
      <c r="Q926" s="26"/>
    </row>
    <row r="927" spans="1:17" ht="15" x14ac:dyDescent="0.15">
      <c r="A927" s="22"/>
      <c r="B927" s="26" t="str">
        <f t="shared" si="56"/>
        <v/>
      </c>
      <c r="C927" s="26" t="str">
        <f t="shared" si="57"/>
        <v/>
      </c>
      <c r="D927" s="26" t="str">
        <f t="shared" si="58"/>
        <v/>
      </c>
      <c r="E927" s="29"/>
      <c r="F927" s="22"/>
      <c r="G927" s="22"/>
      <c r="H927" s="22"/>
      <c r="I927" s="24"/>
      <c r="J927" s="24"/>
      <c r="K927" s="24"/>
      <c r="L927" s="24"/>
      <c r="M927" s="27" t="str">
        <f t="shared" si="59"/>
        <v/>
      </c>
      <c r="N927" s="25"/>
      <c r="O927" s="22"/>
      <c r="P927" s="24"/>
      <c r="Q927" s="26"/>
    </row>
    <row r="928" spans="1:17" ht="15" x14ac:dyDescent="0.15">
      <c r="A928" s="22"/>
      <c r="B928" s="26" t="str">
        <f t="shared" si="56"/>
        <v/>
      </c>
      <c r="C928" s="26" t="str">
        <f t="shared" si="57"/>
        <v/>
      </c>
      <c r="D928" s="26" t="str">
        <f t="shared" si="58"/>
        <v/>
      </c>
      <c r="E928" s="29"/>
      <c r="F928" s="22"/>
      <c r="G928" s="22"/>
      <c r="H928" s="22"/>
      <c r="I928" s="24"/>
      <c r="J928" s="24"/>
      <c r="K928" s="24"/>
      <c r="L928" s="24"/>
      <c r="M928" s="27" t="str">
        <f t="shared" si="59"/>
        <v/>
      </c>
      <c r="N928" s="25"/>
      <c r="O928" s="22"/>
      <c r="P928" s="24"/>
      <c r="Q928" s="26"/>
    </row>
    <row r="929" spans="1:17" ht="15" x14ac:dyDescent="0.15">
      <c r="A929" s="22"/>
      <c r="B929" s="26" t="str">
        <f t="shared" si="56"/>
        <v/>
      </c>
      <c r="C929" s="26" t="str">
        <f t="shared" si="57"/>
        <v/>
      </c>
      <c r="D929" s="26" t="str">
        <f t="shared" si="58"/>
        <v/>
      </c>
      <c r="E929" s="29"/>
      <c r="F929" s="22"/>
      <c r="G929" s="22"/>
      <c r="H929" s="22"/>
      <c r="I929" s="24"/>
      <c r="J929" s="24"/>
      <c r="K929" s="24"/>
      <c r="L929" s="24"/>
      <c r="M929" s="27" t="str">
        <f t="shared" si="59"/>
        <v/>
      </c>
      <c r="N929" s="25"/>
      <c r="O929" s="22"/>
      <c r="P929" s="24"/>
      <c r="Q929" s="26"/>
    </row>
    <row r="930" spans="1:17" ht="15" x14ac:dyDescent="0.15">
      <c r="A930" s="22"/>
      <c r="B930" s="26" t="str">
        <f t="shared" si="56"/>
        <v/>
      </c>
      <c r="C930" s="26" t="str">
        <f t="shared" si="57"/>
        <v/>
      </c>
      <c r="D930" s="26" t="str">
        <f t="shared" si="58"/>
        <v/>
      </c>
      <c r="E930" s="29"/>
      <c r="F930" s="22"/>
      <c r="G930" s="22"/>
      <c r="H930" s="22"/>
      <c r="I930" s="24"/>
      <c r="J930" s="24"/>
      <c r="K930" s="24"/>
      <c r="L930" s="24"/>
      <c r="M930" s="27" t="str">
        <f t="shared" si="59"/>
        <v/>
      </c>
      <c r="N930" s="25"/>
      <c r="O930" s="22"/>
      <c r="P930" s="24"/>
      <c r="Q930" s="26"/>
    </row>
    <row r="931" spans="1:17" ht="15" x14ac:dyDescent="0.15">
      <c r="A931" s="22"/>
      <c r="B931" s="26" t="str">
        <f t="shared" si="56"/>
        <v/>
      </c>
      <c r="C931" s="26" t="str">
        <f t="shared" si="57"/>
        <v/>
      </c>
      <c r="D931" s="26" t="str">
        <f t="shared" si="58"/>
        <v/>
      </c>
      <c r="E931" s="29"/>
      <c r="F931" s="22"/>
      <c r="G931" s="22"/>
      <c r="H931" s="22"/>
      <c r="I931" s="24"/>
      <c r="J931" s="24"/>
      <c r="K931" s="24"/>
      <c r="L931" s="24"/>
      <c r="M931" s="27" t="str">
        <f t="shared" si="59"/>
        <v/>
      </c>
      <c r="N931" s="25"/>
      <c r="O931" s="22"/>
      <c r="P931" s="24"/>
      <c r="Q931" s="26"/>
    </row>
    <row r="932" spans="1:17" ht="15" x14ac:dyDescent="0.15">
      <c r="A932" s="22"/>
      <c r="B932" s="26" t="str">
        <f t="shared" si="56"/>
        <v/>
      </c>
      <c r="C932" s="26" t="str">
        <f t="shared" si="57"/>
        <v/>
      </c>
      <c r="D932" s="26" t="str">
        <f t="shared" si="58"/>
        <v/>
      </c>
      <c r="E932" s="29"/>
      <c r="F932" s="22"/>
      <c r="G932" s="22"/>
      <c r="H932" s="22"/>
      <c r="I932" s="24"/>
      <c r="J932" s="24"/>
      <c r="K932" s="24"/>
      <c r="L932" s="24"/>
      <c r="M932" s="27" t="str">
        <f t="shared" si="59"/>
        <v/>
      </c>
      <c r="N932" s="25"/>
      <c r="O932" s="22"/>
      <c r="P932" s="24"/>
      <c r="Q932" s="26"/>
    </row>
    <row r="933" spans="1:17" ht="15" x14ac:dyDescent="0.15">
      <c r="A933" s="22"/>
      <c r="B933" s="26" t="str">
        <f t="shared" si="56"/>
        <v/>
      </c>
      <c r="C933" s="26" t="str">
        <f t="shared" si="57"/>
        <v/>
      </c>
      <c r="D933" s="26" t="str">
        <f t="shared" si="58"/>
        <v/>
      </c>
      <c r="E933" s="29"/>
      <c r="F933" s="22"/>
      <c r="G933" s="22"/>
      <c r="H933" s="22"/>
      <c r="I933" s="24"/>
      <c r="J933" s="24"/>
      <c r="K933" s="24"/>
      <c r="L933" s="24"/>
      <c r="M933" s="27" t="str">
        <f t="shared" si="59"/>
        <v/>
      </c>
      <c r="N933" s="25"/>
      <c r="O933" s="22"/>
      <c r="P933" s="24"/>
      <c r="Q933" s="26"/>
    </row>
    <row r="934" spans="1:17" ht="15" x14ac:dyDescent="0.15">
      <c r="A934" s="22"/>
      <c r="B934" s="26" t="str">
        <f t="shared" si="56"/>
        <v/>
      </c>
      <c r="C934" s="26" t="str">
        <f t="shared" si="57"/>
        <v/>
      </c>
      <c r="D934" s="26" t="str">
        <f t="shared" si="58"/>
        <v/>
      </c>
      <c r="E934" s="29"/>
      <c r="F934" s="22"/>
      <c r="G934" s="22"/>
      <c r="H934" s="22"/>
      <c r="I934" s="24"/>
      <c r="J934" s="24"/>
      <c r="K934" s="24"/>
      <c r="L934" s="24"/>
      <c r="M934" s="27" t="str">
        <f t="shared" si="59"/>
        <v/>
      </c>
      <c r="N934" s="25"/>
      <c r="O934" s="22"/>
      <c r="P934" s="24"/>
      <c r="Q934" s="26"/>
    </row>
    <row r="935" spans="1:17" ht="15" x14ac:dyDescent="0.15">
      <c r="A935" s="22"/>
      <c r="B935" s="26" t="str">
        <f t="shared" si="56"/>
        <v/>
      </c>
      <c r="C935" s="26" t="str">
        <f t="shared" si="57"/>
        <v/>
      </c>
      <c r="D935" s="26" t="str">
        <f t="shared" si="58"/>
        <v/>
      </c>
      <c r="E935" s="29"/>
      <c r="F935" s="22"/>
      <c r="G935" s="22"/>
      <c r="H935" s="22"/>
      <c r="I935" s="24"/>
      <c r="J935" s="24"/>
      <c r="K935" s="24"/>
      <c r="L935" s="24"/>
      <c r="M935" s="27" t="str">
        <f t="shared" si="59"/>
        <v/>
      </c>
      <c r="N935" s="25"/>
      <c r="O935" s="22"/>
      <c r="P935" s="24"/>
      <c r="Q935" s="26"/>
    </row>
    <row r="936" spans="1:17" ht="15" x14ac:dyDescent="0.15">
      <c r="A936" s="22"/>
      <c r="B936" s="26" t="str">
        <f t="shared" si="56"/>
        <v/>
      </c>
      <c r="C936" s="26" t="str">
        <f t="shared" si="57"/>
        <v/>
      </c>
      <c r="D936" s="26" t="str">
        <f t="shared" si="58"/>
        <v/>
      </c>
      <c r="E936" s="29"/>
      <c r="F936" s="22"/>
      <c r="G936" s="22"/>
      <c r="H936" s="22"/>
      <c r="I936" s="24"/>
      <c r="J936" s="24"/>
      <c r="K936" s="24"/>
      <c r="L936" s="24"/>
      <c r="M936" s="27" t="str">
        <f t="shared" si="59"/>
        <v/>
      </c>
      <c r="N936" s="25"/>
      <c r="O936" s="22"/>
      <c r="P936" s="24"/>
      <c r="Q936" s="26"/>
    </row>
    <row r="937" spans="1:17" ht="15" x14ac:dyDescent="0.15">
      <c r="A937" s="22"/>
      <c r="B937" s="26" t="str">
        <f t="shared" si="56"/>
        <v/>
      </c>
      <c r="C937" s="26" t="str">
        <f t="shared" si="57"/>
        <v/>
      </c>
      <c r="D937" s="26" t="str">
        <f t="shared" si="58"/>
        <v/>
      </c>
      <c r="E937" s="29"/>
      <c r="F937" s="22"/>
      <c r="G937" s="22"/>
      <c r="H937" s="22"/>
      <c r="I937" s="24"/>
      <c r="J937" s="24"/>
      <c r="K937" s="24"/>
      <c r="L937" s="24"/>
      <c r="M937" s="27" t="str">
        <f t="shared" si="59"/>
        <v/>
      </c>
      <c r="N937" s="25"/>
      <c r="O937" s="22"/>
      <c r="P937" s="24"/>
      <c r="Q937" s="26"/>
    </row>
    <row r="938" spans="1:17" ht="15" x14ac:dyDescent="0.15">
      <c r="A938" s="22"/>
      <c r="B938" s="26" t="str">
        <f t="shared" si="56"/>
        <v/>
      </c>
      <c r="C938" s="26" t="str">
        <f t="shared" si="57"/>
        <v/>
      </c>
      <c r="D938" s="26" t="str">
        <f t="shared" si="58"/>
        <v/>
      </c>
      <c r="E938" s="29"/>
      <c r="F938" s="22"/>
      <c r="G938" s="22"/>
      <c r="H938" s="22"/>
      <c r="I938" s="24"/>
      <c r="J938" s="24"/>
      <c r="K938" s="24"/>
      <c r="L938" s="24"/>
      <c r="M938" s="27" t="str">
        <f t="shared" si="59"/>
        <v/>
      </c>
      <c r="N938" s="25"/>
      <c r="O938" s="22"/>
      <c r="P938" s="24"/>
      <c r="Q938" s="26"/>
    </row>
    <row r="939" spans="1:17" ht="15" x14ac:dyDescent="0.15">
      <c r="A939" s="22"/>
      <c r="B939" s="26" t="str">
        <f t="shared" si="56"/>
        <v/>
      </c>
      <c r="C939" s="26" t="str">
        <f t="shared" si="57"/>
        <v/>
      </c>
      <c r="D939" s="26" t="str">
        <f t="shared" si="58"/>
        <v/>
      </c>
      <c r="E939" s="29"/>
      <c r="F939" s="22"/>
      <c r="G939" s="22"/>
      <c r="H939" s="22"/>
      <c r="I939" s="24"/>
      <c r="J939" s="24"/>
      <c r="K939" s="24"/>
      <c r="L939" s="24"/>
      <c r="M939" s="27" t="str">
        <f t="shared" si="59"/>
        <v/>
      </c>
      <c r="N939" s="25"/>
      <c r="O939" s="22"/>
      <c r="P939" s="24"/>
      <c r="Q939" s="26"/>
    </row>
    <row r="940" spans="1:17" ht="15" x14ac:dyDescent="0.15">
      <c r="A940" s="22"/>
      <c r="B940" s="26" t="str">
        <f t="shared" si="56"/>
        <v/>
      </c>
      <c r="C940" s="26" t="str">
        <f t="shared" si="57"/>
        <v/>
      </c>
      <c r="D940" s="26" t="str">
        <f t="shared" si="58"/>
        <v/>
      </c>
      <c r="E940" s="29"/>
      <c r="F940" s="22"/>
      <c r="G940" s="22"/>
      <c r="H940" s="22"/>
      <c r="I940" s="24"/>
      <c r="J940" s="24"/>
      <c r="K940" s="24"/>
      <c r="L940" s="24"/>
      <c r="M940" s="27" t="str">
        <f t="shared" si="59"/>
        <v/>
      </c>
      <c r="N940" s="25"/>
      <c r="O940" s="22"/>
      <c r="P940" s="24"/>
      <c r="Q940" s="26"/>
    </row>
    <row r="941" spans="1:17" ht="15" x14ac:dyDescent="0.15">
      <c r="A941" s="22"/>
      <c r="B941" s="26" t="str">
        <f t="shared" si="56"/>
        <v/>
      </c>
      <c r="C941" s="26" t="str">
        <f t="shared" si="57"/>
        <v/>
      </c>
      <c r="D941" s="26" t="str">
        <f t="shared" si="58"/>
        <v/>
      </c>
      <c r="E941" s="29"/>
      <c r="F941" s="22"/>
      <c r="G941" s="22"/>
      <c r="H941" s="22"/>
      <c r="I941" s="24"/>
      <c r="J941" s="24"/>
      <c r="K941" s="24"/>
      <c r="L941" s="24"/>
      <c r="M941" s="27" t="str">
        <f t="shared" si="59"/>
        <v/>
      </c>
      <c r="N941" s="25"/>
      <c r="O941" s="22"/>
      <c r="P941" s="24"/>
      <c r="Q941" s="26"/>
    </row>
    <row r="942" spans="1:17" ht="15" x14ac:dyDescent="0.15">
      <c r="A942" s="22"/>
      <c r="B942" s="26" t="str">
        <f t="shared" si="56"/>
        <v/>
      </c>
      <c r="C942" s="26" t="str">
        <f t="shared" si="57"/>
        <v/>
      </c>
      <c r="D942" s="26" t="str">
        <f t="shared" si="58"/>
        <v/>
      </c>
      <c r="E942" s="29"/>
      <c r="F942" s="22"/>
      <c r="G942" s="22"/>
      <c r="H942" s="22"/>
      <c r="I942" s="24"/>
      <c r="J942" s="24"/>
      <c r="K942" s="24"/>
      <c r="L942" s="24"/>
      <c r="M942" s="27" t="str">
        <f t="shared" si="59"/>
        <v/>
      </c>
      <c r="N942" s="25"/>
      <c r="O942" s="22"/>
      <c r="P942" s="24"/>
      <c r="Q942" s="26"/>
    </row>
    <row r="943" spans="1:17" ht="15" x14ac:dyDescent="0.15">
      <c r="A943" s="22"/>
      <c r="B943" s="26" t="str">
        <f t="shared" si="56"/>
        <v/>
      </c>
      <c r="C943" s="26" t="str">
        <f t="shared" si="57"/>
        <v/>
      </c>
      <c r="D943" s="26" t="str">
        <f t="shared" si="58"/>
        <v/>
      </c>
      <c r="E943" s="29"/>
      <c r="F943" s="22"/>
      <c r="G943" s="22"/>
      <c r="H943" s="22"/>
      <c r="I943" s="24"/>
      <c r="J943" s="24"/>
      <c r="K943" s="24"/>
      <c r="L943" s="24"/>
      <c r="M943" s="27" t="str">
        <f t="shared" si="59"/>
        <v/>
      </c>
      <c r="N943" s="25"/>
      <c r="O943" s="22"/>
      <c r="P943" s="24"/>
      <c r="Q943" s="26"/>
    </row>
    <row r="944" spans="1:17" ht="15" x14ac:dyDescent="0.15">
      <c r="A944" s="22"/>
      <c r="B944" s="26" t="str">
        <f t="shared" si="56"/>
        <v/>
      </c>
      <c r="C944" s="26" t="str">
        <f t="shared" si="57"/>
        <v/>
      </c>
      <c r="D944" s="26" t="str">
        <f t="shared" si="58"/>
        <v/>
      </c>
      <c r="E944" s="29"/>
      <c r="F944" s="22"/>
      <c r="G944" s="22"/>
      <c r="H944" s="22"/>
      <c r="I944" s="24"/>
      <c r="J944" s="24"/>
      <c r="K944" s="24"/>
      <c r="L944" s="24"/>
      <c r="M944" s="27" t="str">
        <f t="shared" si="59"/>
        <v/>
      </c>
      <c r="N944" s="25"/>
      <c r="O944" s="22"/>
      <c r="P944" s="24"/>
      <c r="Q944" s="26"/>
    </row>
    <row r="945" spans="1:17" ht="15" x14ac:dyDescent="0.15">
      <c r="A945" s="22"/>
      <c r="B945" s="26" t="str">
        <f t="shared" si="56"/>
        <v/>
      </c>
      <c r="C945" s="26" t="str">
        <f t="shared" si="57"/>
        <v/>
      </c>
      <c r="D945" s="26" t="str">
        <f t="shared" si="58"/>
        <v/>
      </c>
      <c r="E945" s="29"/>
      <c r="F945" s="22"/>
      <c r="G945" s="22"/>
      <c r="H945" s="22"/>
      <c r="I945" s="24"/>
      <c r="J945" s="24"/>
      <c r="K945" s="24"/>
      <c r="L945" s="24"/>
      <c r="M945" s="27" t="str">
        <f t="shared" si="59"/>
        <v/>
      </c>
      <c r="N945" s="25"/>
      <c r="O945" s="22"/>
      <c r="P945" s="24"/>
      <c r="Q945" s="26"/>
    </row>
    <row r="946" spans="1:17" ht="15" x14ac:dyDescent="0.15">
      <c r="A946" s="22"/>
      <c r="B946" s="26" t="str">
        <f t="shared" si="56"/>
        <v/>
      </c>
      <c r="C946" s="26" t="str">
        <f t="shared" si="57"/>
        <v/>
      </c>
      <c r="D946" s="26" t="str">
        <f t="shared" si="58"/>
        <v/>
      </c>
      <c r="E946" s="29"/>
      <c r="F946" s="22"/>
      <c r="G946" s="22"/>
      <c r="H946" s="22"/>
      <c r="I946" s="24"/>
      <c r="J946" s="24"/>
      <c r="K946" s="24"/>
      <c r="L946" s="24"/>
      <c r="M946" s="27" t="str">
        <f t="shared" si="59"/>
        <v/>
      </c>
      <c r="N946" s="25"/>
      <c r="O946" s="22"/>
      <c r="P946" s="24"/>
      <c r="Q946" s="26"/>
    </row>
    <row r="947" spans="1:17" ht="15" x14ac:dyDescent="0.15">
      <c r="A947" s="22"/>
      <c r="B947" s="26" t="str">
        <f t="shared" si="56"/>
        <v/>
      </c>
      <c r="C947" s="26" t="str">
        <f t="shared" si="57"/>
        <v/>
      </c>
      <c r="D947" s="26" t="str">
        <f t="shared" si="58"/>
        <v/>
      </c>
      <c r="E947" s="29"/>
      <c r="F947" s="22"/>
      <c r="G947" s="22"/>
      <c r="H947" s="22"/>
      <c r="I947" s="24"/>
      <c r="J947" s="24"/>
      <c r="K947" s="24"/>
      <c r="L947" s="24"/>
      <c r="M947" s="27" t="str">
        <f t="shared" si="59"/>
        <v/>
      </c>
      <c r="N947" s="25"/>
      <c r="O947" s="22"/>
      <c r="P947" s="24"/>
      <c r="Q947" s="26"/>
    </row>
    <row r="948" spans="1:17" ht="15" x14ac:dyDescent="0.15">
      <c r="A948" s="22"/>
      <c r="B948" s="26" t="str">
        <f t="shared" si="56"/>
        <v/>
      </c>
      <c r="C948" s="26" t="str">
        <f t="shared" si="57"/>
        <v/>
      </c>
      <c r="D948" s="26" t="str">
        <f t="shared" si="58"/>
        <v/>
      </c>
      <c r="E948" s="29"/>
      <c r="F948" s="22"/>
      <c r="G948" s="22"/>
      <c r="H948" s="22"/>
      <c r="I948" s="24"/>
      <c r="J948" s="24"/>
      <c r="K948" s="24"/>
      <c r="L948" s="24"/>
      <c r="M948" s="27" t="str">
        <f t="shared" si="59"/>
        <v/>
      </c>
      <c r="N948" s="25"/>
      <c r="O948" s="22"/>
      <c r="P948" s="24"/>
      <c r="Q948" s="26"/>
    </row>
    <row r="949" spans="1:17" ht="15" x14ac:dyDescent="0.15">
      <c r="A949" s="22"/>
      <c r="B949" s="26" t="str">
        <f t="shared" si="56"/>
        <v/>
      </c>
      <c r="C949" s="26" t="str">
        <f t="shared" si="57"/>
        <v/>
      </c>
      <c r="D949" s="26" t="str">
        <f t="shared" si="58"/>
        <v/>
      </c>
      <c r="E949" s="29"/>
      <c r="F949" s="22"/>
      <c r="G949" s="22"/>
      <c r="H949" s="22"/>
      <c r="I949" s="24"/>
      <c r="J949" s="24"/>
      <c r="K949" s="24"/>
      <c r="L949" s="24"/>
      <c r="M949" s="27" t="str">
        <f t="shared" si="59"/>
        <v/>
      </c>
      <c r="N949" s="25"/>
      <c r="O949" s="22"/>
      <c r="P949" s="24"/>
      <c r="Q949" s="26"/>
    </row>
    <row r="950" spans="1:17" ht="15" x14ac:dyDescent="0.15">
      <c r="A950" s="22"/>
      <c r="B950" s="26" t="str">
        <f t="shared" si="56"/>
        <v/>
      </c>
      <c r="C950" s="26" t="str">
        <f t="shared" si="57"/>
        <v/>
      </c>
      <c r="D950" s="26" t="str">
        <f t="shared" si="58"/>
        <v/>
      </c>
      <c r="E950" s="29"/>
      <c r="F950" s="22"/>
      <c r="G950" s="22"/>
      <c r="H950" s="22"/>
      <c r="I950" s="24"/>
      <c r="J950" s="24"/>
      <c r="K950" s="24"/>
      <c r="L950" s="24"/>
      <c r="M950" s="27" t="str">
        <f t="shared" si="59"/>
        <v/>
      </c>
      <c r="N950" s="25"/>
      <c r="O950" s="22"/>
      <c r="P950" s="24"/>
      <c r="Q950" s="26"/>
    </row>
    <row r="951" spans="1:17" ht="15" x14ac:dyDescent="0.15">
      <c r="A951" s="22"/>
      <c r="B951" s="26" t="str">
        <f t="shared" si="56"/>
        <v/>
      </c>
      <c r="C951" s="26" t="str">
        <f t="shared" si="57"/>
        <v/>
      </c>
      <c r="D951" s="26" t="str">
        <f t="shared" si="58"/>
        <v/>
      </c>
      <c r="E951" s="29"/>
      <c r="F951" s="22"/>
      <c r="G951" s="22"/>
      <c r="H951" s="22"/>
      <c r="I951" s="24"/>
      <c r="J951" s="24"/>
      <c r="K951" s="24"/>
      <c r="L951" s="24"/>
      <c r="M951" s="27" t="str">
        <f t="shared" si="59"/>
        <v/>
      </c>
      <c r="N951" s="25"/>
      <c r="O951" s="22"/>
      <c r="P951" s="24"/>
      <c r="Q951" s="26"/>
    </row>
    <row r="952" spans="1:17" ht="15" x14ac:dyDescent="0.15">
      <c r="A952" s="22"/>
      <c r="B952" s="26" t="str">
        <f t="shared" si="56"/>
        <v/>
      </c>
      <c r="C952" s="26" t="str">
        <f t="shared" si="57"/>
        <v/>
      </c>
      <c r="D952" s="26" t="str">
        <f t="shared" si="58"/>
        <v/>
      </c>
      <c r="E952" s="29"/>
      <c r="F952" s="22"/>
      <c r="G952" s="22"/>
      <c r="H952" s="22"/>
      <c r="I952" s="24"/>
      <c r="J952" s="24"/>
      <c r="K952" s="24"/>
      <c r="L952" s="24"/>
      <c r="M952" s="27" t="str">
        <f t="shared" si="59"/>
        <v/>
      </c>
      <c r="N952" s="25"/>
      <c r="O952" s="22"/>
      <c r="P952" s="24"/>
      <c r="Q952" s="26"/>
    </row>
    <row r="953" spans="1:17" ht="15" x14ac:dyDescent="0.15">
      <c r="A953" s="22"/>
      <c r="B953" s="26" t="str">
        <f t="shared" si="56"/>
        <v/>
      </c>
      <c r="C953" s="26" t="str">
        <f t="shared" si="57"/>
        <v/>
      </c>
      <c r="D953" s="26" t="str">
        <f t="shared" si="58"/>
        <v/>
      </c>
      <c r="E953" s="29"/>
      <c r="F953" s="22"/>
      <c r="G953" s="22"/>
      <c r="H953" s="22"/>
      <c r="I953" s="24"/>
      <c r="J953" s="24"/>
      <c r="K953" s="24"/>
      <c r="L953" s="24"/>
      <c r="M953" s="27" t="str">
        <f t="shared" si="59"/>
        <v/>
      </c>
      <c r="N953" s="25"/>
      <c r="O953" s="22"/>
      <c r="P953" s="24"/>
      <c r="Q953" s="26"/>
    </row>
    <row r="954" spans="1:17" ht="15" x14ac:dyDescent="0.15">
      <c r="A954" s="22"/>
      <c r="B954" s="26" t="str">
        <f t="shared" si="56"/>
        <v/>
      </c>
      <c r="C954" s="26" t="str">
        <f t="shared" si="57"/>
        <v/>
      </c>
      <c r="D954" s="26" t="str">
        <f t="shared" si="58"/>
        <v/>
      </c>
      <c r="E954" s="29"/>
      <c r="F954" s="22"/>
      <c r="G954" s="22"/>
      <c r="H954" s="22"/>
      <c r="I954" s="24"/>
      <c r="J954" s="24"/>
      <c r="K954" s="24"/>
      <c r="L954" s="24"/>
      <c r="M954" s="27" t="str">
        <f t="shared" si="59"/>
        <v/>
      </c>
      <c r="N954" s="25"/>
      <c r="O954" s="22"/>
      <c r="P954" s="24"/>
      <c r="Q954" s="26"/>
    </row>
    <row r="955" spans="1:17" ht="15" x14ac:dyDescent="0.15">
      <c r="A955" s="22"/>
      <c r="B955" s="26" t="str">
        <f t="shared" si="56"/>
        <v/>
      </c>
      <c r="C955" s="26" t="str">
        <f t="shared" si="57"/>
        <v/>
      </c>
      <c r="D955" s="26" t="str">
        <f t="shared" si="58"/>
        <v/>
      </c>
      <c r="E955" s="29"/>
      <c r="F955" s="22"/>
      <c r="G955" s="22"/>
      <c r="H955" s="22"/>
      <c r="I955" s="24"/>
      <c r="J955" s="24"/>
      <c r="K955" s="24"/>
      <c r="L955" s="24"/>
      <c r="M955" s="27" t="str">
        <f t="shared" si="59"/>
        <v/>
      </c>
      <c r="N955" s="25"/>
      <c r="O955" s="22"/>
      <c r="P955" s="24"/>
      <c r="Q955" s="26"/>
    </row>
    <row r="956" spans="1:17" ht="15" x14ac:dyDescent="0.15">
      <c r="A956" s="22"/>
      <c r="B956" s="26" t="str">
        <f t="shared" si="56"/>
        <v/>
      </c>
      <c r="C956" s="26" t="str">
        <f t="shared" si="57"/>
        <v/>
      </c>
      <c r="D956" s="26" t="str">
        <f t="shared" si="58"/>
        <v/>
      </c>
      <c r="E956" s="29"/>
      <c r="F956" s="22"/>
      <c r="G956" s="22"/>
      <c r="H956" s="22"/>
      <c r="I956" s="24"/>
      <c r="J956" s="24"/>
      <c r="K956" s="24"/>
      <c r="L956" s="24"/>
      <c r="M956" s="27" t="str">
        <f t="shared" si="59"/>
        <v/>
      </c>
      <c r="N956" s="25"/>
      <c r="O956" s="22"/>
      <c r="P956" s="24"/>
      <c r="Q956" s="26"/>
    </row>
    <row r="957" spans="1:17" ht="15" x14ac:dyDescent="0.15">
      <c r="A957" s="22"/>
      <c r="B957" s="26" t="str">
        <f t="shared" si="56"/>
        <v/>
      </c>
      <c r="C957" s="26" t="str">
        <f t="shared" si="57"/>
        <v/>
      </c>
      <c r="D957" s="26" t="str">
        <f t="shared" si="58"/>
        <v/>
      </c>
      <c r="E957" s="29"/>
      <c r="F957" s="22"/>
      <c r="G957" s="22"/>
      <c r="H957" s="22"/>
      <c r="I957" s="24"/>
      <c r="J957" s="24"/>
      <c r="K957" s="24"/>
      <c r="L957" s="24"/>
      <c r="M957" s="27" t="str">
        <f t="shared" si="59"/>
        <v/>
      </c>
      <c r="N957" s="25"/>
      <c r="O957" s="22"/>
      <c r="P957" s="24"/>
      <c r="Q957" s="26"/>
    </row>
    <row r="958" spans="1:17" ht="15" x14ac:dyDescent="0.15">
      <c r="A958" s="22"/>
      <c r="B958" s="26" t="str">
        <f t="shared" si="56"/>
        <v/>
      </c>
      <c r="C958" s="26" t="str">
        <f t="shared" si="57"/>
        <v/>
      </c>
      <c r="D958" s="26" t="str">
        <f t="shared" si="58"/>
        <v/>
      </c>
      <c r="E958" s="29"/>
      <c r="F958" s="22"/>
      <c r="G958" s="22"/>
      <c r="H958" s="22"/>
      <c r="I958" s="24"/>
      <c r="J958" s="24"/>
      <c r="K958" s="24"/>
      <c r="L958" s="24"/>
      <c r="M958" s="27" t="str">
        <f t="shared" si="59"/>
        <v/>
      </c>
      <c r="N958" s="25"/>
      <c r="O958" s="22"/>
      <c r="P958" s="24"/>
      <c r="Q958" s="26"/>
    </row>
    <row r="959" spans="1:17" ht="15" x14ac:dyDescent="0.15">
      <c r="A959" s="22"/>
      <c r="B959" s="26" t="str">
        <f t="shared" si="56"/>
        <v/>
      </c>
      <c r="C959" s="26" t="str">
        <f t="shared" si="57"/>
        <v/>
      </c>
      <c r="D959" s="26" t="str">
        <f t="shared" si="58"/>
        <v/>
      </c>
      <c r="E959" s="29"/>
      <c r="F959" s="22"/>
      <c r="G959" s="22"/>
      <c r="H959" s="22"/>
      <c r="I959" s="24"/>
      <c r="J959" s="24"/>
      <c r="K959" s="24"/>
      <c r="L959" s="24"/>
      <c r="M959" s="27" t="str">
        <f t="shared" si="59"/>
        <v/>
      </c>
      <c r="N959" s="25"/>
      <c r="O959" s="22"/>
      <c r="P959" s="24"/>
      <c r="Q959" s="26"/>
    </row>
    <row r="960" spans="1:17" ht="15" x14ac:dyDescent="0.15">
      <c r="A960" s="22"/>
      <c r="B960" s="26" t="str">
        <f t="shared" si="56"/>
        <v/>
      </c>
      <c r="C960" s="26" t="str">
        <f t="shared" si="57"/>
        <v/>
      </c>
      <c r="D960" s="26" t="str">
        <f t="shared" si="58"/>
        <v/>
      </c>
      <c r="E960" s="29"/>
      <c r="F960" s="22"/>
      <c r="G960" s="22"/>
      <c r="H960" s="22"/>
      <c r="I960" s="24"/>
      <c r="J960" s="24"/>
      <c r="K960" s="24"/>
      <c r="L960" s="24"/>
      <c r="M960" s="27" t="str">
        <f t="shared" si="59"/>
        <v/>
      </c>
      <c r="N960" s="25"/>
      <c r="O960" s="22"/>
      <c r="P960" s="24"/>
      <c r="Q960" s="26"/>
    </row>
    <row r="961" spans="1:17" ht="15" x14ac:dyDescent="0.15">
      <c r="A961" s="22"/>
      <c r="B961" s="26" t="str">
        <f t="shared" si="56"/>
        <v/>
      </c>
      <c r="C961" s="26" t="str">
        <f t="shared" si="57"/>
        <v/>
      </c>
      <c r="D961" s="26" t="str">
        <f t="shared" si="58"/>
        <v/>
      </c>
      <c r="E961" s="29"/>
      <c r="F961" s="22"/>
      <c r="G961" s="22"/>
      <c r="H961" s="22"/>
      <c r="I961" s="24"/>
      <c r="J961" s="24"/>
      <c r="K961" s="24"/>
      <c r="L961" s="24"/>
      <c r="M961" s="27" t="str">
        <f t="shared" si="59"/>
        <v/>
      </c>
      <c r="N961" s="25"/>
      <c r="O961" s="22"/>
      <c r="P961" s="24"/>
      <c r="Q961" s="26"/>
    </row>
    <row r="962" spans="1:17" ht="15" x14ac:dyDescent="0.15">
      <c r="A962" s="22"/>
      <c r="B962" s="26" t="str">
        <f t="shared" si="56"/>
        <v/>
      </c>
      <c r="C962" s="26" t="str">
        <f t="shared" si="57"/>
        <v/>
      </c>
      <c r="D962" s="26" t="str">
        <f t="shared" si="58"/>
        <v/>
      </c>
      <c r="E962" s="29"/>
      <c r="F962" s="22"/>
      <c r="G962" s="22"/>
      <c r="H962" s="22"/>
      <c r="I962" s="24"/>
      <c r="J962" s="24"/>
      <c r="K962" s="24"/>
      <c r="L962" s="24"/>
      <c r="M962" s="27" t="str">
        <f t="shared" si="59"/>
        <v/>
      </c>
      <c r="N962" s="25"/>
      <c r="O962" s="22"/>
      <c r="P962" s="24"/>
      <c r="Q962" s="26"/>
    </row>
    <row r="963" spans="1:17" ht="15" x14ac:dyDescent="0.15">
      <c r="A963" s="22"/>
      <c r="B963" s="26" t="str">
        <f t="shared" si="56"/>
        <v/>
      </c>
      <c r="C963" s="26" t="str">
        <f t="shared" si="57"/>
        <v/>
      </c>
      <c r="D963" s="26" t="str">
        <f t="shared" si="58"/>
        <v/>
      </c>
      <c r="E963" s="29"/>
      <c r="F963" s="22"/>
      <c r="G963" s="22"/>
      <c r="H963" s="22"/>
      <c r="I963" s="24"/>
      <c r="J963" s="24"/>
      <c r="K963" s="24"/>
      <c r="L963" s="24"/>
      <c r="M963" s="27" t="str">
        <f t="shared" si="59"/>
        <v/>
      </c>
      <c r="N963" s="25"/>
      <c r="O963" s="22"/>
      <c r="P963" s="24"/>
      <c r="Q963" s="26"/>
    </row>
    <row r="964" spans="1:17" ht="15" x14ac:dyDescent="0.15">
      <c r="A964" s="22"/>
      <c r="B964" s="26" t="str">
        <f t="shared" si="56"/>
        <v/>
      </c>
      <c r="C964" s="26" t="str">
        <f t="shared" si="57"/>
        <v/>
      </c>
      <c r="D964" s="26" t="str">
        <f t="shared" si="58"/>
        <v/>
      </c>
      <c r="E964" s="29"/>
      <c r="F964" s="22"/>
      <c r="G964" s="22"/>
      <c r="H964" s="22"/>
      <c r="I964" s="24"/>
      <c r="J964" s="24"/>
      <c r="K964" s="24"/>
      <c r="L964" s="24"/>
      <c r="M964" s="27" t="str">
        <f t="shared" si="59"/>
        <v/>
      </c>
      <c r="N964" s="25"/>
      <c r="O964" s="22"/>
      <c r="P964" s="24"/>
      <c r="Q964" s="26"/>
    </row>
    <row r="965" spans="1:17" ht="15" x14ac:dyDescent="0.15">
      <c r="A965" s="22"/>
      <c r="B965" s="26" t="str">
        <f t="shared" si="56"/>
        <v/>
      </c>
      <c r="C965" s="26" t="str">
        <f t="shared" si="57"/>
        <v/>
      </c>
      <c r="D965" s="26" t="str">
        <f t="shared" si="58"/>
        <v/>
      </c>
      <c r="E965" s="29"/>
      <c r="F965" s="22"/>
      <c r="G965" s="22"/>
      <c r="H965" s="22"/>
      <c r="I965" s="24"/>
      <c r="J965" s="24"/>
      <c r="K965" s="24"/>
      <c r="L965" s="24"/>
      <c r="M965" s="27" t="str">
        <f t="shared" si="59"/>
        <v/>
      </c>
      <c r="N965" s="25"/>
      <c r="O965" s="22"/>
      <c r="P965" s="24"/>
      <c r="Q965" s="26"/>
    </row>
    <row r="966" spans="1:17" ht="15" x14ac:dyDescent="0.15">
      <c r="A966" s="22"/>
      <c r="B966" s="26" t="str">
        <f t="shared" si="56"/>
        <v/>
      </c>
      <c r="C966" s="26" t="str">
        <f t="shared" si="57"/>
        <v/>
      </c>
      <c r="D966" s="26" t="str">
        <f t="shared" si="58"/>
        <v/>
      </c>
      <c r="E966" s="29"/>
      <c r="F966" s="22"/>
      <c r="G966" s="22"/>
      <c r="H966" s="22"/>
      <c r="I966" s="24"/>
      <c r="J966" s="24"/>
      <c r="K966" s="24"/>
      <c r="L966" s="24"/>
      <c r="M966" s="27" t="str">
        <f t="shared" si="59"/>
        <v/>
      </c>
      <c r="N966" s="25"/>
      <c r="O966" s="22"/>
      <c r="P966" s="24"/>
      <c r="Q966" s="26"/>
    </row>
    <row r="967" spans="1:17" ht="15" x14ac:dyDescent="0.15">
      <c r="A967" s="22"/>
      <c r="B967" s="26" t="str">
        <f t="shared" ref="B967:B1030" si="60">IFERROR(IF($A967="","",LEFT($A967,FIND(" | ",$A967)-1)),"")</f>
        <v/>
      </c>
      <c r="C967" s="26" t="str">
        <f t="shared" ref="C967:C1030" si="61">IFERROR(IF($A967="","",MID($A967,FIND(" | ",$A967)+3,FIND(" | ",$A967,FIND(" | ",$A967)+3)-FIND(" | ",$A967)-3)),"")</f>
        <v/>
      </c>
      <c r="D967" s="26" t="str">
        <f t="shared" ref="D967:D1030" si="62">IFERROR(IF($A967="","",RIGHT($A967,LEN($A967)-FIND(" | ",$A967,FIND(" | ",$A967)+3)-2)),"")</f>
        <v/>
      </c>
      <c r="E967" s="29"/>
      <c r="F967" s="22"/>
      <c r="G967" s="22"/>
      <c r="H967" s="22"/>
      <c r="I967" s="24"/>
      <c r="J967" s="24"/>
      <c r="K967" s="24"/>
      <c r="L967" s="24"/>
      <c r="M967" s="27" t="str">
        <f t="shared" ref="M967:M1030" si="63">IF($B967="","",SUM($J967,-$K967,$L967))</f>
        <v/>
      </c>
      <c r="N967" s="25"/>
      <c r="O967" s="22"/>
      <c r="P967" s="24"/>
      <c r="Q967" s="26"/>
    </row>
    <row r="968" spans="1:17" ht="15" x14ac:dyDescent="0.15">
      <c r="A968" s="22"/>
      <c r="B968" s="26" t="str">
        <f t="shared" si="60"/>
        <v/>
      </c>
      <c r="C968" s="26" t="str">
        <f t="shared" si="61"/>
        <v/>
      </c>
      <c r="D968" s="26" t="str">
        <f t="shared" si="62"/>
        <v/>
      </c>
      <c r="E968" s="29"/>
      <c r="F968" s="22"/>
      <c r="G968" s="22"/>
      <c r="H968" s="22"/>
      <c r="I968" s="24"/>
      <c r="J968" s="24"/>
      <c r="K968" s="24"/>
      <c r="L968" s="24"/>
      <c r="M968" s="27" t="str">
        <f t="shared" si="63"/>
        <v/>
      </c>
      <c r="N968" s="25"/>
      <c r="O968" s="22"/>
      <c r="P968" s="24"/>
      <c r="Q968" s="26"/>
    </row>
    <row r="969" spans="1:17" ht="15" x14ac:dyDescent="0.15">
      <c r="A969" s="22"/>
      <c r="B969" s="26" t="str">
        <f t="shared" si="60"/>
        <v/>
      </c>
      <c r="C969" s="26" t="str">
        <f t="shared" si="61"/>
        <v/>
      </c>
      <c r="D969" s="26" t="str">
        <f t="shared" si="62"/>
        <v/>
      </c>
      <c r="E969" s="29"/>
      <c r="F969" s="22"/>
      <c r="G969" s="22"/>
      <c r="H969" s="22"/>
      <c r="I969" s="24"/>
      <c r="J969" s="24"/>
      <c r="K969" s="24"/>
      <c r="L969" s="24"/>
      <c r="M969" s="27" t="str">
        <f t="shared" si="63"/>
        <v/>
      </c>
      <c r="N969" s="25"/>
      <c r="O969" s="22"/>
      <c r="P969" s="24"/>
      <c r="Q969" s="26"/>
    </row>
    <row r="970" spans="1:17" ht="15" x14ac:dyDescent="0.15">
      <c r="A970" s="22"/>
      <c r="B970" s="26" t="str">
        <f t="shared" si="60"/>
        <v/>
      </c>
      <c r="C970" s="26" t="str">
        <f t="shared" si="61"/>
        <v/>
      </c>
      <c r="D970" s="26" t="str">
        <f t="shared" si="62"/>
        <v/>
      </c>
      <c r="E970" s="29"/>
      <c r="F970" s="22"/>
      <c r="G970" s="22"/>
      <c r="H970" s="22"/>
      <c r="I970" s="24"/>
      <c r="J970" s="24"/>
      <c r="K970" s="24"/>
      <c r="L970" s="24"/>
      <c r="M970" s="27" t="str">
        <f t="shared" si="63"/>
        <v/>
      </c>
      <c r="N970" s="25"/>
      <c r="O970" s="22"/>
      <c r="P970" s="24"/>
      <c r="Q970" s="26"/>
    </row>
    <row r="971" spans="1:17" ht="15" x14ac:dyDescent="0.15">
      <c r="A971" s="22"/>
      <c r="B971" s="26" t="str">
        <f t="shared" si="60"/>
        <v/>
      </c>
      <c r="C971" s="26" t="str">
        <f t="shared" si="61"/>
        <v/>
      </c>
      <c r="D971" s="26" t="str">
        <f t="shared" si="62"/>
        <v/>
      </c>
      <c r="E971" s="29"/>
      <c r="F971" s="22"/>
      <c r="G971" s="22"/>
      <c r="H971" s="22"/>
      <c r="I971" s="24"/>
      <c r="J971" s="24"/>
      <c r="K971" s="24"/>
      <c r="L971" s="24"/>
      <c r="M971" s="27" t="str">
        <f t="shared" si="63"/>
        <v/>
      </c>
      <c r="N971" s="25"/>
      <c r="O971" s="22"/>
      <c r="P971" s="24"/>
      <c r="Q971" s="26"/>
    </row>
    <row r="972" spans="1:17" ht="15" x14ac:dyDescent="0.15">
      <c r="A972" s="22"/>
      <c r="B972" s="26" t="str">
        <f t="shared" si="60"/>
        <v/>
      </c>
      <c r="C972" s="26" t="str">
        <f t="shared" si="61"/>
        <v/>
      </c>
      <c r="D972" s="26" t="str">
        <f t="shared" si="62"/>
        <v/>
      </c>
      <c r="E972" s="29"/>
      <c r="F972" s="22"/>
      <c r="G972" s="22"/>
      <c r="H972" s="22"/>
      <c r="I972" s="24"/>
      <c r="J972" s="24"/>
      <c r="K972" s="24"/>
      <c r="L972" s="24"/>
      <c r="M972" s="27" t="str">
        <f t="shared" si="63"/>
        <v/>
      </c>
      <c r="N972" s="25"/>
      <c r="O972" s="22"/>
      <c r="P972" s="24"/>
      <c r="Q972" s="26"/>
    </row>
    <row r="973" spans="1:17" ht="15" x14ac:dyDescent="0.15">
      <c r="A973" s="22"/>
      <c r="B973" s="26" t="str">
        <f t="shared" si="60"/>
        <v/>
      </c>
      <c r="C973" s="26" t="str">
        <f t="shared" si="61"/>
        <v/>
      </c>
      <c r="D973" s="26" t="str">
        <f t="shared" si="62"/>
        <v/>
      </c>
      <c r="E973" s="29"/>
      <c r="F973" s="22"/>
      <c r="G973" s="22"/>
      <c r="H973" s="22"/>
      <c r="I973" s="24"/>
      <c r="J973" s="24"/>
      <c r="K973" s="24"/>
      <c r="L973" s="24"/>
      <c r="M973" s="27" t="str">
        <f t="shared" si="63"/>
        <v/>
      </c>
      <c r="N973" s="25"/>
      <c r="O973" s="22"/>
      <c r="P973" s="24"/>
      <c r="Q973" s="26"/>
    </row>
    <row r="974" spans="1:17" ht="15" x14ac:dyDescent="0.15">
      <c r="A974" s="22"/>
      <c r="B974" s="26" t="str">
        <f t="shared" si="60"/>
        <v/>
      </c>
      <c r="C974" s="26" t="str">
        <f t="shared" si="61"/>
        <v/>
      </c>
      <c r="D974" s="26" t="str">
        <f t="shared" si="62"/>
        <v/>
      </c>
      <c r="E974" s="29"/>
      <c r="F974" s="22"/>
      <c r="G974" s="22"/>
      <c r="H974" s="22"/>
      <c r="I974" s="24"/>
      <c r="J974" s="24"/>
      <c r="K974" s="24"/>
      <c r="L974" s="24"/>
      <c r="M974" s="27" t="str">
        <f t="shared" si="63"/>
        <v/>
      </c>
      <c r="N974" s="25"/>
      <c r="O974" s="22"/>
      <c r="P974" s="24"/>
      <c r="Q974" s="26"/>
    </row>
    <row r="975" spans="1:17" ht="15" x14ac:dyDescent="0.15">
      <c r="A975" s="22"/>
      <c r="B975" s="26" t="str">
        <f t="shared" si="60"/>
        <v/>
      </c>
      <c r="C975" s="26" t="str">
        <f t="shared" si="61"/>
        <v/>
      </c>
      <c r="D975" s="26" t="str">
        <f t="shared" si="62"/>
        <v/>
      </c>
      <c r="E975" s="29"/>
      <c r="F975" s="22"/>
      <c r="G975" s="22"/>
      <c r="H975" s="22"/>
      <c r="I975" s="24"/>
      <c r="J975" s="24"/>
      <c r="K975" s="24"/>
      <c r="L975" s="24"/>
      <c r="M975" s="27" t="str">
        <f t="shared" si="63"/>
        <v/>
      </c>
      <c r="N975" s="25"/>
      <c r="O975" s="22"/>
      <c r="P975" s="24"/>
      <c r="Q975" s="26"/>
    </row>
    <row r="976" spans="1:17" ht="15" x14ac:dyDescent="0.15">
      <c r="A976" s="22"/>
      <c r="B976" s="26" t="str">
        <f t="shared" si="60"/>
        <v/>
      </c>
      <c r="C976" s="26" t="str">
        <f t="shared" si="61"/>
        <v/>
      </c>
      <c r="D976" s="26" t="str">
        <f t="shared" si="62"/>
        <v/>
      </c>
      <c r="E976" s="29"/>
      <c r="F976" s="22"/>
      <c r="G976" s="22"/>
      <c r="H976" s="22"/>
      <c r="I976" s="24"/>
      <c r="J976" s="24"/>
      <c r="K976" s="24"/>
      <c r="L976" s="24"/>
      <c r="M976" s="27" t="str">
        <f t="shared" si="63"/>
        <v/>
      </c>
      <c r="N976" s="25"/>
      <c r="O976" s="22"/>
      <c r="P976" s="24"/>
      <c r="Q976" s="26"/>
    </row>
    <row r="977" spans="1:17" ht="15" x14ac:dyDescent="0.15">
      <c r="A977" s="22"/>
      <c r="B977" s="26" t="str">
        <f t="shared" si="60"/>
        <v/>
      </c>
      <c r="C977" s="26" t="str">
        <f t="shared" si="61"/>
        <v/>
      </c>
      <c r="D977" s="26" t="str">
        <f t="shared" si="62"/>
        <v/>
      </c>
      <c r="E977" s="29"/>
      <c r="F977" s="22"/>
      <c r="G977" s="22"/>
      <c r="H977" s="22"/>
      <c r="I977" s="24"/>
      <c r="J977" s="24"/>
      <c r="K977" s="24"/>
      <c r="L977" s="24"/>
      <c r="M977" s="27" t="str">
        <f t="shared" si="63"/>
        <v/>
      </c>
      <c r="N977" s="25"/>
      <c r="O977" s="22"/>
      <c r="P977" s="24"/>
      <c r="Q977" s="26"/>
    </row>
    <row r="978" spans="1:17" ht="15" x14ac:dyDescent="0.15">
      <c r="A978" s="22"/>
      <c r="B978" s="26" t="str">
        <f t="shared" si="60"/>
        <v/>
      </c>
      <c r="C978" s="26" t="str">
        <f t="shared" si="61"/>
        <v/>
      </c>
      <c r="D978" s="26" t="str">
        <f t="shared" si="62"/>
        <v/>
      </c>
      <c r="E978" s="29"/>
      <c r="F978" s="22"/>
      <c r="G978" s="22"/>
      <c r="H978" s="22"/>
      <c r="I978" s="24"/>
      <c r="J978" s="24"/>
      <c r="K978" s="24"/>
      <c r="L978" s="24"/>
      <c r="M978" s="27" t="str">
        <f t="shared" si="63"/>
        <v/>
      </c>
      <c r="N978" s="25"/>
      <c r="O978" s="22"/>
      <c r="P978" s="24"/>
      <c r="Q978" s="26"/>
    </row>
    <row r="979" spans="1:17" ht="15" x14ac:dyDescent="0.15">
      <c r="A979" s="22"/>
      <c r="B979" s="26" t="str">
        <f t="shared" si="60"/>
        <v/>
      </c>
      <c r="C979" s="26" t="str">
        <f t="shared" si="61"/>
        <v/>
      </c>
      <c r="D979" s="26" t="str">
        <f t="shared" si="62"/>
        <v/>
      </c>
      <c r="E979" s="29"/>
      <c r="F979" s="22"/>
      <c r="G979" s="22"/>
      <c r="H979" s="22"/>
      <c r="I979" s="24"/>
      <c r="J979" s="24"/>
      <c r="K979" s="24"/>
      <c r="L979" s="24"/>
      <c r="M979" s="27" t="str">
        <f t="shared" si="63"/>
        <v/>
      </c>
      <c r="N979" s="25"/>
      <c r="O979" s="22"/>
      <c r="P979" s="24"/>
      <c r="Q979" s="26"/>
    </row>
    <row r="980" spans="1:17" ht="15" x14ac:dyDescent="0.15">
      <c r="A980" s="22"/>
      <c r="B980" s="26" t="str">
        <f t="shared" si="60"/>
        <v/>
      </c>
      <c r="C980" s="26" t="str">
        <f t="shared" si="61"/>
        <v/>
      </c>
      <c r="D980" s="26" t="str">
        <f t="shared" si="62"/>
        <v/>
      </c>
      <c r="E980" s="29"/>
      <c r="F980" s="22"/>
      <c r="G980" s="22"/>
      <c r="H980" s="22"/>
      <c r="I980" s="24"/>
      <c r="J980" s="24"/>
      <c r="K980" s="24"/>
      <c r="L980" s="24"/>
      <c r="M980" s="27" t="str">
        <f t="shared" si="63"/>
        <v/>
      </c>
      <c r="N980" s="25"/>
      <c r="O980" s="22"/>
      <c r="P980" s="24"/>
      <c r="Q980" s="26"/>
    </row>
    <row r="981" spans="1:17" ht="15" x14ac:dyDescent="0.15">
      <c r="A981" s="22"/>
      <c r="B981" s="26" t="str">
        <f t="shared" si="60"/>
        <v/>
      </c>
      <c r="C981" s="26" t="str">
        <f t="shared" si="61"/>
        <v/>
      </c>
      <c r="D981" s="26" t="str">
        <f t="shared" si="62"/>
        <v/>
      </c>
      <c r="E981" s="29"/>
      <c r="F981" s="22"/>
      <c r="G981" s="22"/>
      <c r="H981" s="22"/>
      <c r="I981" s="24"/>
      <c r="J981" s="24"/>
      <c r="K981" s="24"/>
      <c r="L981" s="24"/>
      <c r="M981" s="27" t="str">
        <f t="shared" si="63"/>
        <v/>
      </c>
      <c r="N981" s="25"/>
      <c r="O981" s="22"/>
      <c r="P981" s="24"/>
      <c r="Q981" s="26"/>
    </row>
    <row r="982" spans="1:17" ht="15" x14ac:dyDescent="0.15">
      <c r="A982" s="22"/>
      <c r="B982" s="26" t="str">
        <f t="shared" si="60"/>
        <v/>
      </c>
      <c r="C982" s="26" t="str">
        <f t="shared" si="61"/>
        <v/>
      </c>
      <c r="D982" s="26" t="str">
        <f t="shared" si="62"/>
        <v/>
      </c>
      <c r="E982" s="29"/>
      <c r="F982" s="22"/>
      <c r="G982" s="22"/>
      <c r="H982" s="22"/>
      <c r="I982" s="24"/>
      <c r="J982" s="24"/>
      <c r="K982" s="24"/>
      <c r="L982" s="24"/>
      <c r="M982" s="27" t="str">
        <f t="shared" si="63"/>
        <v/>
      </c>
      <c r="N982" s="25"/>
      <c r="O982" s="22"/>
      <c r="P982" s="24"/>
      <c r="Q982" s="26"/>
    </row>
    <row r="983" spans="1:17" ht="15" x14ac:dyDescent="0.15">
      <c r="A983" s="22"/>
      <c r="B983" s="26" t="str">
        <f t="shared" si="60"/>
        <v/>
      </c>
      <c r="C983" s="26" t="str">
        <f t="shared" si="61"/>
        <v/>
      </c>
      <c r="D983" s="26" t="str">
        <f t="shared" si="62"/>
        <v/>
      </c>
      <c r="E983" s="29"/>
      <c r="F983" s="22"/>
      <c r="G983" s="22"/>
      <c r="H983" s="22"/>
      <c r="I983" s="24"/>
      <c r="J983" s="24"/>
      <c r="K983" s="24"/>
      <c r="L983" s="24"/>
      <c r="M983" s="27" t="str">
        <f t="shared" si="63"/>
        <v/>
      </c>
      <c r="N983" s="25"/>
      <c r="O983" s="22"/>
      <c r="P983" s="24"/>
      <c r="Q983" s="26"/>
    </row>
    <row r="984" spans="1:17" ht="15" x14ac:dyDescent="0.15">
      <c r="A984" s="22"/>
      <c r="B984" s="26" t="str">
        <f t="shared" si="60"/>
        <v/>
      </c>
      <c r="C984" s="26" t="str">
        <f t="shared" si="61"/>
        <v/>
      </c>
      <c r="D984" s="26" t="str">
        <f t="shared" si="62"/>
        <v/>
      </c>
      <c r="E984" s="29"/>
      <c r="F984" s="22"/>
      <c r="G984" s="22"/>
      <c r="H984" s="22"/>
      <c r="I984" s="24"/>
      <c r="J984" s="24"/>
      <c r="K984" s="24"/>
      <c r="L984" s="24"/>
      <c r="M984" s="27" t="str">
        <f t="shared" si="63"/>
        <v/>
      </c>
      <c r="N984" s="25"/>
      <c r="O984" s="22"/>
      <c r="P984" s="24"/>
      <c r="Q984" s="26"/>
    </row>
    <row r="985" spans="1:17" ht="15" x14ac:dyDescent="0.15">
      <c r="A985" s="22"/>
      <c r="B985" s="26" t="str">
        <f t="shared" si="60"/>
        <v/>
      </c>
      <c r="C985" s="26" t="str">
        <f t="shared" si="61"/>
        <v/>
      </c>
      <c r="D985" s="26" t="str">
        <f t="shared" si="62"/>
        <v/>
      </c>
      <c r="E985" s="29"/>
      <c r="F985" s="22"/>
      <c r="G985" s="22"/>
      <c r="H985" s="22"/>
      <c r="I985" s="24"/>
      <c r="J985" s="24"/>
      <c r="K985" s="24"/>
      <c r="L985" s="24"/>
      <c r="M985" s="27" t="str">
        <f t="shared" si="63"/>
        <v/>
      </c>
      <c r="N985" s="25"/>
      <c r="O985" s="22"/>
      <c r="P985" s="24"/>
      <c r="Q985" s="26"/>
    </row>
    <row r="986" spans="1:17" ht="15" x14ac:dyDescent="0.15">
      <c r="A986" s="22"/>
      <c r="B986" s="26" t="str">
        <f t="shared" si="60"/>
        <v/>
      </c>
      <c r="C986" s="26" t="str">
        <f t="shared" si="61"/>
        <v/>
      </c>
      <c r="D986" s="26" t="str">
        <f t="shared" si="62"/>
        <v/>
      </c>
      <c r="E986" s="29"/>
      <c r="F986" s="22"/>
      <c r="G986" s="22"/>
      <c r="H986" s="22"/>
      <c r="I986" s="24"/>
      <c r="J986" s="24"/>
      <c r="K986" s="24"/>
      <c r="L986" s="24"/>
      <c r="M986" s="27" t="str">
        <f t="shared" si="63"/>
        <v/>
      </c>
      <c r="N986" s="25"/>
      <c r="O986" s="22"/>
      <c r="P986" s="24"/>
      <c r="Q986" s="26"/>
    </row>
    <row r="987" spans="1:17" ht="15" x14ac:dyDescent="0.15">
      <c r="A987" s="22"/>
      <c r="B987" s="26" t="str">
        <f t="shared" si="60"/>
        <v/>
      </c>
      <c r="C987" s="26" t="str">
        <f t="shared" si="61"/>
        <v/>
      </c>
      <c r="D987" s="26" t="str">
        <f t="shared" si="62"/>
        <v/>
      </c>
      <c r="E987" s="29"/>
      <c r="F987" s="22"/>
      <c r="G987" s="22"/>
      <c r="H987" s="22"/>
      <c r="I987" s="24"/>
      <c r="J987" s="24"/>
      <c r="K987" s="24"/>
      <c r="L987" s="24"/>
      <c r="M987" s="27" t="str">
        <f t="shared" si="63"/>
        <v/>
      </c>
      <c r="N987" s="25"/>
      <c r="O987" s="22"/>
      <c r="P987" s="24"/>
      <c r="Q987" s="26"/>
    </row>
    <row r="988" spans="1:17" ht="15" x14ac:dyDescent="0.15">
      <c r="A988" s="22"/>
      <c r="B988" s="26" t="str">
        <f t="shared" si="60"/>
        <v/>
      </c>
      <c r="C988" s="26" t="str">
        <f t="shared" si="61"/>
        <v/>
      </c>
      <c r="D988" s="26" t="str">
        <f t="shared" si="62"/>
        <v/>
      </c>
      <c r="E988" s="29"/>
      <c r="F988" s="22"/>
      <c r="G988" s="22"/>
      <c r="H988" s="22"/>
      <c r="I988" s="24"/>
      <c r="J988" s="24"/>
      <c r="K988" s="24"/>
      <c r="L988" s="24"/>
      <c r="M988" s="27" t="str">
        <f t="shared" si="63"/>
        <v/>
      </c>
      <c r="N988" s="25"/>
      <c r="O988" s="22"/>
      <c r="P988" s="24"/>
      <c r="Q988" s="26"/>
    </row>
    <row r="989" spans="1:17" ht="15" x14ac:dyDescent="0.15">
      <c r="A989" s="22"/>
      <c r="B989" s="26" t="str">
        <f t="shared" si="60"/>
        <v/>
      </c>
      <c r="C989" s="26" t="str">
        <f t="shared" si="61"/>
        <v/>
      </c>
      <c r="D989" s="26" t="str">
        <f t="shared" si="62"/>
        <v/>
      </c>
      <c r="E989" s="29"/>
      <c r="F989" s="22"/>
      <c r="G989" s="22"/>
      <c r="H989" s="22"/>
      <c r="I989" s="24"/>
      <c r="J989" s="24"/>
      <c r="K989" s="24"/>
      <c r="L989" s="24"/>
      <c r="M989" s="27" t="str">
        <f t="shared" si="63"/>
        <v/>
      </c>
      <c r="N989" s="25"/>
      <c r="O989" s="22"/>
      <c r="P989" s="24"/>
      <c r="Q989" s="26"/>
    </row>
    <row r="990" spans="1:17" ht="15" x14ac:dyDescent="0.15">
      <c r="A990" s="22"/>
      <c r="B990" s="26" t="str">
        <f t="shared" si="60"/>
        <v/>
      </c>
      <c r="C990" s="26" t="str">
        <f t="shared" si="61"/>
        <v/>
      </c>
      <c r="D990" s="26" t="str">
        <f t="shared" si="62"/>
        <v/>
      </c>
      <c r="E990" s="29"/>
      <c r="F990" s="22"/>
      <c r="G990" s="22"/>
      <c r="H990" s="22"/>
      <c r="I990" s="24"/>
      <c r="J990" s="24"/>
      <c r="K990" s="24"/>
      <c r="L990" s="24"/>
      <c r="M990" s="27" t="str">
        <f t="shared" si="63"/>
        <v/>
      </c>
      <c r="N990" s="25"/>
      <c r="O990" s="22"/>
      <c r="P990" s="24"/>
      <c r="Q990" s="26"/>
    </row>
    <row r="991" spans="1:17" ht="15" x14ac:dyDescent="0.15">
      <c r="A991" s="22"/>
      <c r="B991" s="26" t="str">
        <f t="shared" si="60"/>
        <v/>
      </c>
      <c r="C991" s="26" t="str">
        <f t="shared" si="61"/>
        <v/>
      </c>
      <c r="D991" s="26" t="str">
        <f t="shared" si="62"/>
        <v/>
      </c>
      <c r="E991" s="29"/>
      <c r="F991" s="22"/>
      <c r="G991" s="22"/>
      <c r="H991" s="22"/>
      <c r="I991" s="24"/>
      <c r="J991" s="24"/>
      <c r="K991" s="24"/>
      <c r="L991" s="24"/>
      <c r="M991" s="27" t="str">
        <f t="shared" si="63"/>
        <v/>
      </c>
      <c r="N991" s="25"/>
      <c r="O991" s="22"/>
      <c r="P991" s="24"/>
      <c r="Q991" s="26"/>
    </row>
    <row r="992" spans="1:17" ht="15" x14ac:dyDescent="0.15">
      <c r="A992" s="22"/>
      <c r="B992" s="26" t="str">
        <f t="shared" si="60"/>
        <v/>
      </c>
      <c r="C992" s="26" t="str">
        <f t="shared" si="61"/>
        <v/>
      </c>
      <c r="D992" s="26" t="str">
        <f t="shared" si="62"/>
        <v/>
      </c>
      <c r="E992" s="29"/>
      <c r="F992" s="22"/>
      <c r="G992" s="22"/>
      <c r="H992" s="22"/>
      <c r="I992" s="24"/>
      <c r="J992" s="24"/>
      <c r="K992" s="24"/>
      <c r="L992" s="24"/>
      <c r="M992" s="27" t="str">
        <f t="shared" si="63"/>
        <v/>
      </c>
      <c r="N992" s="25"/>
      <c r="O992" s="22"/>
      <c r="P992" s="24"/>
      <c r="Q992" s="26"/>
    </row>
    <row r="993" spans="1:17" ht="15" x14ac:dyDescent="0.15">
      <c r="A993" s="22"/>
      <c r="B993" s="26" t="str">
        <f t="shared" si="60"/>
        <v/>
      </c>
      <c r="C993" s="26" t="str">
        <f t="shared" si="61"/>
        <v/>
      </c>
      <c r="D993" s="26" t="str">
        <f t="shared" si="62"/>
        <v/>
      </c>
      <c r="E993" s="29"/>
      <c r="F993" s="22"/>
      <c r="G993" s="22"/>
      <c r="H993" s="22"/>
      <c r="I993" s="24"/>
      <c r="J993" s="24"/>
      <c r="K993" s="24"/>
      <c r="L993" s="24"/>
      <c r="M993" s="27" t="str">
        <f t="shared" si="63"/>
        <v/>
      </c>
      <c r="N993" s="25"/>
      <c r="O993" s="22"/>
      <c r="P993" s="24"/>
      <c r="Q993" s="26"/>
    </row>
    <row r="994" spans="1:17" ht="15" x14ac:dyDescent="0.15">
      <c r="A994" s="22"/>
      <c r="B994" s="26" t="str">
        <f t="shared" si="60"/>
        <v/>
      </c>
      <c r="C994" s="26" t="str">
        <f t="shared" si="61"/>
        <v/>
      </c>
      <c r="D994" s="26" t="str">
        <f t="shared" si="62"/>
        <v/>
      </c>
      <c r="E994" s="29"/>
      <c r="F994" s="22"/>
      <c r="G994" s="22"/>
      <c r="H994" s="22"/>
      <c r="I994" s="24"/>
      <c r="J994" s="24"/>
      <c r="K994" s="24"/>
      <c r="L994" s="24"/>
      <c r="M994" s="27" t="str">
        <f t="shared" si="63"/>
        <v/>
      </c>
      <c r="N994" s="25"/>
      <c r="O994" s="22"/>
      <c r="P994" s="24"/>
      <c r="Q994" s="26"/>
    </row>
    <row r="995" spans="1:17" ht="15" x14ac:dyDescent="0.15">
      <c r="A995" s="22"/>
      <c r="B995" s="26" t="str">
        <f t="shared" si="60"/>
        <v/>
      </c>
      <c r="C995" s="26" t="str">
        <f t="shared" si="61"/>
        <v/>
      </c>
      <c r="D995" s="26" t="str">
        <f t="shared" si="62"/>
        <v/>
      </c>
      <c r="E995" s="29"/>
      <c r="F995" s="22"/>
      <c r="G995" s="22"/>
      <c r="H995" s="22"/>
      <c r="I995" s="24"/>
      <c r="J995" s="24"/>
      <c r="K995" s="24"/>
      <c r="L995" s="24"/>
      <c r="M995" s="27" t="str">
        <f t="shared" si="63"/>
        <v/>
      </c>
      <c r="N995" s="25"/>
      <c r="O995" s="22"/>
      <c r="P995" s="24"/>
      <c r="Q995" s="26"/>
    </row>
    <row r="996" spans="1:17" ht="15" x14ac:dyDescent="0.15">
      <c r="A996" s="22"/>
      <c r="B996" s="26" t="str">
        <f t="shared" si="60"/>
        <v/>
      </c>
      <c r="C996" s="26" t="str">
        <f t="shared" si="61"/>
        <v/>
      </c>
      <c r="D996" s="26" t="str">
        <f t="shared" si="62"/>
        <v/>
      </c>
      <c r="E996" s="29"/>
      <c r="F996" s="22"/>
      <c r="G996" s="22"/>
      <c r="H996" s="22"/>
      <c r="I996" s="24"/>
      <c r="J996" s="24"/>
      <c r="K996" s="24"/>
      <c r="L996" s="24"/>
      <c r="M996" s="27" t="str">
        <f t="shared" si="63"/>
        <v/>
      </c>
      <c r="N996" s="25"/>
      <c r="O996" s="22"/>
      <c r="P996" s="24"/>
      <c r="Q996" s="26"/>
    </row>
    <row r="997" spans="1:17" ht="15" x14ac:dyDescent="0.15">
      <c r="A997" s="22"/>
      <c r="B997" s="26" t="str">
        <f t="shared" si="60"/>
        <v/>
      </c>
      <c r="C997" s="26" t="str">
        <f t="shared" si="61"/>
        <v/>
      </c>
      <c r="D997" s="26" t="str">
        <f t="shared" si="62"/>
        <v/>
      </c>
      <c r="E997" s="29"/>
      <c r="F997" s="22"/>
      <c r="G997" s="22"/>
      <c r="H997" s="22"/>
      <c r="I997" s="24"/>
      <c r="J997" s="24"/>
      <c r="K997" s="24"/>
      <c r="L997" s="24"/>
      <c r="M997" s="27" t="str">
        <f t="shared" si="63"/>
        <v/>
      </c>
      <c r="N997" s="25"/>
      <c r="O997" s="22"/>
      <c r="P997" s="24"/>
      <c r="Q997" s="26"/>
    </row>
    <row r="998" spans="1:17" ht="15" x14ac:dyDescent="0.15">
      <c r="A998" s="22"/>
      <c r="B998" s="26" t="str">
        <f t="shared" si="60"/>
        <v/>
      </c>
      <c r="C998" s="26" t="str">
        <f t="shared" si="61"/>
        <v/>
      </c>
      <c r="D998" s="26" t="str">
        <f t="shared" si="62"/>
        <v/>
      </c>
      <c r="E998" s="29"/>
      <c r="F998" s="22"/>
      <c r="G998" s="22"/>
      <c r="H998" s="22"/>
      <c r="I998" s="24"/>
      <c r="J998" s="24"/>
      <c r="K998" s="24"/>
      <c r="L998" s="24"/>
      <c r="M998" s="27" t="str">
        <f t="shared" si="63"/>
        <v/>
      </c>
      <c r="N998" s="25"/>
      <c r="O998" s="22"/>
      <c r="P998" s="24"/>
      <c r="Q998" s="26"/>
    </row>
    <row r="999" spans="1:17" ht="15" x14ac:dyDescent="0.15">
      <c r="A999" s="22"/>
      <c r="B999" s="26" t="str">
        <f t="shared" si="60"/>
        <v/>
      </c>
      <c r="C999" s="26" t="str">
        <f t="shared" si="61"/>
        <v/>
      </c>
      <c r="D999" s="26" t="str">
        <f t="shared" si="62"/>
        <v/>
      </c>
      <c r="E999" s="29"/>
      <c r="F999" s="22"/>
      <c r="G999" s="22"/>
      <c r="H999" s="22"/>
      <c r="I999" s="24"/>
      <c r="J999" s="24"/>
      <c r="K999" s="24"/>
      <c r="L999" s="24"/>
      <c r="M999" s="27" t="str">
        <f t="shared" si="63"/>
        <v/>
      </c>
      <c r="N999" s="25"/>
      <c r="O999" s="22"/>
      <c r="P999" s="24"/>
      <c r="Q999" s="26"/>
    </row>
    <row r="1000" spans="1:17" ht="15" x14ac:dyDescent="0.15">
      <c r="A1000" s="22"/>
      <c r="B1000" s="26" t="str">
        <f t="shared" si="60"/>
        <v/>
      </c>
      <c r="C1000" s="26" t="str">
        <f t="shared" si="61"/>
        <v/>
      </c>
      <c r="D1000" s="26" t="str">
        <f t="shared" si="62"/>
        <v/>
      </c>
      <c r="E1000" s="29"/>
      <c r="F1000" s="22"/>
      <c r="G1000" s="22"/>
      <c r="H1000" s="22"/>
      <c r="I1000" s="24"/>
      <c r="J1000" s="24"/>
      <c r="K1000" s="24"/>
      <c r="L1000" s="24"/>
      <c r="M1000" s="27" t="str">
        <f t="shared" si="63"/>
        <v/>
      </c>
      <c r="N1000" s="25"/>
      <c r="O1000" s="22"/>
      <c r="P1000" s="24"/>
      <c r="Q1000" s="26"/>
    </row>
    <row r="1001" spans="1:17" ht="15" x14ac:dyDescent="0.15">
      <c r="A1001" s="22"/>
      <c r="B1001" s="26" t="str">
        <f t="shared" si="60"/>
        <v/>
      </c>
      <c r="C1001" s="26" t="str">
        <f t="shared" si="61"/>
        <v/>
      </c>
      <c r="D1001" s="26" t="str">
        <f t="shared" si="62"/>
        <v/>
      </c>
      <c r="E1001" s="29"/>
      <c r="F1001" s="22"/>
      <c r="G1001" s="22"/>
      <c r="H1001" s="22"/>
      <c r="I1001" s="24"/>
      <c r="J1001" s="24"/>
      <c r="K1001" s="24"/>
      <c r="L1001" s="24"/>
      <c r="M1001" s="27" t="str">
        <f t="shared" si="63"/>
        <v/>
      </c>
      <c r="N1001" s="25"/>
      <c r="O1001" s="22"/>
      <c r="P1001" s="24"/>
      <c r="Q1001" s="26"/>
    </row>
    <row r="1002" spans="1:17" ht="15" x14ac:dyDescent="0.15">
      <c r="A1002" s="22"/>
      <c r="B1002" s="26" t="str">
        <f t="shared" si="60"/>
        <v/>
      </c>
      <c r="C1002" s="26" t="str">
        <f t="shared" si="61"/>
        <v/>
      </c>
      <c r="D1002" s="26" t="str">
        <f t="shared" si="62"/>
        <v/>
      </c>
      <c r="E1002" s="29"/>
      <c r="F1002" s="22"/>
      <c r="G1002" s="22"/>
      <c r="H1002" s="22"/>
      <c r="I1002" s="24"/>
      <c r="J1002" s="24"/>
      <c r="K1002" s="24"/>
      <c r="L1002" s="24"/>
      <c r="M1002" s="27" t="str">
        <f t="shared" si="63"/>
        <v/>
      </c>
      <c r="N1002" s="25"/>
      <c r="O1002" s="22"/>
      <c r="P1002" s="24"/>
      <c r="Q1002" s="26"/>
    </row>
    <row r="1003" spans="1:17" ht="15" x14ac:dyDescent="0.15">
      <c r="A1003" s="22"/>
      <c r="B1003" s="26" t="str">
        <f t="shared" si="60"/>
        <v/>
      </c>
      <c r="C1003" s="26" t="str">
        <f t="shared" si="61"/>
        <v/>
      </c>
      <c r="D1003" s="26" t="str">
        <f t="shared" si="62"/>
        <v/>
      </c>
      <c r="E1003" s="29"/>
      <c r="F1003" s="22"/>
      <c r="G1003" s="22"/>
      <c r="H1003" s="22"/>
      <c r="I1003" s="24"/>
      <c r="J1003" s="24"/>
      <c r="K1003" s="24"/>
      <c r="L1003" s="24"/>
      <c r="M1003" s="27" t="str">
        <f t="shared" si="63"/>
        <v/>
      </c>
      <c r="N1003" s="25"/>
      <c r="O1003" s="22"/>
      <c r="P1003" s="24"/>
      <c r="Q1003" s="26"/>
    </row>
    <row r="1004" spans="1:17" ht="15" x14ac:dyDescent="0.15">
      <c r="A1004" s="22"/>
      <c r="B1004" s="26" t="str">
        <f t="shared" si="60"/>
        <v/>
      </c>
      <c r="C1004" s="26" t="str">
        <f t="shared" si="61"/>
        <v/>
      </c>
      <c r="D1004" s="26" t="str">
        <f t="shared" si="62"/>
        <v/>
      </c>
      <c r="E1004" s="29"/>
      <c r="F1004" s="22"/>
      <c r="G1004" s="22"/>
      <c r="H1004" s="22"/>
      <c r="I1004" s="24"/>
      <c r="J1004" s="24"/>
      <c r="K1004" s="24"/>
      <c r="L1004" s="24"/>
      <c r="M1004" s="27" t="str">
        <f t="shared" si="63"/>
        <v/>
      </c>
      <c r="N1004" s="25"/>
      <c r="O1004" s="22"/>
      <c r="P1004" s="24"/>
      <c r="Q1004" s="26"/>
    </row>
    <row r="1005" spans="1:17" ht="15" x14ac:dyDescent="0.15">
      <c r="A1005" s="22"/>
      <c r="B1005" s="26" t="str">
        <f t="shared" si="60"/>
        <v/>
      </c>
      <c r="C1005" s="26" t="str">
        <f t="shared" si="61"/>
        <v/>
      </c>
      <c r="D1005" s="26" t="str">
        <f t="shared" si="62"/>
        <v/>
      </c>
      <c r="E1005" s="29"/>
      <c r="F1005" s="22"/>
      <c r="G1005" s="22"/>
      <c r="H1005" s="22"/>
      <c r="I1005" s="24"/>
      <c r="J1005" s="24"/>
      <c r="K1005" s="24"/>
      <c r="L1005" s="24"/>
      <c r="M1005" s="27" t="str">
        <f t="shared" si="63"/>
        <v/>
      </c>
      <c r="N1005" s="25"/>
      <c r="O1005" s="22"/>
      <c r="P1005" s="24"/>
      <c r="Q1005" s="26"/>
    </row>
    <row r="1006" spans="1:17" ht="15" x14ac:dyDescent="0.15">
      <c r="A1006" s="22"/>
      <c r="B1006" s="26" t="str">
        <f t="shared" si="60"/>
        <v/>
      </c>
      <c r="C1006" s="26" t="str">
        <f t="shared" si="61"/>
        <v/>
      </c>
      <c r="D1006" s="26" t="str">
        <f t="shared" si="62"/>
        <v/>
      </c>
      <c r="E1006" s="29"/>
      <c r="F1006" s="22"/>
      <c r="G1006" s="22"/>
      <c r="H1006" s="22"/>
      <c r="I1006" s="24"/>
      <c r="J1006" s="24"/>
      <c r="K1006" s="24"/>
      <c r="L1006" s="24"/>
      <c r="M1006" s="27" t="str">
        <f t="shared" si="63"/>
        <v/>
      </c>
      <c r="N1006" s="25"/>
      <c r="O1006" s="22"/>
      <c r="P1006" s="24"/>
      <c r="Q1006" s="26"/>
    </row>
    <row r="1007" spans="1:17" ht="15" x14ac:dyDescent="0.15">
      <c r="A1007" s="22"/>
      <c r="B1007" s="26" t="str">
        <f t="shared" si="60"/>
        <v/>
      </c>
      <c r="C1007" s="26" t="str">
        <f t="shared" si="61"/>
        <v/>
      </c>
      <c r="D1007" s="26" t="str">
        <f t="shared" si="62"/>
        <v/>
      </c>
      <c r="E1007" s="29"/>
      <c r="F1007" s="22"/>
      <c r="G1007" s="22"/>
      <c r="H1007" s="22"/>
      <c r="I1007" s="24"/>
      <c r="J1007" s="24"/>
      <c r="K1007" s="24"/>
      <c r="L1007" s="24"/>
      <c r="M1007" s="27" t="str">
        <f t="shared" si="63"/>
        <v/>
      </c>
      <c r="N1007" s="25"/>
      <c r="O1007" s="22"/>
      <c r="P1007" s="24"/>
      <c r="Q1007" s="26"/>
    </row>
    <row r="1008" spans="1:17" ht="15" x14ac:dyDescent="0.15">
      <c r="A1008" s="22"/>
      <c r="B1008" s="26" t="str">
        <f t="shared" si="60"/>
        <v/>
      </c>
      <c r="C1008" s="26" t="str">
        <f t="shared" si="61"/>
        <v/>
      </c>
      <c r="D1008" s="26" t="str">
        <f t="shared" si="62"/>
        <v/>
      </c>
      <c r="E1008" s="29"/>
      <c r="F1008" s="22"/>
      <c r="G1008" s="22"/>
      <c r="H1008" s="22"/>
      <c r="I1008" s="24"/>
      <c r="J1008" s="24"/>
      <c r="K1008" s="24"/>
      <c r="L1008" s="24"/>
      <c r="M1008" s="27" t="str">
        <f t="shared" si="63"/>
        <v/>
      </c>
      <c r="N1008" s="25"/>
      <c r="O1008" s="22"/>
      <c r="P1008" s="24"/>
      <c r="Q1008" s="26"/>
    </row>
    <row r="1009" spans="1:17" ht="15" x14ac:dyDescent="0.15">
      <c r="A1009" s="22"/>
      <c r="B1009" s="26" t="str">
        <f t="shared" si="60"/>
        <v/>
      </c>
      <c r="C1009" s="26" t="str">
        <f t="shared" si="61"/>
        <v/>
      </c>
      <c r="D1009" s="26" t="str">
        <f t="shared" si="62"/>
        <v/>
      </c>
      <c r="E1009" s="29"/>
      <c r="F1009" s="22"/>
      <c r="G1009" s="22"/>
      <c r="H1009" s="22"/>
      <c r="I1009" s="24"/>
      <c r="J1009" s="24"/>
      <c r="K1009" s="24"/>
      <c r="L1009" s="24"/>
      <c r="M1009" s="27" t="str">
        <f t="shared" si="63"/>
        <v/>
      </c>
      <c r="N1009" s="25"/>
      <c r="O1009" s="22"/>
      <c r="P1009" s="24"/>
      <c r="Q1009" s="26"/>
    </row>
    <row r="1010" spans="1:17" ht="15" x14ac:dyDescent="0.15">
      <c r="A1010" s="22"/>
      <c r="B1010" s="26" t="str">
        <f t="shared" si="60"/>
        <v/>
      </c>
      <c r="C1010" s="26" t="str">
        <f t="shared" si="61"/>
        <v/>
      </c>
      <c r="D1010" s="26" t="str">
        <f t="shared" si="62"/>
        <v/>
      </c>
      <c r="E1010" s="29"/>
      <c r="F1010" s="22"/>
      <c r="G1010" s="22"/>
      <c r="H1010" s="22"/>
      <c r="I1010" s="24"/>
      <c r="J1010" s="24"/>
      <c r="K1010" s="24"/>
      <c r="L1010" s="24"/>
      <c r="M1010" s="27" t="str">
        <f t="shared" si="63"/>
        <v/>
      </c>
      <c r="N1010" s="25"/>
      <c r="O1010" s="22"/>
      <c r="P1010" s="24"/>
      <c r="Q1010" s="26"/>
    </row>
    <row r="1011" spans="1:17" ht="15" x14ac:dyDescent="0.15">
      <c r="A1011" s="22"/>
      <c r="B1011" s="26" t="str">
        <f t="shared" si="60"/>
        <v/>
      </c>
      <c r="C1011" s="26" t="str">
        <f t="shared" si="61"/>
        <v/>
      </c>
      <c r="D1011" s="26" t="str">
        <f t="shared" si="62"/>
        <v/>
      </c>
      <c r="E1011" s="29"/>
      <c r="F1011" s="22"/>
      <c r="G1011" s="22"/>
      <c r="H1011" s="22"/>
      <c r="I1011" s="24"/>
      <c r="J1011" s="24"/>
      <c r="K1011" s="24"/>
      <c r="L1011" s="24"/>
      <c r="M1011" s="27" t="str">
        <f t="shared" si="63"/>
        <v/>
      </c>
      <c r="N1011" s="25"/>
      <c r="O1011" s="22"/>
      <c r="P1011" s="24"/>
      <c r="Q1011" s="26"/>
    </row>
    <row r="1012" spans="1:17" ht="15" x14ac:dyDescent="0.15">
      <c r="A1012" s="22"/>
      <c r="B1012" s="26" t="str">
        <f t="shared" si="60"/>
        <v/>
      </c>
      <c r="C1012" s="26" t="str">
        <f t="shared" si="61"/>
        <v/>
      </c>
      <c r="D1012" s="26" t="str">
        <f t="shared" si="62"/>
        <v/>
      </c>
      <c r="E1012" s="29"/>
      <c r="F1012" s="22"/>
      <c r="G1012" s="22"/>
      <c r="H1012" s="22"/>
      <c r="I1012" s="24"/>
      <c r="J1012" s="24"/>
      <c r="K1012" s="24"/>
      <c r="L1012" s="24"/>
      <c r="M1012" s="27" t="str">
        <f t="shared" si="63"/>
        <v/>
      </c>
      <c r="N1012" s="25"/>
      <c r="O1012" s="22"/>
      <c r="P1012" s="24"/>
      <c r="Q1012" s="26"/>
    </row>
    <row r="1013" spans="1:17" ht="15" x14ac:dyDescent="0.15">
      <c r="A1013" s="22"/>
      <c r="B1013" s="26" t="str">
        <f t="shared" si="60"/>
        <v/>
      </c>
      <c r="C1013" s="26" t="str">
        <f t="shared" si="61"/>
        <v/>
      </c>
      <c r="D1013" s="26" t="str">
        <f t="shared" si="62"/>
        <v/>
      </c>
      <c r="E1013" s="29"/>
      <c r="F1013" s="22"/>
      <c r="G1013" s="22"/>
      <c r="H1013" s="22"/>
      <c r="I1013" s="24"/>
      <c r="J1013" s="24"/>
      <c r="K1013" s="24"/>
      <c r="L1013" s="24"/>
      <c r="M1013" s="27" t="str">
        <f t="shared" si="63"/>
        <v/>
      </c>
      <c r="N1013" s="25"/>
      <c r="O1013" s="22"/>
      <c r="P1013" s="24"/>
      <c r="Q1013" s="26"/>
    </row>
    <row r="1014" spans="1:17" ht="15" x14ac:dyDescent="0.15">
      <c r="A1014" s="22"/>
      <c r="B1014" s="26" t="str">
        <f t="shared" si="60"/>
        <v/>
      </c>
      <c r="C1014" s="26" t="str">
        <f t="shared" si="61"/>
        <v/>
      </c>
      <c r="D1014" s="26" t="str">
        <f t="shared" si="62"/>
        <v/>
      </c>
      <c r="E1014" s="29"/>
      <c r="F1014" s="22"/>
      <c r="G1014" s="22"/>
      <c r="H1014" s="22"/>
      <c r="I1014" s="24"/>
      <c r="J1014" s="24"/>
      <c r="K1014" s="24"/>
      <c r="L1014" s="24"/>
      <c r="M1014" s="27" t="str">
        <f t="shared" si="63"/>
        <v/>
      </c>
      <c r="N1014" s="25"/>
      <c r="O1014" s="22"/>
      <c r="P1014" s="24"/>
      <c r="Q1014" s="26"/>
    </row>
    <row r="1015" spans="1:17" ht="15" x14ac:dyDescent="0.15">
      <c r="A1015" s="22"/>
      <c r="B1015" s="26" t="str">
        <f t="shared" si="60"/>
        <v/>
      </c>
      <c r="C1015" s="26" t="str">
        <f t="shared" si="61"/>
        <v/>
      </c>
      <c r="D1015" s="26" t="str">
        <f t="shared" si="62"/>
        <v/>
      </c>
      <c r="E1015" s="29"/>
      <c r="F1015" s="22"/>
      <c r="G1015" s="22"/>
      <c r="H1015" s="22"/>
      <c r="I1015" s="24"/>
      <c r="J1015" s="24"/>
      <c r="K1015" s="24"/>
      <c r="L1015" s="24"/>
      <c r="M1015" s="27" t="str">
        <f t="shared" si="63"/>
        <v/>
      </c>
      <c r="N1015" s="25"/>
      <c r="O1015" s="22"/>
      <c r="P1015" s="24"/>
      <c r="Q1015" s="26"/>
    </row>
    <row r="1016" spans="1:17" ht="15" x14ac:dyDescent="0.15">
      <c r="A1016" s="22"/>
      <c r="B1016" s="26" t="str">
        <f t="shared" si="60"/>
        <v/>
      </c>
      <c r="C1016" s="26" t="str">
        <f t="shared" si="61"/>
        <v/>
      </c>
      <c r="D1016" s="26" t="str">
        <f t="shared" si="62"/>
        <v/>
      </c>
      <c r="E1016" s="29"/>
      <c r="F1016" s="22"/>
      <c r="G1016" s="22"/>
      <c r="H1016" s="22"/>
      <c r="I1016" s="24"/>
      <c r="J1016" s="24"/>
      <c r="K1016" s="24"/>
      <c r="L1016" s="24"/>
      <c r="M1016" s="27" t="str">
        <f t="shared" si="63"/>
        <v/>
      </c>
      <c r="N1016" s="25"/>
      <c r="O1016" s="22"/>
      <c r="P1016" s="24"/>
      <c r="Q1016" s="26"/>
    </row>
    <row r="1017" spans="1:17" ht="15" x14ac:dyDescent="0.15">
      <c r="A1017" s="22"/>
      <c r="B1017" s="26" t="str">
        <f t="shared" si="60"/>
        <v/>
      </c>
      <c r="C1017" s="26" t="str">
        <f t="shared" si="61"/>
        <v/>
      </c>
      <c r="D1017" s="26" t="str">
        <f t="shared" si="62"/>
        <v/>
      </c>
      <c r="E1017" s="29"/>
      <c r="F1017" s="22"/>
      <c r="G1017" s="22"/>
      <c r="H1017" s="22"/>
      <c r="I1017" s="24"/>
      <c r="J1017" s="24"/>
      <c r="K1017" s="24"/>
      <c r="L1017" s="24"/>
      <c r="M1017" s="27" t="str">
        <f t="shared" si="63"/>
        <v/>
      </c>
      <c r="N1017" s="25"/>
      <c r="O1017" s="22"/>
      <c r="P1017" s="24"/>
      <c r="Q1017" s="26"/>
    </row>
    <row r="1018" spans="1:17" ht="15" x14ac:dyDescent="0.15">
      <c r="A1018" s="22"/>
      <c r="B1018" s="26" t="str">
        <f t="shared" si="60"/>
        <v/>
      </c>
      <c r="C1018" s="26" t="str">
        <f t="shared" si="61"/>
        <v/>
      </c>
      <c r="D1018" s="26" t="str">
        <f t="shared" si="62"/>
        <v/>
      </c>
      <c r="E1018" s="29"/>
      <c r="F1018" s="22"/>
      <c r="G1018" s="22"/>
      <c r="H1018" s="22"/>
      <c r="I1018" s="24"/>
      <c r="J1018" s="24"/>
      <c r="K1018" s="24"/>
      <c r="L1018" s="24"/>
      <c r="M1018" s="27" t="str">
        <f t="shared" si="63"/>
        <v/>
      </c>
      <c r="N1018" s="25"/>
      <c r="O1018" s="22"/>
      <c r="P1018" s="24"/>
      <c r="Q1018" s="26"/>
    </row>
    <row r="1019" spans="1:17" ht="15" x14ac:dyDescent="0.15">
      <c r="A1019" s="22"/>
      <c r="B1019" s="26" t="str">
        <f t="shared" si="60"/>
        <v/>
      </c>
      <c r="C1019" s="26" t="str">
        <f t="shared" si="61"/>
        <v/>
      </c>
      <c r="D1019" s="26" t="str">
        <f t="shared" si="62"/>
        <v/>
      </c>
      <c r="E1019" s="29"/>
      <c r="F1019" s="22"/>
      <c r="G1019" s="22"/>
      <c r="H1019" s="22"/>
      <c r="I1019" s="24"/>
      <c r="J1019" s="24"/>
      <c r="K1019" s="24"/>
      <c r="L1019" s="24"/>
      <c r="M1019" s="27" t="str">
        <f t="shared" si="63"/>
        <v/>
      </c>
      <c r="N1019" s="25"/>
      <c r="O1019" s="22"/>
      <c r="P1019" s="24"/>
      <c r="Q1019" s="26"/>
    </row>
    <row r="1020" spans="1:17" ht="15" x14ac:dyDescent="0.15">
      <c r="A1020" s="22"/>
      <c r="B1020" s="26" t="str">
        <f t="shared" si="60"/>
        <v/>
      </c>
      <c r="C1020" s="26" t="str">
        <f t="shared" si="61"/>
        <v/>
      </c>
      <c r="D1020" s="26" t="str">
        <f t="shared" si="62"/>
        <v/>
      </c>
      <c r="E1020" s="29"/>
      <c r="F1020" s="22"/>
      <c r="G1020" s="22"/>
      <c r="H1020" s="22"/>
      <c r="I1020" s="24"/>
      <c r="J1020" s="24"/>
      <c r="K1020" s="24"/>
      <c r="L1020" s="24"/>
      <c r="M1020" s="27" t="str">
        <f t="shared" si="63"/>
        <v/>
      </c>
      <c r="N1020" s="25"/>
      <c r="O1020" s="22"/>
      <c r="P1020" s="24"/>
      <c r="Q1020" s="26"/>
    </row>
    <row r="1021" spans="1:17" ht="15" x14ac:dyDescent="0.15">
      <c r="A1021" s="22"/>
      <c r="B1021" s="26" t="str">
        <f t="shared" si="60"/>
        <v/>
      </c>
      <c r="C1021" s="26" t="str">
        <f t="shared" si="61"/>
        <v/>
      </c>
      <c r="D1021" s="26" t="str">
        <f t="shared" si="62"/>
        <v/>
      </c>
      <c r="E1021" s="29"/>
      <c r="F1021" s="22"/>
      <c r="G1021" s="22"/>
      <c r="H1021" s="22"/>
      <c r="I1021" s="24"/>
      <c r="J1021" s="24"/>
      <c r="K1021" s="24"/>
      <c r="L1021" s="24"/>
      <c r="M1021" s="27" t="str">
        <f t="shared" si="63"/>
        <v/>
      </c>
      <c r="N1021" s="25"/>
      <c r="O1021" s="22"/>
      <c r="P1021" s="24"/>
      <c r="Q1021" s="26"/>
    </row>
    <row r="1022" spans="1:17" ht="15" x14ac:dyDescent="0.15">
      <c r="A1022" s="22"/>
      <c r="B1022" s="26" t="str">
        <f t="shared" si="60"/>
        <v/>
      </c>
      <c r="C1022" s="26" t="str">
        <f t="shared" si="61"/>
        <v/>
      </c>
      <c r="D1022" s="26" t="str">
        <f t="shared" si="62"/>
        <v/>
      </c>
      <c r="E1022" s="29"/>
      <c r="F1022" s="22"/>
      <c r="G1022" s="22"/>
      <c r="H1022" s="22"/>
      <c r="I1022" s="24"/>
      <c r="J1022" s="24"/>
      <c r="K1022" s="24"/>
      <c r="L1022" s="24"/>
      <c r="M1022" s="27" t="str">
        <f t="shared" si="63"/>
        <v/>
      </c>
      <c r="N1022" s="25"/>
      <c r="O1022" s="22"/>
      <c r="P1022" s="24"/>
      <c r="Q1022" s="26"/>
    </row>
    <row r="1023" spans="1:17" ht="15" x14ac:dyDescent="0.15">
      <c r="A1023" s="22"/>
      <c r="B1023" s="26" t="str">
        <f t="shared" si="60"/>
        <v/>
      </c>
      <c r="C1023" s="26" t="str">
        <f t="shared" si="61"/>
        <v/>
      </c>
      <c r="D1023" s="26" t="str">
        <f t="shared" si="62"/>
        <v/>
      </c>
      <c r="E1023" s="29"/>
      <c r="F1023" s="22"/>
      <c r="G1023" s="22"/>
      <c r="H1023" s="22"/>
      <c r="I1023" s="24"/>
      <c r="J1023" s="24"/>
      <c r="K1023" s="24"/>
      <c r="L1023" s="24"/>
      <c r="M1023" s="27" t="str">
        <f t="shared" si="63"/>
        <v/>
      </c>
      <c r="N1023" s="25"/>
      <c r="O1023" s="22"/>
      <c r="P1023" s="24"/>
      <c r="Q1023" s="26"/>
    </row>
    <row r="1024" spans="1:17" ht="15" x14ac:dyDescent="0.15">
      <c r="A1024" s="22"/>
      <c r="B1024" s="26" t="str">
        <f t="shared" si="60"/>
        <v/>
      </c>
      <c r="C1024" s="26" t="str">
        <f t="shared" si="61"/>
        <v/>
      </c>
      <c r="D1024" s="26" t="str">
        <f t="shared" si="62"/>
        <v/>
      </c>
      <c r="E1024" s="29"/>
      <c r="F1024" s="22"/>
      <c r="G1024" s="22"/>
      <c r="H1024" s="22"/>
      <c r="I1024" s="24"/>
      <c r="J1024" s="24"/>
      <c r="K1024" s="24"/>
      <c r="L1024" s="24"/>
      <c r="M1024" s="27" t="str">
        <f t="shared" si="63"/>
        <v/>
      </c>
      <c r="N1024" s="25"/>
      <c r="O1024" s="22"/>
      <c r="P1024" s="24"/>
      <c r="Q1024" s="26"/>
    </row>
    <row r="1025" spans="1:17" ht="15" x14ac:dyDescent="0.15">
      <c r="A1025" s="22"/>
      <c r="B1025" s="26" t="str">
        <f t="shared" si="60"/>
        <v/>
      </c>
      <c r="C1025" s="26" t="str">
        <f t="shared" si="61"/>
        <v/>
      </c>
      <c r="D1025" s="26" t="str">
        <f t="shared" si="62"/>
        <v/>
      </c>
      <c r="E1025" s="29"/>
      <c r="F1025" s="22"/>
      <c r="G1025" s="22"/>
      <c r="H1025" s="22"/>
      <c r="I1025" s="24"/>
      <c r="J1025" s="24"/>
      <c r="K1025" s="24"/>
      <c r="L1025" s="24"/>
      <c r="M1025" s="27" t="str">
        <f t="shared" si="63"/>
        <v/>
      </c>
      <c r="N1025" s="25"/>
      <c r="O1025" s="22"/>
      <c r="P1025" s="24"/>
      <c r="Q1025" s="26"/>
    </row>
    <row r="1026" spans="1:17" ht="15" x14ac:dyDescent="0.15">
      <c r="A1026" s="22"/>
      <c r="B1026" s="26" t="str">
        <f t="shared" si="60"/>
        <v/>
      </c>
      <c r="C1026" s="26" t="str">
        <f t="shared" si="61"/>
        <v/>
      </c>
      <c r="D1026" s="26" t="str">
        <f t="shared" si="62"/>
        <v/>
      </c>
      <c r="E1026" s="29"/>
      <c r="F1026" s="22"/>
      <c r="G1026" s="22"/>
      <c r="H1026" s="22"/>
      <c r="I1026" s="24"/>
      <c r="J1026" s="24"/>
      <c r="K1026" s="24"/>
      <c r="L1026" s="24"/>
      <c r="M1026" s="27" t="str">
        <f t="shared" si="63"/>
        <v/>
      </c>
      <c r="N1026" s="25"/>
      <c r="O1026" s="22"/>
      <c r="P1026" s="24"/>
      <c r="Q1026" s="26"/>
    </row>
    <row r="1027" spans="1:17" ht="15" x14ac:dyDescent="0.15">
      <c r="A1027" s="22"/>
      <c r="B1027" s="26" t="str">
        <f t="shared" si="60"/>
        <v/>
      </c>
      <c r="C1027" s="26" t="str">
        <f t="shared" si="61"/>
        <v/>
      </c>
      <c r="D1027" s="26" t="str">
        <f t="shared" si="62"/>
        <v/>
      </c>
      <c r="E1027" s="29"/>
      <c r="F1027" s="22"/>
      <c r="G1027" s="22"/>
      <c r="H1027" s="22"/>
      <c r="I1027" s="24"/>
      <c r="J1027" s="24"/>
      <c r="K1027" s="24"/>
      <c r="L1027" s="24"/>
      <c r="M1027" s="27" t="str">
        <f t="shared" si="63"/>
        <v/>
      </c>
      <c r="N1027" s="25"/>
      <c r="O1027" s="22"/>
      <c r="P1027" s="24"/>
      <c r="Q1027" s="26"/>
    </row>
    <row r="1028" spans="1:17" ht="15" x14ac:dyDescent="0.15">
      <c r="A1028" s="22"/>
      <c r="B1028" s="26" t="str">
        <f t="shared" si="60"/>
        <v/>
      </c>
      <c r="C1028" s="26" t="str">
        <f t="shared" si="61"/>
        <v/>
      </c>
      <c r="D1028" s="26" t="str">
        <f t="shared" si="62"/>
        <v/>
      </c>
      <c r="E1028" s="29"/>
      <c r="F1028" s="22"/>
      <c r="G1028" s="22"/>
      <c r="H1028" s="22"/>
      <c r="I1028" s="24"/>
      <c r="J1028" s="24"/>
      <c r="K1028" s="24"/>
      <c r="L1028" s="24"/>
      <c r="M1028" s="27" t="str">
        <f t="shared" si="63"/>
        <v/>
      </c>
      <c r="N1028" s="25"/>
      <c r="O1028" s="22"/>
      <c r="P1028" s="24"/>
      <c r="Q1028" s="26"/>
    </row>
    <row r="1029" spans="1:17" ht="15" x14ac:dyDescent="0.15">
      <c r="A1029" s="22"/>
      <c r="B1029" s="26" t="str">
        <f t="shared" si="60"/>
        <v/>
      </c>
      <c r="C1029" s="26" t="str">
        <f t="shared" si="61"/>
        <v/>
      </c>
      <c r="D1029" s="26" t="str">
        <f t="shared" si="62"/>
        <v/>
      </c>
      <c r="E1029" s="29"/>
      <c r="F1029" s="22"/>
      <c r="G1029" s="22"/>
      <c r="H1029" s="22"/>
      <c r="I1029" s="24"/>
      <c r="J1029" s="24"/>
      <c r="K1029" s="24"/>
      <c r="L1029" s="24"/>
      <c r="M1029" s="27" t="str">
        <f t="shared" si="63"/>
        <v/>
      </c>
      <c r="N1029" s="25"/>
      <c r="O1029" s="22"/>
      <c r="P1029" s="24"/>
      <c r="Q1029" s="26"/>
    </row>
    <row r="1030" spans="1:17" ht="15" x14ac:dyDescent="0.15">
      <c r="A1030" s="22"/>
      <c r="B1030" s="26" t="str">
        <f t="shared" si="60"/>
        <v/>
      </c>
      <c r="C1030" s="26" t="str">
        <f t="shared" si="61"/>
        <v/>
      </c>
      <c r="D1030" s="26" t="str">
        <f t="shared" si="62"/>
        <v/>
      </c>
      <c r="E1030" s="29"/>
      <c r="F1030" s="22"/>
      <c r="G1030" s="22"/>
      <c r="H1030" s="22"/>
      <c r="I1030" s="24"/>
      <c r="J1030" s="24"/>
      <c r="K1030" s="24"/>
      <c r="L1030" s="24"/>
      <c r="M1030" s="27" t="str">
        <f t="shared" si="63"/>
        <v/>
      </c>
      <c r="N1030" s="25"/>
      <c r="O1030" s="22"/>
      <c r="P1030" s="24"/>
      <c r="Q1030" s="26"/>
    </row>
    <row r="1031" spans="1:17" ht="15" x14ac:dyDescent="0.15">
      <c r="A1031" s="22"/>
      <c r="B1031" s="26" t="str">
        <f t="shared" ref="B1031:B1094" si="64">IFERROR(IF($A1031="","",LEFT($A1031,FIND(" | ",$A1031)-1)),"")</f>
        <v/>
      </c>
      <c r="C1031" s="26" t="str">
        <f t="shared" ref="C1031:C1094" si="65">IFERROR(IF($A1031="","",MID($A1031,FIND(" | ",$A1031)+3,FIND(" | ",$A1031,FIND(" | ",$A1031)+3)-FIND(" | ",$A1031)-3)),"")</f>
        <v/>
      </c>
      <c r="D1031" s="26" t="str">
        <f t="shared" ref="D1031:D1094" si="66">IFERROR(IF($A1031="","",RIGHT($A1031,LEN($A1031)-FIND(" | ",$A1031,FIND(" | ",$A1031)+3)-2)),"")</f>
        <v/>
      </c>
      <c r="E1031" s="29"/>
      <c r="F1031" s="22"/>
      <c r="G1031" s="22"/>
      <c r="H1031" s="22"/>
      <c r="I1031" s="24"/>
      <c r="J1031" s="24"/>
      <c r="K1031" s="24"/>
      <c r="L1031" s="24"/>
      <c r="M1031" s="27" t="str">
        <f t="shared" ref="M1031:M1094" si="67">IF($B1031="","",SUM($J1031,-$K1031,$L1031))</f>
        <v/>
      </c>
      <c r="N1031" s="25"/>
      <c r="O1031" s="22"/>
      <c r="P1031" s="24"/>
      <c r="Q1031" s="26"/>
    </row>
    <row r="1032" spans="1:17" ht="15" x14ac:dyDescent="0.15">
      <c r="A1032" s="22"/>
      <c r="B1032" s="26" t="str">
        <f t="shared" si="64"/>
        <v/>
      </c>
      <c r="C1032" s="26" t="str">
        <f t="shared" si="65"/>
        <v/>
      </c>
      <c r="D1032" s="26" t="str">
        <f t="shared" si="66"/>
        <v/>
      </c>
      <c r="E1032" s="29"/>
      <c r="F1032" s="22"/>
      <c r="G1032" s="22"/>
      <c r="H1032" s="22"/>
      <c r="I1032" s="24"/>
      <c r="J1032" s="24"/>
      <c r="K1032" s="24"/>
      <c r="L1032" s="24"/>
      <c r="M1032" s="27" t="str">
        <f t="shared" si="67"/>
        <v/>
      </c>
      <c r="N1032" s="25"/>
      <c r="O1032" s="22"/>
      <c r="P1032" s="24"/>
      <c r="Q1032" s="26"/>
    </row>
    <row r="1033" spans="1:17" ht="15" x14ac:dyDescent="0.15">
      <c r="A1033" s="22"/>
      <c r="B1033" s="26" t="str">
        <f t="shared" si="64"/>
        <v/>
      </c>
      <c r="C1033" s="26" t="str">
        <f t="shared" si="65"/>
        <v/>
      </c>
      <c r="D1033" s="26" t="str">
        <f t="shared" si="66"/>
        <v/>
      </c>
      <c r="E1033" s="29"/>
      <c r="F1033" s="22"/>
      <c r="G1033" s="22"/>
      <c r="H1033" s="22"/>
      <c r="I1033" s="24"/>
      <c r="J1033" s="24"/>
      <c r="K1033" s="24"/>
      <c r="L1033" s="24"/>
      <c r="M1033" s="27" t="str">
        <f t="shared" si="67"/>
        <v/>
      </c>
      <c r="N1033" s="25"/>
      <c r="O1033" s="22"/>
      <c r="P1033" s="24"/>
      <c r="Q1033" s="26"/>
    </row>
    <row r="1034" spans="1:17" ht="15" x14ac:dyDescent="0.15">
      <c r="A1034" s="22"/>
      <c r="B1034" s="26" t="str">
        <f t="shared" si="64"/>
        <v/>
      </c>
      <c r="C1034" s="26" t="str">
        <f t="shared" si="65"/>
        <v/>
      </c>
      <c r="D1034" s="26" t="str">
        <f t="shared" si="66"/>
        <v/>
      </c>
      <c r="E1034" s="29"/>
      <c r="F1034" s="22"/>
      <c r="G1034" s="22"/>
      <c r="H1034" s="22"/>
      <c r="I1034" s="24"/>
      <c r="J1034" s="24"/>
      <c r="K1034" s="24"/>
      <c r="L1034" s="24"/>
      <c r="M1034" s="27" t="str">
        <f t="shared" si="67"/>
        <v/>
      </c>
      <c r="N1034" s="25"/>
      <c r="O1034" s="22"/>
      <c r="P1034" s="24"/>
      <c r="Q1034" s="26"/>
    </row>
    <row r="1035" spans="1:17" ht="15" x14ac:dyDescent="0.15">
      <c r="A1035" s="22"/>
      <c r="B1035" s="26" t="str">
        <f t="shared" si="64"/>
        <v/>
      </c>
      <c r="C1035" s="26" t="str">
        <f t="shared" si="65"/>
        <v/>
      </c>
      <c r="D1035" s="26" t="str">
        <f t="shared" si="66"/>
        <v/>
      </c>
      <c r="E1035" s="29"/>
      <c r="F1035" s="22"/>
      <c r="G1035" s="22"/>
      <c r="H1035" s="22"/>
      <c r="I1035" s="24"/>
      <c r="J1035" s="24"/>
      <c r="K1035" s="24"/>
      <c r="L1035" s="24"/>
      <c r="M1035" s="27" t="str">
        <f t="shared" si="67"/>
        <v/>
      </c>
      <c r="N1035" s="25"/>
      <c r="O1035" s="22"/>
      <c r="P1035" s="24"/>
      <c r="Q1035" s="26"/>
    </row>
    <row r="1036" spans="1:17" ht="15" x14ac:dyDescent="0.15">
      <c r="A1036" s="22"/>
      <c r="B1036" s="26" t="str">
        <f t="shared" si="64"/>
        <v/>
      </c>
      <c r="C1036" s="26" t="str">
        <f t="shared" si="65"/>
        <v/>
      </c>
      <c r="D1036" s="26" t="str">
        <f t="shared" si="66"/>
        <v/>
      </c>
      <c r="E1036" s="29"/>
      <c r="F1036" s="22"/>
      <c r="G1036" s="22"/>
      <c r="H1036" s="22"/>
      <c r="I1036" s="24"/>
      <c r="J1036" s="24"/>
      <c r="K1036" s="24"/>
      <c r="L1036" s="24"/>
      <c r="M1036" s="27" t="str">
        <f t="shared" si="67"/>
        <v/>
      </c>
      <c r="N1036" s="25"/>
      <c r="O1036" s="22"/>
      <c r="P1036" s="24"/>
      <c r="Q1036" s="26"/>
    </row>
    <row r="1037" spans="1:17" ht="15" x14ac:dyDescent="0.15">
      <c r="A1037" s="22"/>
      <c r="B1037" s="26" t="str">
        <f t="shared" si="64"/>
        <v/>
      </c>
      <c r="C1037" s="26" t="str">
        <f t="shared" si="65"/>
        <v/>
      </c>
      <c r="D1037" s="26" t="str">
        <f t="shared" si="66"/>
        <v/>
      </c>
      <c r="E1037" s="29"/>
      <c r="F1037" s="22"/>
      <c r="G1037" s="22"/>
      <c r="H1037" s="22"/>
      <c r="I1037" s="24"/>
      <c r="J1037" s="24"/>
      <c r="K1037" s="24"/>
      <c r="L1037" s="24"/>
      <c r="M1037" s="27" t="str">
        <f t="shared" si="67"/>
        <v/>
      </c>
      <c r="N1037" s="25"/>
      <c r="O1037" s="22"/>
      <c r="P1037" s="24"/>
      <c r="Q1037" s="26"/>
    </row>
    <row r="1038" spans="1:17" ht="15" x14ac:dyDescent="0.15">
      <c r="A1038" s="22"/>
      <c r="B1038" s="26" t="str">
        <f t="shared" si="64"/>
        <v/>
      </c>
      <c r="C1038" s="26" t="str">
        <f t="shared" si="65"/>
        <v/>
      </c>
      <c r="D1038" s="26" t="str">
        <f t="shared" si="66"/>
        <v/>
      </c>
      <c r="E1038" s="29"/>
      <c r="F1038" s="22"/>
      <c r="G1038" s="22"/>
      <c r="H1038" s="22"/>
      <c r="I1038" s="24"/>
      <c r="J1038" s="24"/>
      <c r="K1038" s="24"/>
      <c r="L1038" s="24"/>
      <c r="M1038" s="27" t="str">
        <f t="shared" si="67"/>
        <v/>
      </c>
      <c r="N1038" s="25"/>
      <c r="O1038" s="22"/>
      <c r="P1038" s="24"/>
      <c r="Q1038" s="26"/>
    </row>
    <row r="1039" spans="1:17" ht="15" x14ac:dyDescent="0.15">
      <c r="A1039" s="22"/>
      <c r="B1039" s="26" t="str">
        <f t="shared" si="64"/>
        <v/>
      </c>
      <c r="C1039" s="26" t="str">
        <f t="shared" si="65"/>
        <v/>
      </c>
      <c r="D1039" s="26" t="str">
        <f t="shared" si="66"/>
        <v/>
      </c>
      <c r="E1039" s="29"/>
      <c r="F1039" s="22"/>
      <c r="G1039" s="22"/>
      <c r="H1039" s="22"/>
      <c r="I1039" s="24"/>
      <c r="J1039" s="24"/>
      <c r="K1039" s="24"/>
      <c r="L1039" s="24"/>
      <c r="M1039" s="27" t="str">
        <f t="shared" si="67"/>
        <v/>
      </c>
      <c r="N1039" s="25"/>
      <c r="O1039" s="22"/>
      <c r="P1039" s="24"/>
      <c r="Q1039" s="26"/>
    </row>
    <row r="1040" spans="1:17" ht="15" x14ac:dyDescent="0.15">
      <c r="A1040" s="22"/>
      <c r="B1040" s="26" t="str">
        <f t="shared" si="64"/>
        <v/>
      </c>
      <c r="C1040" s="26" t="str">
        <f t="shared" si="65"/>
        <v/>
      </c>
      <c r="D1040" s="26" t="str">
        <f t="shared" si="66"/>
        <v/>
      </c>
      <c r="E1040" s="29"/>
      <c r="F1040" s="22"/>
      <c r="G1040" s="22"/>
      <c r="H1040" s="22"/>
      <c r="I1040" s="24"/>
      <c r="J1040" s="24"/>
      <c r="K1040" s="24"/>
      <c r="L1040" s="24"/>
      <c r="M1040" s="27" t="str">
        <f t="shared" si="67"/>
        <v/>
      </c>
      <c r="N1040" s="25"/>
      <c r="O1040" s="22"/>
      <c r="P1040" s="24"/>
      <c r="Q1040" s="26"/>
    </row>
    <row r="1041" spans="1:17" ht="15" x14ac:dyDescent="0.15">
      <c r="A1041" s="22"/>
      <c r="B1041" s="26" t="str">
        <f t="shared" si="64"/>
        <v/>
      </c>
      <c r="C1041" s="26" t="str">
        <f t="shared" si="65"/>
        <v/>
      </c>
      <c r="D1041" s="26" t="str">
        <f t="shared" si="66"/>
        <v/>
      </c>
      <c r="E1041" s="29"/>
      <c r="F1041" s="22"/>
      <c r="G1041" s="22"/>
      <c r="H1041" s="22"/>
      <c r="I1041" s="24"/>
      <c r="J1041" s="24"/>
      <c r="K1041" s="24"/>
      <c r="L1041" s="24"/>
      <c r="M1041" s="27" t="str">
        <f t="shared" si="67"/>
        <v/>
      </c>
      <c r="N1041" s="25"/>
      <c r="O1041" s="22"/>
      <c r="P1041" s="24"/>
      <c r="Q1041" s="26"/>
    </row>
    <row r="1042" spans="1:17" ht="15" x14ac:dyDescent="0.15">
      <c r="A1042" s="22"/>
      <c r="B1042" s="26" t="str">
        <f t="shared" si="64"/>
        <v/>
      </c>
      <c r="C1042" s="26" t="str">
        <f t="shared" si="65"/>
        <v/>
      </c>
      <c r="D1042" s="26" t="str">
        <f t="shared" si="66"/>
        <v/>
      </c>
      <c r="E1042" s="29"/>
      <c r="F1042" s="22"/>
      <c r="G1042" s="22"/>
      <c r="H1042" s="22"/>
      <c r="I1042" s="24"/>
      <c r="J1042" s="24"/>
      <c r="K1042" s="24"/>
      <c r="L1042" s="24"/>
      <c r="M1042" s="27" t="str">
        <f t="shared" si="67"/>
        <v/>
      </c>
      <c r="N1042" s="25"/>
      <c r="O1042" s="22"/>
      <c r="P1042" s="24"/>
      <c r="Q1042" s="26"/>
    </row>
    <row r="1043" spans="1:17" ht="15" x14ac:dyDescent="0.15">
      <c r="A1043" s="22"/>
      <c r="B1043" s="26" t="str">
        <f t="shared" si="64"/>
        <v/>
      </c>
      <c r="C1043" s="26" t="str">
        <f t="shared" si="65"/>
        <v/>
      </c>
      <c r="D1043" s="26" t="str">
        <f t="shared" si="66"/>
        <v/>
      </c>
      <c r="E1043" s="29"/>
      <c r="F1043" s="22"/>
      <c r="G1043" s="22"/>
      <c r="H1043" s="22"/>
      <c r="I1043" s="24"/>
      <c r="J1043" s="24"/>
      <c r="K1043" s="24"/>
      <c r="L1043" s="24"/>
      <c r="M1043" s="27" t="str">
        <f t="shared" si="67"/>
        <v/>
      </c>
      <c r="N1043" s="25"/>
      <c r="O1043" s="22"/>
      <c r="P1043" s="24"/>
      <c r="Q1043" s="26"/>
    </row>
    <row r="1044" spans="1:17" ht="15" x14ac:dyDescent="0.15">
      <c r="A1044" s="22"/>
      <c r="B1044" s="26" t="str">
        <f t="shared" si="64"/>
        <v/>
      </c>
      <c r="C1044" s="26" t="str">
        <f t="shared" si="65"/>
        <v/>
      </c>
      <c r="D1044" s="26" t="str">
        <f t="shared" si="66"/>
        <v/>
      </c>
      <c r="E1044" s="29"/>
      <c r="F1044" s="22"/>
      <c r="G1044" s="22"/>
      <c r="H1044" s="22"/>
      <c r="I1044" s="24"/>
      <c r="J1044" s="24"/>
      <c r="K1044" s="24"/>
      <c r="L1044" s="24"/>
      <c r="M1044" s="27" t="str">
        <f t="shared" si="67"/>
        <v/>
      </c>
      <c r="N1044" s="25"/>
      <c r="O1044" s="22"/>
      <c r="P1044" s="24"/>
      <c r="Q1044" s="26"/>
    </row>
    <row r="1045" spans="1:17" ht="15" x14ac:dyDescent="0.15">
      <c r="A1045" s="22"/>
      <c r="B1045" s="26" t="str">
        <f t="shared" si="64"/>
        <v/>
      </c>
      <c r="C1045" s="26" t="str">
        <f t="shared" si="65"/>
        <v/>
      </c>
      <c r="D1045" s="26" t="str">
        <f t="shared" si="66"/>
        <v/>
      </c>
      <c r="E1045" s="29"/>
      <c r="F1045" s="22"/>
      <c r="G1045" s="22"/>
      <c r="H1045" s="22"/>
      <c r="I1045" s="24"/>
      <c r="J1045" s="24"/>
      <c r="K1045" s="24"/>
      <c r="L1045" s="24"/>
      <c r="M1045" s="27" t="str">
        <f t="shared" si="67"/>
        <v/>
      </c>
      <c r="N1045" s="25"/>
      <c r="O1045" s="22"/>
      <c r="P1045" s="24"/>
      <c r="Q1045" s="26"/>
    </row>
    <row r="1046" spans="1:17" ht="15" x14ac:dyDescent="0.15">
      <c r="A1046" s="22"/>
      <c r="B1046" s="26" t="str">
        <f t="shared" si="64"/>
        <v/>
      </c>
      <c r="C1046" s="26" t="str">
        <f t="shared" si="65"/>
        <v/>
      </c>
      <c r="D1046" s="26" t="str">
        <f t="shared" si="66"/>
        <v/>
      </c>
      <c r="E1046" s="29"/>
      <c r="F1046" s="22"/>
      <c r="G1046" s="22"/>
      <c r="H1046" s="22"/>
      <c r="I1046" s="24"/>
      <c r="J1046" s="24"/>
      <c r="K1046" s="24"/>
      <c r="L1046" s="24"/>
      <c r="M1046" s="27" t="str">
        <f t="shared" si="67"/>
        <v/>
      </c>
      <c r="N1046" s="25"/>
      <c r="O1046" s="22"/>
      <c r="P1046" s="24"/>
      <c r="Q1046" s="26"/>
    </row>
    <row r="1047" spans="1:17" ht="15" x14ac:dyDescent="0.15">
      <c r="A1047" s="22"/>
      <c r="B1047" s="26" t="str">
        <f t="shared" si="64"/>
        <v/>
      </c>
      <c r="C1047" s="26" t="str">
        <f t="shared" si="65"/>
        <v/>
      </c>
      <c r="D1047" s="26" t="str">
        <f t="shared" si="66"/>
        <v/>
      </c>
      <c r="E1047" s="29"/>
      <c r="F1047" s="22"/>
      <c r="G1047" s="22"/>
      <c r="H1047" s="22"/>
      <c r="I1047" s="24"/>
      <c r="J1047" s="24"/>
      <c r="K1047" s="24"/>
      <c r="L1047" s="24"/>
      <c r="M1047" s="27" t="str">
        <f t="shared" si="67"/>
        <v/>
      </c>
      <c r="N1047" s="25"/>
      <c r="O1047" s="22"/>
      <c r="P1047" s="24"/>
      <c r="Q1047" s="26"/>
    </row>
    <row r="1048" spans="1:17" ht="15" x14ac:dyDescent="0.15">
      <c r="A1048" s="22"/>
      <c r="B1048" s="26" t="str">
        <f t="shared" si="64"/>
        <v/>
      </c>
      <c r="C1048" s="26" t="str">
        <f t="shared" si="65"/>
        <v/>
      </c>
      <c r="D1048" s="26" t="str">
        <f t="shared" si="66"/>
        <v/>
      </c>
      <c r="E1048" s="29"/>
      <c r="F1048" s="22"/>
      <c r="G1048" s="22"/>
      <c r="H1048" s="22"/>
      <c r="I1048" s="24"/>
      <c r="J1048" s="24"/>
      <c r="K1048" s="24"/>
      <c r="L1048" s="24"/>
      <c r="M1048" s="27" t="str">
        <f t="shared" si="67"/>
        <v/>
      </c>
      <c r="N1048" s="25"/>
      <c r="O1048" s="22"/>
      <c r="P1048" s="24"/>
      <c r="Q1048" s="26"/>
    </row>
    <row r="1049" spans="1:17" ht="15" x14ac:dyDescent="0.15">
      <c r="A1049" s="22"/>
      <c r="B1049" s="26" t="str">
        <f t="shared" si="64"/>
        <v/>
      </c>
      <c r="C1049" s="26" t="str">
        <f t="shared" si="65"/>
        <v/>
      </c>
      <c r="D1049" s="26" t="str">
        <f t="shared" si="66"/>
        <v/>
      </c>
      <c r="E1049" s="29"/>
      <c r="F1049" s="22"/>
      <c r="G1049" s="22"/>
      <c r="H1049" s="22"/>
      <c r="I1049" s="24"/>
      <c r="J1049" s="24"/>
      <c r="K1049" s="24"/>
      <c r="L1049" s="24"/>
      <c r="M1049" s="27" t="str">
        <f t="shared" si="67"/>
        <v/>
      </c>
      <c r="N1049" s="25"/>
      <c r="O1049" s="22"/>
      <c r="P1049" s="24"/>
      <c r="Q1049" s="26"/>
    </row>
    <row r="1050" spans="1:17" ht="15" x14ac:dyDescent="0.15">
      <c r="A1050" s="22"/>
      <c r="B1050" s="26" t="str">
        <f t="shared" si="64"/>
        <v/>
      </c>
      <c r="C1050" s="26" t="str">
        <f t="shared" si="65"/>
        <v/>
      </c>
      <c r="D1050" s="26" t="str">
        <f t="shared" si="66"/>
        <v/>
      </c>
      <c r="E1050" s="29"/>
      <c r="F1050" s="22"/>
      <c r="G1050" s="22"/>
      <c r="H1050" s="22"/>
      <c r="I1050" s="24"/>
      <c r="J1050" s="24"/>
      <c r="K1050" s="24"/>
      <c r="L1050" s="24"/>
      <c r="M1050" s="27" t="str">
        <f t="shared" si="67"/>
        <v/>
      </c>
      <c r="N1050" s="25"/>
      <c r="O1050" s="22"/>
      <c r="P1050" s="24"/>
      <c r="Q1050" s="26"/>
    </row>
    <row r="1051" spans="1:17" ht="15" x14ac:dyDescent="0.15">
      <c r="A1051" s="22"/>
      <c r="B1051" s="26" t="str">
        <f t="shared" si="64"/>
        <v/>
      </c>
      <c r="C1051" s="26" t="str">
        <f t="shared" si="65"/>
        <v/>
      </c>
      <c r="D1051" s="26" t="str">
        <f t="shared" si="66"/>
        <v/>
      </c>
      <c r="E1051" s="29"/>
      <c r="F1051" s="22"/>
      <c r="G1051" s="22"/>
      <c r="H1051" s="22"/>
      <c r="I1051" s="24"/>
      <c r="J1051" s="24"/>
      <c r="K1051" s="24"/>
      <c r="L1051" s="24"/>
      <c r="M1051" s="27" t="str">
        <f t="shared" si="67"/>
        <v/>
      </c>
      <c r="N1051" s="25"/>
      <c r="O1051" s="22"/>
      <c r="P1051" s="24"/>
      <c r="Q1051" s="26"/>
    </row>
    <row r="1052" spans="1:17" ht="15" x14ac:dyDescent="0.15">
      <c r="A1052" s="22"/>
      <c r="B1052" s="26" t="str">
        <f t="shared" si="64"/>
        <v/>
      </c>
      <c r="C1052" s="26" t="str">
        <f t="shared" si="65"/>
        <v/>
      </c>
      <c r="D1052" s="26" t="str">
        <f t="shared" si="66"/>
        <v/>
      </c>
      <c r="E1052" s="29"/>
      <c r="F1052" s="22"/>
      <c r="G1052" s="22"/>
      <c r="H1052" s="22"/>
      <c r="I1052" s="24"/>
      <c r="J1052" s="24"/>
      <c r="K1052" s="24"/>
      <c r="L1052" s="24"/>
      <c r="M1052" s="27" t="str">
        <f t="shared" si="67"/>
        <v/>
      </c>
      <c r="N1052" s="25"/>
      <c r="O1052" s="22"/>
      <c r="P1052" s="24"/>
      <c r="Q1052" s="26"/>
    </row>
    <row r="1053" spans="1:17" ht="15" x14ac:dyDescent="0.15">
      <c r="A1053" s="22"/>
      <c r="B1053" s="26" t="str">
        <f t="shared" si="64"/>
        <v/>
      </c>
      <c r="C1053" s="26" t="str">
        <f t="shared" si="65"/>
        <v/>
      </c>
      <c r="D1053" s="26" t="str">
        <f t="shared" si="66"/>
        <v/>
      </c>
      <c r="E1053" s="29"/>
      <c r="F1053" s="22"/>
      <c r="G1053" s="22"/>
      <c r="H1053" s="22"/>
      <c r="I1053" s="24"/>
      <c r="J1053" s="24"/>
      <c r="K1053" s="24"/>
      <c r="L1053" s="24"/>
      <c r="M1053" s="27" t="str">
        <f t="shared" si="67"/>
        <v/>
      </c>
      <c r="N1053" s="25"/>
      <c r="O1053" s="22"/>
      <c r="P1053" s="24"/>
      <c r="Q1053" s="26"/>
    </row>
    <row r="1054" spans="1:17" ht="15" x14ac:dyDescent="0.15">
      <c r="A1054" s="22"/>
      <c r="B1054" s="26" t="str">
        <f t="shared" si="64"/>
        <v/>
      </c>
      <c r="C1054" s="26" t="str">
        <f t="shared" si="65"/>
        <v/>
      </c>
      <c r="D1054" s="26" t="str">
        <f t="shared" si="66"/>
        <v/>
      </c>
      <c r="E1054" s="29"/>
      <c r="F1054" s="22"/>
      <c r="G1054" s="22"/>
      <c r="H1054" s="22"/>
      <c r="I1054" s="24"/>
      <c r="J1054" s="24"/>
      <c r="K1054" s="24"/>
      <c r="L1054" s="24"/>
      <c r="M1054" s="27" t="str">
        <f t="shared" si="67"/>
        <v/>
      </c>
      <c r="N1054" s="25"/>
      <c r="O1054" s="22"/>
      <c r="P1054" s="24"/>
      <c r="Q1054" s="26"/>
    </row>
    <row r="1055" spans="1:17" ht="15" x14ac:dyDescent="0.15">
      <c r="A1055" s="22"/>
      <c r="B1055" s="26" t="str">
        <f t="shared" si="64"/>
        <v/>
      </c>
      <c r="C1055" s="26" t="str">
        <f t="shared" si="65"/>
        <v/>
      </c>
      <c r="D1055" s="26" t="str">
        <f t="shared" si="66"/>
        <v/>
      </c>
      <c r="E1055" s="29"/>
      <c r="F1055" s="22"/>
      <c r="G1055" s="22"/>
      <c r="H1055" s="22"/>
      <c r="I1055" s="24"/>
      <c r="J1055" s="24"/>
      <c r="K1055" s="24"/>
      <c r="L1055" s="24"/>
      <c r="M1055" s="27" t="str">
        <f t="shared" si="67"/>
        <v/>
      </c>
      <c r="N1055" s="25"/>
      <c r="O1055" s="22"/>
      <c r="P1055" s="24"/>
      <c r="Q1055" s="26"/>
    </row>
    <row r="1056" spans="1:17" ht="15" x14ac:dyDescent="0.15">
      <c r="A1056" s="22"/>
      <c r="B1056" s="26" t="str">
        <f t="shared" si="64"/>
        <v/>
      </c>
      <c r="C1056" s="26" t="str">
        <f t="shared" si="65"/>
        <v/>
      </c>
      <c r="D1056" s="26" t="str">
        <f t="shared" si="66"/>
        <v/>
      </c>
      <c r="E1056" s="29"/>
      <c r="F1056" s="22"/>
      <c r="G1056" s="22"/>
      <c r="H1056" s="22"/>
      <c r="I1056" s="24"/>
      <c r="J1056" s="24"/>
      <c r="K1056" s="24"/>
      <c r="L1056" s="24"/>
      <c r="M1056" s="27" t="str">
        <f t="shared" si="67"/>
        <v/>
      </c>
      <c r="N1056" s="25"/>
      <c r="O1056" s="22"/>
      <c r="P1056" s="24"/>
      <c r="Q1056" s="26"/>
    </row>
    <row r="1057" spans="1:17" ht="15" x14ac:dyDescent="0.15">
      <c r="A1057" s="22"/>
      <c r="B1057" s="26" t="str">
        <f t="shared" si="64"/>
        <v/>
      </c>
      <c r="C1057" s="26" t="str">
        <f t="shared" si="65"/>
        <v/>
      </c>
      <c r="D1057" s="26" t="str">
        <f t="shared" si="66"/>
        <v/>
      </c>
      <c r="E1057" s="29"/>
      <c r="F1057" s="22"/>
      <c r="G1057" s="22"/>
      <c r="H1057" s="22"/>
      <c r="I1057" s="24"/>
      <c r="J1057" s="24"/>
      <c r="K1057" s="24"/>
      <c r="L1057" s="24"/>
      <c r="M1057" s="27" t="str">
        <f t="shared" si="67"/>
        <v/>
      </c>
      <c r="N1057" s="25"/>
      <c r="O1057" s="22"/>
      <c r="P1057" s="24"/>
      <c r="Q1057" s="26"/>
    </row>
    <row r="1058" spans="1:17" ht="15" x14ac:dyDescent="0.15">
      <c r="A1058" s="22"/>
      <c r="B1058" s="26" t="str">
        <f t="shared" si="64"/>
        <v/>
      </c>
      <c r="C1058" s="26" t="str">
        <f t="shared" si="65"/>
        <v/>
      </c>
      <c r="D1058" s="26" t="str">
        <f t="shared" si="66"/>
        <v/>
      </c>
      <c r="E1058" s="29"/>
      <c r="F1058" s="22"/>
      <c r="G1058" s="22"/>
      <c r="H1058" s="22"/>
      <c r="I1058" s="24"/>
      <c r="J1058" s="24"/>
      <c r="K1058" s="24"/>
      <c r="L1058" s="24"/>
      <c r="M1058" s="27" t="str">
        <f t="shared" si="67"/>
        <v/>
      </c>
      <c r="N1058" s="25"/>
      <c r="O1058" s="22"/>
      <c r="P1058" s="24"/>
      <c r="Q1058" s="26"/>
    </row>
    <row r="1059" spans="1:17" ht="15" x14ac:dyDescent="0.15">
      <c r="A1059" s="22"/>
      <c r="B1059" s="26" t="str">
        <f t="shared" si="64"/>
        <v/>
      </c>
      <c r="C1059" s="26" t="str">
        <f t="shared" si="65"/>
        <v/>
      </c>
      <c r="D1059" s="26" t="str">
        <f t="shared" si="66"/>
        <v/>
      </c>
      <c r="E1059" s="29"/>
      <c r="F1059" s="22"/>
      <c r="G1059" s="22"/>
      <c r="H1059" s="22"/>
      <c r="I1059" s="24"/>
      <c r="J1059" s="24"/>
      <c r="K1059" s="24"/>
      <c r="L1059" s="24"/>
      <c r="M1059" s="27" t="str">
        <f t="shared" si="67"/>
        <v/>
      </c>
      <c r="N1059" s="25"/>
      <c r="O1059" s="22"/>
      <c r="P1059" s="24"/>
      <c r="Q1059" s="26"/>
    </row>
    <row r="1060" spans="1:17" ht="15" x14ac:dyDescent="0.15">
      <c r="A1060" s="22"/>
      <c r="B1060" s="26" t="str">
        <f t="shared" si="64"/>
        <v/>
      </c>
      <c r="C1060" s="26" t="str">
        <f t="shared" si="65"/>
        <v/>
      </c>
      <c r="D1060" s="26" t="str">
        <f t="shared" si="66"/>
        <v/>
      </c>
      <c r="E1060" s="29"/>
      <c r="F1060" s="22"/>
      <c r="G1060" s="22"/>
      <c r="H1060" s="22"/>
      <c r="I1060" s="24"/>
      <c r="J1060" s="24"/>
      <c r="K1060" s="24"/>
      <c r="L1060" s="24"/>
      <c r="M1060" s="27" t="str">
        <f t="shared" si="67"/>
        <v/>
      </c>
      <c r="N1060" s="25"/>
      <c r="O1060" s="22"/>
      <c r="P1060" s="24"/>
      <c r="Q1060" s="26"/>
    </row>
    <row r="1061" spans="1:17" ht="15" x14ac:dyDescent="0.15">
      <c r="A1061" s="22"/>
      <c r="B1061" s="26" t="str">
        <f t="shared" si="64"/>
        <v/>
      </c>
      <c r="C1061" s="26" t="str">
        <f t="shared" si="65"/>
        <v/>
      </c>
      <c r="D1061" s="26" t="str">
        <f t="shared" si="66"/>
        <v/>
      </c>
      <c r="E1061" s="29"/>
      <c r="F1061" s="22"/>
      <c r="G1061" s="22"/>
      <c r="H1061" s="22"/>
      <c r="I1061" s="24"/>
      <c r="J1061" s="24"/>
      <c r="K1061" s="24"/>
      <c r="L1061" s="24"/>
      <c r="M1061" s="27" t="str">
        <f t="shared" si="67"/>
        <v/>
      </c>
      <c r="N1061" s="25"/>
      <c r="O1061" s="22"/>
      <c r="P1061" s="24"/>
      <c r="Q1061" s="26"/>
    </row>
    <row r="1062" spans="1:17" ht="15" x14ac:dyDescent="0.15">
      <c r="A1062" s="22"/>
      <c r="B1062" s="26" t="str">
        <f t="shared" si="64"/>
        <v/>
      </c>
      <c r="C1062" s="26" t="str">
        <f t="shared" si="65"/>
        <v/>
      </c>
      <c r="D1062" s="26" t="str">
        <f t="shared" si="66"/>
        <v/>
      </c>
      <c r="E1062" s="29"/>
      <c r="F1062" s="22"/>
      <c r="G1062" s="22"/>
      <c r="H1062" s="22"/>
      <c r="I1062" s="24"/>
      <c r="J1062" s="24"/>
      <c r="K1062" s="24"/>
      <c r="L1062" s="24"/>
      <c r="M1062" s="27" t="str">
        <f t="shared" si="67"/>
        <v/>
      </c>
      <c r="N1062" s="25"/>
      <c r="O1062" s="22"/>
      <c r="P1062" s="24"/>
      <c r="Q1062" s="26"/>
    </row>
    <row r="1063" spans="1:17" ht="15" x14ac:dyDescent="0.15">
      <c r="A1063" s="22"/>
      <c r="B1063" s="26" t="str">
        <f t="shared" si="64"/>
        <v/>
      </c>
      <c r="C1063" s="26" t="str">
        <f t="shared" si="65"/>
        <v/>
      </c>
      <c r="D1063" s="26" t="str">
        <f t="shared" si="66"/>
        <v/>
      </c>
      <c r="E1063" s="29"/>
      <c r="F1063" s="22"/>
      <c r="G1063" s="22"/>
      <c r="H1063" s="22"/>
      <c r="I1063" s="24"/>
      <c r="J1063" s="24"/>
      <c r="K1063" s="24"/>
      <c r="L1063" s="24"/>
      <c r="M1063" s="27" t="str">
        <f t="shared" si="67"/>
        <v/>
      </c>
      <c r="N1063" s="25"/>
      <c r="O1063" s="22"/>
      <c r="P1063" s="24"/>
      <c r="Q1063" s="26"/>
    </row>
    <row r="1064" spans="1:17" ht="15" x14ac:dyDescent="0.15">
      <c r="A1064" s="22"/>
      <c r="B1064" s="26" t="str">
        <f t="shared" si="64"/>
        <v/>
      </c>
      <c r="C1064" s="26" t="str">
        <f t="shared" si="65"/>
        <v/>
      </c>
      <c r="D1064" s="26" t="str">
        <f t="shared" si="66"/>
        <v/>
      </c>
      <c r="E1064" s="29"/>
      <c r="F1064" s="22"/>
      <c r="G1064" s="22"/>
      <c r="H1064" s="22"/>
      <c r="I1064" s="24"/>
      <c r="J1064" s="24"/>
      <c r="K1064" s="24"/>
      <c r="L1064" s="24"/>
      <c r="M1064" s="27" t="str">
        <f t="shared" si="67"/>
        <v/>
      </c>
      <c r="N1064" s="25"/>
      <c r="O1064" s="22"/>
      <c r="P1064" s="24"/>
      <c r="Q1064" s="26"/>
    </row>
    <row r="1065" spans="1:17" ht="15" x14ac:dyDescent="0.15">
      <c r="A1065" s="22"/>
      <c r="B1065" s="26" t="str">
        <f t="shared" si="64"/>
        <v/>
      </c>
      <c r="C1065" s="26" t="str">
        <f t="shared" si="65"/>
        <v/>
      </c>
      <c r="D1065" s="26" t="str">
        <f t="shared" si="66"/>
        <v/>
      </c>
      <c r="E1065" s="29"/>
      <c r="F1065" s="22"/>
      <c r="G1065" s="22"/>
      <c r="H1065" s="22"/>
      <c r="I1065" s="24"/>
      <c r="J1065" s="24"/>
      <c r="K1065" s="24"/>
      <c r="L1065" s="24"/>
      <c r="M1065" s="27" t="str">
        <f t="shared" si="67"/>
        <v/>
      </c>
      <c r="N1065" s="25"/>
      <c r="O1065" s="22"/>
      <c r="P1065" s="24"/>
      <c r="Q1065" s="26"/>
    </row>
    <row r="1066" spans="1:17" ht="15" x14ac:dyDescent="0.15">
      <c r="A1066" s="22"/>
      <c r="B1066" s="26" t="str">
        <f t="shared" si="64"/>
        <v/>
      </c>
      <c r="C1066" s="26" t="str">
        <f t="shared" si="65"/>
        <v/>
      </c>
      <c r="D1066" s="26" t="str">
        <f t="shared" si="66"/>
        <v/>
      </c>
      <c r="E1066" s="29"/>
      <c r="F1066" s="22"/>
      <c r="G1066" s="22"/>
      <c r="H1066" s="22"/>
      <c r="I1066" s="24"/>
      <c r="J1066" s="24"/>
      <c r="K1066" s="24"/>
      <c r="L1066" s="24"/>
      <c r="M1066" s="27" t="str">
        <f t="shared" si="67"/>
        <v/>
      </c>
      <c r="N1066" s="25"/>
      <c r="O1066" s="22"/>
      <c r="P1066" s="24"/>
      <c r="Q1066" s="26"/>
    </row>
    <row r="1067" spans="1:17" ht="15" x14ac:dyDescent="0.15">
      <c r="A1067" s="22"/>
      <c r="B1067" s="26" t="str">
        <f t="shared" si="64"/>
        <v/>
      </c>
      <c r="C1067" s="26" t="str">
        <f t="shared" si="65"/>
        <v/>
      </c>
      <c r="D1067" s="26" t="str">
        <f t="shared" si="66"/>
        <v/>
      </c>
      <c r="E1067" s="29"/>
      <c r="F1067" s="22"/>
      <c r="G1067" s="22"/>
      <c r="H1067" s="22"/>
      <c r="I1067" s="24"/>
      <c r="J1067" s="24"/>
      <c r="K1067" s="24"/>
      <c r="L1067" s="24"/>
      <c r="M1067" s="27" t="str">
        <f t="shared" si="67"/>
        <v/>
      </c>
      <c r="N1067" s="25"/>
      <c r="O1067" s="22"/>
      <c r="P1067" s="24"/>
      <c r="Q1067" s="26"/>
    </row>
    <row r="1068" spans="1:17" ht="15" x14ac:dyDescent="0.15">
      <c r="A1068" s="22"/>
      <c r="B1068" s="26" t="str">
        <f t="shared" si="64"/>
        <v/>
      </c>
      <c r="C1068" s="26" t="str">
        <f t="shared" si="65"/>
        <v/>
      </c>
      <c r="D1068" s="26" t="str">
        <f t="shared" si="66"/>
        <v/>
      </c>
      <c r="E1068" s="29"/>
      <c r="F1068" s="22"/>
      <c r="G1068" s="22"/>
      <c r="H1068" s="22"/>
      <c r="I1068" s="24"/>
      <c r="J1068" s="24"/>
      <c r="K1068" s="24"/>
      <c r="L1068" s="24"/>
      <c r="M1068" s="27" t="str">
        <f t="shared" si="67"/>
        <v/>
      </c>
      <c r="N1068" s="25"/>
      <c r="O1068" s="22"/>
      <c r="P1068" s="24"/>
      <c r="Q1068" s="26"/>
    </row>
    <row r="1069" spans="1:17" ht="15" x14ac:dyDescent="0.15">
      <c r="A1069" s="22"/>
      <c r="B1069" s="26" t="str">
        <f t="shared" si="64"/>
        <v/>
      </c>
      <c r="C1069" s="26" t="str">
        <f t="shared" si="65"/>
        <v/>
      </c>
      <c r="D1069" s="26" t="str">
        <f t="shared" si="66"/>
        <v/>
      </c>
      <c r="E1069" s="29"/>
      <c r="F1069" s="22"/>
      <c r="G1069" s="22"/>
      <c r="H1069" s="22"/>
      <c r="I1069" s="24"/>
      <c r="J1069" s="24"/>
      <c r="K1069" s="24"/>
      <c r="L1069" s="24"/>
      <c r="M1069" s="27" t="str">
        <f t="shared" si="67"/>
        <v/>
      </c>
      <c r="N1069" s="25"/>
      <c r="O1069" s="22"/>
      <c r="P1069" s="24"/>
      <c r="Q1069" s="26"/>
    </row>
    <row r="1070" spans="1:17" ht="15" x14ac:dyDescent="0.15">
      <c r="A1070" s="22"/>
      <c r="B1070" s="26" t="str">
        <f t="shared" si="64"/>
        <v/>
      </c>
      <c r="C1070" s="26" t="str">
        <f t="shared" si="65"/>
        <v/>
      </c>
      <c r="D1070" s="26" t="str">
        <f t="shared" si="66"/>
        <v/>
      </c>
      <c r="E1070" s="29"/>
      <c r="F1070" s="22"/>
      <c r="G1070" s="22"/>
      <c r="H1070" s="22"/>
      <c r="I1070" s="24"/>
      <c r="J1070" s="24"/>
      <c r="K1070" s="24"/>
      <c r="L1070" s="24"/>
      <c r="M1070" s="27" t="str">
        <f t="shared" si="67"/>
        <v/>
      </c>
      <c r="N1070" s="25"/>
      <c r="O1070" s="22"/>
      <c r="P1070" s="24"/>
      <c r="Q1070" s="26"/>
    </row>
    <row r="1071" spans="1:17" ht="15" x14ac:dyDescent="0.15">
      <c r="A1071" s="22"/>
      <c r="B1071" s="26" t="str">
        <f t="shared" si="64"/>
        <v/>
      </c>
      <c r="C1071" s="26" t="str">
        <f t="shared" si="65"/>
        <v/>
      </c>
      <c r="D1071" s="26" t="str">
        <f t="shared" si="66"/>
        <v/>
      </c>
      <c r="E1071" s="29"/>
      <c r="F1071" s="22"/>
      <c r="G1071" s="22"/>
      <c r="H1071" s="22"/>
      <c r="I1071" s="24"/>
      <c r="J1071" s="24"/>
      <c r="K1071" s="24"/>
      <c r="L1071" s="24"/>
      <c r="M1071" s="27" t="str">
        <f t="shared" si="67"/>
        <v/>
      </c>
      <c r="N1071" s="25"/>
      <c r="O1071" s="22"/>
      <c r="P1071" s="24"/>
      <c r="Q1071" s="26"/>
    </row>
    <row r="1072" spans="1:17" ht="15" x14ac:dyDescent="0.15">
      <c r="A1072" s="22"/>
      <c r="B1072" s="26" t="str">
        <f t="shared" si="64"/>
        <v/>
      </c>
      <c r="C1072" s="26" t="str">
        <f t="shared" si="65"/>
        <v/>
      </c>
      <c r="D1072" s="26" t="str">
        <f t="shared" si="66"/>
        <v/>
      </c>
      <c r="E1072" s="29"/>
      <c r="F1072" s="22"/>
      <c r="G1072" s="22"/>
      <c r="H1072" s="22"/>
      <c r="I1072" s="24"/>
      <c r="J1072" s="24"/>
      <c r="K1072" s="24"/>
      <c r="L1072" s="24"/>
      <c r="M1072" s="27" t="str">
        <f t="shared" si="67"/>
        <v/>
      </c>
      <c r="N1072" s="25"/>
      <c r="O1072" s="22"/>
      <c r="P1072" s="24"/>
      <c r="Q1072" s="26"/>
    </row>
    <row r="1073" spans="1:17" ht="15" x14ac:dyDescent="0.15">
      <c r="A1073" s="22"/>
      <c r="B1073" s="26" t="str">
        <f t="shared" si="64"/>
        <v/>
      </c>
      <c r="C1073" s="26" t="str">
        <f t="shared" si="65"/>
        <v/>
      </c>
      <c r="D1073" s="26" t="str">
        <f t="shared" si="66"/>
        <v/>
      </c>
      <c r="E1073" s="29"/>
      <c r="F1073" s="22"/>
      <c r="G1073" s="22"/>
      <c r="H1073" s="22"/>
      <c r="I1073" s="24"/>
      <c r="J1073" s="24"/>
      <c r="K1073" s="24"/>
      <c r="L1073" s="24"/>
      <c r="M1073" s="27" t="str">
        <f t="shared" si="67"/>
        <v/>
      </c>
      <c r="N1073" s="25"/>
      <c r="O1073" s="22"/>
      <c r="P1073" s="24"/>
      <c r="Q1073" s="26"/>
    </row>
    <row r="1074" spans="1:17" ht="15" x14ac:dyDescent="0.15">
      <c r="A1074" s="22"/>
      <c r="B1074" s="26" t="str">
        <f t="shared" si="64"/>
        <v/>
      </c>
      <c r="C1074" s="26" t="str">
        <f t="shared" si="65"/>
        <v/>
      </c>
      <c r="D1074" s="26" t="str">
        <f t="shared" si="66"/>
        <v/>
      </c>
      <c r="E1074" s="29"/>
      <c r="F1074" s="22"/>
      <c r="G1074" s="22"/>
      <c r="H1074" s="22"/>
      <c r="I1074" s="24"/>
      <c r="J1074" s="24"/>
      <c r="K1074" s="24"/>
      <c r="L1074" s="24"/>
      <c r="M1074" s="27" t="str">
        <f t="shared" si="67"/>
        <v/>
      </c>
      <c r="N1074" s="25"/>
      <c r="O1074" s="22"/>
      <c r="P1074" s="24"/>
      <c r="Q1074" s="26"/>
    </row>
    <row r="1075" spans="1:17" ht="15" x14ac:dyDescent="0.15">
      <c r="A1075" s="22"/>
      <c r="B1075" s="26" t="str">
        <f t="shared" si="64"/>
        <v/>
      </c>
      <c r="C1075" s="26" t="str">
        <f t="shared" si="65"/>
        <v/>
      </c>
      <c r="D1075" s="26" t="str">
        <f t="shared" si="66"/>
        <v/>
      </c>
      <c r="E1075" s="29"/>
      <c r="F1075" s="22"/>
      <c r="G1075" s="22"/>
      <c r="H1075" s="22"/>
      <c r="I1075" s="24"/>
      <c r="J1075" s="24"/>
      <c r="K1075" s="24"/>
      <c r="L1075" s="24"/>
      <c r="M1075" s="27" t="str">
        <f t="shared" si="67"/>
        <v/>
      </c>
      <c r="N1075" s="25"/>
      <c r="O1075" s="22"/>
      <c r="P1075" s="24"/>
      <c r="Q1075" s="26"/>
    </row>
    <row r="1076" spans="1:17" ht="15" x14ac:dyDescent="0.15">
      <c r="A1076" s="22"/>
      <c r="B1076" s="26" t="str">
        <f t="shared" si="64"/>
        <v/>
      </c>
      <c r="C1076" s="26" t="str">
        <f t="shared" si="65"/>
        <v/>
      </c>
      <c r="D1076" s="26" t="str">
        <f t="shared" si="66"/>
        <v/>
      </c>
      <c r="E1076" s="29"/>
      <c r="F1076" s="22"/>
      <c r="G1076" s="22"/>
      <c r="H1076" s="22"/>
      <c r="I1076" s="24"/>
      <c r="J1076" s="24"/>
      <c r="K1076" s="24"/>
      <c r="L1076" s="24"/>
      <c r="M1076" s="27" t="str">
        <f t="shared" si="67"/>
        <v/>
      </c>
      <c r="N1076" s="25"/>
      <c r="O1076" s="22"/>
      <c r="P1076" s="24"/>
      <c r="Q1076" s="26"/>
    </row>
    <row r="1077" spans="1:17" ht="15" x14ac:dyDescent="0.15">
      <c r="A1077" s="22"/>
      <c r="B1077" s="26" t="str">
        <f t="shared" si="64"/>
        <v/>
      </c>
      <c r="C1077" s="26" t="str">
        <f t="shared" si="65"/>
        <v/>
      </c>
      <c r="D1077" s="26" t="str">
        <f t="shared" si="66"/>
        <v/>
      </c>
      <c r="E1077" s="29"/>
      <c r="F1077" s="22"/>
      <c r="G1077" s="22"/>
      <c r="H1077" s="22"/>
      <c r="I1077" s="24"/>
      <c r="J1077" s="24"/>
      <c r="K1077" s="24"/>
      <c r="L1077" s="24"/>
      <c r="M1077" s="27" t="str">
        <f t="shared" si="67"/>
        <v/>
      </c>
      <c r="N1077" s="25"/>
      <c r="O1077" s="22"/>
      <c r="P1077" s="24"/>
      <c r="Q1077" s="26"/>
    </row>
    <row r="1078" spans="1:17" ht="15" x14ac:dyDescent="0.15">
      <c r="A1078" s="22"/>
      <c r="B1078" s="26" t="str">
        <f t="shared" si="64"/>
        <v/>
      </c>
      <c r="C1078" s="26" t="str">
        <f t="shared" si="65"/>
        <v/>
      </c>
      <c r="D1078" s="26" t="str">
        <f t="shared" si="66"/>
        <v/>
      </c>
      <c r="E1078" s="29"/>
      <c r="F1078" s="22"/>
      <c r="G1078" s="22"/>
      <c r="H1078" s="22"/>
      <c r="I1078" s="24"/>
      <c r="J1078" s="24"/>
      <c r="K1078" s="24"/>
      <c r="L1078" s="24"/>
      <c r="M1078" s="27" t="str">
        <f t="shared" si="67"/>
        <v/>
      </c>
      <c r="N1078" s="25"/>
      <c r="O1078" s="22"/>
      <c r="P1078" s="24"/>
      <c r="Q1078" s="26"/>
    </row>
    <row r="1079" spans="1:17" ht="15" x14ac:dyDescent="0.15">
      <c r="A1079" s="22"/>
      <c r="B1079" s="26" t="str">
        <f t="shared" si="64"/>
        <v/>
      </c>
      <c r="C1079" s="26" t="str">
        <f t="shared" si="65"/>
        <v/>
      </c>
      <c r="D1079" s="26" t="str">
        <f t="shared" si="66"/>
        <v/>
      </c>
      <c r="E1079" s="29"/>
      <c r="F1079" s="22"/>
      <c r="G1079" s="22"/>
      <c r="H1079" s="22"/>
      <c r="I1079" s="24"/>
      <c r="J1079" s="24"/>
      <c r="K1079" s="24"/>
      <c r="L1079" s="24"/>
      <c r="M1079" s="27" t="str">
        <f t="shared" si="67"/>
        <v/>
      </c>
      <c r="N1079" s="25"/>
      <c r="O1079" s="22"/>
      <c r="P1079" s="24"/>
      <c r="Q1079" s="26"/>
    </row>
    <row r="1080" spans="1:17" ht="15" x14ac:dyDescent="0.15">
      <c r="A1080" s="22"/>
      <c r="B1080" s="26" t="str">
        <f t="shared" si="64"/>
        <v/>
      </c>
      <c r="C1080" s="26" t="str">
        <f t="shared" si="65"/>
        <v/>
      </c>
      <c r="D1080" s="26" t="str">
        <f t="shared" si="66"/>
        <v/>
      </c>
      <c r="E1080" s="29"/>
      <c r="F1080" s="22"/>
      <c r="G1080" s="22"/>
      <c r="H1080" s="22"/>
      <c r="I1080" s="24"/>
      <c r="J1080" s="24"/>
      <c r="K1080" s="24"/>
      <c r="L1080" s="24"/>
      <c r="M1080" s="27" t="str">
        <f t="shared" si="67"/>
        <v/>
      </c>
      <c r="N1080" s="25"/>
      <c r="O1080" s="22"/>
      <c r="P1080" s="24"/>
      <c r="Q1080" s="26"/>
    </row>
    <row r="1081" spans="1:17" ht="15" x14ac:dyDescent="0.15">
      <c r="A1081" s="22"/>
      <c r="B1081" s="26" t="str">
        <f t="shared" si="64"/>
        <v/>
      </c>
      <c r="C1081" s="26" t="str">
        <f t="shared" si="65"/>
        <v/>
      </c>
      <c r="D1081" s="26" t="str">
        <f t="shared" si="66"/>
        <v/>
      </c>
      <c r="E1081" s="29"/>
      <c r="F1081" s="22"/>
      <c r="G1081" s="22"/>
      <c r="H1081" s="22"/>
      <c r="I1081" s="24"/>
      <c r="J1081" s="24"/>
      <c r="K1081" s="24"/>
      <c r="L1081" s="24"/>
      <c r="M1081" s="27" t="str">
        <f t="shared" si="67"/>
        <v/>
      </c>
      <c r="N1081" s="25"/>
      <c r="O1081" s="22"/>
      <c r="P1081" s="24"/>
      <c r="Q1081" s="26"/>
    </row>
    <row r="1082" spans="1:17" ht="15" x14ac:dyDescent="0.15">
      <c r="A1082" s="22"/>
      <c r="B1082" s="26" t="str">
        <f t="shared" si="64"/>
        <v/>
      </c>
      <c r="C1082" s="26" t="str">
        <f t="shared" si="65"/>
        <v/>
      </c>
      <c r="D1082" s="26" t="str">
        <f t="shared" si="66"/>
        <v/>
      </c>
      <c r="E1082" s="29"/>
      <c r="F1082" s="22"/>
      <c r="G1082" s="22"/>
      <c r="H1082" s="22"/>
      <c r="I1082" s="24"/>
      <c r="J1082" s="24"/>
      <c r="K1082" s="24"/>
      <c r="L1082" s="24"/>
      <c r="M1082" s="27" t="str">
        <f t="shared" si="67"/>
        <v/>
      </c>
      <c r="N1082" s="25"/>
      <c r="O1082" s="22"/>
      <c r="P1082" s="24"/>
      <c r="Q1082" s="26"/>
    </row>
    <row r="1083" spans="1:17" ht="15" x14ac:dyDescent="0.15">
      <c r="A1083" s="22"/>
      <c r="B1083" s="26" t="str">
        <f t="shared" si="64"/>
        <v/>
      </c>
      <c r="C1083" s="26" t="str">
        <f t="shared" si="65"/>
        <v/>
      </c>
      <c r="D1083" s="26" t="str">
        <f t="shared" si="66"/>
        <v/>
      </c>
      <c r="E1083" s="29"/>
      <c r="F1083" s="22"/>
      <c r="G1083" s="22"/>
      <c r="H1083" s="22"/>
      <c r="I1083" s="24"/>
      <c r="J1083" s="24"/>
      <c r="K1083" s="24"/>
      <c r="L1083" s="24"/>
      <c r="M1083" s="27" t="str">
        <f t="shared" si="67"/>
        <v/>
      </c>
      <c r="N1083" s="25"/>
      <c r="O1083" s="22"/>
      <c r="P1083" s="24"/>
      <c r="Q1083" s="26"/>
    </row>
    <row r="1084" spans="1:17" ht="15" x14ac:dyDescent="0.15">
      <c r="A1084" s="22"/>
      <c r="B1084" s="26" t="str">
        <f t="shared" si="64"/>
        <v/>
      </c>
      <c r="C1084" s="26" t="str">
        <f t="shared" si="65"/>
        <v/>
      </c>
      <c r="D1084" s="26" t="str">
        <f t="shared" si="66"/>
        <v/>
      </c>
      <c r="E1084" s="29"/>
      <c r="F1084" s="22"/>
      <c r="G1084" s="22"/>
      <c r="H1084" s="22"/>
      <c r="I1084" s="24"/>
      <c r="J1084" s="24"/>
      <c r="K1084" s="24"/>
      <c r="L1084" s="24"/>
      <c r="M1084" s="27" t="str">
        <f t="shared" si="67"/>
        <v/>
      </c>
      <c r="N1084" s="25"/>
      <c r="O1084" s="22"/>
      <c r="P1084" s="24"/>
      <c r="Q1084" s="26"/>
    </row>
    <row r="1085" spans="1:17" ht="15" x14ac:dyDescent="0.15">
      <c r="A1085" s="22"/>
      <c r="B1085" s="26" t="str">
        <f t="shared" si="64"/>
        <v/>
      </c>
      <c r="C1085" s="26" t="str">
        <f t="shared" si="65"/>
        <v/>
      </c>
      <c r="D1085" s="26" t="str">
        <f t="shared" si="66"/>
        <v/>
      </c>
      <c r="E1085" s="29"/>
      <c r="F1085" s="22"/>
      <c r="G1085" s="22"/>
      <c r="H1085" s="22"/>
      <c r="I1085" s="24"/>
      <c r="J1085" s="24"/>
      <c r="K1085" s="24"/>
      <c r="L1085" s="24"/>
      <c r="M1085" s="27" t="str">
        <f t="shared" si="67"/>
        <v/>
      </c>
      <c r="N1085" s="25"/>
      <c r="O1085" s="22"/>
      <c r="P1085" s="24"/>
      <c r="Q1085" s="26"/>
    </row>
    <row r="1086" spans="1:17" ht="15" x14ac:dyDescent="0.15">
      <c r="A1086" s="22"/>
      <c r="B1086" s="26" t="str">
        <f t="shared" si="64"/>
        <v/>
      </c>
      <c r="C1086" s="26" t="str">
        <f t="shared" si="65"/>
        <v/>
      </c>
      <c r="D1086" s="26" t="str">
        <f t="shared" si="66"/>
        <v/>
      </c>
      <c r="E1086" s="29"/>
      <c r="F1086" s="22"/>
      <c r="G1086" s="22"/>
      <c r="H1086" s="22"/>
      <c r="I1086" s="24"/>
      <c r="J1086" s="24"/>
      <c r="K1086" s="24"/>
      <c r="L1086" s="24"/>
      <c r="M1086" s="27" t="str">
        <f t="shared" si="67"/>
        <v/>
      </c>
      <c r="N1086" s="25"/>
      <c r="O1086" s="22"/>
      <c r="P1086" s="24"/>
      <c r="Q1086" s="26"/>
    </row>
    <row r="1087" spans="1:17" ht="15" x14ac:dyDescent="0.15">
      <c r="A1087" s="22"/>
      <c r="B1087" s="26" t="str">
        <f t="shared" si="64"/>
        <v/>
      </c>
      <c r="C1087" s="26" t="str">
        <f t="shared" si="65"/>
        <v/>
      </c>
      <c r="D1087" s="26" t="str">
        <f t="shared" si="66"/>
        <v/>
      </c>
      <c r="E1087" s="29"/>
      <c r="F1087" s="22"/>
      <c r="G1087" s="22"/>
      <c r="H1087" s="22"/>
      <c r="I1087" s="24"/>
      <c r="J1087" s="24"/>
      <c r="K1087" s="24"/>
      <c r="L1087" s="24"/>
      <c r="M1087" s="27" t="str">
        <f t="shared" si="67"/>
        <v/>
      </c>
      <c r="N1087" s="25"/>
      <c r="O1087" s="22"/>
      <c r="P1087" s="24"/>
      <c r="Q1087" s="26"/>
    </row>
    <row r="1088" spans="1:17" ht="15" x14ac:dyDescent="0.15">
      <c r="A1088" s="22"/>
      <c r="B1088" s="26" t="str">
        <f t="shared" si="64"/>
        <v/>
      </c>
      <c r="C1088" s="26" t="str">
        <f t="shared" si="65"/>
        <v/>
      </c>
      <c r="D1088" s="26" t="str">
        <f t="shared" si="66"/>
        <v/>
      </c>
      <c r="E1088" s="29"/>
      <c r="F1088" s="22"/>
      <c r="G1088" s="22"/>
      <c r="H1088" s="22"/>
      <c r="I1088" s="24"/>
      <c r="J1088" s="24"/>
      <c r="K1088" s="24"/>
      <c r="L1088" s="24"/>
      <c r="M1088" s="27" t="str">
        <f t="shared" si="67"/>
        <v/>
      </c>
      <c r="N1088" s="25"/>
      <c r="O1088" s="22"/>
      <c r="P1088" s="24"/>
      <c r="Q1088" s="26"/>
    </row>
    <row r="1089" spans="1:17" ht="15" x14ac:dyDescent="0.15">
      <c r="A1089" s="22"/>
      <c r="B1089" s="26" t="str">
        <f t="shared" si="64"/>
        <v/>
      </c>
      <c r="C1089" s="26" t="str">
        <f t="shared" si="65"/>
        <v/>
      </c>
      <c r="D1089" s="26" t="str">
        <f t="shared" si="66"/>
        <v/>
      </c>
      <c r="E1089" s="29"/>
      <c r="F1089" s="22"/>
      <c r="G1089" s="22"/>
      <c r="H1089" s="22"/>
      <c r="I1089" s="24"/>
      <c r="J1089" s="24"/>
      <c r="K1089" s="24"/>
      <c r="L1089" s="24"/>
      <c r="M1089" s="27" t="str">
        <f t="shared" si="67"/>
        <v/>
      </c>
      <c r="N1089" s="25"/>
      <c r="O1089" s="22"/>
      <c r="P1089" s="24"/>
      <c r="Q1089" s="26"/>
    </row>
    <row r="1090" spans="1:17" ht="15" x14ac:dyDescent="0.15">
      <c r="A1090" s="22"/>
      <c r="B1090" s="26" t="str">
        <f t="shared" si="64"/>
        <v/>
      </c>
      <c r="C1090" s="26" t="str">
        <f t="shared" si="65"/>
        <v/>
      </c>
      <c r="D1090" s="26" t="str">
        <f t="shared" si="66"/>
        <v/>
      </c>
      <c r="E1090" s="29"/>
      <c r="F1090" s="22"/>
      <c r="G1090" s="22"/>
      <c r="H1090" s="22"/>
      <c r="I1090" s="24"/>
      <c r="J1090" s="24"/>
      <c r="K1090" s="24"/>
      <c r="L1090" s="24"/>
      <c r="M1090" s="27" t="str">
        <f t="shared" si="67"/>
        <v/>
      </c>
      <c r="N1090" s="25"/>
      <c r="O1090" s="22"/>
      <c r="P1090" s="24"/>
      <c r="Q1090" s="26"/>
    </row>
    <row r="1091" spans="1:17" ht="15" x14ac:dyDescent="0.15">
      <c r="A1091" s="22"/>
      <c r="B1091" s="26" t="str">
        <f t="shared" si="64"/>
        <v/>
      </c>
      <c r="C1091" s="26" t="str">
        <f t="shared" si="65"/>
        <v/>
      </c>
      <c r="D1091" s="26" t="str">
        <f t="shared" si="66"/>
        <v/>
      </c>
      <c r="E1091" s="29"/>
      <c r="F1091" s="22"/>
      <c r="G1091" s="22"/>
      <c r="H1091" s="22"/>
      <c r="I1091" s="24"/>
      <c r="J1091" s="24"/>
      <c r="K1091" s="24"/>
      <c r="L1091" s="24"/>
      <c r="M1091" s="27" t="str">
        <f t="shared" si="67"/>
        <v/>
      </c>
      <c r="N1091" s="25"/>
      <c r="O1091" s="22"/>
      <c r="P1091" s="24"/>
      <c r="Q1091" s="26"/>
    </row>
    <row r="1092" spans="1:17" ht="15" x14ac:dyDescent="0.15">
      <c r="A1092" s="22"/>
      <c r="B1092" s="26" t="str">
        <f t="shared" si="64"/>
        <v/>
      </c>
      <c r="C1092" s="26" t="str">
        <f t="shared" si="65"/>
        <v/>
      </c>
      <c r="D1092" s="26" t="str">
        <f t="shared" si="66"/>
        <v/>
      </c>
      <c r="E1092" s="29"/>
      <c r="F1092" s="22"/>
      <c r="G1092" s="22"/>
      <c r="H1092" s="22"/>
      <c r="I1092" s="24"/>
      <c r="J1092" s="24"/>
      <c r="K1092" s="24"/>
      <c r="L1092" s="24"/>
      <c r="M1092" s="27" t="str">
        <f t="shared" si="67"/>
        <v/>
      </c>
      <c r="N1092" s="25"/>
      <c r="O1092" s="22"/>
      <c r="P1092" s="24"/>
      <c r="Q1092" s="26"/>
    </row>
    <row r="1093" spans="1:17" ht="15" x14ac:dyDescent="0.15">
      <c r="A1093" s="22"/>
      <c r="B1093" s="26" t="str">
        <f t="shared" si="64"/>
        <v/>
      </c>
      <c r="C1093" s="26" t="str">
        <f t="shared" si="65"/>
        <v/>
      </c>
      <c r="D1093" s="26" t="str">
        <f t="shared" si="66"/>
        <v/>
      </c>
      <c r="E1093" s="29"/>
      <c r="F1093" s="22"/>
      <c r="G1093" s="22"/>
      <c r="H1093" s="22"/>
      <c r="I1093" s="24"/>
      <c r="J1093" s="24"/>
      <c r="K1093" s="24"/>
      <c r="L1093" s="24"/>
      <c r="M1093" s="27" t="str">
        <f t="shared" si="67"/>
        <v/>
      </c>
      <c r="N1093" s="25"/>
      <c r="O1093" s="22"/>
      <c r="P1093" s="24"/>
      <c r="Q1093" s="26"/>
    </row>
    <row r="1094" spans="1:17" ht="15" x14ac:dyDescent="0.15">
      <c r="A1094" s="22"/>
      <c r="B1094" s="26" t="str">
        <f t="shared" si="64"/>
        <v/>
      </c>
      <c r="C1094" s="26" t="str">
        <f t="shared" si="65"/>
        <v/>
      </c>
      <c r="D1094" s="26" t="str">
        <f t="shared" si="66"/>
        <v/>
      </c>
      <c r="E1094" s="29"/>
      <c r="F1094" s="22"/>
      <c r="G1094" s="22"/>
      <c r="H1094" s="22"/>
      <c r="I1094" s="24"/>
      <c r="J1094" s="24"/>
      <c r="K1094" s="24"/>
      <c r="L1094" s="24"/>
      <c r="M1094" s="27" t="str">
        <f t="shared" si="67"/>
        <v/>
      </c>
      <c r="N1094" s="25"/>
      <c r="O1094" s="22"/>
      <c r="P1094" s="24"/>
      <c r="Q1094" s="26"/>
    </row>
    <row r="1095" spans="1:17" ht="15" x14ac:dyDescent="0.15">
      <c r="A1095" s="22"/>
      <c r="B1095" s="26" t="str">
        <f t="shared" ref="B1095:B1158" si="68">IFERROR(IF($A1095="","",LEFT($A1095,FIND(" | ",$A1095)-1)),"")</f>
        <v/>
      </c>
      <c r="C1095" s="26" t="str">
        <f t="shared" ref="C1095:C1158" si="69">IFERROR(IF($A1095="","",MID($A1095,FIND(" | ",$A1095)+3,FIND(" | ",$A1095,FIND(" | ",$A1095)+3)-FIND(" | ",$A1095)-3)),"")</f>
        <v/>
      </c>
      <c r="D1095" s="26" t="str">
        <f t="shared" ref="D1095:D1158" si="70">IFERROR(IF($A1095="","",RIGHT($A1095,LEN($A1095)-FIND(" | ",$A1095,FIND(" | ",$A1095)+3)-2)),"")</f>
        <v/>
      </c>
      <c r="E1095" s="29"/>
      <c r="F1095" s="22"/>
      <c r="G1095" s="22"/>
      <c r="H1095" s="22"/>
      <c r="I1095" s="24"/>
      <c r="J1095" s="24"/>
      <c r="K1095" s="24"/>
      <c r="L1095" s="24"/>
      <c r="M1095" s="27" t="str">
        <f t="shared" ref="M1095:M1158" si="71">IF($B1095="","",SUM($J1095,-$K1095,$L1095))</f>
        <v/>
      </c>
      <c r="N1095" s="25"/>
      <c r="O1095" s="22"/>
      <c r="P1095" s="24"/>
      <c r="Q1095" s="26"/>
    </row>
    <row r="1096" spans="1:17" ht="15" x14ac:dyDescent="0.15">
      <c r="A1096" s="22"/>
      <c r="B1096" s="26" t="str">
        <f t="shared" si="68"/>
        <v/>
      </c>
      <c r="C1096" s="26" t="str">
        <f t="shared" si="69"/>
        <v/>
      </c>
      <c r="D1096" s="26" t="str">
        <f t="shared" si="70"/>
        <v/>
      </c>
      <c r="E1096" s="29"/>
      <c r="F1096" s="22"/>
      <c r="G1096" s="22"/>
      <c r="H1096" s="22"/>
      <c r="I1096" s="24"/>
      <c r="J1096" s="24"/>
      <c r="K1096" s="24"/>
      <c r="L1096" s="24"/>
      <c r="M1096" s="27" t="str">
        <f t="shared" si="71"/>
        <v/>
      </c>
      <c r="N1096" s="25"/>
      <c r="O1096" s="22"/>
      <c r="P1096" s="24"/>
      <c r="Q1096" s="26"/>
    </row>
    <row r="1097" spans="1:17" ht="15" x14ac:dyDescent="0.15">
      <c r="A1097" s="22"/>
      <c r="B1097" s="26" t="str">
        <f t="shared" si="68"/>
        <v/>
      </c>
      <c r="C1097" s="26" t="str">
        <f t="shared" si="69"/>
        <v/>
      </c>
      <c r="D1097" s="26" t="str">
        <f t="shared" si="70"/>
        <v/>
      </c>
      <c r="E1097" s="29"/>
      <c r="F1097" s="22"/>
      <c r="G1097" s="22"/>
      <c r="H1097" s="22"/>
      <c r="I1097" s="24"/>
      <c r="J1097" s="24"/>
      <c r="K1097" s="24"/>
      <c r="L1097" s="24"/>
      <c r="M1097" s="27" t="str">
        <f t="shared" si="71"/>
        <v/>
      </c>
      <c r="N1097" s="25"/>
      <c r="O1097" s="22"/>
      <c r="P1097" s="24"/>
      <c r="Q1097" s="26"/>
    </row>
    <row r="1098" spans="1:17" ht="15" x14ac:dyDescent="0.15">
      <c r="A1098" s="22"/>
      <c r="B1098" s="26" t="str">
        <f t="shared" si="68"/>
        <v/>
      </c>
      <c r="C1098" s="26" t="str">
        <f t="shared" si="69"/>
        <v/>
      </c>
      <c r="D1098" s="26" t="str">
        <f t="shared" si="70"/>
        <v/>
      </c>
      <c r="E1098" s="29"/>
      <c r="F1098" s="22"/>
      <c r="G1098" s="22"/>
      <c r="H1098" s="22"/>
      <c r="I1098" s="24"/>
      <c r="J1098" s="24"/>
      <c r="K1098" s="24"/>
      <c r="L1098" s="24"/>
      <c r="M1098" s="27" t="str">
        <f t="shared" si="71"/>
        <v/>
      </c>
      <c r="N1098" s="25"/>
      <c r="O1098" s="22"/>
      <c r="P1098" s="24"/>
      <c r="Q1098" s="26"/>
    </row>
    <row r="1099" spans="1:17" ht="15" x14ac:dyDescent="0.15">
      <c r="A1099" s="22"/>
      <c r="B1099" s="26" t="str">
        <f t="shared" si="68"/>
        <v/>
      </c>
      <c r="C1099" s="26" t="str">
        <f t="shared" si="69"/>
        <v/>
      </c>
      <c r="D1099" s="26" t="str">
        <f t="shared" si="70"/>
        <v/>
      </c>
      <c r="E1099" s="29"/>
      <c r="F1099" s="22"/>
      <c r="G1099" s="22"/>
      <c r="H1099" s="22"/>
      <c r="I1099" s="24"/>
      <c r="J1099" s="24"/>
      <c r="K1099" s="24"/>
      <c r="L1099" s="24"/>
      <c r="M1099" s="27" t="str">
        <f t="shared" si="71"/>
        <v/>
      </c>
      <c r="N1099" s="25"/>
      <c r="O1099" s="22"/>
      <c r="P1099" s="24"/>
      <c r="Q1099" s="26"/>
    </row>
    <row r="1100" spans="1:17" ht="15" x14ac:dyDescent="0.15">
      <c r="A1100" s="22"/>
      <c r="B1100" s="26" t="str">
        <f t="shared" si="68"/>
        <v/>
      </c>
      <c r="C1100" s="26" t="str">
        <f t="shared" si="69"/>
        <v/>
      </c>
      <c r="D1100" s="26" t="str">
        <f t="shared" si="70"/>
        <v/>
      </c>
      <c r="E1100" s="29"/>
      <c r="F1100" s="22"/>
      <c r="G1100" s="22"/>
      <c r="H1100" s="22"/>
      <c r="I1100" s="24"/>
      <c r="J1100" s="24"/>
      <c r="K1100" s="24"/>
      <c r="L1100" s="24"/>
      <c r="M1100" s="27" t="str">
        <f t="shared" si="71"/>
        <v/>
      </c>
      <c r="N1100" s="25"/>
      <c r="O1100" s="22"/>
      <c r="P1100" s="24"/>
      <c r="Q1100" s="26"/>
    </row>
    <row r="1101" spans="1:17" ht="15" x14ac:dyDescent="0.15">
      <c r="A1101" s="22"/>
      <c r="B1101" s="26" t="str">
        <f t="shared" si="68"/>
        <v/>
      </c>
      <c r="C1101" s="26" t="str">
        <f t="shared" si="69"/>
        <v/>
      </c>
      <c r="D1101" s="26" t="str">
        <f t="shared" si="70"/>
        <v/>
      </c>
      <c r="E1101" s="29"/>
      <c r="F1101" s="22"/>
      <c r="G1101" s="22"/>
      <c r="H1101" s="22"/>
      <c r="I1101" s="24"/>
      <c r="J1101" s="24"/>
      <c r="K1101" s="24"/>
      <c r="L1101" s="24"/>
      <c r="M1101" s="27" t="str">
        <f t="shared" si="71"/>
        <v/>
      </c>
      <c r="N1101" s="25"/>
      <c r="O1101" s="22"/>
      <c r="P1101" s="24"/>
      <c r="Q1101" s="26"/>
    </row>
    <row r="1102" spans="1:17" ht="15" x14ac:dyDescent="0.15">
      <c r="A1102" s="22"/>
      <c r="B1102" s="26" t="str">
        <f t="shared" si="68"/>
        <v/>
      </c>
      <c r="C1102" s="26" t="str">
        <f t="shared" si="69"/>
        <v/>
      </c>
      <c r="D1102" s="26" t="str">
        <f t="shared" si="70"/>
        <v/>
      </c>
      <c r="E1102" s="29"/>
      <c r="F1102" s="22"/>
      <c r="G1102" s="22"/>
      <c r="H1102" s="22"/>
      <c r="I1102" s="24"/>
      <c r="J1102" s="24"/>
      <c r="K1102" s="24"/>
      <c r="L1102" s="24"/>
      <c r="M1102" s="27" t="str">
        <f t="shared" si="71"/>
        <v/>
      </c>
      <c r="N1102" s="25"/>
      <c r="O1102" s="22"/>
      <c r="P1102" s="24"/>
      <c r="Q1102" s="26"/>
    </row>
    <row r="1103" spans="1:17" ht="15" x14ac:dyDescent="0.15">
      <c r="A1103" s="22"/>
      <c r="B1103" s="26" t="str">
        <f t="shared" si="68"/>
        <v/>
      </c>
      <c r="C1103" s="26" t="str">
        <f t="shared" si="69"/>
        <v/>
      </c>
      <c r="D1103" s="26" t="str">
        <f t="shared" si="70"/>
        <v/>
      </c>
      <c r="E1103" s="29"/>
      <c r="F1103" s="22"/>
      <c r="G1103" s="22"/>
      <c r="H1103" s="22"/>
      <c r="I1103" s="24"/>
      <c r="J1103" s="24"/>
      <c r="K1103" s="24"/>
      <c r="L1103" s="24"/>
      <c r="M1103" s="27" t="str">
        <f t="shared" si="71"/>
        <v/>
      </c>
      <c r="N1103" s="25"/>
      <c r="O1103" s="22"/>
      <c r="P1103" s="24"/>
      <c r="Q1103" s="26"/>
    </row>
    <row r="1104" spans="1:17" ht="15" x14ac:dyDescent="0.15">
      <c r="A1104" s="22"/>
      <c r="B1104" s="26" t="str">
        <f t="shared" si="68"/>
        <v/>
      </c>
      <c r="C1104" s="26" t="str">
        <f t="shared" si="69"/>
        <v/>
      </c>
      <c r="D1104" s="26" t="str">
        <f t="shared" si="70"/>
        <v/>
      </c>
      <c r="E1104" s="29"/>
      <c r="F1104" s="22"/>
      <c r="G1104" s="22"/>
      <c r="H1104" s="22"/>
      <c r="I1104" s="24"/>
      <c r="J1104" s="24"/>
      <c r="K1104" s="24"/>
      <c r="L1104" s="24"/>
      <c r="M1104" s="27" t="str">
        <f t="shared" si="71"/>
        <v/>
      </c>
      <c r="N1104" s="25"/>
      <c r="O1104" s="22"/>
      <c r="P1104" s="24"/>
      <c r="Q1104" s="26"/>
    </row>
    <row r="1105" spans="1:17" ht="15" x14ac:dyDescent="0.15">
      <c r="A1105" s="22"/>
      <c r="B1105" s="26" t="str">
        <f t="shared" si="68"/>
        <v/>
      </c>
      <c r="C1105" s="26" t="str">
        <f t="shared" si="69"/>
        <v/>
      </c>
      <c r="D1105" s="26" t="str">
        <f t="shared" si="70"/>
        <v/>
      </c>
      <c r="E1105" s="29"/>
      <c r="F1105" s="22"/>
      <c r="G1105" s="22"/>
      <c r="H1105" s="22"/>
      <c r="I1105" s="24"/>
      <c r="J1105" s="24"/>
      <c r="K1105" s="24"/>
      <c r="L1105" s="24"/>
      <c r="M1105" s="27" t="str">
        <f t="shared" si="71"/>
        <v/>
      </c>
      <c r="N1105" s="25"/>
      <c r="O1105" s="22"/>
      <c r="P1105" s="24"/>
      <c r="Q1105" s="26"/>
    </row>
    <row r="1106" spans="1:17" ht="15" x14ac:dyDescent="0.15">
      <c r="A1106" s="22"/>
      <c r="B1106" s="26" t="str">
        <f t="shared" si="68"/>
        <v/>
      </c>
      <c r="C1106" s="26" t="str">
        <f t="shared" si="69"/>
        <v/>
      </c>
      <c r="D1106" s="26" t="str">
        <f t="shared" si="70"/>
        <v/>
      </c>
      <c r="E1106" s="29"/>
      <c r="F1106" s="22"/>
      <c r="G1106" s="22"/>
      <c r="H1106" s="22"/>
      <c r="I1106" s="24"/>
      <c r="J1106" s="24"/>
      <c r="K1106" s="24"/>
      <c r="L1106" s="24"/>
      <c r="M1106" s="27" t="str">
        <f t="shared" si="71"/>
        <v/>
      </c>
      <c r="N1106" s="25"/>
      <c r="O1106" s="22"/>
      <c r="P1106" s="24"/>
      <c r="Q1106" s="26"/>
    </row>
    <row r="1107" spans="1:17" ht="15" x14ac:dyDescent="0.15">
      <c r="A1107" s="22"/>
      <c r="B1107" s="26" t="str">
        <f t="shared" si="68"/>
        <v/>
      </c>
      <c r="C1107" s="26" t="str">
        <f t="shared" si="69"/>
        <v/>
      </c>
      <c r="D1107" s="26" t="str">
        <f t="shared" si="70"/>
        <v/>
      </c>
      <c r="E1107" s="29"/>
      <c r="F1107" s="22"/>
      <c r="G1107" s="22"/>
      <c r="H1107" s="22"/>
      <c r="I1107" s="24"/>
      <c r="J1107" s="24"/>
      <c r="K1107" s="24"/>
      <c r="L1107" s="24"/>
      <c r="M1107" s="27" t="str">
        <f t="shared" si="71"/>
        <v/>
      </c>
      <c r="N1107" s="25"/>
      <c r="O1107" s="22"/>
      <c r="P1107" s="24"/>
      <c r="Q1107" s="26"/>
    </row>
    <row r="1108" spans="1:17" ht="15" x14ac:dyDescent="0.15">
      <c r="A1108" s="22"/>
      <c r="B1108" s="26" t="str">
        <f t="shared" si="68"/>
        <v/>
      </c>
      <c r="C1108" s="26" t="str">
        <f t="shared" si="69"/>
        <v/>
      </c>
      <c r="D1108" s="26" t="str">
        <f t="shared" si="70"/>
        <v/>
      </c>
      <c r="E1108" s="29"/>
      <c r="F1108" s="22"/>
      <c r="G1108" s="22"/>
      <c r="H1108" s="22"/>
      <c r="I1108" s="24"/>
      <c r="J1108" s="24"/>
      <c r="K1108" s="24"/>
      <c r="L1108" s="24"/>
      <c r="M1108" s="27" t="str">
        <f t="shared" si="71"/>
        <v/>
      </c>
      <c r="N1108" s="25"/>
      <c r="O1108" s="22"/>
      <c r="P1108" s="24"/>
      <c r="Q1108" s="26"/>
    </row>
    <row r="1109" spans="1:17" ht="15" x14ac:dyDescent="0.15">
      <c r="A1109" s="22"/>
      <c r="B1109" s="26" t="str">
        <f t="shared" si="68"/>
        <v/>
      </c>
      <c r="C1109" s="26" t="str">
        <f t="shared" si="69"/>
        <v/>
      </c>
      <c r="D1109" s="26" t="str">
        <f t="shared" si="70"/>
        <v/>
      </c>
      <c r="E1109" s="29"/>
      <c r="F1109" s="22"/>
      <c r="G1109" s="22"/>
      <c r="H1109" s="22"/>
      <c r="I1109" s="24"/>
      <c r="J1109" s="24"/>
      <c r="K1109" s="24"/>
      <c r="L1109" s="24"/>
      <c r="M1109" s="27" t="str">
        <f t="shared" si="71"/>
        <v/>
      </c>
      <c r="N1109" s="25"/>
      <c r="O1109" s="22"/>
      <c r="P1109" s="24"/>
      <c r="Q1109" s="26"/>
    </row>
    <row r="1110" spans="1:17" ht="15" x14ac:dyDescent="0.15">
      <c r="A1110" s="22"/>
      <c r="B1110" s="26" t="str">
        <f t="shared" si="68"/>
        <v/>
      </c>
      <c r="C1110" s="26" t="str">
        <f t="shared" si="69"/>
        <v/>
      </c>
      <c r="D1110" s="26" t="str">
        <f t="shared" si="70"/>
        <v/>
      </c>
      <c r="E1110" s="29"/>
      <c r="F1110" s="22"/>
      <c r="G1110" s="22"/>
      <c r="H1110" s="22"/>
      <c r="I1110" s="24"/>
      <c r="J1110" s="24"/>
      <c r="K1110" s="24"/>
      <c r="L1110" s="24"/>
      <c r="M1110" s="27" t="str">
        <f t="shared" si="71"/>
        <v/>
      </c>
      <c r="N1110" s="25"/>
      <c r="O1110" s="22"/>
      <c r="P1110" s="24"/>
      <c r="Q1110" s="26"/>
    </row>
    <row r="1111" spans="1:17" ht="15" x14ac:dyDescent="0.15">
      <c r="A1111" s="22"/>
      <c r="B1111" s="26" t="str">
        <f t="shared" si="68"/>
        <v/>
      </c>
      <c r="C1111" s="26" t="str">
        <f t="shared" si="69"/>
        <v/>
      </c>
      <c r="D1111" s="26" t="str">
        <f t="shared" si="70"/>
        <v/>
      </c>
      <c r="E1111" s="29"/>
      <c r="F1111" s="22"/>
      <c r="G1111" s="22"/>
      <c r="H1111" s="22"/>
      <c r="I1111" s="24"/>
      <c r="J1111" s="24"/>
      <c r="K1111" s="24"/>
      <c r="L1111" s="24"/>
      <c r="M1111" s="27" t="str">
        <f t="shared" si="71"/>
        <v/>
      </c>
      <c r="N1111" s="25"/>
      <c r="O1111" s="22"/>
      <c r="P1111" s="24"/>
      <c r="Q1111" s="26"/>
    </row>
    <row r="1112" spans="1:17" ht="15" x14ac:dyDescent="0.15">
      <c r="A1112" s="22"/>
      <c r="B1112" s="26" t="str">
        <f t="shared" si="68"/>
        <v/>
      </c>
      <c r="C1112" s="26" t="str">
        <f t="shared" si="69"/>
        <v/>
      </c>
      <c r="D1112" s="26" t="str">
        <f t="shared" si="70"/>
        <v/>
      </c>
      <c r="E1112" s="29"/>
      <c r="F1112" s="22"/>
      <c r="G1112" s="22"/>
      <c r="H1112" s="22"/>
      <c r="I1112" s="24"/>
      <c r="J1112" s="24"/>
      <c r="K1112" s="24"/>
      <c r="L1112" s="24"/>
      <c r="M1112" s="27" t="str">
        <f t="shared" si="71"/>
        <v/>
      </c>
      <c r="N1112" s="25"/>
      <c r="O1112" s="22"/>
      <c r="P1112" s="24"/>
      <c r="Q1112" s="26"/>
    </row>
    <row r="1113" spans="1:17" ht="15" x14ac:dyDescent="0.15">
      <c r="A1113" s="22"/>
      <c r="B1113" s="26" t="str">
        <f t="shared" si="68"/>
        <v/>
      </c>
      <c r="C1113" s="26" t="str">
        <f t="shared" si="69"/>
        <v/>
      </c>
      <c r="D1113" s="26" t="str">
        <f t="shared" si="70"/>
        <v/>
      </c>
      <c r="E1113" s="29"/>
      <c r="F1113" s="22"/>
      <c r="G1113" s="22"/>
      <c r="H1113" s="22"/>
      <c r="I1113" s="24"/>
      <c r="J1113" s="24"/>
      <c r="K1113" s="24"/>
      <c r="L1113" s="24"/>
      <c r="M1113" s="27" t="str">
        <f t="shared" si="71"/>
        <v/>
      </c>
      <c r="N1113" s="25"/>
      <c r="O1113" s="22"/>
      <c r="P1113" s="24"/>
      <c r="Q1113" s="26"/>
    </row>
    <row r="1114" spans="1:17" ht="15" x14ac:dyDescent="0.15">
      <c r="A1114" s="22"/>
      <c r="B1114" s="26" t="str">
        <f t="shared" si="68"/>
        <v/>
      </c>
      <c r="C1114" s="26" t="str">
        <f t="shared" si="69"/>
        <v/>
      </c>
      <c r="D1114" s="26" t="str">
        <f t="shared" si="70"/>
        <v/>
      </c>
      <c r="E1114" s="29"/>
      <c r="F1114" s="22"/>
      <c r="G1114" s="22"/>
      <c r="H1114" s="22"/>
      <c r="I1114" s="24"/>
      <c r="J1114" s="24"/>
      <c r="K1114" s="24"/>
      <c r="L1114" s="24"/>
      <c r="M1114" s="27" t="str">
        <f t="shared" si="71"/>
        <v/>
      </c>
      <c r="N1114" s="25"/>
      <c r="O1114" s="22"/>
      <c r="P1114" s="24"/>
      <c r="Q1114" s="26"/>
    </row>
    <row r="1115" spans="1:17" ht="15" x14ac:dyDescent="0.15">
      <c r="A1115" s="22"/>
      <c r="B1115" s="26" t="str">
        <f t="shared" si="68"/>
        <v/>
      </c>
      <c r="C1115" s="26" t="str">
        <f t="shared" si="69"/>
        <v/>
      </c>
      <c r="D1115" s="26" t="str">
        <f t="shared" si="70"/>
        <v/>
      </c>
      <c r="E1115" s="29"/>
      <c r="F1115" s="22"/>
      <c r="G1115" s="22"/>
      <c r="H1115" s="22"/>
      <c r="I1115" s="24"/>
      <c r="J1115" s="24"/>
      <c r="K1115" s="24"/>
      <c r="L1115" s="24"/>
      <c r="M1115" s="27" t="str">
        <f t="shared" si="71"/>
        <v/>
      </c>
      <c r="N1115" s="25"/>
      <c r="O1115" s="22"/>
      <c r="P1115" s="24"/>
      <c r="Q1115" s="26"/>
    </row>
    <row r="1116" spans="1:17" ht="15" x14ac:dyDescent="0.15">
      <c r="A1116" s="22"/>
      <c r="B1116" s="26" t="str">
        <f t="shared" si="68"/>
        <v/>
      </c>
      <c r="C1116" s="26" t="str">
        <f t="shared" si="69"/>
        <v/>
      </c>
      <c r="D1116" s="26" t="str">
        <f t="shared" si="70"/>
        <v/>
      </c>
      <c r="E1116" s="29"/>
      <c r="F1116" s="22"/>
      <c r="G1116" s="22"/>
      <c r="H1116" s="22"/>
      <c r="I1116" s="24"/>
      <c r="J1116" s="24"/>
      <c r="K1116" s="24"/>
      <c r="L1116" s="24"/>
      <c r="M1116" s="27" t="str">
        <f t="shared" si="71"/>
        <v/>
      </c>
      <c r="N1116" s="25"/>
      <c r="O1116" s="22"/>
      <c r="P1116" s="24"/>
      <c r="Q1116" s="26"/>
    </row>
    <row r="1117" spans="1:17" ht="15" x14ac:dyDescent="0.15">
      <c r="A1117" s="22"/>
      <c r="B1117" s="26" t="str">
        <f t="shared" si="68"/>
        <v/>
      </c>
      <c r="C1117" s="26" t="str">
        <f t="shared" si="69"/>
        <v/>
      </c>
      <c r="D1117" s="26" t="str">
        <f t="shared" si="70"/>
        <v/>
      </c>
      <c r="E1117" s="29"/>
      <c r="F1117" s="22"/>
      <c r="G1117" s="22"/>
      <c r="H1117" s="22"/>
      <c r="I1117" s="24"/>
      <c r="J1117" s="24"/>
      <c r="K1117" s="24"/>
      <c r="L1117" s="24"/>
      <c r="M1117" s="27" t="str">
        <f t="shared" si="71"/>
        <v/>
      </c>
      <c r="N1117" s="25"/>
      <c r="O1117" s="22"/>
      <c r="P1117" s="24"/>
      <c r="Q1117" s="26"/>
    </row>
    <row r="1118" spans="1:17" ht="15" x14ac:dyDescent="0.15">
      <c r="A1118" s="22"/>
      <c r="B1118" s="26" t="str">
        <f t="shared" si="68"/>
        <v/>
      </c>
      <c r="C1118" s="26" t="str">
        <f t="shared" si="69"/>
        <v/>
      </c>
      <c r="D1118" s="26" t="str">
        <f t="shared" si="70"/>
        <v/>
      </c>
      <c r="E1118" s="29"/>
      <c r="F1118" s="22"/>
      <c r="G1118" s="22"/>
      <c r="H1118" s="22"/>
      <c r="I1118" s="24"/>
      <c r="J1118" s="24"/>
      <c r="K1118" s="24"/>
      <c r="L1118" s="24"/>
      <c r="M1118" s="27" t="str">
        <f t="shared" si="71"/>
        <v/>
      </c>
      <c r="N1118" s="25"/>
      <c r="O1118" s="22"/>
      <c r="P1118" s="24"/>
      <c r="Q1118" s="26"/>
    </row>
    <row r="1119" spans="1:17" ht="15" x14ac:dyDescent="0.15">
      <c r="A1119" s="22"/>
      <c r="B1119" s="26" t="str">
        <f t="shared" si="68"/>
        <v/>
      </c>
      <c r="C1119" s="26" t="str">
        <f t="shared" si="69"/>
        <v/>
      </c>
      <c r="D1119" s="26" t="str">
        <f t="shared" si="70"/>
        <v/>
      </c>
      <c r="E1119" s="29"/>
      <c r="F1119" s="22"/>
      <c r="G1119" s="22"/>
      <c r="H1119" s="22"/>
      <c r="I1119" s="24"/>
      <c r="J1119" s="24"/>
      <c r="K1119" s="24"/>
      <c r="L1119" s="24"/>
      <c r="M1119" s="27" t="str">
        <f t="shared" si="71"/>
        <v/>
      </c>
      <c r="N1119" s="25"/>
      <c r="O1119" s="22"/>
      <c r="P1119" s="24"/>
      <c r="Q1119" s="26"/>
    </row>
    <row r="1120" spans="1:17" ht="15" x14ac:dyDescent="0.15">
      <c r="A1120" s="22"/>
      <c r="B1120" s="26" t="str">
        <f t="shared" si="68"/>
        <v/>
      </c>
      <c r="C1120" s="26" t="str">
        <f t="shared" si="69"/>
        <v/>
      </c>
      <c r="D1120" s="26" t="str">
        <f t="shared" si="70"/>
        <v/>
      </c>
      <c r="E1120" s="29"/>
      <c r="F1120" s="22"/>
      <c r="G1120" s="22"/>
      <c r="H1120" s="22"/>
      <c r="I1120" s="24"/>
      <c r="J1120" s="24"/>
      <c r="K1120" s="24"/>
      <c r="L1120" s="24"/>
      <c r="M1120" s="27" t="str">
        <f t="shared" si="71"/>
        <v/>
      </c>
      <c r="N1120" s="25"/>
      <c r="O1120" s="22"/>
      <c r="P1120" s="24"/>
      <c r="Q1120" s="26"/>
    </row>
    <row r="1121" spans="1:17" ht="15" x14ac:dyDescent="0.15">
      <c r="A1121" s="22"/>
      <c r="B1121" s="26" t="str">
        <f t="shared" si="68"/>
        <v/>
      </c>
      <c r="C1121" s="26" t="str">
        <f t="shared" si="69"/>
        <v/>
      </c>
      <c r="D1121" s="26" t="str">
        <f t="shared" si="70"/>
        <v/>
      </c>
      <c r="E1121" s="29"/>
      <c r="F1121" s="22"/>
      <c r="G1121" s="22"/>
      <c r="H1121" s="22"/>
      <c r="I1121" s="24"/>
      <c r="J1121" s="24"/>
      <c r="K1121" s="24"/>
      <c r="L1121" s="24"/>
      <c r="M1121" s="27" t="str">
        <f t="shared" si="71"/>
        <v/>
      </c>
      <c r="N1121" s="25"/>
      <c r="O1121" s="22"/>
      <c r="P1121" s="24"/>
      <c r="Q1121" s="26"/>
    </row>
    <row r="1122" spans="1:17" ht="15" x14ac:dyDescent="0.15">
      <c r="A1122" s="22"/>
      <c r="B1122" s="26" t="str">
        <f t="shared" si="68"/>
        <v/>
      </c>
      <c r="C1122" s="26" t="str">
        <f t="shared" si="69"/>
        <v/>
      </c>
      <c r="D1122" s="26" t="str">
        <f t="shared" si="70"/>
        <v/>
      </c>
      <c r="E1122" s="29"/>
      <c r="F1122" s="22"/>
      <c r="G1122" s="22"/>
      <c r="H1122" s="22"/>
      <c r="I1122" s="24"/>
      <c r="J1122" s="24"/>
      <c r="K1122" s="24"/>
      <c r="L1122" s="24"/>
      <c r="M1122" s="27" t="str">
        <f t="shared" si="71"/>
        <v/>
      </c>
      <c r="N1122" s="25"/>
      <c r="O1122" s="22"/>
      <c r="P1122" s="24"/>
      <c r="Q1122" s="26"/>
    </row>
    <row r="1123" spans="1:17" ht="15" x14ac:dyDescent="0.15">
      <c r="A1123" s="22"/>
      <c r="B1123" s="26" t="str">
        <f t="shared" si="68"/>
        <v/>
      </c>
      <c r="C1123" s="26" t="str">
        <f t="shared" si="69"/>
        <v/>
      </c>
      <c r="D1123" s="26" t="str">
        <f t="shared" si="70"/>
        <v/>
      </c>
      <c r="E1123" s="29"/>
      <c r="F1123" s="22"/>
      <c r="G1123" s="22"/>
      <c r="H1123" s="22"/>
      <c r="I1123" s="24"/>
      <c r="J1123" s="24"/>
      <c r="K1123" s="24"/>
      <c r="L1123" s="24"/>
      <c r="M1123" s="27" t="str">
        <f t="shared" si="71"/>
        <v/>
      </c>
      <c r="N1123" s="25"/>
      <c r="O1123" s="22"/>
      <c r="P1123" s="24"/>
      <c r="Q1123" s="26"/>
    </row>
    <row r="1124" spans="1:17" ht="15" x14ac:dyDescent="0.15">
      <c r="A1124" s="22"/>
      <c r="B1124" s="26" t="str">
        <f t="shared" si="68"/>
        <v/>
      </c>
      <c r="C1124" s="26" t="str">
        <f t="shared" si="69"/>
        <v/>
      </c>
      <c r="D1124" s="26" t="str">
        <f t="shared" si="70"/>
        <v/>
      </c>
      <c r="E1124" s="29"/>
      <c r="F1124" s="22"/>
      <c r="G1124" s="22"/>
      <c r="H1124" s="22"/>
      <c r="I1124" s="24"/>
      <c r="J1124" s="24"/>
      <c r="K1124" s="24"/>
      <c r="L1124" s="24"/>
      <c r="M1124" s="27" t="str">
        <f t="shared" si="71"/>
        <v/>
      </c>
      <c r="N1124" s="25"/>
      <c r="O1124" s="22"/>
      <c r="P1124" s="24"/>
      <c r="Q1124" s="26"/>
    </row>
    <row r="1125" spans="1:17" ht="15" x14ac:dyDescent="0.15">
      <c r="A1125" s="22"/>
      <c r="B1125" s="26" t="str">
        <f t="shared" si="68"/>
        <v/>
      </c>
      <c r="C1125" s="26" t="str">
        <f t="shared" si="69"/>
        <v/>
      </c>
      <c r="D1125" s="26" t="str">
        <f t="shared" si="70"/>
        <v/>
      </c>
      <c r="E1125" s="29"/>
      <c r="F1125" s="22"/>
      <c r="G1125" s="22"/>
      <c r="H1125" s="22"/>
      <c r="I1125" s="24"/>
      <c r="J1125" s="24"/>
      <c r="K1125" s="24"/>
      <c r="L1125" s="24"/>
      <c r="M1125" s="27" t="str">
        <f t="shared" si="71"/>
        <v/>
      </c>
      <c r="N1125" s="25"/>
      <c r="O1125" s="22"/>
      <c r="P1125" s="24"/>
      <c r="Q1125" s="26"/>
    </row>
    <row r="1126" spans="1:17" ht="15" x14ac:dyDescent="0.15">
      <c r="A1126" s="22"/>
      <c r="B1126" s="26" t="str">
        <f t="shared" si="68"/>
        <v/>
      </c>
      <c r="C1126" s="26" t="str">
        <f t="shared" si="69"/>
        <v/>
      </c>
      <c r="D1126" s="26" t="str">
        <f t="shared" si="70"/>
        <v/>
      </c>
      <c r="E1126" s="29"/>
      <c r="F1126" s="22"/>
      <c r="G1126" s="22"/>
      <c r="H1126" s="22"/>
      <c r="I1126" s="24"/>
      <c r="J1126" s="24"/>
      <c r="K1126" s="24"/>
      <c r="L1126" s="24"/>
      <c r="M1126" s="27" t="str">
        <f t="shared" si="71"/>
        <v/>
      </c>
      <c r="N1126" s="25"/>
      <c r="O1126" s="22"/>
      <c r="P1126" s="24"/>
      <c r="Q1126" s="26"/>
    </row>
    <row r="1127" spans="1:17" ht="15" x14ac:dyDescent="0.15">
      <c r="A1127" s="22"/>
      <c r="B1127" s="26" t="str">
        <f t="shared" si="68"/>
        <v/>
      </c>
      <c r="C1127" s="26" t="str">
        <f t="shared" si="69"/>
        <v/>
      </c>
      <c r="D1127" s="26" t="str">
        <f t="shared" si="70"/>
        <v/>
      </c>
      <c r="E1127" s="29"/>
      <c r="F1127" s="22"/>
      <c r="G1127" s="22"/>
      <c r="H1127" s="22"/>
      <c r="I1127" s="24"/>
      <c r="J1127" s="24"/>
      <c r="K1127" s="24"/>
      <c r="L1127" s="24"/>
      <c r="M1127" s="27" t="str">
        <f t="shared" si="71"/>
        <v/>
      </c>
      <c r="N1127" s="25"/>
      <c r="O1127" s="22"/>
      <c r="P1127" s="24"/>
      <c r="Q1127" s="26"/>
    </row>
    <row r="1128" spans="1:17" ht="15" x14ac:dyDescent="0.15">
      <c r="A1128" s="22"/>
      <c r="B1128" s="26" t="str">
        <f t="shared" si="68"/>
        <v/>
      </c>
      <c r="C1128" s="26" t="str">
        <f t="shared" si="69"/>
        <v/>
      </c>
      <c r="D1128" s="26" t="str">
        <f t="shared" si="70"/>
        <v/>
      </c>
      <c r="E1128" s="29"/>
      <c r="F1128" s="22"/>
      <c r="G1128" s="22"/>
      <c r="H1128" s="22"/>
      <c r="I1128" s="24"/>
      <c r="J1128" s="24"/>
      <c r="K1128" s="24"/>
      <c r="L1128" s="24"/>
      <c r="M1128" s="27" t="str">
        <f t="shared" si="71"/>
        <v/>
      </c>
      <c r="N1128" s="25"/>
      <c r="O1128" s="22"/>
      <c r="P1128" s="24"/>
      <c r="Q1128" s="26"/>
    </row>
    <row r="1129" spans="1:17" ht="15" x14ac:dyDescent="0.15">
      <c r="A1129" s="22"/>
      <c r="B1129" s="26" t="str">
        <f t="shared" si="68"/>
        <v/>
      </c>
      <c r="C1129" s="26" t="str">
        <f t="shared" si="69"/>
        <v/>
      </c>
      <c r="D1129" s="26" t="str">
        <f t="shared" si="70"/>
        <v/>
      </c>
      <c r="E1129" s="29"/>
      <c r="F1129" s="22"/>
      <c r="G1129" s="22"/>
      <c r="H1129" s="22"/>
      <c r="I1129" s="24"/>
      <c r="J1129" s="24"/>
      <c r="K1129" s="24"/>
      <c r="L1129" s="24"/>
      <c r="M1129" s="27" t="str">
        <f t="shared" si="71"/>
        <v/>
      </c>
      <c r="N1129" s="25"/>
      <c r="O1129" s="22"/>
      <c r="P1129" s="24"/>
      <c r="Q1129" s="26"/>
    </row>
    <row r="1130" spans="1:17" ht="15" x14ac:dyDescent="0.15">
      <c r="A1130" s="22"/>
      <c r="B1130" s="26" t="str">
        <f t="shared" si="68"/>
        <v/>
      </c>
      <c r="C1130" s="26" t="str">
        <f t="shared" si="69"/>
        <v/>
      </c>
      <c r="D1130" s="26" t="str">
        <f t="shared" si="70"/>
        <v/>
      </c>
      <c r="E1130" s="29"/>
      <c r="F1130" s="22"/>
      <c r="G1130" s="22"/>
      <c r="H1130" s="22"/>
      <c r="I1130" s="24"/>
      <c r="J1130" s="24"/>
      <c r="K1130" s="24"/>
      <c r="L1130" s="24"/>
      <c r="M1130" s="27" t="str">
        <f t="shared" si="71"/>
        <v/>
      </c>
      <c r="N1130" s="25"/>
      <c r="O1130" s="22"/>
      <c r="P1130" s="24"/>
      <c r="Q1130" s="26"/>
    </row>
    <row r="1131" spans="1:17" ht="15" x14ac:dyDescent="0.15">
      <c r="A1131" s="22"/>
      <c r="B1131" s="26" t="str">
        <f t="shared" si="68"/>
        <v/>
      </c>
      <c r="C1131" s="26" t="str">
        <f t="shared" si="69"/>
        <v/>
      </c>
      <c r="D1131" s="26" t="str">
        <f t="shared" si="70"/>
        <v/>
      </c>
      <c r="E1131" s="29"/>
      <c r="F1131" s="22"/>
      <c r="G1131" s="22"/>
      <c r="H1131" s="22"/>
      <c r="I1131" s="24"/>
      <c r="J1131" s="24"/>
      <c r="K1131" s="24"/>
      <c r="L1131" s="24"/>
      <c r="M1131" s="27" t="str">
        <f t="shared" si="71"/>
        <v/>
      </c>
      <c r="N1131" s="25"/>
      <c r="O1131" s="22"/>
      <c r="P1131" s="24"/>
      <c r="Q1131" s="26"/>
    </row>
    <row r="1132" spans="1:17" ht="15" x14ac:dyDescent="0.15">
      <c r="A1132" s="22"/>
      <c r="B1132" s="26" t="str">
        <f t="shared" si="68"/>
        <v/>
      </c>
      <c r="C1132" s="26" t="str">
        <f t="shared" si="69"/>
        <v/>
      </c>
      <c r="D1132" s="26" t="str">
        <f t="shared" si="70"/>
        <v/>
      </c>
      <c r="E1132" s="29"/>
      <c r="F1132" s="22"/>
      <c r="G1132" s="22"/>
      <c r="H1132" s="22"/>
      <c r="I1132" s="24"/>
      <c r="J1132" s="24"/>
      <c r="K1132" s="24"/>
      <c r="L1132" s="24"/>
      <c r="M1132" s="27" t="str">
        <f t="shared" si="71"/>
        <v/>
      </c>
      <c r="N1132" s="25"/>
      <c r="O1132" s="22"/>
      <c r="P1132" s="24"/>
      <c r="Q1132" s="26"/>
    </row>
    <row r="1133" spans="1:17" ht="15" x14ac:dyDescent="0.15">
      <c r="A1133" s="22"/>
      <c r="B1133" s="26" t="str">
        <f t="shared" si="68"/>
        <v/>
      </c>
      <c r="C1133" s="26" t="str">
        <f t="shared" si="69"/>
        <v/>
      </c>
      <c r="D1133" s="26" t="str">
        <f t="shared" si="70"/>
        <v/>
      </c>
      <c r="E1133" s="29"/>
      <c r="F1133" s="22"/>
      <c r="G1133" s="22"/>
      <c r="H1133" s="22"/>
      <c r="I1133" s="24"/>
      <c r="J1133" s="24"/>
      <c r="K1133" s="24"/>
      <c r="L1133" s="24"/>
      <c r="M1133" s="27" t="str">
        <f t="shared" si="71"/>
        <v/>
      </c>
      <c r="N1133" s="25"/>
      <c r="O1133" s="22"/>
      <c r="P1133" s="24"/>
      <c r="Q1133" s="26"/>
    </row>
    <row r="1134" spans="1:17" ht="15" x14ac:dyDescent="0.15">
      <c r="A1134" s="22"/>
      <c r="B1134" s="26" t="str">
        <f t="shared" si="68"/>
        <v/>
      </c>
      <c r="C1134" s="26" t="str">
        <f t="shared" si="69"/>
        <v/>
      </c>
      <c r="D1134" s="26" t="str">
        <f t="shared" si="70"/>
        <v/>
      </c>
      <c r="E1134" s="29"/>
      <c r="F1134" s="22"/>
      <c r="G1134" s="22"/>
      <c r="H1134" s="22"/>
      <c r="I1134" s="24"/>
      <c r="J1134" s="24"/>
      <c r="K1134" s="24"/>
      <c r="L1134" s="24"/>
      <c r="M1134" s="27" t="str">
        <f t="shared" si="71"/>
        <v/>
      </c>
      <c r="N1134" s="25"/>
      <c r="O1134" s="22"/>
      <c r="P1134" s="24"/>
      <c r="Q1134" s="26"/>
    </row>
    <row r="1135" spans="1:17" ht="15" x14ac:dyDescent="0.15">
      <c r="A1135" s="22"/>
      <c r="B1135" s="26" t="str">
        <f t="shared" si="68"/>
        <v/>
      </c>
      <c r="C1135" s="26" t="str">
        <f t="shared" si="69"/>
        <v/>
      </c>
      <c r="D1135" s="26" t="str">
        <f t="shared" si="70"/>
        <v/>
      </c>
      <c r="E1135" s="29"/>
      <c r="F1135" s="22"/>
      <c r="G1135" s="22"/>
      <c r="H1135" s="22"/>
      <c r="I1135" s="24"/>
      <c r="J1135" s="24"/>
      <c r="K1135" s="24"/>
      <c r="L1135" s="24"/>
      <c r="M1135" s="27" t="str">
        <f t="shared" si="71"/>
        <v/>
      </c>
      <c r="N1135" s="25"/>
      <c r="O1135" s="22"/>
      <c r="P1135" s="24"/>
      <c r="Q1135" s="26"/>
    </row>
    <row r="1136" spans="1:17" ht="15" x14ac:dyDescent="0.15">
      <c r="A1136" s="22"/>
      <c r="B1136" s="26" t="str">
        <f t="shared" si="68"/>
        <v/>
      </c>
      <c r="C1136" s="26" t="str">
        <f t="shared" si="69"/>
        <v/>
      </c>
      <c r="D1136" s="26" t="str">
        <f t="shared" si="70"/>
        <v/>
      </c>
      <c r="E1136" s="29"/>
      <c r="F1136" s="22"/>
      <c r="G1136" s="22"/>
      <c r="H1136" s="22"/>
      <c r="I1136" s="24"/>
      <c r="J1136" s="24"/>
      <c r="K1136" s="24"/>
      <c r="L1136" s="24"/>
      <c r="M1136" s="27" t="str">
        <f t="shared" si="71"/>
        <v/>
      </c>
      <c r="N1136" s="25"/>
      <c r="O1136" s="22"/>
      <c r="P1136" s="24"/>
      <c r="Q1136" s="26"/>
    </row>
    <row r="1137" spans="1:17" ht="15" x14ac:dyDescent="0.15">
      <c r="A1137" s="22"/>
      <c r="B1137" s="26" t="str">
        <f t="shared" si="68"/>
        <v/>
      </c>
      <c r="C1137" s="26" t="str">
        <f t="shared" si="69"/>
        <v/>
      </c>
      <c r="D1137" s="26" t="str">
        <f t="shared" si="70"/>
        <v/>
      </c>
      <c r="E1137" s="29"/>
      <c r="F1137" s="22"/>
      <c r="G1137" s="22"/>
      <c r="H1137" s="22"/>
      <c r="I1137" s="24"/>
      <c r="J1137" s="24"/>
      <c r="K1137" s="24"/>
      <c r="L1137" s="24"/>
      <c r="M1137" s="27" t="str">
        <f t="shared" si="71"/>
        <v/>
      </c>
      <c r="N1137" s="25"/>
      <c r="O1137" s="22"/>
      <c r="P1137" s="24"/>
      <c r="Q1137" s="26"/>
    </row>
    <row r="1138" spans="1:17" ht="15" x14ac:dyDescent="0.15">
      <c r="A1138" s="22"/>
      <c r="B1138" s="26" t="str">
        <f t="shared" si="68"/>
        <v/>
      </c>
      <c r="C1138" s="26" t="str">
        <f t="shared" si="69"/>
        <v/>
      </c>
      <c r="D1138" s="26" t="str">
        <f t="shared" si="70"/>
        <v/>
      </c>
      <c r="E1138" s="29"/>
      <c r="F1138" s="22"/>
      <c r="G1138" s="22"/>
      <c r="H1138" s="22"/>
      <c r="I1138" s="24"/>
      <c r="J1138" s="24"/>
      <c r="K1138" s="24"/>
      <c r="L1138" s="24"/>
      <c r="M1138" s="27" t="str">
        <f t="shared" si="71"/>
        <v/>
      </c>
      <c r="N1138" s="25"/>
      <c r="O1138" s="22"/>
      <c r="P1138" s="24"/>
      <c r="Q1138" s="26"/>
    </row>
    <row r="1139" spans="1:17" ht="15" x14ac:dyDescent="0.15">
      <c r="A1139" s="22"/>
      <c r="B1139" s="26" t="str">
        <f t="shared" si="68"/>
        <v/>
      </c>
      <c r="C1139" s="26" t="str">
        <f t="shared" si="69"/>
        <v/>
      </c>
      <c r="D1139" s="26" t="str">
        <f t="shared" si="70"/>
        <v/>
      </c>
      <c r="E1139" s="29"/>
      <c r="F1139" s="22"/>
      <c r="G1139" s="22"/>
      <c r="H1139" s="22"/>
      <c r="I1139" s="24"/>
      <c r="J1139" s="24"/>
      <c r="K1139" s="24"/>
      <c r="L1139" s="24"/>
      <c r="M1139" s="27" t="str">
        <f t="shared" si="71"/>
        <v/>
      </c>
      <c r="N1139" s="25"/>
      <c r="O1139" s="22"/>
      <c r="P1139" s="24"/>
      <c r="Q1139" s="26"/>
    </row>
    <row r="1140" spans="1:17" ht="15" x14ac:dyDescent="0.15">
      <c r="A1140" s="22"/>
      <c r="B1140" s="26" t="str">
        <f t="shared" si="68"/>
        <v/>
      </c>
      <c r="C1140" s="26" t="str">
        <f t="shared" si="69"/>
        <v/>
      </c>
      <c r="D1140" s="26" t="str">
        <f t="shared" si="70"/>
        <v/>
      </c>
      <c r="E1140" s="29"/>
      <c r="F1140" s="22"/>
      <c r="G1140" s="22"/>
      <c r="H1140" s="22"/>
      <c r="I1140" s="24"/>
      <c r="J1140" s="24"/>
      <c r="K1140" s="24"/>
      <c r="L1140" s="24"/>
      <c r="M1140" s="27" t="str">
        <f t="shared" si="71"/>
        <v/>
      </c>
      <c r="N1140" s="25"/>
      <c r="O1140" s="22"/>
      <c r="P1140" s="24"/>
      <c r="Q1140" s="26"/>
    </row>
    <row r="1141" spans="1:17" ht="15" x14ac:dyDescent="0.15">
      <c r="A1141" s="22"/>
      <c r="B1141" s="26" t="str">
        <f t="shared" si="68"/>
        <v/>
      </c>
      <c r="C1141" s="26" t="str">
        <f t="shared" si="69"/>
        <v/>
      </c>
      <c r="D1141" s="26" t="str">
        <f t="shared" si="70"/>
        <v/>
      </c>
      <c r="E1141" s="29"/>
      <c r="F1141" s="22"/>
      <c r="G1141" s="22"/>
      <c r="H1141" s="22"/>
      <c r="I1141" s="24"/>
      <c r="J1141" s="24"/>
      <c r="K1141" s="24"/>
      <c r="L1141" s="24"/>
      <c r="M1141" s="27" t="str">
        <f t="shared" si="71"/>
        <v/>
      </c>
      <c r="N1141" s="25"/>
      <c r="O1141" s="22"/>
      <c r="P1141" s="24"/>
      <c r="Q1141" s="26"/>
    </row>
    <row r="1142" spans="1:17" ht="15" x14ac:dyDescent="0.15">
      <c r="A1142" s="22"/>
      <c r="B1142" s="26" t="str">
        <f t="shared" si="68"/>
        <v/>
      </c>
      <c r="C1142" s="26" t="str">
        <f t="shared" si="69"/>
        <v/>
      </c>
      <c r="D1142" s="26" t="str">
        <f t="shared" si="70"/>
        <v/>
      </c>
      <c r="E1142" s="29"/>
      <c r="F1142" s="22"/>
      <c r="G1142" s="22"/>
      <c r="H1142" s="22"/>
      <c r="I1142" s="24"/>
      <c r="J1142" s="24"/>
      <c r="K1142" s="24"/>
      <c r="L1142" s="24"/>
      <c r="M1142" s="27" t="str">
        <f t="shared" si="71"/>
        <v/>
      </c>
      <c r="N1142" s="25"/>
      <c r="O1142" s="22"/>
      <c r="P1142" s="24"/>
      <c r="Q1142" s="26"/>
    </row>
    <row r="1143" spans="1:17" ht="15" x14ac:dyDescent="0.15">
      <c r="A1143" s="22"/>
      <c r="B1143" s="26" t="str">
        <f t="shared" si="68"/>
        <v/>
      </c>
      <c r="C1143" s="26" t="str">
        <f t="shared" si="69"/>
        <v/>
      </c>
      <c r="D1143" s="26" t="str">
        <f t="shared" si="70"/>
        <v/>
      </c>
      <c r="E1143" s="29"/>
      <c r="F1143" s="22"/>
      <c r="G1143" s="22"/>
      <c r="H1143" s="22"/>
      <c r="I1143" s="24"/>
      <c r="J1143" s="24"/>
      <c r="K1143" s="24"/>
      <c r="L1143" s="24"/>
      <c r="M1143" s="27" t="str">
        <f t="shared" si="71"/>
        <v/>
      </c>
      <c r="N1143" s="25"/>
      <c r="O1143" s="22"/>
      <c r="P1143" s="24"/>
      <c r="Q1143" s="26"/>
    </row>
    <row r="1144" spans="1:17" ht="15" x14ac:dyDescent="0.15">
      <c r="A1144" s="22"/>
      <c r="B1144" s="26" t="str">
        <f t="shared" si="68"/>
        <v/>
      </c>
      <c r="C1144" s="26" t="str">
        <f t="shared" si="69"/>
        <v/>
      </c>
      <c r="D1144" s="26" t="str">
        <f t="shared" si="70"/>
        <v/>
      </c>
      <c r="E1144" s="29"/>
      <c r="F1144" s="22"/>
      <c r="G1144" s="22"/>
      <c r="H1144" s="22"/>
      <c r="I1144" s="24"/>
      <c r="J1144" s="24"/>
      <c r="K1144" s="24"/>
      <c r="L1144" s="24"/>
      <c r="M1144" s="27" t="str">
        <f t="shared" si="71"/>
        <v/>
      </c>
      <c r="N1144" s="25"/>
      <c r="O1144" s="22"/>
      <c r="P1144" s="24"/>
      <c r="Q1144" s="26"/>
    </row>
    <row r="1145" spans="1:17" ht="15" x14ac:dyDescent="0.15">
      <c r="A1145" s="22"/>
      <c r="B1145" s="26" t="str">
        <f t="shared" si="68"/>
        <v/>
      </c>
      <c r="C1145" s="26" t="str">
        <f t="shared" si="69"/>
        <v/>
      </c>
      <c r="D1145" s="26" t="str">
        <f t="shared" si="70"/>
        <v/>
      </c>
      <c r="E1145" s="29"/>
      <c r="F1145" s="22"/>
      <c r="G1145" s="22"/>
      <c r="H1145" s="22"/>
      <c r="I1145" s="24"/>
      <c r="J1145" s="24"/>
      <c r="K1145" s="24"/>
      <c r="L1145" s="24"/>
      <c r="M1145" s="27" t="str">
        <f t="shared" si="71"/>
        <v/>
      </c>
      <c r="N1145" s="25"/>
      <c r="O1145" s="22"/>
      <c r="P1145" s="24"/>
      <c r="Q1145" s="26"/>
    </row>
    <row r="1146" spans="1:17" ht="15" x14ac:dyDescent="0.15">
      <c r="A1146" s="22"/>
      <c r="B1146" s="26" t="str">
        <f t="shared" si="68"/>
        <v/>
      </c>
      <c r="C1146" s="26" t="str">
        <f t="shared" si="69"/>
        <v/>
      </c>
      <c r="D1146" s="26" t="str">
        <f t="shared" si="70"/>
        <v/>
      </c>
      <c r="E1146" s="29"/>
      <c r="F1146" s="22"/>
      <c r="G1146" s="22"/>
      <c r="H1146" s="22"/>
      <c r="I1146" s="24"/>
      <c r="J1146" s="24"/>
      <c r="K1146" s="24"/>
      <c r="L1146" s="24"/>
      <c r="M1146" s="27" t="str">
        <f t="shared" si="71"/>
        <v/>
      </c>
      <c r="N1146" s="25"/>
      <c r="O1146" s="22"/>
      <c r="P1146" s="24"/>
      <c r="Q1146" s="26"/>
    </row>
    <row r="1147" spans="1:17" ht="15" x14ac:dyDescent="0.15">
      <c r="A1147" s="22"/>
      <c r="B1147" s="26" t="str">
        <f t="shared" si="68"/>
        <v/>
      </c>
      <c r="C1147" s="26" t="str">
        <f t="shared" si="69"/>
        <v/>
      </c>
      <c r="D1147" s="26" t="str">
        <f t="shared" si="70"/>
        <v/>
      </c>
      <c r="E1147" s="29"/>
      <c r="F1147" s="22"/>
      <c r="G1147" s="22"/>
      <c r="H1147" s="22"/>
      <c r="I1147" s="24"/>
      <c r="J1147" s="24"/>
      <c r="K1147" s="24"/>
      <c r="L1147" s="24"/>
      <c r="M1147" s="27" t="str">
        <f t="shared" si="71"/>
        <v/>
      </c>
      <c r="N1147" s="25"/>
      <c r="O1147" s="22"/>
      <c r="P1147" s="24"/>
      <c r="Q1147" s="26"/>
    </row>
    <row r="1148" spans="1:17" ht="15" x14ac:dyDescent="0.15">
      <c r="A1148" s="22"/>
      <c r="B1148" s="26" t="str">
        <f t="shared" si="68"/>
        <v/>
      </c>
      <c r="C1148" s="26" t="str">
        <f t="shared" si="69"/>
        <v/>
      </c>
      <c r="D1148" s="26" t="str">
        <f t="shared" si="70"/>
        <v/>
      </c>
      <c r="E1148" s="29"/>
      <c r="F1148" s="22"/>
      <c r="G1148" s="22"/>
      <c r="H1148" s="22"/>
      <c r="I1148" s="24"/>
      <c r="J1148" s="24"/>
      <c r="K1148" s="24"/>
      <c r="L1148" s="24"/>
      <c r="M1148" s="27" t="str">
        <f t="shared" si="71"/>
        <v/>
      </c>
      <c r="N1148" s="25"/>
      <c r="O1148" s="22"/>
      <c r="P1148" s="24"/>
      <c r="Q1148" s="26"/>
    </row>
    <row r="1149" spans="1:17" ht="15" x14ac:dyDescent="0.15">
      <c r="A1149" s="22"/>
      <c r="B1149" s="26" t="str">
        <f t="shared" si="68"/>
        <v/>
      </c>
      <c r="C1149" s="26" t="str">
        <f t="shared" si="69"/>
        <v/>
      </c>
      <c r="D1149" s="26" t="str">
        <f t="shared" si="70"/>
        <v/>
      </c>
      <c r="E1149" s="29"/>
      <c r="F1149" s="22"/>
      <c r="G1149" s="22"/>
      <c r="H1149" s="22"/>
      <c r="I1149" s="24"/>
      <c r="J1149" s="24"/>
      <c r="K1149" s="24"/>
      <c r="L1149" s="24"/>
      <c r="M1149" s="27" t="str">
        <f t="shared" si="71"/>
        <v/>
      </c>
      <c r="N1149" s="25"/>
      <c r="O1149" s="22"/>
      <c r="P1149" s="24"/>
      <c r="Q1149" s="26"/>
    </row>
    <row r="1150" spans="1:17" ht="15" x14ac:dyDescent="0.15">
      <c r="A1150" s="22"/>
      <c r="B1150" s="26" t="str">
        <f t="shared" si="68"/>
        <v/>
      </c>
      <c r="C1150" s="26" t="str">
        <f t="shared" si="69"/>
        <v/>
      </c>
      <c r="D1150" s="26" t="str">
        <f t="shared" si="70"/>
        <v/>
      </c>
      <c r="E1150" s="29"/>
      <c r="F1150" s="22"/>
      <c r="G1150" s="22"/>
      <c r="H1150" s="22"/>
      <c r="I1150" s="24"/>
      <c r="J1150" s="24"/>
      <c r="K1150" s="24"/>
      <c r="L1150" s="24"/>
      <c r="M1150" s="27" t="str">
        <f t="shared" si="71"/>
        <v/>
      </c>
      <c r="N1150" s="25"/>
      <c r="O1150" s="22"/>
      <c r="P1150" s="24"/>
      <c r="Q1150" s="26"/>
    </row>
    <row r="1151" spans="1:17" ht="15" x14ac:dyDescent="0.15">
      <c r="A1151" s="22"/>
      <c r="B1151" s="26" t="str">
        <f t="shared" si="68"/>
        <v/>
      </c>
      <c r="C1151" s="26" t="str">
        <f t="shared" si="69"/>
        <v/>
      </c>
      <c r="D1151" s="26" t="str">
        <f t="shared" si="70"/>
        <v/>
      </c>
      <c r="E1151" s="29"/>
      <c r="F1151" s="22"/>
      <c r="G1151" s="22"/>
      <c r="H1151" s="22"/>
      <c r="I1151" s="24"/>
      <c r="J1151" s="24"/>
      <c r="K1151" s="24"/>
      <c r="L1151" s="24"/>
      <c r="M1151" s="27" t="str">
        <f t="shared" si="71"/>
        <v/>
      </c>
      <c r="N1151" s="25"/>
      <c r="O1151" s="22"/>
      <c r="P1151" s="24"/>
      <c r="Q1151" s="26"/>
    </row>
    <row r="1152" spans="1:17" ht="15" x14ac:dyDescent="0.15">
      <c r="A1152" s="22"/>
      <c r="B1152" s="26" t="str">
        <f t="shared" si="68"/>
        <v/>
      </c>
      <c r="C1152" s="26" t="str">
        <f t="shared" si="69"/>
        <v/>
      </c>
      <c r="D1152" s="26" t="str">
        <f t="shared" si="70"/>
        <v/>
      </c>
      <c r="E1152" s="29"/>
      <c r="F1152" s="22"/>
      <c r="G1152" s="22"/>
      <c r="H1152" s="22"/>
      <c r="I1152" s="24"/>
      <c r="J1152" s="24"/>
      <c r="K1152" s="24"/>
      <c r="L1152" s="24"/>
      <c r="M1152" s="27" t="str">
        <f t="shared" si="71"/>
        <v/>
      </c>
      <c r="N1152" s="25"/>
      <c r="O1152" s="22"/>
      <c r="P1152" s="24"/>
      <c r="Q1152" s="26"/>
    </row>
    <row r="1153" spans="1:17" ht="15" x14ac:dyDescent="0.15">
      <c r="A1153" s="22"/>
      <c r="B1153" s="26" t="str">
        <f t="shared" si="68"/>
        <v/>
      </c>
      <c r="C1153" s="26" t="str">
        <f t="shared" si="69"/>
        <v/>
      </c>
      <c r="D1153" s="26" t="str">
        <f t="shared" si="70"/>
        <v/>
      </c>
      <c r="E1153" s="29"/>
      <c r="F1153" s="22"/>
      <c r="G1153" s="22"/>
      <c r="H1153" s="22"/>
      <c r="I1153" s="24"/>
      <c r="J1153" s="24"/>
      <c r="K1153" s="24"/>
      <c r="L1153" s="24"/>
      <c r="M1153" s="27" t="str">
        <f t="shared" si="71"/>
        <v/>
      </c>
      <c r="N1153" s="25"/>
      <c r="O1153" s="22"/>
      <c r="P1153" s="24"/>
      <c r="Q1153" s="26"/>
    </row>
    <row r="1154" spans="1:17" ht="15" x14ac:dyDescent="0.15">
      <c r="A1154" s="22"/>
      <c r="B1154" s="26" t="str">
        <f t="shared" si="68"/>
        <v/>
      </c>
      <c r="C1154" s="26" t="str">
        <f t="shared" si="69"/>
        <v/>
      </c>
      <c r="D1154" s="26" t="str">
        <f t="shared" si="70"/>
        <v/>
      </c>
      <c r="E1154" s="29"/>
      <c r="F1154" s="22"/>
      <c r="G1154" s="22"/>
      <c r="H1154" s="22"/>
      <c r="I1154" s="24"/>
      <c r="J1154" s="24"/>
      <c r="K1154" s="24"/>
      <c r="L1154" s="24"/>
      <c r="M1154" s="27" t="str">
        <f t="shared" si="71"/>
        <v/>
      </c>
      <c r="N1154" s="25"/>
      <c r="O1154" s="22"/>
      <c r="P1154" s="24"/>
      <c r="Q1154" s="26"/>
    </row>
    <row r="1155" spans="1:17" ht="15" x14ac:dyDescent="0.15">
      <c r="A1155" s="22"/>
      <c r="B1155" s="26" t="str">
        <f t="shared" si="68"/>
        <v/>
      </c>
      <c r="C1155" s="26" t="str">
        <f t="shared" si="69"/>
        <v/>
      </c>
      <c r="D1155" s="26" t="str">
        <f t="shared" si="70"/>
        <v/>
      </c>
      <c r="E1155" s="29"/>
      <c r="F1155" s="22"/>
      <c r="G1155" s="22"/>
      <c r="H1155" s="22"/>
      <c r="I1155" s="24"/>
      <c r="J1155" s="24"/>
      <c r="K1155" s="24"/>
      <c r="L1155" s="24"/>
      <c r="M1155" s="27" t="str">
        <f t="shared" si="71"/>
        <v/>
      </c>
      <c r="N1155" s="25"/>
      <c r="O1155" s="22"/>
      <c r="P1155" s="24"/>
      <c r="Q1155" s="26"/>
    </row>
    <row r="1156" spans="1:17" ht="15" x14ac:dyDescent="0.15">
      <c r="A1156" s="22"/>
      <c r="B1156" s="26" t="str">
        <f t="shared" si="68"/>
        <v/>
      </c>
      <c r="C1156" s="26" t="str">
        <f t="shared" si="69"/>
        <v/>
      </c>
      <c r="D1156" s="26" t="str">
        <f t="shared" si="70"/>
        <v/>
      </c>
      <c r="E1156" s="29"/>
      <c r="F1156" s="22"/>
      <c r="G1156" s="22"/>
      <c r="H1156" s="22"/>
      <c r="I1156" s="24"/>
      <c r="J1156" s="24"/>
      <c r="K1156" s="24"/>
      <c r="L1156" s="24"/>
      <c r="M1156" s="27" t="str">
        <f t="shared" si="71"/>
        <v/>
      </c>
      <c r="N1156" s="25"/>
      <c r="O1156" s="22"/>
      <c r="P1156" s="24"/>
      <c r="Q1156" s="26"/>
    </row>
    <row r="1157" spans="1:17" ht="15" x14ac:dyDescent="0.15">
      <c r="A1157" s="22"/>
      <c r="B1157" s="26" t="str">
        <f t="shared" si="68"/>
        <v/>
      </c>
      <c r="C1157" s="26" t="str">
        <f t="shared" si="69"/>
        <v/>
      </c>
      <c r="D1157" s="26" t="str">
        <f t="shared" si="70"/>
        <v/>
      </c>
      <c r="E1157" s="29"/>
      <c r="F1157" s="22"/>
      <c r="G1157" s="22"/>
      <c r="H1157" s="22"/>
      <c r="I1157" s="24"/>
      <c r="J1157" s="24"/>
      <c r="K1157" s="24"/>
      <c r="L1157" s="24"/>
      <c r="M1157" s="27" t="str">
        <f t="shared" si="71"/>
        <v/>
      </c>
      <c r="N1157" s="25"/>
      <c r="O1157" s="22"/>
      <c r="P1157" s="24"/>
      <c r="Q1157" s="26"/>
    </row>
    <row r="1158" spans="1:17" ht="15" x14ac:dyDescent="0.15">
      <c r="A1158" s="22"/>
      <c r="B1158" s="26" t="str">
        <f t="shared" si="68"/>
        <v/>
      </c>
      <c r="C1158" s="26" t="str">
        <f t="shared" si="69"/>
        <v/>
      </c>
      <c r="D1158" s="26" t="str">
        <f t="shared" si="70"/>
        <v/>
      </c>
      <c r="E1158" s="29"/>
      <c r="F1158" s="22"/>
      <c r="G1158" s="22"/>
      <c r="H1158" s="22"/>
      <c r="I1158" s="24"/>
      <c r="J1158" s="24"/>
      <c r="K1158" s="24"/>
      <c r="L1158" s="24"/>
      <c r="M1158" s="27" t="str">
        <f t="shared" si="71"/>
        <v/>
      </c>
      <c r="N1158" s="25"/>
      <c r="O1158" s="22"/>
      <c r="P1158" s="24"/>
      <c r="Q1158" s="26"/>
    </row>
    <row r="1159" spans="1:17" ht="15" x14ac:dyDescent="0.15">
      <c r="A1159" s="22"/>
      <c r="B1159" s="26" t="str">
        <f t="shared" ref="B1159:B1222" si="72">IFERROR(IF($A1159="","",LEFT($A1159,FIND(" | ",$A1159)-1)),"")</f>
        <v/>
      </c>
      <c r="C1159" s="26" t="str">
        <f t="shared" ref="C1159:C1222" si="73">IFERROR(IF($A1159="","",MID($A1159,FIND(" | ",$A1159)+3,FIND(" | ",$A1159,FIND(" | ",$A1159)+3)-FIND(" | ",$A1159)-3)),"")</f>
        <v/>
      </c>
      <c r="D1159" s="26" t="str">
        <f t="shared" ref="D1159:D1222" si="74">IFERROR(IF($A1159="","",RIGHT($A1159,LEN($A1159)-FIND(" | ",$A1159,FIND(" | ",$A1159)+3)-2)),"")</f>
        <v/>
      </c>
      <c r="E1159" s="29"/>
      <c r="F1159" s="22"/>
      <c r="G1159" s="22"/>
      <c r="H1159" s="22"/>
      <c r="I1159" s="24"/>
      <c r="J1159" s="24"/>
      <c r="K1159" s="24"/>
      <c r="L1159" s="24"/>
      <c r="M1159" s="27" t="str">
        <f t="shared" ref="M1159:M1222" si="75">IF($B1159="","",SUM($J1159,-$K1159,$L1159))</f>
        <v/>
      </c>
      <c r="N1159" s="25"/>
      <c r="O1159" s="22"/>
      <c r="P1159" s="24"/>
      <c r="Q1159" s="26"/>
    </row>
    <row r="1160" spans="1:17" ht="15" x14ac:dyDescent="0.15">
      <c r="A1160" s="22"/>
      <c r="B1160" s="26" t="str">
        <f t="shared" si="72"/>
        <v/>
      </c>
      <c r="C1160" s="26" t="str">
        <f t="shared" si="73"/>
        <v/>
      </c>
      <c r="D1160" s="26" t="str">
        <f t="shared" si="74"/>
        <v/>
      </c>
      <c r="E1160" s="29"/>
      <c r="F1160" s="22"/>
      <c r="G1160" s="22"/>
      <c r="H1160" s="22"/>
      <c r="I1160" s="24"/>
      <c r="J1160" s="24"/>
      <c r="K1160" s="24"/>
      <c r="L1160" s="24"/>
      <c r="M1160" s="27" t="str">
        <f t="shared" si="75"/>
        <v/>
      </c>
      <c r="N1160" s="25"/>
      <c r="O1160" s="22"/>
      <c r="P1160" s="24"/>
      <c r="Q1160" s="26"/>
    </row>
    <row r="1161" spans="1:17" ht="15" x14ac:dyDescent="0.15">
      <c r="A1161" s="22"/>
      <c r="B1161" s="26" t="str">
        <f t="shared" si="72"/>
        <v/>
      </c>
      <c r="C1161" s="26" t="str">
        <f t="shared" si="73"/>
        <v/>
      </c>
      <c r="D1161" s="26" t="str">
        <f t="shared" si="74"/>
        <v/>
      </c>
      <c r="E1161" s="29"/>
      <c r="F1161" s="22"/>
      <c r="G1161" s="22"/>
      <c r="H1161" s="22"/>
      <c r="I1161" s="24"/>
      <c r="J1161" s="24"/>
      <c r="K1161" s="24"/>
      <c r="L1161" s="24"/>
      <c r="M1161" s="27" t="str">
        <f t="shared" si="75"/>
        <v/>
      </c>
      <c r="N1161" s="25"/>
      <c r="O1161" s="22"/>
      <c r="P1161" s="24"/>
      <c r="Q1161" s="26"/>
    </row>
    <row r="1162" spans="1:17" ht="15" x14ac:dyDescent="0.15">
      <c r="A1162" s="22"/>
      <c r="B1162" s="26" t="str">
        <f t="shared" si="72"/>
        <v/>
      </c>
      <c r="C1162" s="26" t="str">
        <f t="shared" si="73"/>
        <v/>
      </c>
      <c r="D1162" s="26" t="str">
        <f t="shared" si="74"/>
        <v/>
      </c>
      <c r="E1162" s="29"/>
      <c r="F1162" s="22"/>
      <c r="G1162" s="22"/>
      <c r="H1162" s="22"/>
      <c r="I1162" s="24"/>
      <c r="J1162" s="24"/>
      <c r="K1162" s="24"/>
      <c r="L1162" s="24"/>
      <c r="M1162" s="27" t="str">
        <f t="shared" si="75"/>
        <v/>
      </c>
      <c r="N1162" s="25"/>
      <c r="O1162" s="22"/>
      <c r="P1162" s="24"/>
      <c r="Q1162" s="26"/>
    </row>
    <row r="1163" spans="1:17" ht="15" x14ac:dyDescent="0.15">
      <c r="A1163" s="22"/>
      <c r="B1163" s="26" t="str">
        <f t="shared" si="72"/>
        <v/>
      </c>
      <c r="C1163" s="26" t="str">
        <f t="shared" si="73"/>
        <v/>
      </c>
      <c r="D1163" s="26" t="str">
        <f t="shared" si="74"/>
        <v/>
      </c>
      <c r="E1163" s="29"/>
      <c r="F1163" s="22"/>
      <c r="G1163" s="22"/>
      <c r="H1163" s="22"/>
      <c r="I1163" s="24"/>
      <c r="J1163" s="24"/>
      <c r="K1163" s="24"/>
      <c r="L1163" s="24"/>
      <c r="M1163" s="27" t="str">
        <f t="shared" si="75"/>
        <v/>
      </c>
      <c r="N1163" s="25"/>
      <c r="O1163" s="22"/>
      <c r="P1163" s="24"/>
      <c r="Q1163" s="26"/>
    </row>
    <row r="1164" spans="1:17" ht="15" x14ac:dyDescent="0.15">
      <c r="A1164" s="22"/>
      <c r="B1164" s="26" t="str">
        <f t="shared" si="72"/>
        <v/>
      </c>
      <c r="C1164" s="26" t="str">
        <f t="shared" si="73"/>
        <v/>
      </c>
      <c r="D1164" s="26" t="str">
        <f t="shared" si="74"/>
        <v/>
      </c>
      <c r="E1164" s="29"/>
      <c r="F1164" s="22"/>
      <c r="G1164" s="22"/>
      <c r="H1164" s="22"/>
      <c r="I1164" s="24"/>
      <c r="J1164" s="24"/>
      <c r="K1164" s="24"/>
      <c r="L1164" s="24"/>
      <c r="M1164" s="27" t="str">
        <f t="shared" si="75"/>
        <v/>
      </c>
      <c r="N1164" s="25"/>
      <c r="O1164" s="22"/>
      <c r="P1164" s="24"/>
      <c r="Q1164" s="26"/>
    </row>
    <row r="1165" spans="1:17" ht="15" x14ac:dyDescent="0.15">
      <c r="A1165" s="22"/>
      <c r="B1165" s="26" t="str">
        <f t="shared" si="72"/>
        <v/>
      </c>
      <c r="C1165" s="26" t="str">
        <f t="shared" si="73"/>
        <v/>
      </c>
      <c r="D1165" s="26" t="str">
        <f t="shared" si="74"/>
        <v/>
      </c>
      <c r="E1165" s="29"/>
      <c r="F1165" s="22"/>
      <c r="G1165" s="22"/>
      <c r="H1165" s="22"/>
      <c r="I1165" s="24"/>
      <c r="J1165" s="24"/>
      <c r="K1165" s="24"/>
      <c r="L1165" s="24"/>
      <c r="M1165" s="27" t="str">
        <f t="shared" si="75"/>
        <v/>
      </c>
      <c r="N1165" s="25"/>
      <c r="O1165" s="22"/>
      <c r="P1165" s="24"/>
      <c r="Q1165" s="26"/>
    </row>
    <row r="1166" spans="1:17" ht="15" x14ac:dyDescent="0.15">
      <c r="A1166" s="22"/>
      <c r="B1166" s="26" t="str">
        <f t="shared" si="72"/>
        <v/>
      </c>
      <c r="C1166" s="26" t="str">
        <f t="shared" si="73"/>
        <v/>
      </c>
      <c r="D1166" s="26" t="str">
        <f t="shared" si="74"/>
        <v/>
      </c>
      <c r="E1166" s="29"/>
      <c r="F1166" s="22"/>
      <c r="G1166" s="22"/>
      <c r="H1166" s="22"/>
      <c r="I1166" s="24"/>
      <c r="J1166" s="24"/>
      <c r="K1166" s="24"/>
      <c r="L1166" s="24"/>
      <c r="M1166" s="27" t="str">
        <f t="shared" si="75"/>
        <v/>
      </c>
      <c r="N1166" s="25"/>
      <c r="O1166" s="22"/>
      <c r="P1166" s="24"/>
      <c r="Q1166" s="26"/>
    </row>
    <row r="1167" spans="1:17" ht="15" x14ac:dyDescent="0.15">
      <c r="A1167" s="22"/>
      <c r="B1167" s="26" t="str">
        <f t="shared" si="72"/>
        <v/>
      </c>
      <c r="C1167" s="26" t="str">
        <f t="shared" si="73"/>
        <v/>
      </c>
      <c r="D1167" s="26" t="str">
        <f t="shared" si="74"/>
        <v/>
      </c>
      <c r="E1167" s="29"/>
      <c r="F1167" s="22"/>
      <c r="G1167" s="22"/>
      <c r="H1167" s="22"/>
      <c r="I1167" s="24"/>
      <c r="J1167" s="24"/>
      <c r="K1167" s="24"/>
      <c r="L1167" s="24"/>
      <c r="M1167" s="27" t="str">
        <f t="shared" si="75"/>
        <v/>
      </c>
      <c r="N1167" s="25"/>
      <c r="O1167" s="22"/>
      <c r="P1167" s="24"/>
      <c r="Q1167" s="26"/>
    </row>
    <row r="1168" spans="1:17" ht="15" x14ac:dyDescent="0.15">
      <c r="A1168" s="22"/>
      <c r="B1168" s="26" t="str">
        <f t="shared" si="72"/>
        <v/>
      </c>
      <c r="C1168" s="26" t="str">
        <f t="shared" si="73"/>
        <v/>
      </c>
      <c r="D1168" s="26" t="str">
        <f t="shared" si="74"/>
        <v/>
      </c>
      <c r="E1168" s="29"/>
      <c r="F1168" s="22"/>
      <c r="G1168" s="22"/>
      <c r="H1168" s="22"/>
      <c r="I1168" s="24"/>
      <c r="J1168" s="24"/>
      <c r="K1168" s="24"/>
      <c r="L1168" s="24"/>
      <c r="M1168" s="27" t="str">
        <f t="shared" si="75"/>
        <v/>
      </c>
      <c r="N1168" s="25"/>
      <c r="O1168" s="22"/>
      <c r="P1168" s="24"/>
      <c r="Q1168" s="26"/>
    </row>
    <row r="1169" spans="1:17" ht="15" x14ac:dyDescent="0.15">
      <c r="A1169" s="22"/>
      <c r="B1169" s="26" t="str">
        <f t="shared" si="72"/>
        <v/>
      </c>
      <c r="C1169" s="26" t="str">
        <f t="shared" si="73"/>
        <v/>
      </c>
      <c r="D1169" s="26" t="str">
        <f t="shared" si="74"/>
        <v/>
      </c>
      <c r="E1169" s="29"/>
      <c r="F1169" s="22"/>
      <c r="G1169" s="22"/>
      <c r="H1169" s="22"/>
      <c r="I1169" s="24"/>
      <c r="J1169" s="24"/>
      <c r="K1169" s="24"/>
      <c r="L1169" s="24"/>
      <c r="M1169" s="27" t="str">
        <f t="shared" si="75"/>
        <v/>
      </c>
      <c r="N1169" s="25"/>
      <c r="O1169" s="22"/>
      <c r="P1169" s="24"/>
      <c r="Q1169" s="26"/>
    </row>
    <row r="1170" spans="1:17" ht="15" x14ac:dyDescent="0.15">
      <c r="A1170" s="22"/>
      <c r="B1170" s="26" t="str">
        <f t="shared" si="72"/>
        <v/>
      </c>
      <c r="C1170" s="26" t="str">
        <f t="shared" si="73"/>
        <v/>
      </c>
      <c r="D1170" s="26" t="str">
        <f t="shared" si="74"/>
        <v/>
      </c>
      <c r="E1170" s="29"/>
      <c r="F1170" s="22"/>
      <c r="G1170" s="22"/>
      <c r="H1170" s="22"/>
      <c r="I1170" s="24"/>
      <c r="J1170" s="24"/>
      <c r="K1170" s="24"/>
      <c r="L1170" s="24"/>
      <c r="M1170" s="27" t="str">
        <f t="shared" si="75"/>
        <v/>
      </c>
      <c r="N1170" s="25"/>
      <c r="O1170" s="22"/>
      <c r="P1170" s="24"/>
      <c r="Q1170" s="26"/>
    </row>
    <row r="1171" spans="1:17" ht="15" x14ac:dyDescent="0.15">
      <c r="A1171" s="22"/>
      <c r="B1171" s="26" t="str">
        <f t="shared" si="72"/>
        <v/>
      </c>
      <c r="C1171" s="26" t="str">
        <f t="shared" si="73"/>
        <v/>
      </c>
      <c r="D1171" s="26" t="str">
        <f t="shared" si="74"/>
        <v/>
      </c>
      <c r="E1171" s="29"/>
      <c r="F1171" s="22"/>
      <c r="G1171" s="22"/>
      <c r="H1171" s="22"/>
      <c r="I1171" s="24"/>
      <c r="J1171" s="24"/>
      <c r="K1171" s="24"/>
      <c r="L1171" s="24"/>
      <c r="M1171" s="27" t="str">
        <f t="shared" si="75"/>
        <v/>
      </c>
      <c r="N1171" s="25"/>
      <c r="O1171" s="22"/>
      <c r="P1171" s="24"/>
      <c r="Q1171" s="26"/>
    </row>
    <row r="1172" spans="1:17" ht="15" x14ac:dyDescent="0.15">
      <c r="A1172" s="22"/>
      <c r="B1172" s="26" t="str">
        <f t="shared" si="72"/>
        <v/>
      </c>
      <c r="C1172" s="26" t="str">
        <f t="shared" si="73"/>
        <v/>
      </c>
      <c r="D1172" s="26" t="str">
        <f t="shared" si="74"/>
        <v/>
      </c>
      <c r="E1172" s="29"/>
      <c r="F1172" s="22"/>
      <c r="G1172" s="22"/>
      <c r="H1172" s="22"/>
      <c r="I1172" s="24"/>
      <c r="J1172" s="24"/>
      <c r="K1172" s="24"/>
      <c r="L1172" s="24"/>
      <c r="M1172" s="27" t="str">
        <f t="shared" si="75"/>
        <v/>
      </c>
      <c r="N1172" s="25"/>
      <c r="O1172" s="22"/>
      <c r="P1172" s="24"/>
      <c r="Q1172" s="26"/>
    </row>
    <row r="1173" spans="1:17" ht="15" x14ac:dyDescent="0.15">
      <c r="A1173" s="22"/>
      <c r="B1173" s="26" t="str">
        <f t="shared" si="72"/>
        <v/>
      </c>
      <c r="C1173" s="26" t="str">
        <f t="shared" si="73"/>
        <v/>
      </c>
      <c r="D1173" s="26" t="str">
        <f t="shared" si="74"/>
        <v/>
      </c>
      <c r="E1173" s="29"/>
      <c r="F1173" s="22"/>
      <c r="G1173" s="22"/>
      <c r="H1173" s="22"/>
      <c r="I1173" s="24"/>
      <c r="J1173" s="24"/>
      <c r="K1173" s="24"/>
      <c r="L1173" s="24"/>
      <c r="M1173" s="27" t="str">
        <f t="shared" si="75"/>
        <v/>
      </c>
      <c r="N1173" s="25"/>
      <c r="O1173" s="22"/>
      <c r="P1173" s="24"/>
      <c r="Q1173" s="26"/>
    </row>
    <row r="1174" spans="1:17" ht="15" x14ac:dyDescent="0.15">
      <c r="A1174" s="22"/>
      <c r="B1174" s="26" t="str">
        <f t="shared" si="72"/>
        <v/>
      </c>
      <c r="C1174" s="26" t="str">
        <f t="shared" si="73"/>
        <v/>
      </c>
      <c r="D1174" s="26" t="str">
        <f t="shared" si="74"/>
        <v/>
      </c>
      <c r="E1174" s="29"/>
      <c r="F1174" s="22"/>
      <c r="G1174" s="22"/>
      <c r="H1174" s="22"/>
      <c r="I1174" s="24"/>
      <c r="J1174" s="24"/>
      <c r="K1174" s="24"/>
      <c r="L1174" s="24"/>
      <c r="M1174" s="27" t="str">
        <f t="shared" si="75"/>
        <v/>
      </c>
      <c r="N1174" s="25"/>
      <c r="O1174" s="22"/>
      <c r="P1174" s="24"/>
      <c r="Q1174" s="26"/>
    </row>
    <row r="1175" spans="1:17" ht="15" x14ac:dyDescent="0.15">
      <c r="A1175" s="22"/>
      <c r="B1175" s="26" t="str">
        <f t="shared" si="72"/>
        <v/>
      </c>
      <c r="C1175" s="26" t="str">
        <f t="shared" si="73"/>
        <v/>
      </c>
      <c r="D1175" s="26" t="str">
        <f t="shared" si="74"/>
        <v/>
      </c>
      <c r="E1175" s="29"/>
      <c r="F1175" s="22"/>
      <c r="G1175" s="22"/>
      <c r="H1175" s="22"/>
      <c r="I1175" s="24"/>
      <c r="J1175" s="24"/>
      <c r="K1175" s="24"/>
      <c r="L1175" s="24"/>
      <c r="M1175" s="27" t="str">
        <f t="shared" si="75"/>
        <v/>
      </c>
      <c r="N1175" s="25"/>
      <c r="O1175" s="22"/>
      <c r="P1175" s="24"/>
      <c r="Q1175" s="26"/>
    </row>
    <row r="1176" spans="1:17" ht="15" x14ac:dyDescent="0.15">
      <c r="A1176" s="22"/>
      <c r="B1176" s="26" t="str">
        <f t="shared" si="72"/>
        <v/>
      </c>
      <c r="C1176" s="26" t="str">
        <f t="shared" si="73"/>
        <v/>
      </c>
      <c r="D1176" s="26" t="str">
        <f t="shared" si="74"/>
        <v/>
      </c>
      <c r="E1176" s="29"/>
      <c r="F1176" s="22"/>
      <c r="G1176" s="22"/>
      <c r="H1176" s="22"/>
      <c r="I1176" s="24"/>
      <c r="J1176" s="24"/>
      <c r="K1176" s="24"/>
      <c r="L1176" s="24"/>
      <c r="M1176" s="27" t="str">
        <f t="shared" si="75"/>
        <v/>
      </c>
      <c r="N1176" s="25"/>
      <c r="O1176" s="22"/>
      <c r="P1176" s="24"/>
      <c r="Q1176" s="26"/>
    </row>
    <row r="1177" spans="1:17" ht="15" x14ac:dyDescent="0.15">
      <c r="A1177" s="22"/>
      <c r="B1177" s="26" t="str">
        <f t="shared" si="72"/>
        <v/>
      </c>
      <c r="C1177" s="26" t="str">
        <f t="shared" si="73"/>
        <v/>
      </c>
      <c r="D1177" s="26" t="str">
        <f t="shared" si="74"/>
        <v/>
      </c>
      <c r="E1177" s="29"/>
      <c r="F1177" s="22"/>
      <c r="G1177" s="22"/>
      <c r="H1177" s="22"/>
      <c r="I1177" s="24"/>
      <c r="J1177" s="24"/>
      <c r="K1177" s="24"/>
      <c r="L1177" s="24"/>
      <c r="M1177" s="27" t="str">
        <f t="shared" si="75"/>
        <v/>
      </c>
      <c r="N1177" s="25"/>
      <c r="O1177" s="22"/>
      <c r="P1177" s="24"/>
      <c r="Q1177" s="26"/>
    </row>
    <row r="1178" spans="1:17" ht="15" x14ac:dyDescent="0.15">
      <c r="A1178" s="22"/>
      <c r="B1178" s="26" t="str">
        <f t="shared" si="72"/>
        <v/>
      </c>
      <c r="C1178" s="26" t="str">
        <f t="shared" si="73"/>
        <v/>
      </c>
      <c r="D1178" s="26" t="str">
        <f t="shared" si="74"/>
        <v/>
      </c>
      <c r="E1178" s="29"/>
      <c r="F1178" s="22"/>
      <c r="G1178" s="22"/>
      <c r="H1178" s="22"/>
      <c r="I1178" s="24"/>
      <c r="J1178" s="24"/>
      <c r="K1178" s="24"/>
      <c r="L1178" s="24"/>
      <c r="M1178" s="27" t="str">
        <f t="shared" si="75"/>
        <v/>
      </c>
      <c r="N1178" s="25"/>
      <c r="O1178" s="22"/>
      <c r="P1178" s="24"/>
      <c r="Q1178" s="26"/>
    </row>
    <row r="1179" spans="1:17" ht="15" x14ac:dyDescent="0.15">
      <c r="A1179" s="22"/>
      <c r="B1179" s="26" t="str">
        <f t="shared" si="72"/>
        <v/>
      </c>
      <c r="C1179" s="26" t="str">
        <f t="shared" si="73"/>
        <v/>
      </c>
      <c r="D1179" s="26" t="str">
        <f t="shared" si="74"/>
        <v/>
      </c>
      <c r="E1179" s="29"/>
      <c r="F1179" s="22"/>
      <c r="G1179" s="22"/>
      <c r="H1179" s="22"/>
      <c r="I1179" s="24"/>
      <c r="J1179" s="24"/>
      <c r="K1179" s="24"/>
      <c r="L1179" s="24"/>
      <c r="M1179" s="27" t="str">
        <f t="shared" si="75"/>
        <v/>
      </c>
      <c r="N1179" s="25"/>
      <c r="O1179" s="22"/>
      <c r="P1179" s="24"/>
      <c r="Q1179" s="26"/>
    </row>
    <row r="1180" spans="1:17" ht="15" x14ac:dyDescent="0.15">
      <c r="A1180" s="22"/>
      <c r="B1180" s="26" t="str">
        <f t="shared" si="72"/>
        <v/>
      </c>
      <c r="C1180" s="26" t="str">
        <f t="shared" si="73"/>
        <v/>
      </c>
      <c r="D1180" s="26" t="str">
        <f t="shared" si="74"/>
        <v/>
      </c>
      <c r="E1180" s="29"/>
      <c r="F1180" s="22"/>
      <c r="G1180" s="22"/>
      <c r="H1180" s="22"/>
      <c r="I1180" s="24"/>
      <c r="J1180" s="24"/>
      <c r="K1180" s="24"/>
      <c r="L1180" s="24"/>
      <c r="M1180" s="27" t="str">
        <f t="shared" si="75"/>
        <v/>
      </c>
      <c r="N1180" s="25"/>
      <c r="O1180" s="22"/>
      <c r="P1180" s="24"/>
      <c r="Q1180" s="26"/>
    </row>
    <row r="1181" spans="1:17" ht="15" x14ac:dyDescent="0.15">
      <c r="A1181" s="22"/>
      <c r="B1181" s="26" t="str">
        <f t="shared" si="72"/>
        <v/>
      </c>
      <c r="C1181" s="26" t="str">
        <f t="shared" si="73"/>
        <v/>
      </c>
      <c r="D1181" s="26" t="str">
        <f t="shared" si="74"/>
        <v/>
      </c>
      <c r="E1181" s="29"/>
      <c r="F1181" s="22"/>
      <c r="G1181" s="22"/>
      <c r="H1181" s="22"/>
      <c r="I1181" s="24"/>
      <c r="J1181" s="24"/>
      <c r="K1181" s="24"/>
      <c r="L1181" s="24"/>
      <c r="M1181" s="27" t="str">
        <f t="shared" si="75"/>
        <v/>
      </c>
      <c r="N1181" s="25"/>
      <c r="O1181" s="22"/>
      <c r="P1181" s="24"/>
      <c r="Q1181" s="26"/>
    </row>
    <row r="1182" spans="1:17" ht="15" x14ac:dyDescent="0.15">
      <c r="A1182" s="22"/>
      <c r="B1182" s="26" t="str">
        <f t="shared" si="72"/>
        <v/>
      </c>
      <c r="C1182" s="26" t="str">
        <f t="shared" si="73"/>
        <v/>
      </c>
      <c r="D1182" s="26" t="str">
        <f t="shared" si="74"/>
        <v/>
      </c>
      <c r="E1182" s="29"/>
      <c r="F1182" s="22"/>
      <c r="G1182" s="22"/>
      <c r="H1182" s="22"/>
      <c r="I1182" s="24"/>
      <c r="J1182" s="24"/>
      <c r="K1182" s="24"/>
      <c r="L1182" s="24"/>
      <c r="M1182" s="27" t="str">
        <f t="shared" si="75"/>
        <v/>
      </c>
      <c r="N1182" s="25"/>
      <c r="O1182" s="22"/>
      <c r="P1182" s="24"/>
      <c r="Q1182" s="26"/>
    </row>
    <row r="1183" spans="1:17" ht="15" x14ac:dyDescent="0.15">
      <c r="A1183" s="22"/>
      <c r="B1183" s="26" t="str">
        <f t="shared" si="72"/>
        <v/>
      </c>
      <c r="C1183" s="26" t="str">
        <f t="shared" si="73"/>
        <v/>
      </c>
      <c r="D1183" s="26" t="str">
        <f t="shared" si="74"/>
        <v/>
      </c>
      <c r="E1183" s="29"/>
      <c r="F1183" s="22"/>
      <c r="G1183" s="22"/>
      <c r="H1183" s="22"/>
      <c r="I1183" s="24"/>
      <c r="J1183" s="24"/>
      <c r="K1183" s="24"/>
      <c r="L1183" s="24"/>
      <c r="M1183" s="27" t="str">
        <f t="shared" si="75"/>
        <v/>
      </c>
      <c r="N1183" s="25"/>
      <c r="O1183" s="22"/>
      <c r="P1183" s="24"/>
      <c r="Q1183" s="26"/>
    </row>
    <row r="1184" spans="1:17" ht="15" x14ac:dyDescent="0.15">
      <c r="A1184" s="22"/>
      <c r="B1184" s="26" t="str">
        <f t="shared" si="72"/>
        <v/>
      </c>
      <c r="C1184" s="26" t="str">
        <f t="shared" si="73"/>
        <v/>
      </c>
      <c r="D1184" s="26" t="str">
        <f t="shared" si="74"/>
        <v/>
      </c>
      <c r="E1184" s="29"/>
      <c r="F1184" s="22"/>
      <c r="G1184" s="22"/>
      <c r="H1184" s="22"/>
      <c r="I1184" s="24"/>
      <c r="J1184" s="24"/>
      <c r="K1184" s="24"/>
      <c r="L1184" s="24"/>
      <c r="M1184" s="27" t="str">
        <f t="shared" si="75"/>
        <v/>
      </c>
      <c r="N1184" s="25"/>
      <c r="O1184" s="22"/>
      <c r="P1184" s="24"/>
      <c r="Q1184" s="26"/>
    </row>
    <row r="1185" spans="1:17" ht="15" x14ac:dyDescent="0.15">
      <c r="A1185" s="22"/>
      <c r="B1185" s="26" t="str">
        <f t="shared" si="72"/>
        <v/>
      </c>
      <c r="C1185" s="26" t="str">
        <f t="shared" si="73"/>
        <v/>
      </c>
      <c r="D1185" s="26" t="str">
        <f t="shared" si="74"/>
        <v/>
      </c>
      <c r="E1185" s="29"/>
      <c r="F1185" s="22"/>
      <c r="G1185" s="22"/>
      <c r="H1185" s="22"/>
      <c r="I1185" s="24"/>
      <c r="J1185" s="24"/>
      <c r="K1185" s="24"/>
      <c r="L1185" s="24"/>
      <c r="M1185" s="27" t="str">
        <f t="shared" si="75"/>
        <v/>
      </c>
      <c r="N1185" s="25"/>
      <c r="O1185" s="22"/>
      <c r="P1185" s="24"/>
      <c r="Q1185" s="26"/>
    </row>
    <row r="1186" spans="1:17" ht="15" x14ac:dyDescent="0.15">
      <c r="A1186" s="22"/>
      <c r="B1186" s="26" t="str">
        <f t="shared" si="72"/>
        <v/>
      </c>
      <c r="C1186" s="26" t="str">
        <f t="shared" si="73"/>
        <v/>
      </c>
      <c r="D1186" s="26" t="str">
        <f t="shared" si="74"/>
        <v/>
      </c>
      <c r="E1186" s="29"/>
      <c r="F1186" s="22"/>
      <c r="G1186" s="22"/>
      <c r="H1186" s="22"/>
      <c r="I1186" s="24"/>
      <c r="J1186" s="24"/>
      <c r="K1186" s="24"/>
      <c r="L1186" s="24"/>
      <c r="M1186" s="27" t="str">
        <f t="shared" si="75"/>
        <v/>
      </c>
      <c r="N1186" s="25"/>
      <c r="O1186" s="22"/>
      <c r="P1186" s="24"/>
      <c r="Q1186" s="26"/>
    </row>
    <row r="1187" spans="1:17" ht="15" x14ac:dyDescent="0.15">
      <c r="A1187" s="22"/>
      <c r="B1187" s="26" t="str">
        <f t="shared" si="72"/>
        <v/>
      </c>
      <c r="C1187" s="26" t="str">
        <f t="shared" si="73"/>
        <v/>
      </c>
      <c r="D1187" s="26" t="str">
        <f t="shared" si="74"/>
        <v/>
      </c>
      <c r="E1187" s="29"/>
      <c r="F1187" s="22"/>
      <c r="G1187" s="22"/>
      <c r="H1187" s="22"/>
      <c r="I1187" s="24"/>
      <c r="J1187" s="24"/>
      <c r="K1187" s="24"/>
      <c r="L1187" s="24"/>
      <c r="M1187" s="27" t="str">
        <f t="shared" si="75"/>
        <v/>
      </c>
      <c r="N1187" s="25"/>
      <c r="O1187" s="22"/>
      <c r="P1187" s="24"/>
      <c r="Q1187" s="26"/>
    </row>
    <row r="1188" spans="1:17" ht="15" x14ac:dyDescent="0.15">
      <c r="A1188" s="22"/>
      <c r="B1188" s="26" t="str">
        <f t="shared" si="72"/>
        <v/>
      </c>
      <c r="C1188" s="26" t="str">
        <f t="shared" si="73"/>
        <v/>
      </c>
      <c r="D1188" s="26" t="str">
        <f t="shared" si="74"/>
        <v/>
      </c>
      <c r="E1188" s="29"/>
      <c r="F1188" s="22"/>
      <c r="G1188" s="22"/>
      <c r="H1188" s="22"/>
      <c r="I1188" s="24"/>
      <c r="J1188" s="24"/>
      <c r="K1188" s="24"/>
      <c r="L1188" s="24"/>
      <c r="M1188" s="27" t="str">
        <f t="shared" si="75"/>
        <v/>
      </c>
      <c r="N1188" s="25"/>
      <c r="O1188" s="22"/>
      <c r="P1188" s="24"/>
      <c r="Q1188" s="26"/>
    </row>
    <row r="1189" spans="1:17" ht="15" x14ac:dyDescent="0.15">
      <c r="A1189" s="22"/>
      <c r="B1189" s="26" t="str">
        <f t="shared" si="72"/>
        <v/>
      </c>
      <c r="C1189" s="26" t="str">
        <f t="shared" si="73"/>
        <v/>
      </c>
      <c r="D1189" s="26" t="str">
        <f t="shared" si="74"/>
        <v/>
      </c>
      <c r="E1189" s="29"/>
      <c r="F1189" s="22"/>
      <c r="G1189" s="22"/>
      <c r="H1189" s="22"/>
      <c r="I1189" s="24"/>
      <c r="J1189" s="24"/>
      <c r="K1189" s="24"/>
      <c r="L1189" s="24"/>
      <c r="M1189" s="27" t="str">
        <f t="shared" si="75"/>
        <v/>
      </c>
      <c r="N1189" s="25"/>
      <c r="O1189" s="22"/>
      <c r="P1189" s="24"/>
      <c r="Q1189" s="26"/>
    </row>
    <row r="1190" spans="1:17" ht="15" x14ac:dyDescent="0.15">
      <c r="A1190" s="22"/>
      <c r="B1190" s="26" t="str">
        <f t="shared" si="72"/>
        <v/>
      </c>
      <c r="C1190" s="26" t="str">
        <f t="shared" si="73"/>
        <v/>
      </c>
      <c r="D1190" s="26" t="str">
        <f t="shared" si="74"/>
        <v/>
      </c>
      <c r="E1190" s="29"/>
      <c r="F1190" s="22"/>
      <c r="G1190" s="22"/>
      <c r="H1190" s="22"/>
      <c r="I1190" s="24"/>
      <c r="J1190" s="24"/>
      <c r="K1190" s="24"/>
      <c r="L1190" s="24"/>
      <c r="M1190" s="27" t="str">
        <f t="shared" si="75"/>
        <v/>
      </c>
      <c r="N1190" s="25"/>
      <c r="O1190" s="22"/>
      <c r="P1190" s="24"/>
      <c r="Q1190" s="26"/>
    </row>
    <row r="1191" spans="1:17" ht="15" x14ac:dyDescent="0.15">
      <c r="A1191" s="22"/>
      <c r="B1191" s="26" t="str">
        <f t="shared" si="72"/>
        <v/>
      </c>
      <c r="C1191" s="26" t="str">
        <f t="shared" si="73"/>
        <v/>
      </c>
      <c r="D1191" s="26" t="str">
        <f t="shared" si="74"/>
        <v/>
      </c>
      <c r="E1191" s="29"/>
      <c r="F1191" s="22"/>
      <c r="G1191" s="22"/>
      <c r="H1191" s="22"/>
      <c r="I1191" s="24"/>
      <c r="J1191" s="24"/>
      <c r="K1191" s="24"/>
      <c r="L1191" s="24"/>
      <c r="M1191" s="27" t="str">
        <f t="shared" si="75"/>
        <v/>
      </c>
      <c r="N1191" s="25"/>
      <c r="O1191" s="22"/>
      <c r="P1191" s="24"/>
      <c r="Q1191" s="26"/>
    </row>
    <row r="1192" spans="1:17" ht="15" x14ac:dyDescent="0.15">
      <c r="A1192" s="22"/>
      <c r="B1192" s="26" t="str">
        <f t="shared" si="72"/>
        <v/>
      </c>
      <c r="C1192" s="26" t="str">
        <f t="shared" si="73"/>
        <v/>
      </c>
      <c r="D1192" s="26" t="str">
        <f t="shared" si="74"/>
        <v/>
      </c>
      <c r="E1192" s="29"/>
      <c r="F1192" s="22"/>
      <c r="G1192" s="22"/>
      <c r="H1192" s="22"/>
      <c r="I1192" s="24"/>
      <c r="J1192" s="24"/>
      <c r="K1192" s="24"/>
      <c r="L1192" s="24"/>
      <c r="M1192" s="27" t="str">
        <f t="shared" si="75"/>
        <v/>
      </c>
      <c r="N1192" s="25"/>
      <c r="O1192" s="22"/>
      <c r="P1192" s="24"/>
      <c r="Q1192" s="26"/>
    </row>
    <row r="1193" spans="1:17" ht="15" x14ac:dyDescent="0.15">
      <c r="A1193" s="22"/>
      <c r="B1193" s="26" t="str">
        <f t="shared" si="72"/>
        <v/>
      </c>
      <c r="C1193" s="26" t="str">
        <f t="shared" si="73"/>
        <v/>
      </c>
      <c r="D1193" s="26" t="str">
        <f t="shared" si="74"/>
        <v/>
      </c>
      <c r="E1193" s="29"/>
      <c r="F1193" s="22"/>
      <c r="G1193" s="22"/>
      <c r="H1193" s="22"/>
      <c r="I1193" s="24"/>
      <c r="J1193" s="24"/>
      <c r="K1193" s="24"/>
      <c r="L1193" s="24"/>
      <c r="M1193" s="27" t="str">
        <f t="shared" si="75"/>
        <v/>
      </c>
      <c r="N1193" s="25"/>
      <c r="O1193" s="22"/>
      <c r="P1193" s="24"/>
      <c r="Q1193" s="26"/>
    </row>
    <row r="1194" spans="1:17" ht="15" x14ac:dyDescent="0.15">
      <c r="A1194" s="22"/>
      <c r="B1194" s="26" t="str">
        <f t="shared" si="72"/>
        <v/>
      </c>
      <c r="C1194" s="26" t="str">
        <f t="shared" si="73"/>
        <v/>
      </c>
      <c r="D1194" s="26" t="str">
        <f t="shared" si="74"/>
        <v/>
      </c>
      <c r="E1194" s="29"/>
      <c r="F1194" s="22"/>
      <c r="G1194" s="22"/>
      <c r="H1194" s="22"/>
      <c r="I1194" s="24"/>
      <c r="J1194" s="24"/>
      <c r="K1194" s="24"/>
      <c r="L1194" s="24"/>
      <c r="M1194" s="27" t="str">
        <f t="shared" si="75"/>
        <v/>
      </c>
      <c r="N1194" s="25"/>
      <c r="O1194" s="22"/>
      <c r="P1194" s="24"/>
      <c r="Q1194" s="26"/>
    </row>
    <row r="1195" spans="1:17" ht="15" x14ac:dyDescent="0.15">
      <c r="A1195" s="22"/>
      <c r="B1195" s="26" t="str">
        <f t="shared" si="72"/>
        <v/>
      </c>
      <c r="C1195" s="26" t="str">
        <f t="shared" si="73"/>
        <v/>
      </c>
      <c r="D1195" s="26" t="str">
        <f t="shared" si="74"/>
        <v/>
      </c>
      <c r="E1195" s="29"/>
      <c r="F1195" s="22"/>
      <c r="G1195" s="22"/>
      <c r="H1195" s="22"/>
      <c r="I1195" s="24"/>
      <c r="J1195" s="24"/>
      <c r="K1195" s="24"/>
      <c r="L1195" s="24"/>
      <c r="M1195" s="27" t="str">
        <f t="shared" si="75"/>
        <v/>
      </c>
      <c r="N1195" s="25"/>
      <c r="O1195" s="22"/>
      <c r="P1195" s="24"/>
      <c r="Q1195" s="26"/>
    </row>
    <row r="1196" spans="1:17" ht="15" x14ac:dyDescent="0.15">
      <c r="A1196" s="22"/>
      <c r="B1196" s="26" t="str">
        <f t="shared" si="72"/>
        <v/>
      </c>
      <c r="C1196" s="26" t="str">
        <f t="shared" si="73"/>
        <v/>
      </c>
      <c r="D1196" s="26" t="str">
        <f t="shared" si="74"/>
        <v/>
      </c>
      <c r="E1196" s="29"/>
      <c r="F1196" s="22"/>
      <c r="G1196" s="22"/>
      <c r="H1196" s="22"/>
      <c r="I1196" s="24"/>
      <c r="J1196" s="24"/>
      <c r="K1196" s="24"/>
      <c r="L1196" s="24"/>
      <c r="M1196" s="27" t="str">
        <f t="shared" si="75"/>
        <v/>
      </c>
      <c r="N1196" s="25"/>
      <c r="O1196" s="22"/>
      <c r="P1196" s="24"/>
      <c r="Q1196" s="26"/>
    </row>
    <row r="1197" spans="1:17" ht="15" x14ac:dyDescent="0.15">
      <c r="A1197" s="22"/>
      <c r="B1197" s="26" t="str">
        <f t="shared" si="72"/>
        <v/>
      </c>
      <c r="C1197" s="26" t="str">
        <f t="shared" si="73"/>
        <v/>
      </c>
      <c r="D1197" s="26" t="str">
        <f t="shared" si="74"/>
        <v/>
      </c>
      <c r="E1197" s="29"/>
      <c r="F1197" s="22"/>
      <c r="G1197" s="22"/>
      <c r="H1197" s="22"/>
      <c r="I1197" s="24"/>
      <c r="J1197" s="24"/>
      <c r="K1197" s="24"/>
      <c r="L1197" s="24"/>
      <c r="M1197" s="27" t="str">
        <f t="shared" si="75"/>
        <v/>
      </c>
      <c r="N1197" s="25"/>
      <c r="O1197" s="22"/>
      <c r="P1197" s="24"/>
      <c r="Q1197" s="26"/>
    </row>
    <row r="1198" spans="1:17" ht="15" x14ac:dyDescent="0.15">
      <c r="A1198" s="22"/>
      <c r="B1198" s="26" t="str">
        <f t="shared" si="72"/>
        <v/>
      </c>
      <c r="C1198" s="26" t="str">
        <f t="shared" si="73"/>
        <v/>
      </c>
      <c r="D1198" s="26" t="str">
        <f t="shared" si="74"/>
        <v/>
      </c>
      <c r="E1198" s="29"/>
      <c r="F1198" s="22"/>
      <c r="G1198" s="22"/>
      <c r="H1198" s="22"/>
      <c r="I1198" s="24"/>
      <c r="J1198" s="24"/>
      <c r="K1198" s="24"/>
      <c r="L1198" s="24"/>
      <c r="M1198" s="27" t="str">
        <f t="shared" si="75"/>
        <v/>
      </c>
      <c r="N1198" s="25"/>
      <c r="O1198" s="22"/>
      <c r="P1198" s="24"/>
      <c r="Q1198" s="26"/>
    </row>
    <row r="1199" spans="1:17" ht="15" x14ac:dyDescent="0.15">
      <c r="A1199" s="22"/>
      <c r="B1199" s="26" t="str">
        <f t="shared" si="72"/>
        <v/>
      </c>
      <c r="C1199" s="26" t="str">
        <f t="shared" si="73"/>
        <v/>
      </c>
      <c r="D1199" s="26" t="str">
        <f t="shared" si="74"/>
        <v/>
      </c>
      <c r="E1199" s="29"/>
      <c r="F1199" s="22"/>
      <c r="G1199" s="22"/>
      <c r="H1199" s="22"/>
      <c r="I1199" s="24"/>
      <c r="J1199" s="24"/>
      <c r="K1199" s="24"/>
      <c r="L1199" s="24"/>
      <c r="M1199" s="27" t="str">
        <f t="shared" si="75"/>
        <v/>
      </c>
      <c r="N1199" s="25"/>
      <c r="O1199" s="22"/>
      <c r="P1199" s="24"/>
      <c r="Q1199" s="26"/>
    </row>
    <row r="1200" spans="1:17" ht="15" x14ac:dyDescent="0.15">
      <c r="A1200" s="22"/>
      <c r="B1200" s="26" t="str">
        <f t="shared" si="72"/>
        <v/>
      </c>
      <c r="C1200" s="26" t="str">
        <f t="shared" si="73"/>
        <v/>
      </c>
      <c r="D1200" s="26" t="str">
        <f t="shared" si="74"/>
        <v/>
      </c>
      <c r="E1200" s="29"/>
      <c r="F1200" s="22"/>
      <c r="G1200" s="22"/>
      <c r="H1200" s="22"/>
      <c r="I1200" s="24"/>
      <c r="J1200" s="24"/>
      <c r="K1200" s="24"/>
      <c r="L1200" s="24"/>
      <c r="M1200" s="27" t="str">
        <f t="shared" si="75"/>
        <v/>
      </c>
      <c r="N1200" s="25"/>
      <c r="O1200" s="22"/>
      <c r="P1200" s="24"/>
      <c r="Q1200" s="26"/>
    </row>
    <row r="1201" spans="1:17" ht="15" x14ac:dyDescent="0.15">
      <c r="A1201" s="22"/>
      <c r="B1201" s="26" t="str">
        <f t="shared" si="72"/>
        <v/>
      </c>
      <c r="C1201" s="26" t="str">
        <f t="shared" si="73"/>
        <v/>
      </c>
      <c r="D1201" s="26" t="str">
        <f t="shared" si="74"/>
        <v/>
      </c>
      <c r="E1201" s="29"/>
      <c r="F1201" s="22"/>
      <c r="G1201" s="22"/>
      <c r="H1201" s="22"/>
      <c r="I1201" s="24"/>
      <c r="J1201" s="24"/>
      <c r="K1201" s="24"/>
      <c r="L1201" s="24"/>
      <c r="M1201" s="27" t="str">
        <f t="shared" si="75"/>
        <v/>
      </c>
      <c r="N1201" s="25"/>
      <c r="O1201" s="22"/>
      <c r="P1201" s="24"/>
      <c r="Q1201" s="26"/>
    </row>
    <row r="1202" spans="1:17" ht="15" x14ac:dyDescent="0.15">
      <c r="A1202" s="22"/>
      <c r="B1202" s="26" t="str">
        <f t="shared" si="72"/>
        <v/>
      </c>
      <c r="C1202" s="26" t="str">
        <f t="shared" si="73"/>
        <v/>
      </c>
      <c r="D1202" s="26" t="str">
        <f t="shared" si="74"/>
        <v/>
      </c>
      <c r="E1202" s="29"/>
      <c r="F1202" s="22"/>
      <c r="G1202" s="22"/>
      <c r="H1202" s="22"/>
      <c r="I1202" s="24"/>
      <c r="J1202" s="24"/>
      <c r="K1202" s="24"/>
      <c r="L1202" s="24"/>
      <c r="M1202" s="27" t="str">
        <f t="shared" si="75"/>
        <v/>
      </c>
      <c r="N1202" s="25"/>
      <c r="O1202" s="22"/>
      <c r="P1202" s="24"/>
      <c r="Q1202" s="26"/>
    </row>
    <row r="1203" spans="1:17" ht="15" x14ac:dyDescent="0.15">
      <c r="A1203" s="22"/>
      <c r="B1203" s="26" t="str">
        <f t="shared" si="72"/>
        <v/>
      </c>
      <c r="C1203" s="26" t="str">
        <f t="shared" si="73"/>
        <v/>
      </c>
      <c r="D1203" s="26" t="str">
        <f t="shared" si="74"/>
        <v/>
      </c>
      <c r="E1203" s="29"/>
      <c r="F1203" s="22"/>
      <c r="G1203" s="22"/>
      <c r="H1203" s="22"/>
      <c r="I1203" s="24"/>
      <c r="J1203" s="24"/>
      <c r="K1203" s="24"/>
      <c r="L1203" s="24"/>
      <c r="M1203" s="27" t="str">
        <f t="shared" si="75"/>
        <v/>
      </c>
      <c r="N1203" s="25"/>
      <c r="O1203" s="22"/>
      <c r="P1203" s="24"/>
      <c r="Q1203" s="26"/>
    </row>
    <row r="1204" spans="1:17" ht="15" x14ac:dyDescent="0.15">
      <c r="A1204" s="22"/>
      <c r="B1204" s="26" t="str">
        <f t="shared" si="72"/>
        <v/>
      </c>
      <c r="C1204" s="26" t="str">
        <f t="shared" si="73"/>
        <v/>
      </c>
      <c r="D1204" s="26" t="str">
        <f t="shared" si="74"/>
        <v/>
      </c>
      <c r="E1204" s="29"/>
      <c r="F1204" s="22"/>
      <c r="G1204" s="22"/>
      <c r="H1204" s="22"/>
      <c r="I1204" s="24"/>
      <c r="J1204" s="24"/>
      <c r="K1204" s="24"/>
      <c r="L1204" s="24"/>
      <c r="M1204" s="27" t="str">
        <f t="shared" si="75"/>
        <v/>
      </c>
      <c r="N1204" s="25"/>
      <c r="O1204" s="22"/>
      <c r="P1204" s="24"/>
      <c r="Q1204" s="26"/>
    </row>
    <row r="1205" spans="1:17" ht="15" x14ac:dyDescent="0.15">
      <c r="A1205" s="22"/>
      <c r="B1205" s="26" t="str">
        <f t="shared" si="72"/>
        <v/>
      </c>
      <c r="C1205" s="26" t="str">
        <f t="shared" si="73"/>
        <v/>
      </c>
      <c r="D1205" s="26" t="str">
        <f t="shared" si="74"/>
        <v/>
      </c>
      <c r="E1205" s="29"/>
      <c r="F1205" s="22"/>
      <c r="G1205" s="22"/>
      <c r="H1205" s="22"/>
      <c r="I1205" s="24"/>
      <c r="J1205" s="24"/>
      <c r="K1205" s="24"/>
      <c r="L1205" s="24"/>
      <c r="M1205" s="27" t="str">
        <f t="shared" si="75"/>
        <v/>
      </c>
      <c r="N1205" s="25"/>
      <c r="O1205" s="22"/>
      <c r="P1205" s="24"/>
      <c r="Q1205" s="26"/>
    </row>
    <row r="1206" spans="1:17" ht="15" x14ac:dyDescent="0.15">
      <c r="A1206" s="22"/>
      <c r="B1206" s="26" t="str">
        <f t="shared" si="72"/>
        <v/>
      </c>
      <c r="C1206" s="26" t="str">
        <f t="shared" si="73"/>
        <v/>
      </c>
      <c r="D1206" s="26" t="str">
        <f t="shared" si="74"/>
        <v/>
      </c>
      <c r="E1206" s="29"/>
      <c r="F1206" s="22"/>
      <c r="G1206" s="22"/>
      <c r="H1206" s="22"/>
      <c r="I1206" s="24"/>
      <c r="J1206" s="24"/>
      <c r="K1206" s="24"/>
      <c r="L1206" s="24"/>
      <c r="M1206" s="27" t="str">
        <f t="shared" si="75"/>
        <v/>
      </c>
      <c r="N1206" s="25"/>
      <c r="O1206" s="22"/>
      <c r="P1206" s="24"/>
      <c r="Q1206" s="26"/>
    </row>
    <row r="1207" spans="1:17" ht="15" x14ac:dyDescent="0.15">
      <c r="A1207" s="22"/>
      <c r="B1207" s="26" t="str">
        <f t="shared" si="72"/>
        <v/>
      </c>
      <c r="C1207" s="26" t="str">
        <f t="shared" si="73"/>
        <v/>
      </c>
      <c r="D1207" s="26" t="str">
        <f t="shared" si="74"/>
        <v/>
      </c>
      <c r="E1207" s="29"/>
      <c r="F1207" s="22"/>
      <c r="G1207" s="22"/>
      <c r="H1207" s="22"/>
      <c r="I1207" s="24"/>
      <c r="J1207" s="24"/>
      <c r="K1207" s="24"/>
      <c r="L1207" s="24"/>
      <c r="M1207" s="27" t="str">
        <f t="shared" si="75"/>
        <v/>
      </c>
      <c r="N1207" s="25"/>
      <c r="O1207" s="22"/>
      <c r="P1207" s="24"/>
      <c r="Q1207" s="26"/>
    </row>
    <row r="1208" spans="1:17" ht="15" x14ac:dyDescent="0.15">
      <c r="A1208" s="22"/>
      <c r="B1208" s="26" t="str">
        <f t="shared" si="72"/>
        <v/>
      </c>
      <c r="C1208" s="26" t="str">
        <f t="shared" si="73"/>
        <v/>
      </c>
      <c r="D1208" s="26" t="str">
        <f t="shared" si="74"/>
        <v/>
      </c>
      <c r="E1208" s="29"/>
      <c r="F1208" s="22"/>
      <c r="G1208" s="22"/>
      <c r="H1208" s="22"/>
      <c r="I1208" s="24"/>
      <c r="J1208" s="24"/>
      <c r="K1208" s="24"/>
      <c r="L1208" s="24"/>
      <c r="M1208" s="27" t="str">
        <f t="shared" si="75"/>
        <v/>
      </c>
      <c r="N1208" s="25"/>
      <c r="O1208" s="22"/>
      <c r="P1208" s="24"/>
      <c r="Q1208" s="26"/>
    </row>
    <row r="1209" spans="1:17" ht="15" x14ac:dyDescent="0.15">
      <c r="A1209" s="22"/>
      <c r="B1209" s="26" t="str">
        <f t="shared" si="72"/>
        <v/>
      </c>
      <c r="C1209" s="26" t="str">
        <f t="shared" si="73"/>
        <v/>
      </c>
      <c r="D1209" s="26" t="str">
        <f t="shared" si="74"/>
        <v/>
      </c>
      <c r="E1209" s="29"/>
      <c r="F1209" s="22"/>
      <c r="G1209" s="22"/>
      <c r="H1209" s="22"/>
      <c r="I1209" s="24"/>
      <c r="J1209" s="24"/>
      <c r="K1209" s="24"/>
      <c r="L1209" s="24"/>
      <c r="M1209" s="27" t="str">
        <f t="shared" si="75"/>
        <v/>
      </c>
      <c r="N1209" s="25"/>
      <c r="O1209" s="22"/>
      <c r="P1209" s="24"/>
      <c r="Q1209" s="26"/>
    </row>
    <row r="1210" spans="1:17" ht="15" x14ac:dyDescent="0.15">
      <c r="A1210" s="22"/>
      <c r="B1210" s="26" t="str">
        <f t="shared" si="72"/>
        <v/>
      </c>
      <c r="C1210" s="26" t="str">
        <f t="shared" si="73"/>
        <v/>
      </c>
      <c r="D1210" s="26" t="str">
        <f t="shared" si="74"/>
        <v/>
      </c>
      <c r="E1210" s="29"/>
      <c r="F1210" s="22"/>
      <c r="G1210" s="22"/>
      <c r="H1210" s="22"/>
      <c r="I1210" s="24"/>
      <c r="J1210" s="24"/>
      <c r="K1210" s="24"/>
      <c r="L1210" s="24"/>
      <c r="M1210" s="27" t="str">
        <f t="shared" si="75"/>
        <v/>
      </c>
      <c r="N1210" s="25"/>
      <c r="O1210" s="22"/>
      <c r="P1210" s="24"/>
      <c r="Q1210" s="26"/>
    </row>
    <row r="1211" spans="1:17" ht="15" x14ac:dyDescent="0.15">
      <c r="A1211" s="22"/>
      <c r="B1211" s="26" t="str">
        <f t="shared" si="72"/>
        <v/>
      </c>
      <c r="C1211" s="26" t="str">
        <f t="shared" si="73"/>
        <v/>
      </c>
      <c r="D1211" s="26" t="str">
        <f t="shared" si="74"/>
        <v/>
      </c>
      <c r="E1211" s="29"/>
      <c r="F1211" s="22"/>
      <c r="G1211" s="22"/>
      <c r="H1211" s="22"/>
      <c r="I1211" s="24"/>
      <c r="J1211" s="24"/>
      <c r="K1211" s="24"/>
      <c r="L1211" s="24"/>
      <c r="M1211" s="27" t="str">
        <f t="shared" si="75"/>
        <v/>
      </c>
      <c r="N1211" s="25"/>
      <c r="O1211" s="22"/>
      <c r="P1211" s="24"/>
      <c r="Q1211" s="26"/>
    </row>
    <row r="1212" spans="1:17" ht="15" x14ac:dyDescent="0.15">
      <c r="A1212" s="22"/>
      <c r="B1212" s="26" t="str">
        <f t="shared" si="72"/>
        <v/>
      </c>
      <c r="C1212" s="26" t="str">
        <f t="shared" si="73"/>
        <v/>
      </c>
      <c r="D1212" s="26" t="str">
        <f t="shared" si="74"/>
        <v/>
      </c>
      <c r="E1212" s="29"/>
      <c r="F1212" s="22"/>
      <c r="G1212" s="22"/>
      <c r="H1212" s="22"/>
      <c r="I1212" s="24"/>
      <c r="J1212" s="24"/>
      <c r="K1212" s="24"/>
      <c r="L1212" s="24"/>
      <c r="M1212" s="27" t="str">
        <f t="shared" si="75"/>
        <v/>
      </c>
      <c r="N1212" s="25"/>
      <c r="O1212" s="22"/>
      <c r="P1212" s="24"/>
      <c r="Q1212" s="26"/>
    </row>
    <row r="1213" spans="1:17" ht="15" x14ac:dyDescent="0.15">
      <c r="A1213" s="22"/>
      <c r="B1213" s="26" t="str">
        <f t="shared" si="72"/>
        <v/>
      </c>
      <c r="C1213" s="26" t="str">
        <f t="shared" si="73"/>
        <v/>
      </c>
      <c r="D1213" s="26" t="str">
        <f t="shared" si="74"/>
        <v/>
      </c>
      <c r="E1213" s="29"/>
      <c r="F1213" s="22"/>
      <c r="G1213" s="22"/>
      <c r="H1213" s="22"/>
      <c r="I1213" s="24"/>
      <c r="J1213" s="24"/>
      <c r="K1213" s="24"/>
      <c r="L1213" s="24"/>
      <c r="M1213" s="27" t="str">
        <f t="shared" si="75"/>
        <v/>
      </c>
      <c r="N1213" s="25"/>
      <c r="O1213" s="22"/>
      <c r="P1213" s="24"/>
      <c r="Q1213" s="26"/>
    </row>
    <row r="1214" spans="1:17" ht="15" x14ac:dyDescent="0.15">
      <c r="A1214" s="22"/>
      <c r="B1214" s="26" t="str">
        <f t="shared" si="72"/>
        <v/>
      </c>
      <c r="C1214" s="26" t="str">
        <f t="shared" si="73"/>
        <v/>
      </c>
      <c r="D1214" s="26" t="str">
        <f t="shared" si="74"/>
        <v/>
      </c>
      <c r="E1214" s="29"/>
      <c r="F1214" s="22"/>
      <c r="G1214" s="22"/>
      <c r="H1214" s="22"/>
      <c r="I1214" s="24"/>
      <c r="J1214" s="24"/>
      <c r="K1214" s="24"/>
      <c r="L1214" s="24"/>
      <c r="M1214" s="27" t="str">
        <f t="shared" si="75"/>
        <v/>
      </c>
      <c r="N1214" s="25"/>
      <c r="O1214" s="22"/>
      <c r="P1214" s="24"/>
      <c r="Q1214" s="26"/>
    </row>
    <row r="1215" spans="1:17" ht="15" x14ac:dyDescent="0.15">
      <c r="A1215" s="22"/>
      <c r="B1215" s="26" t="str">
        <f t="shared" si="72"/>
        <v/>
      </c>
      <c r="C1215" s="26" t="str">
        <f t="shared" si="73"/>
        <v/>
      </c>
      <c r="D1215" s="26" t="str">
        <f t="shared" si="74"/>
        <v/>
      </c>
      <c r="E1215" s="29"/>
      <c r="F1215" s="22"/>
      <c r="G1215" s="22"/>
      <c r="H1215" s="22"/>
      <c r="I1215" s="24"/>
      <c r="J1215" s="24"/>
      <c r="K1215" s="24"/>
      <c r="L1215" s="24"/>
      <c r="M1215" s="27" t="str">
        <f t="shared" si="75"/>
        <v/>
      </c>
      <c r="N1215" s="25"/>
      <c r="O1215" s="22"/>
      <c r="P1215" s="24"/>
      <c r="Q1215" s="26"/>
    </row>
    <row r="1216" spans="1:17" ht="15" x14ac:dyDescent="0.15">
      <c r="A1216" s="22"/>
      <c r="B1216" s="26" t="str">
        <f t="shared" si="72"/>
        <v/>
      </c>
      <c r="C1216" s="26" t="str">
        <f t="shared" si="73"/>
        <v/>
      </c>
      <c r="D1216" s="26" t="str">
        <f t="shared" si="74"/>
        <v/>
      </c>
      <c r="E1216" s="29"/>
      <c r="F1216" s="22"/>
      <c r="G1216" s="22"/>
      <c r="H1216" s="22"/>
      <c r="I1216" s="24"/>
      <c r="J1216" s="24"/>
      <c r="K1216" s="24"/>
      <c r="L1216" s="24"/>
      <c r="M1216" s="27" t="str">
        <f t="shared" si="75"/>
        <v/>
      </c>
      <c r="N1216" s="25"/>
      <c r="O1216" s="22"/>
      <c r="P1216" s="24"/>
      <c r="Q1216" s="26"/>
    </row>
    <row r="1217" spans="1:17" ht="15" x14ac:dyDescent="0.15">
      <c r="A1217" s="22"/>
      <c r="B1217" s="26" t="str">
        <f t="shared" si="72"/>
        <v/>
      </c>
      <c r="C1217" s="26" t="str">
        <f t="shared" si="73"/>
        <v/>
      </c>
      <c r="D1217" s="26" t="str">
        <f t="shared" si="74"/>
        <v/>
      </c>
      <c r="E1217" s="29"/>
      <c r="F1217" s="22"/>
      <c r="G1217" s="22"/>
      <c r="H1217" s="22"/>
      <c r="I1217" s="24"/>
      <c r="J1217" s="24"/>
      <c r="K1217" s="24"/>
      <c r="L1217" s="24"/>
      <c r="M1217" s="27" t="str">
        <f t="shared" si="75"/>
        <v/>
      </c>
      <c r="N1217" s="25"/>
      <c r="O1217" s="22"/>
      <c r="P1217" s="24"/>
      <c r="Q1217" s="26"/>
    </row>
    <row r="1218" spans="1:17" ht="15" x14ac:dyDescent="0.15">
      <c r="A1218" s="22"/>
      <c r="B1218" s="26" t="str">
        <f t="shared" si="72"/>
        <v/>
      </c>
      <c r="C1218" s="26" t="str">
        <f t="shared" si="73"/>
        <v/>
      </c>
      <c r="D1218" s="26" t="str">
        <f t="shared" si="74"/>
        <v/>
      </c>
      <c r="E1218" s="29"/>
      <c r="F1218" s="22"/>
      <c r="G1218" s="22"/>
      <c r="H1218" s="22"/>
      <c r="I1218" s="24"/>
      <c r="J1218" s="24"/>
      <c r="K1218" s="24"/>
      <c r="L1218" s="24"/>
      <c r="M1218" s="27" t="str">
        <f t="shared" si="75"/>
        <v/>
      </c>
      <c r="N1218" s="25"/>
      <c r="O1218" s="22"/>
      <c r="P1218" s="24"/>
      <c r="Q1218" s="26"/>
    </row>
    <row r="1219" spans="1:17" ht="15" x14ac:dyDescent="0.15">
      <c r="A1219" s="22"/>
      <c r="B1219" s="26" t="str">
        <f t="shared" si="72"/>
        <v/>
      </c>
      <c r="C1219" s="26" t="str">
        <f t="shared" si="73"/>
        <v/>
      </c>
      <c r="D1219" s="26" t="str">
        <f t="shared" si="74"/>
        <v/>
      </c>
      <c r="E1219" s="29"/>
      <c r="F1219" s="22"/>
      <c r="G1219" s="22"/>
      <c r="H1219" s="22"/>
      <c r="I1219" s="24"/>
      <c r="J1219" s="24"/>
      <c r="K1219" s="24"/>
      <c r="L1219" s="24"/>
      <c r="M1219" s="27" t="str">
        <f t="shared" si="75"/>
        <v/>
      </c>
      <c r="N1219" s="25"/>
      <c r="O1219" s="22"/>
      <c r="P1219" s="24"/>
      <c r="Q1219" s="26"/>
    </row>
    <row r="1220" spans="1:17" ht="15" x14ac:dyDescent="0.15">
      <c r="A1220" s="22"/>
      <c r="B1220" s="26" t="str">
        <f t="shared" si="72"/>
        <v/>
      </c>
      <c r="C1220" s="26" t="str">
        <f t="shared" si="73"/>
        <v/>
      </c>
      <c r="D1220" s="26" t="str">
        <f t="shared" si="74"/>
        <v/>
      </c>
      <c r="E1220" s="29"/>
      <c r="F1220" s="22"/>
      <c r="G1220" s="22"/>
      <c r="H1220" s="22"/>
      <c r="I1220" s="24"/>
      <c r="J1220" s="24"/>
      <c r="K1220" s="24"/>
      <c r="L1220" s="24"/>
      <c r="M1220" s="27" t="str">
        <f t="shared" si="75"/>
        <v/>
      </c>
      <c r="N1220" s="25"/>
      <c r="O1220" s="22"/>
      <c r="P1220" s="24"/>
      <c r="Q1220" s="26"/>
    </row>
    <row r="1221" spans="1:17" ht="15" x14ac:dyDescent="0.15">
      <c r="A1221" s="22"/>
      <c r="B1221" s="26" t="str">
        <f t="shared" si="72"/>
        <v/>
      </c>
      <c r="C1221" s="26" t="str">
        <f t="shared" si="73"/>
        <v/>
      </c>
      <c r="D1221" s="26" t="str">
        <f t="shared" si="74"/>
        <v/>
      </c>
      <c r="E1221" s="29"/>
      <c r="F1221" s="22"/>
      <c r="G1221" s="22"/>
      <c r="H1221" s="22"/>
      <c r="I1221" s="24"/>
      <c r="J1221" s="24"/>
      <c r="K1221" s="24"/>
      <c r="L1221" s="24"/>
      <c r="M1221" s="27" t="str">
        <f t="shared" si="75"/>
        <v/>
      </c>
      <c r="N1221" s="25"/>
      <c r="O1221" s="22"/>
      <c r="P1221" s="24"/>
      <c r="Q1221" s="26"/>
    </row>
    <row r="1222" spans="1:17" ht="15" x14ac:dyDescent="0.15">
      <c r="A1222" s="22"/>
      <c r="B1222" s="26" t="str">
        <f t="shared" si="72"/>
        <v/>
      </c>
      <c r="C1222" s="26" t="str">
        <f t="shared" si="73"/>
        <v/>
      </c>
      <c r="D1222" s="26" t="str">
        <f t="shared" si="74"/>
        <v/>
      </c>
      <c r="E1222" s="29"/>
      <c r="F1222" s="22"/>
      <c r="G1222" s="22"/>
      <c r="H1222" s="22"/>
      <c r="I1222" s="24"/>
      <c r="J1222" s="24"/>
      <c r="K1222" s="24"/>
      <c r="L1222" s="24"/>
      <c r="M1222" s="27" t="str">
        <f t="shared" si="75"/>
        <v/>
      </c>
      <c r="N1222" s="25"/>
      <c r="O1222" s="22"/>
      <c r="P1222" s="24"/>
      <c r="Q1222" s="26"/>
    </row>
    <row r="1223" spans="1:17" ht="15" x14ac:dyDescent="0.15">
      <c r="A1223" s="22"/>
      <c r="B1223" s="26" t="str">
        <f t="shared" ref="B1223:B1286" si="76">IFERROR(IF($A1223="","",LEFT($A1223,FIND(" | ",$A1223)-1)),"")</f>
        <v/>
      </c>
      <c r="C1223" s="26" t="str">
        <f t="shared" ref="C1223:C1286" si="77">IFERROR(IF($A1223="","",MID($A1223,FIND(" | ",$A1223)+3,FIND(" | ",$A1223,FIND(" | ",$A1223)+3)-FIND(" | ",$A1223)-3)),"")</f>
        <v/>
      </c>
      <c r="D1223" s="26" t="str">
        <f t="shared" ref="D1223:D1286" si="78">IFERROR(IF($A1223="","",RIGHT($A1223,LEN($A1223)-FIND(" | ",$A1223,FIND(" | ",$A1223)+3)-2)),"")</f>
        <v/>
      </c>
      <c r="E1223" s="29"/>
      <c r="F1223" s="22"/>
      <c r="G1223" s="22"/>
      <c r="H1223" s="22"/>
      <c r="I1223" s="24"/>
      <c r="J1223" s="24"/>
      <c r="K1223" s="24"/>
      <c r="L1223" s="24"/>
      <c r="M1223" s="27" t="str">
        <f t="shared" ref="M1223:M1286" si="79">IF($B1223="","",SUM($J1223,-$K1223,$L1223))</f>
        <v/>
      </c>
      <c r="N1223" s="25"/>
      <c r="O1223" s="22"/>
      <c r="P1223" s="24"/>
      <c r="Q1223" s="26"/>
    </row>
    <row r="1224" spans="1:17" ht="15" x14ac:dyDescent="0.15">
      <c r="A1224" s="22"/>
      <c r="B1224" s="26" t="str">
        <f t="shared" si="76"/>
        <v/>
      </c>
      <c r="C1224" s="26" t="str">
        <f t="shared" si="77"/>
        <v/>
      </c>
      <c r="D1224" s="26" t="str">
        <f t="shared" si="78"/>
        <v/>
      </c>
      <c r="E1224" s="29"/>
      <c r="F1224" s="22"/>
      <c r="G1224" s="22"/>
      <c r="H1224" s="22"/>
      <c r="I1224" s="24"/>
      <c r="J1224" s="24"/>
      <c r="K1224" s="24"/>
      <c r="L1224" s="24"/>
      <c r="M1224" s="27" t="str">
        <f t="shared" si="79"/>
        <v/>
      </c>
      <c r="N1224" s="25"/>
      <c r="O1224" s="22"/>
      <c r="P1224" s="24"/>
      <c r="Q1224" s="26"/>
    </row>
    <row r="1225" spans="1:17" ht="15" x14ac:dyDescent="0.15">
      <c r="A1225" s="22"/>
      <c r="B1225" s="26" t="str">
        <f t="shared" si="76"/>
        <v/>
      </c>
      <c r="C1225" s="26" t="str">
        <f t="shared" si="77"/>
        <v/>
      </c>
      <c r="D1225" s="26" t="str">
        <f t="shared" si="78"/>
        <v/>
      </c>
      <c r="E1225" s="29"/>
      <c r="F1225" s="22"/>
      <c r="G1225" s="22"/>
      <c r="H1225" s="22"/>
      <c r="I1225" s="24"/>
      <c r="J1225" s="24"/>
      <c r="K1225" s="24"/>
      <c r="L1225" s="24"/>
      <c r="M1225" s="27" t="str">
        <f t="shared" si="79"/>
        <v/>
      </c>
      <c r="N1225" s="25"/>
      <c r="O1225" s="22"/>
      <c r="P1225" s="24"/>
      <c r="Q1225" s="26"/>
    </row>
    <row r="1226" spans="1:17" ht="15" x14ac:dyDescent="0.15">
      <c r="A1226" s="22"/>
      <c r="B1226" s="26" t="str">
        <f t="shared" si="76"/>
        <v/>
      </c>
      <c r="C1226" s="26" t="str">
        <f t="shared" si="77"/>
        <v/>
      </c>
      <c r="D1226" s="26" t="str">
        <f t="shared" si="78"/>
        <v/>
      </c>
      <c r="E1226" s="29"/>
      <c r="F1226" s="22"/>
      <c r="G1226" s="22"/>
      <c r="H1226" s="22"/>
      <c r="I1226" s="24"/>
      <c r="J1226" s="24"/>
      <c r="K1226" s="24"/>
      <c r="L1226" s="24"/>
      <c r="M1226" s="27" t="str">
        <f t="shared" si="79"/>
        <v/>
      </c>
      <c r="N1226" s="25"/>
      <c r="O1226" s="22"/>
      <c r="P1226" s="24"/>
      <c r="Q1226" s="26"/>
    </row>
    <row r="1227" spans="1:17" ht="15" x14ac:dyDescent="0.15">
      <c r="A1227" s="22"/>
      <c r="B1227" s="26" t="str">
        <f t="shared" si="76"/>
        <v/>
      </c>
      <c r="C1227" s="26" t="str">
        <f t="shared" si="77"/>
        <v/>
      </c>
      <c r="D1227" s="26" t="str">
        <f t="shared" si="78"/>
        <v/>
      </c>
      <c r="E1227" s="29"/>
      <c r="F1227" s="22"/>
      <c r="G1227" s="22"/>
      <c r="H1227" s="22"/>
      <c r="I1227" s="24"/>
      <c r="J1227" s="24"/>
      <c r="K1227" s="24"/>
      <c r="L1227" s="24"/>
      <c r="M1227" s="27" t="str">
        <f t="shared" si="79"/>
        <v/>
      </c>
      <c r="N1227" s="25"/>
      <c r="O1227" s="22"/>
      <c r="P1227" s="24"/>
      <c r="Q1227" s="26"/>
    </row>
    <row r="1228" spans="1:17" ht="15" x14ac:dyDescent="0.15">
      <c r="A1228" s="22"/>
      <c r="B1228" s="26" t="str">
        <f t="shared" si="76"/>
        <v/>
      </c>
      <c r="C1228" s="26" t="str">
        <f t="shared" si="77"/>
        <v/>
      </c>
      <c r="D1228" s="26" t="str">
        <f t="shared" si="78"/>
        <v/>
      </c>
      <c r="E1228" s="29"/>
      <c r="F1228" s="22"/>
      <c r="G1228" s="22"/>
      <c r="H1228" s="22"/>
      <c r="I1228" s="24"/>
      <c r="J1228" s="24"/>
      <c r="K1228" s="24"/>
      <c r="L1228" s="24"/>
      <c r="M1228" s="27" t="str">
        <f t="shared" si="79"/>
        <v/>
      </c>
      <c r="N1228" s="25"/>
      <c r="O1228" s="22"/>
      <c r="P1228" s="24"/>
      <c r="Q1228" s="26"/>
    </row>
    <row r="1229" spans="1:17" ht="15" x14ac:dyDescent="0.15">
      <c r="A1229" s="22"/>
      <c r="B1229" s="26" t="str">
        <f t="shared" si="76"/>
        <v/>
      </c>
      <c r="C1229" s="26" t="str">
        <f t="shared" si="77"/>
        <v/>
      </c>
      <c r="D1229" s="26" t="str">
        <f t="shared" si="78"/>
        <v/>
      </c>
      <c r="E1229" s="29"/>
      <c r="F1229" s="22"/>
      <c r="G1229" s="22"/>
      <c r="H1229" s="22"/>
      <c r="I1229" s="24"/>
      <c r="J1229" s="24"/>
      <c r="K1229" s="24"/>
      <c r="L1229" s="24"/>
      <c r="M1229" s="27" t="str">
        <f t="shared" si="79"/>
        <v/>
      </c>
      <c r="N1229" s="25"/>
      <c r="O1229" s="22"/>
      <c r="P1229" s="24"/>
      <c r="Q1229" s="26"/>
    </row>
    <row r="1230" spans="1:17" ht="15" x14ac:dyDescent="0.15">
      <c r="A1230" s="22"/>
      <c r="B1230" s="26" t="str">
        <f t="shared" si="76"/>
        <v/>
      </c>
      <c r="C1230" s="26" t="str">
        <f t="shared" si="77"/>
        <v/>
      </c>
      <c r="D1230" s="26" t="str">
        <f t="shared" si="78"/>
        <v/>
      </c>
      <c r="E1230" s="29"/>
      <c r="F1230" s="22"/>
      <c r="G1230" s="22"/>
      <c r="H1230" s="22"/>
      <c r="I1230" s="24"/>
      <c r="J1230" s="24"/>
      <c r="K1230" s="24"/>
      <c r="L1230" s="24"/>
      <c r="M1230" s="27" t="str">
        <f t="shared" si="79"/>
        <v/>
      </c>
      <c r="N1230" s="25"/>
      <c r="O1230" s="22"/>
      <c r="P1230" s="24"/>
      <c r="Q1230" s="26"/>
    </row>
    <row r="1231" spans="1:17" ht="15" x14ac:dyDescent="0.15">
      <c r="A1231" s="22"/>
      <c r="B1231" s="26" t="str">
        <f t="shared" si="76"/>
        <v/>
      </c>
      <c r="C1231" s="26" t="str">
        <f t="shared" si="77"/>
        <v/>
      </c>
      <c r="D1231" s="26" t="str">
        <f t="shared" si="78"/>
        <v/>
      </c>
      <c r="E1231" s="29"/>
      <c r="F1231" s="22"/>
      <c r="G1231" s="22"/>
      <c r="H1231" s="22"/>
      <c r="I1231" s="24"/>
      <c r="J1231" s="24"/>
      <c r="K1231" s="24"/>
      <c r="L1231" s="24"/>
      <c r="M1231" s="27" t="str">
        <f t="shared" si="79"/>
        <v/>
      </c>
      <c r="N1231" s="25"/>
      <c r="O1231" s="22"/>
      <c r="P1231" s="24"/>
      <c r="Q1231" s="26"/>
    </row>
    <row r="1232" spans="1:17" ht="15" x14ac:dyDescent="0.15">
      <c r="A1232" s="22"/>
      <c r="B1232" s="26" t="str">
        <f t="shared" si="76"/>
        <v/>
      </c>
      <c r="C1232" s="26" t="str">
        <f t="shared" si="77"/>
        <v/>
      </c>
      <c r="D1232" s="26" t="str">
        <f t="shared" si="78"/>
        <v/>
      </c>
      <c r="E1232" s="29"/>
      <c r="F1232" s="22"/>
      <c r="G1232" s="22"/>
      <c r="H1232" s="22"/>
      <c r="I1232" s="24"/>
      <c r="J1232" s="24"/>
      <c r="K1232" s="24"/>
      <c r="L1232" s="24"/>
      <c r="M1232" s="27" t="str">
        <f t="shared" si="79"/>
        <v/>
      </c>
      <c r="N1232" s="25"/>
      <c r="O1232" s="22"/>
      <c r="P1232" s="24"/>
      <c r="Q1232" s="26"/>
    </row>
    <row r="1233" spans="1:17" ht="15" x14ac:dyDescent="0.15">
      <c r="A1233" s="22"/>
      <c r="B1233" s="26" t="str">
        <f t="shared" si="76"/>
        <v/>
      </c>
      <c r="C1233" s="26" t="str">
        <f t="shared" si="77"/>
        <v/>
      </c>
      <c r="D1233" s="26" t="str">
        <f t="shared" si="78"/>
        <v/>
      </c>
      <c r="E1233" s="29"/>
      <c r="F1233" s="22"/>
      <c r="G1233" s="22"/>
      <c r="H1233" s="22"/>
      <c r="I1233" s="24"/>
      <c r="J1233" s="24"/>
      <c r="K1233" s="24"/>
      <c r="L1233" s="24"/>
      <c r="M1233" s="27" t="str">
        <f t="shared" si="79"/>
        <v/>
      </c>
      <c r="N1233" s="25"/>
      <c r="O1233" s="22"/>
      <c r="P1233" s="24"/>
      <c r="Q1233" s="26"/>
    </row>
    <row r="1234" spans="1:17" ht="15" x14ac:dyDescent="0.15">
      <c r="A1234" s="22"/>
      <c r="B1234" s="26" t="str">
        <f t="shared" si="76"/>
        <v/>
      </c>
      <c r="C1234" s="26" t="str">
        <f t="shared" si="77"/>
        <v/>
      </c>
      <c r="D1234" s="26" t="str">
        <f t="shared" si="78"/>
        <v/>
      </c>
      <c r="E1234" s="29"/>
      <c r="F1234" s="22"/>
      <c r="G1234" s="22"/>
      <c r="H1234" s="22"/>
      <c r="I1234" s="24"/>
      <c r="J1234" s="24"/>
      <c r="K1234" s="24"/>
      <c r="L1234" s="24"/>
      <c r="M1234" s="27" t="str">
        <f t="shared" si="79"/>
        <v/>
      </c>
      <c r="N1234" s="25"/>
      <c r="O1234" s="22"/>
      <c r="P1234" s="24"/>
      <c r="Q1234" s="26"/>
    </row>
    <row r="1235" spans="1:17" ht="15" x14ac:dyDescent="0.15">
      <c r="A1235" s="22"/>
      <c r="B1235" s="26" t="str">
        <f t="shared" si="76"/>
        <v/>
      </c>
      <c r="C1235" s="26" t="str">
        <f t="shared" si="77"/>
        <v/>
      </c>
      <c r="D1235" s="26" t="str">
        <f t="shared" si="78"/>
        <v/>
      </c>
      <c r="E1235" s="29"/>
      <c r="F1235" s="22"/>
      <c r="G1235" s="22"/>
      <c r="H1235" s="22"/>
      <c r="I1235" s="24"/>
      <c r="J1235" s="24"/>
      <c r="K1235" s="24"/>
      <c r="L1235" s="24"/>
      <c r="M1235" s="27" t="str">
        <f t="shared" si="79"/>
        <v/>
      </c>
      <c r="N1235" s="25"/>
      <c r="O1235" s="22"/>
      <c r="P1235" s="24"/>
      <c r="Q1235" s="26"/>
    </row>
    <row r="1236" spans="1:17" ht="15" x14ac:dyDescent="0.15">
      <c r="A1236" s="22"/>
      <c r="B1236" s="26" t="str">
        <f t="shared" si="76"/>
        <v/>
      </c>
      <c r="C1236" s="26" t="str">
        <f t="shared" si="77"/>
        <v/>
      </c>
      <c r="D1236" s="26" t="str">
        <f t="shared" si="78"/>
        <v/>
      </c>
      <c r="E1236" s="29"/>
      <c r="F1236" s="22"/>
      <c r="G1236" s="22"/>
      <c r="H1236" s="22"/>
      <c r="I1236" s="24"/>
      <c r="J1236" s="24"/>
      <c r="K1236" s="24"/>
      <c r="L1236" s="24"/>
      <c r="M1236" s="27" t="str">
        <f t="shared" si="79"/>
        <v/>
      </c>
      <c r="N1236" s="25"/>
      <c r="O1236" s="22"/>
      <c r="P1236" s="24"/>
      <c r="Q1236" s="26"/>
    </row>
    <row r="1237" spans="1:17" ht="15" x14ac:dyDescent="0.15">
      <c r="A1237" s="22"/>
      <c r="B1237" s="26" t="str">
        <f t="shared" si="76"/>
        <v/>
      </c>
      <c r="C1237" s="26" t="str">
        <f t="shared" si="77"/>
        <v/>
      </c>
      <c r="D1237" s="26" t="str">
        <f t="shared" si="78"/>
        <v/>
      </c>
      <c r="E1237" s="29"/>
      <c r="F1237" s="22"/>
      <c r="G1237" s="22"/>
      <c r="H1237" s="22"/>
      <c r="I1237" s="24"/>
      <c r="J1237" s="24"/>
      <c r="K1237" s="24"/>
      <c r="L1237" s="24"/>
      <c r="M1237" s="27" t="str">
        <f t="shared" si="79"/>
        <v/>
      </c>
      <c r="N1237" s="25"/>
      <c r="O1237" s="22"/>
      <c r="P1237" s="24"/>
      <c r="Q1237" s="26"/>
    </row>
    <row r="1238" spans="1:17" ht="15" x14ac:dyDescent="0.15">
      <c r="A1238" s="22"/>
      <c r="B1238" s="26" t="str">
        <f t="shared" si="76"/>
        <v/>
      </c>
      <c r="C1238" s="26" t="str">
        <f t="shared" si="77"/>
        <v/>
      </c>
      <c r="D1238" s="26" t="str">
        <f t="shared" si="78"/>
        <v/>
      </c>
      <c r="E1238" s="29"/>
      <c r="F1238" s="22"/>
      <c r="G1238" s="22"/>
      <c r="H1238" s="22"/>
      <c r="I1238" s="24"/>
      <c r="J1238" s="24"/>
      <c r="K1238" s="24"/>
      <c r="L1238" s="24"/>
      <c r="M1238" s="27" t="str">
        <f t="shared" si="79"/>
        <v/>
      </c>
      <c r="N1238" s="25"/>
      <c r="O1238" s="22"/>
      <c r="P1238" s="24"/>
      <c r="Q1238" s="26"/>
    </row>
    <row r="1239" spans="1:17" ht="15" x14ac:dyDescent="0.15">
      <c r="A1239" s="22"/>
      <c r="B1239" s="26" t="str">
        <f t="shared" si="76"/>
        <v/>
      </c>
      <c r="C1239" s="26" t="str">
        <f t="shared" si="77"/>
        <v/>
      </c>
      <c r="D1239" s="26" t="str">
        <f t="shared" si="78"/>
        <v/>
      </c>
      <c r="E1239" s="29"/>
      <c r="F1239" s="22"/>
      <c r="G1239" s="22"/>
      <c r="H1239" s="22"/>
      <c r="I1239" s="24"/>
      <c r="J1239" s="24"/>
      <c r="K1239" s="24"/>
      <c r="L1239" s="24"/>
      <c r="M1239" s="27" t="str">
        <f t="shared" si="79"/>
        <v/>
      </c>
      <c r="N1239" s="25"/>
      <c r="O1239" s="22"/>
      <c r="P1239" s="24"/>
      <c r="Q1239" s="26"/>
    </row>
    <row r="1240" spans="1:17" ht="15" x14ac:dyDescent="0.15">
      <c r="A1240" s="22"/>
      <c r="B1240" s="26" t="str">
        <f t="shared" si="76"/>
        <v/>
      </c>
      <c r="C1240" s="26" t="str">
        <f t="shared" si="77"/>
        <v/>
      </c>
      <c r="D1240" s="26" t="str">
        <f t="shared" si="78"/>
        <v/>
      </c>
      <c r="E1240" s="29"/>
      <c r="F1240" s="22"/>
      <c r="G1240" s="22"/>
      <c r="H1240" s="22"/>
      <c r="I1240" s="24"/>
      <c r="J1240" s="24"/>
      <c r="K1240" s="24"/>
      <c r="L1240" s="24"/>
      <c r="M1240" s="27" t="str">
        <f t="shared" si="79"/>
        <v/>
      </c>
      <c r="N1240" s="25"/>
      <c r="O1240" s="22"/>
      <c r="P1240" s="24"/>
      <c r="Q1240" s="26"/>
    </row>
    <row r="1241" spans="1:17" ht="15" x14ac:dyDescent="0.15">
      <c r="A1241" s="22"/>
      <c r="B1241" s="26" t="str">
        <f t="shared" si="76"/>
        <v/>
      </c>
      <c r="C1241" s="26" t="str">
        <f t="shared" si="77"/>
        <v/>
      </c>
      <c r="D1241" s="26" t="str">
        <f t="shared" si="78"/>
        <v/>
      </c>
      <c r="E1241" s="29"/>
      <c r="F1241" s="22"/>
      <c r="G1241" s="22"/>
      <c r="H1241" s="22"/>
      <c r="I1241" s="24"/>
      <c r="J1241" s="24"/>
      <c r="K1241" s="24"/>
      <c r="L1241" s="24"/>
      <c r="M1241" s="27" t="str">
        <f t="shared" si="79"/>
        <v/>
      </c>
      <c r="N1241" s="25"/>
      <c r="O1241" s="22"/>
      <c r="P1241" s="24"/>
      <c r="Q1241" s="26"/>
    </row>
    <row r="1242" spans="1:17" ht="15" x14ac:dyDescent="0.15">
      <c r="A1242" s="22"/>
      <c r="B1242" s="26" t="str">
        <f t="shared" si="76"/>
        <v/>
      </c>
      <c r="C1242" s="26" t="str">
        <f t="shared" si="77"/>
        <v/>
      </c>
      <c r="D1242" s="26" t="str">
        <f t="shared" si="78"/>
        <v/>
      </c>
      <c r="E1242" s="29"/>
      <c r="F1242" s="22"/>
      <c r="G1242" s="22"/>
      <c r="H1242" s="22"/>
      <c r="I1242" s="24"/>
      <c r="J1242" s="24"/>
      <c r="K1242" s="24"/>
      <c r="L1242" s="24"/>
      <c r="M1242" s="27" t="str">
        <f t="shared" si="79"/>
        <v/>
      </c>
      <c r="N1242" s="25"/>
      <c r="O1242" s="22"/>
      <c r="P1242" s="24"/>
      <c r="Q1242" s="26"/>
    </row>
    <row r="1243" spans="1:17" ht="15" x14ac:dyDescent="0.15">
      <c r="A1243" s="22"/>
      <c r="B1243" s="26" t="str">
        <f t="shared" si="76"/>
        <v/>
      </c>
      <c r="C1243" s="26" t="str">
        <f t="shared" si="77"/>
        <v/>
      </c>
      <c r="D1243" s="26" t="str">
        <f t="shared" si="78"/>
        <v/>
      </c>
      <c r="E1243" s="29"/>
      <c r="F1243" s="22"/>
      <c r="G1243" s="22"/>
      <c r="H1243" s="22"/>
      <c r="I1243" s="24"/>
      <c r="J1243" s="24"/>
      <c r="K1243" s="24"/>
      <c r="L1243" s="24"/>
      <c r="M1243" s="27" t="str">
        <f t="shared" si="79"/>
        <v/>
      </c>
      <c r="N1243" s="25"/>
      <c r="O1243" s="22"/>
      <c r="P1243" s="24"/>
      <c r="Q1243" s="26"/>
    </row>
    <row r="1244" spans="1:17" ht="15" x14ac:dyDescent="0.15">
      <c r="A1244" s="22"/>
      <c r="B1244" s="26" t="str">
        <f t="shared" si="76"/>
        <v/>
      </c>
      <c r="C1244" s="26" t="str">
        <f t="shared" si="77"/>
        <v/>
      </c>
      <c r="D1244" s="26" t="str">
        <f t="shared" si="78"/>
        <v/>
      </c>
      <c r="E1244" s="29"/>
      <c r="F1244" s="22"/>
      <c r="G1244" s="22"/>
      <c r="H1244" s="22"/>
      <c r="I1244" s="24"/>
      <c r="J1244" s="24"/>
      <c r="K1244" s="24"/>
      <c r="L1244" s="24"/>
      <c r="M1244" s="27" t="str">
        <f t="shared" si="79"/>
        <v/>
      </c>
      <c r="N1244" s="25"/>
      <c r="O1244" s="22"/>
      <c r="P1244" s="24"/>
      <c r="Q1244" s="26"/>
    </row>
    <row r="1245" spans="1:17" ht="15" x14ac:dyDescent="0.15">
      <c r="A1245" s="22"/>
      <c r="B1245" s="26" t="str">
        <f t="shared" si="76"/>
        <v/>
      </c>
      <c r="C1245" s="26" t="str">
        <f t="shared" si="77"/>
        <v/>
      </c>
      <c r="D1245" s="26" t="str">
        <f t="shared" si="78"/>
        <v/>
      </c>
      <c r="E1245" s="29"/>
      <c r="F1245" s="22"/>
      <c r="G1245" s="22"/>
      <c r="H1245" s="22"/>
      <c r="I1245" s="24"/>
      <c r="J1245" s="24"/>
      <c r="K1245" s="24"/>
      <c r="L1245" s="24"/>
      <c r="M1245" s="27" t="str">
        <f t="shared" si="79"/>
        <v/>
      </c>
      <c r="N1245" s="25"/>
      <c r="O1245" s="22"/>
      <c r="P1245" s="24"/>
      <c r="Q1245" s="26"/>
    </row>
    <row r="1246" spans="1:17" ht="15" x14ac:dyDescent="0.15">
      <c r="A1246" s="22"/>
      <c r="B1246" s="26" t="str">
        <f t="shared" si="76"/>
        <v/>
      </c>
      <c r="C1246" s="26" t="str">
        <f t="shared" si="77"/>
        <v/>
      </c>
      <c r="D1246" s="26" t="str">
        <f t="shared" si="78"/>
        <v/>
      </c>
      <c r="E1246" s="29"/>
      <c r="F1246" s="22"/>
      <c r="G1246" s="22"/>
      <c r="H1246" s="22"/>
      <c r="I1246" s="24"/>
      <c r="J1246" s="24"/>
      <c r="K1246" s="24"/>
      <c r="L1246" s="24"/>
      <c r="M1246" s="27" t="str">
        <f t="shared" si="79"/>
        <v/>
      </c>
      <c r="N1246" s="25"/>
      <c r="O1246" s="22"/>
      <c r="P1246" s="24"/>
      <c r="Q1246" s="26"/>
    </row>
    <row r="1247" spans="1:17" ht="15" x14ac:dyDescent="0.15">
      <c r="A1247" s="22"/>
      <c r="B1247" s="26" t="str">
        <f t="shared" si="76"/>
        <v/>
      </c>
      <c r="C1247" s="26" t="str">
        <f t="shared" si="77"/>
        <v/>
      </c>
      <c r="D1247" s="26" t="str">
        <f t="shared" si="78"/>
        <v/>
      </c>
      <c r="E1247" s="29"/>
      <c r="F1247" s="22"/>
      <c r="G1247" s="22"/>
      <c r="H1247" s="22"/>
      <c r="I1247" s="24"/>
      <c r="J1247" s="24"/>
      <c r="K1247" s="24"/>
      <c r="L1247" s="24"/>
      <c r="M1247" s="27" t="str">
        <f t="shared" si="79"/>
        <v/>
      </c>
      <c r="N1247" s="25"/>
      <c r="O1247" s="22"/>
      <c r="P1247" s="24"/>
      <c r="Q1247" s="26"/>
    </row>
    <row r="1248" spans="1:17" ht="15" x14ac:dyDescent="0.15">
      <c r="A1248" s="22"/>
      <c r="B1248" s="26" t="str">
        <f t="shared" si="76"/>
        <v/>
      </c>
      <c r="C1248" s="26" t="str">
        <f t="shared" si="77"/>
        <v/>
      </c>
      <c r="D1248" s="26" t="str">
        <f t="shared" si="78"/>
        <v/>
      </c>
      <c r="E1248" s="29"/>
      <c r="F1248" s="22"/>
      <c r="G1248" s="22"/>
      <c r="H1248" s="22"/>
      <c r="I1248" s="24"/>
      <c r="J1248" s="24"/>
      <c r="K1248" s="24"/>
      <c r="L1248" s="24"/>
      <c r="M1248" s="27" t="str">
        <f t="shared" si="79"/>
        <v/>
      </c>
      <c r="N1248" s="25"/>
      <c r="O1248" s="22"/>
      <c r="P1248" s="24"/>
      <c r="Q1248" s="26"/>
    </row>
    <row r="1249" spans="1:17" ht="15" x14ac:dyDescent="0.15">
      <c r="A1249" s="22"/>
      <c r="B1249" s="26" t="str">
        <f t="shared" si="76"/>
        <v/>
      </c>
      <c r="C1249" s="26" t="str">
        <f t="shared" si="77"/>
        <v/>
      </c>
      <c r="D1249" s="26" t="str">
        <f t="shared" si="78"/>
        <v/>
      </c>
      <c r="E1249" s="29"/>
      <c r="F1249" s="22"/>
      <c r="G1249" s="22"/>
      <c r="H1249" s="22"/>
      <c r="I1249" s="24"/>
      <c r="J1249" s="24"/>
      <c r="K1249" s="24"/>
      <c r="L1249" s="24"/>
      <c r="M1249" s="27" t="str">
        <f t="shared" si="79"/>
        <v/>
      </c>
      <c r="N1249" s="25"/>
      <c r="O1249" s="22"/>
      <c r="P1249" s="24"/>
      <c r="Q1249" s="26"/>
    </row>
    <row r="1250" spans="1:17" ht="15" x14ac:dyDescent="0.15">
      <c r="A1250" s="22"/>
      <c r="B1250" s="26" t="str">
        <f t="shared" si="76"/>
        <v/>
      </c>
      <c r="C1250" s="26" t="str">
        <f t="shared" si="77"/>
        <v/>
      </c>
      <c r="D1250" s="26" t="str">
        <f t="shared" si="78"/>
        <v/>
      </c>
      <c r="E1250" s="29"/>
      <c r="F1250" s="22"/>
      <c r="G1250" s="22"/>
      <c r="H1250" s="22"/>
      <c r="I1250" s="24"/>
      <c r="J1250" s="24"/>
      <c r="K1250" s="24"/>
      <c r="L1250" s="24"/>
      <c r="M1250" s="27" t="str">
        <f t="shared" si="79"/>
        <v/>
      </c>
      <c r="N1250" s="25"/>
      <c r="O1250" s="22"/>
      <c r="P1250" s="24"/>
      <c r="Q1250" s="26"/>
    </row>
    <row r="1251" spans="1:17" ht="15" x14ac:dyDescent="0.15">
      <c r="A1251" s="22"/>
      <c r="B1251" s="26" t="str">
        <f t="shared" si="76"/>
        <v/>
      </c>
      <c r="C1251" s="26" t="str">
        <f t="shared" si="77"/>
        <v/>
      </c>
      <c r="D1251" s="26" t="str">
        <f t="shared" si="78"/>
        <v/>
      </c>
      <c r="E1251" s="29"/>
      <c r="F1251" s="22"/>
      <c r="G1251" s="22"/>
      <c r="H1251" s="22"/>
      <c r="I1251" s="24"/>
      <c r="J1251" s="24"/>
      <c r="K1251" s="24"/>
      <c r="L1251" s="24"/>
      <c r="M1251" s="27" t="str">
        <f t="shared" si="79"/>
        <v/>
      </c>
      <c r="N1251" s="25"/>
      <c r="O1251" s="22"/>
      <c r="P1251" s="24"/>
      <c r="Q1251" s="26"/>
    </row>
    <row r="1252" spans="1:17" ht="15" x14ac:dyDescent="0.15">
      <c r="A1252" s="22"/>
      <c r="B1252" s="26" t="str">
        <f t="shared" si="76"/>
        <v/>
      </c>
      <c r="C1252" s="26" t="str">
        <f t="shared" si="77"/>
        <v/>
      </c>
      <c r="D1252" s="26" t="str">
        <f t="shared" si="78"/>
        <v/>
      </c>
      <c r="E1252" s="29"/>
      <c r="F1252" s="22"/>
      <c r="G1252" s="22"/>
      <c r="H1252" s="22"/>
      <c r="I1252" s="24"/>
      <c r="J1252" s="24"/>
      <c r="K1252" s="24"/>
      <c r="L1252" s="24"/>
      <c r="M1252" s="27" t="str">
        <f t="shared" si="79"/>
        <v/>
      </c>
      <c r="N1252" s="25"/>
      <c r="O1252" s="22"/>
      <c r="P1252" s="24"/>
      <c r="Q1252" s="26"/>
    </row>
    <row r="1253" spans="1:17" ht="15" x14ac:dyDescent="0.15">
      <c r="A1253" s="22"/>
      <c r="B1253" s="26" t="str">
        <f t="shared" si="76"/>
        <v/>
      </c>
      <c r="C1253" s="26" t="str">
        <f t="shared" si="77"/>
        <v/>
      </c>
      <c r="D1253" s="26" t="str">
        <f t="shared" si="78"/>
        <v/>
      </c>
      <c r="E1253" s="29"/>
      <c r="F1253" s="22"/>
      <c r="G1253" s="22"/>
      <c r="H1253" s="22"/>
      <c r="I1253" s="24"/>
      <c r="J1253" s="24"/>
      <c r="K1253" s="24"/>
      <c r="L1253" s="24"/>
      <c r="M1253" s="27" t="str">
        <f t="shared" si="79"/>
        <v/>
      </c>
      <c r="N1253" s="25"/>
      <c r="O1253" s="22"/>
      <c r="P1253" s="24"/>
      <c r="Q1253" s="26"/>
    </row>
    <row r="1254" spans="1:17" ht="15" x14ac:dyDescent="0.15">
      <c r="A1254" s="22"/>
      <c r="B1254" s="26" t="str">
        <f t="shared" si="76"/>
        <v/>
      </c>
      <c r="C1254" s="26" t="str">
        <f t="shared" si="77"/>
        <v/>
      </c>
      <c r="D1254" s="26" t="str">
        <f t="shared" si="78"/>
        <v/>
      </c>
      <c r="E1254" s="29"/>
      <c r="F1254" s="22"/>
      <c r="G1254" s="22"/>
      <c r="H1254" s="22"/>
      <c r="I1254" s="24"/>
      <c r="J1254" s="24"/>
      <c r="K1254" s="24"/>
      <c r="L1254" s="24"/>
      <c r="M1254" s="27" t="str">
        <f t="shared" si="79"/>
        <v/>
      </c>
      <c r="N1254" s="25"/>
      <c r="O1254" s="22"/>
      <c r="P1254" s="24"/>
      <c r="Q1254" s="26"/>
    </row>
    <row r="1255" spans="1:17" ht="15" x14ac:dyDescent="0.15">
      <c r="A1255" s="22"/>
      <c r="B1255" s="26" t="str">
        <f t="shared" si="76"/>
        <v/>
      </c>
      <c r="C1255" s="26" t="str">
        <f t="shared" si="77"/>
        <v/>
      </c>
      <c r="D1255" s="26" t="str">
        <f t="shared" si="78"/>
        <v/>
      </c>
      <c r="E1255" s="29"/>
      <c r="F1255" s="22"/>
      <c r="G1255" s="22"/>
      <c r="H1255" s="22"/>
      <c r="I1255" s="24"/>
      <c r="J1255" s="24"/>
      <c r="K1255" s="24"/>
      <c r="L1255" s="24"/>
      <c r="M1255" s="27" t="str">
        <f t="shared" si="79"/>
        <v/>
      </c>
      <c r="N1255" s="25"/>
      <c r="O1255" s="22"/>
      <c r="P1255" s="24"/>
      <c r="Q1255" s="26"/>
    </row>
    <row r="1256" spans="1:17" ht="15" x14ac:dyDescent="0.15">
      <c r="A1256" s="22"/>
      <c r="B1256" s="26" t="str">
        <f t="shared" si="76"/>
        <v/>
      </c>
      <c r="C1256" s="26" t="str">
        <f t="shared" si="77"/>
        <v/>
      </c>
      <c r="D1256" s="26" t="str">
        <f t="shared" si="78"/>
        <v/>
      </c>
      <c r="E1256" s="29"/>
      <c r="F1256" s="22"/>
      <c r="G1256" s="22"/>
      <c r="H1256" s="22"/>
      <c r="I1256" s="24"/>
      <c r="J1256" s="24"/>
      <c r="K1256" s="24"/>
      <c r="L1256" s="24"/>
      <c r="M1256" s="27" t="str">
        <f t="shared" si="79"/>
        <v/>
      </c>
      <c r="N1256" s="25"/>
      <c r="O1256" s="22"/>
      <c r="P1256" s="24"/>
      <c r="Q1256" s="26"/>
    </row>
    <row r="1257" spans="1:17" ht="15" x14ac:dyDescent="0.15">
      <c r="A1257" s="22"/>
      <c r="B1257" s="26" t="str">
        <f t="shared" si="76"/>
        <v/>
      </c>
      <c r="C1257" s="26" t="str">
        <f t="shared" si="77"/>
        <v/>
      </c>
      <c r="D1257" s="26" t="str">
        <f t="shared" si="78"/>
        <v/>
      </c>
      <c r="E1257" s="29"/>
      <c r="F1257" s="22"/>
      <c r="G1257" s="22"/>
      <c r="H1257" s="22"/>
      <c r="I1257" s="24"/>
      <c r="J1257" s="24"/>
      <c r="K1257" s="24"/>
      <c r="L1257" s="24"/>
      <c r="M1257" s="27" t="str">
        <f t="shared" si="79"/>
        <v/>
      </c>
      <c r="N1257" s="25"/>
      <c r="O1257" s="22"/>
      <c r="P1257" s="24"/>
      <c r="Q1257" s="26"/>
    </row>
    <row r="1258" spans="1:17" ht="15" x14ac:dyDescent="0.15">
      <c r="A1258" s="22"/>
      <c r="B1258" s="26" t="str">
        <f t="shared" si="76"/>
        <v/>
      </c>
      <c r="C1258" s="26" t="str">
        <f t="shared" si="77"/>
        <v/>
      </c>
      <c r="D1258" s="26" t="str">
        <f t="shared" si="78"/>
        <v/>
      </c>
      <c r="E1258" s="29"/>
      <c r="F1258" s="22"/>
      <c r="G1258" s="22"/>
      <c r="H1258" s="22"/>
      <c r="I1258" s="24"/>
      <c r="J1258" s="24"/>
      <c r="K1258" s="24"/>
      <c r="L1258" s="24"/>
      <c r="M1258" s="27" t="str">
        <f t="shared" si="79"/>
        <v/>
      </c>
      <c r="N1258" s="25"/>
      <c r="O1258" s="22"/>
      <c r="P1258" s="24"/>
      <c r="Q1258" s="26"/>
    </row>
    <row r="1259" spans="1:17" ht="15" x14ac:dyDescent="0.15">
      <c r="A1259" s="22"/>
      <c r="B1259" s="26" t="str">
        <f t="shared" si="76"/>
        <v/>
      </c>
      <c r="C1259" s="26" t="str">
        <f t="shared" si="77"/>
        <v/>
      </c>
      <c r="D1259" s="26" t="str">
        <f t="shared" si="78"/>
        <v/>
      </c>
      <c r="E1259" s="29"/>
      <c r="F1259" s="22"/>
      <c r="G1259" s="22"/>
      <c r="H1259" s="22"/>
      <c r="I1259" s="24"/>
      <c r="J1259" s="24"/>
      <c r="K1259" s="24"/>
      <c r="L1259" s="24"/>
      <c r="M1259" s="27" t="str">
        <f t="shared" si="79"/>
        <v/>
      </c>
      <c r="N1259" s="25"/>
      <c r="O1259" s="22"/>
      <c r="P1259" s="24"/>
      <c r="Q1259" s="26"/>
    </row>
    <row r="1260" spans="1:17" ht="15" x14ac:dyDescent="0.15">
      <c r="A1260" s="22"/>
      <c r="B1260" s="26" t="str">
        <f t="shared" si="76"/>
        <v/>
      </c>
      <c r="C1260" s="26" t="str">
        <f t="shared" si="77"/>
        <v/>
      </c>
      <c r="D1260" s="26" t="str">
        <f t="shared" si="78"/>
        <v/>
      </c>
      <c r="E1260" s="29"/>
      <c r="F1260" s="22"/>
      <c r="G1260" s="22"/>
      <c r="H1260" s="22"/>
      <c r="I1260" s="24"/>
      <c r="J1260" s="24"/>
      <c r="K1260" s="24"/>
      <c r="L1260" s="24"/>
      <c r="M1260" s="27" t="str">
        <f t="shared" si="79"/>
        <v/>
      </c>
      <c r="N1260" s="25"/>
      <c r="O1260" s="22"/>
      <c r="P1260" s="24"/>
      <c r="Q1260" s="26"/>
    </row>
    <row r="1261" spans="1:17" ht="15" x14ac:dyDescent="0.15">
      <c r="A1261" s="22"/>
      <c r="B1261" s="26" t="str">
        <f t="shared" si="76"/>
        <v/>
      </c>
      <c r="C1261" s="26" t="str">
        <f t="shared" si="77"/>
        <v/>
      </c>
      <c r="D1261" s="26" t="str">
        <f t="shared" si="78"/>
        <v/>
      </c>
      <c r="E1261" s="29"/>
      <c r="F1261" s="22"/>
      <c r="G1261" s="22"/>
      <c r="H1261" s="22"/>
      <c r="I1261" s="24"/>
      <c r="J1261" s="24"/>
      <c r="K1261" s="24"/>
      <c r="L1261" s="24"/>
      <c r="M1261" s="27" t="str">
        <f t="shared" si="79"/>
        <v/>
      </c>
      <c r="N1261" s="25"/>
      <c r="O1261" s="22"/>
      <c r="P1261" s="24"/>
      <c r="Q1261" s="26"/>
    </row>
    <row r="1262" spans="1:17" ht="15" x14ac:dyDescent="0.15">
      <c r="A1262" s="22"/>
      <c r="B1262" s="26" t="str">
        <f t="shared" si="76"/>
        <v/>
      </c>
      <c r="C1262" s="26" t="str">
        <f t="shared" si="77"/>
        <v/>
      </c>
      <c r="D1262" s="26" t="str">
        <f t="shared" si="78"/>
        <v/>
      </c>
      <c r="E1262" s="29"/>
      <c r="F1262" s="22"/>
      <c r="G1262" s="22"/>
      <c r="H1262" s="22"/>
      <c r="I1262" s="24"/>
      <c r="J1262" s="24"/>
      <c r="K1262" s="24"/>
      <c r="L1262" s="24"/>
      <c r="M1262" s="27" t="str">
        <f t="shared" si="79"/>
        <v/>
      </c>
      <c r="N1262" s="25"/>
      <c r="O1262" s="22"/>
      <c r="P1262" s="24"/>
      <c r="Q1262" s="26"/>
    </row>
    <row r="1263" spans="1:17" ht="15" x14ac:dyDescent="0.15">
      <c r="A1263" s="22"/>
      <c r="B1263" s="26" t="str">
        <f t="shared" si="76"/>
        <v/>
      </c>
      <c r="C1263" s="26" t="str">
        <f t="shared" si="77"/>
        <v/>
      </c>
      <c r="D1263" s="26" t="str">
        <f t="shared" si="78"/>
        <v/>
      </c>
      <c r="E1263" s="29"/>
      <c r="F1263" s="22"/>
      <c r="G1263" s="22"/>
      <c r="H1263" s="22"/>
      <c r="I1263" s="24"/>
      <c r="J1263" s="24"/>
      <c r="K1263" s="24"/>
      <c r="L1263" s="24"/>
      <c r="M1263" s="27" t="str">
        <f t="shared" si="79"/>
        <v/>
      </c>
      <c r="N1263" s="25"/>
      <c r="O1263" s="22"/>
      <c r="P1263" s="24"/>
      <c r="Q1263" s="26"/>
    </row>
    <row r="1264" spans="1:17" ht="15" x14ac:dyDescent="0.15">
      <c r="A1264" s="22"/>
      <c r="B1264" s="26" t="str">
        <f t="shared" si="76"/>
        <v/>
      </c>
      <c r="C1264" s="26" t="str">
        <f t="shared" si="77"/>
        <v/>
      </c>
      <c r="D1264" s="26" t="str">
        <f t="shared" si="78"/>
        <v/>
      </c>
      <c r="E1264" s="29"/>
      <c r="F1264" s="22"/>
      <c r="G1264" s="22"/>
      <c r="H1264" s="22"/>
      <c r="I1264" s="24"/>
      <c r="J1264" s="24"/>
      <c r="K1264" s="24"/>
      <c r="L1264" s="24"/>
      <c r="M1264" s="27" t="str">
        <f t="shared" si="79"/>
        <v/>
      </c>
      <c r="N1264" s="25"/>
      <c r="O1264" s="22"/>
      <c r="P1264" s="24"/>
      <c r="Q1264" s="26"/>
    </row>
    <row r="1265" spans="1:17" ht="15" x14ac:dyDescent="0.15">
      <c r="A1265" s="22"/>
      <c r="B1265" s="26" t="str">
        <f t="shared" si="76"/>
        <v/>
      </c>
      <c r="C1265" s="26" t="str">
        <f t="shared" si="77"/>
        <v/>
      </c>
      <c r="D1265" s="26" t="str">
        <f t="shared" si="78"/>
        <v/>
      </c>
      <c r="E1265" s="29"/>
      <c r="F1265" s="22"/>
      <c r="G1265" s="22"/>
      <c r="H1265" s="22"/>
      <c r="I1265" s="24"/>
      <c r="J1265" s="24"/>
      <c r="K1265" s="24"/>
      <c r="L1265" s="24"/>
      <c r="M1265" s="27" t="str">
        <f t="shared" si="79"/>
        <v/>
      </c>
      <c r="N1265" s="25"/>
      <c r="O1265" s="22"/>
      <c r="P1265" s="24"/>
      <c r="Q1265" s="26"/>
    </row>
    <row r="1266" spans="1:17" ht="15" x14ac:dyDescent="0.15">
      <c r="A1266" s="22"/>
      <c r="B1266" s="26" t="str">
        <f t="shared" si="76"/>
        <v/>
      </c>
      <c r="C1266" s="26" t="str">
        <f t="shared" si="77"/>
        <v/>
      </c>
      <c r="D1266" s="26" t="str">
        <f t="shared" si="78"/>
        <v/>
      </c>
      <c r="E1266" s="29"/>
      <c r="F1266" s="22"/>
      <c r="G1266" s="22"/>
      <c r="H1266" s="22"/>
      <c r="I1266" s="24"/>
      <c r="J1266" s="24"/>
      <c r="K1266" s="24"/>
      <c r="L1266" s="24"/>
      <c r="M1266" s="27" t="str">
        <f t="shared" si="79"/>
        <v/>
      </c>
      <c r="N1266" s="25"/>
      <c r="O1266" s="22"/>
      <c r="P1266" s="24"/>
      <c r="Q1266" s="26"/>
    </row>
    <row r="1267" spans="1:17" ht="15" x14ac:dyDescent="0.15">
      <c r="A1267" s="22"/>
      <c r="B1267" s="26" t="str">
        <f t="shared" si="76"/>
        <v/>
      </c>
      <c r="C1267" s="26" t="str">
        <f t="shared" si="77"/>
        <v/>
      </c>
      <c r="D1267" s="26" t="str">
        <f t="shared" si="78"/>
        <v/>
      </c>
      <c r="E1267" s="29"/>
      <c r="F1267" s="22"/>
      <c r="G1267" s="22"/>
      <c r="H1267" s="22"/>
      <c r="I1267" s="24"/>
      <c r="J1267" s="24"/>
      <c r="K1267" s="24"/>
      <c r="L1267" s="24"/>
      <c r="M1267" s="27" t="str">
        <f t="shared" si="79"/>
        <v/>
      </c>
      <c r="N1267" s="25"/>
      <c r="O1267" s="22"/>
      <c r="P1267" s="24"/>
      <c r="Q1267" s="26"/>
    </row>
    <row r="1268" spans="1:17" ht="15" x14ac:dyDescent="0.15">
      <c r="A1268" s="22"/>
      <c r="B1268" s="26" t="str">
        <f t="shared" si="76"/>
        <v/>
      </c>
      <c r="C1268" s="26" t="str">
        <f t="shared" si="77"/>
        <v/>
      </c>
      <c r="D1268" s="26" t="str">
        <f t="shared" si="78"/>
        <v/>
      </c>
      <c r="E1268" s="29"/>
      <c r="F1268" s="22"/>
      <c r="G1268" s="22"/>
      <c r="H1268" s="22"/>
      <c r="I1268" s="24"/>
      <c r="J1268" s="24"/>
      <c r="K1268" s="24"/>
      <c r="L1268" s="24"/>
      <c r="M1268" s="27" t="str">
        <f t="shared" si="79"/>
        <v/>
      </c>
      <c r="N1268" s="25"/>
      <c r="O1268" s="22"/>
      <c r="P1268" s="24"/>
      <c r="Q1268" s="26"/>
    </row>
    <row r="1269" spans="1:17" ht="15" x14ac:dyDescent="0.15">
      <c r="A1269" s="22"/>
      <c r="B1269" s="26" t="str">
        <f t="shared" si="76"/>
        <v/>
      </c>
      <c r="C1269" s="26" t="str">
        <f t="shared" si="77"/>
        <v/>
      </c>
      <c r="D1269" s="26" t="str">
        <f t="shared" si="78"/>
        <v/>
      </c>
      <c r="E1269" s="29"/>
      <c r="F1269" s="22"/>
      <c r="G1269" s="22"/>
      <c r="H1269" s="22"/>
      <c r="I1269" s="24"/>
      <c r="J1269" s="24"/>
      <c r="K1269" s="24"/>
      <c r="L1269" s="24"/>
      <c r="M1269" s="27" t="str">
        <f t="shared" si="79"/>
        <v/>
      </c>
      <c r="N1269" s="25"/>
      <c r="O1269" s="22"/>
      <c r="P1269" s="24"/>
      <c r="Q1269" s="26"/>
    </row>
    <row r="1270" spans="1:17" ht="15" x14ac:dyDescent="0.15">
      <c r="A1270" s="22"/>
      <c r="B1270" s="26" t="str">
        <f t="shared" si="76"/>
        <v/>
      </c>
      <c r="C1270" s="26" t="str">
        <f t="shared" si="77"/>
        <v/>
      </c>
      <c r="D1270" s="26" t="str">
        <f t="shared" si="78"/>
        <v/>
      </c>
      <c r="E1270" s="29"/>
      <c r="F1270" s="22"/>
      <c r="G1270" s="22"/>
      <c r="H1270" s="22"/>
      <c r="I1270" s="24"/>
      <c r="J1270" s="24"/>
      <c r="K1270" s="24"/>
      <c r="L1270" s="24"/>
      <c r="M1270" s="27" t="str">
        <f t="shared" si="79"/>
        <v/>
      </c>
      <c r="N1270" s="25"/>
      <c r="O1270" s="22"/>
      <c r="P1270" s="24"/>
      <c r="Q1270" s="26"/>
    </row>
    <row r="1271" spans="1:17" ht="15" x14ac:dyDescent="0.15">
      <c r="A1271" s="22"/>
      <c r="B1271" s="26" t="str">
        <f t="shared" si="76"/>
        <v/>
      </c>
      <c r="C1271" s="26" t="str">
        <f t="shared" si="77"/>
        <v/>
      </c>
      <c r="D1271" s="26" t="str">
        <f t="shared" si="78"/>
        <v/>
      </c>
      <c r="E1271" s="29"/>
      <c r="F1271" s="22"/>
      <c r="G1271" s="22"/>
      <c r="H1271" s="22"/>
      <c r="I1271" s="24"/>
      <c r="J1271" s="24"/>
      <c r="K1271" s="24"/>
      <c r="L1271" s="24"/>
      <c r="M1271" s="27" t="str">
        <f t="shared" si="79"/>
        <v/>
      </c>
      <c r="N1271" s="25"/>
      <c r="O1271" s="22"/>
      <c r="P1271" s="24"/>
      <c r="Q1271" s="26"/>
    </row>
    <row r="1272" spans="1:17" ht="15" x14ac:dyDescent="0.15">
      <c r="A1272" s="22"/>
      <c r="B1272" s="26" t="str">
        <f t="shared" si="76"/>
        <v/>
      </c>
      <c r="C1272" s="26" t="str">
        <f t="shared" si="77"/>
        <v/>
      </c>
      <c r="D1272" s="26" t="str">
        <f t="shared" si="78"/>
        <v/>
      </c>
      <c r="E1272" s="29"/>
      <c r="F1272" s="22"/>
      <c r="G1272" s="22"/>
      <c r="H1272" s="22"/>
      <c r="I1272" s="24"/>
      <c r="J1272" s="24"/>
      <c r="K1272" s="24"/>
      <c r="L1272" s="24"/>
      <c r="M1272" s="27" t="str">
        <f t="shared" si="79"/>
        <v/>
      </c>
      <c r="N1272" s="25"/>
      <c r="O1272" s="22"/>
      <c r="P1272" s="24"/>
      <c r="Q1272" s="26"/>
    </row>
    <row r="1273" spans="1:17" ht="15" x14ac:dyDescent="0.15">
      <c r="A1273" s="22"/>
      <c r="B1273" s="26" t="str">
        <f t="shared" si="76"/>
        <v/>
      </c>
      <c r="C1273" s="26" t="str">
        <f t="shared" si="77"/>
        <v/>
      </c>
      <c r="D1273" s="26" t="str">
        <f t="shared" si="78"/>
        <v/>
      </c>
      <c r="E1273" s="29"/>
      <c r="F1273" s="22"/>
      <c r="G1273" s="22"/>
      <c r="H1273" s="22"/>
      <c r="I1273" s="24"/>
      <c r="J1273" s="24"/>
      <c r="K1273" s="24"/>
      <c r="L1273" s="24"/>
      <c r="M1273" s="27" t="str">
        <f t="shared" si="79"/>
        <v/>
      </c>
      <c r="N1273" s="25"/>
      <c r="O1273" s="22"/>
      <c r="P1273" s="24"/>
      <c r="Q1273" s="26"/>
    </row>
    <row r="1274" spans="1:17" ht="15" x14ac:dyDescent="0.15">
      <c r="A1274" s="22"/>
      <c r="B1274" s="26" t="str">
        <f t="shared" si="76"/>
        <v/>
      </c>
      <c r="C1274" s="26" t="str">
        <f t="shared" si="77"/>
        <v/>
      </c>
      <c r="D1274" s="26" t="str">
        <f t="shared" si="78"/>
        <v/>
      </c>
      <c r="E1274" s="29"/>
      <c r="F1274" s="22"/>
      <c r="G1274" s="22"/>
      <c r="H1274" s="22"/>
      <c r="I1274" s="24"/>
      <c r="J1274" s="24"/>
      <c r="K1274" s="24"/>
      <c r="L1274" s="24"/>
      <c r="M1274" s="27" t="str">
        <f t="shared" si="79"/>
        <v/>
      </c>
      <c r="N1274" s="25"/>
      <c r="O1274" s="22"/>
      <c r="P1274" s="24"/>
      <c r="Q1274" s="26"/>
    </row>
    <row r="1275" spans="1:17" ht="15" x14ac:dyDescent="0.15">
      <c r="A1275" s="22"/>
      <c r="B1275" s="26" t="str">
        <f t="shared" si="76"/>
        <v/>
      </c>
      <c r="C1275" s="26" t="str">
        <f t="shared" si="77"/>
        <v/>
      </c>
      <c r="D1275" s="26" t="str">
        <f t="shared" si="78"/>
        <v/>
      </c>
      <c r="E1275" s="29"/>
      <c r="F1275" s="22"/>
      <c r="G1275" s="22"/>
      <c r="H1275" s="22"/>
      <c r="I1275" s="24"/>
      <c r="J1275" s="24"/>
      <c r="K1275" s="24"/>
      <c r="L1275" s="24"/>
      <c r="M1275" s="27" t="str">
        <f t="shared" si="79"/>
        <v/>
      </c>
      <c r="N1275" s="25"/>
      <c r="O1275" s="22"/>
      <c r="P1275" s="24"/>
      <c r="Q1275" s="26"/>
    </row>
    <row r="1276" spans="1:17" ht="15" x14ac:dyDescent="0.15">
      <c r="A1276" s="22"/>
      <c r="B1276" s="26" t="str">
        <f t="shared" si="76"/>
        <v/>
      </c>
      <c r="C1276" s="26" t="str">
        <f t="shared" si="77"/>
        <v/>
      </c>
      <c r="D1276" s="26" t="str">
        <f t="shared" si="78"/>
        <v/>
      </c>
      <c r="E1276" s="29"/>
      <c r="F1276" s="22"/>
      <c r="G1276" s="22"/>
      <c r="H1276" s="22"/>
      <c r="I1276" s="24"/>
      <c r="J1276" s="24"/>
      <c r="K1276" s="24"/>
      <c r="L1276" s="24"/>
      <c r="M1276" s="27" t="str">
        <f t="shared" si="79"/>
        <v/>
      </c>
      <c r="N1276" s="25"/>
      <c r="O1276" s="22"/>
      <c r="P1276" s="24"/>
      <c r="Q1276" s="26"/>
    </row>
    <row r="1277" spans="1:17" ht="15" x14ac:dyDescent="0.15">
      <c r="A1277" s="22"/>
      <c r="B1277" s="26" t="str">
        <f t="shared" si="76"/>
        <v/>
      </c>
      <c r="C1277" s="26" t="str">
        <f t="shared" si="77"/>
        <v/>
      </c>
      <c r="D1277" s="26" t="str">
        <f t="shared" si="78"/>
        <v/>
      </c>
      <c r="E1277" s="29"/>
      <c r="F1277" s="22"/>
      <c r="G1277" s="22"/>
      <c r="H1277" s="22"/>
      <c r="I1277" s="24"/>
      <c r="J1277" s="24"/>
      <c r="K1277" s="24"/>
      <c r="L1277" s="24"/>
      <c r="M1277" s="27" t="str">
        <f t="shared" si="79"/>
        <v/>
      </c>
      <c r="N1277" s="25"/>
      <c r="O1277" s="22"/>
      <c r="P1277" s="24"/>
      <c r="Q1277" s="26"/>
    </row>
    <row r="1278" spans="1:17" ht="15" x14ac:dyDescent="0.15">
      <c r="A1278" s="22"/>
      <c r="B1278" s="26" t="str">
        <f t="shared" si="76"/>
        <v/>
      </c>
      <c r="C1278" s="26" t="str">
        <f t="shared" si="77"/>
        <v/>
      </c>
      <c r="D1278" s="26" t="str">
        <f t="shared" si="78"/>
        <v/>
      </c>
      <c r="E1278" s="29"/>
      <c r="F1278" s="22"/>
      <c r="G1278" s="22"/>
      <c r="H1278" s="22"/>
      <c r="I1278" s="24"/>
      <c r="J1278" s="24"/>
      <c r="K1278" s="24"/>
      <c r="L1278" s="24"/>
      <c r="M1278" s="27" t="str">
        <f t="shared" si="79"/>
        <v/>
      </c>
      <c r="N1278" s="25"/>
      <c r="O1278" s="22"/>
      <c r="P1278" s="24"/>
      <c r="Q1278" s="26"/>
    </row>
    <row r="1279" spans="1:17" ht="15" x14ac:dyDescent="0.15">
      <c r="A1279" s="22"/>
      <c r="B1279" s="26" t="str">
        <f t="shared" si="76"/>
        <v/>
      </c>
      <c r="C1279" s="26" t="str">
        <f t="shared" si="77"/>
        <v/>
      </c>
      <c r="D1279" s="26" t="str">
        <f t="shared" si="78"/>
        <v/>
      </c>
      <c r="E1279" s="29"/>
      <c r="F1279" s="22"/>
      <c r="G1279" s="22"/>
      <c r="H1279" s="22"/>
      <c r="I1279" s="24"/>
      <c r="J1279" s="24"/>
      <c r="K1279" s="24"/>
      <c r="L1279" s="24"/>
      <c r="M1279" s="27" t="str">
        <f t="shared" si="79"/>
        <v/>
      </c>
      <c r="N1279" s="25"/>
      <c r="O1279" s="22"/>
      <c r="P1279" s="24"/>
      <c r="Q1279" s="26"/>
    </row>
    <row r="1280" spans="1:17" ht="15" x14ac:dyDescent="0.15">
      <c r="A1280" s="22"/>
      <c r="B1280" s="26" t="str">
        <f t="shared" si="76"/>
        <v/>
      </c>
      <c r="C1280" s="26" t="str">
        <f t="shared" si="77"/>
        <v/>
      </c>
      <c r="D1280" s="26" t="str">
        <f t="shared" si="78"/>
        <v/>
      </c>
      <c r="E1280" s="29"/>
      <c r="F1280" s="22"/>
      <c r="G1280" s="22"/>
      <c r="H1280" s="22"/>
      <c r="I1280" s="24"/>
      <c r="J1280" s="24"/>
      <c r="K1280" s="24"/>
      <c r="L1280" s="24"/>
      <c r="M1280" s="27" t="str">
        <f t="shared" si="79"/>
        <v/>
      </c>
      <c r="N1280" s="25"/>
      <c r="O1280" s="22"/>
      <c r="P1280" s="24"/>
      <c r="Q1280" s="26"/>
    </row>
    <row r="1281" spans="1:17" ht="15" x14ac:dyDescent="0.15">
      <c r="A1281" s="22"/>
      <c r="B1281" s="26" t="str">
        <f t="shared" si="76"/>
        <v/>
      </c>
      <c r="C1281" s="26" t="str">
        <f t="shared" si="77"/>
        <v/>
      </c>
      <c r="D1281" s="26" t="str">
        <f t="shared" si="78"/>
        <v/>
      </c>
      <c r="E1281" s="29"/>
      <c r="F1281" s="22"/>
      <c r="G1281" s="22"/>
      <c r="H1281" s="22"/>
      <c r="I1281" s="24"/>
      <c r="J1281" s="24"/>
      <c r="K1281" s="24"/>
      <c r="L1281" s="24"/>
      <c r="M1281" s="27" t="str">
        <f t="shared" si="79"/>
        <v/>
      </c>
      <c r="N1281" s="25"/>
      <c r="O1281" s="22"/>
      <c r="P1281" s="24"/>
      <c r="Q1281" s="26"/>
    </row>
    <row r="1282" spans="1:17" ht="15" x14ac:dyDescent="0.15">
      <c r="A1282" s="22"/>
      <c r="B1282" s="26" t="str">
        <f t="shared" si="76"/>
        <v/>
      </c>
      <c r="C1282" s="26" t="str">
        <f t="shared" si="77"/>
        <v/>
      </c>
      <c r="D1282" s="26" t="str">
        <f t="shared" si="78"/>
        <v/>
      </c>
      <c r="E1282" s="29"/>
      <c r="F1282" s="22"/>
      <c r="G1282" s="22"/>
      <c r="H1282" s="22"/>
      <c r="I1282" s="24"/>
      <c r="J1282" s="24"/>
      <c r="K1282" s="24"/>
      <c r="L1282" s="24"/>
      <c r="M1282" s="27" t="str">
        <f t="shared" si="79"/>
        <v/>
      </c>
      <c r="N1282" s="25"/>
      <c r="O1282" s="22"/>
      <c r="P1282" s="24"/>
      <c r="Q1282" s="26"/>
    </row>
    <row r="1283" spans="1:17" ht="15" x14ac:dyDescent="0.15">
      <c r="A1283" s="22"/>
      <c r="B1283" s="26" t="str">
        <f t="shared" si="76"/>
        <v/>
      </c>
      <c r="C1283" s="26" t="str">
        <f t="shared" si="77"/>
        <v/>
      </c>
      <c r="D1283" s="26" t="str">
        <f t="shared" si="78"/>
        <v/>
      </c>
      <c r="E1283" s="29"/>
      <c r="F1283" s="22"/>
      <c r="G1283" s="22"/>
      <c r="H1283" s="22"/>
      <c r="I1283" s="24"/>
      <c r="J1283" s="24"/>
      <c r="K1283" s="24"/>
      <c r="L1283" s="24"/>
      <c r="M1283" s="27" t="str">
        <f t="shared" si="79"/>
        <v/>
      </c>
      <c r="N1283" s="25"/>
      <c r="O1283" s="22"/>
      <c r="P1283" s="24"/>
      <c r="Q1283" s="26"/>
    </row>
    <row r="1284" spans="1:17" ht="15" x14ac:dyDescent="0.15">
      <c r="A1284" s="22"/>
      <c r="B1284" s="26" t="str">
        <f t="shared" si="76"/>
        <v/>
      </c>
      <c r="C1284" s="26" t="str">
        <f t="shared" si="77"/>
        <v/>
      </c>
      <c r="D1284" s="26" t="str">
        <f t="shared" si="78"/>
        <v/>
      </c>
      <c r="E1284" s="29"/>
      <c r="F1284" s="22"/>
      <c r="G1284" s="22"/>
      <c r="H1284" s="22"/>
      <c r="I1284" s="24"/>
      <c r="J1284" s="24"/>
      <c r="K1284" s="24"/>
      <c r="L1284" s="24"/>
      <c r="M1284" s="27" t="str">
        <f t="shared" si="79"/>
        <v/>
      </c>
      <c r="N1284" s="25"/>
      <c r="O1284" s="22"/>
      <c r="P1284" s="24"/>
      <c r="Q1284" s="26"/>
    </row>
    <row r="1285" spans="1:17" ht="15" x14ac:dyDescent="0.15">
      <c r="A1285" s="22"/>
      <c r="B1285" s="26" t="str">
        <f t="shared" si="76"/>
        <v/>
      </c>
      <c r="C1285" s="26" t="str">
        <f t="shared" si="77"/>
        <v/>
      </c>
      <c r="D1285" s="26" t="str">
        <f t="shared" si="78"/>
        <v/>
      </c>
      <c r="E1285" s="29"/>
      <c r="F1285" s="22"/>
      <c r="G1285" s="22"/>
      <c r="H1285" s="22"/>
      <c r="I1285" s="24"/>
      <c r="J1285" s="24"/>
      <c r="K1285" s="24"/>
      <c r="L1285" s="24"/>
      <c r="M1285" s="27" t="str">
        <f t="shared" si="79"/>
        <v/>
      </c>
      <c r="N1285" s="25"/>
      <c r="O1285" s="22"/>
      <c r="P1285" s="24"/>
      <c r="Q1285" s="26"/>
    </row>
    <row r="1286" spans="1:17" ht="15" x14ac:dyDescent="0.15">
      <c r="A1286" s="22"/>
      <c r="B1286" s="26" t="str">
        <f t="shared" si="76"/>
        <v/>
      </c>
      <c r="C1286" s="26" t="str">
        <f t="shared" si="77"/>
        <v/>
      </c>
      <c r="D1286" s="26" t="str">
        <f t="shared" si="78"/>
        <v/>
      </c>
      <c r="E1286" s="29"/>
      <c r="F1286" s="22"/>
      <c r="G1286" s="22"/>
      <c r="H1286" s="22"/>
      <c r="I1286" s="24"/>
      <c r="J1286" s="24"/>
      <c r="K1286" s="24"/>
      <c r="L1286" s="24"/>
      <c r="M1286" s="27" t="str">
        <f t="shared" si="79"/>
        <v/>
      </c>
      <c r="N1286" s="25"/>
      <c r="O1286" s="22"/>
      <c r="P1286" s="24"/>
      <c r="Q1286" s="26"/>
    </row>
    <row r="1287" spans="1:17" ht="15" x14ac:dyDescent="0.15">
      <c r="A1287" s="22"/>
      <c r="B1287" s="26" t="str">
        <f t="shared" ref="B1287:B1350" si="80">IFERROR(IF($A1287="","",LEFT($A1287,FIND(" | ",$A1287)-1)),"")</f>
        <v/>
      </c>
      <c r="C1287" s="26" t="str">
        <f t="shared" ref="C1287:C1350" si="81">IFERROR(IF($A1287="","",MID($A1287,FIND(" | ",$A1287)+3,FIND(" | ",$A1287,FIND(" | ",$A1287)+3)-FIND(" | ",$A1287)-3)),"")</f>
        <v/>
      </c>
      <c r="D1287" s="26" t="str">
        <f t="shared" ref="D1287:D1350" si="82">IFERROR(IF($A1287="","",RIGHT($A1287,LEN($A1287)-FIND(" | ",$A1287,FIND(" | ",$A1287)+3)-2)),"")</f>
        <v/>
      </c>
      <c r="E1287" s="29"/>
      <c r="F1287" s="22"/>
      <c r="G1287" s="22"/>
      <c r="H1287" s="22"/>
      <c r="I1287" s="24"/>
      <c r="J1287" s="24"/>
      <c r="K1287" s="24"/>
      <c r="L1287" s="24"/>
      <c r="M1287" s="27" t="str">
        <f t="shared" ref="M1287:M1350" si="83">IF($B1287="","",SUM($J1287,-$K1287,$L1287))</f>
        <v/>
      </c>
      <c r="N1287" s="25"/>
      <c r="O1287" s="22"/>
      <c r="P1287" s="24"/>
      <c r="Q1287" s="26"/>
    </row>
    <row r="1288" spans="1:17" ht="15" x14ac:dyDescent="0.15">
      <c r="A1288" s="22"/>
      <c r="B1288" s="26" t="str">
        <f t="shared" si="80"/>
        <v/>
      </c>
      <c r="C1288" s="26" t="str">
        <f t="shared" si="81"/>
        <v/>
      </c>
      <c r="D1288" s="26" t="str">
        <f t="shared" si="82"/>
        <v/>
      </c>
      <c r="E1288" s="29"/>
      <c r="F1288" s="22"/>
      <c r="G1288" s="22"/>
      <c r="H1288" s="22"/>
      <c r="I1288" s="24"/>
      <c r="J1288" s="24"/>
      <c r="K1288" s="24"/>
      <c r="L1288" s="24"/>
      <c r="M1288" s="27" t="str">
        <f t="shared" si="83"/>
        <v/>
      </c>
      <c r="N1288" s="25"/>
      <c r="O1288" s="22"/>
      <c r="P1288" s="24"/>
      <c r="Q1288" s="26"/>
    </row>
    <row r="1289" spans="1:17" ht="15" x14ac:dyDescent="0.15">
      <c r="A1289" s="22"/>
      <c r="B1289" s="26" t="str">
        <f t="shared" si="80"/>
        <v/>
      </c>
      <c r="C1289" s="26" t="str">
        <f t="shared" si="81"/>
        <v/>
      </c>
      <c r="D1289" s="26" t="str">
        <f t="shared" si="82"/>
        <v/>
      </c>
      <c r="E1289" s="29"/>
      <c r="F1289" s="22"/>
      <c r="G1289" s="22"/>
      <c r="H1289" s="22"/>
      <c r="I1289" s="24"/>
      <c r="J1289" s="24"/>
      <c r="K1289" s="24"/>
      <c r="L1289" s="24"/>
      <c r="M1289" s="27" t="str">
        <f t="shared" si="83"/>
        <v/>
      </c>
      <c r="N1289" s="25"/>
      <c r="O1289" s="22"/>
      <c r="P1289" s="24"/>
      <c r="Q1289" s="26"/>
    </row>
    <row r="1290" spans="1:17" ht="15" x14ac:dyDescent="0.15">
      <c r="A1290" s="22"/>
      <c r="B1290" s="26" t="str">
        <f t="shared" si="80"/>
        <v/>
      </c>
      <c r="C1290" s="26" t="str">
        <f t="shared" si="81"/>
        <v/>
      </c>
      <c r="D1290" s="26" t="str">
        <f t="shared" si="82"/>
        <v/>
      </c>
      <c r="E1290" s="29"/>
      <c r="F1290" s="22"/>
      <c r="G1290" s="22"/>
      <c r="H1290" s="22"/>
      <c r="I1290" s="24"/>
      <c r="J1290" s="24"/>
      <c r="K1290" s="24"/>
      <c r="L1290" s="24"/>
      <c r="M1290" s="27" t="str">
        <f t="shared" si="83"/>
        <v/>
      </c>
      <c r="N1290" s="25"/>
      <c r="O1290" s="22"/>
      <c r="P1290" s="24"/>
      <c r="Q1290" s="26"/>
    </row>
    <row r="1291" spans="1:17" ht="15" x14ac:dyDescent="0.15">
      <c r="A1291" s="22"/>
      <c r="B1291" s="26" t="str">
        <f t="shared" si="80"/>
        <v/>
      </c>
      <c r="C1291" s="26" t="str">
        <f t="shared" si="81"/>
        <v/>
      </c>
      <c r="D1291" s="26" t="str">
        <f t="shared" si="82"/>
        <v/>
      </c>
      <c r="E1291" s="29"/>
      <c r="F1291" s="22"/>
      <c r="G1291" s="22"/>
      <c r="H1291" s="22"/>
      <c r="I1291" s="24"/>
      <c r="J1291" s="24"/>
      <c r="K1291" s="24"/>
      <c r="L1291" s="24"/>
      <c r="M1291" s="27" t="str">
        <f t="shared" si="83"/>
        <v/>
      </c>
      <c r="N1291" s="25"/>
      <c r="O1291" s="22"/>
      <c r="P1291" s="24"/>
      <c r="Q1291" s="26"/>
    </row>
    <row r="1292" spans="1:17" ht="15" x14ac:dyDescent="0.15">
      <c r="A1292" s="22"/>
      <c r="B1292" s="26" t="str">
        <f t="shared" si="80"/>
        <v/>
      </c>
      <c r="C1292" s="26" t="str">
        <f t="shared" si="81"/>
        <v/>
      </c>
      <c r="D1292" s="26" t="str">
        <f t="shared" si="82"/>
        <v/>
      </c>
      <c r="E1292" s="29"/>
      <c r="F1292" s="22"/>
      <c r="G1292" s="22"/>
      <c r="H1292" s="22"/>
      <c r="I1292" s="24"/>
      <c r="J1292" s="24"/>
      <c r="K1292" s="24"/>
      <c r="L1292" s="24"/>
      <c r="M1292" s="27" t="str">
        <f t="shared" si="83"/>
        <v/>
      </c>
      <c r="N1292" s="25"/>
      <c r="O1292" s="22"/>
      <c r="P1292" s="24"/>
      <c r="Q1292" s="26"/>
    </row>
    <row r="1293" spans="1:17" ht="15" x14ac:dyDescent="0.15">
      <c r="A1293" s="22"/>
      <c r="B1293" s="26" t="str">
        <f t="shared" si="80"/>
        <v/>
      </c>
      <c r="C1293" s="26" t="str">
        <f t="shared" si="81"/>
        <v/>
      </c>
      <c r="D1293" s="26" t="str">
        <f t="shared" si="82"/>
        <v/>
      </c>
      <c r="E1293" s="29"/>
      <c r="F1293" s="22"/>
      <c r="G1293" s="22"/>
      <c r="H1293" s="22"/>
      <c r="I1293" s="24"/>
      <c r="J1293" s="24"/>
      <c r="K1293" s="24"/>
      <c r="L1293" s="24"/>
      <c r="M1293" s="27" t="str">
        <f t="shared" si="83"/>
        <v/>
      </c>
      <c r="N1293" s="25"/>
      <c r="O1293" s="22"/>
      <c r="P1293" s="24"/>
      <c r="Q1293" s="26"/>
    </row>
    <row r="1294" spans="1:17" ht="15" x14ac:dyDescent="0.15">
      <c r="A1294" s="22"/>
      <c r="B1294" s="26" t="str">
        <f t="shared" si="80"/>
        <v/>
      </c>
      <c r="C1294" s="26" t="str">
        <f t="shared" si="81"/>
        <v/>
      </c>
      <c r="D1294" s="26" t="str">
        <f t="shared" si="82"/>
        <v/>
      </c>
      <c r="E1294" s="29"/>
      <c r="F1294" s="22"/>
      <c r="G1294" s="22"/>
      <c r="H1294" s="22"/>
      <c r="I1294" s="24"/>
      <c r="J1294" s="24"/>
      <c r="K1294" s="24"/>
      <c r="L1294" s="24"/>
      <c r="M1294" s="27" t="str">
        <f t="shared" si="83"/>
        <v/>
      </c>
      <c r="N1294" s="25"/>
      <c r="O1294" s="22"/>
      <c r="P1294" s="24"/>
      <c r="Q1294" s="26"/>
    </row>
    <row r="1295" spans="1:17" ht="15" x14ac:dyDescent="0.15">
      <c r="A1295" s="22"/>
      <c r="B1295" s="26" t="str">
        <f t="shared" si="80"/>
        <v/>
      </c>
      <c r="C1295" s="26" t="str">
        <f t="shared" si="81"/>
        <v/>
      </c>
      <c r="D1295" s="26" t="str">
        <f t="shared" si="82"/>
        <v/>
      </c>
      <c r="E1295" s="29"/>
      <c r="F1295" s="22"/>
      <c r="G1295" s="22"/>
      <c r="H1295" s="22"/>
      <c r="I1295" s="24"/>
      <c r="J1295" s="24"/>
      <c r="K1295" s="24"/>
      <c r="L1295" s="24"/>
      <c r="M1295" s="27" t="str">
        <f t="shared" si="83"/>
        <v/>
      </c>
      <c r="N1295" s="25"/>
      <c r="O1295" s="22"/>
      <c r="P1295" s="24"/>
      <c r="Q1295" s="26"/>
    </row>
    <row r="1296" spans="1:17" ht="15" x14ac:dyDescent="0.15">
      <c r="A1296" s="22"/>
      <c r="B1296" s="26" t="str">
        <f t="shared" si="80"/>
        <v/>
      </c>
      <c r="C1296" s="26" t="str">
        <f t="shared" si="81"/>
        <v/>
      </c>
      <c r="D1296" s="26" t="str">
        <f t="shared" si="82"/>
        <v/>
      </c>
      <c r="E1296" s="29"/>
      <c r="F1296" s="22"/>
      <c r="G1296" s="22"/>
      <c r="H1296" s="22"/>
      <c r="I1296" s="24"/>
      <c r="J1296" s="24"/>
      <c r="K1296" s="24"/>
      <c r="L1296" s="24"/>
      <c r="M1296" s="27" t="str">
        <f t="shared" si="83"/>
        <v/>
      </c>
      <c r="N1296" s="25"/>
      <c r="O1296" s="22"/>
      <c r="P1296" s="24"/>
      <c r="Q1296" s="26"/>
    </row>
    <row r="1297" spans="1:17" ht="15" x14ac:dyDescent="0.15">
      <c r="A1297" s="22"/>
      <c r="B1297" s="26" t="str">
        <f t="shared" si="80"/>
        <v/>
      </c>
      <c r="C1297" s="26" t="str">
        <f t="shared" si="81"/>
        <v/>
      </c>
      <c r="D1297" s="26" t="str">
        <f t="shared" si="82"/>
        <v/>
      </c>
      <c r="E1297" s="29"/>
      <c r="F1297" s="22"/>
      <c r="G1297" s="22"/>
      <c r="H1297" s="22"/>
      <c r="I1297" s="24"/>
      <c r="J1297" s="24"/>
      <c r="K1297" s="24"/>
      <c r="L1297" s="24"/>
      <c r="M1297" s="27" t="str">
        <f t="shared" si="83"/>
        <v/>
      </c>
      <c r="N1297" s="25"/>
      <c r="O1297" s="22"/>
      <c r="P1297" s="24"/>
      <c r="Q1297" s="26"/>
    </row>
    <row r="1298" spans="1:17" ht="15" x14ac:dyDescent="0.15">
      <c r="A1298" s="22"/>
      <c r="B1298" s="26" t="str">
        <f t="shared" si="80"/>
        <v/>
      </c>
      <c r="C1298" s="26" t="str">
        <f t="shared" si="81"/>
        <v/>
      </c>
      <c r="D1298" s="26" t="str">
        <f t="shared" si="82"/>
        <v/>
      </c>
      <c r="E1298" s="29"/>
      <c r="F1298" s="22"/>
      <c r="G1298" s="22"/>
      <c r="H1298" s="22"/>
      <c r="I1298" s="24"/>
      <c r="J1298" s="24"/>
      <c r="K1298" s="24"/>
      <c r="L1298" s="24"/>
      <c r="M1298" s="27" t="str">
        <f t="shared" si="83"/>
        <v/>
      </c>
      <c r="N1298" s="25"/>
      <c r="O1298" s="22"/>
      <c r="P1298" s="24"/>
      <c r="Q1298" s="26"/>
    </row>
    <row r="1299" spans="1:17" ht="15" x14ac:dyDescent="0.15">
      <c r="A1299" s="22"/>
      <c r="B1299" s="26" t="str">
        <f t="shared" si="80"/>
        <v/>
      </c>
      <c r="C1299" s="26" t="str">
        <f t="shared" si="81"/>
        <v/>
      </c>
      <c r="D1299" s="26" t="str">
        <f t="shared" si="82"/>
        <v/>
      </c>
      <c r="E1299" s="29"/>
      <c r="F1299" s="22"/>
      <c r="G1299" s="22"/>
      <c r="H1299" s="22"/>
      <c r="I1299" s="24"/>
      <c r="J1299" s="24"/>
      <c r="K1299" s="24"/>
      <c r="L1299" s="24"/>
      <c r="M1299" s="27" t="str">
        <f t="shared" si="83"/>
        <v/>
      </c>
      <c r="N1299" s="25"/>
      <c r="O1299" s="22"/>
      <c r="P1299" s="24"/>
      <c r="Q1299" s="26"/>
    </row>
    <row r="1300" spans="1:17" ht="15" x14ac:dyDescent="0.15">
      <c r="A1300" s="22"/>
      <c r="B1300" s="26" t="str">
        <f t="shared" si="80"/>
        <v/>
      </c>
      <c r="C1300" s="26" t="str">
        <f t="shared" si="81"/>
        <v/>
      </c>
      <c r="D1300" s="26" t="str">
        <f t="shared" si="82"/>
        <v/>
      </c>
      <c r="E1300" s="29"/>
      <c r="F1300" s="22"/>
      <c r="G1300" s="22"/>
      <c r="H1300" s="22"/>
      <c r="I1300" s="24"/>
      <c r="J1300" s="24"/>
      <c r="K1300" s="24"/>
      <c r="L1300" s="24"/>
      <c r="M1300" s="27" t="str">
        <f t="shared" si="83"/>
        <v/>
      </c>
      <c r="N1300" s="25"/>
      <c r="O1300" s="22"/>
      <c r="P1300" s="24"/>
      <c r="Q1300" s="26"/>
    </row>
    <row r="1301" spans="1:17" ht="15" x14ac:dyDescent="0.15">
      <c r="A1301" s="22"/>
      <c r="B1301" s="26" t="str">
        <f t="shared" si="80"/>
        <v/>
      </c>
      <c r="C1301" s="26" t="str">
        <f t="shared" si="81"/>
        <v/>
      </c>
      <c r="D1301" s="26" t="str">
        <f t="shared" si="82"/>
        <v/>
      </c>
      <c r="E1301" s="29"/>
      <c r="F1301" s="22"/>
      <c r="G1301" s="22"/>
      <c r="H1301" s="22"/>
      <c r="I1301" s="24"/>
      <c r="J1301" s="24"/>
      <c r="K1301" s="24"/>
      <c r="L1301" s="24"/>
      <c r="M1301" s="27" t="str">
        <f t="shared" si="83"/>
        <v/>
      </c>
      <c r="N1301" s="25"/>
      <c r="O1301" s="22"/>
      <c r="P1301" s="24"/>
      <c r="Q1301" s="26"/>
    </row>
    <row r="1302" spans="1:17" ht="15" x14ac:dyDescent="0.15">
      <c r="A1302" s="22"/>
      <c r="B1302" s="26" t="str">
        <f t="shared" si="80"/>
        <v/>
      </c>
      <c r="C1302" s="26" t="str">
        <f t="shared" si="81"/>
        <v/>
      </c>
      <c r="D1302" s="26" t="str">
        <f t="shared" si="82"/>
        <v/>
      </c>
      <c r="E1302" s="29"/>
      <c r="F1302" s="22"/>
      <c r="G1302" s="22"/>
      <c r="H1302" s="22"/>
      <c r="I1302" s="24"/>
      <c r="J1302" s="24"/>
      <c r="K1302" s="24"/>
      <c r="L1302" s="24"/>
      <c r="M1302" s="27" t="str">
        <f t="shared" si="83"/>
        <v/>
      </c>
      <c r="N1302" s="25"/>
      <c r="O1302" s="22"/>
      <c r="P1302" s="24"/>
      <c r="Q1302" s="26"/>
    </row>
    <row r="1303" spans="1:17" ht="15" x14ac:dyDescent="0.15">
      <c r="A1303" s="22"/>
      <c r="B1303" s="26" t="str">
        <f t="shared" si="80"/>
        <v/>
      </c>
      <c r="C1303" s="26" t="str">
        <f t="shared" si="81"/>
        <v/>
      </c>
      <c r="D1303" s="26" t="str">
        <f t="shared" si="82"/>
        <v/>
      </c>
      <c r="E1303" s="29"/>
      <c r="F1303" s="22"/>
      <c r="G1303" s="22"/>
      <c r="H1303" s="22"/>
      <c r="I1303" s="24"/>
      <c r="J1303" s="24"/>
      <c r="K1303" s="24"/>
      <c r="L1303" s="24"/>
      <c r="M1303" s="27" t="str">
        <f t="shared" si="83"/>
        <v/>
      </c>
      <c r="N1303" s="25"/>
      <c r="O1303" s="22"/>
      <c r="P1303" s="24"/>
      <c r="Q1303" s="26"/>
    </row>
    <row r="1304" spans="1:17" ht="15" x14ac:dyDescent="0.15">
      <c r="A1304" s="22"/>
      <c r="B1304" s="26" t="str">
        <f t="shared" si="80"/>
        <v/>
      </c>
      <c r="C1304" s="26" t="str">
        <f t="shared" si="81"/>
        <v/>
      </c>
      <c r="D1304" s="26" t="str">
        <f t="shared" si="82"/>
        <v/>
      </c>
      <c r="E1304" s="29"/>
      <c r="F1304" s="22"/>
      <c r="G1304" s="22"/>
      <c r="H1304" s="22"/>
      <c r="I1304" s="24"/>
      <c r="J1304" s="24"/>
      <c r="K1304" s="24"/>
      <c r="L1304" s="24"/>
      <c r="M1304" s="27" t="str">
        <f t="shared" si="83"/>
        <v/>
      </c>
      <c r="N1304" s="25"/>
      <c r="O1304" s="22"/>
      <c r="P1304" s="24"/>
      <c r="Q1304" s="26"/>
    </row>
    <row r="1305" spans="1:17" ht="15" x14ac:dyDescent="0.15">
      <c r="A1305" s="22"/>
      <c r="B1305" s="26" t="str">
        <f t="shared" si="80"/>
        <v/>
      </c>
      <c r="C1305" s="26" t="str">
        <f t="shared" si="81"/>
        <v/>
      </c>
      <c r="D1305" s="26" t="str">
        <f t="shared" si="82"/>
        <v/>
      </c>
      <c r="E1305" s="29"/>
      <c r="F1305" s="22"/>
      <c r="G1305" s="22"/>
      <c r="H1305" s="22"/>
      <c r="I1305" s="24"/>
      <c r="J1305" s="24"/>
      <c r="K1305" s="24"/>
      <c r="L1305" s="24"/>
      <c r="M1305" s="27" t="str">
        <f t="shared" si="83"/>
        <v/>
      </c>
      <c r="N1305" s="25"/>
      <c r="O1305" s="22"/>
      <c r="P1305" s="24"/>
      <c r="Q1305" s="26"/>
    </row>
    <row r="1306" spans="1:17" ht="15" x14ac:dyDescent="0.15">
      <c r="A1306" s="22"/>
      <c r="B1306" s="26" t="str">
        <f t="shared" si="80"/>
        <v/>
      </c>
      <c r="C1306" s="26" t="str">
        <f t="shared" si="81"/>
        <v/>
      </c>
      <c r="D1306" s="26" t="str">
        <f t="shared" si="82"/>
        <v/>
      </c>
      <c r="E1306" s="29"/>
      <c r="F1306" s="22"/>
      <c r="G1306" s="22"/>
      <c r="H1306" s="22"/>
      <c r="I1306" s="24"/>
      <c r="J1306" s="24"/>
      <c r="K1306" s="24"/>
      <c r="L1306" s="24"/>
      <c r="M1306" s="27" t="str">
        <f t="shared" si="83"/>
        <v/>
      </c>
      <c r="N1306" s="25"/>
      <c r="O1306" s="22"/>
      <c r="P1306" s="24"/>
      <c r="Q1306" s="26"/>
    </row>
    <row r="1307" spans="1:17" ht="15" x14ac:dyDescent="0.15">
      <c r="A1307" s="22"/>
      <c r="B1307" s="26" t="str">
        <f t="shared" si="80"/>
        <v/>
      </c>
      <c r="C1307" s="26" t="str">
        <f t="shared" si="81"/>
        <v/>
      </c>
      <c r="D1307" s="26" t="str">
        <f t="shared" si="82"/>
        <v/>
      </c>
      <c r="E1307" s="29"/>
      <c r="F1307" s="22"/>
      <c r="G1307" s="22"/>
      <c r="H1307" s="22"/>
      <c r="I1307" s="24"/>
      <c r="J1307" s="24"/>
      <c r="K1307" s="24"/>
      <c r="L1307" s="24"/>
      <c r="M1307" s="27" t="str">
        <f t="shared" si="83"/>
        <v/>
      </c>
      <c r="N1307" s="25"/>
      <c r="O1307" s="22"/>
      <c r="P1307" s="24"/>
      <c r="Q1307" s="26"/>
    </row>
    <row r="1308" spans="1:17" ht="15" x14ac:dyDescent="0.15">
      <c r="A1308" s="22"/>
      <c r="B1308" s="26" t="str">
        <f t="shared" si="80"/>
        <v/>
      </c>
      <c r="C1308" s="26" t="str">
        <f t="shared" si="81"/>
        <v/>
      </c>
      <c r="D1308" s="26" t="str">
        <f t="shared" si="82"/>
        <v/>
      </c>
      <c r="E1308" s="29"/>
      <c r="F1308" s="22"/>
      <c r="G1308" s="22"/>
      <c r="H1308" s="22"/>
      <c r="I1308" s="24"/>
      <c r="J1308" s="24"/>
      <c r="K1308" s="24"/>
      <c r="L1308" s="24"/>
      <c r="M1308" s="27" t="str">
        <f t="shared" si="83"/>
        <v/>
      </c>
      <c r="N1308" s="25"/>
      <c r="O1308" s="22"/>
      <c r="P1308" s="24"/>
      <c r="Q1308" s="26"/>
    </row>
    <row r="1309" spans="1:17" ht="15" x14ac:dyDescent="0.15">
      <c r="A1309" s="22"/>
      <c r="B1309" s="26" t="str">
        <f t="shared" si="80"/>
        <v/>
      </c>
      <c r="C1309" s="26" t="str">
        <f t="shared" si="81"/>
        <v/>
      </c>
      <c r="D1309" s="26" t="str">
        <f t="shared" si="82"/>
        <v/>
      </c>
      <c r="E1309" s="29"/>
      <c r="F1309" s="22"/>
      <c r="G1309" s="22"/>
      <c r="H1309" s="22"/>
      <c r="I1309" s="24"/>
      <c r="J1309" s="24"/>
      <c r="K1309" s="24"/>
      <c r="L1309" s="24"/>
      <c r="M1309" s="27" t="str">
        <f t="shared" si="83"/>
        <v/>
      </c>
      <c r="N1309" s="25"/>
      <c r="O1309" s="22"/>
      <c r="P1309" s="24"/>
      <c r="Q1309" s="26"/>
    </row>
    <row r="1310" spans="1:17" ht="15" x14ac:dyDescent="0.15">
      <c r="A1310" s="22"/>
      <c r="B1310" s="26" t="str">
        <f t="shared" si="80"/>
        <v/>
      </c>
      <c r="C1310" s="26" t="str">
        <f t="shared" si="81"/>
        <v/>
      </c>
      <c r="D1310" s="26" t="str">
        <f t="shared" si="82"/>
        <v/>
      </c>
      <c r="E1310" s="29"/>
      <c r="F1310" s="22"/>
      <c r="G1310" s="22"/>
      <c r="H1310" s="22"/>
      <c r="I1310" s="24"/>
      <c r="J1310" s="24"/>
      <c r="K1310" s="24"/>
      <c r="L1310" s="24"/>
      <c r="M1310" s="27" t="str">
        <f t="shared" si="83"/>
        <v/>
      </c>
      <c r="N1310" s="25"/>
      <c r="O1310" s="22"/>
      <c r="P1310" s="24"/>
      <c r="Q1310" s="26"/>
    </row>
    <row r="1311" spans="1:17" ht="15" x14ac:dyDescent="0.15">
      <c r="A1311" s="22"/>
      <c r="B1311" s="26" t="str">
        <f t="shared" si="80"/>
        <v/>
      </c>
      <c r="C1311" s="26" t="str">
        <f t="shared" si="81"/>
        <v/>
      </c>
      <c r="D1311" s="26" t="str">
        <f t="shared" si="82"/>
        <v/>
      </c>
      <c r="E1311" s="29"/>
      <c r="F1311" s="22"/>
      <c r="G1311" s="22"/>
      <c r="H1311" s="22"/>
      <c r="I1311" s="24"/>
      <c r="J1311" s="24"/>
      <c r="K1311" s="24"/>
      <c r="L1311" s="24"/>
      <c r="M1311" s="27" t="str">
        <f t="shared" si="83"/>
        <v/>
      </c>
      <c r="N1311" s="25"/>
      <c r="O1311" s="22"/>
      <c r="P1311" s="24"/>
      <c r="Q1311" s="26"/>
    </row>
    <row r="1312" spans="1:17" ht="15" x14ac:dyDescent="0.15">
      <c r="A1312" s="22"/>
      <c r="B1312" s="26" t="str">
        <f t="shared" si="80"/>
        <v/>
      </c>
      <c r="C1312" s="26" t="str">
        <f t="shared" si="81"/>
        <v/>
      </c>
      <c r="D1312" s="26" t="str">
        <f t="shared" si="82"/>
        <v/>
      </c>
      <c r="E1312" s="29"/>
      <c r="F1312" s="22"/>
      <c r="G1312" s="22"/>
      <c r="H1312" s="22"/>
      <c r="I1312" s="24"/>
      <c r="J1312" s="24"/>
      <c r="K1312" s="24"/>
      <c r="L1312" s="24"/>
      <c r="M1312" s="27" t="str">
        <f t="shared" si="83"/>
        <v/>
      </c>
      <c r="N1312" s="25"/>
      <c r="O1312" s="22"/>
      <c r="P1312" s="24"/>
      <c r="Q1312" s="26"/>
    </row>
    <row r="1313" spans="1:17" ht="15" x14ac:dyDescent="0.15">
      <c r="A1313" s="22"/>
      <c r="B1313" s="26" t="str">
        <f t="shared" si="80"/>
        <v/>
      </c>
      <c r="C1313" s="26" t="str">
        <f t="shared" si="81"/>
        <v/>
      </c>
      <c r="D1313" s="26" t="str">
        <f t="shared" si="82"/>
        <v/>
      </c>
      <c r="E1313" s="29"/>
      <c r="F1313" s="22"/>
      <c r="G1313" s="22"/>
      <c r="H1313" s="22"/>
      <c r="I1313" s="24"/>
      <c r="J1313" s="24"/>
      <c r="K1313" s="24"/>
      <c r="L1313" s="24"/>
      <c r="M1313" s="27" t="str">
        <f t="shared" si="83"/>
        <v/>
      </c>
      <c r="N1313" s="25"/>
      <c r="O1313" s="22"/>
      <c r="P1313" s="24"/>
      <c r="Q1313" s="26"/>
    </row>
    <row r="1314" spans="1:17" ht="15" x14ac:dyDescent="0.15">
      <c r="A1314" s="22"/>
      <c r="B1314" s="26" t="str">
        <f t="shared" si="80"/>
        <v/>
      </c>
      <c r="C1314" s="26" t="str">
        <f t="shared" si="81"/>
        <v/>
      </c>
      <c r="D1314" s="26" t="str">
        <f t="shared" si="82"/>
        <v/>
      </c>
      <c r="E1314" s="29"/>
      <c r="F1314" s="22"/>
      <c r="G1314" s="22"/>
      <c r="H1314" s="22"/>
      <c r="I1314" s="24"/>
      <c r="J1314" s="24"/>
      <c r="K1314" s="24"/>
      <c r="L1314" s="24"/>
      <c r="M1314" s="27" t="str">
        <f t="shared" si="83"/>
        <v/>
      </c>
      <c r="N1314" s="25"/>
      <c r="O1314" s="22"/>
      <c r="P1314" s="24"/>
      <c r="Q1314" s="26"/>
    </row>
    <row r="1315" spans="1:17" ht="15" x14ac:dyDescent="0.15">
      <c r="A1315" s="22"/>
      <c r="B1315" s="26" t="str">
        <f t="shared" si="80"/>
        <v/>
      </c>
      <c r="C1315" s="26" t="str">
        <f t="shared" si="81"/>
        <v/>
      </c>
      <c r="D1315" s="26" t="str">
        <f t="shared" si="82"/>
        <v/>
      </c>
      <c r="E1315" s="29"/>
      <c r="F1315" s="22"/>
      <c r="G1315" s="22"/>
      <c r="H1315" s="22"/>
      <c r="I1315" s="24"/>
      <c r="J1315" s="24"/>
      <c r="K1315" s="24"/>
      <c r="L1315" s="24"/>
      <c r="M1315" s="27" t="str">
        <f t="shared" si="83"/>
        <v/>
      </c>
      <c r="N1315" s="25"/>
      <c r="O1315" s="22"/>
      <c r="P1315" s="24"/>
      <c r="Q1315" s="26"/>
    </row>
    <row r="1316" spans="1:17" ht="15" x14ac:dyDescent="0.15">
      <c r="A1316" s="22"/>
      <c r="B1316" s="26" t="str">
        <f t="shared" si="80"/>
        <v/>
      </c>
      <c r="C1316" s="26" t="str">
        <f t="shared" si="81"/>
        <v/>
      </c>
      <c r="D1316" s="26" t="str">
        <f t="shared" si="82"/>
        <v/>
      </c>
      <c r="E1316" s="29"/>
      <c r="F1316" s="22"/>
      <c r="G1316" s="22"/>
      <c r="H1316" s="22"/>
      <c r="I1316" s="24"/>
      <c r="J1316" s="24"/>
      <c r="K1316" s="24"/>
      <c r="L1316" s="24"/>
      <c r="M1316" s="27" t="str">
        <f t="shared" si="83"/>
        <v/>
      </c>
      <c r="N1316" s="25"/>
      <c r="O1316" s="22"/>
      <c r="P1316" s="24"/>
      <c r="Q1316" s="26"/>
    </row>
    <row r="1317" spans="1:17" ht="15" x14ac:dyDescent="0.15">
      <c r="A1317" s="22"/>
      <c r="B1317" s="26" t="str">
        <f t="shared" si="80"/>
        <v/>
      </c>
      <c r="C1317" s="26" t="str">
        <f t="shared" si="81"/>
        <v/>
      </c>
      <c r="D1317" s="26" t="str">
        <f t="shared" si="82"/>
        <v/>
      </c>
      <c r="E1317" s="29"/>
      <c r="F1317" s="22"/>
      <c r="G1317" s="22"/>
      <c r="H1317" s="22"/>
      <c r="I1317" s="24"/>
      <c r="J1317" s="24"/>
      <c r="K1317" s="24"/>
      <c r="L1317" s="24"/>
      <c r="M1317" s="27" t="str">
        <f t="shared" si="83"/>
        <v/>
      </c>
      <c r="N1317" s="25"/>
      <c r="O1317" s="22"/>
      <c r="P1317" s="24"/>
      <c r="Q1317" s="26"/>
    </row>
    <row r="1318" spans="1:17" ht="15" x14ac:dyDescent="0.15">
      <c r="A1318" s="22"/>
      <c r="B1318" s="26" t="str">
        <f t="shared" si="80"/>
        <v/>
      </c>
      <c r="C1318" s="26" t="str">
        <f t="shared" si="81"/>
        <v/>
      </c>
      <c r="D1318" s="26" t="str">
        <f t="shared" si="82"/>
        <v/>
      </c>
      <c r="E1318" s="29"/>
      <c r="F1318" s="22"/>
      <c r="G1318" s="22"/>
      <c r="H1318" s="22"/>
      <c r="I1318" s="24"/>
      <c r="J1318" s="24"/>
      <c r="K1318" s="24"/>
      <c r="L1318" s="24"/>
      <c r="M1318" s="27" t="str">
        <f t="shared" si="83"/>
        <v/>
      </c>
      <c r="N1318" s="25"/>
      <c r="O1318" s="22"/>
      <c r="P1318" s="24"/>
      <c r="Q1318" s="26"/>
    </row>
    <row r="1319" spans="1:17" ht="15" x14ac:dyDescent="0.15">
      <c r="A1319" s="22"/>
      <c r="B1319" s="26" t="str">
        <f t="shared" si="80"/>
        <v/>
      </c>
      <c r="C1319" s="26" t="str">
        <f t="shared" si="81"/>
        <v/>
      </c>
      <c r="D1319" s="26" t="str">
        <f t="shared" si="82"/>
        <v/>
      </c>
      <c r="E1319" s="29"/>
      <c r="F1319" s="22"/>
      <c r="G1319" s="22"/>
      <c r="H1319" s="22"/>
      <c r="I1319" s="24"/>
      <c r="J1319" s="24"/>
      <c r="K1319" s="24"/>
      <c r="L1319" s="24"/>
      <c r="M1319" s="27" t="str">
        <f t="shared" si="83"/>
        <v/>
      </c>
      <c r="N1319" s="25"/>
      <c r="O1319" s="22"/>
      <c r="P1319" s="24"/>
      <c r="Q1319" s="26"/>
    </row>
    <row r="1320" spans="1:17" ht="15" x14ac:dyDescent="0.15">
      <c r="A1320" s="22"/>
      <c r="B1320" s="26" t="str">
        <f t="shared" si="80"/>
        <v/>
      </c>
      <c r="C1320" s="26" t="str">
        <f t="shared" si="81"/>
        <v/>
      </c>
      <c r="D1320" s="26" t="str">
        <f t="shared" si="82"/>
        <v/>
      </c>
      <c r="E1320" s="29"/>
      <c r="F1320" s="22"/>
      <c r="G1320" s="22"/>
      <c r="H1320" s="22"/>
      <c r="I1320" s="24"/>
      <c r="J1320" s="24"/>
      <c r="K1320" s="24"/>
      <c r="L1320" s="24"/>
      <c r="M1320" s="27" t="str">
        <f t="shared" si="83"/>
        <v/>
      </c>
      <c r="N1320" s="25"/>
      <c r="O1320" s="22"/>
      <c r="P1320" s="24"/>
      <c r="Q1320" s="26"/>
    </row>
    <row r="1321" spans="1:17" ht="15" x14ac:dyDescent="0.15">
      <c r="A1321" s="22"/>
      <c r="B1321" s="26" t="str">
        <f t="shared" si="80"/>
        <v/>
      </c>
      <c r="C1321" s="26" t="str">
        <f t="shared" si="81"/>
        <v/>
      </c>
      <c r="D1321" s="26" t="str">
        <f t="shared" si="82"/>
        <v/>
      </c>
      <c r="E1321" s="29"/>
      <c r="F1321" s="22"/>
      <c r="G1321" s="22"/>
      <c r="H1321" s="22"/>
      <c r="I1321" s="24"/>
      <c r="J1321" s="24"/>
      <c r="K1321" s="24"/>
      <c r="L1321" s="24"/>
      <c r="M1321" s="27" t="str">
        <f t="shared" si="83"/>
        <v/>
      </c>
      <c r="N1321" s="25"/>
      <c r="O1321" s="22"/>
      <c r="P1321" s="24"/>
      <c r="Q1321" s="26"/>
    </row>
    <row r="1322" spans="1:17" ht="15" x14ac:dyDescent="0.15">
      <c r="A1322" s="22"/>
      <c r="B1322" s="26" t="str">
        <f t="shared" si="80"/>
        <v/>
      </c>
      <c r="C1322" s="26" t="str">
        <f t="shared" si="81"/>
        <v/>
      </c>
      <c r="D1322" s="26" t="str">
        <f t="shared" si="82"/>
        <v/>
      </c>
      <c r="E1322" s="29"/>
      <c r="F1322" s="22"/>
      <c r="G1322" s="22"/>
      <c r="H1322" s="22"/>
      <c r="I1322" s="24"/>
      <c r="J1322" s="24"/>
      <c r="K1322" s="24"/>
      <c r="L1322" s="24"/>
      <c r="M1322" s="27" t="str">
        <f t="shared" si="83"/>
        <v/>
      </c>
      <c r="N1322" s="25"/>
      <c r="O1322" s="22"/>
      <c r="P1322" s="24"/>
      <c r="Q1322" s="26"/>
    </row>
    <row r="1323" spans="1:17" ht="15" x14ac:dyDescent="0.15">
      <c r="A1323" s="22"/>
      <c r="B1323" s="26" t="str">
        <f t="shared" si="80"/>
        <v/>
      </c>
      <c r="C1323" s="26" t="str">
        <f t="shared" si="81"/>
        <v/>
      </c>
      <c r="D1323" s="26" t="str">
        <f t="shared" si="82"/>
        <v/>
      </c>
      <c r="E1323" s="29"/>
      <c r="F1323" s="22"/>
      <c r="G1323" s="22"/>
      <c r="H1323" s="22"/>
      <c r="I1323" s="24"/>
      <c r="J1323" s="24"/>
      <c r="K1323" s="24"/>
      <c r="L1323" s="24"/>
      <c r="M1323" s="27" t="str">
        <f t="shared" si="83"/>
        <v/>
      </c>
      <c r="N1323" s="25"/>
      <c r="O1323" s="22"/>
      <c r="P1323" s="24"/>
      <c r="Q1323" s="26"/>
    </row>
    <row r="1324" spans="1:17" ht="15" x14ac:dyDescent="0.15">
      <c r="A1324" s="22"/>
      <c r="B1324" s="26" t="str">
        <f t="shared" si="80"/>
        <v/>
      </c>
      <c r="C1324" s="26" t="str">
        <f t="shared" si="81"/>
        <v/>
      </c>
      <c r="D1324" s="26" t="str">
        <f t="shared" si="82"/>
        <v/>
      </c>
      <c r="E1324" s="29"/>
      <c r="F1324" s="22"/>
      <c r="G1324" s="22"/>
      <c r="H1324" s="22"/>
      <c r="I1324" s="24"/>
      <c r="J1324" s="24"/>
      <c r="K1324" s="24"/>
      <c r="L1324" s="24"/>
      <c r="M1324" s="27" t="str">
        <f t="shared" si="83"/>
        <v/>
      </c>
      <c r="N1324" s="25"/>
      <c r="O1324" s="22"/>
      <c r="P1324" s="24"/>
      <c r="Q1324" s="26"/>
    </row>
    <row r="1325" spans="1:17" ht="15" x14ac:dyDescent="0.15">
      <c r="A1325" s="22"/>
      <c r="B1325" s="26" t="str">
        <f t="shared" si="80"/>
        <v/>
      </c>
      <c r="C1325" s="26" t="str">
        <f t="shared" si="81"/>
        <v/>
      </c>
      <c r="D1325" s="26" t="str">
        <f t="shared" si="82"/>
        <v/>
      </c>
      <c r="E1325" s="29"/>
      <c r="F1325" s="22"/>
      <c r="G1325" s="22"/>
      <c r="H1325" s="22"/>
      <c r="I1325" s="24"/>
      <c r="J1325" s="24"/>
      <c r="K1325" s="24"/>
      <c r="L1325" s="24"/>
      <c r="M1325" s="27" t="str">
        <f t="shared" si="83"/>
        <v/>
      </c>
      <c r="N1325" s="25"/>
      <c r="O1325" s="22"/>
      <c r="P1325" s="24"/>
      <c r="Q1325" s="26"/>
    </row>
    <row r="1326" spans="1:17" ht="15" x14ac:dyDescent="0.15">
      <c r="A1326" s="22"/>
      <c r="B1326" s="26" t="str">
        <f t="shared" si="80"/>
        <v/>
      </c>
      <c r="C1326" s="26" t="str">
        <f t="shared" si="81"/>
        <v/>
      </c>
      <c r="D1326" s="26" t="str">
        <f t="shared" si="82"/>
        <v/>
      </c>
      <c r="E1326" s="29"/>
      <c r="F1326" s="22"/>
      <c r="G1326" s="22"/>
      <c r="H1326" s="22"/>
      <c r="I1326" s="24"/>
      <c r="J1326" s="24"/>
      <c r="K1326" s="24"/>
      <c r="L1326" s="24"/>
      <c r="M1326" s="27" t="str">
        <f t="shared" si="83"/>
        <v/>
      </c>
      <c r="N1326" s="25"/>
      <c r="O1326" s="22"/>
      <c r="P1326" s="24"/>
      <c r="Q1326" s="26"/>
    </row>
    <row r="1327" spans="1:17" ht="15" x14ac:dyDescent="0.15">
      <c r="A1327" s="22"/>
      <c r="B1327" s="26" t="str">
        <f t="shared" si="80"/>
        <v/>
      </c>
      <c r="C1327" s="26" t="str">
        <f t="shared" si="81"/>
        <v/>
      </c>
      <c r="D1327" s="26" t="str">
        <f t="shared" si="82"/>
        <v/>
      </c>
      <c r="E1327" s="29"/>
      <c r="F1327" s="22"/>
      <c r="G1327" s="22"/>
      <c r="H1327" s="22"/>
      <c r="I1327" s="24"/>
      <c r="J1327" s="24"/>
      <c r="K1327" s="24"/>
      <c r="L1327" s="24"/>
      <c r="M1327" s="27" t="str">
        <f t="shared" si="83"/>
        <v/>
      </c>
      <c r="N1327" s="25"/>
      <c r="O1327" s="22"/>
      <c r="P1327" s="24"/>
      <c r="Q1327" s="26"/>
    </row>
    <row r="1328" spans="1:17" ht="15" x14ac:dyDescent="0.15">
      <c r="A1328" s="22"/>
      <c r="B1328" s="26" t="str">
        <f t="shared" si="80"/>
        <v/>
      </c>
      <c r="C1328" s="26" t="str">
        <f t="shared" si="81"/>
        <v/>
      </c>
      <c r="D1328" s="26" t="str">
        <f t="shared" si="82"/>
        <v/>
      </c>
      <c r="E1328" s="29"/>
      <c r="F1328" s="22"/>
      <c r="G1328" s="22"/>
      <c r="H1328" s="22"/>
      <c r="I1328" s="24"/>
      <c r="J1328" s="24"/>
      <c r="K1328" s="24"/>
      <c r="L1328" s="24"/>
      <c r="M1328" s="27" t="str">
        <f t="shared" si="83"/>
        <v/>
      </c>
      <c r="N1328" s="25"/>
      <c r="O1328" s="22"/>
      <c r="P1328" s="24"/>
      <c r="Q1328" s="26"/>
    </row>
    <row r="1329" spans="1:17" ht="15" x14ac:dyDescent="0.15">
      <c r="A1329" s="22"/>
      <c r="B1329" s="26" t="str">
        <f t="shared" si="80"/>
        <v/>
      </c>
      <c r="C1329" s="26" t="str">
        <f t="shared" si="81"/>
        <v/>
      </c>
      <c r="D1329" s="26" t="str">
        <f t="shared" si="82"/>
        <v/>
      </c>
      <c r="E1329" s="29"/>
      <c r="F1329" s="22"/>
      <c r="G1329" s="22"/>
      <c r="H1329" s="22"/>
      <c r="I1329" s="24"/>
      <c r="J1329" s="24"/>
      <c r="K1329" s="24"/>
      <c r="L1329" s="24"/>
      <c r="M1329" s="27" t="str">
        <f t="shared" si="83"/>
        <v/>
      </c>
      <c r="N1329" s="25"/>
      <c r="O1329" s="22"/>
      <c r="P1329" s="24"/>
      <c r="Q1329" s="26"/>
    </row>
    <row r="1330" spans="1:17" ht="15" x14ac:dyDescent="0.15">
      <c r="A1330" s="22"/>
      <c r="B1330" s="26" t="str">
        <f t="shared" si="80"/>
        <v/>
      </c>
      <c r="C1330" s="26" t="str">
        <f t="shared" si="81"/>
        <v/>
      </c>
      <c r="D1330" s="26" t="str">
        <f t="shared" si="82"/>
        <v/>
      </c>
      <c r="E1330" s="29"/>
      <c r="F1330" s="22"/>
      <c r="G1330" s="22"/>
      <c r="H1330" s="22"/>
      <c r="I1330" s="24"/>
      <c r="J1330" s="24"/>
      <c r="K1330" s="24"/>
      <c r="L1330" s="24"/>
      <c r="M1330" s="27" t="str">
        <f t="shared" si="83"/>
        <v/>
      </c>
      <c r="N1330" s="25"/>
      <c r="O1330" s="22"/>
      <c r="P1330" s="24"/>
      <c r="Q1330" s="26"/>
    </row>
    <row r="1331" spans="1:17" ht="15" x14ac:dyDescent="0.15">
      <c r="A1331" s="22"/>
      <c r="B1331" s="26" t="str">
        <f t="shared" si="80"/>
        <v/>
      </c>
      <c r="C1331" s="26" t="str">
        <f t="shared" si="81"/>
        <v/>
      </c>
      <c r="D1331" s="26" t="str">
        <f t="shared" si="82"/>
        <v/>
      </c>
      <c r="E1331" s="29"/>
      <c r="F1331" s="22"/>
      <c r="G1331" s="22"/>
      <c r="H1331" s="22"/>
      <c r="I1331" s="24"/>
      <c r="J1331" s="24"/>
      <c r="K1331" s="24"/>
      <c r="L1331" s="24"/>
      <c r="M1331" s="27" t="str">
        <f t="shared" si="83"/>
        <v/>
      </c>
      <c r="N1331" s="25"/>
      <c r="O1331" s="22"/>
      <c r="P1331" s="24"/>
      <c r="Q1331" s="26"/>
    </row>
    <row r="1332" spans="1:17" ht="15" x14ac:dyDescent="0.15">
      <c r="A1332" s="22"/>
      <c r="B1332" s="26" t="str">
        <f t="shared" si="80"/>
        <v/>
      </c>
      <c r="C1332" s="26" t="str">
        <f t="shared" si="81"/>
        <v/>
      </c>
      <c r="D1332" s="26" t="str">
        <f t="shared" si="82"/>
        <v/>
      </c>
      <c r="E1332" s="29"/>
      <c r="F1332" s="22"/>
      <c r="G1332" s="22"/>
      <c r="H1332" s="22"/>
      <c r="I1332" s="24"/>
      <c r="J1332" s="24"/>
      <c r="K1332" s="24"/>
      <c r="L1332" s="24"/>
      <c r="M1332" s="27" t="str">
        <f t="shared" si="83"/>
        <v/>
      </c>
      <c r="N1332" s="25"/>
      <c r="O1332" s="22"/>
      <c r="P1332" s="24"/>
      <c r="Q1332" s="26"/>
    </row>
    <row r="1333" spans="1:17" ht="15" x14ac:dyDescent="0.15">
      <c r="A1333" s="22"/>
      <c r="B1333" s="26" t="str">
        <f t="shared" si="80"/>
        <v/>
      </c>
      <c r="C1333" s="26" t="str">
        <f t="shared" si="81"/>
        <v/>
      </c>
      <c r="D1333" s="26" t="str">
        <f t="shared" si="82"/>
        <v/>
      </c>
      <c r="E1333" s="29"/>
      <c r="F1333" s="22"/>
      <c r="G1333" s="22"/>
      <c r="H1333" s="22"/>
      <c r="I1333" s="24"/>
      <c r="J1333" s="24"/>
      <c r="K1333" s="24"/>
      <c r="L1333" s="24"/>
      <c r="M1333" s="27" t="str">
        <f t="shared" si="83"/>
        <v/>
      </c>
      <c r="N1333" s="25"/>
      <c r="O1333" s="22"/>
      <c r="P1333" s="24"/>
      <c r="Q1333" s="26"/>
    </row>
    <row r="1334" spans="1:17" ht="15" x14ac:dyDescent="0.15">
      <c r="A1334" s="22"/>
      <c r="B1334" s="26" t="str">
        <f t="shared" si="80"/>
        <v/>
      </c>
      <c r="C1334" s="26" t="str">
        <f t="shared" si="81"/>
        <v/>
      </c>
      <c r="D1334" s="26" t="str">
        <f t="shared" si="82"/>
        <v/>
      </c>
      <c r="E1334" s="29"/>
      <c r="F1334" s="22"/>
      <c r="G1334" s="22"/>
      <c r="H1334" s="22"/>
      <c r="I1334" s="24"/>
      <c r="J1334" s="24"/>
      <c r="K1334" s="24"/>
      <c r="L1334" s="24"/>
      <c r="M1334" s="27" t="str">
        <f t="shared" si="83"/>
        <v/>
      </c>
      <c r="N1334" s="25"/>
      <c r="O1334" s="22"/>
      <c r="P1334" s="24"/>
      <c r="Q1334" s="26"/>
    </row>
    <row r="1335" spans="1:17" ht="15" x14ac:dyDescent="0.15">
      <c r="A1335" s="22"/>
      <c r="B1335" s="26" t="str">
        <f t="shared" si="80"/>
        <v/>
      </c>
      <c r="C1335" s="26" t="str">
        <f t="shared" si="81"/>
        <v/>
      </c>
      <c r="D1335" s="26" t="str">
        <f t="shared" si="82"/>
        <v/>
      </c>
      <c r="E1335" s="29"/>
      <c r="F1335" s="22"/>
      <c r="G1335" s="22"/>
      <c r="H1335" s="22"/>
      <c r="I1335" s="24"/>
      <c r="J1335" s="24"/>
      <c r="K1335" s="24"/>
      <c r="L1335" s="24"/>
      <c r="M1335" s="27" t="str">
        <f t="shared" si="83"/>
        <v/>
      </c>
      <c r="N1335" s="25"/>
      <c r="O1335" s="22"/>
      <c r="P1335" s="24"/>
      <c r="Q1335" s="26"/>
    </row>
    <row r="1336" spans="1:17" ht="15" x14ac:dyDescent="0.15">
      <c r="A1336" s="22"/>
      <c r="B1336" s="26" t="str">
        <f t="shared" si="80"/>
        <v/>
      </c>
      <c r="C1336" s="26" t="str">
        <f t="shared" si="81"/>
        <v/>
      </c>
      <c r="D1336" s="26" t="str">
        <f t="shared" si="82"/>
        <v/>
      </c>
      <c r="E1336" s="29"/>
      <c r="F1336" s="22"/>
      <c r="G1336" s="22"/>
      <c r="H1336" s="22"/>
      <c r="I1336" s="24"/>
      <c r="J1336" s="24"/>
      <c r="K1336" s="24"/>
      <c r="L1336" s="24"/>
      <c r="M1336" s="27" t="str">
        <f t="shared" si="83"/>
        <v/>
      </c>
      <c r="N1336" s="25"/>
      <c r="O1336" s="22"/>
      <c r="P1336" s="24"/>
      <c r="Q1336" s="26"/>
    </row>
    <row r="1337" spans="1:17" ht="15" x14ac:dyDescent="0.15">
      <c r="A1337" s="22"/>
      <c r="B1337" s="26" t="str">
        <f t="shared" si="80"/>
        <v/>
      </c>
      <c r="C1337" s="26" t="str">
        <f t="shared" si="81"/>
        <v/>
      </c>
      <c r="D1337" s="26" t="str">
        <f t="shared" si="82"/>
        <v/>
      </c>
      <c r="E1337" s="29"/>
      <c r="F1337" s="22"/>
      <c r="G1337" s="22"/>
      <c r="H1337" s="22"/>
      <c r="I1337" s="24"/>
      <c r="J1337" s="24"/>
      <c r="K1337" s="24"/>
      <c r="L1337" s="24"/>
      <c r="M1337" s="27" t="str">
        <f t="shared" si="83"/>
        <v/>
      </c>
      <c r="N1337" s="25"/>
      <c r="O1337" s="22"/>
      <c r="P1337" s="24"/>
      <c r="Q1337" s="26"/>
    </row>
    <row r="1338" spans="1:17" ht="15" x14ac:dyDescent="0.15">
      <c r="A1338" s="22"/>
      <c r="B1338" s="26" t="str">
        <f t="shared" si="80"/>
        <v/>
      </c>
      <c r="C1338" s="26" t="str">
        <f t="shared" si="81"/>
        <v/>
      </c>
      <c r="D1338" s="26" t="str">
        <f t="shared" si="82"/>
        <v/>
      </c>
      <c r="E1338" s="29"/>
      <c r="F1338" s="22"/>
      <c r="G1338" s="22"/>
      <c r="H1338" s="22"/>
      <c r="I1338" s="24"/>
      <c r="J1338" s="24"/>
      <c r="K1338" s="24"/>
      <c r="L1338" s="24"/>
      <c r="M1338" s="27" t="str">
        <f t="shared" si="83"/>
        <v/>
      </c>
      <c r="N1338" s="25"/>
      <c r="O1338" s="22"/>
      <c r="P1338" s="24"/>
      <c r="Q1338" s="26"/>
    </row>
    <row r="1339" spans="1:17" ht="15" x14ac:dyDescent="0.15">
      <c r="A1339" s="22"/>
      <c r="B1339" s="26" t="str">
        <f t="shared" si="80"/>
        <v/>
      </c>
      <c r="C1339" s="26" t="str">
        <f t="shared" si="81"/>
        <v/>
      </c>
      <c r="D1339" s="26" t="str">
        <f t="shared" si="82"/>
        <v/>
      </c>
      <c r="E1339" s="29"/>
      <c r="F1339" s="22"/>
      <c r="G1339" s="22"/>
      <c r="H1339" s="22"/>
      <c r="I1339" s="24"/>
      <c r="J1339" s="24"/>
      <c r="K1339" s="24"/>
      <c r="L1339" s="24"/>
      <c r="M1339" s="27" t="str">
        <f t="shared" si="83"/>
        <v/>
      </c>
      <c r="N1339" s="25"/>
      <c r="O1339" s="22"/>
      <c r="P1339" s="24"/>
      <c r="Q1339" s="26"/>
    </row>
    <row r="1340" spans="1:17" ht="15" x14ac:dyDescent="0.15">
      <c r="A1340" s="22"/>
      <c r="B1340" s="26" t="str">
        <f t="shared" si="80"/>
        <v/>
      </c>
      <c r="C1340" s="26" t="str">
        <f t="shared" si="81"/>
        <v/>
      </c>
      <c r="D1340" s="26" t="str">
        <f t="shared" si="82"/>
        <v/>
      </c>
      <c r="E1340" s="29"/>
      <c r="F1340" s="22"/>
      <c r="G1340" s="22"/>
      <c r="H1340" s="22"/>
      <c r="I1340" s="24"/>
      <c r="J1340" s="24"/>
      <c r="K1340" s="24"/>
      <c r="L1340" s="24"/>
      <c r="M1340" s="27" t="str">
        <f t="shared" si="83"/>
        <v/>
      </c>
      <c r="N1340" s="25"/>
      <c r="O1340" s="22"/>
      <c r="P1340" s="24"/>
      <c r="Q1340" s="26"/>
    </row>
    <row r="1341" spans="1:17" ht="15" x14ac:dyDescent="0.15">
      <c r="A1341" s="22"/>
      <c r="B1341" s="26" t="str">
        <f t="shared" si="80"/>
        <v/>
      </c>
      <c r="C1341" s="26" t="str">
        <f t="shared" si="81"/>
        <v/>
      </c>
      <c r="D1341" s="26" t="str">
        <f t="shared" si="82"/>
        <v/>
      </c>
      <c r="E1341" s="29"/>
      <c r="F1341" s="22"/>
      <c r="G1341" s="22"/>
      <c r="H1341" s="22"/>
      <c r="I1341" s="24"/>
      <c r="J1341" s="24"/>
      <c r="K1341" s="24"/>
      <c r="L1341" s="24"/>
      <c r="M1341" s="27" t="str">
        <f t="shared" si="83"/>
        <v/>
      </c>
      <c r="N1341" s="25"/>
      <c r="O1341" s="22"/>
      <c r="P1341" s="24"/>
      <c r="Q1341" s="26"/>
    </row>
    <row r="1342" spans="1:17" ht="15" x14ac:dyDescent="0.15">
      <c r="A1342" s="22"/>
      <c r="B1342" s="26" t="str">
        <f t="shared" si="80"/>
        <v/>
      </c>
      <c r="C1342" s="26" t="str">
        <f t="shared" si="81"/>
        <v/>
      </c>
      <c r="D1342" s="26" t="str">
        <f t="shared" si="82"/>
        <v/>
      </c>
      <c r="E1342" s="29"/>
      <c r="F1342" s="22"/>
      <c r="G1342" s="22"/>
      <c r="H1342" s="22"/>
      <c r="I1342" s="24"/>
      <c r="J1342" s="24"/>
      <c r="K1342" s="24"/>
      <c r="L1342" s="24"/>
      <c r="M1342" s="27" t="str">
        <f t="shared" si="83"/>
        <v/>
      </c>
      <c r="N1342" s="25"/>
      <c r="O1342" s="22"/>
      <c r="P1342" s="24"/>
      <c r="Q1342" s="26"/>
    </row>
    <row r="1343" spans="1:17" ht="15" x14ac:dyDescent="0.15">
      <c r="A1343" s="22"/>
      <c r="B1343" s="26" t="str">
        <f t="shared" si="80"/>
        <v/>
      </c>
      <c r="C1343" s="26" t="str">
        <f t="shared" si="81"/>
        <v/>
      </c>
      <c r="D1343" s="26" t="str">
        <f t="shared" si="82"/>
        <v/>
      </c>
      <c r="E1343" s="29"/>
      <c r="F1343" s="22"/>
      <c r="G1343" s="22"/>
      <c r="H1343" s="22"/>
      <c r="I1343" s="24"/>
      <c r="J1343" s="24"/>
      <c r="K1343" s="24"/>
      <c r="L1343" s="24"/>
      <c r="M1343" s="27" t="str">
        <f t="shared" si="83"/>
        <v/>
      </c>
      <c r="N1343" s="25"/>
      <c r="O1343" s="22"/>
      <c r="P1343" s="24"/>
      <c r="Q1343" s="26"/>
    </row>
    <row r="1344" spans="1:17" ht="15" x14ac:dyDescent="0.15">
      <c r="A1344" s="22"/>
      <c r="B1344" s="26" t="str">
        <f t="shared" si="80"/>
        <v/>
      </c>
      <c r="C1344" s="26" t="str">
        <f t="shared" si="81"/>
        <v/>
      </c>
      <c r="D1344" s="26" t="str">
        <f t="shared" si="82"/>
        <v/>
      </c>
      <c r="E1344" s="29"/>
      <c r="F1344" s="22"/>
      <c r="G1344" s="22"/>
      <c r="H1344" s="22"/>
      <c r="I1344" s="24"/>
      <c r="J1344" s="24"/>
      <c r="K1344" s="24"/>
      <c r="L1344" s="24"/>
      <c r="M1344" s="27" t="str">
        <f t="shared" si="83"/>
        <v/>
      </c>
      <c r="N1344" s="25"/>
      <c r="O1344" s="22"/>
      <c r="P1344" s="24"/>
      <c r="Q1344" s="26"/>
    </row>
    <row r="1345" spans="1:17" ht="15" x14ac:dyDescent="0.15">
      <c r="A1345" s="22"/>
      <c r="B1345" s="26" t="str">
        <f t="shared" si="80"/>
        <v/>
      </c>
      <c r="C1345" s="26" t="str">
        <f t="shared" si="81"/>
        <v/>
      </c>
      <c r="D1345" s="26" t="str">
        <f t="shared" si="82"/>
        <v/>
      </c>
      <c r="E1345" s="29"/>
      <c r="F1345" s="22"/>
      <c r="G1345" s="22"/>
      <c r="H1345" s="22"/>
      <c r="I1345" s="24"/>
      <c r="J1345" s="24"/>
      <c r="K1345" s="24"/>
      <c r="L1345" s="24"/>
      <c r="M1345" s="27" t="str">
        <f t="shared" si="83"/>
        <v/>
      </c>
      <c r="N1345" s="25"/>
      <c r="O1345" s="22"/>
      <c r="P1345" s="24"/>
      <c r="Q1345" s="26"/>
    </row>
    <row r="1346" spans="1:17" ht="15" x14ac:dyDescent="0.15">
      <c r="A1346" s="22"/>
      <c r="B1346" s="26" t="str">
        <f t="shared" si="80"/>
        <v/>
      </c>
      <c r="C1346" s="26" t="str">
        <f t="shared" si="81"/>
        <v/>
      </c>
      <c r="D1346" s="26" t="str">
        <f t="shared" si="82"/>
        <v/>
      </c>
      <c r="E1346" s="29"/>
      <c r="F1346" s="22"/>
      <c r="G1346" s="22"/>
      <c r="H1346" s="22"/>
      <c r="I1346" s="24"/>
      <c r="J1346" s="24"/>
      <c r="K1346" s="24"/>
      <c r="L1346" s="24"/>
      <c r="M1346" s="27" t="str">
        <f t="shared" si="83"/>
        <v/>
      </c>
      <c r="N1346" s="25"/>
      <c r="O1346" s="22"/>
      <c r="P1346" s="24"/>
      <c r="Q1346" s="26"/>
    </row>
    <row r="1347" spans="1:17" ht="15" x14ac:dyDescent="0.15">
      <c r="A1347" s="22"/>
      <c r="B1347" s="26" t="str">
        <f t="shared" si="80"/>
        <v/>
      </c>
      <c r="C1347" s="26" t="str">
        <f t="shared" si="81"/>
        <v/>
      </c>
      <c r="D1347" s="26" t="str">
        <f t="shared" si="82"/>
        <v/>
      </c>
      <c r="E1347" s="29"/>
      <c r="F1347" s="22"/>
      <c r="G1347" s="22"/>
      <c r="H1347" s="22"/>
      <c r="I1347" s="24"/>
      <c r="J1347" s="24"/>
      <c r="K1347" s="24"/>
      <c r="L1347" s="24"/>
      <c r="M1347" s="27" t="str">
        <f t="shared" si="83"/>
        <v/>
      </c>
      <c r="N1347" s="25"/>
      <c r="O1347" s="22"/>
      <c r="P1347" s="24"/>
      <c r="Q1347" s="26"/>
    </row>
    <row r="1348" spans="1:17" ht="15" x14ac:dyDescent="0.15">
      <c r="A1348" s="22"/>
      <c r="B1348" s="26" t="str">
        <f t="shared" si="80"/>
        <v/>
      </c>
      <c r="C1348" s="26" t="str">
        <f t="shared" si="81"/>
        <v/>
      </c>
      <c r="D1348" s="26" t="str">
        <f t="shared" si="82"/>
        <v/>
      </c>
      <c r="E1348" s="29"/>
      <c r="F1348" s="22"/>
      <c r="G1348" s="22"/>
      <c r="H1348" s="22"/>
      <c r="I1348" s="24"/>
      <c r="J1348" s="24"/>
      <c r="K1348" s="24"/>
      <c r="L1348" s="24"/>
      <c r="M1348" s="27" t="str">
        <f t="shared" si="83"/>
        <v/>
      </c>
      <c r="N1348" s="25"/>
      <c r="O1348" s="22"/>
      <c r="P1348" s="24"/>
      <c r="Q1348" s="26"/>
    </row>
    <row r="1349" spans="1:17" ht="15" x14ac:dyDescent="0.15">
      <c r="A1349" s="22"/>
      <c r="B1349" s="26" t="str">
        <f t="shared" si="80"/>
        <v/>
      </c>
      <c r="C1349" s="26" t="str">
        <f t="shared" si="81"/>
        <v/>
      </c>
      <c r="D1349" s="26" t="str">
        <f t="shared" si="82"/>
        <v/>
      </c>
      <c r="E1349" s="29"/>
      <c r="F1349" s="22"/>
      <c r="G1349" s="22"/>
      <c r="H1349" s="22"/>
      <c r="I1349" s="24"/>
      <c r="J1349" s="24"/>
      <c r="K1349" s="24"/>
      <c r="L1349" s="24"/>
      <c r="M1349" s="27" t="str">
        <f t="shared" si="83"/>
        <v/>
      </c>
      <c r="N1349" s="25"/>
      <c r="O1349" s="22"/>
      <c r="P1349" s="24"/>
      <c r="Q1349" s="26"/>
    </row>
    <row r="1350" spans="1:17" ht="15" x14ac:dyDescent="0.15">
      <c r="A1350" s="22"/>
      <c r="B1350" s="26" t="str">
        <f t="shared" si="80"/>
        <v/>
      </c>
      <c r="C1350" s="26" t="str">
        <f t="shared" si="81"/>
        <v/>
      </c>
      <c r="D1350" s="26" t="str">
        <f t="shared" si="82"/>
        <v/>
      </c>
      <c r="E1350" s="29"/>
      <c r="F1350" s="22"/>
      <c r="G1350" s="22"/>
      <c r="H1350" s="22"/>
      <c r="I1350" s="24"/>
      <c r="J1350" s="24"/>
      <c r="K1350" s="24"/>
      <c r="L1350" s="24"/>
      <c r="M1350" s="27" t="str">
        <f t="shared" si="83"/>
        <v/>
      </c>
      <c r="N1350" s="25"/>
      <c r="O1350" s="22"/>
      <c r="P1350" s="24"/>
      <c r="Q1350" s="26"/>
    </row>
    <row r="1351" spans="1:17" ht="15" x14ac:dyDescent="0.15">
      <c r="A1351" s="22"/>
      <c r="B1351" s="26" t="str">
        <f t="shared" ref="B1351:B1414" si="84">IFERROR(IF($A1351="","",LEFT($A1351,FIND(" | ",$A1351)-1)),"")</f>
        <v/>
      </c>
      <c r="C1351" s="26" t="str">
        <f t="shared" ref="C1351:C1414" si="85">IFERROR(IF($A1351="","",MID($A1351,FIND(" | ",$A1351)+3,FIND(" | ",$A1351,FIND(" | ",$A1351)+3)-FIND(" | ",$A1351)-3)),"")</f>
        <v/>
      </c>
      <c r="D1351" s="26" t="str">
        <f t="shared" ref="D1351:D1414" si="86">IFERROR(IF($A1351="","",RIGHT($A1351,LEN($A1351)-FIND(" | ",$A1351,FIND(" | ",$A1351)+3)-2)),"")</f>
        <v/>
      </c>
      <c r="E1351" s="29"/>
      <c r="F1351" s="22"/>
      <c r="G1351" s="22"/>
      <c r="H1351" s="22"/>
      <c r="I1351" s="24"/>
      <c r="J1351" s="24"/>
      <c r="K1351" s="24"/>
      <c r="L1351" s="24"/>
      <c r="M1351" s="27" t="str">
        <f t="shared" ref="M1351:M1414" si="87">IF($B1351="","",SUM($J1351,-$K1351,$L1351))</f>
        <v/>
      </c>
      <c r="N1351" s="25"/>
      <c r="O1351" s="22"/>
      <c r="P1351" s="24"/>
      <c r="Q1351" s="26"/>
    </row>
    <row r="1352" spans="1:17" ht="15" x14ac:dyDescent="0.15">
      <c r="A1352" s="22"/>
      <c r="B1352" s="26" t="str">
        <f t="shared" si="84"/>
        <v/>
      </c>
      <c r="C1352" s="26" t="str">
        <f t="shared" si="85"/>
        <v/>
      </c>
      <c r="D1352" s="26" t="str">
        <f t="shared" si="86"/>
        <v/>
      </c>
      <c r="E1352" s="29"/>
      <c r="F1352" s="22"/>
      <c r="G1352" s="22"/>
      <c r="H1352" s="22"/>
      <c r="I1352" s="24"/>
      <c r="J1352" s="24"/>
      <c r="K1352" s="24"/>
      <c r="L1352" s="24"/>
      <c r="M1352" s="27" t="str">
        <f t="shared" si="87"/>
        <v/>
      </c>
      <c r="N1352" s="25"/>
      <c r="O1352" s="22"/>
      <c r="P1352" s="24"/>
      <c r="Q1352" s="26"/>
    </row>
    <row r="1353" spans="1:17" ht="15" x14ac:dyDescent="0.15">
      <c r="A1353" s="22"/>
      <c r="B1353" s="26" t="str">
        <f t="shared" si="84"/>
        <v/>
      </c>
      <c r="C1353" s="26" t="str">
        <f t="shared" si="85"/>
        <v/>
      </c>
      <c r="D1353" s="26" t="str">
        <f t="shared" si="86"/>
        <v/>
      </c>
      <c r="E1353" s="29"/>
      <c r="F1353" s="22"/>
      <c r="G1353" s="22"/>
      <c r="H1353" s="22"/>
      <c r="I1353" s="24"/>
      <c r="J1353" s="24"/>
      <c r="K1353" s="24"/>
      <c r="L1353" s="24"/>
      <c r="M1353" s="27" t="str">
        <f t="shared" si="87"/>
        <v/>
      </c>
      <c r="N1353" s="25"/>
      <c r="O1353" s="22"/>
      <c r="P1353" s="24"/>
      <c r="Q1353" s="26"/>
    </row>
    <row r="1354" spans="1:17" ht="15" x14ac:dyDescent="0.15">
      <c r="A1354" s="22"/>
      <c r="B1354" s="26" t="str">
        <f t="shared" si="84"/>
        <v/>
      </c>
      <c r="C1354" s="26" t="str">
        <f t="shared" si="85"/>
        <v/>
      </c>
      <c r="D1354" s="26" t="str">
        <f t="shared" si="86"/>
        <v/>
      </c>
      <c r="E1354" s="29"/>
      <c r="F1354" s="22"/>
      <c r="G1354" s="22"/>
      <c r="H1354" s="22"/>
      <c r="I1354" s="24"/>
      <c r="J1354" s="24"/>
      <c r="K1354" s="24"/>
      <c r="L1354" s="24"/>
      <c r="M1354" s="27" t="str">
        <f t="shared" si="87"/>
        <v/>
      </c>
      <c r="N1354" s="25"/>
      <c r="O1354" s="22"/>
      <c r="P1354" s="24"/>
      <c r="Q1354" s="26"/>
    </row>
    <row r="1355" spans="1:17" ht="15" x14ac:dyDescent="0.15">
      <c r="A1355" s="22"/>
      <c r="B1355" s="26" t="str">
        <f t="shared" si="84"/>
        <v/>
      </c>
      <c r="C1355" s="26" t="str">
        <f t="shared" si="85"/>
        <v/>
      </c>
      <c r="D1355" s="26" t="str">
        <f t="shared" si="86"/>
        <v/>
      </c>
      <c r="E1355" s="29"/>
      <c r="F1355" s="22"/>
      <c r="G1355" s="22"/>
      <c r="H1355" s="22"/>
      <c r="I1355" s="24"/>
      <c r="J1355" s="24"/>
      <c r="K1355" s="24"/>
      <c r="L1355" s="24"/>
      <c r="M1355" s="27" t="str">
        <f t="shared" si="87"/>
        <v/>
      </c>
      <c r="N1355" s="25"/>
      <c r="O1355" s="22"/>
      <c r="P1355" s="24"/>
      <c r="Q1355" s="26"/>
    </row>
    <row r="1356" spans="1:17" ht="15" x14ac:dyDescent="0.15">
      <c r="A1356" s="22"/>
      <c r="B1356" s="26" t="str">
        <f t="shared" si="84"/>
        <v/>
      </c>
      <c r="C1356" s="26" t="str">
        <f t="shared" si="85"/>
        <v/>
      </c>
      <c r="D1356" s="26" t="str">
        <f t="shared" si="86"/>
        <v/>
      </c>
      <c r="E1356" s="29"/>
      <c r="F1356" s="22"/>
      <c r="G1356" s="22"/>
      <c r="H1356" s="22"/>
      <c r="I1356" s="24"/>
      <c r="J1356" s="24"/>
      <c r="K1356" s="24"/>
      <c r="L1356" s="24"/>
      <c r="M1356" s="27" t="str">
        <f t="shared" si="87"/>
        <v/>
      </c>
      <c r="N1356" s="25"/>
      <c r="O1356" s="22"/>
      <c r="P1356" s="24"/>
      <c r="Q1356" s="26"/>
    </row>
    <row r="1357" spans="1:17" ht="15" x14ac:dyDescent="0.15">
      <c r="A1357" s="22"/>
      <c r="B1357" s="26" t="str">
        <f t="shared" si="84"/>
        <v/>
      </c>
      <c r="C1357" s="26" t="str">
        <f t="shared" si="85"/>
        <v/>
      </c>
      <c r="D1357" s="26" t="str">
        <f t="shared" si="86"/>
        <v/>
      </c>
      <c r="E1357" s="29"/>
      <c r="F1357" s="22"/>
      <c r="G1357" s="22"/>
      <c r="H1357" s="22"/>
      <c r="I1357" s="24"/>
      <c r="J1357" s="24"/>
      <c r="K1357" s="24"/>
      <c r="L1357" s="24"/>
      <c r="M1357" s="27" t="str">
        <f t="shared" si="87"/>
        <v/>
      </c>
      <c r="N1357" s="25"/>
      <c r="O1357" s="22"/>
      <c r="P1357" s="24"/>
      <c r="Q1357" s="26"/>
    </row>
    <row r="1358" spans="1:17" ht="15" x14ac:dyDescent="0.15">
      <c r="A1358" s="22"/>
      <c r="B1358" s="26" t="str">
        <f t="shared" si="84"/>
        <v/>
      </c>
      <c r="C1358" s="26" t="str">
        <f t="shared" si="85"/>
        <v/>
      </c>
      <c r="D1358" s="26" t="str">
        <f t="shared" si="86"/>
        <v/>
      </c>
      <c r="E1358" s="29"/>
      <c r="F1358" s="22"/>
      <c r="G1358" s="22"/>
      <c r="H1358" s="22"/>
      <c r="I1358" s="24"/>
      <c r="J1358" s="24"/>
      <c r="K1358" s="24"/>
      <c r="L1358" s="24"/>
      <c r="M1358" s="27" t="str">
        <f t="shared" si="87"/>
        <v/>
      </c>
      <c r="N1358" s="25"/>
      <c r="O1358" s="22"/>
      <c r="P1358" s="24"/>
      <c r="Q1358" s="26"/>
    </row>
    <row r="1359" spans="1:17" ht="15" x14ac:dyDescent="0.15">
      <c r="A1359" s="22"/>
      <c r="B1359" s="26" t="str">
        <f t="shared" si="84"/>
        <v/>
      </c>
      <c r="C1359" s="26" t="str">
        <f t="shared" si="85"/>
        <v/>
      </c>
      <c r="D1359" s="26" t="str">
        <f t="shared" si="86"/>
        <v/>
      </c>
      <c r="E1359" s="29"/>
      <c r="F1359" s="22"/>
      <c r="G1359" s="22"/>
      <c r="H1359" s="22"/>
      <c r="I1359" s="24"/>
      <c r="J1359" s="24"/>
      <c r="K1359" s="24"/>
      <c r="L1359" s="24"/>
      <c r="M1359" s="27" t="str">
        <f t="shared" si="87"/>
        <v/>
      </c>
      <c r="N1359" s="25"/>
      <c r="O1359" s="22"/>
      <c r="P1359" s="24"/>
      <c r="Q1359" s="26"/>
    </row>
    <row r="1360" spans="1:17" ht="15" x14ac:dyDescent="0.15">
      <c r="A1360" s="22"/>
      <c r="B1360" s="26" t="str">
        <f t="shared" si="84"/>
        <v/>
      </c>
      <c r="C1360" s="26" t="str">
        <f t="shared" si="85"/>
        <v/>
      </c>
      <c r="D1360" s="26" t="str">
        <f t="shared" si="86"/>
        <v/>
      </c>
      <c r="E1360" s="29"/>
      <c r="F1360" s="22"/>
      <c r="G1360" s="22"/>
      <c r="H1360" s="22"/>
      <c r="I1360" s="24"/>
      <c r="J1360" s="24"/>
      <c r="K1360" s="24"/>
      <c r="L1360" s="24"/>
      <c r="M1360" s="27" t="str">
        <f t="shared" si="87"/>
        <v/>
      </c>
      <c r="N1360" s="25"/>
      <c r="O1360" s="22"/>
      <c r="P1360" s="24"/>
      <c r="Q1360" s="26"/>
    </row>
    <row r="1361" spans="1:17" ht="15" x14ac:dyDescent="0.15">
      <c r="A1361" s="22"/>
      <c r="B1361" s="26" t="str">
        <f t="shared" si="84"/>
        <v/>
      </c>
      <c r="C1361" s="26" t="str">
        <f t="shared" si="85"/>
        <v/>
      </c>
      <c r="D1361" s="26" t="str">
        <f t="shared" si="86"/>
        <v/>
      </c>
      <c r="E1361" s="29"/>
      <c r="F1361" s="22"/>
      <c r="G1361" s="22"/>
      <c r="H1361" s="22"/>
      <c r="I1361" s="24"/>
      <c r="J1361" s="24"/>
      <c r="K1361" s="24"/>
      <c r="L1361" s="24"/>
      <c r="M1361" s="27" t="str">
        <f t="shared" si="87"/>
        <v/>
      </c>
      <c r="N1361" s="25"/>
      <c r="O1361" s="22"/>
      <c r="P1361" s="24"/>
      <c r="Q1361" s="26"/>
    </row>
    <row r="1362" spans="1:17" ht="15" x14ac:dyDescent="0.15">
      <c r="A1362" s="22"/>
      <c r="B1362" s="26" t="str">
        <f t="shared" si="84"/>
        <v/>
      </c>
      <c r="C1362" s="26" t="str">
        <f t="shared" si="85"/>
        <v/>
      </c>
      <c r="D1362" s="26" t="str">
        <f t="shared" si="86"/>
        <v/>
      </c>
      <c r="E1362" s="29"/>
      <c r="F1362" s="22"/>
      <c r="G1362" s="22"/>
      <c r="H1362" s="22"/>
      <c r="I1362" s="24"/>
      <c r="J1362" s="24"/>
      <c r="K1362" s="24"/>
      <c r="L1362" s="24"/>
      <c r="M1362" s="27" t="str">
        <f t="shared" si="87"/>
        <v/>
      </c>
      <c r="N1362" s="25"/>
      <c r="O1362" s="22"/>
      <c r="P1362" s="24"/>
      <c r="Q1362" s="26"/>
    </row>
    <row r="1363" spans="1:17" ht="15" x14ac:dyDescent="0.15">
      <c r="A1363" s="22"/>
      <c r="B1363" s="26" t="str">
        <f t="shared" si="84"/>
        <v/>
      </c>
      <c r="C1363" s="26" t="str">
        <f t="shared" si="85"/>
        <v/>
      </c>
      <c r="D1363" s="26" t="str">
        <f t="shared" si="86"/>
        <v/>
      </c>
      <c r="E1363" s="29"/>
      <c r="F1363" s="22"/>
      <c r="G1363" s="22"/>
      <c r="H1363" s="22"/>
      <c r="I1363" s="24"/>
      <c r="J1363" s="24"/>
      <c r="K1363" s="24"/>
      <c r="L1363" s="24"/>
      <c r="M1363" s="27" t="str">
        <f t="shared" si="87"/>
        <v/>
      </c>
      <c r="N1363" s="25"/>
      <c r="O1363" s="22"/>
      <c r="P1363" s="24"/>
      <c r="Q1363" s="26"/>
    </row>
    <row r="1364" spans="1:17" ht="15" x14ac:dyDescent="0.15">
      <c r="A1364" s="22"/>
      <c r="B1364" s="26" t="str">
        <f t="shared" si="84"/>
        <v/>
      </c>
      <c r="C1364" s="26" t="str">
        <f t="shared" si="85"/>
        <v/>
      </c>
      <c r="D1364" s="26" t="str">
        <f t="shared" si="86"/>
        <v/>
      </c>
      <c r="E1364" s="29"/>
      <c r="F1364" s="22"/>
      <c r="G1364" s="22"/>
      <c r="H1364" s="22"/>
      <c r="I1364" s="24"/>
      <c r="J1364" s="24"/>
      <c r="K1364" s="24"/>
      <c r="L1364" s="24"/>
      <c r="M1364" s="27" t="str">
        <f t="shared" si="87"/>
        <v/>
      </c>
      <c r="N1364" s="25"/>
      <c r="O1364" s="22"/>
      <c r="P1364" s="24"/>
      <c r="Q1364" s="26"/>
    </row>
    <row r="1365" spans="1:17" ht="15" x14ac:dyDescent="0.15">
      <c r="A1365" s="22"/>
      <c r="B1365" s="26" t="str">
        <f t="shared" si="84"/>
        <v/>
      </c>
      <c r="C1365" s="26" t="str">
        <f t="shared" si="85"/>
        <v/>
      </c>
      <c r="D1365" s="26" t="str">
        <f t="shared" si="86"/>
        <v/>
      </c>
      <c r="E1365" s="29"/>
      <c r="F1365" s="22"/>
      <c r="G1365" s="22"/>
      <c r="H1365" s="22"/>
      <c r="I1365" s="24"/>
      <c r="J1365" s="24"/>
      <c r="K1365" s="24"/>
      <c r="L1365" s="24"/>
      <c r="M1365" s="27" t="str">
        <f t="shared" si="87"/>
        <v/>
      </c>
      <c r="N1365" s="25"/>
      <c r="O1365" s="22"/>
      <c r="P1365" s="24"/>
      <c r="Q1365" s="26"/>
    </row>
    <row r="1366" spans="1:17" ht="15" x14ac:dyDescent="0.15">
      <c r="A1366" s="22"/>
      <c r="B1366" s="26" t="str">
        <f t="shared" si="84"/>
        <v/>
      </c>
      <c r="C1366" s="26" t="str">
        <f t="shared" si="85"/>
        <v/>
      </c>
      <c r="D1366" s="26" t="str">
        <f t="shared" si="86"/>
        <v/>
      </c>
      <c r="E1366" s="29"/>
      <c r="F1366" s="22"/>
      <c r="G1366" s="22"/>
      <c r="H1366" s="22"/>
      <c r="I1366" s="24"/>
      <c r="J1366" s="24"/>
      <c r="K1366" s="24"/>
      <c r="L1366" s="24"/>
      <c r="M1366" s="27" t="str">
        <f t="shared" si="87"/>
        <v/>
      </c>
      <c r="N1366" s="25"/>
      <c r="O1366" s="22"/>
      <c r="P1366" s="24"/>
      <c r="Q1366" s="26"/>
    </row>
    <row r="1367" spans="1:17" ht="15" x14ac:dyDescent="0.15">
      <c r="A1367" s="22"/>
      <c r="B1367" s="26" t="str">
        <f t="shared" si="84"/>
        <v/>
      </c>
      <c r="C1367" s="26" t="str">
        <f t="shared" si="85"/>
        <v/>
      </c>
      <c r="D1367" s="26" t="str">
        <f t="shared" si="86"/>
        <v/>
      </c>
      <c r="E1367" s="29"/>
      <c r="F1367" s="22"/>
      <c r="G1367" s="22"/>
      <c r="H1367" s="22"/>
      <c r="I1367" s="24"/>
      <c r="J1367" s="24"/>
      <c r="K1367" s="24"/>
      <c r="L1367" s="24"/>
      <c r="M1367" s="27" t="str">
        <f t="shared" si="87"/>
        <v/>
      </c>
      <c r="N1367" s="25"/>
      <c r="O1367" s="22"/>
      <c r="P1367" s="24"/>
      <c r="Q1367" s="26"/>
    </row>
    <row r="1368" spans="1:17" ht="15" x14ac:dyDescent="0.15">
      <c r="A1368" s="22"/>
      <c r="B1368" s="26" t="str">
        <f t="shared" si="84"/>
        <v/>
      </c>
      <c r="C1368" s="26" t="str">
        <f t="shared" si="85"/>
        <v/>
      </c>
      <c r="D1368" s="26" t="str">
        <f t="shared" si="86"/>
        <v/>
      </c>
      <c r="E1368" s="29"/>
      <c r="F1368" s="22"/>
      <c r="G1368" s="22"/>
      <c r="H1368" s="22"/>
      <c r="I1368" s="24"/>
      <c r="J1368" s="24"/>
      <c r="K1368" s="24"/>
      <c r="L1368" s="24"/>
      <c r="M1368" s="27" t="str">
        <f t="shared" si="87"/>
        <v/>
      </c>
      <c r="N1368" s="25"/>
      <c r="O1368" s="22"/>
      <c r="P1368" s="24"/>
      <c r="Q1368" s="26"/>
    </row>
    <row r="1369" spans="1:17" ht="15" x14ac:dyDescent="0.15">
      <c r="A1369" s="22"/>
      <c r="B1369" s="26" t="str">
        <f t="shared" si="84"/>
        <v/>
      </c>
      <c r="C1369" s="26" t="str">
        <f t="shared" si="85"/>
        <v/>
      </c>
      <c r="D1369" s="26" t="str">
        <f t="shared" si="86"/>
        <v/>
      </c>
      <c r="E1369" s="29"/>
      <c r="F1369" s="22"/>
      <c r="G1369" s="22"/>
      <c r="H1369" s="22"/>
      <c r="I1369" s="24"/>
      <c r="J1369" s="24"/>
      <c r="K1369" s="24"/>
      <c r="L1369" s="24"/>
      <c r="M1369" s="27" t="str">
        <f t="shared" si="87"/>
        <v/>
      </c>
      <c r="N1369" s="25"/>
      <c r="O1369" s="22"/>
      <c r="P1369" s="24"/>
      <c r="Q1369" s="26"/>
    </row>
    <row r="1370" spans="1:17" ht="15" x14ac:dyDescent="0.15">
      <c r="A1370" s="22"/>
      <c r="B1370" s="26" t="str">
        <f t="shared" si="84"/>
        <v/>
      </c>
      <c r="C1370" s="26" t="str">
        <f t="shared" si="85"/>
        <v/>
      </c>
      <c r="D1370" s="26" t="str">
        <f t="shared" si="86"/>
        <v/>
      </c>
      <c r="E1370" s="29"/>
      <c r="F1370" s="22"/>
      <c r="G1370" s="22"/>
      <c r="H1370" s="22"/>
      <c r="I1370" s="24"/>
      <c r="J1370" s="24"/>
      <c r="K1370" s="24"/>
      <c r="L1370" s="24"/>
      <c r="M1370" s="27" t="str">
        <f t="shared" si="87"/>
        <v/>
      </c>
      <c r="N1370" s="25"/>
      <c r="O1370" s="22"/>
      <c r="P1370" s="24"/>
      <c r="Q1370" s="26"/>
    </row>
    <row r="1371" spans="1:17" ht="15" x14ac:dyDescent="0.15">
      <c r="A1371" s="22"/>
      <c r="B1371" s="26" t="str">
        <f t="shared" si="84"/>
        <v/>
      </c>
      <c r="C1371" s="26" t="str">
        <f t="shared" si="85"/>
        <v/>
      </c>
      <c r="D1371" s="26" t="str">
        <f t="shared" si="86"/>
        <v/>
      </c>
      <c r="E1371" s="29"/>
      <c r="F1371" s="22"/>
      <c r="G1371" s="22"/>
      <c r="H1371" s="22"/>
      <c r="I1371" s="24"/>
      <c r="J1371" s="24"/>
      <c r="K1371" s="24"/>
      <c r="L1371" s="24"/>
      <c r="M1371" s="27" t="str">
        <f t="shared" si="87"/>
        <v/>
      </c>
      <c r="N1371" s="25"/>
      <c r="O1371" s="22"/>
      <c r="P1371" s="24"/>
      <c r="Q1371" s="26"/>
    </row>
    <row r="1372" spans="1:17" ht="15" x14ac:dyDescent="0.15">
      <c r="A1372" s="22"/>
      <c r="B1372" s="26" t="str">
        <f t="shared" si="84"/>
        <v/>
      </c>
      <c r="C1372" s="26" t="str">
        <f t="shared" si="85"/>
        <v/>
      </c>
      <c r="D1372" s="26" t="str">
        <f t="shared" si="86"/>
        <v/>
      </c>
      <c r="E1372" s="29"/>
      <c r="F1372" s="22"/>
      <c r="G1372" s="22"/>
      <c r="H1372" s="22"/>
      <c r="I1372" s="24"/>
      <c r="J1372" s="24"/>
      <c r="K1372" s="24"/>
      <c r="L1372" s="24"/>
      <c r="M1372" s="27" t="str">
        <f t="shared" si="87"/>
        <v/>
      </c>
      <c r="N1372" s="25"/>
      <c r="O1372" s="22"/>
      <c r="P1372" s="24"/>
      <c r="Q1372" s="26"/>
    </row>
    <row r="1373" spans="1:17" ht="15" x14ac:dyDescent="0.15">
      <c r="A1373" s="22"/>
      <c r="B1373" s="26" t="str">
        <f t="shared" si="84"/>
        <v/>
      </c>
      <c r="C1373" s="26" t="str">
        <f t="shared" si="85"/>
        <v/>
      </c>
      <c r="D1373" s="26" t="str">
        <f t="shared" si="86"/>
        <v/>
      </c>
      <c r="E1373" s="29"/>
      <c r="F1373" s="22"/>
      <c r="G1373" s="22"/>
      <c r="H1373" s="22"/>
      <c r="I1373" s="24"/>
      <c r="J1373" s="24"/>
      <c r="K1373" s="24"/>
      <c r="L1373" s="24"/>
      <c r="M1373" s="27" t="str">
        <f t="shared" si="87"/>
        <v/>
      </c>
      <c r="N1373" s="25"/>
      <c r="O1373" s="22"/>
      <c r="P1373" s="24"/>
      <c r="Q1373" s="26"/>
    </row>
    <row r="1374" spans="1:17" ht="15" x14ac:dyDescent="0.15">
      <c r="A1374" s="22"/>
      <c r="B1374" s="26" t="str">
        <f t="shared" si="84"/>
        <v/>
      </c>
      <c r="C1374" s="26" t="str">
        <f t="shared" si="85"/>
        <v/>
      </c>
      <c r="D1374" s="26" t="str">
        <f t="shared" si="86"/>
        <v/>
      </c>
      <c r="E1374" s="29"/>
      <c r="F1374" s="22"/>
      <c r="G1374" s="22"/>
      <c r="H1374" s="22"/>
      <c r="I1374" s="24"/>
      <c r="J1374" s="24"/>
      <c r="K1374" s="24"/>
      <c r="L1374" s="24"/>
      <c r="M1374" s="27" t="str">
        <f t="shared" si="87"/>
        <v/>
      </c>
      <c r="N1374" s="25"/>
      <c r="O1374" s="22"/>
      <c r="P1374" s="24"/>
      <c r="Q1374" s="26"/>
    </row>
    <row r="1375" spans="1:17" ht="15" x14ac:dyDescent="0.15">
      <c r="A1375" s="22"/>
      <c r="B1375" s="26" t="str">
        <f t="shared" si="84"/>
        <v/>
      </c>
      <c r="C1375" s="26" t="str">
        <f t="shared" si="85"/>
        <v/>
      </c>
      <c r="D1375" s="26" t="str">
        <f t="shared" si="86"/>
        <v/>
      </c>
      <c r="E1375" s="29"/>
      <c r="F1375" s="22"/>
      <c r="G1375" s="22"/>
      <c r="H1375" s="22"/>
      <c r="I1375" s="24"/>
      <c r="J1375" s="24"/>
      <c r="K1375" s="24"/>
      <c r="L1375" s="24"/>
      <c r="M1375" s="27" t="str">
        <f t="shared" si="87"/>
        <v/>
      </c>
      <c r="N1375" s="25"/>
      <c r="O1375" s="22"/>
      <c r="P1375" s="24"/>
      <c r="Q1375" s="26"/>
    </row>
    <row r="1376" spans="1:17" ht="15" x14ac:dyDescent="0.15">
      <c r="A1376" s="22"/>
      <c r="B1376" s="26" t="str">
        <f t="shared" si="84"/>
        <v/>
      </c>
      <c r="C1376" s="26" t="str">
        <f t="shared" si="85"/>
        <v/>
      </c>
      <c r="D1376" s="26" t="str">
        <f t="shared" si="86"/>
        <v/>
      </c>
      <c r="E1376" s="29"/>
      <c r="F1376" s="22"/>
      <c r="G1376" s="22"/>
      <c r="H1376" s="22"/>
      <c r="I1376" s="24"/>
      <c r="J1376" s="24"/>
      <c r="K1376" s="24"/>
      <c r="L1376" s="24"/>
      <c r="M1376" s="27" t="str">
        <f t="shared" si="87"/>
        <v/>
      </c>
      <c r="N1376" s="25"/>
      <c r="O1376" s="22"/>
      <c r="P1376" s="24"/>
      <c r="Q1376" s="26"/>
    </row>
    <row r="1377" spans="1:17" ht="15" x14ac:dyDescent="0.15">
      <c r="A1377" s="22"/>
      <c r="B1377" s="26" t="str">
        <f t="shared" si="84"/>
        <v/>
      </c>
      <c r="C1377" s="26" t="str">
        <f t="shared" si="85"/>
        <v/>
      </c>
      <c r="D1377" s="26" t="str">
        <f t="shared" si="86"/>
        <v/>
      </c>
      <c r="E1377" s="29"/>
      <c r="F1377" s="22"/>
      <c r="G1377" s="22"/>
      <c r="H1377" s="22"/>
      <c r="I1377" s="24"/>
      <c r="J1377" s="24"/>
      <c r="K1377" s="24"/>
      <c r="L1377" s="24"/>
      <c r="M1377" s="27" t="str">
        <f t="shared" si="87"/>
        <v/>
      </c>
      <c r="N1377" s="25"/>
      <c r="O1377" s="22"/>
      <c r="P1377" s="24"/>
      <c r="Q1377" s="26"/>
    </row>
    <row r="1378" spans="1:17" ht="15" x14ac:dyDescent="0.15">
      <c r="A1378" s="22"/>
      <c r="B1378" s="26" t="str">
        <f t="shared" si="84"/>
        <v/>
      </c>
      <c r="C1378" s="26" t="str">
        <f t="shared" si="85"/>
        <v/>
      </c>
      <c r="D1378" s="26" t="str">
        <f t="shared" si="86"/>
        <v/>
      </c>
      <c r="E1378" s="29"/>
      <c r="F1378" s="22"/>
      <c r="G1378" s="22"/>
      <c r="H1378" s="22"/>
      <c r="I1378" s="24"/>
      <c r="J1378" s="24"/>
      <c r="K1378" s="24"/>
      <c r="L1378" s="24"/>
      <c r="M1378" s="27" t="str">
        <f t="shared" si="87"/>
        <v/>
      </c>
      <c r="N1378" s="25"/>
      <c r="O1378" s="22"/>
      <c r="P1378" s="24"/>
      <c r="Q1378" s="26"/>
    </row>
    <row r="1379" spans="1:17" ht="15" x14ac:dyDescent="0.15">
      <c r="A1379" s="22"/>
      <c r="B1379" s="26" t="str">
        <f t="shared" si="84"/>
        <v/>
      </c>
      <c r="C1379" s="26" t="str">
        <f t="shared" si="85"/>
        <v/>
      </c>
      <c r="D1379" s="26" t="str">
        <f t="shared" si="86"/>
        <v/>
      </c>
      <c r="E1379" s="29"/>
      <c r="F1379" s="22"/>
      <c r="G1379" s="22"/>
      <c r="H1379" s="22"/>
      <c r="I1379" s="24"/>
      <c r="J1379" s="24"/>
      <c r="K1379" s="24"/>
      <c r="L1379" s="24"/>
      <c r="M1379" s="27" t="str">
        <f t="shared" si="87"/>
        <v/>
      </c>
      <c r="N1379" s="25"/>
      <c r="O1379" s="22"/>
      <c r="P1379" s="24"/>
      <c r="Q1379" s="26"/>
    </row>
    <row r="1380" spans="1:17" ht="15" x14ac:dyDescent="0.15">
      <c r="A1380" s="22"/>
      <c r="B1380" s="26" t="str">
        <f t="shared" si="84"/>
        <v/>
      </c>
      <c r="C1380" s="26" t="str">
        <f t="shared" si="85"/>
        <v/>
      </c>
      <c r="D1380" s="26" t="str">
        <f t="shared" si="86"/>
        <v/>
      </c>
      <c r="E1380" s="29"/>
      <c r="F1380" s="22"/>
      <c r="G1380" s="22"/>
      <c r="H1380" s="22"/>
      <c r="I1380" s="24"/>
      <c r="J1380" s="24"/>
      <c r="K1380" s="24"/>
      <c r="L1380" s="24"/>
      <c r="M1380" s="27" t="str">
        <f t="shared" si="87"/>
        <v/>
      </c>
      <c r="N1380" s="25"/>
      <c r="O1380" s="22"/>
      <c r="P1380" s="24"/>
      <c r="Q1380" s="26"/>
    </row>
    <row r="1381" spans="1:17" ht="15" x14ac:dyDescent="0.15">
      <c r="A1381" s="22"/>
      <c r="B1381" s="26" t="str">
        <f t="shared" si="84"/>
        <v/>
      </c>
      <c r="C1381" s="26" t="str">
        <f t="shared" si="85"/>
        <v/>
      </c>
      <c r="D1381" s="26" t="str">
        <f t="shared" si="86"/>
        <v/>
      </c>
      <c r="E1381" s="29"/>
      <c r="F1381" s="22"/>
      <c r="G1381" s="22"/>
      <c r="H1381" s="22"/>
      <c r="I1381" s="24"/>
      <c r="J1381" s="24"/>
      <c r="K1381" s="24"/>
      <c r="L1381" s="24"/>
      <c r="M1381" s="27" t="str">
        <f t="shared" si="87"/>
        <v/>
      </c>
      <c r="N1381" s="25"/>
      <c r="O1381" s="22"/>
      <c r="P1381" s="24"/>
      <c r="Q1381" s="26"/>
    </row>
    <row r="1382" spans="1:17" ht="15" x14ac:dyDescent="0.15">
      <c r="A1382" s="22"/>
      <c r="B1382" s="26" t="str">
        <f t="shared" si="84"/>
        <v/>
      </c>
      <c r="C1382" s="26" t="str">
        <f t="shared" si="85"/>
        <v/>
      </c>
      <c r="D1382" s="26" t="str">
        <f t="shared" si="86"/>
        <v/>
      </c>
      <c r="E1382" s="29"/>
      <c r="F1382" s="22"/>
      <c r="G1382" s="22"/>
      <c r="H1382" s="22"/>
      <c r="I1382" s="24"/>
      <c r="J1382" s="24"/>
      <c r="K1382" s="24"/>
      <c r="L1382" s="24"/>
      <c r="M1382" s="27" t="str">
        <f t="shared" si="87"/>
        <v/>
      </c>
      <c r="N1382" s="25"/>
      <c r="O1382" s="22"/>
      <c r="P1382" s="24"/>
      <c r="Q1382" s="26"/>
    </row>
    <row r="1383" spans="1:17" ht="15" x14ac:dyDescent="0.15">
      <c r="A1383" s="22"/>
      <c r="B1383" s="26" t="str">
        <f t="shared" si="84"/>
        <v/>
      </c>
      <c r="C1383" s="26" t="str">
        <f t="shared" si="85"/>
        <v/>
      </c>
      <c r="D1383" s="26" t="str">
        <f t="shared" si="86"/>
        <v/>
      </c>
      <c r="E1383" s="29"/>
      <c r="F1383" s="22"/>
      <c r="G1383" s="22"/>
      <c r="H1383" s="22"/>
      <c r="I1383" s="24"/>
      <c r="J1383" s="24"/>
      <c r="K1383" s="24"/>
      <c r="L1383" s="24"/>
      <c r="M1383" s="27" t="str">
        <f t="shared" si="87"/>
        <v/>
      </c>
      <c r="N1383" s="25"/>
      <c r="O1383" s="22"/>
      <c r="P1383" s="24"/>
      <c r="Q1383" s="26"/>
    </row>
    <row r="1384" spans="1:17" ht="15" x14ac:dyDescent="0.15">
      <c r="A1384" s="22"/>
      <c r="B1384" s="26" t="str">
        <f t="shared" si="84"/>
        <v/>
      </c>
      <c r="C1384" s="26" t="str">
        <f t="shared" si="85"/>
        <v/>
      </c>
      <c r="D1384" s="26" t="str">
        <f t="shared" si="86"/>
        <v/>
      </c>
      <c r="E1384" s="29"/>
      <c r="F1384" s="22"/>
      <c r="G1384" s="22"/>
      <c r="H1384" s="22"/>
      <c r="I1384" s="24"/>
      <c r="J1384" s="24"/>
      <c r="K1384" s="24"/>
      <c r="L1384" s="24"/>
      <c r="M1384" s="27" t="str">
        <f t="shared" si="87"/>
        <v/>
      </c>
      <c r="N1384" s="25"/>
      <c r="O1384" s="22"/>
      <c r="P1384" s="24"/>
      <c r="Q1384" s="26"/>
    </row>
    <row r="1385" spans="1:17" ht="15" x14ac:dyDescent="0.15">
      <c r="A1385" s="22"/>
      <c r="B1385" s="26" t="str">
        <f t="shared" si="84"/>
        <v/>
      </c>
      <c r="C1385" s="26" t="str">
        <f t="shared" si="85"/>
        <v/>
      </c>
      <c r="D1385" s="26" t="str">
        <f t="shared" si="86"/>
        <v/>
      </c>
      <c r="E1385" s="29"/>
      <c r="F1385" s="22"/>
      <c r="G1385" s="22"/>
      <c r="H1385" s="22"/>
      <c r="I1385" s="24"/>
      <c r="J1385" s="24"/>
      <c r="K1385" s="24"/>
      <c r="L1385" s="24"/>
      <c r="M1385" s="27" t="str">
        <f t="shared" si="87"/>
        <v/>
      </c>
      <c r="N1385" s="25"/>
      <c r="O1385" s="22"/>
      <c r="P1385" s="24"/>
      <c r="Q1385" s="26"/>
    </row>
    <row r="1386" spans="1:17" ht="15" x14ac:dyDescent="0.15">
      <c r="A1386" s="22"/>
      <c r="B1386" s="26" t="str">
        <f t="shared" si="84"/>
        <v/>
      </c>
      <c r="C1386" s="26" t="str">
        <f t="shared" si="85"/>
        <v/>
      </c>
      <c r="D1386" s="26" t="str">
        <f t="shared" si="86"/>
        <v/>
      </c>
      <c r="E1386" s="29"/>
      <c r="F1386" s="22"/>
      <c r="G1386" s="22"/>
      <c r="H1386" s="22"/>
      <c r="I1386" s="24"/>
      <c r="J1386" s="24"/>
      <c r="K1386" s="24"/>
      <c r="L1386" s="24"/>
      <c r="M1386" s="27" t="str">
        <f t="shared" si="87"/>
        <v/>
      </c>
      <c r="N1386" s="25"/>
      <c r="O1386" s="22"/>
      <c r="P1386" s="24"/>
      <c r="Q1386" s="26"/>
    </row>
    <row r="1387" spans="1:17" ht="15" x14ac:dyDescent="0.15">
      <c r="A1387" s="22"/>
      <c r="B1387" s="26" t="str">
        <f t="shared" si="84"/>
        <v/>
      </c>
      <c r="C1387" s="26" t="str">
        <f t="shared" si="85"/>
        <v/>
      </c>
      <c r="D1387" s="26" t="str">
        <f t="shared" si="86"/>
        <v/>
      </c>
      <c r="E1387" s="29"/>
      <c r="F1387" s="22"/>
      <c r="G1387" s="22"/>
      <c r="H1387" s="22"/>
      <c r="I1387" s="24"/>
      <c r="J1387" s="24"/>
      <c r="K1387" s="24"/>
      <c r="L1387" s="24"/>
      <c r="M1387" s="27" t="str">
        <f t="shared" si="87"/>
        <v/>
      </c>
      <c r="N1387" s="25"/>
      <c r="O1387" s="22"/>
      <c r="P1387" s="24"/>
      <c r="Q1387" s="26"/>
    </row>
    <row r="1388" spans="1:17" ht="15" x14ac:dyDescent="0.15">
      <c r="A1388" s="22"/>
      <c r="B1388" s="26" t="str">
        <f t="shared" si="84"/>
        <v/>
      </c>
      <c r="C1388" s="26" t="str">
        <f t="shared" si="85"/>
        <v/>
      </c>
      <c r="D1388" s="26" t="str">
        <f t="shared" si="86"/>
        <v/>
      </c>
      <c r="E1388" s="29"/>
      <c r="F1388" s="22"/>
      <c r="G1388" s="22"/>
      <c r="H1388" s="22"/>
      <c r="I1388" s="24"/>
      <c r="J1388" s="24"/>
      <c r="K1388" s="24"/>
      <c r="L1388" s="24"/>
      <c r="M1388" s="27" t="str">
        <f t="shared" si="87"/>
        <v/>
      </c>
      <c r="N1388" s="25"/>
      <c r="O1388" s="22"/>
      <c r="P1388" s="24"/>
      <c r="Q1388" s="26"/>
    </row>
    <row r="1389" spans="1:17" ht="15" x14ac:dyDescent="0.15">
      <c r="A1389" s="22"/>
      <c r="B1389" s="26" t="str">
        <f t="shared" si="84"/>
        <v/>
      </c>
      <c r="C1389" s="26" t="str">
        <f t="shared" si="85"/>
        <v/>
      </c>
      <c r="D1389" s="26" t="str">
        <f t="shared" si="86"/>
        <v/>
      </c>
      <c r="E1389" s="29"/>
      <c r="F1389" s="22"/>
      <c r="G1389" s="22"/>
      <c r="H1389" s="22"/>
      <c r="I1389" s="24"/>
      <c r="J1389" s="24"/>
      <c r="K1389" s="24"/>
      <c r="L1389" s="24"/>
      <c r="M1389" s="27" t="str">
        <f t="shared" si="87"/>
        <v/>
      </c>
      <c r="N1389" s="25"/>
      <c r="O1389" s="22"/>
      <c r="P1389" s="24"/>
      <c r="Q1389" s="26"/>
    </row>
    <row r="1390" spans="1:17" ht="15" x14ac:dyDescent="0.15">
      <c r="A1390" s="22"/>
      <c r="B1390" s="26" t="str">
        <f t="shared" si="84"/>
        <v/>
      </c>
      <c r="C1390" s="26" t="str">
        <f t="shared" si="85"/>
        <v/>
      </c>
      <c r="D1390" s="26" t="str">
        <f t="shared" si="86"/>
        <v/>
      </c>
      <c r="E1390" s="29"/>
      <c r="F1390" s="22"/>
      <c r="G1390" s="22"/>
      <c r="H1390" s="22"/>
      <c r="I1390" s="24"/>
      <c r="J1390" s="24"/>
      <c r="K1390" s="24"/>
      <c r="L1390" s="24"/>
      <c r="M1390" s="27" t="str">
        <f t="shared" si="87"/>
        <v/>
      </c>
      <c r="N1390" s="25"/>
      <c r="O1390" s="22"/>
      <c r="P1390" s="24"/>
      <c r="Q1390" s="26"/>
    </row>
    <row r="1391" spans="1:17" ht="15" x14ac:dyDescent="0.15">
      <c r="A1391" s="22"/>
      <c r="B1391" s="26" t="str">
        <f t="shared" si="84"/>
        <v/>
      </c>
      <c r="C1391" s="26" t="str">
        <f t="shared" si="85"/>
        <v/>
      </c>
      <c r="D1391" s="26" t="str">
        <f t="shared" si="86"/>
        <v/>
      </c>
      <c r="E1391" s="29"/>
      <c r="F1391" s="22"/>
      <c r="G1391" s="22"/>
      <c r="H1391" s="22"/>
      <c r="I1391" s="24"/>
      <c r="J1391" s="24"/>
      <c r="K1391" s="24"/>
      <c r="L1391" s="24"/>
      <c r="M1391" s="27" t="str">
        <f t="shared" si="87"/>
        <v/>
      </c>
      <c r="N1391" s="25"/>
      <c r="O1391" s="22"/>
      <c r="P1391" s="24"/>
      <c r="Q1391" s="26"/>
    </row>
    <row r="1392" spans="1:17" ht="15" x14ac:dyDescent="0.15">
      <c r="A1392" s="22"/>
      <c r="B1392" s="26" t="str">
        <f t="shared" si="84"/>
        <v/>
      </c>
      <c r="C1392" s="26" t="str">
        <f t="shared" si="85"/>
        <v/>
      </c>
      <c r="D1392" s="26" t="str">
        <f t="shared" si="86"/>
        <v/>
      </c>
      <c r="E1392" s="29"/>
      <c r="F1392" s="22"/>
      <c r="G1392" s="22"/>
      <c r="H1392" s="22"/>
      <c r="I1392" s="24"/>
      <c r="J1392" s="24"/>
      <c r="K1392" s="24"/>
      <c r="L1392" s="24"/>
      <c r="M1392" s="27" t="str">
        <f t="shared" si="87"/>
        <v/>
      </c>
      <c r="N1392" s="25"/>
      <c r="O1392" s="22"/>
      <c r="P1392" s="24"/>
      <c r="Q1392" s="26"/>
    </row>
    <row r="1393" spans="1:17" ht="15" x14ac:dyDescent="0.15">
      <c r="A1393" s="22"/>
      <c r="B1393" s="26" t="str">
        <f t="shared" si="84"/>
        <v/>
      </c>
      <c r="C1393" s="26" t="str">
        <f t="shared" si="85"/>
        <v/>
      </c>
      <c r="D1393" s="26" t="str">
        <f t="shared" si="86"/>
        <v/>
      </c>
      <c r="E1393" s="29"/>
      <c r="F1393" s="22"/>
      <c r="G1393" s="22"/>
      <c r="H1393" s="22"/>
      <c r="I1393" s="24"/>
      <c r="J1393" s="24"/>
      <c r="K1393" s="24"/>
      <c r="L1393" s="24"/>
      <c r="M1393" s="27" t="str">
        <f t="shared" si="87"/>
        <v/>
      </c>
      <c r="N1393" s="25"/>
      <c r="O1393" s="22"/>
      <c r="P1393" s="24"/>
      <c r="Q1393" s="26"/>
    </row>
    <row r="1394" spans="1:17" ht="15" x14ac:dyDescent="0.15">
      <c r="A1394" s="22"/>
      <c r="B1394" s="26" t="str">
        <f t="shared" si="84"/>
        <v/>
      </c>
      <c r="C1394" s="26" t="str">
        <f t="shared" si="85"/>
        <v/>
      </c>
      <c r="D1394" s="26" t="str">
        <f t="shared" si="86"/>
        <v/>
      </c>
      <c r="E1394" s="29"/>
      <c r="F1394" s="22"/>
      <c r="G1394" s="22"/>
      <c r="H1394" s="22"/>
      <c r="I1394" s="24"/>
      <c r="J1394" s="24"/>
      <c r="K1394" s="24"/>
      <c r="L1394" s="24"/>
      <c r="M1394" s="27" t="str">
        <f t="shared" si="87"/>
        <v/>
      </c>
      <c r="N1394" s="25"/>
      <c r="O1394" s="22"/>
      <c r="P1394" s="24"/>
      <c r="Q1394" s="26"/>
    </row>
    <row r="1395" spans="1:17" ht="15" x14ac:dyDescent="0.15">
      <c r="A1395" s="22"/>
      <c r="B1395" s="26" t="str">
        <f t="shared" si="84"/>
        <v/>
      </c>
      <c r="C1395" s="26" t="str">
        <f t="shared" si="85"/>
        <v/>
      </c>
      <c r="D1395" s="26" t="str">
        <f t="shared" si="86"/>
        <v/>
      </c>
      <c r="E1395" s="29"/>
      <c r="F1395" s="22"/>
      <c r="G1395" s="22"/>
      <c r="H1395" s="22"/>
      <c r="I1395" s="24"/>
      <c r="J1395" s="24"/>
      <c r="K1395" s="24"/>
      <c r="L1395" s="24"/>
      <c r="M1395" s="27" t="str">
        <f t="shared" si="87"/>
        <v/>
      </c>
      <c r="N1395" s="25"/>
      <c r="O1395" s="22"/>
      <c r="P1395" s="24"/>
      <c r="Q1395" s="26"/>
    </row>
    <row r="1396" spans="1:17" ht="15" x14ac:dyDescent="0.15">
      <c r="A1396" s="22"/>
      <c r="B1396" s="26" t="str">
        <f t="shared" si="84"/>
        <v/>
      </c>
      <c r="C1396" s="26" t="str">
        <f t="shared" si="85"/>
        <v/>
      </c>
      <c r="D1396" s="26" t="str">
        <f t="shared" si="86"/>
        <v/>
      </c>
      <c r="E1396" s="29"/>
      <c r="F1396" s="22"/>
      <c r="G1396" s="22"/>
      <c r="H1396" s="22"/>
      <c r="I1396" s="24"/>
      <c r="J1396" s="24"/>
      <c r="K1396" s="24"/>
      <c r="L1396" s="24"/>
      <c r="M1396" s="27" t="str">
        <f t="shared" si="87"/>
        <v/>
      </c>
      <c r="N1396" s="25"/>
      <c r="O1396" s="22"/>
      <c r="P1396" s="24"/>
      <c r="Q1396" s="26"/>
    </row>
    <row r="1397" spans="1:17" ht="15" x14ac:dyDescent="0.15">
      <c r="A1397" s="22"/>
      <c r="B1397" s="26" t="str">
        <f t="shared" si="84"/>
        <v/>
      </c>
      <c r="C1397" s="26" t="str">
        <f t="shared" si="85"/>
        <v/>
      </c>
      <c r="D1397" s="26" t="str">
        <f t="shared" si="86"/>
        <v/>
      </c>
      <c r="E1397" s="29"/>
      <c r="F1397" s="22"/>
      <c r="G1397" s="22"/>
      <c r="H1397" s="22"/>
      <c r="I1397" s="24"/>
      <c r="J1397" s="24"/>
      <c r="K1397" s="24"/>
      <c r="L1397" s="24"/>
      <c r="M1397" s="27" t="str">
        <f t="shared" si="87"/>
        <v/>
      </c>
      <c r="N1397" s="25"/>
      <c r="O1397" s="22"/>
      <c r="P1397" s="24"/>
      <c r="Q1397" s="26"/>
    </row>
    <row r="1398" spans="1:17" ht="15" x14ac:dyDescent="0.15">
      <c r="A1398" s="22"/>
      <c r="B1398" s="26" t="str">
        <f t="shared" si="84"/>
        <v/>
      </c>
      <c r="C1398" s="26" t="str">
        <f t="shared" si="85"/>
        <v/>
      </c>
      <c r="D1398" s="26" t="str">
        <f t="shared" si="86"/>
        <v/>
      </c>
      <c r="E1398" s="29"/>
      <c r="F1398" s="22"/>
      <c r="G1398" s="22"/>
      <c r="H1398" s="22"/>
      <c r="I1398" s="24"/>
      <c r="J1398" s="24"/>
      <c r="K1398" s="24"/>
      <c r="L1398" s="24"/>
      <c r="M1398" s="27" t="str">
        <f t="shared" si="87"/>
        <v/>
      </c>
      <c r="N1398" s="25"/>
      <c r="O1398" s="22"/>
      <c r="P1398" s="24"/>
      <c r="Q1398" s="26"/>
    </row>
    <row r="1399" spans="1:17" ht="15" x14ac:dyDescent="0.15">
      <c r="A1399" s="22"/>
      <c r="B1399" s="26" t="str">
        <f t="shared" si="84"/>
        <v/>
      </c>
      <c r="C1399" s="26" t="str">
        <f t="shared" si="85"/>
        <v/>
      </c>
      <c r="D1399" s="26" t="str">
        <f t="shared" si="86"/>
        <v/>
      </c>
      <c r="E1399" s="29"/>
      <c r="F1399" s="22"/>
      <c r="G1399" s="22"/>
      <c r="H1399" s="22"/>
      <c r="I1399" s="24"/>
      <c r="J1399" s="24"/>
      <c r="K1399" s="24"/>
      <c r="L1399" s="24"/>
      <c r="M1399" s="27" t="str">
        <f t="shared" si="87"/>
        <v/>
      </c>
      <c r="N1399" s="25"/>
      <c r="O1399" s="22"/>
      <c r="P1399" s="24"/>
      <c r="Q1399" s="26"/>
    </row>
    <row r="1400" spans="1:17" ht="15" x14ac:dyDescent="0.15">
      <c r="A1400" s="22"/>
      <c r="B1400" s="26" t="str">
        <f t="shared" si="84"/>
        <v/>
      </c>
      <c r="C1400" s="26" t="str">
        <f t="shared" si="85"/>
        <v/>
      </c>
      <c r="D1400" s="26" t="str">
        <f t="shared" si="86"/>
        <v/>
      </c>
      <c r="E1400" s="29"/>
      <c r="F1400" s="22"/>
      <c r="G1400" s="22"/>
      <c r="H1400" s="22"/>
      <c r="I1400" s="24"/>
      <c r="J1400" s="24"/>
      <c r="K1400" s="24"/>
      <c r="L1400" s="24"/>
      <c r="M1400" s="27" t="str">
        <f t="shared" si="87"/>
        <v/>
      </c>
      <c r="N1400" s="25"/>
      <c r="O1400" s="22"/>
      <c r="P1400" s="24"/>
      <c r="Q1400" s="26"/>
    </row>
    <row r="1401" spans="1:17" ht="15" x14ac:dyDescent="0.15">
      <c r="A1401" s="22"/>
      <c r="B1401" s="26" t="str">
        <f t="shared" si="84"/>
        <v/>
      </c>
      <c r="C1401" s="26" t="str">
        <f t="shared" si="85"/>
        <v/>
      </c>
      <c r="D1401" s="26" t="str">
        <f t="shared" si="86"/>
        <v/>
      </c>
      <c r="E1401" s="29"/>
      <c r="F1401" s="22"/>
      <c r="G1401" s="22"/>
      <c r="H1401" s="22"/>
      <c r="I1401" s="24"/>
      <c r="J1401" s="24"/>
      <c r="K1401" s="24"/>
      <c r="L1401" s="24"/>
      <c r="M1401" s="27" t="str">
        <f t="shared" si="87"/>
        <v/>
      </c>
      <c r="N1401" s="25"/>
      <c r="O1401" s="22"/>
      <c r="P1401" s="24"/>
      <c r="Q1401" s="26"/>
    </row>
    <row r="1402" spans="1:17" ht="15" x14ac:dyDescent="0.15">
      <c r="A1402" s="22"/>
      <c r="B1402" s="26" t="str">
        <f t="shared" si="84"/>
        <v/>
      </c>
      <c r="C1402" s="26" t="str">
        <f t="shared" si="85"/>
        <v/>
      </c>
      <c r="D1402" s="26" t="str">
        <f t="shared" si="86"/>
        <v/>
      </c>
      <c r="E1402" s="29"/>
      <c r="F1402" s="22"/>
      <c r="G1402" s="22"/>
      <c r="H1402" s="22"/>
      <c r="I1402" s="24"/>
      <c r="J1402" s="24"/>
      <c r="K1402" s="24"/>
      <c r="L1402" s="24"/>
      <c r="M1402" s="27" t="str">
        <f t="shared" si="87"/>
        <v/>
      </c>
      <c r="N1402" s="25"/>
      <c r="O1402" s="22"/>
      <c r="P1402" s="24"/>
      <c r="Q1402" s="26"/>
    </row>
    <row r="1403" spans="1:17" ht="15" x14ac:dyDescent="0.15">
      <c r="A1403" s="22"/>
      <c r="B1403" s="26" t="str">
        <f t="shared" si="84"/>
        <v/>
      </c>
      <c r="C1403" s="26" t="str">
        <f t="shared" si="85"/>
        <v/>
      </c>
      <c r="D1403" s="26" t="str">
        <f t="shared" si="86"/>
        <v/>
      </c>
      <c r="E1403" s="29"/>
      <c r="F1403" s="22"/>
      <c r="G1403" s="22"/>
      <c r="H1403" s="22"/>
      <c r="I1403" s="24"/>
      <c r="J1403" s="24"/>
      <c r="K1403" s="24"/>
      <c r="L1403" s="24"/>
      <c r="M1403" s="27" t="str">
        <f t="shared" si="87"/>
        <v/>
      </c>
      <c r="N1403" s="25"/>
      <c r="O1403" s="22"/>
      <c r="P1403" s="24"/>
      <c r="Q1403" s="26"/>
    </row>
    <row r="1404" spans="1:17" ht="15" x14ac:dyDescent="0.15">
      <c r="A1404" s="22"/>
      <c r="B1404" s="26" t="str">
        <f t="shared" si="84"/>
        <v/>
      </c>
      <c r="C1404" s="26" t="str">
        <f t="shared" si="85"/>
        <v/>
      </c>
      <c r="D1404" s="26" t="str">
        <f t="shared" si="86"/>
        <v/>
      </c>
      <c r="E1404" s="29"/>
      <c r="F1404" s="22"/>
      <c r="G1404" s="22"/>
      <c r="H1404" s="22"/>
      <c r="I1404" s="24"/>
      <c r="J1404" s="24"/>
      <c r="K1404" s="24"/>
      <c r="L1404" s="24"/>
      <c r="M1404" s="27" t="str">
        <f t="shared" si="87"/>
        <v/>
      </c>
      <c r="N1404" s="25"/>
      <c r="O1404" s="22"/>
      <c r="P1404" s="24"/>
      <c r="Q1404" s="26"/>
    </row>
    <row r="1405" spans="1:17" ht="15" x14ac:dyDescent="0.15">
      <c r="A1405" s="22"/>
      <c r="B1405" s="26" t="str">
        <f t="shared" si="84"/>
        <v/>
      </c>
      <c r="C1405" s="26" t="str">
        <f t="shared" si="85"/>
        <v/>
      </c>
      <c r="D1405" s="26" t="str">
        <f t="shared" si="86"/>
        <v/>
      </c>
      <c r="E1405" s="29"/>
      <c r="F1405" s="22"/>
      <c r="G1405" s="22"/>
      <c r="H1405" s="22"/>
      <c r="I1405" s="24"/>
      <c r="J1405" s="24"/>
      <c r="K1405" s="24"/>
      <c r="L1405" s="24"/>
      <c r="M1405" s="27" t="str">
        <f t="shared" si="87"/>
        <v/>
      </c>
      <c r="N1405" s="25"/>
      <c r="O1405" s="22"/>
      <c r="P1405" s="24"/>
      <c r="Q1405" s="26"/>
    </row>
    <row r="1406" spans="1:17" ht="15" x14ac:dyDescent="0.15">
      <c r="A1406" s="22"/>
      <c r="B1406" s="26" t="str">
        <f t="shared" si="84"/>
        <v/>
      </c>
      <c r="C1406" s="26" t="str">
        <f t="shared" si="85"/>
        <v/>
      </c>
      <c r="D1406" s="26" t="str">
        <f t="shared" si="86"/>
        <v/>
      </c>
      <c r="E1406" s="29"/>
      <c r="F1406" s="22"/>
      <c r="G1406" s="22"/>
      <c r="H1406" s="22"/>
      <c r="I1406" s="24"/>
      <c r="J1406" s="24"/>
      <c r="K1406" s="24"/>
      <c r="L1406" s="24"/>
      <c r="M1406" s="27" t="str">
        <f t="shared" si="87"/>
        <v/>
      </c>
      <c r="N1406" s="25"/>
      <c r="O1406" s="22"/>
      <c r="P1406" s="24"/>
      <c r="Q1406" s="26"/>
    </row>
    <row r="1407" spans="1:17" ht="15" x14ac:dyDescent="0.15">
      <c r="A1407" s="22"/>
      <c r="B1407" s="26" t="str">
        <f t="shared" si="84"/>
        <v/>
      </c>
      <c r="C1407" s="26" t="str">
        <f t="shared" si="85"/>
        <v/>
      </c>
      <c r="D1407" s="26" t="str">
        <f t="shared" si="86"/>
        <v/>
      </c>
      <c r="E1407" s="29"/>
      <c r="F1407" s="22"/>
      <c r="G1407" s="22"/>
      <c r="H1407" s="22"/>
      <c r="I1407" s="24"/>
      <c r="J1407" s="24"/>
      <c r="K1407" s="24"/>
      <c r="L1407" s="24"/>
      <c r="M1407" s="27" t="str">
        <f t="shared" si="87"/>
        <v/>
      </c>
      <c r="N1407" s="25"/>
      <c r="O1407" s="22"/>
      <c r="P1407" s="24"/>
      <c r="Q1407" s="26"/>
    </row>
    <row r="1408" spans="1:17" ht="15" x14ac:dyDescent="0.15">
      <c r="A1408" s="22"/>
      <c r="B1408" s="26" t="str">
        <f t="shared" si="84"/>
        <v/>
      </c>
      <c r="C1408" s="26" t="str">
        <f t="shared" si="85"/>
        <v/>
      </c>
      <c r="D1408" s="26" t="str">
        <f t="shared" si="86"/>
        <v/>
      </c>
      <c r="E1408" s="29"/>
      <c r="F1408" s="22"/>
      <c r="G1408" s="22"/>
      <c r="H1408" s="22"/>
      <c r="I1408" s="24"/>
      <c r="J1408" s="24"/>
      <c r="K1408" s="24"/>
      <c r="L1408" s="24"/>
      <c r="M1408" s="27" t="str">
        <f t="shared" si="87"/>
        <v/>
      </c>
      <c r="N1408" s="25"/>
      <c r="O1408" s="22"/>
      <c r="P1408" s="24"/>
      <c r="Q1408" s="26"/>
    </row>
    <row r="1409" spans="1:17" ht="15" x14ac:dyDescent="0.15">
      <c r="A1409" s="22"/>
      <c r="B1409" s="26" t="str">
        <f t="shared" si="84"/>
        <v/>
      </c>
      <c r="C1409" s="26" t="str">
        <f t="shared" si="85"/>
        <v/>
      </c>
      <c r="D1409" s="26" t="str">
        <f t="shared" si="86"/>
        <v/>
      </c>
      <c r="E1409" s="29"/>
      <c r="F1409" s="22"/>
      <c r="G1409" s="22"/>
      <c r="H1409" s="22"/>
      <c r="I1409" s="24"/>
      <c r="J1409" s="24"/>
      <c r="K1409" s="24"/>
      <c r="L1409" s="24"/>
      <c r="M1409" s="27" t="str">
        <f t="shared" si="87"/>
        <v/>
      </c>
      <c r="N1409" s="25"/>
      <c r="O1409" s="22"/>
      <c r="P1409" s="24"/>
      <c r="Q1409" s="26"/>
    </row>
    <row r="1410" spans="1:17" ht="15" x14ac:dyDescent="0.15">
      <c r="A1410" s="22"/>
      <c r="B1410" s="26" t="str">
        <f t="shared" si="84"/>
        <v/>
      </c>
      <c r="C1410" s="26" t="str">
        <f t="shared" si="85"/>
        <v/>
      </c>
      <c r="D1410" s="26" t="str">
        <f t="shared" si="86"/>
        <v/>
      </c>
      <c r="E1410" s="29"/>
      <c r="F1410" s="22"/>
      <c r="G1410" s="22"/>
      <c r="H1410" s="22"/>
      <c r="I1410" s="24"/>
      <c r="J1410" s="24"/>
      <c r="K1410" s="24"/>
      <c r="L1410" s="24"/>
      <c r="M1410" s="27" t="str">
        <f t="shared" si="87"/>
        <v/>
      </c>
      <c r="N1410" s="25"/>
      <c r="O1410" s="22"/>
      <c r="P1410" s="24"/>
      <c r="Q1410" s="26"/>
    </row>
    <row r="1411" spans="1:17" ht="15" x14ac:dyDescent="0.15">
      <c r="A1411" s="22"/>
      <c r="B1411" s="26" t="str">
        <f t="shared" si="84"/>
        <v/>
      </c>
      <c r="C1411" s="26" t="str">
        <f t="shared" si="85"/>
        <v/>
      </c>
      <c r="D1411" s="26" t="str">
        <f t="shared" si="86"/>
        <v/>
      </c>
      <c r="E1411" s="29"/>
      <c r="F1411" s="22"/>
      <c r="G1411" s="22"/>
      <c r="H1411" s="22"/>
      <c r="I1411" s="24"/>
      <c r="J1411" s="24"/>
      <c r="K1411" s="24"/>
      <c r="L1411" s="24"/>
      <c r="M1411" s="27" t="str">
        <f t="shared" si="87"/>
        <v/>
      </c>
      <c r="N1411" s="25"/>
      <c r="O1411" s="22"/>
      <c r="P1411" s="24"/>
      <c r="Q1411" s="26"/>
    </row>
    <row r="1412" spans="1:17" ht="15" x14ac:dyDescent="0.15">
      <c r="A1412" s="22"/>
      <c r="B1412" s="26" t="str">
        <f t="shared" si="84"/>
        <v/>
      </c>
      <c r="C1412" s="26" t="str">
        <f t="shared" si="85"/>
        <v/>
      </c>
      <c r="D1412" s="26" t="str">
        <f t="shared" si="86"/>
        <v/>
      </c>
      <c r="E1412" s="29"/>
      <c r="F1412" s="22"/>
      <c r="G1412" s="22"/>
      <c r="H1412" s="22"/>
      <c r="I1412" s="24"/>
      <c r="J1412" s="24"/>
      <c r="K1412" s="24"/>
      <c r="L1412" s="24"/>
      <c r="M1412" s="27" t="str">
        <f t="shared" si="87"/>
        <v/>
      </c>
      <c r="N1412" s="25"/>
      <c r="O1412" s="22"/>
      <c r="P1412" s="24"/>
      <c r="Q1412" s="26"/>
    </row>
    <row r="1413" spans="1:17" ht="15" x14ac:dyDescent="0.15">
      <c r="A1413" s="22"/>
      <c r="B1413" s="26" t="str">
        <f t="shared" si="84"/>
        <v/>
      </c>
      <c r="C1413" s="26" t="str">
        <f t="shared" si="85"/>
        <v/>
      </c>
      <c r="D1413" s="26" t="str">
        <f t="shared" si="86"/>
        <v/>
      </c>
      <c r="E1413" s="29"/>
      <c r="F1413" s="22"/>
      <c r="G1413" s="22"/>
      <c r="H1413" s="22"/>
      <c r="I1413" s="24"/>
      <c r="J1413" s="24"/>
      <c r="K1413" s="24"/>
      <c r="L1413" s="24"/>
      <c r="M1413" s="27" t="str">
        <f t="shared" si="87"/>
        <v/>
      </c>
      <c r="N1413" s="25"/>
      <c r="O1413" s="22"/>
      <c r="P1413" s="24"/>
      <c r="Q1413" s="26"/>
    </row>
    <row r="1414" spans="1:17" ht="15" x14ac:dyDescent="0.15">
      <c r="A1414" s="22"/>
      <c r="B1414" s="26" t="str">
        <f t="shared" si="84"/>
        <v/>
      </c>
      <c r="C1414" s="26" t="str">
        <f t="shared" si="85"/>
        <v/>
      </c>
      <c r="D1414" s="26" t="str">
        <f t="shared" si="86"/>
        <v/>
      </c>
      <c r="E1414" s="29"/>
      <c r="F1414" s="22"/>
      <c r="G1414" s="22"/>
      <c r="H1414" s="22"/>
      <c r="I1414" s="24"/>
      <c r="J1414" s="24"/>
      <c r="K1414" s="24"/>
      <c r="L1414" s="24"/>
      <c r="M1414" s="27" t="str">
        <f t="shared" si="87"/>
        <v/>
      </c>
      <c r="N1414" s="25"/>
      <c r="O1414" s="22"/>
      <c r="P1414" s="24"/>
      <c r="Q1414" s="26"/>
    </row>
    <row r="1415" spans="1:17" ht="15" x14ac:dyDescent="0.15">
      <c r="A1415" s="22"/>
      <c r="B1415" s="26" t="str">
        <f t="shared" ref="B1415:B1478" si="88">IFERROR(IF($A1415="","",LEFT($A1415,FIND(" | ",$A1415)-1)),"")</f>
        <v/>
      </c>
      <c r="C1415" s="26" t="str">
        <f t="shared" ref="C1415:C1478" si="89">IFERROR(IF($A1415="","",MID($A1415,FIND(" | ",$A1415)+3,FIND(" | ",$A1415,FIND(" | ",$A1415)+3)-FIND(" | ",$A1415)-3)),"")</f>
        <v/>
      </c>
      <c r="D1415" s="26" t="str">
        <f t="shared" ref="D1415:D1478" si="90">IFERROR(IF($A1415="","",RIGHT($A1415,LEN($A1415)-FIND(" | ",$A1415,FIND(" | ",$A1415)+3)-2)),"")</f>
        <v/>
      </c>
      <c r="E1415" s="29"/>
      <c r="F1415" s="22"/>
      <c r="G1415" s="22"/>
      <c r="H1415" s="22"/>
      <c r="I1415" s="24"/>
      <c r="J1415" s="24"/>
      <c r="K1415" s="24"/>
      <c r="L1415" s="24"/>
      <c r="M1415" s="27" t="str">
        <f t="shared" ref="M1415:M1478" si="91">IF($B1415="","",SUM($J1415,-$K1415,$L1415))</f>
        <v/>
      </c>
      <c r="N1415" s="25"/>
      <c r="O1415" s="22"/>
      <c r="P1415" s="24"/>
      <c r="Q1415" s="26"/>
    </row>
    <row r="1416" spans="1:17" ht="15" x14ac:dyDescent="0.15">
      <c r="A1416" s="22"/>
      <c r="B1416" s="26" t="str">
        <f t="shared" si="88"/>
        <v/>
      </c>
      <c r="C1416" s="26" t="str">
        <f t="shared" si="89"/>
        <v/>
      </c>
      <c r="D1416" s="26" t="str">
        <f t="shared" si="90"/>
        <v/>
      </c>
      <c r="E1416" s="29"/>
      <c r="F1416" s="22"/>
      <c r="G1416" s="22"/>
      <c r="H1416" s="22"/>
      <c r="I1416" s="24"/>
      <c r="J1416" s="24"/>
      <c r="K1416" s="24"/>
      <c r="L1416" s="24"/>
      <c r="M1416" s="27" t="str">
        <f t="shared" si="91"/>
        <v/>
      </c>
      <c r="N1416" s="25"/>
      <c r="O1416" s="22"/>
      <c r="P1416" s="24"/>
      <c r="Q1416" s="26"/>
    </row>
    <row r="1417" spans="1:17" ht="15" x14ac:dyDescent="0.15">
      <c r="A1417" s="22"/>
      <c r="B1417" s="26" t="str">
        <f t="shared" si="88"/>
        <v/>
      </c>
      <c r="C1417" s="26" t="str">
        <f t="shared" si="89"/>
        <v/>
      </c>
      <c r="D1417" s="26" t="str">
        <f t="shared" si="90"/>
        <v/>
      </c>
      <c r="E1417" s="29"/>
      <c r="F1417" s="22"/>
      <c r="G1417" s="22"/>
      <c r="H1417" s="22"/>
      <c r="I1417" s="24"/>
      <c r="J1417" s="24"/>
      <c r="K1417" s="24"/>
      <c r="L1417" s="24"/>
      <c r="M1417" s="27" t="str">
        <f t="shared" si="91"/>
        <v/>
      </c>
      <c r="N1417" s="25"/>
      <c r="O1417" s="22"/>
      <c r="P1417" s="24"/>
      <c r="Q1417" s="26"/>
    </row>
    <row r="1418" spans="1:17" ht="15" x14ac:dyDescent="0.15">
      <c r="A1418" s="22"/>
      <c r="B1418" s="26" t="str">
        <f t="shared" si="88"/>
        <v/>
      </c>
      <c r="C1418" s="26" t="str">
        <f t="shared" si="89"/>
        <v/>
      </c>
      <c r="D1418" s="26" t="str">
        <f t="shared" si="90"/>
        <v/>
      </c>
      <c r="E1418" s="29"/>
      <c r="F1418" s="22"/>
      <c r="G1418" s="22"/>
      <c r="H1418" s="22"/>
      <c r="I1418" s="24"/>
      <c r="J1418" s="24"/>
      <c r="K1418" s="24"/>
      <c r="L1418" s="24"/>
      <c r="M1418" s="27" t="str">
        <f t="shared" si="91"/>
        <v/>
      </c>
      <c r="N1418" s="25"/>
      <c r="O1418" s="22"/>
      <c r="P1418" s="24"/>
      <c r="Q1418" s="26"/>
    </row>
    <row r="1419" spans="1:17" ht="15" x14ac:dyDescent="0.15">
      <c r="A1419" s="22"/>
      <c r="B1419" s="26" t="str">
        <f t="shared" si="88"/>
        <v/>
      </c>
      <c r="C1419" s="26" t="str">
        <f t="shared" si="89"/>
        <v/>
      </c>
      <c r="D1419" s="26" t="str">
        <f t="shared" si="90"/>
        <v/>
      </c>
      <c r="E1419" s="29"/>
      <c r="F1419" s="22"/>
      <c r="G1419" s="22"/>
      <c r="H1419" s="22"/>
      <c r="I1419" s="24"/>
      <c r="J1419" s="24"/>
      <c r="K1419" s="24"/>
      <c r="L1419" s="24"/>
      <c r="M1419" s="27" t="str">
        <f t="shared" si="91"/>
        <v/>
      </c>
      <c r="N1419" s="25"/>
      <c r="O1419" s="22"/>
      <c r="P1419" s="24"/>
      <c r="Q1419" s="26"/>
    </row>
    <row r="1420" spans="1:17" ht="15" x14ac:dyDescent="0.15">
      <c r="A1420" s="22"/>
      <c r="B1420" s="26" t="str">
        <f t="shared" si="88"/>
        <v/>
      </c>
      <c r="C1420" s="26" t="str">
        <f t="shared" si="89"/>
        <v/>
      </c>
      <c r="D1420" s="26" t="str">
        <f t="shared" si="90"/>
        <v/>
      </c>
      <c r="E1420" s="29"/>
      <c r="F1420" s="22"/>
      <c r="G1420" s="22"/>
      <c r="H1420" s="22"/>
      <c r="I1420" s="24"/>
      <c r="J1420" s="24"/>
      <c r="K1420" s="24"/>
      <c r="L1420" s="24"/>
      <c r="M1420" s="27" t="str">
        <f t="shared" si="91"/>
        <v/>
      </c>
      <c r="N1420" s="25"/>
      <c r="O1420" s="22"/>
      <c r="P1420" s="24"/>
      <c r="Q1420" s="26"/>
    </row>
    <row r="1421" spans="1:17" ht="15" x14ac:dyDescent="0.15">
      <c r="A1421" s="22"/>
      <c r="B1421" s="26" t="str">
        <f t="shared" si="88"/>
        <v/>
      </c>
      <c r="C1421" s="26" t="str">
        <f t="shared" si="89"/>
        <v/>
      </c>
      <c r="D1421" s="26" t="str">
        <f t="shared" si="90"/>
        <v/>
      </c>
      <c r="E1421" s="29"/>
      <c r="F1421" s="22"/>
      <c r="G1421" s="22"/>
      <c r="H1421" s="22"/>
      <c r="I1421" s="24"/>
      <c r="J1421" s="24"/>
      <c r="K1421" s="24"/>
      <c r="L1421" s="24"/>
      <c r="M1421" s="27" t="str">
        <f t="shared" si="91"/>
        <v/>
      </c>
      <c r="N1421" s="25"/>
      <c r="O1421" s="22"/>
      <c r="P1421" s="24"/>
      <c r="Q1421" s="26"/>
    </row>
    <row r="1422" spans="1:17" ht="15" x14ac:dyDescent="0.15">
      <c r="A1422" s="22"/>
      <c r="B1422" s="26" t="str">
        <f t="shared" si="88"/>
        <v/>
      </c>
      <c r="C1422" s="26" t="str">
        <f t="shared" si="89"/>
        <v/>
      </c>
      <c r="D1422" s="26" t="str">
        <f t="shared" si="90"/>
        <v/>
      </c>
      <c r="E1422" s="29"/>
      <c r="F1422" s="22"/>
      <c r="G1422" s="22"/>
      <c r="H1422" s="22"/>
      <c r="I1422" s="24"/>
      <c r="J1422" s="24"/>
      <c r="K1422" s="24"/>
      <c r="L1422" s="24"/>
      <c r="M1422" s="27" t="str">
        <f t="shared" si="91"/>
        <v/>
      </c>
      <c r="N1422" s="25"/>
      <c r="O1422" s="22"/>
      <c r="P1422" s="24"/>
      <c r="Q1422" s="26"/>
    </row>
    <row r="1423" spans="1:17" ht="15" x14ac:dyDescent="0.15">
      <c r="A1423" s="22"/>
      <c r="B1423" s="26" t="str">
        <f t="shared" si="88"/>
        <v/>
      </c>
      <c r="C1423" s="26" t="str">
        <f t="shared" si="89"/>
        <v/>
      </c>
      <c r="D1423" s="26" t="str">
        <f t="shared" si="90"/>
        <v/>
      </c>
      <c r="E1423" s="29"/>
      <c r="F1423" s="22"/>
      <c r="G1423" s="22"/>
      <c r="H1423" s="22"/>
      <c r="I1423" s="24"/>
      <c r="J1423" s="24"/>
      <c r="K1423" s="24"/>
      <c r="L1423" s="24"/>
      <c r="M1423" s="27" t="str">
        <f t="shared" si="91"/>
        <v/>
      </c>
      <c r="N1423" s="25"/>
      <c r="O1423" s="22"/>
      <c r="P1423" s="24"/>
      <c r="Q1423" s="26"/>
    </row>
    <row r="1424" spans="1:17" ht="15" x14ac:dyDescent="0.15">
      <c r="A1424" s="22"/>
      <c r="B1424" s="26" t="str">
        <f t="shared" si="88"/>
        <v/>
      </c>
      <c r="C1424" s="26" t="str">
        <f t="shared" si="89"/>
        <v/>
      </c>
      <c r="D1424" s="26" t="str">
        <f t="shared" si="90"/>
        <v/>
      </c>
      <c r="E1424" s="29"/>
      <c r="F1424" s="22"/>
      <c r="G1424" s="22"/>
      <c r="H1424" s="22"/>
      <c r="I1424" s="24"/>
      <c r="J1424" s="24"/>
      <c r="K1424" s="24"/>
      <c r="L1424" s="24"/>
      <c r="M1424" s="27" t="str">
        <f t="shared" si="91"/>
        <v/>
      </c>
      <c r="N1424" s="25"/>
      <c r="O1424" s="22"/>
      <c r="P1424" s="24"/>
      <c r="Q1424" s="26"/>
    </row>
    <row r="1425" spans="1:17" ht="15" x14ac:dyDescent="0.15">
      <c r="A1425" s="22"/>
      <c r="B1425" s="26" t="str">
        <f t="shared" si="88"/>
        <v/>
      </c>
      <c r="C1425" s="26" t="str">
        <f t="shared" si="89"/>
        <v/>
      </c>
      <c r="D1425" s="26" t="str">
        <f t="shared" si="90"/>
        <v/>
      </c>
      <c r="E1425" s="29"/>
      <c r="F1425" s="22"/>
      <c r="G1425" s="22"/>
      <c r="H1425" s="22"/>
      <c r="I1425" s="24"/>
      <c r="J1425" s="24"/>
      <c r="K1425" s="24"/>
      <c r="L1425" s="24"/>
      <c r="M1425" s="27" t="str">
        <f t="shared" si="91"/>
        <v/>
      </c>
      <c r="N1425" s="25"/>
      <c r="O1425" s="22"/>
      <c r="P1425" s="24"/>
      <c r="Q1425" s="26"/>
    </row>
    <row r="1426" spans="1:17" ht="15" x14ac:dyDescent="0.15">
      <c r="A1426" s="22"/>
      <c r="B1426" s="26" t="str">
        <f t="shared" si="88"/>
        <v/>
      </c>
      <c r="C1426" s="26" t="str">
        <f t="shared" si="89"/>
        <v/>
      </c>
      <c r="D1426" s="26" t="str">
        <f t="shared" si="90"/>
        <v/>
      </c>
      <c r="E1426" s="29"/>
      <c r="F1426" s="22"/>
      <c r="G1426" s="22"/>
      <c r="H1426" s="22"/>
      <c r="I1426" s="24"/>
      <c r="J1426" s="24"/>
      <c r="K1426" s="24"/>
      <c r="L1426" s="24"/>
      <c r="M1426" s="27" t="str">
        <f t="shared" si="91"/>
        <v/>
      </c>
      <c r="N1426" s="25"/>
      <c r="O1426" s="22"/>
      <c r="P1426" s="24"/>
      <c r="Q1426" s="26"/>
    </row>
    <row r="1427" spans="1:17" ht="15" x14ac:dyDescent="0.15">
      <c r="A1427" s="22"/>
      <c r="B1427" s="26" t="str">
        <f t="shared" si="88"/>
        <v/>
      </c>
      <c r="C1427" s="26" t="str">
        <f t="shared" si="89"/>
        <v/>
      </c>
      <c r="D1427" s="26" t="str">
        <f t="shared" si="90"/>
        <v/>
      </c>
      <c r="E1427" s="29"/>
      <c r="F1427" s="22"/>
      <c r="G1427" s="22"/>
      <c r="H1427" s="22"/>
      <c r="I1427" s="24"/>
      <c r="J1427" s="24"/>
      <c r="K1427" s="24"/>
      <c r="L1427" s="24"/>
      <c r="M1427" s="27" t="str">
        <f t="shared" si="91"/>
        <v/>
      </c>
      <c r="N1427" s="25"/>
      <c r="O1427" s="22"/>
      <c r="P1427" s="24"/>
      <c r="Q1427" s="26"/>
    </row>
    <row r="1428" spans="1:17" ht="15" x14ac:dyDescent="0.15">
      <c r="A1428" s="22"/>
      <c r="B1428" s="26" t="str">
        <f t="shared" si="88"/>
        <v/>
      </c>
      <c r="C1428" s="26" t="str">
        <f t="shared" si="89"/>
        <v/>
      </c>
      <c r="D1428" s="26" t="str">
        <f t="shared" si="90"/>
        <v/>
      </c>
      <c r="E1428" s="29"/>
      <c r="F1428" s="22"/>
      <c r="G1428" s="22"/>
      <c r="H1428" s="22"/>
      <c r="I1428" s="24"/>
      <c r="J1428" s="24"/>
      <c r="K1428" s="24"/>
      <c r="L1428" s="24"/>
      <c r="M1428" s="27" t="str">
        <f t="shared" si="91"/>
        <v/>
      </c>
      <c r="N1428" s="25"/>
      <c r="O1428" s="22"/>
      <c r="P1428" s="24"/>
      <c r="Q1428" s="26"/>
    </row>
    <row r="1429" spans="1:17" ht="15" x14ac:dyDescent="0.15">
      <c r="A1429" s="22"/>
      <c r="B1429" s="26" t="str">
        <f t="shared" si="88"/>
        <v/>
      </c>
      <c r="C1429" s="26" t="str">
        <f t="shared" si="89"/>
        <v/>
      </c>
      <c r="D1429" s="26" t="str">
        <f t="shared" si="90"/>
        <v/>
      </c>
      <c r="E1429" s="29"/>
      <c r="F1429" s="22"/>
      <c r="G1429" s="22"/>
      <c r="H1429" s="22"/>
      <c r="I1429" s="24"/>
      <c r="J1429" s="24"/>
      <c r="K1429" s="24"/>
      <c r="L1429" s="24"/>
      <c r="M1429" s="27" t="str">
        <f t="shared" si="91"/>
        <v/>
      </c>
      <c r="N1429" s="25"/>
      <c r="O1429" s="22"/>
      <c r="P1429" s="24"/>
      <c r="Q1429" s="26"/>
    </row>
    <row r="1430" spans="1:17" ht="15" x14ac:dyDescent="0.15">
      <c r="A1430" s="22"/>
      <c r="B1430" s="26" t="str">
        <f t="shared" si="88"/>
        <v/>
      </c>
      <c r="C1430" s="26" t="str">
        <f t="shared" si="89"/>
        <v/>
      </c>
      <c r="D1430" s="26" t="str">
        <f t="shared" si="90"/>
        <v/>
      </c>
      <c r="E1430" s="29"/>
      <c r="F1430" s="22"/>
      <c r="G1430" s="22"/>
      <c r="H1430" s="22"/>
      <c r="I1430" s="24"/>
      <c r="J1430" s="24"/>
      <c r="K1430" s="24"/>
      <c r="L1430" s="24"/>
      <c r="M1430" s="27" t="str">
        <f t="shared" si="91"/>
        <v/>
      </c>
      <c r="N1430" s="25"/>
      <c r="O1430" s="22"/>
      <c r="P1430" s="24"/>
      <c r="Q1430" s="26"/>
    </row>
    <row r="1431" spans="1:17" ht="15" x14ac:dyDescent="0.15">
      <c r="A1431" s="22"/>
      <c r="B1431" s="26" t="str">
        <f t="shared" si="88"/>
        <v/>
      </c>
      <c r="C1431" s="26" t="str">
        <f t="shared" si="89"/>
        <v/>
      </c>
      <c r="D1431" s="26" t="str">
        <f t="shared" si="90"/>
        <v/>
      </c>
      <c r="E1431" s="29"/>
      <c r="F1431" s="22"/>
      <c r="G1431" s="22"/>
      <c r="H1431" s="22"/>
      <c r="I1431" s="24"/>
      <c r="J1431" s="24"/>
      <c r="K1431" s="24"/>
      <c r="L1431" s="24"/>
      <c r="M1431" s="27" t="str">
        <f t="shared" si="91"/>
        <v/>
      </c>
      <c r="N1431" s="25"/>
      <c r="O1431" s="22"/>
      <c r="P1431" s="24"/>
      <c r="Q1431" s="26"/>
    </row>
    <row r="1432" spans="1:17" ht="15" x14ac:dyDescent="0.15">
      <c r="A1432" s="22"/>
      <c r="B1432" s="26" t="str">
        <f t="shared" si="88"/>
        <v/>
      </c>
      <c r="C1432" s="26" t="str">
        <f t="shared" si="89"/>
        <v/>
      </c>
      <c r="D1432" s="26" t="str">
        <f t="shared" si="90"/>
        <v/>
      </c>
      <c r="E1432" s="29"/>
      <c r="F1432" s="22"/>
      <c r="G1432" s="22"/>
      <c r="H1432" s="22"/>
      <c r="I1432" s="24"/>
      <c r="J1432" s="24"/>
      <c r="K1432" s="24"/>
      <c r="L1432" s="24"/>
      <c r="M1432" s="27" t="str">
        <f t="shared" si="91"/>
        <v/>
      </c>
      <c r="N1432" s="25"/>
      <c r="O1432" s="22"/>
      <c r="P1432" s="24"/>
      <c r="Q1432" s="26"/>
    </row>
    <row r="1433" spans="1:17" ht="15" x14ac:dyDescent="0.15">
      <c r="A1433" s="22"/>
      <c r="B1433" s="26" t="str">
        <f t="shared" si="88"/>
        <v/>
      </c>
      <c r="C1433" s="26" t="str">
        <f t="shared" si="89"/>
        <v/>
      </c>
      <c r="D1433" s="26" t="str">
        <f t="shared" si="90"/>
        <v/>
      </c>
      <c r="E1433" s="29"/>
      <c r="F1433" s="22"/>
      <c r="G1433" s="22"/>
      <c r="H1433" s="22"/>
      <c r="I1433" s="24"/>
      <c r="J1433" s="24"/>
      <c r="K1433" s="24"/>
      <c r="L1433" s="24"/>
      <c r="M1433" s="27" t="str">
        <f t="shared" si="91"/>
        <v/>
      </c>
      <c r="N1433" s="25"/>
      <c r="O1433" s="22"/>
      <c r="P1433" s="24"/>
      <c r="Q1433" s="26"/>
    </row>
    <row r="1434" spans="1:17" ht="15" x14ac:dyDescent="0.15">
      <c r="A1434" s="22"/>
      <c r="B1434" s="26" t="str">
        <f t="shared" si="88"/>
        <v/>
      </c>
      <c r="C1434" s="26" t="str">
        <f t="shared" si="89"/>
        <v/>
      </c>
      <c r="D1434" s="26" t="str">
        <f t="shared" si="90"/>
        <v/>
      </c>
      <c r="E1434" s="29"/>
      <c r="F1434" s="22"/>
      <c r="G1434" s="22"/>
      <c r="H1434" s="22"/>
      <c r="I1434" s="24"/>
      <c r="J1434" s="24"/>
      <c r="K1434" s="24"/>
      <c r="L1434" s="24"/>
      <c r="M1434" s="27" t="str">
        <f t="shared" si="91"/>
        <v/>
      </c>
      <c r="N1434" s="25"/>
      <c r="O1434" s="22"/>
      <c r="P1434" s="24"/>
      <c r="Q1434" s="26"/>
    </row>
    <row r="1435" spans="1:17" ht="15" x14ac:dyDescent="0.15">
      <c r="A1435" s="22"/>
      <c r="B1435" s="26" t="str">
        <f t="shared" si="88"/>
        <v/>
      </c>
      <c r="C1435" s="26" t="str">
        <f t="shared" si="89"/>
        <v/>
      </c>
      <c r="D1435" s="26" t="str">
        <f t="shared" si="90"/>
        <v/>
      </c>
      <c r="E1435" s="29"/>
      <c r="F1435" s="22"/>
      <c r="G1435" s="22"/>
      <c r="H1435" s="22"/>
      <c r="I1435" s="24"/>
      <c r="J1435" s="24"/>
      <c r="K1435" s="24"/>
      <c r="L1435" s="24"/>
      <c r="M1435" s="27" t="str">
        <f t="shared" si="91"/>
        <v/>
      </c>
      <c r="N1435" s="25"/>
      <c r="O1435" s="22"/>
      <c r="P1435" s="24"/>
      <c r="Q1435" s="26"/>
    </row>
    <row r="1436" spans="1:17" ht="15" x14ac:dyDescent="0.15">
      <c r="A1436" s="22"/>
      <c r="B1436" s="26" t="str">
        <f t="shared" si="88"/>
        <v/>
      </c>
      <c r="C1436" s="26" t="str">
        <f t="shared" si="89"/>
        <v/>
      </c>
      <c r="D1436" s="26" t="str">
        <f t="shared" si="90"/>
        <v/>
      </c>
      <c r="E1436" s="29"/>
      <c r="F1436" s="22"/>
      <c r="G1436" s="22"/>
      <c r="H1436" s="22"/>
      <c r="I1436" s="24"/>
      <c r="J1436" s="24"/>
      <c r="K1436" s="24"/>
      <c r="L1436" s="24"/>
      <c r="M1436" s="27" t="str">
        <f t="shared" si="91"/>
        <v/>
      </c>
      <c r="N1436" s="25"/>
      <c r="O1436" s="22"/>
      <c r="P1436" s="24"/>
      <c r="Q1436" s="26"/>
    </row>
    <row r="1437" spans="1:17" ht="15" x14ac:dyDescent="0.15">
      <c r="A1437" s="22"/>
      <c r="B1437" s="26" t="str">
        <f t="shared" si="88"/>
        <v/>
      </c>
      <c r="C1437" s="26" t="str">
        <f t="shared" si="89"/>
        <v/>
      </c>
      <c r="D1437" s="26" t="str">
        <f t="shared" si="90"/>
        <v/>
      </c>
      <c r="E1437" s="29"/>
      <c r="F1437" s="22"/>
      <c r="G1437" s="22"/>
      <c r="H1437" s="22"/>
      <c r="I1437" s="24"/>
      <c r="J1437" s="24"/>
      <c r="K1437" s="24"/>
      <c r="L1437" s="24"/>
      <c r="M1437" s="27" t="str">
        <f t="shared" si="91"/>
        <v/>
      </c>
      <c r="N1437" s="25"/>
      <c r="O1437" s="22"/>
      <c r="P1437" s="24"/>
      <c r="Q1437" s="26"/>
    </row>
    <row r="1438" spans="1:17" ht="15" x14ac:dyDescent="0.15">
      <c r="A1438" s="22"/>
      <c r="B1438" s="26" t="str">
        <f t="shared" si="88"/>
        <v/>
      </c>
      <c r="C1438" s="26" t="str">
        <f t="shared" si="89"/>
        <v/>
      </c>
      <c r="D1438" s="26" t="str">
        <f t="shared" si="90"/>
        <v/>
      </c>
      <c r="E1438" s="29"/>
      <c r="F1438" s="22"/>
      <c r="G1438" s="22"/>
      <c r="H1438" s="22"/>
      <c r="I1438" s="24"/>
      <c r="J1438" s="24"/>
      <c r="K1438" s="24"/>
      <c r="L1438" s="24"/>
      <c r="M1438" s="27" t="str">
        <f t="shared" si="91"/>
        <v/>
      </c>
      <c r="N1438" s="25"/>
      <c r="O1438" s="22"/>
      <c r="P1438" s="24"/>
      <c r="Q1438" s="26"/>
    </row>
    <row r="1439" spans="1:17" ht="15" x14ac:dyDescent="0.15">
      <c r="A1439" s="22"/>
      <c r="B1439" s="26" t="str">
        <f t="shared" si="88"/>
        <v/>
      </c>
      <c r="C1439" s="26" t="str">
        <f t="shared" si="89"/>
        <v/>
      </c>
      <c r="D1439" s="26" t="str">
        <f t="shared" si="90"/>
        <v/>
      </c>
      <c r="E1439" s="29"/>
      <c r="F1439" s="22"/>
      <c r="G1439" s="22"/>
      <c r="H1439" s="22"/>
      <c r="I1439" s="24"/>
      <c r="J1439" s="24"/>
      <c r="K1439" s="24"/>
      <c r="L1439" s="24"/>
      <c r="M1439" s="27" t="str">
        <f t="shared" si="91"/>
        <v/>
      </c>
      <c r="N1439" s="25"/>
      <c r="O1439" s="22"/>
      <c r="P1439" s="24"/>
      <c r="Q1439" s="26"/>
    </row>
    <row r="1440" spans="1:17" ht="15" x14ac:dyDescent="0.15">
      <c r="A1440" s="22"/>
      <c r="B1440" s="26" t="str">
        <f t="shared" si="88"/>
        <v/>
      </c>
      <c r="C1440" s="26" t="str">
        <f t="shared" si="89"/>
        <v/>
      </c>
      <c r="D1440" s="26" t="str">
        <f t="shared" si="90"/>
        <v/>
      </c>
      <c r="E1440" s="29"/>
      <c r="F1440" s="22"/>
      <c r="G1440" s="22"/>
      <c r="H1440" s="22"/>
      <c r="I1440" s="24"/>
      <c r="J1440" s="24"/>
      <c r="K1440" s="24"/>
      <c r="L1440" s="24"/>
      <c r="M1440" s="27" t="str">
        <f t="shared" si="91"/>
        <v/>
      </c>
      <c r="N1440" s="25"/>
      <c r="O1440" s="22"/>
      <c r="P1440" s="24"/>
      <c r="Q1440" s="26"/>
    </row>
    <row r="1441" spans="1:17" ht="15" x14ac:dyDescent="0.15">
      <c r="A1441" s="22"/>
      <c r="B1441" s="26" t="str">
        <f t="shared" si="88"/>
        <v/>
      </c>
      <c r="C1441" s="26" t="str">
        <f t="shared" si="89"/>
        <v/>
      </c>
      <c r="D1441" s="26" t="str">
        <f t="shared" si="90"/>
        <v/>
      </c>
      <c r="E1441" s="29"/>
      <c r="F1441" s="22"/>
      <c r="G1441" s="22"/>
      <c r="H1441" s="22"/>
      <c r="I1441" s="24"/>
      <c r="J1441" s="24"/>
      <c r="K1441" s="24"/>
      <c r="L1441" s="24"/>
      <c r="M1441" s="27" t="str">
        <f t="shared" si="91"/>
        <v/>
      </c>
      <c r="N1441" s="25"/>
      <c r="O1441" s="22"/>
      <c r="P1441" s="24"/>
      <c r="Q1441" s="26"/>
    </row>
    <row r="1442" spans="1:17" ht="15" x14ac:dyDescent="0.15">
      <c r="A1442" s="22"/>
      <c r="B1442" s="26" t="str">
        <f t="shared" si="88"/>
        <v/>
      </c>
      <c r="C1442" s="26" t="str">
        <f t="shared" si="89"/>
        <v/>
      </c>
      <c r="D1442" s="26" t="str">
        <f t="shared" si="90"/>
        <v/>
      </c>
      <c r="E1442" s="29"/>
      <c r="F1442" s="22"/>
      <c r="G1442" s="22"/>
      <c r="H1442" s="22"/>
      <c r="I1442" s="24"/>
      <c r="J1442" s="24"/>
      <c r="K1442" s="24"/>
      <c r="L1442" s="24"/>
      <c r="M1442" s="27" t="str">
        <f t="shared" si="91"/>
        <v/>
      </c>
      <c r="N1442" s="25"/>
      <c r="O1442" s="22"/>
      <c r="P1442" s="24"/>
      <c r="Q1442" s="26"/>
    </row>
    <row r="1443" spans="1:17" ht="15" x14ac:dyDescent="0.15">
      <c r="A1443" s="22"/>
      <c r="B1443" s="26" t="str">
        <f t="shared" si="88"/>
        <v/>
      </c>
      <c r="C1443" s="26" t="str">
        <f t="shared" si="89"/>
        <v/>
      </c>
      <c r="D1443" s="26" t="str">
        <f t="shared" si="90"/>
        <v/>
      </c>
      <c r="E1443" s="29"/>
      <c r="F1443" s="22"/>
      <c r="G1443" s="22"/>
      <c r="H1443" s="22"/>
      <c r="I1443" s="24"/>
      <c r="J1443" s="24"/>
      <c r="K1443" s="24"/>
      <c r="L1443" s="24"/>
      <c r="M1443" s="27" t="str">
        <f t="shared" si="91"/>
        <v/>
      </c>
      <c r="N1443" s="25"/>
      <c r="O1443" s="22"/>
      <c r="P1443" s="24"/>
      <c r="Q1443" s="26"/>
    </row>
    <row r="1444" spans="1:17" ht="15" x14ac:dyDescent="0.15">
      <c r="A1444" s="22"/>
      <c r="B1444" s="26" t="str">
        <f t="shared" si="88"/>
        <v/>
      </c>
      <c r="C1444" s="26" t="str">
        <f t="shared" si="89"/>
        <v/>
      </c>
      <c r="D1444" s="26" t="str">
        <f t="shared" si="90"/>
        <v/>
      </c>
      <c r="E1444" s="29"/>
      <c r="F1444" s="22"/>
      <c r="G1444" s="22"/>
      <c r="H1444" s="22"/>
      <c r="I1444" s="24"/>
      <c r="J1444" s="24"/>
      <c r="K1444" s="24"/>
      <c r="L1444" s="24"/>
      <c r="M1444" s="27" t="str">
        <f t="shared" si="91"/>
        <v/>
      </c>
      <c r="N1444" s="25"/>
      <c r="O1444" s="22"/>
      <c r="P1444" s="24"/>
      <c r="Q1444" s="26"/>
    </row>
    <row r="1445" spans="1:17" ht="15" x14ac:dyDescent="0.15">
      <c r="A1445" s="22"/>
      <c r="B1445" s="26" t="str">
        <f t="shared" si="88"/>
        <v/>
      </c>
      <c r="C1445" s="26" t="str">
        <f t="shared" si="89"/>
        <v/>
      </c>
      <c r="D1445" s="26" t="str">
        <f t="shared" si="90"/>
        <v/>
      </c>
      <c r="E1445" s="29"/>
      <c r="F1445" s="22"/>
      <c r="G1445" s="22"/>
      <c r="H1445" s="22"/>
      <c r="I1445" s="24"/>
      <c r="J1445" s="24"/>
      <c r="K1445" s="24"/>
      <c r="L1445" s="24"/>
      <c r="M1445" s="27" t="str">
        <f t="shared" si="91"/>
        <v/>
      </c>
      <c r="N1445" s="25"/>
      <c r="O1445" s="22"/>
      <c r="P1445" s="24"/>
      <c r="Q1445" s="26"/>
    </row>
    <row r="1446" spans="1:17" ht="15" x14ac:dyDescent="0.15">
      <c r="A1446" s="22"/>
      <c r="B1446" s="26" t="str">
        <f t="shared" si="88"/>
        <v/>
      </c>
      <c r="C1446" s="26" t="str">
        <f t="shared" si="89"/>
        <v/>
      </c>
      <c r="D1446" s="26" t="str">
        <f t="shared" si="90"/>
        <v/>
      </c>
      <c r="E1446" s="29"/>
      <c r="F1446" s="22"/>
      <c r="G1446" s="22"/>
      <c r="H1446" s="22"/>
      <c r="I1446" s="24"/>
      <c r="J1446" s="24"/>
      <c r="K1446" s="24"/>
      <c r="L1446" s="24"/>
      <c r="M1446" s="27" t="str">
        <f t="shared" si="91"/>
        <v/>
      </c>
      <c r="N1446" s="25"/>
      <c r="O1446" s="22"/>
      <c r="P1446" s="24"/>
      <c r="Q1446" s="26"/>
    </row>
    <row r="1447" spans="1:17" ht="15" x14ac:dyDescent="0.15">
      <c r="A1447" s="22"/>
      <c r="B1447" s="26" t="str">
        <f t="shared" si="88"/>
        <v/>
      </c>
      <c r="C1447" s="26" t="str">
        <f t="shared" si="89"/>
        <v/>
      </c>
      <c r="D1447" s="26" t="str">
        <f t="shared" si="90"/>
        <v/>
      </c>
      <c r="E1447" s="29"/>
      <c r="F1447" s="22"/>
      <c r="G1447" s="22"/>
      <c r="H1447" s="22"/>
      <c r="I1447" s="24"/>
      <c r="J1447" s="24"/>
      <c r="K1447" s="24"/>
      <c r="L1447" s="24"/>
      <c r="M1447" s="27" t="str">
        <f t="shared" si="91"/>
        <v/>
      </c>
      <c r="N1447" s="25"/>
      <c r="O1447" s="22"/>
      <c r="P1447" s="24"/>
      <c r="Q1447" s="26"/>
    </row>
    <row r="1448" spans="1:17" ht="15" x14ac:dyDescent="0.15">
      <c r="A1448" s="22"/>
      <c r="B1448" s="26" t="str">
        <f t="shared" si="88"/>
        <v/>
      </c>
      <c r="C1448" s="26" t="str">
        <f t="shared" si="89"/>
        <v/>
      </c>
      <c r="D1448" s="26" t="str">
        <f t="shared" si="90"/>
        <v/>
      </c>
      <c r="E1448" s="29"/>
      <c r="F1448" s="22"/>
      <c r="G1448" s="22"/>
      <c r="H1448" s="22"/>
      <c r="I1448" s="24"/>
      <c r="J1448" s="24"/>
      <c r="K1448" s="24"/>
      <c r="L1448" s="24"/>
      <c r="M1448" s="27" t="str">
        <f t="shared" si="91"/>
        <v/>
      </c>
      <c r="N1448" s="25"/>
      <c r="O1448" s="22"/>
      <c r="P1448" s="24"/>
      <c r="Q1448" s="26"/>
    </row>
    <row r="1449" spans="1:17" ht="15" x14ac:dyDescent="0.15">
      <c r="A1449" s="22"/>
      <c r="B1449" s="26" t="str">
        <f t="shared" si="88"/>
        <v/>
      </c>
      <c r="C1449" s="26" t="str">
        <f t="shared" si="89"/>
        <v/>
      </c>
      <c r="D1449" s="26" t="str">
        <f t="shared" si="90"/>
        <v/>
      </c>
      <c r="E1449" s="29"/>
      <c r="F1449" s="22"/>
      <c r="G1449" s="22"/>
      <c r="H1449" s="22"/>
      <c r="I1449" s="24"/>
      <c r="J1449" s="24"/>
      <c r="K1449" s="24"/>
      <c r="L1449" s="24"/>
      <c r="M1449" s="27" t="str">
        <f t="shared" si="91"/>
        <v/>
      </c>
      <c r="N1449" s="25"/>
      <c r="O1449" s="22"/>
      <c r="P1449" s="24"/>
      <c r="Q1449" s="26"/>
    </row>
    <row r="1450" spans="1:17" ht="15" x14ac:dyDescent="0.15">
      <c r="A1450" s="22"/>
      <c r="B1450" s="26" t="str">
        <f t="shared" si="88"/>
        <v/>
      </c>
      <c r="C1450" s="26" t="str">
        <f t="shared" si="89"/>
        <v/>
      </c>
      <c r="D1450" s="26" t="str">
        <f t="shared" si="90"/>
        <v/>
      </c>
      <c r="E1450" s="29"/>
      <c r="F1450" s="22"/>
      <c r="G1450" s="22"/>
      <c r="H1450" s="22"/>
      <c r="I1450" s="24"/>
      <c r="J1450" s="24"/>
      <c r="K1450" s="24"/>
      <c r="L1450" s="24"/>
      <c r="M1450" s="27" t="str">
        <f t="shared" si="91"/>
        <v/>
      </c>
      <c r="N1450" s="25"/>
      <c r="O1450" s="22"/>
      <c r="P1450" s="24"/>
      <c r="Q1450" s="26"/>
    </row>
    <row r="1451" spans="1:17" ht="15" x14ac:dyDescent="0.15">
      <c r="A1451" s="22"/>
      <c r="B1451" s="26" t="str">
        <f t="shared" si="88"/>
        <v/>
      </c>
      <c r="C1451" s="26" t="str">
        <f t="shared" si="89"/>
        <v/>
      </c>
      <c r="D1451" s="26" t="str">
        <f t="shared" si="90"/>
        <v/>
      </c>
      <c r="E1451" s="29"/>
      <c r="F1451" s="22"/>
      <c r="G1451" s="22"/>
      <c r="H1451" s="22"/>
      <c r="I1451" s="24"/>
      <c r="J1451" s="24"/>
      <c r="K1451" s="24"/>
      <c r="L1451" s="24"/>
      <c r="M1451" s="27" t="str">
        <f t="shared" si="91"/>
        <v/>
      </c>
      <c r="N1451" s="25"/>
      <c r="O1451" s="22"/>
      <c r="P1451" s="24"/>
      <c r="Q1451" s="26"/>
    </row>
    <row r="1452" spans="1:17" ht="15" x14ac:dyDescent="0.15">
      <c r="A1452" s="22"/>
      <c r="B1452" s="26" t="str">
        <f t="shared" si="88"/>
        <v/>
      </c>
      <c r="C1452" s="26" t="str">
        <f t="shared" si="89"/>
        <v/>
      </c>
      <c r="D1452" s="26" t="str">
        <f t="shared" si="90"/>
        <v/>
      </c>
      <c r="E1452" s="29"/>
      <c r="F1452" s="22"/>
      <c r="G1452" s="22"/>
      <c r="H1452" s="22"/>
      <c r="I1452" s="24"/>
      <c r="J1452" s="24"/>
      <c r="K1452" s="24"/>
      <c r="L1452" s="24"/>
      <c r="M1452" s="27" t="str">
        <f t="shared" si="91"/>
        <v/>
      </c>
      <c r="N1452" s="25"/>
      <c r="O1452" s="22"/>
      <c r="P1452" s="24"/>
      <c r="Q1452" s="26"/>
    </row>
    <row r="1453" spans="1:17" ht="15" x14ac:dyDescent="0.15">
      <c r="A1453" s="22"/>
      <c r="B1453" s="26" t="str">
        <f t="shared" si="88"/>
        <v/>
      </c>
      <c r="C1453" s="26" t="str">
        <f t="shared" si="89"/>
        <v/>
      </c>
      <c r="D1453" s="26" t="str">
        <f t="shared" si="90"/>
        <v/>
      </c>
      <c r="E1453" s="29"/>
      <c r="F1453" s="22"/>
      <c r="G1453" s="22"/>
      <c r="H1453" s="22"/>
      <c r="I1453" s="24"/>
      <c r="J1453" s="24"/>
      <c r="K1453" s="24"/>
      <c r="L1453" s="24"/>
      <c r="M1453" s="27" t="str">
        <f t="shared" si="91"/>
        <v/>
      </c>
      <c r="N1453" s="25"/>
      <c r="O1453" s="22"/>
      <c r="P1453" s="24"/>
      <c r="Q1453" s="26"/>
    </row>
    <row r="1454" spans="1:17" ht="15" x14ac:dyDescent="0.15">
      <c r="A1454" s="22"/>
      <c r="B1454" s="26" t="str">
        <f t="shared" si="88"/>
        <v/>
      </c>
      <c r="C1454" s="26" t="str">
        <f t="shared" si="89"/>
        <v/>
      </c>
      <c r="D1454" s="26" t="str">
        <f t="shared" si="90"/>
        <v/>
      </c>
      <c r="E1454" s="29"/>
      <c r="F1454" s="22"/>
      <c r="G1454" s="22"/>
      <c r="H1454" s="22"/>
      <c r="I1454" s="24"/>
      <c r="J1454" s="24"/>
      <c r="K1454" s="24"/>
      <c r="L1454" s="24"/>
      <c r="M1454" s="27" t="str">
        <f t="shared" si="91"/>
        <v/>
      </c>
      <c r="N1454" s="25"/>
      <c r="O1454" s="22"/>
      <c r="P1454" s="24"/>
      <c r="Q1454" s="26"/>
    </row>
    <row r="1455" spans="1:17" ht="15" x14ac:dyDescent="0.15">
      <c r="A1455" s="22"/>
      <c r="B1455" s="26" t="str">
        <f t="shared" si="88"/>
        <v/>
      </c>
      <c r="C1455" s="26" t="str">
        <f t="shared" si="89"/>
        <v/>
      </c>
      <c r="D1455" s="26" t="str">
        <f t="shared" si="90"/>
        <v/>
      </c>
      <c r="E1455" s="29"/>
      <c r="F1455" s="22"/>
      <c r="G1455" s="22"/>
      <c r="H1455" s="22"/>
      <c r="I1455" s="24"/>
      <c r="J1455" s="24"/>
      <c r="K1455" s="24"/>
      <c r="L1455" s="24"/>
      <c r="M1455" s="27" t="str">
        <f t="shared" si="91"/>
        <v/>
      </c>
      <c r="N1455" s="25"/>
      <c r="O1455" s="22"/>
      <c r="P1455" s="24"/>
      <c r="Q1455" s="26"/>
    </row>
    <row r="1456" spans="1:17" ht="15" x14ac:dyDescent="0.15">
      <c r="A1456" s="22"/>
      <c r="B1456" s="26" t="str">
        <f t="shared" si="88"/>
        <v/>
      </c>
      <c r="C1456" s="26" t="str">
        <f t="shared" si="89"/>
        <v/>
      </c>
      <c r="D1456" s="26" t="str">
        <f t="shared" si="90"/>
        <v/>
      </c>
      <c r="E1456" s="29"/>
      <c r="F1456" s="22"/>
      <c r="G1456" s="22"/>
      <c r="H1456" s="22"/>
      <c r="I1456" s="24"/>
      <c r="J1456" s="24"/>
      <c r="K1456" s="24"/>
      <c r="L1456" s="24"/>
      <c r="M1456" s="27" t="str">
        <f t="shared" si="91"/>
        <v/>
      </c>
      <c r="N1456" s="25"/>
      <c r="O1456" s="22"/>
      <c r="P1456" s="24"/>
      <c r="Q1456" s="26"/>
    </row>
    <row r="1457" spans="1:17" ht="15" x14ac:dyDescent="0.15">
      <c r="A1457" s="22"/>
      <c r="B1457" s="26" t="str">
        <f t="shared" si="88"/>
        <v/>
      </c>
      <c r="C1457" s="26" t="str">
        <f t="shared" si="89"/>
        <v/>
      </c>
      <c r="D1457" s="26" t="str">
        <f t="shared" si="90"/>
        <v/>
      </c>
      <c r="E1457" s="29"/>
      <c r="F1457" s="22"/>
      <c r="G1457" s="22"/>
      <c r="H1457" s="22"/>
      <c r="I1457" s="24"/>
      <c r="J1457" s="24"/>
      <c r="K1457" s="24"/>
      <c r="L1457" s="24"/>
      <c r="M1457" s="27" t="str">
        <f t="shared" si="91"/>
        <v/>
      </c>
      <c r="N1457" s="25"/>
      <c r="O1457" s="22"/>
      <c r="P1457" s="24"/>
      <c r="Q1457" s="26"/>
    </row>
    <row r="1458" spans="1:17" ht="15" x14ac:dyDescent="0.15">
      <c r="A1458" s="22"/>
      <c r="B1458" s="26" t="str">
        <f t="shared" si="88"/>
        <v/>
      </c>
      <c r="C1458" s="26" t="str">
        <f t="shared" si="89"/>
        <v/>
      </c>
      <c r="D1458" s="26" t="str">
        <f t="shared" si="90"/>
        <v/>
      </c>
      <c r="E1458" s="29"/>
      <c r="F1458" s="22"/>
      <c r="G1458" s="22"/>
      <c r="H1458" s="22"/>
      <c r="I1458" s="24"/>
      <c r="J1458" s="24"/>
      <c r="K1458" s="24"/>
      <c r="L1458" s="24"/>
      <c r="M1458" s="27" t="str">
        <f t="shared" si="91"/>
        <v/>
      </c>
      <c r="N1458" s="25"/>
      <c r="O1458" s="22"/>
      <c r="P1458" s="24"/>
      <c r="Q1458" s="26"/>
    </row>
    <row r="1459" spans="1:17" ht="15" x14ac:dyDescent="0.15">
      <c r="A1459" s="22"/>
      <c r="B1459" s="26" t="str">
        <f t="shared" si="88"/>
        <v/>
      </c>
      <c r="C1459" s="26" t="str">
        <f t="shared" si="89"/>
        <v/>
      </c>
      <c r="D1459" s="26" t="str">
        <f t="shared" si="90"/>
        <v/>
      </c>
      <c r="E1459" s="29"/>
      <c r="F1459" s="22"/>
      <c r="G1459" s="22"/>
      <c r="H1459" s="22"/>
      <c r="I1459" s="24"/>
      <c r="J1459" s="24"/>
      <c r="K1459" s="24"/>
      <c r="L1459" s="24"/>
      <c r="M1459" s="27" t="str">
        <f t="shared" si="91"/>
        <v/>
      </c>
      <c r="N1459" s="25"/>
      <c r="O1459" s="22"/>
      <c r="P1459" s="24"/>
      <c r="Q1459" s="26"/>
    </row>
    <row r="1460" spans="1:17" ht="15" x14ac:dyDescent="0.15">
      <c r="A1460" s="22"/>
      <c r="B1460" s="26" t="str">
        <f t="shared" si="88"/>
        <v/>
      </c>
      <c r="C1460" s="26" t="str">
        <f t="shared" si="89"/>
        <v/>
      </c>
      <c r="D1460" s="26" t="str">
        <f t="shared" si="90"/>
        <v/>
      </c>
      <c r="E1460" s="29"/>
      <c r="F1460" s="22"/>
      <c r="G1460" s="22"/>
      <c r="H1460" s="22"/>
      <c r="I1460" s="24"/>
      <c r="J1460" s="24"/>
      <c r="K1460" s="24"/>
      <c r="L1460" s="24"/>
      <c r="M1460" s="27" t="str">
        <f t="shared" si="91"/>
        <v/>
      </c>
      <c r="N1460" s="25"/>
      <c r="O1460" s="22"/>
      <c r="P1460" s="24"/>
      <c r="Q1460" s="26"/>
    </row>
    <row r="1461" spans="1:17" ht="15" x14ac:dyDescent="0.15">
      <c r="A1461" s="22"/>
      <c r="B1461" s="26" t="str">
        <f t="shared" si="88"/>
        <v/>
      </c>
      <c r="C1461" s="26" t="str">
        <f t="shared" si="89"/>
        <v/>
      </c>
      <c r="D1461" s="26" t="str">
        <f t="shared" si="90"/>
        <v/>
      </c>
      <c r="E1461" s="29"/>
      <c r="F1461" s="22"/>
      <c r="G1461" s="22"/>
      <c r="H1461" s="22"/>
      <c r="I1461" s="24"/>
      <c r="J1461" s="24"/>
      <c r="K1461" s="24"/>
      <c r="L1461" s="24"/>
      <c r="M1461" s="27" t="str">
        <f t="shared" si="91"/>
        <v/>
      </c>
      <c r="N1461" s="25"/>
      <c r="O1461" s="22"/>
      <c r="P1461" s="24"/>
      <c r="Q1461" s="26"/>
    </row>
    <row r="1462" spans="1:17" ht="15" x14ac:dyDescent="0.15">
      <c r="A1462" s="22"/>
      <c r="B1462" s="26" t="str">
        <f t="shared" si="88"/>
        <v/>
      </c>
      <c r="C1462" s="26" t="str">
        <f t="shared" si="89"/>
        <v/>
      </c>
      <c r="D1462" s="26" t="str">
        <f t="shared" si="90"/>
        <v/>
      </c>
      <c r="E1462" s="29"/>
      <c r="F1462" s="22"/>
      <c r="G1462" s="22"/>
      <c r="H1462" s="22"/>
      <c r="I1462" s="24"/>
      <c r="J1462" s="24"/>
      <c r="K1462" s="24"/>
      <c r="L1462" s="24"/>
      <c r="M1462" s="27" t="str">
        <f t="shared" si="91"/>
        <v/>
      </c>
      <c r="N1462" s="25"/>
      <c r="O1462" s="22"/>
      <c r="P1462" s="24"/>
      <c r="Q1462" s="26"/>
    </row>
    <row r="1463" spans="1:17" ht="15" x14ac:dyDescent="0.15">
      <c r="A1463" s="22"/>
      <c r="B1463" s="26" t="str">
        <f t="shared" si="88"/>
        <v/>
      </c>
      <c r="C1463" s="26" t="str">
        <f t="shared" si="89"/>
        <v/>
      </c>
      <c r="D1463" s="26" t="str">
        <f t="shared" si="90"/>
        <v/>
      </c>
      <c r="E1463" s="29"/>
      <c r="F1463" s="22"/>
      <c r="G1463" s="22"/>
      <c r="H1463" s="22"/>
      <c r="I1463" s="24"/>
      <c r="J1463" s="24"/>
      <c r="K1463" s="24"/>
      <c r="L1463" s="24"/>
      <c r="M1463" s="27" t="str">
        <f t="shared" si="91"/>
        <v/>
      </c>
      <c r="N1463" s="25"/>
      <c r="O1463" s="22"/>
      <c r="P1463" s="24"/>
      <c r="Q1463" s="26"/>
    </row>
    <row r="1464" spans="1:17" ht="15" x14ac:dyDescent="0.15">
      <c r="A1464" s="22"/>
      <c r="B1464" s="26" t="str">
        <f t="shared" si="88"/>
        <v/>
      </c>
      <c r="C1464" s="26" t="str">
        <f t="shared" si="89"/>
        <v/>
      </c>
      <c r="D1464" s="26" t="str">
        <f t="shared" si="90"/>
        <v/>
      </c>
      <c r="E1464" s="29"/>
      <c r="F1464" s="22"/>
      <c r="G1464" s="22"/>
      <c r="H1464" s="22"/>
      <c r="I1464" s="24"/>
      <c r="J1464" s="24"/>
      <c r="K1464" s="24"/>
      <c r="L1464" s="24"/>
      <c r="M1464" s="27" t="str">
        <f t="shared" si="91"/>
        <v/>
      </c>
      <c r="N1464" s="25"/>
      <c r="O1464" s="22"/>
      <c r="P1464" s="24"/>
      <c r="Q1464" s="26"/>
    </row>
    <row r="1465" spans="1:17" ht="15" x14ac:dyDescent="0.15">
      <c r="A1465" s="22"/>
      <c r="B1465" s="26" t="str">
        <f t="shared" si="88"/>
        <v/>
      </c>
      <c r="C1465" s="26" t="str">
        <f t="shared" si="89"/>
        <v/>
      </c>
      <c r="D1465" s="26" t="str">
        <f t="shared" si="90"/>
        <v/>
      </c>
      <c r="E1465" s="29"/>
      <c r="F1465" s="22"/>
      <c r="G1465" s="22"/>
      <c r="H1465" s="22"/>
      <c r="I1465" s="24"/>
      <c r="J1465" s="24"/>
      <c r="K1465" s="24"/>
      <c r="L1465" s="24"/>
      <c r="M1465" s="27" t="str">
        <f t="shared" si="91"/>
        <v/>
      </c>
      <c r="N1465" s="25"/>
      <c r="O1465" s="22"/>
      <c r="P1465" s="24"/>
      <c r="Q1465" s="26"/>
    </row>
    <row r="1466" spans="1:17" ht="15" x14ac:dyDescent="0.15">
      <c r="A1466" s="22"/>
      <c r="B1466" s="26" t="str">
        <f t="shared" si="88"/>
        <v/>
      </c>
      <c r="C1466" s="26" t="str">
        <f t="shared" si="89"/>
        <v/>
      </c>
      <c r="D1466" s="26" t="str">
        <f t="shared" si="90"/>
        <v/>
      </c>
      <c r="E1466" s="29"/>
      <c r="F1466" s="22"/>
      <c r="G1466" s="22"/>
      <c r="H1466" s="22"/>
      <c r="I1466" s="24"/>
      <c r="J1466" s="24"/>
      <c r="K1466" s="24"/>
      <c r="L1466" s="24"/>
      <c r="M1466" s="27" t="str">
        <f t="shared" si="91"/>
        <v/>
      </c>
      <c r="N1466" s="25"/>
      <c r="O1466" s="22"/>
      <c r="P1466" s="24"/>
      <c r="Q1466" s="26"/>
    </row>
    <row r="1467" spans="1:17" ht="15" x14ac:dyDescent="0.15">
      <c r="A1467" s="22"/>
      <c r="B1467" s="26" t="str">
        <f t="shared" si="88"/>
        <v/>
      </c>
      <c r="C1467" s="26" t="str">
        <f t="shared" si="89"/>
        <v/>
      </c>
      <c r="D1467" s="26" t="str">
        <f t="shared" si="90"/>
        <v/>
      </c>
      <c r="E1467" s="29"/>
      <c r="F1467" s="22"/>
      <c r="G1467" s="22"/>
      <c r="H1467" s="22"/>
      <c r="I1467" s="24"/>
      <c r="J1467" s="24"/>
      <c r="K1467" s="24"/>
      <c r="L1467" s="24"/>
      <c r="M1467" s="27" t="str">
        <f t="shared" si="91"/>
        <v/>
      </c>
      <c r="N1467" s="25"/>
      <c r="O1467" s="22"/>
      <c r="P1467" s="24"/>
      <c r="Q1467" s="26"/>
    </row>
    <row r="1468" spans="1:17" ht="15" x14ac:dyDescent="0.15">
      <c r="A1468" s="22"/>
      <c r="B1468" s="26" t="str">
        <f t="shared" si="88"/>
        <v/>
      </c>
      <c r="C1468" s="26" t="str">
        <f t="shared" si="89"/>
        <v/>
      </c>
      <c r="D1468" s="26" t="str">
        <f t="shared" si="90"/>
        <v/>
      </c>
      <c r="E1468" s="29"/>
      <c r="F1468" s="22"/>
      <c r="G1468" s="22"/>
      <c r="H1468" s="22"/>
      <c r="I1468" s="24"/>
      <c r="J1468" s="24"/>
      <c r="K1468" s="24"/>
      <c r="L1468" s="24"/>
      <c r="M1468" s="27" t="str">
        <f t="shared" si="91"/>
        <v/>
      </c>
      <c r="N1468" s="25"/>
      <c r="O1468" s="22"/>
      <c r="P1468" s="24"/>
      <c r="Q1468" s="26"/>
    </row>
    <row r="1469" spans="1:17" ht="15" x14ac:dyDescent="0.15">
      <c r="A1469" s="22"/>
      <c r="B1469" s="26" t="str">
        <f t="shared" si="88"/>
        <v/>
      </c>
      <c r="C1469" s="26" t="str">
        <f t="shared" si="89"/>
        <v/>
      </c>
      <c r="D1469" s="26" t="str">
        <f t="shared" si="90"/>
        <v/>
      </c>
      <c r="E1469" s="29"/>
      <c r="F1469" s="22"/>
      <c r="G1469" s="22"/>
      <c r="H1469" s="22"/>
      <c r="I1469" s="24"/>
      <c r="J1469" s="24"/>
      <c r="K1469" s="24"/>
      <c r="L1469" s="24"/>
      <c r="M1469" s="27" t="str">
        <f t="shared" si="91"/>
        <v/>
      </c>
      <c r="N1469" s="25"/>
      <c r="O1469" s="22"/>
      <c r="P1469" s="24"/>
      <c r="Q1469" s="26"/>
    </row>
    <row r="1470" spans="1:17" ht="15" x14ac:dyDescent="0.15">
      <c r="A1470" s="22"/>
      <c r="B1470" s="26" t="str">
        <f t="shared" si="88"/>
        <v/>
      </c>
      <c r="C1470" s="26" t="str">
        <f t="shared" si="89"/>
        <v/>
      </c>
      <c r="D1470" s="26" t="str">
        <f t="shared" si="90"/>
        <v/>
      </c>
      <c r="E1470" s="29"/>
      <c r="F1470" s="22"/>
      <c r="G1470" s="22"/>
      <c r="H1470" s="22"/>
      <c r="I1470" s="24"/>
      <c r="J1470" s="24"/>
      <c r="K1470" s="24"/>
      <c r="L1470" s="24"/>
      <c r="M1470" s="27" t="str">
        <f t="shared" si="91"/>
        <v/>
      </c>
      <c r="N1470" s="25"/>
      <c r="O1470" s="22"/>
      <c r="P1470" s="24"/>
      <c r="Q1470" s="26"/>
    </row>
    <row r="1471" spans="1:17" ht="15" x14ac:dyDescent="0.15">
      <c r="A1471" s="22"/>
      <c r="B1471" s="26" t="str">
        <f t="shared" si="88"/>
        <v/>
      </c>
      <c r="C1471" s="26" t="str">
        <f t="shared" si="89"/>
        <v/>
      </c>
      <c r="D1471" s="26" t="str">
        <f t="shared" si="90"/>
        <v/>
      </c>
      <c r="E1471" s="29"/>
      <c r="F1471" s="22"/>
      <c r="G1471" s="22"/>
      <c r="H1471" s="22"/>
      <c r="I1471" s="24"/>
      <c r="J1471" s="24"/>
      <c r="K1471" s="24"/>
      <c r="L1471" s="24"/>
      <c r="M1471" s="27" t="str">
        <f t="shared" si="91"/>
        <v/>
      </c>
      <c r="N1471" s="25"/>
      <c r="O1471" s="22"/>
      <c r="P1471" s="24"/>
      <c r="Q1471" s="26"/>
    </row>
    <row r="1472" spans="1:17" ht="15" x14ac:dyDescent="0.15">
      <c r="A1472" s="22"/>
      <c r="B1472" s="26" t="str">
        <f t="shared" si="88"/>
        <v/>
      </c>
      <c r="C1472" s="26" t="str">
        <f t="shared" si="89"/>
        <v/>
      </c>
      <c r="D1472" s="26" t="str">
        <f t="shared" si="90"/>
        <v/>
      </c>
      <c r="E1472" s="29"/>
      <c r="F1472" s="22"/>
      <c r="G1472" s="22"/>
      <c r="H1472" s="22"/>
      <c r="I1472" s="24"/>
      <c r="J1472" s="24"/>
      <c r="K1472" s="24"/>
      <c r="L1472" s="24"/>
      <c r="M1472" s="27" t="str">
        <f t="shared" si="91"/>
        <v/>
      </c>
      <c r="N1472" s="25"/>
      <c r="O1472" s="22"/>
      <c r="P1472" s="24"/>
      <c r="Q1472" s="26"/>
    </row>
    <row r="1473" spans="1:17" ht="15" x14ac:dyDescent="0.15">
      <c r="A1473" s="22"/>
      <c r="B1473" s="26" t="str">
        <f t="shared" si="88"/>
        <v/>
      </c>
      <c r="C1473" s="26" t="str">
        <f t="shared" si="89"/>
        <v/>
      </c>
      <c r="D1473" s="26" t="str">
        <f t="shared" si="90"/>
        <v/>
      </c>
      <c r="E1473" s="29"/>
      <c r="F1473" s="22"/>
      <c r="G1473" s="22"/>
      <c r="H1473" s="22"/>
      <c r="I1473" s="24"/>
      <c r="J1473" s="24"/>
      <c r="K1473" s="24"/>
      <c r="L1473" s="24"/>
      <c r="M1473" s="27" t="str">
        <f t="shared" si="91"/>
        <v/>
      </c>
      <c r="N1473" s="25"/>
      <c r="O1473" s="22"/>
      <c r="P1473" s="24"/>
      <c r="Q1473" s="26"/>
    </row>
    <row r="1474" spans="1:17" ht="15" x14ac:dyDescent="0.15">
      <c r="A1474" s="22"/>
      <c r="B1474" s="26" t="str">
        <f t="shared" si="88"/>
        <v/>
      </c>
      <c r="C1474" s="26" t="str">
        <f t="shared" si="89"/>
        <v/>
      </c>
      <c r="D1474" s="26" t="str">
        <f t="shared" si="90"/>
        <v/>
      </c>
      <c r="E1474" s="29"/>
      <c r="F1474" s="22"/>
      <c r="G1474" s="22"/>
      <c r="H1474" s="22"/>
      <c r="I1474" s="24"/>
      <c r="J1474" s="24"/>
      <c r="K1474" s="24"/>
      <c r="L1474" s="24"/>
      <c r="M1474" s="27" t="str">
        <f t="shared" si="91"/>
        <v/>
      </c>
      <c r="N1474" s="25"/>
      <c r="O1474" s="22"/>
      <c r="P1474" s="24"/>
      <c r="Q1474" s="26"/>
    </row>
    <row r="1475" spans="1:17" ht="15" x14ac:dyDescent="0.15">
      <c r="A1475" s="22"/>
      <c r="B1475" s="26" t="str">
        <f t="shared" si="88"/>
        <v/>
      </c>
      <c r="C1475" s="26" t="str">
        <f t="shared" si="89"/>
        <v/>
      </c>
      <c r="D1475" s="26" t="str">
        <f t="shared" si="90"/>
        <v/>
      </c>
      <c r="E1475" s="29"/>
      <c r="F1475" s="22"/>
      <c r="G1475" s="22"/>
      <c r="H1475" s="22"/>
      <c r="I1475" s="24"/>
      <c r="J1475" s="24"/>
      <c r="K1475" s="24"/>
      <c r="L1475" s="24"/>
      <c r="M1475" s="27" t="str">
        <f t="shared" si="91"/>
        <v/>
      </c>
      <c r="N1475" s="25"/>
      <c r="O1475" s="22"/>
      <c r="P1475" s="24"/>
      <c r="Q1475" s="26"/>
    </row>
    <row r="1476" spans="1:17" ht="15" x14ac:dyDescent="0.15">
      <c r="A1476" s="22"/>
      <c r="B1476" s="26" t="str">
        <f t="shared" si="88"/>
        <v/>
      </c>
      <c r="C1476" s="26" t="str">
        <f t="shared" si="89"/>
        <v/>
      </c>
      <c r="D1476" s="26" t="str">
        <f t="shared" si="90"/>
        <v/>
      </c>
      <c r="E1476" s="29"/>
      <c r="F1476" s="22"/>
      <c r="G1476" s="22"/>
      <c r="H1476" s="22"/>
      <c r="I1476" s="24"/>
      <c r="J1476" s="24"/>
      <c r="K1476" s="24"/>
      <c r="L1476" s="24"/>
      <c r="M1476" s="27" t="str">
        <f t="shared" si="91"/>
        <v/>
      </c>
      <c r="N1476" s="25"/>
      <c r="O1476" s="22"/>
      <c r="P1476" s="24"/>
      <c r="Q1476" s="26"/>
    </row>
    <row r="1477" spans="1:17" ht="15" x14ac:dyDescent="0.15">
      <c r="A1477" s="22"/>
      <c r="B1477" s="26" t="str">
        <f t="shared" si="88"/>
        <v/>
      </c>
      <c r="C1477" s="26" t="str">
        <f t="shared" si="89"/>
        <v/>
      </c>
      <c r="D1477" s="26" t="str">
        <f t="shared" si="90"/>
        <v/>
      </c>
      <c r="E1477" s="29"/>
      <c r="F1477" s="22"/>
      <c r="G1477" s="22"/>
      <c r="H1477" s="22"/>
      <c r="I1477" s="24"/>
      <c r="J1477" s="24"/>
      <c r="K1477" s="24"/>
      <c r="L1477" s="24"/>
      <c r="M1477" s="27" t="str">
        <f t="shared" si="91"/>
        <v/>
      </c>
      <c r="N1477" s="25"/>
      <c r="O1477" s="22"/>
      <c r="P1477" s="24"/>
      <c r="Q1477" s="26"/>
    </row>
    <row r="1478" spans="1:17" ht="15" x14ac:dyDescent="0.15">
      <c r="A1478" s="22"/>
      <c r="B1478" s="26" t="str">
        <f t="shared" si="88"/>
        <v/>
      </c>
      <c r="C1478" s="26" t="str">
        <f t="shared" si="89"/>
        <v/>
      </c>
      <c r="D1478" s="26" t="str">
        <f t="shared" si="90"/>
        <v/>
      </c>
      <c r="E1478" s="29"/>
      <c r="F1478" s="22"/>
      <c r="G1478" s="22"/>
      <c r="H1478" s="22"/>
      <c r="I1478" s="24"/>
      <c r="J1478" s="24"/>
      <c r="K1478" s="24"/>
      <c r="L1478" s="24"/>
      <c r="M1478" s="27" t="str">
        <f t="shared" si="91"/>
        <v/>
      </c>
      <c r="N1478" s="25"/>
      <c r="O1478" s="22"/>
      <c r="P1478" s="24"/>
      <c r="Q1478" s="26"/>
    </row>
    <row r="1479" spans="1:17" ht="15" x14ac:dyDescent="0.15">
      <c r="A1479" s="22"/>
      <c r="B1479" s="26" t="str">
        <f t="shared" ref="B1479:B1542" si="92">IFERROR(IF($A1479="","",LEFT($A1479,FIND(" | ",$A1479)-1)),"")</f>
        <v/>
      </c>
      <c r="C1479" s="26" t="str">
        <f t="shared" ref="C1479:C1542" si="93">IFERROR(IF($A1479="","",MID($A1479,FIND(" | ",$A1479)+3,FIND(" | ",$A1479,FIND(" | ",$A1479)+3)-FIND(" | ",$A1479)-3)),"")</f>
        <v/>
      </c>
      <c r="D1479" s="26" t="str">
        <f t="shared" ref="D1479:D1542" si="94">IFERROR(IF($A1479="","",RIGHT($A1479,LEN($A1479)-FIND(" | ",$A1479,FIND(" | ",$A1479)+3)-2)),"")</f>
        <v/>
      </c>
      <c r="E1479" s="29"/>
      <c r="F1479" s="22"/>
      <c r="G1479" s="22"/>
      <c r="H1479" s="22"/>
      <c r="I1479" s="24"/>
      <c r="J1479" s="24"/>
      <c r="K1479" s="24"/>
      <c r="L1479" s="24"/>
      <c r="M1479" s="27" t="str">
        <f t="shared" ref="M1479:M1542" si="95">IF($B1479="","",SUM($J1479,-$K1479,$L1479))</f>
        <v/>
      </c>
      <c r="N1479" s="25"/>
      <c r="O1479" s="22"/>
      <c r="P1479" s="24"/>
      <c r="Q1479" s="26"/>
    </row>
    <row r="1480" spans="1:17" ht="15" x14ac:dyDescent="0.15">
      <c r="A1480" s="22"/>
      <c r="B1480" s="26" t="str">
        <f t="shared" si="92"/>
        <v/>
      </c>
      <c r="C1480" s="26" t="str">
        <f t="shared" si="93"/>
        <v/>
      </c>
      <c r="D1480" s="26" t="str">
        <f t="shared" si="94"/>
        <v/>
      </c>
      <c r="E1480" s="29"/>
      <c r="F1480" s="22"/>
      <c r="G1480" s="22"/>
      <c r="H1480" s="22"/>
      <c r="I1480" s="24"/>
      <c r="J1480" s="24"/>
      <c r="K1480" s="24"/>
      <c r="L1480" s="24"/>
      <c r="M1480" s="27" t="str">
        <f t="shared" si="95"/>
        <v/>
      </c>
      <c r="N1480" s="25"/>
      <c r="O1480" s="22"/>
      <c r="P1480" s="24"/>
      <c r="Q1480" s="26"/>
    </row>
    <row r="1481" spans="1:17" ht="15" x14ac:dyDescent="0.15">
      <c r="A1481" s="22"/>
      <c r="B1481" s="26" t="str">
        <f t="shared" si="92"/>
        <v/>
      </c>
      <c r="C1481" s="26" t="str">
        <f t="shared" si="93"/>
        <v/>
      </c>
      <c r="D1481" s="26" t="str">
        <f t="shared" si="94"/>
        <v/>
      </c>
      <c r="E1481" s="29"/>
      <c r="F1481" s="22"/>
      <c r="G1481" s="22"/>
      <c r="H1481" s="22"/>
      <c r="I1481" s="24"/>
      <c r="J1481" s="24"/>
      <c r="K1481" s="24"/>
      <c r="L1481" s="24"/>
      <c r="M1481" s="27" t="str">
        <f t="shared" si="95"/>
        <v/>
      </c>
      <c r="N1481" s="25"/>
      <c r="O1481" s="22"/>
      <c r="P1481" s="24"/>
      <c r="Q1481" s="26"/>
    </row>
    <row r="1482" spans="1:17" ht="15" x14ac:dyDescent="0.15">
      <c r="A1482" s="22"/>
      <c r="B1482" s="26" t="str">
        <f t="shared" si="92"/>
        <v/>
      </c>
      <c r="C1482" s="26" t="str">
        <f t="shared" si="93"/>
        <v/>
      </c>
      <c r="D1482" s="26" t="str">
        <f t="shared" si="94"/>
        <v/>
      </c>
      <c r="E1482" s="29"/>
      <c r="F1482" s="22"/>
      <c r="G1482" s="22"/>
      <c r="H1482" s="22"/>
      <c r="I1482" s="24"/>
      <c r="J1482" s="24"/>
      <c r="K1482" s="24"/>
      <c r="L1482" s="24"/>
      <c r="M1482" s="27" t="str">
        <f t="shared" si="95"/>
        <v/>
      </c>
      <c r="N1482" s="25"/>
      <c r="O1482" s="22"/>
      <c r="P1482" s="24"/>
      <c r="Q1482" s="26"/>
    </row>
    <row r="1483" spans="1:17" ht="15" x14ac:dyDescent="0.15">
      <c r="A1483" s="22"/>
      <c r="B1483" s="26" t="str">
        <f t="shared" si="92"/>
        <v/>
      </c>
      <c r="C1483" s="26" t="str">
        <f t="shared" si="93"/>
        <v/>
      </c>
      <c r="D1483" s="26" t="str">
        <f t="shared" si="94"/>
        <v/>
      </c>
      <c r="E1483" s="29"/>
      <c r="F1483" s="22"/>
      <c r="G1483" s="22"/>
      <c r="H1483" s="22"/>
      <c r="I1483" s="24"/>
      <c r="J1483" s="24"/>
      <c r="K1483" s="24"/>
      <c r="L1483" s="24"/>
      <c r="M1483" s="27" t="str">
        <f t="shared" si="95"/>
        <v/>
      </c>
      <c r="N1483" s="25"/>
      <c r="O1483" s="22"/>
      <c r="P1483" s="24"/>
      <c r="Q1483" s="26"/>
    </row>
    <row r="1484" spans="1:17" ht="15" x14ac:dyDescent="0.15">
      <c r="A1484" s="22"/>
      <c r="B1484" s="26" t="str">
        <f t="shared" si="92"/>
        <v/>
      </c>
      <c r="C1484" s="26" t="str">
        <f t="shared" si="93"/>
        <v/>
      </c>
      <c r="D1484" s="26" t="str">
        <f t="shared" si="94"/>
        <v/>
      </c>
      <c r="E1484" s="29"/>
      <c r="F1484" s="22"/>
      <c r="G1484" s="22"/>
      <c r="H1484" s="22"/>
      <c r="I1484" s="24"/>
      <c r="J1484" s="24"/>
      <c r="K1484" s="24"/>
      <c r="L1484" s="24"/>
      <c r="M1484" s="27" t="str">
        <f t="shared" si="95"/>
        <v/>
      </c>
      <c r="N1484" s="25"/>
      <c r="O1484" s="22"/>
      <c r="P1484" s="24"/>
      <c r="Q1484" s="26"/>
    </row>
    <row r="1485" spans="1:17" ht="15" x14ac:dyDescent="0.15">
      <c r="A1485" s="22"/>
      <c r="B1485" s="26" t="str">
        <f t="shared" si="92"/>
        <v/>
      </c>
      <c r="C1485" s="26" t="str">
        <f t="shared" si="93"/>
        <v/>
      </c>
      <c r="D1485" s="26" t="str">
        <f t="shared" si="94"/>
        <v/>
      </c>
      <c r="E1485" s="29"/>
      <c r="F1485" s="22"/>
      <c r="G1485" s="22"/>
      <c r="H1485" s="22"/>
      <c r="I1485" s="24"/>
      <c r="J1485" s="24"/>
      <c r="K1485" s="24"/>
      <c r="L1485" s="24"/>
      <c r="M1485" s="27" t="str">
        <f t="shared" si="95"/>
        <v/>
      </c>
      <c r="N1485" s="25"/>
      <c r="O1485" s="22"/>
      <c r="P1485" s="24"/>
      <c r="Q1485" s="26"/>
    </row>
    <row r="1486" spans="1:17" ht="15" x14ac:dyDescent="0.15">
      <c r="A1486" s="22"/>
      <c r="B1486" s="26" t="str">
        <f t="shared" si="92"/>
        <v/>
      </c>
      <c r="C1486" s="26" t="str">
        <f t="shared" si="93"/>
        <v/>
      </c>
      <c r="D1486" s="26" t="str">
        <f t="shared" si="94"/>
        <v/>
      </c>
      <c r="E1486" s="29"/>
      <c r="F1486" s="22"/>
      <c r="G1486" s="22"/>
      <c r="H1486" s="22"/>
      <c r="I1486" s="24"/>
      <c r="J1486" s="24"/>
      <c r="K1486" s="24"/>
      <c r="L1486" s="24"/>
      <c r="M1486" s="27" t="str">
        <f t="shared" si="95"/>
        <v/>
      </c>
      <c r="N1486" s="25"/>
      <c r="O1486" s="22"/>
      <c r="P1486" s="24"/>
      <c r="Q1486" s="26"/>
    </row>
    <row r="1487" spans="1:17" ht="15" x14ac:dyDescent="0.15">
      <c r="A1487" s="22"/>
      <c r="B1487" s="26" t="str">
        <f t="shared" si="92"/>
        <v/>
      </c>
      <c r="C1487" s="26" t="str">
        <f t="shared" si="93"/>
        <v/>
      </c>
      <c r="D1487" s="26" t="str">
        <f t="shared" si="94"/>
        <v/>
      </c>
      <c r="E1487" s="29"/>
      <c r="F1487" s="22"/>
      <c r="G1487" s="22"/>
      <c r="H1487" s="22"/>
      <c r="I1487" s="24"/>
      <c r="J1487" s="24"/>
      <c r="K1487" s="24"/>
      <c r="L1487" s="24"/>
      <c r="M1487" s="27" t="str">
        <f t="shared" si="95"/>
        <v/>
      </c>
      <c r="N1487" s="25"/>
      <c r="O1487" s="22"/>
      <c r="P1487" s="24"/>
      <c r="Q1487" s="26"/>
    </row>
    <row r="1488" spans="1:17" ht="15" x14ac:dyDescent="0.15">
      <c r="A1488" s="22"/>
      <c r="B1488" s="26" t="str">
        <f t="shared" si="92"/>
        <v/>
      </c>
      <c r="C1488" s="26" t="str">
        <f t="shared" si="93"/>
        <v/>
      </c>
      <c r="D1488" s="26" t="str">
        <f t="shared" si="94"/>
        <v/>
      </c>
      <c r="E1488" s="29"/>
      <c r="F1488" s="22"/>
      <c r="G1488" s="22"/>
      <c r="H1488" s="22"/>
      <c r="I1488" s="24"/>
      <c r="J1488" s="24"/>
      <c r="K1488" s="24"/>
      <c r="L1488" s="24"/>
      <c r="M1488" s="27" t="str">
        <f t="shared" si="95"/>
        <v/>
      </c>
      <c r="N1488" s="25"/>
      <c r="O1488" s="22"/>
      <c r="P1488" s="24"/>
      <c r="Q1488" s="26"/>
    </row>
    <row r="1489" spans="1:17" ht="15" x14ac:dyDescent="0.15">
      <c r="A1489" s="22"/>
      <c r="B1489" s="26" t="str">
        <f t="shared" si="92"/>
        <v/>
      </c>
      <c r="C1489" s="26" t="str">
        <f t="shared" si="93"/>
        <v/>
      </c>
      <c r="D1489" s="26" t="str">
        <f t="shared" si="94"/>
        <v/>
      </c>
      <c r="E1489" s="29"/>
      <c r="F1489" s="22"/>
      <c r="G1489" s="22"/>
      <c r="H1489" s="22"/>
      <c r="I1489" s="24"/>
      <c r="J1489" s="24"/>
      <c r="K1489" s="24"/>
      <c r="L1489" s="24"/>
      <c r="M1489" s="27" t="str">
        <f t="shared" si="95"/>
        <v/>
      </c>
      <c r="N1489" s="25"/>
      <c r="O1489" s="22"/>
      <c r="P1489" s="24"/>
      <c r="Q1489" s="26"/>
    </row>
    <row r="1490" spans="1:17" ht="15" x14ac:dyDescent="0.15">
      <c r="A1490" s="22"/>
      <c r="B1490" s="26" t="str">
        <f t="shared" si="92"/>
        <v/>
      </c>
      <c r="C1490" s="26" t="str">
        <f t="shared" si="93"/>
        <v/>
      </c>
      <c r="D1490" s="26" t="str">
        <f t="shared" si="94"/>
        <v/>
      </c>
      <c r="E1490" s="29"/>
      <c r="F1490" s="22"/>
      <c r="G1490" s="22"/>
      <c r="H1490" s="22"/>
      <c r="I1490" s="24"/>
      <c r="J1490" s="24"/>
      <c r="K1490" s="24"/>
      <c r="L1490" s="24"/>
      <c r="M1490" s="27" t="str">
        <f t="shared" si="95"/>
        <v/>
      </c>
      <c r="N1490" s="25"/>
      <c r="O1490" s="22"/>
      <c r="P1490" s="24"/>
      <c r="Q1490" s="26"/>
    </row>
    <row r="1491" spans="1:17" ht="15" x14ac:dyDescent="0.15">
      <c r="A1491" s="22"/>
      <c r="B1491" s="26" t="str">
        <f t="shared" si="92"/>
        <v/>
      </c>
      <c r="C1491" s="26" t="str">
        <f t="shared" si="93"/>
        <v/>
      </c>
      <c r="D1491" s="26" t="str">
        <f t="shared" si="94"/>
        <v/>
      </c>
      <c r="E1491" s="29"/>
      <c r="F1491" s="22"/>
      <c r="G1491" s="22"/>
      <c r="H1491" s="22"/>
      <c r="I1491" s="24"/>
      <c r="J1491" s="24"/>
      <c r="K1491" s="24"/>
      <c r="L1491" s="24"/>
      <c r="M1491" s="27" t="str">
        <f t="shared" si="95"/>
        <v/>
      </c>
      <c r="N1491" s="25"/>
      <c r="O1491" s="22"/>
      <c r="P1491" s="24"/>
      <c r="Q1491" s="26"/>
    </row>
    <row r="1492" spans="1:17" ht="15" x14ac:dyDescent="0.15">
      <c r="A1492" s="22"/>
      <c r="B1492" s="26" t="str">
        <f t="shared" si="92"/>
        <v/>
      </c>
      <c r="C1492" s="26" t="str">
        <f t="shared" si="93"/>
        <v/>
      </c>
      <c r="D1492" s="26" t="str">
        <f t="shared" si="94"/>
        <v/>
      </c>
      <c r="E1492" s="29"/>
      <c r="F1492" s="22"/>
      <c r="G1492" s="22"/>
      <c r="H1492" s="22"/>
      <c r="I1492" s="24"/>
      <c r="J1492" s="24"/>
      <c r="K1492" s="24"/>
      <c r="L1492" s="24"/>
      <c r="M1492" s="27" t="str">
        <f t="shared" si="95"/>
        <v/>
      </c>
      <c r="N1492" s="25"/>
      <c r="O1492" s="22"/>
      <c r="P1492" s="24"/>
      <c r="Q1492" s="26"/>
    </row>
    <row r="1493" spans="1:17" ht="15" x14ac:dyDescent="0.15">
      <c r="A1493" s="22"/>
      <c r="B1493" s="26" t="str">
        <f t="shared" si="92"/>
        <v/>
      </c>
      <c r="C1493" s="26" t="str">
        <f t="shared" si="93"/>
        <v/>
      </c>
      <c r="D1493" s="26" t="str">
        <f t="shared" si="94"/>
        <v/>
      </c>
      <c r="E1493" s="29"/>
      <c r="F1493" s="22"/>
      <c r="G1493" s="22"/>
      <c r="H1493" s="22"/>
      <c r="I1493" s="24"/>
      <c r="J1493" s="24"/>
      <c r="K1493" s="24"/>
      <c r="L1493" s="24"/>
      <c r="M1493" s="27" t="str">
        <f t="shared" si="95"/>
        <v/>
      </c>
      <c r="N1493" s="25"/>
      <c r="O1493" s="22"/>
      <c r="P1493" s="24"/>
      <c r="Q1493" s="26"/>
    </row>
    <row r="1494" spans="1:17" ht="15" x14ac:dyDescent="0.15">
      <c r="A1494" s="22"/>
      <c r="B1494" s="26" t="str">
        <f t="shared" si="92"/>
        <v/>
      </c>
      <c r="C1494" s="26" t="str">
        <f t="shared" si="93"/>
        <v/>
      </c>
      <c r="D1494" s="26" t="str">
        <f t="shared" si="94"/>
        <v/>
      </c>
      <c r="E1494" s="29"/>
      <c r="F1494" s="22"/>
      <c r="G1494" s="22"/>
      <c r="H1494" s="22"/>
      <c r="I1494" s="24"/>
      <c r="J1494" s="24"/>
      <c r="K1494" s="24"/>
      <c r="L1494" s="24"/>
      <c r="M1494" s="27" t="str">
        <f t="shared" si="95"/>
        <v/>
      </c>
      <c r="N1494" s="25"/>
      <c r="O1494" s="22"/>
      <c r="P1494" s="24"/>
      <c r="Q1494" s="26"/>
    </row>
    <row r="1495" spans="1:17" ht="15" x14ac:dyDescent="0.15">
      <c r="A1495" s="22"/>
      <c r="B1495" s="26" t="str">
        <f t="shared" si="92"/>
        <v/>
      </c>
      <c r="C1495" s="26" t="str">
        <f t="shared" si="93"/>
        <v/>
      </c>
      <c r="D1495" s="26" t="str">
        <f t="shared" si="94"/>
        <v/>
      </c>
      <c r="E1495" s="29"/>
      <c r="F1495" s="22"/>
      <c r="G1495" s="22"/>
      <c r="H1495" s="22"/>
      <c r="I1495" s="24"/>
      <c r="J1495" s="24"/>
      <c r="K1495" s="24"/>
      <c r="L1495" s="24"/>
      <c r="M1495" s="27" t="str">
        <f t="shared" si="95"/>
        <v/>
      </c>
      <c r="N1495" s="25"/>
      <c r="O1495" s="22"/>
      <c r="P1495" s="24"/>
      <c r="Q1495" s="26"/>
    </row>
    <row r="1496" spans="1:17" ht="15" x14ac:dyDescent="0.15">
      <c r="A1496" s="22"/>
      <c r="B1496" s="26" t="str">
        <f t="shared" si="92"/>
        <v/>
      </c>
      <c r="C1496" s="26" t="str">
        <f t="shared" si="93"/>
        <v/>
      </c>
      <c r="D1496" s="26" t="str">
        <f t="shared" si="94"/>
        <v/>
      </c>
      <c r="E1496" s="29"/>
      <c r="F1496" s="22"/>
      <c r="G1496" s="22"/>
      <c r="H1496" s="22"/>
      <c r="I1496" s="24"/>
      <c r="J1496" s="24"/>
      <c r="K1496" s="24"/>
      <c r="L1496" s="24"/>
      <c r="M1496" s="27" t="str">
        <f t="shared" si="95"/>
        <v/>
      </c>
      <c r="N1496" s="25"/>
      <c r="O1496" s="22"/>
      <c r="P1496" s="24"/>
      <c r="Q1496" s="26"/>
    </row>
    <row r="1497" spans="1:17" ht="15" x14ac:dyDescent="0.15">
      <c r="A1497" s="22"/>
      <c r="B1497" s="26" t="str">
        <f t="shared" si="92"/>
        <v/>
      </c>
      <c r="C1497" s="26" t="str">
        <f t="shared" si="93"/>
        <v/>
      </c>
      <c r="D1497" s="26" t="str">
        <f t="shared" si="94"/>
        <v/>
      </c>
      <c r="E1497" s="29"/>
      <c r="F1497" s="22"/>
      <c r="G1497" s="22"/>
      <c r="H1497" s="22"/>
      <c r="I1497" s="24"/>
      <c r="J1497" s="24"/>
      <c r="K1497" s="24"/>
      <c r="L1497" s="24"/>
      <c r="M1497" s="27" t="str">
        <f t="shared" si="95"/>
        <v/>
      </c>
      <c r="N1497" s="25"/>
      <c r="O1497" s="22"/>
      <c r="P1497" s="24"/>
      <c r="Q1497" s="26"/>
    </row>
    <row r="1498" spans="1:17" ht="15" x14ac:dyDescent="0.15">
      <c r="A1498" s="22"/>
      <c r="B1498" s="26" t="str">
        <f t="shared" si="92"/>
        <v/>
      </c>
      <c r="C1498" s="26" t="str">
        <f t="shared" si="93"/>
        <v/>
      </c>
      <c r="D1498" s="26" t="str">
        <f t="shared" si="94"/>
        <v/>
      </c>
      <c r="E1498" s="29"/>
      <c r="F1498" s="22"/>
      <c r="G1498" s="22"/>
      <c r="H1498" s="22"/>
      <c r="I1498" s="24"/>
      <c r="J1498" s="24"/>
      <c r="K1498" s="24"/>
      <c r="L1498" s="24"/>
      <c r="M1498" s="27" t="str">
        <f t="shared" si="95"/>
        <v/>
      </c>
      <c r="N1498" s="25"/>
      <c r="O1498" s="22"/>
      <c r="P1498" s="24"/>
      <c r="Q1498" s="26"/>
    </row>
    <row r="1499" spans="1:17" ht="15" x14ac:dyDescent="0.15">
      <c r="A1499" s="22"/>
      <c r="B1499" s="26" t="str">
        <f t="shared" si="92"/>
        <v/>
      </c>
      <c r="C1499" s="26" t="str">
        <f t="shared" si="93"/>
        <v/>
      </c>
      <c r="D1499" s="26" t="str">
        <f t="shared" si="94"/>
        <v/>
      </c>
      <c r="E1499" s="29"/>
      <c r="F1499" s="22"/>
      <c r="G1499" s="22"/>
      <c r="H1499" s="22"/>
      <c r="I1499" s="24"/>
      <c r="J1499" s="24"/>
      <c r="K1499" s="24"/>
      <c r="L1499" s="24"/>
      <c r="M1499" s="27" t="str">
        <f t="shared" si="95"/>
        <v/>
      </c>
      <c r="N1499" s="25"/>
      <c r="O1499" s="22"/>
      <c r="P1499" s="24"/>
      <c r="Q1499" s="26"/>
    </row>
    <row r="1500" spans="1:17" ht="15" x14ac:dyDescent="0.15">
      <c r="A1500" s="22"/>
      <c r="B1500" s="26" t="str">
        <f t="shared" si="92"/>
        <v/>
      </c>
      <c r="C1500" s="26" t="str">
        <f t="shared" si="93"/>
        <v/>
      </c>
      <c r="D1500" s="26" t="str">
        <f t="shared" si="94"/>
        <v/>
      </c>
      <c r="E1500" s="29"/>
      <c r="F1500" s="22"/>
      <c r="G1500" s="22"/>
      <c r="H1500" s="22"/>
      <c r="I1500" s="24"/>
      <c r="J1500" s="24"/>
      <c r="K1500" s="24"/>
      <c r="L1500" s="24"/>
      <c r="M1500" s="27" t="str">
        <f t="shared" si="95"/>
        <v/>
      </c>
      <c r="N1500" s="25"/>
      <c r="O1500" s="22"/>
      <c r="P1500" s="24"/>
      <c r="Q1500" s="26"/>
    </row>
    <row r="1501" spans="1:17" ht="15" x14ac:dyDescent="0.15">
      <c r="A1501" s="22"/>
      <c r="B1501" s="26" t="str">
        <f t="shared" si="92"/>
        <v/>
      </c>
      <c r="C1501" s="26" t="str">
        <f t="shared" si="93"/>
        <v/>
      </c>
      <c r="D1501" s="26" t="str">
        <f t="shared" si="94"/>
        <v/>
      </c>
      <c r="E1501" s="29"/>
      <c r="F1501" s="22"/>
      <c r="G1501" s="22"/>
      <c r="H1501" s="22"/>
      <c r="I1501" s="24"/>
      <c r="J1501" s="24"/>
      <c r="K1501" s="24"/>
      <c r="L1501" s="24"/>
      <c r="M1501" s="27" t="str">
        <f t="shared" si="95"/>
        <v/>
      </c>
      <c r="N1501" s="25"/>
      <c r="O1501" s="22"/>
      <c r="P1501" s="24"/>
      <c r="Q1501" s="26"/>
    </row>
    <row r="1502" spans="1:17" ht="15" x14ac:dyDescent="0.15">
      <c r="A1502" s="22"/>
      <c r="B1502" s="26" t="str">
        <f t="shared" si="92"/>
        <v/>
      </c>
      <c r="C1502" s="26" t="str">
        <f t="shared" si="93"/>
        <v/>
      </c>
      <c r="D1502" s="26" t="str">
        <f t="shared" si="94"/>
        <v/>
      </c>
      <c r="E1502" s="29"/>
      <c r="F1502" s="22"/>
      <c r="G1502" s="22"/>
      <c r="H1502" s="22"/>
      <c r="I1502" s="24"/>
      <c r="J1502" s="24"/>
      <c r="K1502" s="24"/>
      <c r="L1502" s="24"/>
      <c r="M1502" s="27" t="str">
        <f t="shared" si="95"/>
        <v/>
      </c>
      <c r="N1502" s="25"/>
      <c r="O1502" s="22"/>
      <c r="P1502" s="24"/>
      <c r="Q1502" s="26"/>
    </row>
    <row r="1503" spans="1:17" ht="15" x14ac:dyDescent="0.15">
      <c r="A1503" s="22"/>
      <c r="B1503" s="26" t="str">
        <f t="shared" si="92"/>
        <v/>
      </c>
      <c r="C1503" s="26" t="str">
        <f t="shared" si="93"/>
        <v/>
      </c>
      <c r="D1503" s="26" t="str">
        <f t="shared" si="94"/>
        <v/>
      </c>
      <c r="E1503" s="29"/>
      <c r="F1503" s="22"/>
      <c r="G1503" s="22"/>
      <c r="H1503" s="22"/>
      <c r="I1503" s="24"/>
      <c r="J1503" s="24"/>
      <c r="K1503" s="24"/>
      <c r="L1503" s="24"/>
      <c r="M1503" s="27" t="str">
        <f t="shared" si="95"/>
        <v/>
      </c>
      <c r="N1503" s="25"/>
      <c r="O1503" s="22"/>
      <c r="P1503" s="24"/>
      <c r="Q1503" s="26"/>
    </row>
    <row r="1504" spans="1:17" ht="15" x14ac:dyDescent="0.15">
      <c r="A1504" s="22"/>
      <c r="B1504" s="26" t="str">
        <f t="shared" si="92"/>
        <v/>
      </c>
      <c r="C1504" s="26" t="str">
        <f t="shared" si="93"/>
        <v/>
      </c>
      <c r="D1504" s="26" t="str">
        <f t="shared" si="94"/>
        <v/>
      </c>
      <c r="E1504" s="29"/>
      <c r="F1504" s="22"/>
      <c r="G1504" s="22"/>
      <c r="H1504" s="22"/>
      <c r="I1504" s="24"/>
      <c r="J1504" s="24"/>
      <c r="K1504" s="24"/>
      <c r="L1504" s="24"/>
      <c r="M1504" s="27" t="str">
        <f t="shared" si="95"/>
        <v/>
      </c>
      <c r="N1504" s="25"/>
      <c r="O1504" s="22"/>
      <c r="P1504" s="24"/>
      <c r="Q1504" s="26"/>
    </row>
    <row r="1505" spans="1:17" ht="15" x14ac:dyDescent="0.15">
      <c r="A1505" s="22"/>
      <c r="B1505" s="26" t="str">
        <f t="shared" si="92"/>
        <v/>
      </c>
      <c r="C1505" s="26" t="str">
        <f t="shared" si="93"/>
        <v/>
      </c>
      <c r="D1505" s="26" t="str">
        <f t="shared" si="94"/>
        <v/>
      </c>
      <c r="E1505" s="29"/>
      <c r="F1505" s="22"/>
      <c r="G1505" s="22"/>
      <c r="H1505" s="22"/>
      <c r="I1505" s="24"/>
      <c r="J1505" s="24"/>
      <c r="K1505" s="24"/>
      <c r="L1505" s="24"/>
      <c r="M1505" s="27" t="str">
        <f t="shared" si="95"/>
        <v/>
      </c>
      <c r="N1505" s="25"/>
      <c r="O1505" s="22"/>
      <c r="P1505" s="24"/>
      <c r="Q1505" s="26"/>
    </row>
    <row r="1506" spans="1:17" ht="15" x14ac:dyDescent="0.15">
      <c r="A1506" s="22"/>
      <c r="B1506" s="26" t="str">
        <f t="shared" si="92"/>
        <v/>
      </c>
      <c r="C1506" s="26" t="str">
        <f t="shared" si="93"/>
        <v/>
      </c>
      <c r="D1506" s="26" t="str">
        <f t="shared" si="94"/>
        <v/>
      </c>
      <c r="E1506" s="29"/>
      <c r="F1506" s="22"/>
      <c r="G1506" s="22"/>
      <c r="H1506" s="22"/>
      <c r="I1506" s="24"/>
      <c r="J1506" s="24"/>
      <c r="K1506" s="24"/>
      <c r="L1506" s="24"/>
      <c r="M1506" s="27" t="str">
        <f t="shared" si="95"/>
        <v/>
      </c>
      <c r="N1506" s="25"/>
      <c r="O1506" s="22"/>
      <c r="P1506" s="24"/>
      <c r="Q1506" s="26"/>
    </row>
    <row r="1507" spans="1:17" ht="15" x14ac:dyDescent="0.15">
      <c r="A1507" s="22"/>
      <c r="B1507" s="26" t="str">
        <f t="shared" si="92"/>
        <v/>
      </c>
      <c r="C1507" s="26" t="str">
        <f t="shared" si="93"/>
        <v/>
      </c>
      <c r="D1507" s="26" t="str">
        <f t="shared" si="94"/>
        <v/>
      </c>
      <c r="E1507" s="29"/>
      <c r="F1507" s="22"/>
      <c r="G1507" s="22"/>
      <c r="H1507" s="22"/>
      <c r="I1507" s="24"/>
      <c r="J1507" s="24"/>
      <c r="K1507" s="24"/>
      <c r="L1507" s="24"/>
      <c r="M1507" s="27" t="str">
        <f t="shared" si="95"/>
        <v/>
      </c>
      <c r="N1507" s="25"/>
      <c r="O1507" s="22"/>
      <c r="P1507" s="24"/>
      <c r="Q1507" s="26"/>
    </row>
    <row r="1508" spans="1:17" ht="15" x14ac:dyDescent="0.15">
      <c r="A1508" s="22"/>
      <c r="B1508" s="26" t="str">
        <f t="shared" si="92"/>
        <v/>
      </c>
      <c r="C1508" s="26" t="str">
        <f t="shared" si="93"/>
        <v/>
      </c>
      <c r="D1508" s="26" t="str">
        <f t="shared" si="94"/>
        <v/>
      </c>
      <c r="E1508" s="29"/>
      <c r="F1508" s="22"/>
      <c r="G1508" s="22"/>
      <c r="H1508" s="22"/>
      <c r="I1508" s="24"/>
      <c r="J1508" s="24"/>
      <c r="K1508" s="24"/>
      <c r="L1508" s="24"/>
      <c r="M1508" s="27" t="str">
        <f t="shared" si="95"/>
        <v/>
      </c>
      <c r="N1508" s="25"/>
      <c r="O1508" s="22"/>
      <c r="P1508" s="24"/>
      <c r="Q1508" s="26"/>
    </row>
    <row r="1509" spans="1:17" ht="15" x14ac:dyDescent="0.15">
      <c r="A1509" s="22"/>
      <c r="B1509" s="26" t="str">
        <f t="shared" si="92"/>
        <v/>
      </c>
      <c r="C1509" s="26" t="str">
        <f t="shared" si="93"/>
        <v/>
      </c>
      <c r="D1509" s="26" t="str">
        <f t="shared" si="94"/>
        <v/>
      </c>
      <c r="E1509" s="29"/>
      <c r="F1509" s="22"/>
      <c r="G1509" s="22"/>
      <c r="H1509" s="22"/>
      <c r="I1509" s="24"/>
      <c r="J1509" s="24"/>
      <c r="K1509" s="24"/>
      <c r="L1509" s="24"/>
      <c r="M1509" s="27" t="str">
        <f t="shared" si="95"/>
        <v/>
      </c>
      <c r="N1509" s="25"/>
      <c r="O1509" s="22"/>
      <c r="P1509" s="24"/>
      <c r="Q1509" s="26"/>
    </row>
    <row r="1510" spans="1:17" ht="15" x14ac:dyDescent="0.15">
      <c r="A1510" s="22"/>
      <c r="B1510" s="26" t="str">
        <f t="shared" si="92"/>
        <v/>
      </c>
      <c r="C1510" s="26" t="str">
        <f t="shared" si="93"/>
        <v/>
      </c>
      <c r="D1510" s="26" t="str">
        <f t="shared" si="94"/>
        <v/>
      </c>
      <c r="E1510" s="29"/>
      <c r="F1510" s="22"/>
      <c r="G1510" s="22"/>
      <c r="H1510" s="22"/>
      <c r="I1510" s="24"/>
      <c r="J1510" s="24"/>
      <c r="K1510" s="24"/>
      <c r="L1510" s="24"/>
      <c r="M1510" s="27" t="str">
        <f t="shared" si="95"/>
        <v/>
      </c>
      <c r="N1510" s="25"/>
      <c r="O1510" s="22"/>
      <c r="P1510" s="24"/>
      <c r="Q1510" s="26"/>
    </row>
    <row r="1511" spans="1:17" ht="15" x14ac:dyDescent="0.15">
      <c r="A1511" s="22"/>
      <c r="B1511" s="26" t="str">
        <f t="shared" si="92"/>
        <v/>
      </c>
      <c r="C1511" s="26" t="str">
        <f t="shared" si="93"/>
        <v/>
      </c>
      <c r="D1511" s="26" t="str">
        <f t="shared" si="94"/>
        <v/>
      </c>
      <c r="E1511" s="29"/>
      <c r="F1511" s="22"/>
      <c r="G1511" s="22"/>
      <c r="H1511" s="22"/>
      <c r="I1511" s="24"/>
      <c r="J1511" s="24"/>
      <c r="K1511" s="24"/>
      <c r="L1511" s="24"/>
      <c r="M1511" s="27" t="str">
        <f t="shared" si="95"/>
        <v/>
      </c>
      <c r="N1511" s="25"/>
      <c r="O1511" s="22"/>
      <c r="P1511" s="24"/>
      <c r="Q1511" s="26"/>
    </row>
    <row r="1512" spans="1:17" ht="15" x14ac:dyDescent="0.15">
      <c r="A1512" s="22"/>
      <c r="B1512" s="26" t="str">
        <f t="shared" si="92"/>
        <v/>
      </c>
      <c r="C1512" s="26" t="str">
        <f t="shared" si="93"/>
        <v/>
      </c>
      <c r="D1512" s="26" t="str">
        <f t="shared" si="94"/>
        <v/>
      </c>
      <c r="E1512" s="29"/>
      <c r="F1512" s="22"/>
      <c r="G1512" s="22"/>
      <c r="H1512" s="22"/>
      <c r="I1512" s="24"/>
      <c r="J1512" s="24"/>
      <c r="K1512" s="24"/>
      <c r="L1512" s="24"/>
      <c r="M1512" s="27" t="str">
        <f t="shared" si="95"/>
        <v/>
      </c>
      <c r="N1512" s="25"/>
      <c r="O1512" s="22"/>
      <c r="P1512" s="24"/>
      <c r="Q1512" s="26"/>
    </row>
    <row r="1513" spans="1:17" ht="15" x14ac:dyDescent="0.15">
      <c r="A1513" s="22"/>
      <c r="B1513" s="26" t="str">
        <f t="shared" si="92"/>
        <v/>
      </c>
      <c r="C1513" s="26" t="str">
        <f t="shared" si="93"/>
        <v/>
      </c>
      <c r="D1513" s="26" t="str">
        <f t="shared" si="94"/>
        <v/>
      </c>
      <c r="E1513" s="29"/>
      <c r="F1513" s="22"/>
      <c r="G1513" s="22"/>
      <c r="H1513" s="22"/>
      <c r="I1513" s="24"/>
      <c r="J1513" s="24"/>
      <c r="K1513" s="24"/>
      <c r="L1513" s="24"/>
      <c r="M1513" s="27" t="str">
        <f t="shared" si="95"/>
        <v/>
      </c>
      <c r="N1513" s="25"/>
      <c r="O1513" s="22"/>
      <c r="P1513" s="24"/>
      <c r="Q1513" s="26"/>
    </row>
    <row r="1514" spans="1:17" ht="15" x14ac:dyDescent="0.15">
      <c r="A1514" s="22"/>
      <c r="B1514" s="26" t="str">
        <f t="shared" si="92"/>
        <v/>
      </c>
      <c r="C1514" s="26" t="str">
        <f t="shared" si="93"/>
        <v/>
      </c>
      <c r="D1514" s="26" t="str">
        <f t="shared" si="94"/>
        <v/>
      </c>
      <c r="E1514" s="29"/>
      <c r="F1514" s="22"/>
      <c r="G1514" s="22"/>
      <c r="H1514" s="22"/>
      <c r="I1514" s="24"/>
      <c r="J1514" s="24"/>
      <c r="K1514" s="24"/>
      <c r="L1514" s="24"/>
      <c r="M1514" s="27" t="str">
        <f t="shared" si="95"/>
        <v/>
      </c>
      <c r="N1514" s="25"/>
      <c r="O1514" s="22"/>
      <c r="P1514" s="24"/>
      <c r="Q1514" s="26"/>
    </row>
    <row r="1515" spans="1:17" ht="15" x14ac:dyDescent="0.15">
      <c r="A1515" s="22"/>
      <c r="B1515" s="26" t="str">
        <f t="shared" si="92"/>
        <v/>
      </c>
      <c r="C1515" s="26" t="str">
        <f t="shared" si="93"/>
        <v/>
      </c>
      <c r="D1515" s="26" t="str">
        <f t="shared" si="94"/>
        <v/>
      </c>
      <c r="E1515" s="29"/>
      <c r="F1515" s="22"/>
      <c r="G1515" s="22"/>
      <c r="H1515" s="22"/>
      <c r="I1515" s="24"/>
      <c r="J1515" s="24"/>
      <c r="K1515" s="24"/>
      <c r="L1515" s="24"/>
      <c r="M1515" s="27" t="str">
        <f t="shared" si="95"/>
        <v/>
      </c>
      <c r="N1515" s="25"/>
      <c r="O1515" s="22"/>
      <c r="P1515" s="24"/>
      <c r="Q1515" s="26"/>
    </row>
    <row r="1516" spans="1:17" ht="15" x14ac:dyDescent="0.15">
      <c r="A1516" s="22"/>
      <c r="B1516" s="26" t="str">
        <f t="shared" si="92"/>
        <v/>
      </c>
      <c r="C1516" s="26" t="str">
        <f t="shared" si="93"/>
        <v/>
      </c>
      <c r="D1516" s="26" t="str">
        <f t="shared" si="94"/>
        <v/>
      </c>
      <c r="E1516" s="29"/>
      <c r="F1516" s="22"/>
      <c r="G1516" s="22"/>
      <c r="H1516" s="22"/>
      <c r="I1516" s="24"/>
      <c r="J1516" s="24"/>
      <c r="K1516" s="24"/>
      <c r="L1516" s="24"/>
      <c r="M1516" s="27" t="str">
        <f t="shared" si="95"/>
        <v/>
      </c>
      <c r="N1516" s="25"/>
      <c r="O1516" s="22"/>
      <c r="P1516" s="24"/>
      <c r="Q1516" s="26"/>
    </row>
    <row r="1517" spans="1:17" ht="15" x14ac:dyDescent="0.15">
      <c r="A1517" s="22"/>
      <c r="B1517" s="26" t="str">
        <f t="shared" si="92"/>
        <v/>
      </c>
      <c r="C1517" s="26" t="str">
        <f t="shared" si="93"/>
        <v/>
      </c>
      <c r="D1517" s="26" t="str">
        <f t="shared" si="94"/>
        <v/>
      </c>
      <c r="E1517" s="29"/>
      <c r="F1517" s="22"/>
      <c r="G1517" s="22"/>
      <c r="H1517" s="22"/>
      <c r="I1517" s="24"/>
      <c r="J1517" s="24"/>
      <c r="K1517" s="24"/>
      <c r="L1517" s="24"/>
      <c r="M1517" s="27" t="str">
        <f t="shared" si="95"/>
        <v/>
      </c>
      <c r="N1517" s="25"/>
      <c r="O1517" s="22"/>
      <c r="P1517" s="24"/>
      <c r="Q1517" s="26"/>
    </row>
    <row r="1518" spans="1:17" ht="15" x14ac:dyDescent="0.15">
      <c r="A1518" s="22"/>
      <c r="B1518" s="26" t="str">
        <f t="shared" si="92"/>
        <v/>
      </c>
      <c r="C1518" s="26" t="str">
        <f t="shared" si="93"/>
        <v/>
      </c>
      <c r="D1518" s="26" t="str">
        <f t="shared" si="94"/>
        <v/>
      </c>
      <c r="E1518" s="29"/>
      <c r="F1518" s="22"/>
      <c r="G1518" s="22"/>
      <c r="H1518" s="22"/>
      <c r="I1518" s="24"/>
      <c r="J1518" s="24"/>
      <c r="K1518" s="24"/>
      <c r="L1518" s="24"/>
      <c r="M1518" s="27" t="str">
        <f t="shared" si="95"/>
        <v/>
      </c>
      <c r="N1518" s="25"/>
      <c r="O1518" s="22"/>
      <c r="P1518" s="24"/>
      <c r="Q1518" s="26"/>
    </row>
    <row r="1519" spans="1:17" ht="15" x14ac:dyDescent="0.15">
      <c r="A1519" s="22"/>
      <c r="B1519" s="26" t="str">
        <f t="shared" si="92"/>
        <v/>
      </c>
      <c r="C1519" s="26" t="str">
        <f t="shared" si="93"/>
        <v/>
      </c>
      <c r="D1519" s="26" t="str">
        <f t="shared" si="94"/>
        <v/>
      </c>
      <c r="E1519" s="29"/>
      <c r="F1519" s="22"/>
      <c r="G1519" s="22"/>
      <c r="H1519" s="22"/>
      <c r="I1519" s="24"/>
      <c r="J1519" s="24"/>
      <c r="K1519" s="24"/>
      <c r="L1519" s="24"/>
      <c r="M1519" s="27" t="str">
        <f t="shared" si="95"/>
        <v/>
      </c>
      <c r="N1519" s="25"/>
      <c r="O1519" s="22"/>
      <c r="P1519" s="24"/>
      <c r="Q1519" s="26"/>
    </row>
    <row r="1520" spans="1:17" ht="15" x14ac:dyDescent="0.15">
      <c r="A1520" s="22"/>
      <c r="B1520" s="26" t="str">
        <f t="shared" si="92"/>
        <v/>
      </c>
      <c r="C1520" s="26" t="str">
        <f t="shared" si="93"/>
        <v/>
      </c>
      <c r="D1520" s="26" t="str">
        <f t="shared" si="94"/>
        <v/>
      </c>
      <c r="E1520" s="29"/>
      <c r="F1520" s="22"/>
      <c r="G1520" s="22"/>
      <c r="H1520" s="22"/>
      <c r="I1520" s="24"/>
      <c r="J1520" s="24"/>
      <c r="K1520" s="24"/>
      <c r="L1520" s="24"/>
      <c r="M1520" s="27" t="str">
        <f t="shared" si="95"/>
        <v/>
      </c>
      <c r="N1520" s="25"/>
      <c r="O1520" s="22"/>
      <c r="P1520" s="24"/>
      <c r="Q1520" s="26"/>
    </row>
    <row r="1521" spans="1:17" ht="15" x14ac:dyDescent="0.15">
      <c r="A1521" s="22"/>
      <c r="B1521" s="26" t="str">
        <f t="shared" si="92"/>
        <v/>
      </c>
      <c r="C1521" s="26" t="str">
        <f t="shared" si="93"/>
        <v/>
      </c>
      <c r="D1521" s="26" t="str">
        <f t="shared" si="94"/>
        <v/>
      </c>
      <c r="E1521" s="29"/>
      <c r="F1521" s="22"/>
      <c r="G1521" s="22"/>
      <c r="H1521" s="22"/>
      <c r="I1521" s="24"/>
      <c r="J1521" s="24"/>
      <c r="K1521" s="24"/>
      <c r="L1521" s="24"/>
      <c r="M1521" s="27" t="str">
        <f t="shared" si="95"/>
        <v/>
      </c>
      <c r="N1521" s="25"/>
      <c r="O1521" s="22"/>
      <c r="P1521" s="24"/>
      <c r="Q1521" s="26"/>
    </row>
    <row r="1522" spans="1:17" ht="15" x14ac:dyDescent="0.15">
      <c r="A1522" s="22"/>
      <c r="B1522" s="26" t="str">
        <f t="shared" si="92"/>
        <v/>
      </c>
      <c r="C1522" s="26" t="str">
        <f t="shared" si="93"/>
        <v/>
      </c>
      <c r="D1522" s="26" t="str">
        <f t="shared" si="94"/>
        <v/>
      </c>
      <c r="E1522" s="29"/>
      <c r="F1522" s="22"/>
      <c r="G1522" s="22"/>
      <c r="H1522" s="22"/>
      <c r="I1522" s="24"/>
      <c r="J1522" s="24"/>
      <c r="K1522" s="24"/>
      <c r="L1522" s="24"/>
      <c r="M1522" s="27" t="str">
        <f t="shared" si="95"/>
        <v/>
      </c>
      <c r="N1522" s="25"/>
      <c r="O1522" s="22"/>
      <c r="P1522" s="24"/>
      <c r="Q1522" s="26"/>
    </row>
    <row r="1523" spans="1:17" ht="15" x14ac:dyDescent="0.15">
      <c r="A1523" s="22"/>
      <c r="B1523" s="26" t="str">
        <f t="shared" si="92"/>
        <v/>
      </c>
      <c r="C1523" s="26" t="str">
        <f t="shared" si="93"/>
        <v/>
      </c>
      <c r="D1523" s="26" t="str">
        <f t="shared" si="94"/>
        <v/>
      </c>
      <c r="E1523" s="29"/>
      <c r="F1523" s="22"/>
      <c r="G1523" s="22"/>
      <c r="H1523" s="22"/>
      <c r="I1523" s="24"/>
      <c r="J1523" s="24"/>
      <c r="K1523" s="24"/>
      <c r="L1523" s="24"/>
      <c r="M1523" s="27" t="str">
        <f t="shared" si="95"/>
        <v/>
      </c>
      <c r="N1523" s="25"/>
      <c r="O1523" s="22"/>
      <c r="P1523" s="24"/>
      <c r="Q1523" s="26"/>
    </row>
    <row r="1524" spans="1:17" ht="15" x14ac:dyDescent="0.15">
      <c r="A1524" s="22"/>
      <c r="B1524" s="26" t="str">
        <f t="shared" si="92"/>
        <v/>
      </c>
      <c r="C1524" s="26" t="str">
        <f t="shared" si="93"/>
        <v/>
      </c>
      <c r="D1524" s="26" t="str">
        <f t="shared" si="94"/>
        <v/>
      </c>
      <c r="E1524" s="29"/>
      <c r="F1524" s="22"/>
      <c r="G1524" s="22"/>
      <c r="H1524" s="22"/>
      <c r="I1524" s="24"/>
      <c r="J1524" s="24"/>
      <c r="K1524" s="24"/>
      <c r="L1524" s="24"/>
      <c r="M1524" s="27" t="str">
        <f t="shared" si="95"/>
        <v/>
      </c>
      <c r="N1524" s="25"/>
      <c r="O1524" s="22"/>
      <c r="P1524" s="24"/>
      <c r="Q1524" s="26"/>
    </row>
    <row r="1525" spans="1:17" ht="15" x14ac:dyDescent="0.15">
      <c r="A1525" s="22"/>
      <c r="B1525" s="26" t="str">
        <f t="shared" si="92"/>
        <v/>
      </c>
      <c r="C1525" s="26" t="str">
        <f t="shared" si="93"/>
        <v/>
      </c>
      <c r="D1525" s="26" t="str">
        <f t="shared" si="94"/>
        <v/>
      </c>
      <c r="E1525" s="29"/>
      <c r="F1525" s="22"/>
      <c r="G1525" s="22"/>
      <c r="H1525" s="22"/>
      <c r="I1525" s="24"/>
      <c r="J1525" s="24"/>
      <c r="K1525" s="24"/>
      <c r="L1525" s="24"/>
      <c r="M1525" s="27" t="str">
        <f t="shared" si="95"/>
        <v/>
      </c>
      <c r="N1525" s="25"/>
      <c r="O1525" s="22"/>
      <c r="P1525" s="24"/>
      <c r="Q1525" s="26"/>
    </row>
    <row r="1526" spans="1:17" ht="15" x14ac:dyDescent="0.15">
      <c r="A1526" s="22"/>
      <c r="B1526" s="26" t="str">
        <f t="shared" si="92"/>
        <v/>
      </c>
      <c r="C1526" s="26" t="str">
        <f t="shared" si="93"/>
        <v/>
      </c>
      <c r="D1526" s="26" t="str">
        <f t="shared" si="94"/>
        <v/>
      </c>
      <c r="E1526" s="29"/>
      <c r="F1526" s="22"/>
      <c r="G1526" s="22"/>
      <c r="H1526" s="22"/>
      <c r="I1526" s="24"/>
      <c r="J1526" s="24"/>
      <c r="K1526" s="24"/>
      <c r="L1526" s="24"/>
      <c r="M1526" s="27" t="str">
        <f t="shared" si="95"/>
        <v/>
      </c>
      <c r="N1526" s="25"/>
      <c r="O1526" s="22"/>
      <c r="P1526" s="24"/>
      <c r="Q1526" s="26"/>
    </row>
    <row r="1527" spans="1:17" ht="15" x14ac:dyDescent="0.15">
      <c r="A1527" s="22"/>
      <c r="B1527" s="26" t="str">
        <f t="shared" si="92"/>
        <v/>
      </c>
      <c r="C1527" s="26" t="str">
        <f t="shared" si="93"/>
        <v/>
      </c>
      <c r="D1527" s="26" t="str">
        <f t="shared" si="94"/>
        <v/>
      </c>
      <c r="E1527" s="29"/>
      <c r="F1527" s="22"/>
      <c r="G1527" s="22"/>
      <c r="H1527" s="22"/>
      <c r="I1527" s="24"/>
      <c r="J1527" s="24"/>
      <c r="K1527" s="24"/>
      <c r="L1527" s="24"/>
      <c r="M1527" s="27" t="str">
        <f t="shared" si="95"/>
        <v/>
      </c>
      <c r="N1527" s="25"/>
      <c r="O1527" s="22"/>
      <c r="P1527" s="24"/>
      <c r="Q1527" s="26"/>
    </row>
    <row r="1528" spans="1:17" ht="15" x14ac:dyDescent="0.15">
      <c r="A1528" s="22"/>
      <c r="B1528" s="26" t="str">
        <f t="shared" si="92"/>
        <v/>
      </c>
      <c r="C1528" s="26" t="str">
        <f t="shared" si="93"/>
        <v/>
      </c>
      <c r="D1528" s="26" t="str">
        <f t="shared" si="94"/>
        <v/>
      </c>
      <c r="E1528" s="29"/>
      <c r="F1528" s="22"/>
      <c r="G1528" s="22"/>
      <c r="H1528" s="22"/>
      <c r="I1528" s="24"/>
      <c r="J1528" s="24"/>
      <c r="K1528" s="24"/>
      <c r="L1528" s="24"/>
      <c r="M1528" s="27" t="str">
        <f t="shared" si="95"/>
        <v/>
      </c>
      <c r="N1528" s="25"/>
      <c r="O1528" s="22"/>
      <c r="P1528" s="24"/>
      <c r="Q1528" s="26"/>
    </row>
    <row r="1529" spans="1:17" ht="15" x14ac:dyDescent="0.15">
      <c r="A1529" s="22"/>
      <c r="B1529" s="26" t="str">
        <f t="shared" si="92"/>
        <v/>
      </c>
      <c r="C1529" s="26" t="str">
        <f t="shared" si="93"/>
        <v/>
      </c>
      <c r="D1529" s="26" t="str">
        <f t="shared" si="94"/>
        <v/>
      </c>
      <c r="E1529" s="29"/>
      <c r="F1529" s="22"/>
      <c r="G1529" s="22"/>
      <c r="H1529" s="22"/>
      <c r="I1529" s="24"/>
      <c r="J1529" s="24"/>
      <c r="K1529" s="24"/>
      <c r="L1529" s="24"/>
      <c r="M1529" s="27" t="str">
        <f t="shared" si="95"/>
        <v/>
      </c>
      <c r="N1529" s="25"/>
      <c r="O1529" s="22"/>
      <c r="P1529" s="24"/>
      <c r="Q1529" s="26"/>
    </row>
    <row r="1530" spans="1:17" ht="15" x14ac:dyDescent="0.15">
      <c r="A1530" s="22"/>
      <c r="B1530" s="26" t="str">
        <f t="shared" si="92"/>
        <v/>
      </c>
      <c r="C1530" s="26" t="str">
        <f t="shared" si="93"/>
        <v/>
      </c>
      <c r="D1530" s="26" t="str">
        <f t="shared" si="94"/>
        <v/>
      </c>
      <c r="E1530" s="29"/>
      <c r="F1530" s="22"/>
      <c r="G1530" s="22"/>
      <c r="H1530" s="22"/>
      <c r="I1530" s="24"/>
      <c r="J1530" s="24"/>
      <c r="K1530" s="24"/>
      <c r="L1530" s="24"/>
      <c r="M1530" s="27" t="str">
        <f t="shared" si="95"/>
        <v/>
      </c>
      <c r="N1530" s="25"/>
      <c r="O1530" s="22"/>
      <c r="P1530" s="24"/>
      <c r="Q1530" s="26"/>
    </row>
    <row r="1531" spans="1:17" ht="15" x14ac:dyDescent="0.15">
      <c r="A1531" s="22"/>
      <c r="B1531" s="26" t="str">
        <f t="shared" si="92"/>
        <v/>
      </c>
      <c r="C1531" s="26" t="str">
        <f t="shared" si="93"/>
        <v/>
      </c>
      <c r="D1531" s="26" t="str">
        <f t="shared" si="94"/>
        <v/>
      </c>
      <c r="E1531" s="29"/>
      <c r="F1531" s="22"/>
      <c r="G1531" s="22"/>
      <c r="H1531" s="22"/>
      <c r="I1531" s="24"/>
      <c r="J1531" s="24"/>
      <c r="K1531" s="24"/>
      <c r="L1531" s="24"/>
      <c r="M1531" s="27" t="str">
        <f t="shared" si="95"/>
        <v/>
      </c>
      <c r="N1531" s="25"/>
      <c r="O1531" s="22"/>
      <c r="P1531" s="24"/>
      <c r="Q1531" s="26"/>
    </row>
    <row r="1532" spans="1:17" ht="15" x14ac:dyDescent="0.15">
      <c r="A1532" s="22"/>
      <c r="B1532" s="26" t="str">
        <f t="shared" si="92"/>
        <v/>
      </c>
      <c r="C1532" s="26" t="str">
        <f t="shared" si="93"/>
        <v/>
      </c>
      <c r="D1532" s="26" t="str">
        <f t="shared" si="94"/>
        <v/>
      </c>
      <c r="E1532" s="29"/>
      <c r="F1532" s="22"/>
      <c r="G1532" s="22"/>
      <c r="H1532" s="22"/>
      <c r="I1532" s="24"/>
      <c r="J1532" s="24"/>
      <c r="K1532" s="24"/>
      <c r="L1532" s="24"/>
      <c r="M1532" s="27" t="str">
        <f t="shared" si="95"/>
        <v/>
      </c>
      <c r="N1532" s="25"/>
      <c r="O1532" s="22"/>
      <c r="P1532" s="24"/>
      <c r="Q1532" s="26"/>
    </row>
    <row r="1533" spans="1:17" ht="15" x14ac:dyDescent="0.15">
      <c r="A1533" s="22"/>
      <c r="B1533" s="26" t="str">
        <f t="shared" si="92"/>
        <v/>
      </c>
      <c r="C1533" s="26" t="str">
        <f t="shared" si="93"/>
        <v/>
      </c>
      <c r="D1533" s="26" t="str">
        <f t="shared" si="94"/>
        <v/>
      </c>
      <c r="E1533" s="29"/>
      <c r="F1533" s="22"/>
      <c r="G1533" s="22"/>
      <c r="H1533" s="22"/>
      <c r="I1533" s="24"/>
      <c r="J1533" s="24"/>
      <c r="K1533" s="24"/>
      <c r="L1533" s="24"/>
      <c r="M1533" s="27" t="str">
        <f t="shared" si="95"/>
        <v/>
      </c>
      <c r="N1533" s="25"/>
      <c r="O1533" s="22"/>
      <c r="P1533" s="24"/>
      <c r="Q1533" s="26"/>
    </row>
    <row r="1534" spans="1:17" ht="15" x14ac:dyDescent="0.15">
      <c r="A1534" s="22"/>
      <c r="B1534" s="26" t="str">
        <f t="shared" si="92"/>
        <v/>
      </c>
      <c r="C1534" s="26" t="str">
        <f t="shared" si="93"/>
        <v/>
      </c>
      <c r="D1534" s="26" t="str">
        <f t="shared" si="94"/>
        <v/>
      </c>
      <c r="E1534" s="29"/>
      <c r="F1534" s="22"/>
      <c r="G1534" s="22"/>
      <c r="H1534" s="22"/>
      <c r="I1534" s="24"/>
      <c r="J1534" s="24"/>
      <c r="K1534" s="24"/>
      <c r="L1534" s="24"/>
      <c r="M1534" s="27" t="str">
        <f t="shared" si="95"/>
        <v/>
      </c>
      <c r="N1534" s="25"/>
      <c r="O1534" s="22"/>
      <c r="P1534" s="24"/>
      <c r="Q1534" s="26"/>
    </row>
    <row r="1535" spans="1:17" ht="15" x14ac:dyDescent="0.15">
      <c r="A1535" s="22"/>
      <c r="B1535" s="26" t="str">
        <f t="shared" si="92"/>
        <v/>
      </c>
      <c r="C1535" s="26" t="str">
        <f t="shared" si="93"/>
        <v/>
      </c>
      <c r="D1535" s="26" t="str">
        <f t="shared" si="94"/>
        <v/>
      </c>
      <c r="E1535" s="29"/>
      <c r="F1535" s="22"/>
      <c r="G1535" s="22"/>
      <c r="H1535" s="22"/>
      <c r="I1535" s="24"/>
      <c r="J1535" s="24"/>
      <c r="K1535" s="24"/>
      <c r="L1535" s="24"/>
      <c r="M1535" s="27" t="str">
        <f t="shared" si="95"/>
        <v/>
      </c>
      <c r="N1535" s="25"/>
      <c r="O1535" s="22"/>
      <c r="P1535" s="24"/>
      <c r="Q1535" s="26"/>
    </row>
    <row r="1536" spans="1:17" ht="15" x14ac:dyDescent="0.15">
      <c r="A1536" s="22"/>
      <c r="B1536" s="26" t="str">
        <f t="shared" si="92"/>
        <v/>
      </c>
      <c r="C1536" s="26" t="str">
        <f t="shared" si="93"/>
        <v/>
      </c>
      <c r="D1536" s="26" t="str">
        <f t="shared" si="94"/>
        <v/>
      </c>
      <c r="E1536" s="29"/>
      <c r="F1536" s="22"/>
      <c r="G1536" s="22"/>
      <c r="H1536" s="22"/>
      <c r="I1536" s="24"/>
      <c r="J1536" s="24"/>
      <c r="K1536" s="24"/>
      <c r="L1536" s="24"/>
      <c r="M1536" s="27" t="str">
        <f t="shared" si="95"/>
        <v/>
      </c>
      <c r="N1536" s="25"/>
      <c r="O1536" s="22"/>
      <c r="P1536" s="24"/>
      <c r="Q1536" s="26"/>
    </row>
    <row r="1537" spans="1:17" ht="15" x14ac:dyDescent="0.15">
      <c r="A1537" s="22"/>
      <c r="B1537" s="26" t="str">
        <f t="shared" si="92"/>
        <v/>
      </c>
      <c r="C1537" s="26" t="str">
        <f t="shared" si="93"/>
        <v/>
      </c>
      <c r="D1537" s="26" t="str">
        <f t="shared" si="94"/>
        <v/>
      </c>
      <c r="E1537" s="29"/>
      <c r="F1537" s="22"/>
      <c r="G1537" s="22"/>
      <c r="H1537" s="22"/>
      <c r="I1537" s="24"/>
      <c r="J1537" s="24"/>
      <c r="K1537" s="24"/>
      <c r="L1537" s="24"/>
      <c r="M1537" s="27" t="str">
        <f t="shared" si="95"/>
        <v/>
      </c>
      <c r="N1537" s="25"/>
      <c r="O1537" s="22"/>
      <c r="P1537" s="24"/>
      <c r="Q1537" s="26"/>
    </row>
    <row r="1538" spans="1:17" ht="15" x14ac:dyDescent="0.15">
      <c r="A1538" s="22"/>
      <c r="B1538" s="26" t="str">
        <f t="shared" si="92"/>
        <v/>
      </c>
      <c r="C1538" s="26" t="str">
        <f t="shared" si="93"/>
        <v/>
      </c>
      <c r="D1538" s="26" t="str">
        <f t="shared" si="94"/>
        <v/>
      </c>
      <c r="E1538" s="29"/>
      <c r="F1538" s="22"/>
      <c r="G1538" s="22"/>
      <c r="H1538" s="22"/>
      <c r="I1538" s="24"/>
      <c r="J1538" s="24"/>
      <c r="K1538" s="24"/>
      <c r="L1538" s="24"/>
      <c r="M1538" s="27" t="str">
        <f t="shared" si="95"/>
        <v/>
      </c>
      <c r="N1538" s="25"/>
      <c r="O1538" s="22"/>
      <c r="P1538" s="24"/>
      <c r="Q1538" s="26"/>
    </row>
    <row r="1539" spans="1:17" ht="15" x14ac:dyDescent="0.15">
      <c r="A1539" s="22"/>
      <c r="B1539" s="26" t="str">
        <f t="shared" si="92"/>
        <v/>
      </c>
      <c r="C1539" s="26" t="str">
        <f t="shared" si="93"/>
        <v/>
      </c>
      <c r="D1539" s="26" t="str">
        <f t="shared" si="94"/>
        <v/>
      </c>
      <c r="E1539" s="29"/>
      <c r="F1539" s="22"/>
      <c r="G1539" s="22"/>
      <c r="H1539" s="22"/>
      <c r="I1539" s="24"/>
      <c r="J1539" s="24"/>
      <c r="K1539" s="24"/>
      <c r="L1539" s="24"/>
      <c r="M1539" s="27" t="str">
        <f t="shared" si="95"/>
        <v/>
      </c>
      <c r="N1539" s="25"/>
      <c r="O1539" s="22"/>
      <c r="P1539" s="24"/>
      <c r="Q1539" s="26"/>
    </row>
    <row r="1540" spans="1:17" ht="15" x14ac:dyDescent="0.15">
      <c r="A1540" s="22"/>
      <c r="B1540" s="26" t="str">
        <f t="shared" si="92"/>
        <v/>
      </c>
      <c r="C1540" s="26" t="str">
        <f t="shared" si="93"/>
        <v/>
      </c>
      <c r="D1540" s="26" t="str">
        <f t="shared" si="94"/>
        <v/>
      </c>
      <c r="E1540" s="29"/>
      <c r="F1540" s="22"/>
      <c r="G1540" s="22"/>
      <c r="H1540" s="22"/>
      <c r="I1540" s="24"/>
      <c r="J1540" s="24"/>
      <c r="K1540" s="24"/>
      <c r="L1540" s="24"/>
      <c r="M1540" s="27" t="str">
        <f t="shared" si="95"/>
        <v/>
      </c>
      <c r="N1540" s="25"/>
      <c r="O1540" s="22"/>
      <c r="P1540" s="24"/>
      <c r="Q1540" s="26"/>
    </row>
    <row r="1541" spans="1:17" ht="15" x14ac:dyDescent="0.15">
      <c r="A1541" s="22"/>
      <c r="B1541" s="26" t="str">
        <f t="shared" si="92"/>
        <v/>
      </c>
      <c r="C1541" s="26" t="str">
        <f t="shared" si="93"/>
        <v/>
      </c>
      <c r="D1541" s="26" t="str">
        <f t="shared" si="94"/>
        <v/>
      </c>
      <c r="E1541" s="29"/>
      <c r="F1541" s="22"/>
      <c r="G1541" s="22"/>
      <c r="H1541" s="22"/>
      <c r="I1541" s="24"/>
      <c r="J1541" s="24"/>
      <c r="K1541" s="24"/>
      <c r="L1541" s="24"/>
      <c r="M1541" s="27" t="str">
        <f t="shared" si="95"/>
        <v/>
      </c>
      <c r="N1541" s="25"/>
      <c r="O1541" s="22"/>
      <c r="P1541" s="24"/>
      <c r="Q1541" s="26"/>
    </row>
    <row r="1542" spans="1:17" ht="15" x14ac:dyDescent="0.15">
      <c r="A1542" s="22"/>
      <c r="B1542" s="26" t="str">
        <f t="shared" si="92"/>
        <v/>
      </c>
      <c r="C1542" s="26" t="str">
        <f t="shared" si="93"/>
        <v/>
      </c>
      <c r="D1542" s="26" t="str">
        <f t="shared" si="94"/>
        <v/>
      </c>
      <c r="E1542" s="29"/>
      <c r="F1542" s="22"/>
      <c r="G1542" s="22"/>
      <c r="H1542" s="22"/>
      <c r="I1542" s="24"/>
      <c r="J1542" s="24"/>
      <c r="K1542" s="24"/>
      <c r="L1542" s="24"/>
      <c r="M1542" s="27" t="str">
        <f t="shared" si="95"/>
        <v/>
      </c>
      <c r="N1542" s="25"/>
      <c r="O1542" s="22"/>
      <c r="P1542" s="24"/>
      <c r="Q1542" s="26"/>
    </row>
    <row r="1543" spans="1:17" ht="15" x14ac:dyDescent="0.15">
      <c r="A1543" s="22"/>
      <c r="B1543" s="26" t="str">
        <f t="shared" ref="B1543:B1606" si="96">IFERROR(IF($A1543="","",LEFT($A1543,FIND(" | ",$A1543)-1)),"")</f>
        <v/>
      </c>
      <c r="C1543" s="26" t="str">
        <f t="shared" ref="C1543:C1606" si="97">IFERROR(IF($A1543="","",MID($A1543,FIND(" | ",$A1543)+3,FIND(" | ",$A1543,FIND(" | ",$A1543)+3)-FIND(" | ",$A1543)-3)),"")</f>
        <v/>
      </c>
      <c r="D1543" s="26" t="str">
        <f t="shared" ref="D1543:D1606" si="98">IFERROR(IF($A1543="","",RIGHT($A1543,LEN($A1543)-FIND(" | ",$A1543,FIND(" | ",$A1543)+3)-2)),"")</f>
        <v/>
      </c>
      <c r="E1543" s="29"/>
      <c r="F1543" s="22"/>
      <c r="G1543" s="22"/>
      <c r="H1543" s="22"/>
      <c r="I1543" s="24"/>
      <c r="J1543" s="24"/>
      <c r="K1543" s="24"/>
      <c r="L1543" s="24"/>
      <c r="M1543" s="27" t="str">
        <f t="shared" ref="M1543:M1606" si="99">IF($B1543="","",SUM($J1543,-$K1543,$L1543))</f>
        <v/>
      </c>
      <c r="N1543" s="25"/>
      <c r="O1543" s="22"/>
      <c r="P1543" s="24"/>
      <c r="Q1543" s="26"/>
    </row>
    <row r="1544" spans="1:17" ht="15" x14ac:dyDescent="0.15">
      <c r="A1544" s="22"/>
      <c r="B1544" s="26" t="str">
        <f t="shared" si="96"/>
        <v/>
      </c>
      <c r="C1544" s="26" t="str">
        <f t="shared" si="97"/>
        <v/>
      </c>
      <c r="D1544" s="26" t="str">
        <f t="shared" si="98"/>
        <v/>
      </c>
      <c r="E1544" s="29"/>
      <c r="F1544" s="22"/>
      <c r="G1544" s="22"/>
      <c r="H1544" s="22"/>
      <c r="I1544" s="24"/>
      <c r="J1544" s="24"/>
      <c r="K1544" s="24"/>
      <c r="L1544" s="24"/>
      <c r="M1544" s="27" t="str">
        <f t="shared" si="99"/>
        <v/>
      </c>
      <c r="N1544" s="25"/>
      <c r="O1544" s="22"/>
      <c r="P1544" s="24"/>
      <c r="Q1544" s="26"/>
    </row>
    <row r="1545" spans="1:17" ht="15" x14ac:dyDescent="0.15">
      <c r="A1545" s="22"/>
      <c r="B1545" s="26" t="str">
        <f t="shared" si="96"/>
        <v/>
      </c>
      <c r="C1545" s="26" t="str">
        <f t="shared" si="97"/>
        <v/>
      </c>
      <c r="D1545" s="26" t="str">
        <f t="shared" si="98"/>
        <v/>
      </c>
      <c r="E1545" s="29"/>
      <c r="F1545" s="22"/>
      <c r="G1545" s="22"/>
      <c r="H1545" s="22"/>
      <c r="I1545" s="24"/>
      <c r="J1545" s="24"/>
      <c r="K1545" s="24"/>
      <c r="L1545" s="24"/>
      <c r="M1545" s="27" t="str">
        <f t="shared" si="99"/>
        <v/>
      </c>
      <c r="N1545" s="25"/>
      <c r="O1545" s="22"/>
      <c r="P1545" s="24"/>
      <c r="Q1545" s="26"/>
    </row>
    <row r="1546" spans="1:17" ht="15" x14ac:dyDescent="0.15">
      <c r="A1546" s="22"/>
      <c r="B1546" s="26" t="str">
        <f t="shared" si="96"/>
        <v/>
      </c>
      <c r="C1546" s="26" t="str">
        <f t="shared" si="97"/>
        <v/>
      </c>
      <c r="D1546" s="26" t="str">
        <f t="shared" si="98"/>
        <v/>
      </c>
      <c r="E1546" s="29"/>
      <c r="F1546" s="22"/>
      <c r="G1546" s="22"/>
      <c r="H1546" s="22"/>
      <c r="I1546" s="24"/>
      <c r="J1546" s="24"/>
      <c r="K1546" s="24"/>
      <c r="L1546" s="24"/>
      <c r="M1546" s="27" t="str">
        <f t="shared" si="99"/>
        <v/>
      </c>
      <c r="N1546" s="25"/>
      <c r="O1546" s="22"/>
      <c r="P1546" s="24"/>
      <c r="Q1546" s="26"/>
    </row>
    <row r="1547" spans="1:17" ht="15" x14ac:dyDescent="0.15">
      <c r="A1547" s="22"/>
      <c r="B1547" s="26" t="str">
        <f t="shared" si="96"/>
        <v/>
      </c>
      <c r="C1547" s="26" t="str">
        <f t="shared" si="97"/>
        <v/>
      </c>
      <c r="D1547" s="26" t="str">
        <f t="shared" si="98"/>
        <v/>
      </c>
      <c r="E1547" s="29"/>
      <c r="F1547" s="22"/>
      <c r="G1547" s="22"/>
      <c r="H1547" s="22"/>
      <c r="I1547" s="24"/>
      <c r="J1547" s="24"/>
      <c r="K1547" s="24"/>
      <c r="L1547" s="24"/>
      <c r="M1547" s="27" t="str">
        <f t="shared" si="99"/>
        <v/>
      </c>
      <c r="N1547" s="25"/>
      <c r="O1547" s="22"/>
      <c r="P1547" s="24"/>
      <c r="Q1547" s="26"/>
    </row>
    <row r="1548" spans="1:17" ht="15" x14ac:dyDescent="0.15">
      <c r="A1548" s="22"/>
      <c r="B1548" s="26" t="str">
        <f t="shared" si="96"/>
        <v/>
      </c>
      <c r="C1548" s="26" t="str">
        <f t="shared" si="97"/>
        <v/>
      </c>
      <c r="D1548" s="26" t="str">
        <f t="shared" si="98"/>
        <v/>
      </c>
      <c r="E1548" s="29"/>
      <c r="F1548" s="22"/>
      <c r="G1548" s="22"/>
      <c r="H1548" s="22"/>
      <c r="I1548" s="24"/>
      <c r="J1548" s="24"/>
      <c r="K1548" s="24"/>
      <c r="L1548" s="24"/>
      <c r="M1548" s="27" t="str">
        <f t="shared" si="99"/>
        <v/>
      </c>
      <c r="N1548" s="25"/>
      <c r="O1548" s="22"/>
      <c r="P1548" s="24"/>
      <c r="Q1548" s="26"/>
    </row>
    <row r="1549" spans="1:17" ht="15" x14ac:dyDescent="0.15">
      <c r="A1549" s="22"/>
      <c r="B1549" s="26" t="str">
        <f t="shared" si="96"/>
        <v/>
      </c>
      <c r="C1549" s="26" t="str">
        <f t="shared" si="97"/>
        <v/>
      </c>
      <c r="D1549" s="26" t="str">
        <f t="shared" si="98"/>
        <v/>
      </c>
      <c r="E1549" s="29"/>
      <c r="F1549" s="22"/>
      <c r="G1549" s="22"/>
      <c r="H1549" s="22"/>
      <c r="I1549" s="24"/>
      <c r="J1549" s="24"/>
      <c r="K1549" s="24"/>
      <c r="L1549" s="24"/>
      <c r="M1549" s="27" t="str">
        <f t="shared" si="99"/>
        <v/>
      </c>
      <c r="N1549" s="25"/>
      <c r="O1549" s="22"/>
      <c r="P1549" s="24"/>
      <c r="Q1549" s="26"/>
    </row>
    <row r="1550" spans="1:17" ht="15" x14ac:dyDescent="0.15">
      <c r="A1550" s="22"/>
      <c r="B1550" s="26" t="str">
        <f t="shared" si="96"/>
        <v/>
      </c>
      <c r="C1550" s="26" t="str">
        <f t="shared" si="97"/>
        <v/>
      </c>
      <c r="D1550" s="26" t="str">
        <f t="shared" si="98"/>
        <v/>
      </c>
      <c r="E1550" s="29"/>
      <c r="F1550" s="22"/>
      <c r="G1550" s="22"/>
      <c r="H1550" s="22"/>
      <c r="I1550" s="24"/>
      <c r="J1550" s="24"/>
      <c r="K1550" s="24"/>
      <c r="L1550" s="24"/>
      <c r="M1550" s="27" t="str">
        <f t="shared" si="99"/>
        <v/>
      </c>
      <c r="N1550" s="25"/>
      <c r="O1550" s="22"/>
      <c r="P1550" s="24"/>
      <c r="Q1550" s="26"/>
    </row>
    <row r="1551" spans="1:17" ht="15" x14ac:dyDescent="0.15">
      <c r="A1551" s="22"/>
      <c r="B1551" s="26" t="str">
        <f t="shared" si="96"/>
        <v/>
      </c>
      <c r="C1551" s="26" t="str">
        <f t="shared" si="97"/>
        <v/>
      </c>
      <c r="D1551" s="26" t="str">
        <f t="shared" si="98"/>
        <v/>
      </c>
      <c r="E1551" s="29"/>
      <c r="F1551" s="22"/>
      <c r="G1551" s="22"/>
      <c r="H1551" s="22"/>
      <c r="I1551" s="24"/>
      <c r="J1551" s="24"/>
      <c r="K1551" s="24"/>
      <c r="L1551" s="24"/>
      <c r="M1551" s="27" t="str">
        <f t="shared" si="99"/>
        <v/>
      </c>
      <c r="N1551" s="25"/>
      <c r="O1551" s="22"/>
      <c r="P1551" s="24"/>
      <c r="Q1551" s="26"/>
    </row>
    <row r="1552" spans="1:17" ht="15" x14ac:dyDescent="0.15">
      <c r="A1552" s="22"/>
      <c r="B1552" s="26" t="str">
        <f t="shared" si="96"/>
        <v/>
      </c>
      <c r="C1552" s="26" t="str">
        <f t="shared" si="97"/>
        <v/>
      </c>
      <c r="D1552" s="26" t="str">
        <f t="shared" si="98"/>
        <v/>
      </c>
      <c r="E1552" s="29"/>
      <c r="F1552" s="22"/>
      <c r="G1552" s="22"/>
      <c r="H1552" s="22"/>
      <c r="I1552" s="24"/>
      <c r="J1552" s="24"/>
      <c r="K1552" s="24"/>
      <c r="L1552" s="24"/>
      <c r="M1552" s="27" t="str">
        <f t="shared" si="99"/>
        <v/>
      </c>
      <c r="N1552" s="25"/>
      <c r="O1552" s="22"/>
      <c r="P1552" s="24"/>
      <c r="Q1552" s="26"/>
    </row>
    <row r="1553" spans="1:17" ht="15" x14ac:dyDescent="0.15">
      <c r="A1553" s="22"/>
      <c r="B1553" s="26" t="str">
        <f t="shared" si="96"/>
        <v/>
      </c>
      <c r="C1553" s="26" t="str">
        <f t="shared" si="97"/>
        <v/>
      </c>
      <c r="D1553" s="26" t="str">
        <f t="shared" si="98"/>
        <v/>
      </c>
      <c r="E1553" s="29"/>
      <c r="F1553" s="22"/>
      <c r="G1553" s="22"/>
      <c r="H1553" s="22"/>
      <c r="I1553" s="24"/>
      <c r="J1553" s="24"/>
      <c r="K1553" s="24"/>
      <c r="L1553" s="24"/>
      <c r="M1553" s="27" t="str">
        <f t="shared" si="99"/>
        <v/>
      </c>
      <c r="N1553" s="25"/>
      <c r="O1553" s="22"/>
      <c r="P1553" s="24"/>
      <c r="Q1553" s="26"/>
    </row>
    <row r="1554" spans="1:17" ht="15" x14ac:dyDescent="0.15">
      <c r="A1554" s="22"/>
      <c r="B1554" s="26" t="str">
        <f t="shared" si="96"/>
        <v/>
      </c>
      <c r="C1554" s="26" t="str">
        <f t="shared" si="97"/>
        <v/>
      </c>
      <c r="D1554" s="26" t="str">
        <f t="shared" si="98"/>
        <v/>
      </c>
      <c r="E1554" s="29"/>
      <c r="F1554" s="22"/>
      <c r="G1554" s="22"/>
      <c r="H1554" s="22"/>
      <c r="I1554" s="24"/>
      <c r="J1554" s="24"/>
      <c r="K1554" s="24"/>
      <c r="L1554" s="24"/>
      <c r="M1554" s="27" t="str">
        <f t="shared" si="99"/>
        <v/>
      </c>
      <c r="N1554" s="25"/>
      <c r="O1554" s="22"/>
      <c r="P1554" s="24"/>
      <c r="Q1554" s="26"/>
    </row>
    <row r="1555" spans="1:17" ht="15" x14ac:dyDescent="0.15">
      <c r="A1555" s="22"/>
      <c r="B1555" s="26" t="str">
        <f t="shared" si="96"/>
        <v/>
      </c>
      <c r="C1555" s="26" t="str">
        <f t="shared" si="97"/>
        <v/>
      </c>
      <c r="D1555" s="26" t="str">
        <f t="shared" si="98"/>
        <v/>
      </c>
      <c r="E1555" s="29"/>
      <c r="F1555" s="22"/>
      <c r="G1555" s="22"/>
      <c r="H1555" s="22"/>
      <c r="I1555" s="24"/>
      <c r="J1555" s="24"/>
      <c r="K1555" s="24"/>
      <c r="L1555" s="24"/>
      <c r="M1555" s="27" t="str">
        <f t="shared" si="99"/>
        <v/>
      </c>
      <c r="N1555" s="25"/>
      <c r="O1555" s="22"/>
      <c r="P1555" s="24"/>
      <c r="Q1555" s="26"/>
    </row>
    <row r="1556" spans="1:17" ht="15" x14ac:dyDescent="0.15">
      <c r="A1556" s="22"/>
      <c r="B1556" s="26" t="str">
        <f t="shared" si="96"/>
        <v/>
      </c>
      <c r="C1556" s="26" t="str">
        <f t="shared" si="97"/>
        <v/>
      </c>
      <c r="D1556" s="26" t="str">
        <f t="shared" si="98"/>
        <v/>
      </c>
      <c r="E1556" s="29"/>
      <c r="F1556" s="22"/>
      <c r="G1556" s="22"/>
      <c r="H1556" s="22"/>
      <c r="I1556" s="24"/>
      <c r="J1556" s="24"/>
      <c r="K1556" s="24"/>
      <c r="L1556" s="24"/>
      <c r="M1556" s="27" t="str">
        <f t="shared" si="99"/>
        <v/>
      </c>
      <c r="N1556" s="25"/>
      <c r="O1556" s="22"/>
      <c r="P1556" s="24"/>
      <c r="Q1556" s="26"/>
    </row>
    <row r="1557" spans="1:17" ht="15" x14ac:dyDescent="0.15">
      <c r="A1557" s="22"/>
      <c r="B1557" s="26" t="str">
        <f t="shared" si="96"/>
        <v/>
      </c>
      <c r="C1557" s="26" t="str">
        <f t="shared" si="97"/>
        <v/>
      </c>
      <c r="D1557" s="26" t="str">
        <f t="shared" si="98"/>
        <v/>
      </c>
      <c r="E1557" s="29"/>
      <c r="F1557" s="22"/>
      <c r="G1557" s="22"/>
      <c r="H1557" s="22"/>
      <c r="I1557" s="24"/>
      <c r="J1557" s="24"/>
      <c r="K1557" s="24"/>
      <c r="L1557" s="24"/>
      <c r="M1557" s="27" t="str">
        <f t="shared" si="99"/>
        <v/>
      </c>
      <c r="N1557" s="25"/>
      <c r="O1557" s="22"/>
      <c r="P1557" s="24"/>
      <c r="Q1557" s="26"/>
    </row>
    <row r="1558" spans="1:17" ht="15" x14ac:dyDescent="0.15">
      <c r="A1558" s="22"/>
      <c r="B1558" s="26" t="str">
        <f t="shared" si="96"/>
        <v/>
      </c>
      <c r="C1558" s="26" t="str">
        <f t="shared" si="97"/>
        <v/>
      </c>
      <c r="D1558" s="26" t="str">
        <f t="shared" si="98"/>
        <v/>
      </c>
      <c r="E1558" s="29"/>
      <c r="F1558" s="22"/>
      <c r="G1558" s="22"/>
      <c r="H1558" s="22"/>
      <c r="I1558" s="24"/>
      <c r="J1558" s="24"/>
      <c r="K1558" s="24"/>
      <c r="L1558" s="24"/>
      <c r="M1558" s="27" t="str">
        <f t="shared" si="99"/>
        <v/>
      </c>
      <c r="N1558" s="25"/>
      <c r="O1558" s="22"/>
      <c r="P1558" s="24"/>
      <c r="Q1558" s="26"/>
    </row>
    <row r="1559" spans="1:17" ht="15" x14ac:dyDescent="0.15">
      <c r="A1559" s="22"/>
      <c r="B1559" s="26" t="str">
        <f t="shared" si="96"/>
        <v/>
      </c>
      <c r="C1559" s="26" t="str">
        <f t="shared" si="97"/>
        <v/>
      </c>
      <c r="D1559" s="26" t="str">
        <f t="shared" si="98"/>
        <v/>
      </c>
      <c r="E1559" s="29"/>
      <c r="F1559" s="22"/>
      <c r="G1559" s="22"/>
      <c r="H1559" s="22"/>
      <c r="I1559" s="24"/>
      <c r="J1559" s="24"/>
      <c r="K1559" s="24"/>
      <c r="L1559" s="24"/>
      <c r="M1559" s="27" t="str">
        <f t="shared" si="99"/>
        <v/>
      </c>
      <c r="N1559" s="25"/>
      <c r="O1559" s="22"/>
      <c r="P1559" s="24"/>
      <c r="Q1559" s="26"/>
    </row>
    <row r="1560" spans="1:17" ht="15" x14ac:dyDescent="0.15">
      <c r="A1560" s="22"/>
      <c r="B1560" s="26" t="str">
        <f t="shared" si="96"/>
        <v/>
      </c>
      <c r="C1560" s="26" t="str">
        <f t="shared" si="97"/>
        <v/>
      </c>
      <c r="D1560" s="26" t="str">
        <f t="shared" si="98"/>
        <v/>
      </c>
      <c r="E1560" s="29"/>
      <c r="F1560" s="22"/>
      <c r="G1560" s="22"/>
      <c r="H1560" s="22"/>
      <c r="I1560" s="24"/>
      <c r="J1560" s="24"/>
      <c r="K1560" s="24"/>
      <c r="L1560" s="24"/>
      <c r="M1560" s="27" t="str">
        <f t="shared" si="99"/>
        <v/>
      </c>
      <c r="N1560" s="25"/>
      <c r="O1560" s="22"/>
      <c r="P1560" s="24"/>
      <c r="Q1560" s="26"/>
    </row>
    <row r="1561" spans="1:17" ht="15" x14ac:dyDescent="0.15">
      <c r="A1561" s="22"/>
      <c r="B1561" s="26" t="str">
        <f t="shared" si="96"/>
        <v/>
      </c>
      <c r="C1561" s="26" t="str">
        <f t="shared" si="97"/>
        <v/>
      </c>
      <c r="D1561" s="26" t="str">
        <f t="shared" si="98"/>
        <v/>
      </c>
      <c r="E1561" s="29"/>
      <c r="F1561" s="22"/>
      <c r="G1561" s="22"/>
      <c r="H1561" s="22"/>
      <c r="I1561" s="24"/>
      <c r="J1561" s="24"/>
      <c r="K1561" s="24"/>
      <c r="L1561" s="24"/>
      <c r="M1561" s="27" t="str">
        <f t="shared" si="99"/>
        <v/>
      </c>
      <c r="N1561" s="25"/>
      <c r="O1561" s="22"/>
      <c r="P1561" s="24"/>
      <c r="Q1561" s="26"/>
    </row>
    <row r="1562" spans="1:17" ht="15" x14ac:dyDescent="0.15">
      <c r="A1562" s="22"/>
      <c r="B1562" s="26" t="str">
        <f t="shared" si="96"/>
        <v/>
      </c>
      <c r="C1562" s="26" t="str">
        <f t="shared" si="97"/>
        <v/>
      </c>
      <c r="D1562" s="26" t="str">
        <f t="shared" si="98"/>
        <v/>
      </c>
      <c r="E1562" s="29"/>
      <c r="F1562" s="22"/>
      <c r="G1562" s="22"/>
      <c r="H1562" s="22"/>
      <c r="I1562" s="24"/>
      <c r="J1562" s="24"/>
      <c r="K1562" s="24"/>
      <c r="L1562" s="24"/>
      <c r="M1562" s="27" t="str">
        <f t="shared" si="99"/>
        <v/>
      </c>
      <c r="N1562" s="25"/>
      <c r="O1562" s="22"/>
      <c r="P1562" s="24"/>
      <c r="Q1562" s="26"/>
    </row>
    <row r="1563" spans="1:17" ht="15" x14ac:dyDescent="0.15">
      <c r="A1563" s="22"/>
      <c r="B1563" s="26" t="str">
        <f t="shared" si="96"/>
        <v/>
      </c>
      <c r="C1563" s="26" t="str">
        <f t="shared" si="97"/>
        <v/>
      </c>
      <c r="D1563" s="26" t="str">
        <f t="shared" si="98"/>
        <v/>
      </c>
      <c r="E1563" s="29"/>
      <c r="F1563" s="22"/>
      <c r="G1563" s="22"/>
      <c r="H1563" s="22"/>
      <c r="I1563" s="24"/>
      <c r="J1563" s="24"/>
      <c r="K1563" s="24"/>
      <c r="L1563" s="24"/>
      <c r="M1563" s="27" t="str">
        <f t="shared" si="99"/>
        <v/>
      </c>
      <c r="N1563" s="25"/>
      <c r="O1563" s="22"/>
      <c r="P1563" s="24"/>
      <c r="Q1563" s="26"/>
    </row>
    <row r="1564" spans="1:17" ht="15" x14ac:dyDescent="0.15">
      <c r="A1564" s="22"/>
      <c r="B1564" s="26" t="str">
        <f t="shared" si="96"/>
        <v/>
      </c>
      <c r="C1564" s="26" t="str">
        <f t="shared" si="97"/>
        <v/>
      </c>
      <c r="D1564" s="26" t="str">
        <f t="shared" si="98"/>
        <v/>
      </c>
      <c r="E1564" s="29"/>
      <c r="F1564" s="22"/>
      <c r="G1564" s="22"/>
      <c r="H1564" s="22"/>
      <c r="I1564" s="24"/>
      <c r="J1564" s="24"/>
      <c r="K1564" s="24"/>
      <c r="L1564" s="24"/>
      <c r="M1564" s="27" t="str">
        <f t="shared" si="99"/>
        <v/>
      </c>
      <c r="N1564" s="25"/>
      <c r="O1564" s="22"/>
      <c r="P1564" s="24"/>
      <c r="Q1564" s="26"/>
    </row>
    <row r="1565" spans="1:17" ht="15" x14ac:dyDescent="0.15">
      <c r="A1565" s="22"/>
      <c r="B1565" s="26" t="str">
        <f t="shared" si="96"/>
        <v/>
      </c>
      <c r="C1565" s="26" t="str">
        <f t="shared" si="97"/>
        <v/>
      </c>
      <c r="D1565" s="26" t="str">
        <f t="shared" si="98"/>
        <v/>
      </c>
      <c r="E1565" s="29"/>
      <c r="F1565" s="22"/>
      <c r="G1565" s="22"/>
      <c r="H1565" s="22"/>
      <c r="I1565" s="24"/>
      <c r="J1565" s="24"/>
      <c r="K1565" s="24"/>
      <c r="L1565" s="24"/>
      <c r="M1565" s="27" t="str">
        <f t="shared" si="99"/>
        <v/>
      </c>
      <c r="N1565" s="25"/>
      <c r="O1565" s="22"/>
      <c r="P1565" s="24"/>
      <c r="Q1565" s="26"/>
    </row>
    <row r="1566" spans="1:17" ht="15" x14ac:dyDescent="0.15">
      <c r="A1566" s="22"/>
      <c r="B1566" s="26" t="str">
        <f t="shared" si="96"/>
        <v/>
      </c>
      <c r="C1566" s="26" t="str">
        <f t="shared" si="97"/>
        <v/>
      </c>
      <c r="D1566" s="26" t="str">
        <f t="shared" si="98"/>
        <v/>
      </c>
      <c r="E1566" s="29"/>
      <c r="F1566" s="22"/>
      <c r="G1566" s="22"/>
      <c r="H1566" s="22"/>
      <c r="I1566" s="24"/>
      <c r="J1566" s="24"/>
      <c r="K1566" s="24"/>
      <c r="L1566" s="24"/>
      <c r="M1566" s="27" t="str">
        <f t="shared" si="99"/>
        <v/>
      </c>
      <c r="N1566" s="25"/>
      <c r="O1566" s="22"/>
      <c r="P1566" s="24"/>
      <c r="Q1566" s="26"/>
    </row>
    <row r="1567" spans="1:17" ht="15" x14ac:dyDescent="0.15">
      <c r="A1567" s="22"/>
      <c r="B1567" s="26" t="str">
        <f t="shared" si="96"/>
        <v/>
      </c>
      <c r="C1567" s="26" t="str">
        <f t="shared" si="97"/>
        <v/>
      </c>
      <c r="D1567" s="26" t="str">
        <f t="shared" si="98"/>
        <v/>
      </c>
      <c r="E1567" s="29"/>
      <c r="F1567" s="22"/>
      <c r="G1567" s="22"/>
      <c r="H1567" s="22"/>
      <c r="I1567" s="24"/>
      <c r="J1567" s="24"/>
      <c r="K1567" s="24"/>
      <c r="L1567" s="24"/>
      <c r="M1567" s="27" t="str">
        <f t="shared" si="99"/>
        <v/>
      </c>
      <c r="N1567" s="25"/>
      <c r="O1567" s="22"/>
      <c r="P1567" s="24"/>
      <c r="Q1567" s="26"/>
    </row>
    <row r="1568" spans="1:17" ht="15" x14ac:dyDescent="0.15">
      <c r="A1568" s="22"/>
      <c r="B1568" s="26" t="str">
        <f t="shared" si="96"/>
        <v/>
      </c>
      <c r="C1568" s="26" t="str">
        <f t="shared" si="97"/>
        <v/>
      </c>
      <c r="D1568" s="26" t="str">
        <f t="shared" si="98"/>
        <v/>
      </c>
      <c r="E1568" s="29"/>
      <c r="F1568" s="22"/>
      <c r="G1568" s="22"/>
      <c r="H1568" s="22"/>
      <c r="I1568" s="24"/>
      <c r="J1568" s="24"/>
      <c r="K1568" s="24"/>
      <c r="L1568" s="24"/>
      <c r="M1568" s="27" t="str">
        <f t="shared" si="99"/>
        <v/>
      </c>
      <c r="N1568" s="25"/>
      <c r="O1568" s="22"/>
      <c r="P1568" s="24"/>
      <c r="Q1568" s="26"/>
    </row>
    <row r="1569" spans="1:17" ht="15" x14ac:dyDescent="0.15">
      <c r="A1569" s="22"/>
      <c r="B1569" s="26" t="str">
        <f t="shared" si="96"/>
        <v/>
      </c>
      <c r="C1569" s="26" t="str">
        <f t="shared" si="97"/>
        <v/>
      </c>
      <c r="D1569" s="26" t="str">
        <f t="shared" si="98"/>
        <v/>
      </c>
      <c r="E1569" s="29"/>
      <c r="F1569" s="22"/>
      <c r="G1569" s="22"/>
      <c r="H1569" s="22"/>
      <c r="I1569" s="24"/>
      <c r="J1569" s="24"/>
      <c r="K1569" s="24"/>
      <c r="L1569" s="24"/>
      <c r="M1569" s="27" t="str">
        <f t="shared" si="99"/>
        <v/>
      </c>
      <c r="N1569" s="25"/>
      <c r="O1569" s="22"/>
      <c r="P1569" s="24"/>
      <c r="Q1569" s="26"/>
    </row>
    <row r="1570" spans="1:17" ht="15" x14ac:dyDescent="0.15">
      <c r="A1570" s="22"/>
      <c r="B1570" s="26" t="str">
        <f t="shared" si="96"/>
        <v/>
      </c>
      <c r="C1570" s="26" t="str">
        <f t="shared" si="97"/>
        <v/>
      </c>
      <c r="D1570" s="26" t="str">
        <f t="shared" si="98"/>
        <v/>
      </c>
      <c r="E1570" s="29"/>
      <c r="F1570" s="22"/>
      <c r="G1570" s="22"/>
      <c r="H1570" s="22"/>
      <c r="I1570" s="24"/>
      <c r="J1570" s="24"/>
      <c r="K1570" s="24"/>
      <c r="L1570" s="24"/>
      <c r="M1570" s="27" t="str">
        <f t="shared" si="99"/>
        <v/>
      </c>
      <c r="N1570" s="25"/>
      <c r="O1570" s="22"/>
      <c r="P1570" s="24"/>
      <c r="Q1570" s="26"/>
    </row>
    <row r="1571" spans="1:17" ht="15" x14ac:dyDescent="0.15">
      <c r="A1571" s="22"/>
      <c r="B1571" s="26" t="str">
        <f t="shared" si="96"/>
        <v/>
      </c>
      <c r="C1571" s="26" t="str">
        <f t="shared" si="97"/>
        <v/>
      </c>
      <c r="D1571" s="26" t="str">
        <f t="shared" si="98"/>
        <v/>
      </c>
      <c r="E1571" s="29"/>
      <c r="F1571" s="22"/>
      <c r="G1571" s="22"/>
      <c r="H1571" s="22"/>
      <c r="I1571" s="24"/>
      <c r="J1571" s="24"/>
      <c r="K1571" s="24"/>
      <c r="L1571" s="24"/>
      <c r="M1571" s="27" t="str">
        <f t="shared" si="99"/>
        <v/>
      </c>
      <c r="N1571" s="25"/>
      <c r="O1571" s="22"/>
      <c r="P1571" s="24"/>
      <c r="Q1571" s="26"/>
    </row>
    <row r="1572" spans="1:17" ht="15" x14ac:dyDescent="0.15">
      <c r="A1572" s="22"/>
      <c r="B1572" s="26" t="str">
        <f t="shared" si="96"/>
        <v/>
      </c>
      <c r="C1572" s="26" t="str">
        <f t="shared" si="97"/>
        <v/>
      </c>
      <c r="D1572" s="26" t="str">
        <f t="shared" si="98"/>
        <v/>
      </c>
      <c r="E1572" s="29"/>
      <c r="F1572" s="22"/>
      <c r="G1572" s="22"/>
      <c r="H1572" s="22"/>
      <c r="I1572" s="24"/>
      <c r="J1572" s="24"/>
      <c r="K1572" s="24"/>
      <c r="L1572" s="24"/>
      <c r="M1572" s="27" t="str">
        <f t="shared" si="99"/>
        <v/>
      </c>
      <c r="N1572" s="25"/>
      <c r="O1572" s="22"/>
      <c r="P1572" s="24"/>
      <c r="Q1572" s="26"/>
    </row>
    <row r="1573" spans="1:17" ht="15" x14ac:dyDescent="0.15">
      <c r="A1573" s="22"/>
      <c r="B1573" s="26" t="str">
        <f t="shared" si="96"/>
        <v/>
      </c>
      <c r="C1573" s="26" t="str">
        <f t="shared" si="97"/>
        <v/>
      </c>
      <c r="D1573" s="26" t="str">
        <f t="shared" si="98"/>
        <v/>
      </c>
      <c r="E1573" s="29"/>
      <c r="F1573" s="22"/>
      <c r="G1573" s="22"/>
      <c r="H1573" s="22"/>
      <c r="I1573" s="24"/>
      <c r="J1573" s="24"/>
      <c r="K1573" s="24"/>
      <c r="L1573" s="24"/>
      <c r="M1573" s="27" t="str">
        <f t="shared" si="99"/>
        <v/>
      </c>
      <c r="N1573" s="25"/>
      <c r="O1573" s="22"/>
      <c r="P1573" s="24"/>
      <c r="Q1573" s="26"/>
    </row>
    <row r="1574" spans="1:17" ht="15" x14ac:dyDescent="0.15">
      <c r="A1574" s="22"/>
      <c r="B1574" s="26" t="str">
        <f t="shared" si="96"/>
        <v/>
      </c>
      <c r="C1574" s="26" t="str">
        <f t="shared" si="97"/>
        <v/>
      </c>
      <c r="D1574" s="26" t="str">
        <f t="shared" si="98"/>
        <v/>
      </c>
      <c r="E1574" s="29"/>
      <c r="F1574" s="22"/>
      <c r="G1574" s="22"/>
      <c r="H1574" s="22"/>
      <c r="I1574" s="24"/>
      <c r="J1574" s="24"/>
      <c r="K1574" s="24"/>
      <c r="L1574" s="24"/>
      <c r="M1574" s="27" t="str">
        <f t="shared" si="99"/>
        <v/>
      </c>
      <c r="N1574" s="25"/>
      <c r="O1574" s="22"/>
      <c r="P1574" s="24"/>
      <c r="Q1574" s="26"/>
    </row>
    <row r="1575" spans="1:17" ht="15" x14ac:dyDescent="0.15">
      <c r="A1575" s="22"/>
      <c r="B1575" s="26" t="str">
        <f t="shared" si="96"/>
        <v/>
      </c>
      <c r="C1575" s="26" t="str">
        <f t="shared" si="97"/>
        <v/>
      </c>
      <c r="D1575" s="26" t="str">
        <f t="shared" si="98"/>
        <v/>
      </c>
      <c r="E1575" s="29"/>
      <c r="F1575" s="22"/>
      <c r="G1575" s="22"/>
      <c r="H1575" s="22"/>
      <c r="I1575" s="24"/>
      <c r="J1575" s="24"/>
      <c r="K1575" s="24"/>
      <c r="L1575" s="24"/>
      <c r="M1575" s="27" t="str">
        <f t="shared" si="99"/>
        <v/>
      </c>
      <c r="N1575" s="25"/>
      <c r="O1575" s="22"/>
      <c r="P1575" s="24"/>
      <c r="Q1575" s="26"/>
    </row>
    <row r="1576" spans="1:17" ht="15" x14ac:dyDescent="0.15">
      <c r="A1576" s="22"/>
      <c r="B1576" s="26" t="str">
        <f t="shared" si="96"/>
        <v/>
      </c>
      <c r="C1576" s="26" t="str">
        <f t="shared" si="97"/>
        <v/>
      </c>
      <c r="D1576" s="26" t="str">
        <f t="shared" si="98"/>
        <v/>
      </c>
      <c r="E1576" s="29"/>
      <c r="F1576" s="22"/>
      <c r="G1576" s="22"/>
      <c r="H1576" s="22"/>
      <c r="I1576" s="24"/>
      <c r="J1576" s="24"/>
      <c r="K1576" s="24"/>
      <c r="L1576" s="24"/>
      <c r="M1576" s="27" t="str">
        <f t="shared" si="99"/>
        <v/>
      </c>
      <c r="N1576" s="25"/>
      <c r="O1576" s="22"/>
      <c r="P1576" s="24"/>
      <c r="Q1576" s="26"/>
    </row>
    <row r="1577" spans="1:17" ht="15" x14ac:dyDescent="0.15">
      <c r="A1577" s="22"/>
      <c r="B1577" s="26" t="str">
        <f t="shared" si="96"/>
        <v/>
      </c>
      <c r="C1577" s="26" t="str">
        <f t="shared" si="97"/>
        <v/>
      </c>
      <c r="D1577" s="26" t="str">
        <f t="shared" si="98"/>
        <v/>
      </c>
      <c r="E1577" s="29"/>
      <c r="F1577" s="22"/>
      <c r="G1577" s="22"/>
      <c r="H1577" s="22"/>
      <c r="I1577" s="24"/>
      <c r="J1577" s="24"/>
      <c r="K1577" s="24"/>
      <c r="L1577" s="24"/>
      <c r="M1577" s="27" t="str">
        <f t="shared" si="99"/>
        <v/>
      </c>
      <c r="N1577" s="25"/>
      <c r="O1577" s="22"/>
      <c r="P1577" s="24"/>
      <c r="Q1577" s="26"/>
    </row>
    <row r="1578" spans="1:17" ht="15" x14ac:dyDescent="0.15">
      <c r="A1578" s="22"/>
      <c r="B1578" s="26" t="str">
        <f t="shared" si="96"/>
        <v/>
      </c>
      <c r="C1578" s="26" t="str">
        <f t="shared" si="97"/>
        <v/>
      </c>
      <c r="D1578" s="26" t="str">
        <f t="shared" si="98"/>
        <v/>
      </c>
      <c r="E1578" s="29"/>
      <c r="F1578" s="22"/>
      <c r="G1578" s="22"/>
      <c r="H1578" s="22"/>
      <c r="I1578" s="24"/>
      <c r="J1578" s="24"/>
      <c r="K1578" s="24"/>
      <c r="L1578" s="24"/>
      <c r="M1578" s="27" t="str">
        <f t="shared" si="99"/>
        <v/>
      </c>
      <c r="N1578" s="25"/>
      <c r="O1578" s="22"/>
      <c r="P1578" s="24"/>
      <c r="Q1578" s="26"/>
    </row>
    <row r="1579" spans="1:17" ht="15" x14ac:dyDescent="0.15">
      <c r="A1579" s="22"/>
      <c r="B1579" s="26" t="str">
        <f t="shared" si="96"/>
        <v/>
      </c>
      <c r="C1579" s="26" t="str">
        <f t="shared" si="97"/>
        <v/>
      </c>
      <c r="D1579" s="26" t="str">
        <f t="shared" si="98"/>
        <v/>
      </c>
      <c r="E1579" s="29"/>
      <c r="F1579" s="22"/>
      <c r="G1579" s="22"/>
      <c r="H1579" s="22"/>
      <c r="I1579" s="24"/>
      <c r="J1579" s="24"/>
      <c r="K1579" s="24"/>
      <c r="L1579" s="24"/>
      <c r="M1579" s="27" t="str">
        <f t="shared" si="99"/>
        <v/>
      </c>
      <c r="N1579" s="25"/>
      <c r="O1579" s="22"/>
      <c r="P1579" s="24"/>
      <c r="Q1579" s="26"/>
    </row>
    <row r="1580" spans="1:17" ht="15" x14ac:dyDescent="0.15">
      <c r="A1580" s="22"/>
      <c r="B1580" s="26" t="str">
        <f t="shared" si="96"/>
        <v/>
      </c>
      <c r="C1580" s="26" t="str">
        <f t="shared" si="97"/>
        <v/>
      </c>
      <c r="D1580" s="26" t="str">
        <f t="shared" si="98"/>
        <v/>
      </c>
      <c r="E1580" s="29"/>
      <c r="F1580" s="22"/>
      <c r="G1580" s="22"/>
      <c r="H1580" s="22"/>
      <c r="I1580" s="24"/>
      <c r="J1580" s="24"/>
      <c r="K1580" s="24"/>
      <c r="L1580" s="24"/>
      <c r="M1580" s="27" t="str">
        <f t="shared" si="99"/>
        <v/>
      </c>
      <c r="N1580" s="25"/>
      <c r="O1580" s="22"/>
      <c r="P1580" s="24"/>
      <c r="Q1580" s="26"/>
    </row>
    <row r="1581" spans="1:17" ht="15" x14ac:dyDescent="0.15">
      <c r="A1581" s="22"/>
      <c r="B1581" s="26" t="str">
        <f t="shared" si="96"/>
        <v/>
      </c>
      <c r="C1581" s="26" t="str">
        <f t="shared" si="97"/>
        <v/>
      </c>
      <c r="D1581" s="26" t="str">
        <f t="shared" si="98"/>
        <v/>
      </c>
      <c r="E1581" s="29"/>
      <c r="F1581" s="22"/>
      <c r="G1581" s="22"/>
      <c r="H1581" s="22"/>
      <c r="I1581" s="24"/>
      <c r="J1581" s="24"/>
      <c r="K1581" s="24"/>
      <c r="L1581" s="24"/>
      <c r="M1581" s="27" t="str">
        <f t="shared" si="99"/>
        <v/>
      </c>
      <c r="N1581" s="25"/>
      <c r="O1581" s="22"/>
      <c r="P1581" s="24"/>
      <c r="Q1581" s="26"/>
    </row>
    <row r="1582" spans="1:17" ht="15" x14ac:dyDescent="0.15">
      <c r="A1582" s="22"/>
      <c r="B1582" s="26" t="str">
        <f t="shared" si="96"/>
        <v/>
      </c>
      <c r="C1582" s="26" t="str">
        <f t="shared" si="97"/>
        <v/>
      </c>
      <c r="D1582" s="26" t="str">
        <f t="shared" si="98"/>
        <v/>
      </c>
      <c r="E1582" s="29"/>
      <c r="F1582" s="22"/>
      <c r="G1582" s="22"/>
      <c r="H1582" s="22"/>
      <c r="I1582" s="24"/>
      <c r="J1582" s="24"/>
      <c r="K1582" s="24"/>
      <c r="L1582" s="24"/>
      <c r="M1582" s="27" t="str">
        <f t="shared" si="99"/>
        <v/>
      </c>
      <c r="N1582" s="25"/>
      <c r="O1582" s="22"/>
      <c r="P1582" s="24"/>
      <c r="Q1582" s="26"/>
    </row>
    <row r="1583" spans="1:17" ht="15" x14ac:dyDescent="0.15">
      <c r="A1583" s="22"/>
      <c r="B1583" s="26" t="str">
        <f t="shared" si="96"/>
        <v/>
      </c>
      <c r="C1583" s="26" t="str">
        <f t="shared" si="97"/>
        <v/>
      </c>
      <c r="D1583" s="26" t="str">
        <f t="shared" si="98"/>
        <v/>
      </c>
      <c r="E1583" s="29"/>
      <c r="F1583" s="22"/>
      <c r="G1583" s="22"/>
      <c r="H1583" s="22"/>
      <c r="I1583" s="24"/>
      <c r="J1583" s="24"/>
      <c r="K1583" s="24"/>
      <c r="L1583" s="24"/>
      <c r="M1583" s="27" t="str">
        <f t="shared" si="99"/>
        <v/>
      </c>
      <c r="N1583" s="25"/>
      <c r="O1583" s="22"/>
      <c r="P1583" s="24"/>
      <c r="Q1583" s="26"/>
    </row>
    <row r="1584" spans="1:17" ht="15" x14ac:dyDescent="0.15">
      <c r="A1584" s="22"/>
      <c r="B1584" s="26" t="str">
        <f t="shared" si="96"/>
        <v/>
      </c>
      <c r="C1584" s="26" t="str">
        <f t="shared" si="97"/>
        <v/>
      </c>
      <c r="D1584" s="26" t="str">
        <f t="shared" si="98"/>
        <v/>
      </c>
      <c r="E1584" s="29"/>
      <c r="F1584" s="22"/>
      <c r="G1584" s="22"/>
      <c r="H1584" s="22"/>
      <c r="I1584" s="24"/>
      <c r="J1584" s="24"/>
      <c r="K1584" s="24"/>
      <c r="L1584" s="24"/>
      <c r="M1584" s="27" t="str">
        <f t="shared" si="99"/>
        <v/>
      </c>
      <c r="N1584" s="25"/>
      <c r="O1584" s="22"/>
      <c r="P1584" s="24"/>
      <c r="Q1584" s="26"/>
    </row>
    <row r="1585" spans="1:17" ht="15" x14ac:dyDescent="0.15">
      <c r="A1585" s="22"/>
      <c r="B1585" s="26" t="str">
        <f t="shared" si="96"/>
        <v/>
      </c>
      <c r="C1585" s="26" t="str">
        <f t="shared" si="97"/>
        <v/>
      </c>
      <c r="D1585" s="26" t="str">
        <f t="shared" si="98"/>
        <v/>
      </c>
      <c r="E1585" s="29"/>
      <c r="F1585" s="22"/>
      <c r="G1585" s="22"/>
      <c r="H1585" s="22"/>
      <c r="I1585" s="24"/>
      <c r="J1585" s="24"/>
      <c r="K1585" s="24"/>
      <c r="L1585" s="24"/>
      <c r="M1585" s="27" t="str">
        <f t="shared" si="99"/>
        <v/>
      </c>
      <c r="N1585" s="25"/>
      <c r="O1585" s="22"/>
      <c r="P1585" s="24"/>
      <c r="Q1585" s="26"/>
    </row>
    <row r="1586" spans="1:17" ht="15" x14ac:dyDescent="0.15">
      <c r="A1586" s="22"/>
      <c r="B1586" s="26" t="str">
        <f t="shared" si="96"/>
        <v/>
      </c>
      <c r="C1586" s="26" t="str">
        <f t="shared" si="97"/>
        <v/>
      </c>
      <c r="D1586" s="26" t="str">
        <f t="shared" si="98"/>
        <v/>
      </c>
      <c r="E1586" s="29"/>
      <c r="F1586" s="22"/>
      <c r="G1586" s="22"/>
      <c r="H1586" s="22"/>
      <c r="I1586" s="24"/>
      <c r="J1586" s="24"/>
      <c r="K1586" s="24"/>
      <c r="L1586" s="24"/>
      <c r="M1586" s="27" t="str">
        <f t="shared" si="99"/>
        <v/>
      </c>
      <c r="N1586" s="25"/>
      <c r="O1586" s="22"/>
      <c r="P1586" s="24"/>
      <c r="Q1586" s="26"/>
    </row>
    <row r="1587" spans="1:17" ht="15" x14ac:dyDescent="0.15">
      <c r="A1587" s="22"/>
      <c r="B1587" s="26" t="str">
        <f t="shared" si="96"/>
        <v/>
      </c>
      <c r="C1587" s="26" t="str">
        <f t="shared" si="97"/>
        <v/>
      </c>
      <c r="D1587" s="26" t="str">
        <f t="shared" si="98"/>
        <v/>
      </c>
      <c r="E1587" s="29"/>
      <c r="F1587" s="22"/>
      <c r="G1587" s="22"/>
      <c r="H1587" s="22"/>
      <c r="I1587" s="24"/>
      <c r="J1587" s="24"/>
      <c r="K1587" s="24"/>
      <c r="L1587" s="24"/>
      <c r="M1587" s="27" t="str">
        <f t="shared" si="99"/>
        <v/>
      </c>
      <c r="N1587" s="25"/>
      <c r="O1587" s="22"/>
      <c r="P1587" s="24"/>
      <c r="Q1587" s="26"/>
    </row>
    <row r="1588" spans="1:17" ht="15" x14ac:dyDescent="0.15">
      <c r="A1588" s="22"/>
      <c r="B1588" s="26" t="str">
        <f t="shared" si="96"/>
        <v/>
      </c>
      <c r="C1588" s="26" t="str">
        <f t="shared" si="97"/>
        <v/>
      </c>
      <c r="D1588" s="26" t="str">
        <f t="shared" si="98"/>
        <v/>
      </c>
      <c r="E1588" s="29"/>
      <c r="F1588" s="22"/>
      <c r="G1588" s="22"/>
      <c r="H1588" s="22"/>
      <c r="I1588" s="24"/>
      <c r="J1588" s="24"/>
      <c r="K1588" s="24"/>
      <c r="L1588" s="24"/>
      <c r="M1588" s="27" t="str">
        <f t="shared" si="99"/>
        <v/>
      </c>
      <c r="N1588" s="25"/>
      <c r="O1588" s="22"/>
      <c r="P1588" s="24"/>
      <c r="Q1588" s="26"/>
    </row>
    <row r="1589" spans="1:17" ht="15" x14ac:dyDescent="0.15">
      <c r="A1589" s="22"/>
      <c r="B1589" s="26" t="str">
        <f t="shared" si="96"/>
        <v/>
      </c>
      <c r="C1589" s="26" t="str">
        <f t="shared" si="97"/>
        <v/>
      </c>
      <c r="D1589" s="26" t="str">
        <f t="shared" si="98"/>
        <v/>
      </c>
      <c r="E1589" s="29"/>
      <c r="F1589" s="22"/>
      <c r="G1589" s="22"/>
      <c r="H1589" s="22"/>
      <c r="I1589" s="24"/>
      <c r="J1589" s="24"/>
      <c r="K1589" s="24"/>
      <c r="L1589" s="24"/>
      <c r="M1589" s="27" t="str">
        <f t="shared" si="99"/>
        <v/>
      </c>
      <c r="N1589" s="25"/>
      <c r="O1589" s="22"/>
      <c r="P1589" s="24"/>
      <c r="Q1589" s="26"/>
    </row>
    <row r="1590" spans="1:17" ht="15" x14ac:dyDescent="0.15">
      <c r="A1590" s="22"/>
      <c r="B1590" s="26" t="str">
        <f t="shared" si="96"/>
        <v/>
      </c>
      <c r="C1590" s="26" t="str">
        <f t="shared" si="97"/>
        <v/>
      </c>
      <c r="D1590" s="26" t="str">
        <f t="shared" si="98"/>
        <v/>
      </c>
      <c r="E1590" s="29"/>
      <c r="F1590" s="22"/>
      <c r="G1590" s="22"/>
      <c r="H1590" s="22"/>
      <c r="I1590" s="24"/>
      <c r="J1590" s="24"/>
      <c r="K1590" s="24"/>
      <c r="L1590" s="24"/>
      <c r="M1590" s="27" t="str">
        <f t="shared" si="99"/>
        <v/>
      </c>
      <c r="N1590" s="25"/>
      <c r="O1590" s="22"/>
      <c r="P1590" s="24"/>
      <c r="Q1590" s="26"/>
    </row>
    <row r="1591" spans="1:17" ht="15" x14ac:dyDescent="0.15">
      <c r="A1591" s="22"/>
      <c r="B1591" s="26" t="str">
        <f t="shared" si="96"/>
        <v/>
      </c>
      <c r="C1591" s="26" t="str">
        <f t="shared" si="97"/>
        <v/>
      </c>
      <c r="D1591" s="26" t="str">
        <f t="shared" si="98"/>
        <v/>
      </c>
      <c r="E1591" s="29"/>
      <c r="F1591" s="22"/>
      <c r="G1591" s="22"/>
      <c r="H1591" s="22"/>
      <c r="I1591" s="24"/>
      <c r="J1591" s="24"/>
      <c r="K1591" s="24"/>
      <c r="L1591" s="24"/>
      <c r="M1591" s="27" t="str">
        <f t="shared" si="99"/>
        <v/>
      </c>
      <c r="N1591" s="25"/>
      <c r="O1591" s="22"/>
      <c r="P1591" s="24"/>
      <c r="Q1591" s="26"/>
    </row>
    <row r="1592" spans="1:17" ht="15" x14ac:dyDescent="0.15">
      <c r="A1592" s="22"/>
      <c r="B1592" s="26" t="str">
        <f t="shared" si="96"/>
        <v/>
      </c>
      <c r="C1592" s="26" t="str">
        <f t="shared" si="97"/>
        <v/>
      </c>
      <c r="D1592" s="26" t="str">
        <f t="shared" si="98"/>
        <v/>
      </c>
      <c r="E1592" s="29"/>
      <c r="F1592" s="22"/>
      <c r="G1592" s="22"/>
      <c r="H1592" s="22"/>
      <c r="I1592" s="24"/>
      <c r="J1592" s="24"/>
      <c r="K1592" s="24"/>
      <c r="L1592" s="24"/>
      <c r="M1592" s="27" t="str">
        <f t="shared" si="99"/>
        <v/>
      </c>
      <c r="N1592" s="25"/>
      <c r="O1592" s="22"/>
      <c r="P1592" s="24"/>
      <c r="Q1592" s="26"/>
    </row>
    <row r="1593" spans="1:17" ht="15" x14ac:dyDescent="0.15">
      <c r="A1593" s="22"/>
      <c r="B1593" s="26" t="str">
        <f t="shared" si="96"/>
        <v/>
      </c>
      <c r="C1593" s="26" t="str">
        <f t="shared" si="97"/>
        <v/>
      </c>
      <c r="D1593" s="26" t="str">
        <f t="shared" si="98"/>
        <v/>
      </c>
      <c r="E1593" s="29"/>
      <c r="F1593" s="22"/>
      <c r="G1593" s="22"/>
      <c r="H1593" s="22"/>
      <c r="I1593" s="24"/>
      <c r="J1593" s="24"/>
      <c r="K1593" s="24"/>
      <c r="L1593" s="24"/>
      <c r="M1593" s="27" t="str">
        <f t="shared" si="99"/>
        <v/>
      </c>
      <c r="N1593" s="25"/>
      <c r="O1593" s="22"/>
      <c r="P1593" s="24"/>
      <c r="Q1593" s="26"/>
    </row>
    <row r="1594" spans="1:17" ht="15" x14ac:dyDescent="0.15">
      <c r="A1594" s="22"/>
      <c r="B1594" s="26" t="str">
        <f t="shared" si="96"/>
        <v/>
      </c>
      <c r="C1594" s="26" t="str">
        <f t="shared" si="97"/>
        <v/>
      </c>
      <c r="D1594" s="26" t="str">
        <f t="shared" si="98"/>
        <v/>
      </c>
      <c r="E1594" s="29"/>
      <c r="F1594" s="22"/>
      <c r="G1594" s="22"/>
      <c r="H1594" s="22"/>
      <c r="I1594" s="24"/>
      <c r="J1594" s="24"/>
      <c r="K1594" s="24"/>
      <c r="L1594" s="24"/>
      <c r="M1594" s="27" t="str">
        <f t="shared" si="99"/>
        <v/>
      </c>
      <c r="N1594" s="25"/>
      <c r="O1594" s="22"/>
      <c r="P1594" s="24"/>
      <c r="Q1594" s="26"/>
    </row>
    <row r="1595" spans="1:17" ht="15" x14ac:dyDescent="0.15">
      <c r="A1595" s="22"/>
      <c r="B1595" s="26" t="str">
        <f t="shared" si="96"/>
        <v/>
      </c>
      <c r="C1595" s="26" t="str">
        <f t="shared" si="97"/>
        <v/>
      </c>
      <c r="D1595" s="26" t="str">
        <f t="shared" si="98"/>
        <v/>
      </c>
      <c r="E1595" s="29"/>
      <c r="F1595" s="22"/>
      <c r="G1595" s="22"/>
      <c r="H1595" s="22"/>
      <c r="I1595" s="24"/>
      <c r="J1595" s="24"/>
      <c r="K1595" s="24"/>
      <c r="L1595" s="24"/>
      <c r="M1595" s="27" t="str">
        <f t="shared" si="99"/>
        <v/>
      </c>
      <c r="N1595" s="25"/>
      <c r="O1595" s="22"/>
      <c r="P1595" s="24"/>
      <c r="Q1595" s="26"/>
    </row>
    <row r="1596" spans="1:17" ht="15" x14ac:dyDescent="0.15">
      <c r="A1596" s="22"/>
      <c r="B1596" s="26" t="str">
        <f t="shared" si="96"/>
        <v/>
      </c>
      <c r="C1596" s="26" t="str">
        <f t="shared" si="97"/>
        <v/>
      </c>
      <c r="D1596" s="26" t="str">
        <f t="shared" si="98"/>
        <v/>
      </c>
      <c r="E1596" s="29"/>
      <c r="F1596" s="22"/>
      <c r="G1596" s="22"/>
      <c r="H1596" s="22"/>
      <c r="I1596" s="24"/>
      <c r="J1596" s="24"/>
      <c r="K1596" s="24"/>
      <c r="L1596" s="24"/>
      <c r="M1596" s="27" t="str">
        <f t="shared" si="99"/>
        <v/>
      </c>
      <c r="N1596" s="25"/>
      <c r="O1596" s="22"/>
      <c r="P1596" s="24"/>
      <c r="Q1596" s="26"/>
    </row>
    <row r="1597" spans="1:17" ht="15" x14ac:dyDescent="0.15">
      <c r="A1597" s="22"/>
      <c r="B1597" s="26" t="str">
        <f t="shared" si="96"/>
        <v/>
      </c>
      <c r="C1597" s="26" t="str">
        <f t="shared" si="97"/>
        <v/>
      </c>
      <c r="D1597" s="26" t="str">
        <f t="shared" si="98"/>
        <v/>
      </c>
      <c r="E1597" s="29"/>
      <c r="F1597" s="22"/>
      <c r="G1597" s="22"/>
      <c r="H1597" s="22"/>
      <c r="I1597" s="24"/>
      <c r="J1597" s="24"/>
      <c r="K1597" s="24"/>
      <c r="L1597" s="24"/>
      <c r="M1597" s="27" t="str">
        <f t="shared" si="99"/>
        <v/>
      </c>
      <c r="N1597" s="25"/>
      <c r="O1597" s="22"/>
      <c r="P1597" s="24"/>
      <c r="Q1597" s="26"/>
    </row>
    <row r="1598" spans="1:17" ht="15" x14ac:dyDescent="0.15">
      <c r="A1598" s="22"/>
      <c r="B1598" s="26" t="str">
        <f t="shared" si="96"/>
        <v/>
      </c>
      <c r="C1598" s="26" t="str">
        <f t="shared" si="97"/>
        <v/>
      </c>
      <c r="D1598" s="26" t="str">
        <f t="shared" si="98"/>
        <v/>
      </c>
      <c r="E1598" s="29"/>
      <c r="F1598" s="22"/>
      <c r="G1598" s="22"/>
      <c r="H1598" s="22"/>
      <c r="I1598" s="24"/>
      <c r="J1598" s="24"/>
      <c r="K1598" s="24"/>
      <c r="L1598" s="24"/>
      <c r="M1598" s="27" t="str">
        <f t="shared" si="99"/>
        <v/>
      </c>
      <c r="N1598" s="25"/>
      <c r="O1598" s="22"/>
      <c r="P1598" s="24"/>
      <c r="Q1598" s="26"/>
    </row>
    <row r="1599" spans="1:17" ht="15" x14ac:dyDescent="0.15">
      <c r="A1599" s="22"/>
      <c r="B1599" s="26" t="str">
        <f t="shared" si="96"/>
        <v/>
      </c>
      <c r="C1599" s="26" t="str">
        <f t="shared" si="97"/>
        <v/>
      </c>
      <c r="D1599" s="26" t="str">
        <f t="shared" si="98"/>
        <v/>
      </c>
      <c r="E1599" s="29"/>
      <c r="F1599" s="22"/>
      <c r="G1599" s="22"/>
      <c r="H1599" s="22"/>
      <c r="I1599" s="24"/>
      <c r="J1599" s="24"/>
      <c r="K1599" s="24"/>
      <c r="L1599" s="24"/>
      <c r="M1599" s="27" t="str">
        <f t="shared" si="99"/>
        <v/>
      </c>
      <c r="N1599" s="25"/>
      <c r="O1599" s="22"/>
      <c r="P1599" s="24"/>
      <c r="Q1599" s="26"/>
    </row>
    <row r="1600" spans="1:17" ht="15" x14ac:dyDescent="0.15">
      <c r="A1600" s="22"/>
      <c r="B1600" s="26" t="str">
        <f t="shared" si="96"/>
        <v/>
      </c>
      <c r="C1600" s="26" t="str">
        <f t="shared" si="97"/>
        <v/>
      </c>
      <c r="D1600" s="26" t="str">
        <f t="shared" si="98"/>
        <v/>
      </c>
      <c r="E1600" s="29"/>
      <c r="F1600" s="22"/>
      <c r="G1600" s="22"/>
      <c r="H1600" s="22"/>
      <c r="I1600" s="24"/>
      <c r="J1600" s="24"/>
      <c r="K1600" s="24"/>
      <c r="L1600" s="24"/>
      <c r="M1600" s="27" t="str">
        <f t="shared" si="99"/>
        <v/>
      </c>
      <c r="N1600" s="25"/>
      <c r="O1600" s="22"/>
      <c r="P1600" s="24"/>
      <c r="Q1600" s="26"/>
    </row>
    <row r="1601" spans="1:17" ht="15" x14ac:dyDescent="0.15">
      <c r="A1601" s="22"/>
      <c r="B1601" s="26" t="str">
        <f t="shared" si="96"/>
        <v/>
      </c>
      <c r="C1601" s="26" t="str">
        <f t="shared" si="97"/>
        <v/>
      </c>
      <c r="D1601" s="26" t="str">
        <f t="shared" si="98"/>
        <v/>
      </c>
      <c r="E1601" s="29"/>
      <c r="F1601" s="22"/>
      <c r="G1601" s="22"/>
      <c r="H1601" s="22"/>
      <c r="I1601" s="24"/>
      <c r="J1601" s="24"/>
      <c r="K1601" s="24"/>
      <c r="L1601" s="24"/>
      <c r="M1601" s="27" t="str">
        <f t="shared" si="99"/>
        <v/>
      </c>
      <c r="N1601" s="25"/>
      <c r="O1601" s="22"/>
      <c r="P1601" s="24"/>
      <c r="Q1601" s="26"/>
    </row>
    <row r="1602" spans="1:17" ht="15" x14ac:dyDescent="0.15">
      <c r="A1602" s="22"/>
      <c r="B1602" s="26" t="str">
        <f t="shared" si="96"/>
        <v/>
      </c>
      <c r="C1602" s="26" t="str">
        <f t="shared" si="97"/>
        <v/>
      </c>
      <c r="D1602" s="26" t="str">
        <f t="shared" si="98"/>
        <v/>
      </c>
      <c r="E1602" s="29"/>
      <c r="F1602" s="22"/>
      <c r="G1602" s="22"/>
      <c r="H1602" s="22"/>
      <c r="I1602" s="24"/>
      <c r="J1602" s="24"/>
      <c r="K1602" s="24"/>
      <c r="L1602" s="24"/>
      <c r="M1602" s="27" t="str">
        <f t="shared" si="99"/>
        <v/>
      </c>
      <c r="N1602" s="25"/>
      <c r="O1602" s="22"/>
      <c r="P1602" s="24"/>
      <c r="Q1602" s="26"/>
    </row>
    <row r="1603" spans="1:17" ht="15" x14ac:dyDescent="0.15">
      <c r="A1603" s="22"/>
      <c r="B1603" s="26" t="str">
        <f t="shared" si="96"/>
        <v/>
      </c>
      <c r="C1603" s="26" t="str">
        <f t="shared" si="97"/>
        <v/>
      </c>
      <c r="D1603" s="26" t="str">
        <f t="shared" si="98"/>
        <v/>
      </c>
      <c r="E1603" s="29"/>
      <c r="F1603" s="22"/>
      <c r="G1603" s="22"/>
      <c r="H1603" s="22"/>
      <c r="I1603" s="24"/>
      <c r="J1603" s="24"/>
      <c r="K1603" s="24"/>
      <c r="L1603" s="24"/>
      <c r="M1603" s="27" t="str">
        <f t="shared" si="99"/>
        <v/>
      </c>
      <c r="N1603" s="25"/>
      <c r="O1603" s="22"/>
      <c r="P1603" s="24"/>
      <c r="Q1603" s="26"/>
    </row>
    <row r="1604" spans="1:17" ht="15" x14ac:dyDescent="0.15">
      <c r="A1604" s="22"/>
      <c r="B1604" s="26" t="str">
        <f t="shared" si="96"/>
        <v/>
      </c>
      <c r="C1604" s="26" t="str">
        <f t="shared" si="97"/>
        <v/>
      </c>
      <c r="D1604" s="26" t="str">
        <f t="shared" si="98"/>
        <v/>
      </c>
      <c r="E1604" s="29"/>
      <c r="F1604" s="22"/>
      <c r="G1604" s="22"/>
      <c r="H1604" s="22"/>
      <c r="I1604" s="24"/>
      <c r="J1604" s="24"/>
      <c r="K1604" s="24"/>
      <c r="L1604" s="24"/>
      <c r="M1604" s="27" t="str">
        <f t="shared" si="99"/>
        <v/>
      </c>
      <c r="N1604" s="25"/>
      <c r="O1604" s="22"/>
      <c r="P1604" s="24"/>
      <c r="Q1604" s="26"/>
    </row>
    <row r="1605" spans="1:17" ht="15" x14ac:dyDescent="0.15">
      <c r="A1605" s="22"/>
      <c r="B1605" s="26" t="str">
        <f t="shared" si="96"/>
        <v/>
      </c>
      <c r="C1605" s="26" t="str">
        <f t="shared" si="97"/>
        <v/>
      </c>
      <c r="D1605" s="26" t="str">
        <f t="shared" si="98"/>
        <v/>
      </c>
      <c r="E1605" s="29"/>
      <c r="F1605" s="22"/>
      <c r="G1605" s="22"/>
      <c r="H1605" s="22"/>
      <c r="I1605" s="24"/>
      <c r="J1605" s="24"/>
      <c r="K1605" s="24"/>
      <c r="L1605" s="24"/>
      <c r="M1605" s="27" t="str">
        <f t="shared" si="99"/>
        <v/>
      </c>
      <c r="N1605" s="25"/>
      <c r="O1605" s="22"/>
      <c r="P1605" s="24"/>
      <c r="Q1605" s="26"/>
    </row>
    <row r="1606" spans="1:17" ht="15" x14ac:dyDescent="0.15">
      <c r="A1606" s="22"/>
      <c r="B1606" s="26" t="str">
        <f t="shared" si="96"/>
        <v/>
      </c>
      <c r="C1606" s="26" t="str">
        <f t="shared" si="97"/>
        <v/>
      </c>
      <c r="D1606" s="26" t="str">
        <f t="shared" si="98"/>
        <v/>
      </c>
      <c r="E1606" s="29"/>
      <c r="F1606" s="22"/>
      <c r="G1606" s="22"/>
      <c r="H1606" s="22"/>
      <c r="I1606" s="24"/>
      <c r="J1606" s="24"/>
      <c r="K1606" s="24"/>
      <c r="L1606" s="24"/>
      <c r="M1606" s="27" t="str">
        <f t="shared" si="99"/>
        <v/>
      </c>
      <c r="N1606" s="25"/>
      <c r="O1606" s="22"/>
      <c r="P1606" s="24"/>
      <c r="Q1606" s="26"/>
    </row>
    <row r="1607" spans="1:17" ht="15" x14ac:dyDescent="0.15">
      <c r="A1607" s="22"/>
      <c r="B1607" s="26" t="str">
        <f t="shared" ref="B1607:B1670" si="100">IFERROR(IF($A1607="","",LEFT($A1607,FIND(" | ",$A1607)-1)),"")</f>
        <v/>
      </c>
      <c r="C1607" s="26" t="str">
        <f t="shared" ref="C1607:C1670" si="101">IFERROR(IF($A1607="","",MID($A1607,FIND(" | ",$A1607)+3,FIND(" | ",$A1607,FIND(" | ",$A1607)+3)-FIND(" | ",$A1607)-3)),"")</f>
        <v/>
      </c>
      <c r="D1607" s="26" t="str">
        <f t="shared" ref="D1607:D1670" si="102">IFERROR(IF($A1607="","",RIGHT($A1607,LEN($A1607)-FIND(" | ",$A1607,FIND(" | ",$A1607)+3)-2)),"")</f>
        <v/>
      </c>
      <c r="E1607" s="29"/>
      <c r="F1607" s="22"/>
      <c r="G1607" s="22"/>
      <c r="H1607" s="22"/>
      <c r="I1607" s="24"/>
      <c r="J1607" s="24"/>
      <c r="K1607" s="24"/>
      <c r="L1607" s="24"/>
      <c r="M1607" s="27" t="str">
        <f t="shared" ref="M1607:M1670" si="103">IF($B1607="","",SUM($J1607,-$K1607,$L1607))</f>
        <v/>
      </c>
      <c r="N1607" s="25"/>
      <c r="O1607" s="22"/>
      <c r="P1607" s="24"/>
      <c r="Q1607" s="26"/>
    </row>
    <row r="1608" spans="1:17" ht="15" x14ac:dyDescent="0.15">
      <c r="A1608" s="22"/>
      <c r="B1608" s="26" t="str">
        <f t="shared" si="100"/>
        <v/>
      </c>
      <c r="C1608" s="26" t="str">
        <f t="shared" si="101"/>
        <v/>
      </c>
      <c r="D1608" s="26" t="str">
        <f t="shared" si="102"/>
        <v/>
      </c>
      <c r="E1608" s="29"/>
      <c r="F1608" s="22"/>
      <c r="G1608" s="22"/>
      <c r="H1608" s="22"/>
      <c r="I1608" s="24"/>
      <c r="J1608" s="24"/>
      <c r="K1608" s="24"/>
      <c r="L1608" s="24"/>
      <c r="M1608" s="27" t="str">
        <f t="shared" si="103"/>
        <v/>
      </c>
      <c r="N1608" s="25"/>
      <c r="O1608" s="22"/>
      <c r="P1608" s="24"/>
      <c r="Q1608" s="26"/>
    </row>
    <row r="1609" spans="1:17" ht="15" x14ac:dyDescent="0.15">
      <c r="A1609" s="22"/>
      <c r="B1609" s="26" t="str">
        <f t="shared" si="100"/>
        <v/>
      </c>
      <c r="C1609" s="26" t="str">
        <f t="shared" si="101"/>
        <v/>
      </c>
      <c r="D1609" s="26" t="str">
        <f t="shared" si="102"/>
        <v/>
      </c>
      <c r="E1609" s="29"/>
      <c r="F1609" s="22"/>
      <c r="G1609" s="22"/>
      <c r="H1609" s="22"/>
      <c r="I1609" s="24"/>
      <c r="J1609" s="24"/>
      <c r="K1609" s="24"/>
      <c r="L1609" s="24"/>
      <c r="M1609" s="27" t="str">
        <f t="shared" si="103"/>
        <v/>
      </c>
      <c r="N1609" s="25"/>
      <c r="O1609" s="22"/>
      <c r="P1609" s="24"/>
      <c r="Q1609" s="26"/>
    </row>
    <row r="1610" spans="1:17" ht="15" x14ac:dyDescent="0.15">
      <c r="A1610" s="22"/>
      <c r="B1610" s="26" t="str">
        <f t="shared" si="100"/>
        <v/>
      </c>
      <c r="C1610" s="26" t="str">
        <f t="shared" si="101"/>
        <v/>
      </c>
      <c r="D1610" s="26" t="str">
        <f t="shared" si="102"/>
        <v/>
      </c>
      <c r="E1610" s="29"/>
      <c r="F1610" s="22"/>
      <c r="G1610" s="22"/>
      <c r="H1610" s="22"/>
      <c r="I1610" s="24"/>
      <c r="J1610" s="24"/>
      <c r="K1610" s="24"/>
      <c r="L1610" s="24"/>
      <c r="M1610" s="27" t="str">
        <f t="shared" si="103"/>
        <v/>
      </c>
      <c r="N1610" s="25"/>
      <c r="O1610" s="22"/>
      <c r="P1610" s="24"/>
      <c r="Q1610" s="26"/>
    </row>
    <row r="1611" spans="1:17" ht="15" x14ac:dyDescent="0.15">
      <c r="A1611" s="22"/>
      <c r="B1611" s="26" t="str">
        <f t="shared" si="100"/>
        <v/>
      </c>
      <c r="C1611" s="26" t="str">
        <f t="shared" si="101"/>
        <v/>
      </c>
      <c r="D1611" s="26" t="str">
        <f t="shared" si="102"/>
        <v/>
      </c>
      <c r="E1611" s="29"/>
      <c r="F1611" s="22"/>
      <c r="G1611" s="22"/>
      <c r="H1611" s="22"/>
      <c r="I1611" s="24"/>
      <c r="J1611" s="24"/>
      <c r="K1611" s="24"/>
      <c r="L1611" s="24"/>
      <c r="M1611" s="27" t="str">
        <f t="shared" si="103"/>
        <v/>
      </c>
      <c r="N1611" s="25"/>
      <c r="O1611" s="22"/>
      <c r="P1611" s="24"/>
      <c r="Q1611" s="26"/>
    </row>
    <row r="1612" spans="1:17" ht="15" x14ac:dyDescent="0.15">
      <c r="A1612" s="22"/>
      <c r="B1612" s="26" t="str">
        <f t="shared" si="100"/>
        <v/>
      </c>
      <c r="C1612" s="26" t="str">
        <f t="shared" si="101"/>
        <v/>
      </c>
      <c r="D1612" s="26" t="str">
        <f t="shared" si="102"/>
        <v/>
      </c>
      <c r="E1612" s="29"/>
      <c r="F1612" s="22"/>
      <c r="G1612" s="22"/>
      <c r="H1612" s="22"/>
      <c r="I1612" s="24"/>
      <c r="J1612" s="24"/>
      <c r="K1612" s="24"/>
      <c r="L1612" s="24"/>
      <c r="M1612" s="27" t="str">
        <f t="shared" si="103"/>
        <v/>
      </c>
      <c r="N1612" s="25"/>
      <c r="O1612" s="22"/>
      <c r="P1612" s="24"/>
      <c r="Q1612" s="26"/>
    </row>
    <row r="1613" spans="1:17" ht="15" x14ac:dyDescent="0.15">
      <c r="A1613" s="22"/>
      <c r="B1613" s="26" t="str">
        <f t="shared" si="100"/>
        <v/>
      </c>
      <c r="C1613" s="26" t="str">
        <f t="shared" si="101"/>
        <v/>
      </c>
      <c r="D1613" s="26" t="str">
        <f t="shared" si="102"/>
        <v/>
      </c>
      <c r="E1613" s="29"/>
      <c r="F1613" s="22"/>
      <c r="G1613" s="22"/>
      <c r="H1613" s="22"/>
      <c r="I1613" s="24"/>
      <c r="J1613" s="24"/>
      <c r="K1613" s="24"/>
      <c r="L1613" s="24"/>
      <c r="M1613" s="27" t="str">
        <f t="shared" si="103"/>
        <v/>
      </c>
      <c r="N1613" s="25"/>
      <c r="O1613" s="22"/>
      <c r="P1613" s="24"/>
      <c r="Q1613" s="26"/>
    </row>
    <row r="1614" spans="1:17" ht="15" x14ac:dyDescent="0.15">
      <c r="A1614" s="22"/>
      <c r="B1614" s="26" t="str">
        <f t="shared" si="100"/>
        <v/>
      </c>
      <c r="C1614" s="26" t="str">
        <f t="shared" si="101"/>
        <v/>
      </c>
      <c r="D1614" s="26" t="str">
        <f t="shared" si="102"/>
        <v/>
      </c>
      <c r="E1614" s="29"/>
      <c r="F1614" s="22"/>
      <c r="G1614" s="22"/>
      <c r="H1614" s="22"/>
      <c r="I1614" s="24"/>
      <c r="J1614" s="24"/>
      <c r="K1614" s="24"/>
      <c r="L1614" s="24"/>
      <c r="M1614" s="27" t="str">
        <f t="shared" si="103"/>
        <v/>
      </c>
      <c r="N1614" s="25"/>
      <c r="O1614" s="22"/>
      <c r="P1614" s="24"/>
      <c r="Q1614" s="26"/>
    </row>
    <row r="1615" spans="1:17" ht="15" x14ac:dyDescent="0.15">
      <c r="A1615" s="22"/>
      <c r="B1615" s="26" t="str">
        <f t="shared" si="100"/>
        <v/>
      </c>
      <c r="C1615" s="26" t="str">
        <f t="shared" si="101"/>
        <v/>
      </c>
      <c r="D1615" s="26" t="str">
        <f t="shared" si="102"/>
        <v/>
      </c>
      <c r="E1615" s="29"/>
      <c r="F1615" s="22"/>
      <c r="G1615" s="22"/>
      <c r="H1615" s="22"/>
      <c r="I1615" s="24"/>
      <c r="J1615" s="24"/>
      <c r="K1615" s="24"/>
      <c r="L1615" s="24"/>
      <c r="M1615" s="27" t="str">
        <f t="shared" si="103"/>
        <v/>
      </c>
      <c r="N1615" s="25"/>
      <c r="O1615" s="22"/>
      <c r="P1615" s="24"/>
      <c r="Q1615" s="26"/>
    </row>
    <row r="1616" spans="1:17" ht="15" x14ac:dyDescent="0.15">
      <c r="A1616" s="22"/>
      <c r="B1616" s="26" t="str">
        <f t="shared" si="100"/>
        <v/>
      </c>
      <c r="C1616" s="26" t="str">
        <f t="shared" si="101"/>
        <v/>
      </c>
      <c r="D1616" s="26" t="str">
        <f t="shared" si="102"/>
        <v/>
      </c>
      <c r="E1616" s="29"/>
      <c r="F1616" s="22"/>
      <c r="G1616" s="22"/>
      <c r="H1616" s="22"/>
      <c r="I1616" s="24"/>
      <c r="J1616" s="24"/>
      <c r="K1616" s="24"/>
      <c r="L1616" s="24"/>
      <c r="M1616" s="27" t="str">
        <f t="shared" si="103"/>
        <v/>
      </c>
      <c r="N1616" s="25"/>
      <c r="O1616" s="22"/>
      <c r="P1616" s="24"/>
      <c r="Q1616" s="26"/>
    </row>
    <row r="1617" spans="1:17" ht="15" x14ac:dyDescent="0.15">
      <c r="A1617" s="22"/>
      <c r="B1617" s="26" t="str">
        <f t="shared" si="100"/>
        <v/>
      </c>
      <c r="C1617" s="26" t="str">
        <f t="shared" si="101"/>
        <v/>
      </c>
      <c r="D1617" s="26" t="str">
        <f t="shared" si="102"/>
        <v/>
      </c>
      <c r="E1617" s="29"/>
      <c r="F1617" s="22"/>
      <c r="G1617" s="22"/>
      <c r="H1617" s="22"/>
      <c r="I1617" s="24"/>
      <c r="J1617" s="24"/>
      <c r="K1617" s="24"/>
      <c r="L1617" s="24"/>
      <c r="M1617" s="27" t="str">
        <f t="shared" si="103"/>
        <v/>
      </c>
      <c r="N1617" s="25"/>
      <c r="O1617" s="22"/>
      <c r="P1617" s="24"/>
      <c r="Q1617" s="26"/>
    </row>
    <row r="1618" spans="1:17" ht="15" x14ac:dyDescent="0.15">
      <c r="A1618" s="22"/>
      <c r="B1618" s="26" t="str">
        <f t="shared" si="100"/>
        <v/>
      </c>
      <c r="C1618" s="26" t="str">
        <f t="shared" si="101"/>
        <v/>
      </c>
      <c r="D1618" s="26" t="str">
        <f t="shared" si="102"/>
        <v/>
      </c>
      <c r="E1618" s="29"/>
      <c r="F1618" s="22"/>
      <c r="G1618" s="22"/>
      <c r="H1618" s="22"/>
      <c r="I1618" s="24"/>
      <c r="J1618" s="24"/>
      <c r="K1618" s="24"/>
      <c r="L1618" s="24"/>
      <c r="M1618" s="27" t="str">
        <f t="shared" si="103"/>
        <v/>
      </c>
      <c r="N1618" s="25"/>
      <c r="O1618" s="22"/>
      <c r="P1618" s="24"/>
      <c r="Q1618" s="26"/>
    </row>
    <row r="1619" spans="1:17" ht="15" x14ac:dyDescent="0.15">
      <c r="A1619" s="22"/>
      <c r="B1619" s="26" t="str">
        <f t="shared" si="100"/>
        <v/>
      </c>
      <c r="C1619" s="26" t="str">
        <f t="shared" si="101"/>
        <v/>
      </c>
      <c r="D1619" s="26" t="str">
        <f t="shared" si="102"/>
        <v/>
      </c>
      <c r="E1619" s="29"/>
      <c r="F1619" s="22"/>
      <c r="G1619" s="22"/>
      <c r="H1619" s="22"/>
      <c r="I1619" s="24"/>
      <c r="J1619" s="24"/>
      <c r="K1619" s="24"/>
      <c r="L1619" s="24"/>
      <c r="M1619" s="27" t="str">
        <f t="shared" si="103"/>
        <v/>
      </c>
      <c r="N1619" s="25"/>
      <c r="O1619" s="22"/>
      <c r="P1619" s="24"/>
      <c r="Q1619" s="26"/>
    </row>
    <row r="1620" spans="1:17" ht="15" x14ac:dyDescent="0.15">
      <c r="A1620" s="22"/>
      <c r="B1620" s="26" t="str">
        <f t="shared" si="100"/>
        <v/>
      </c>
      <c r="C1620" s="26" t="str">
        <f t="shared" si="101"/>
        <v/>
      </c>
      <c r="D1620" s="26" t="str">
        <f t="shared" si="102"/>
        <v/>
      </c>
      <c r="E1620" s="29"/>
      <c r="F1620" s="22"/>
      <c r="G1620" s="22"/>
      <c r="H1620" s="22"/>
      <c r="I1620" s="24"/>
      <c r="J1620" s="24"/>
      <c r="K1620" s="24"/>
      <c r="L1620" s="24"/>
      <c r="M1620" s="27" t="str">
        <f t="shared" si="103"/>
        <v/>
      </c>
      <c r="N1620" s="25"/>
      <c r="O1620" s="22"/>
      <c r="P1620" s="24"/>
      <c r="Q1620" s="26"/>
    </row>
    <row r="1621" spans="1:17" ht="15" x14ac:dyDescent="0.15">
      <c r="A1621" s="22"/>
      <c r="B1621" s="26" t="str">
        <f t="shared" si="100"/>
        <v/>
      </c>
      <c r="C1621" s="26" t="str">
        <f t="shared" si="101"/>
        <v/>
      </c>
      <c r="D1621" s="26" t="str">
        <f t="shared" si="102"/>
        <v/>
      </c>
      <c r="E1621" s="29"/>
      <c r="F1621" s="22"/>
      <c r="G1621" s="22"/>
      <c r="H1621" s="22"/>
      <c r="I1621" s="24"/>
      <c r="J1621" s="24"/>
      <c r="K1621" s="24"/>
      <c r="L1621" s="24"/>
      <c r="M1621" s="27" t="str">
        <f t="shared" si="103"/>
        <v/>
      </c>
      <c r="N1621" s="25"/>
      <c r="O1621" s="22"/>
      <c r="P1621" s="24"/>
      <c r="Q1621" s="26"/>
    </row>
    <row r="1622" spans="1:17" ht="15" x14ac:dyDescent="0.15">
      <c r="A1622" s="22"/>
      <c r="B1622" s="26" t="str">
        <f t="shared" si="100"/>
        <v/>
      </c>
      <c r="C1622" s="26" t="str">
        <f t="shared" si="101"/>
        <v/>
      </c>
      <c r="D1622" s="26" t="str">
        <f t="shared" si="102"/>
        <v/>
      </c>
      <c r="E1622" s="29"/>
      <c r="F1622" s="22"/>
      <c r="G1622" s="22"/>
      <c r="H1622" s="22"/>
      <c r="I1622" s="24"/>
      <c r="J1622" s="24"/>
      <c r="K1622" s="24"/>
      <c r="L1622" s="24"/>
      <c r="M1622" s="27" t="str">
        <f t="shared" si="103"/>
        <v/>
      </c>
      <c r="N1622" s="25"/>
      <c r="O1622" s="22"/>
      <c r="P1622" s="24"/>
      <c r="Q1622" s="26"/>
    </row>
    <row r="1623" spans="1:17" ht="15" x14ac:dyDescent="0.15">
      <c r="A1623" s="22"/>
      <c r="B1623" s="26" t="str">
        <f t="shared" si="100"/>
        <v/>
      </c>
      <c r="C1623" s="26" t="str">
        <f t="shared" si="101"/>
        <v/>
      </c>
      <c r="D1623" s="26" t="str">
        <f t="shared" si="102"/>
        <v/>
      </c>
      <c r="E1623" s="29"/>
      <c r="F1623" s="22"/>
      <c r="G1623" s="22"/>
      <c r="H1623" s="22"/>
      <c r="I1623" s="24"/>
      <c r="J1623" s="24"/>
      <c r="K1623" s="24"/>
      <c r="L1623" s="24"/>
      <c r="M1623" s="27" t="str">
        <f t="shared" si="103"/>
        <v/>
      </c>
      <c r="N1623" s="25"/>
      <c r="O1623" s="22"/>
      <c r="P1623" s="24"/>
      <c r="Q1623" s="26"/>
    </row>
    <row r="1624" spans="1:17" ht="15" x14ac:dyDescent="0.15">
      <c r="A1624" s="22"/>
      <c r="B1624" s="26" t="str">
        <f t="shared" si="100"/>
        <v/>
      </c>
      <c r="C1624" s="26" t="str">
        <f t="shared" si="101"/>
        <v/>
      </c>
      <c r="D1624" s="26" t="str">
        <f t="shared" si="102"/>
        <v/>
      </c>
      <c r="E1624" s="29"/>
      <c r="F1624" s="22"/>
      <c r="G1624" s="22"/>
      <c r="H1624" s="22"/>
      <c r="I1624" s="24"/>
      <c r="J1624" s="24"/>
      <c r="K1624" s="24"/>
      <c r="L1624" s="24"/>
      <c r="M1624" s="27" t="str">
        <f t="shared" si="103"/>
        <v/>
      </c>
      <c r="N1624" s="25"/>
      <c r="O1624" s="22"/>
      <c r="P1624" s="24"/>
      <c r="Q1624" s="26"/>
    </row>
    <row r="1625" spans="1:17" ht="15" x14ac:dyDescent="0.15">
      <c r="A1625" s="22"/>
      <c r="B1625" s="26" t="str">
        <f t="shared" si="100"/>
        <v/>
      </c>
      <c r="C1625" s="26" t="str">
        <f t="shared" si="101"/>
        <v/>
      </c>
      <c r="D1625" s="26" t="str">
        <f t="shared" si="102"/>
        <v/>
      </c>
      <c r="E1625" s="29"/>
      <c r="F1625" s="22"/>
      <c r="G1625" s="22"/>
      <c r="H1625" s="22"/>
      <c r="I1625" s="24"/>
      <c r="J1625" s="24"/>
      <c r="K1625" s="24"/>
      <c r="L1625" s="24"/>
      <c r="M1625" s="27" t="str">
        <f t="shared" si="103"/>
        <v/>
      </c>
      <c r="N1625" s="25"/>
      <c r="O1625" s="22"/>
      <c r="P1625" s="24"/>
      <c r="Q1625" s="26"/>
    </row>
    <row r="1626" spans="1:17" ht="15" x14ac:dyDescent="0.15">
      <c r="A1626" s="22"/>
      <c r="B1626" s="26" t="str">
        <f t="shared" si="100"/>
        <v/>
      </c>
      <c r="C1626" s="26" t="str">
        <f t="shared" si="101"/>
        <v/>
      </c>
      <c r="D1626" s="26" t="str">
        <f t="shared" si="102"/>
        <v/>
      </c>
      <c r="E1626" s="29"/>
      <c r="F1626" s="22"/>
      <c r="G1626" s="22"/>
      <c r="H1626" s="22"/>
      <c r="I1626" s="24"/>
      <c r="J1626" s="24"/>
      <c r="K1626" s="24"/>
      <c r="L1626" s="24"/>
      <c r="M1626" s="27" t="str">
        <f t="shared" si="103"/>
        <v/>
      </c>
      <c r="N1626" s="25"/>
      <c r="O1626" s="22"/>
      <c r="P1626" s="24"/>
      <c r="Q1626" s="26"/>
    </row>
    <row r="1627" spans="1:17" ht="15" x14ac:dyDescent="0.15">
      <c r="A1627" s="22"/>
      <c r="B1627" s="26" t="str">
        <f t="shared" si="100"/>
        <v/>
      </c>
      <c r="C1627" s="26" t="str">
        <f t="shared" si="101"/>
        <v/>
      </c>
      <c r="D1627" s="26" t="str">
        <f t="shared" si="102"/>
        <v/>
      </c>
      <c r="E1627" s="29"/>
      <c r="F1627" s="22"/>
      <c r="G1627" s="22"/>
      <c r="H1627" s="22"/>
      <c r="I1627" s="24"/>
      <c r="J1627" s="24"/>
      <c r="K1627" s="24"/>
      <c r="L1627" s="24"/>
      <c r="M1627" s="27" t="str">
        <f t="shared" si="103"/>
        <v/>
      </c>
      <c r="N1627" s="25"/>
      <c r="O1627" s="22"/>
      <c r="P1627" s="24"/>
      <c r="Q1627" s="26"/>
    </row>
    <row r="1628" spans="1:17" ht="15" x14ac:dyDescent="0.15">
      <c r="A1628" s="22"/>
      <c r="B1628" s="26" t="str">
        <f t="shared" si="100"/>
        <v/>
      </c>
      <c r="C1628" s="26" t="str">
        <f t="shared" si="101"/>
        <v/>
      </c>
      <c r="D1628" s="26" t="str">
        <f t="shared" si="102"/>
        <v/>
      </c>
      <c r="E1628" s="29"/>
      <c r="F1628" s="22"/>
      <c r="G1628" s="22"/>
      <c r="H1628" s="22"/>
      <c r="I1628" s="24"/>
      <c r="J1628" s="24"/>
      <c r="K1628" s="24"/>
      <c r="L1628" s="24"/>
      <c r="M1628" s="27" t="str">
        <f t="shared" si="103"/>
        <v/>
      </c>
      <c r="N1628" s="25"/>
      <c r="O1628" s="22"/>
      <c r="P1628" s="24"/>
      <c r="Q1628" s="26"/>
    </row>
    <row r="1629" spans="1:17" ht="15" x14ac:dyDescent="0.15">
      <c r="A1629" s="22"/>
      <c r="B1629" s="26" t="str">
        <f t="shared" si="100"/>
        <v/>
      </c>
      <c r="C1629" s="26" t="str">
        <f t="shared" si="101"/>
        <v/>
      </c>
      <c r="D1629" s="26" t="str">
        <f t="shared" si="102"/>
        <v/>
      </c>
      <c r="E1629" s="29"/>
      <c r="F1629" s="22"/>
      <c r="G1629" s="22"/>
      <c r="H1629" s="22"/>
      <c r="I1629" s="24"/>
      <c r="J1629" s="24"/>
      <c r="K1629" s="24"/>
      <c r="L1629" s="24"/>
      <c r="M1629" s="27" t="str">
        <f t="shared" si="103"/>
        <v/>
      </c>
      <c r="N1629" s="25"/>
      <c r="O1629" s="22"/>
      <c r="P1629" s="24"/>
      <c r="Q1629" s="26"/>
    </row>
    <row r="1630" spans="1:17" ht="15" x14ac:dyDescent="0.15">
      <c r="A1630" s="22"/>
      <c r="B1630" s="26" t="str">
        <f t="shared" si="100"/>
        <v/>
      </c>
      <c r="C1630" s="26" t="str">
        <f t="shared" si="101"/>
        <v/>
      </c>
      <c r="D1630" s="26" t="str">
        <f t="shared" si="102"/>
        <v/>
      </c>
      <c r="E1630" s="29"/>
      <c r="F1630" s="22"/>
      <c r="G1630" s="22"/>
      <c r="H1630" s="22"/>
      <c r="I1630" s="24"/>
      <c r="J1630" s="24"/>
      <c r="K1630" s="24"/>
      <c r="L1630" s="24"/>
      <c r="M1630" s="27" t="str">
        <f t="shared" si="103"/>
        <v/>
      </c>
      <c r="N1630" s="25"/>
      <c r="O1630" s="22"/>
      <c r="P1630" s="24"/>
      <c r="Q1630" s="26"/>
    </row>
    <row r="1631" spans="1:17" ht="15" x14ac:dyDescent="0.15">
      <c r="A1631" s="22"/>
      <c r="B1631" s="26" t="str">
        <f t="shared" si="100"/>
        <v/>
      </c>
      <c r="C1631" s="26" t="str">
        <f t="shared" si="101"/>
        <v/>
      </c>
      <c r="D1631" s="26" t="str">
        <f t="shared" si="102"/>
        <v/>
      </c>
      <c r="E1631" s="29"/>
      <c r="F1631" s="22"/>
      <c r="G1631" s="22"/>
      <c r="H1631" s="22"/>
      <c r="I1631" s="24"/>
      <c r="J1631" s="24"/>
      <c r="K1631" s="24"/>
      <c r="L1631" s="24"/>
      <c r="M1631" s="27" t="str">
        <f t="shared" si="103"/>
        <v/>
      </c>
      <c r="N1631" s="25"/>
      <c r="O1631" s="22"/>
      <c r="P1631" s="24"/>
      <c r="Q1631" s="26"/>
    </row>
    <row r="1632" spans="1:17" ht="15" x14ac:dyDescent="0.15">
      <c r="A1632" s="22"/>
      <c r="B1632" s="26" t="str">
        <f t="shared" si="100"/>
        <v/>
      </c>
      <c r="C1632" s="26" t="str">
        <f t="shared" si="101"/>
        <v/>
      </c>
      <c r="D1632" s="26" t="str">
        <f t="shared" si="102"/>
        <v/>
      </c>
      <c r="E1632" s="29"/>
      <c r="F1632" s="22"/>
      <c r="G1632" s="22"/>
      <c r="H1632" s="22"/>
      <c r="I1632" s="24"/>
      <c r="J1632" s="24"/>
      <c r="K1632" s="24"/>
      <c r="L1632" s="24"/>
      <c r="M1632" s="27" t="str">
        <f t="shared" si="103"/>
        <v/>
      </c>
      <c r="N1632" s="25"/>
      <c r="O1632" s="22"/>
      <c r="P1632" s="24"/>
      <c r="Q1632" s="26"/>
    </row>
    <row r="1633" spans="1:17" ht="15" x14ac:dyDescent="0.15">
      <c r="A1633" s="22"/>
      <c r="B1633" s="26" t="str">
        <f t="shared" si="100"/>
        <v/>
      </c>
      <c r="C1633" s="26" t="str">
        <f t="shared" si="101"/>
        <v/>
      </c>
      <c r="D1633" s="26" t="str">
        <f t="shared" si="102"/>
        <v/>
      </c>
      <c r="E1633" s="29"/>
      <c r="F1633" s="22"/>
      <c r="G1633" s="22"/>
      <c r="H1633" s="22"/>
      <c r="I1633" s="24"/>
      <c r="J1633" s="24"/>
      <c r="K1633" s="24"/>
      <c r="L1633" s="24"/>
      <c r="M1633" s="27" t="str">
        <f t="shared" si="103"/>
        <v/>
      </c>
      <c r="N1633" s="25"/>
      <c r="O1633" s="22"/>
      <c r="P1633" s="24"/>
      <c r="Q1633" s="26"/>
    </row>
    <row r="1634" spans="1:17" ht="15" x14ac:dyDescent="0.15">
      <c r="A1634" s="22"/>
      <c r="B1634" s="26" t="str">
        <f t="shared" si="100"/>
        <v/>
      </c>
      <c r="C1634" s="26" t="str">
        <f t="shared" si="101"/>
        <v/>
      </c>
      <c r="D1634" s="26" t="str">
        <f t="shared" si="102"/>
        <v/>
      </c>
      <c r="E1634" s="29"/>
      <c r="F1634" s="22"/>
      <c r="G1634" s="22"/>
      <c r="H1634" s="22"/>
      <c r="I1634" s="24"/>
      <c r="J1634" s="24"/>
      <c r="K1634" s="24"/>
      <c r="L1634" s="24"/>
      <c r="M1634" s="27" t="str">
        <f t="shared" si="103"/>
        <v/>
      </c>
      <c r="N1634" s="25"/>
      <c r="O1634" s="22"/>
      <c r="P1634" s="24"/>
      <c r="Q1634" s="26"/>
    </row>
    <row r="1635" spans="1:17" ht="15" x14ac:dyDescent="0.15">
      <c r="A1635" s="22"/>
      <c r="B1635" s="26" t="str">
        <f t="shared" si="100"/>
        <v/>
      </c>
      <c r="C1635" s="26" t="str">
        <f t="shared" si="101"/>
        <v/>
      </c>
      <c r="D1635" s="26" t="str">
        <f t="shared" si="102"/>
        <v/>
      </c>
      <c r="E1635" s="29"/>
      <c r="F1635" s="22"/>
      <c r="G1635" s="22"/>
      <c r="H1635" s="22"/>
      <c r="I1635" s="24"/>
      <c r="J1635" s="24"/>
      <c r="K1635" s="24"/>
      <c r="L1635" s="24"/>
      <c r="M1635" s="27" t="str">
        <f t="shared" si="103"/>
        <v/>
      </c>
      <c r="N1635" s="25"/>
      <c r="O1635" s="22"/>
      <c r="P1635" s="24"/>
      <c r="Q1635" s="26"/>
    </row>
    <row r="1636" spans="1:17" ht="15" x14ac:dyDescent="0.15">
      <c r="A1636" s="22"/>
      <c r="B1636" s="26" t="str">
        <f t="shared" si="100"/>
        <v/>
      </c>
      <c r="C1636" s="26" t="str">
        <f t="shared" si="101"/>
        <v/>
      </c>
      <c r="D1636" s="26" t="str">
        <f t="shared" si="102"/>
        <v/>
      </c>
      <c r="E1636" s="29"/>
      <c r="F1636" s="22"/>
      <c r="G1636" s="22"/>
      <c r="H1636" s="22"/>
      <c r="I1636" s="24"/>
      <c r="J1636" s="24"/>
      <c r="K1636" s="24"/>
      <c r="L1636" s="24"/>
      <c r="M1636" s="27" t="str">
        <f t="shared" si="103"/>
        <v/>
      </c>
      <c r="N1636" s="25"/>
      <c r="O1636" s="22"/>
      <c r="P1636" s="24"/>
      <c r="Q1636" s="26"/>
    </row>
    <row r="1637" spans="1:17" ht="15" x14ac:dyDescent="0.15">
      <c r="A1637" s="22"/>
      <c r="B1637" s="26" t="str">
        <f t="shared" si="100"/>
        <v/>
      </c>
      <c r="C1637" s="26" t="str">
        <f t="shared" si="101"/>
        <v/>
      </c>
      <c r="D1637" s="26" t="str">
        <f t="shared" si="102"/>
        <v/>
      </c>
      <c r="E1637" s="29"/>
      <c r="F1637" s="22"/>
      <c r="G1637" s="22"/>
      <c r="H1637" s="22"/>
      <c r="I1637" s="24"/>
      <c r="J1637" s="24"/>
      <c r="K1637" s="24"/>
      <c r="L1637" s="24"/>
      <c r="M1637" s="27" t="str">
        <f t="shared" si="103"/>
        <v/>
      </c>
      <c r="N1637" s="25"/>
      <c r="O1637" s="22"/>
      <c r="P1637" s="24"/>
      <c r="Q1637" s="26"/>
    </row>
    <row r="1638" spans="1:17" ht="15" x14ac:dyDescent="0.15">
      <c r="A1638" s="22"/>
      <c r="B1638" s="26" t="str">
        <f t="shared" si="100"/>
        <v/>
      </c>
      <c r="C1638" s="26" t="str">
        <f t="shared" si="101"/>
        <v/>
      </c>
      <c r="D1638" s="26" t="str">
        <f t="shared" si="102"/>
        <v/>
      </c>
      <c r="E1638" s="29"/>
      <c r="F1638" s="22"/>
      <c r="G1638" s="22"/>
      <c r="H1638" s="22"/>
      <c r="I1638" s="24"/>
      <c r="J1638" s="24"/>
      <c r="K1638" s="24"/>
      <c r="L1638" s="24"/>
      <c r="M1638" s="27" t="str">
        <f t="shared" si="103"/>
        <v/>
      </c>
      <c r="N1638" s="25"/>
      <c r="O1638" s="22"/>
      <c r="P1638" s="24"/>
      <c r="Q1638" s="26"/>
    </row>
    <row r="1639" spans="1:17" ht="15" x14ac:dyDescent="0.15">
      <c r="A1639" s="22"/>
      <c r="B1639" s="26" t="str">
        <f t="shared" si="100"/>
        <v/>
      </c>
      <c r="C1639" s="26" t="str">
        <f t="shared" si="101"/>
        <v/>
      </c>
      <c r="D1639" s="26" t="str">
        <f t="shared" si="102"/>
        <v/>
      </c>
      <c r="E1639" s="29"/>
      <c r="F1639" s="22"/>
      <c r="G1639" s="22"/>
      <c r="H1639" s="22"/>
      <c r="I1639" s="24"/>
      <c r="J1639" s="24"/>
      <c r="K1639" s="24"/>
      <c r="L1639" s="24"/>
      <c r="M1639" s="27" t="str">
        <f t="shared" si="103"/>
        <v/>
      </c>
      <c r="N1639" s="25"/>
      <c r="O1639" s="22"/>
      <c r="P1639" s="24"/>
      <c r="Q1639" s="26"/>
    </row>
    <row r="1640" spans="1:17" ht="15" x14ac:dyDescent="0.15">
      <c r="A1640" s="22"/>
      <c r="B1640" s="26" t="str">
        <f t="shared" si="100"/>
        <v/>
      </c>
      <c r="C1640" s="26" t="str">
        <f t="shared" si="101"/>
        <v/>
      </c>
      <c r="D1640" s="26" t="str">
        <f t="shared" si="102"/>
        <v/>
      </c>
      <c r="E1640" s="29"/>
      <c r="F1640" s="22"/>
      <c r="G1640" s="22"/>
      <c r="H1640" s="22"/>
      <c r="I1640" s="24"/>
      <c r="J1640" s="24"/>
      <c r="K1640" s="24"/>
      <c r="L1640" s="24"/>
      <c r="M1640" s="27" t="str">
        <f t="shared" si="103"/>
        <v/>
      </c>
      <c r="N1640" s="25"/>
      <c r="O1640" s="22"/>
      <c r="P1640" s="24"/>
      <c r="Q1640" s="26"/>
    </row>
    <row r="1641" spans="1:17" ht="15" x14ac:dyDescent="0.15">
      <c r="A1641" s="22"/>
      <c r="B1641" s="26" t="str">
        <f t="shared" si="100"/>
        <v/>
      </c>
      <c r="C1641" s="26" t="str">
        <f t="shared" si="101"/>
        <v/>
      </c>
      <c r="D1641" s="26" t="str">
        <f t="shared" si="102"/>
        <v/>
      </c>
      <c r="E1641" s="29"/>
      <c r="F1641" s="22"/>
      <c r="G1641" s="22"/>
      <c r="H1641" s="22"/>
      <c r="I1641" s="24"/>
      <c r="J1641" s="24"/>
      <c r="K1641" s="24"/>
      <c r="L1641" s="24"/>
      <c r="M1641" s="27" t="str">
        <f t="shared" si="103"/>
        <v/>
      </c>
      <c r="N1641" s="25"/>
      <c r="O1641" s="22"/>
      <c r="P1641" s="24"/>
      <c r="Q1641" s="26"/>
    </row>
    <row r="1642" spans="1:17" ht="15" x14ac:dyDescent="0.15">
      <c r="A1642" s="22"/>
      <c r="B1642" s="26" t="str">
        <f t="shared" si="100"/>
        <v/>
      </c>
      <c r="C1642" s="26" t="str">
        <f t="shared" si="101"/>
        <v/>
      </c>
      <c r="D1642" s="26" t="str">
        <f t="shared" si="102"/>
        <v/>
      </c>
      <c r="E1642" s="29"/>
      <c r="F1642" s="22"/>
      <c r="G1642" s="22"/>
      <c r="H1642" s="22"/>
      <c r="I1642" s="24"/>
      <c r="J1642" s="24"/>
      <c r="K1642" s="24"/>
      <c r="L1642" s="24"/>
      <c r="M1642" s="27" t="str">
        <f t="shared" si="103"/>
        <v/>
      </c>
      <c r="N1642" s="25"/>
      <c r="O1642" s="22"/>
      <c r="P1642" s="24"/>
      <c r="Q1642" s="26"/>
    </row>
    <row r="1643" spans="1:17" ht="15" x14ac:dyDescent="0.15">
      <c r="A1643" s="22"/>
      <c r="B1643" s="26" t="str">
        <f t="shared" si="100"/>
        <v/>
      </c>
      <c r="C1643" s="26" t="str">
        <f t="shared" si="101"/>
        <v/>
      </c>
      <c r="D1643" s="26" t="str">
        <f t="shared" si="102"/>
        <v/>
      </c>
      <c r="E1643" s="29"/>
      <c r="F1643" s="22"/>
      <c r="G1643" s="22"/>
      <c r="H1643" s="22"/>
      <c r="I1643" s="24"/>
      <c r="J1643" s="24"/>
      <c r="K1643" s="24"/>
      <c r="L1643" s="24"/>
      <c r="M1643" s="27" t="str">
        <f t="shared" si="103"/>
        <v/>
      </c>
      <c r="N1643" s="25"/>
      <c r="O1643" s="22"/>
      <c r="P1643" s="24"/>
      <c r="Q1643" s="26"/>
    </row>
    <row r="1644" spans="1:17" ht="15" x14ac:dyDescent="0.15">
      <c r="A1644" s="22"/>
      <c r="B1644" s="26" t="str">
        <f t="shared" si="100"/>
        <v/>
      </c>
      <c r="C1644" s="26" t="str">
        <f t="shared" si="101"/>
        <v/>
      </c>
      <c r="D1644" s="26" t="str">
        <f t="shared" si="102"/>
        <v/>
      </c>
      <c r="E1644" s="29"/>
      <c r="F1644" s="22"/>
      <c r="G1644" s="22"/>
      <c r="H1644" s="22"/>
      <c r="I1644" s="24"/>
      <c r="J1644" s="24"/>
      <c r="K1644" s="24"/>
      <c r="L1644" s="24"/>
      <c r="M1644" s="27" t="str">
        <f t="shared" si="103"/>
        <v/>
      </c>
      <c r="N1644" s="25"/>
      <c r="O1644" s="22"/>
      <c r="P1644" s="24"/>
      <c r="Q1644" s="26"/>
    </row>
    <row r="1645" spans="1:17" ht="15" x14ac:dyDescent="0.15">
      <c r="A1645" s="22"/>
      <c r="B1645" s="26" t="str">
        <f t="shared" si="100"/>
        <v/>
      </c>
      <c r="C1645" s="26" t="str">
        <f t="shared" si="101"/>
        <v/>
      </c>
      <c r="D1645" s="26" t="str">
        <f t="shared" si="102"/>
        <v/>
      </c>
      <c r="E1645" s="29"/>
      <c r="F1645" s="22"/>
      <c r="G1645" s="22"/>
      <c r="H1645" s="22"/>
      <c r="I1645" s="24"/>
      <c r="J1645" s="24"/>
      <c r="K1645" s="24"/>
      <c r="L1645" s="24"/>
      <c r="M1645" s="27" t="str">
        <f t="shared" si="103"/>
        <v/>
      </c>
      <c r="N1645" s="25"/>
      <c r="O1645" s="22"/>
      <c r="P1645" s="24"/>
      <c r="Q1645" s="26"/>
    </row>
    <row r="1646" spans="1:17" ht="15" x14ac:dyDescent="0.15">
      <c r="A1646" s="22"/>
      <c r="B1646" s="26" t="str">
        <f t="shared" si="100"/>
        <v/>
      </c>
      <c r="C1646" s="26" t="str">
        <f t="shared" si="101"/>
        <v/>
      </c>
      <c r="D1646" s="26" t="str">
        <f t="shared" si="102"/>
        <v/>
      </c>
      <c r="E1646" s="29"/>
      <c r="F1646" s="22"/>
      <c r="G1646" s="22"/>
      <c r="H1646" s="22"/>
      <c r="I1646" s="24"/>
      <c r="J1646" s="24"/>
      <c r="K1646" s="24"/>
      <c r="L1646" s="24"/>
      <c r="M1646" s="27" t="str">
        <f t="shared" si="103"/>
        <v/>
      </c>
      <c r="N1646" s="25"/>
      <c r="O1646" s="22"/>
      <c r="P1646" s="24"/>
      <c r="Q1646" s="26"/>
    </row>
    <row r="1647" spans="1:17" ht="15" x14ac:dyDescent="0.15">
      <c r="A1647" s="22"/>
      <c r="B1647" s="26" t="str">
        <f t="shared" si="100"/>
        <v/>
      </c>
      <c r="C1647" s="26" t="str">
        <f t="shared" si="101"/>
        <v/>
      </c>
      <c r="D1647" s="26" t="str">
        <f t="shared" si="102"/>
        <v/>
      </c>
      <c r="E1647" s="29"/>
      <c r="F1647" s="22"/>
      <c r="G1647" s="22"/>
      <c r="H1647" s="22"/>
      <c r="I1647" s="24"/>
      <c r="J1647" s="24"/>
      <c r="K1647" s="24"/>
      <c r="L1647" s="24"/>
      <c r="M1647" s="27" t="str">
        <f t="shared" si="103"/>
        <v/>
      </c>
      <c r="N1647" s="25"/>
      <c r="O1647" s="22"/>
      <c r="P1647" s="24"/>
      <c r="Q1647" s="26"/>
    </row>
    <row r="1648" spans="1:17" ht="15" x14ac:dyDescent="0.15">
      <c r="A1648" s="22"/>
      <c r="B1648" s="26" t="str">
        <f t="shared" si="100"/>
        <v/>
      </c>
      <c r="C1648" s="26" t="str">
        <f t="shared" si="101"/>
        <v/>
      </c>
      <c r="D1648" s="26" t="str">
        <f t="shared" si="102"/>
        <v/>
      </c>
      <c r="E1648" s="29"/>
      <c r="F1648" s="22"/>
      <c r="G1648" s="22"/>
      <c r="H1648" s="22"/>
      <c r="I1648" s="24"/>
      <c r="J1648" s="24"/>
      <c r="K1648" s="24"/>
      <c r="L1648" s="24"/>
      <c r="M1648" s="27" t="str">
        <f t="shared" si="103"/>
        <v/>
      </c>
      <c r="N1648" s="25"/>
      <c r="O1648" s="22"/>
      <c r="P1648" s="24"/>
      <c r="Q1648" s="26"/>
    </row>
    <row r="1649" spans="1:17" ht="15" x14ac:dyDescent="0.15">
      <c r="A1649" s="22"/>
      <c r="B1649" s="26" t="str">
        <f t="shared" si="100"/>
        <v/>
      </c>
      <c r="C1649" s="26" t="str">
        <f t="shared" si="101"/>
        <v/>
      </c>
      <c r="D1649" s="26" t="str">
        <f t="shared" si="102"/>
        <v/>
      </c>
      <c r="E1649" s="29"/>
      <c r="F1649" s="22"/>
      <c r="G1649" s="22"/>
      <c r="H1649" s="22"/>
      <c r="I1649" s="24"/>
      <c r="J1649" s="24"/>
      <c r="K1649" s="24"/>
      <c r="L1649" s="24"/>
      <c r="M1649" s="27" t="str">
        <f t="shared" si="103"/>
        <v/>
      </c>
      <c r="N1649" s="25"/>
      <c r="O1649" s="22"/>
      <c r="P1649" s="24"/>
      <c r="Q1649" s="26"/>
    </row>
    <row r="1650" spans="1:17" ht="15" x14ac:dyDescent="0.15">
      <c r="A1650" s="22"/>
      <c r="B1650" s="26" t="str">
        <f t="shared" si="100"/>
        <v/>
      </c>
      <c r="C1650" s="26" t="str">
        <f t="shared" si="101"/>
        <v/>
      </c>
      <c r="D1650" s="26" t="str">
        <f t="shared" si="102"/>
        <v/>
      </c>
      <c r="E1650" s="29"/>
      <c r="F1650" s="22"/>
      <c r="G1650" s="22"/>
      <c r="H1650" s="22"/>
      <c r="I1650" s="24"/>
      <c r="J1650" s="24"/>
      <c r="K1650" s="24"/>
      <c r="L1650" s="24"/>
      <c r="M1650" s="27" t="str">
        <f t="shared" si="103"/>
        <v/>
      </c>
      <c r="N1650" s="25"/>
      <c r="O1650" s="22"/>
      <c r="P1650" s="24"/>
      <c r="Q1650" s="26"/>
    </row>
    <row r="1651" spans="1:17" ht="15" x14ac:dyDescent="0.15">
      <c r="A1651" s="22"/>
      <c r="B1651" s="26" t="str">
        <f t="shared" si="100"/>
        <v/>
      </c>
      <c r="C1651" s="26" t="str">
        <f t="shared" si="101"/>
        <v/>
      </c>
      <c r="D1651" s="26" t="str">
        <f t="shared" si="102"/>
        <v/>
      </c>
      <c r="E1651" s="29"/>
      <c r="F1651" s="22"/>
      <c r="G1651" s="22"/>
      <c r="H1651" s="22"/>
      <c r="I1651" s="24"/>
      <c r="J1651" s="24"/>
      <c r="K1651" s="24"/>
      <c r="L1651" s="24"/>
      <c r="M1651" s="27" t="str">
        <f t="shared" si="103"/>
        <v/>
      </c>
      <c r="N1651" s="25"/>
      <c r="O1651" s="22"/>
      <c r="P1651" s="24"/>
      <c r="Q1651" s="26"/>
    </row>
    <row r="1652" spans="1:17" ht="15" x14ac:dyDescent="0.15">
      <c r="A1652" s="22"/>
      <c r="B1652" s="26" t="str">
        <f t="shared" si="100"/>
        <v/>
      </c>
      <c r="C1652" s="26" t="str">
        <f t="shared" si="101"/>
        <v/>
      </c>
      <c r="D1652" s="26" t="str">
        <f t="shared" si="102"/>
        <v/>
      </c>
      <c r="E1652" s="29"/>
      <c r="F1652" s="22"/>
      <c r="G1652" s="22"/>
      <c r="H1652" s="22"/>
      <c r="I1652" s="24"/>
      <c r="J1652" s="24"/>
      <c r="K1652" s="24"/>
      <c r="L1652" s="24"/>
      <c r="M1652" s="27" t="str">
        <f t="shared" si="103"/>
        <v/>
      </c>
      <c r="N1652" s="25"/>
      <c r="O1652" s="22"/>
      <c r="P1652" s="24"/>
      <c r="Q1652" s="26"/>
    </row>
    <row r="1653" spans="1:17" ht="15" x14ac:dyDescent="0.15">
      <c r="A1653" s="22"/>
      <c r="B1653" s="26" t="str">
        <f t="shared" si="100"/>
        <v/>
      </c>
      <c r="C1653" s="26" t="str">
        <f t="shared" si="101"/>
        <v/>
      </c>
      <c r="D1653" s="26" t="str">
        <f t="shared" si="102"/>
        <v/>
      </c>
      <c r="E1653" s="29"/>
      <c r="F1653" s="22"/>
      <c r="G1653" s="22"/>
      <c r="H1653" s="22"/>
      <c r="I1653" s="24"/>
      <c r="J1653" s="24"/>
      <c r="K1653" s="24"/>
      <c r="L1653" s="24"/>
      <c r="M1653" s="27" t="str">
        <f t="shared" si="103"/>
        <v/>
      </c>
      <c r="N1653" s="25"/>
      <c r="O1653" s="22"/>
      <c r="P1653" s="24"/>
      <c r="Q1653" s="26"/>
    </row>
    <row r="1654" spans="1:17" ht="15" x14ac:dyDescent="0.15">
      <c r="A1654" s="22"/>
      <c r="B1654" s="26" t="str">
        <f t="shared" si="100"/>
        <v/>
      </c>
      <c r="C1654" s="26" t="str">
        <f t="shared" si="101"/>
        <v/>
      </c>
      <c r="D1654" s="26" t="str">
        <f t="shared" si="102"/>
        <v/>
      </c>
      <c r="E1654" s="29"/>
      <c r="F1654" s="22"/>
      <c r="G1654" s="22"/>
      <c r="H1654" s="22"/>
      <c r="I1654" s="24"/>
      <c r="J1654" s="24"/>
      <c r="K1654" s="24"/>
      <c r="L1654" s="24"/>
      <c r="M1654" s="27" t="str">
        <f t="shared" si="103"/>
        <v/>
      </c>
      <c r="N1654" s="25"/>
      <c r="O1654" s="22"/>
      <c r="P1654" s="24"/>
      <c r="Q1654" s="26"/>
    </row>
    <row r="1655" spans="1:17" ht="15" x14ac:dyDescent="0.15">
      <c r="A1655" s="22"/>
      <c r="B1655" s="26" t="str">
        <f t="shared" si="100"/>
        <v/>
      </c>
      <c r="C1655" s="26" t="str">
        <f t="shared" si="101"/>
        <v/>
      </c>
      <c r="D1655" s="26" t="str">
        <f t="shared" si="102"/>
        <v/>
      </c>
      <c r="E1655" s="29"/>
      <c r="F1655" s="22"/>
      <c r="G1655" s="22"/>
      <c r="H1655" s="22"/>
      <c r="I1655" s="24"/>
      <c r="J1655" s="24"/>
      <c r="K1655" s="24"/>
      <c r="L1655" s="24"/>
      <c r="M1655" s="27" t="str">
        <f t="shared" si="103"/>
        <v/>
      </c>
      <c r="N1655" s="25"/>
      <c r="O1655" s="22"/>
      <c r="P1655" s="24"/>
      <c r="Q1655" s="26"/>
    </row>
    <row r="1656" spans="1:17" ht="15" x14ac:dyDescent="0.15">
      <c r="A1656" s="22"/>
      <c r="B1656" s="26" t="str">
        <f t="shared" si="100"/>
        <v/>
      </c>
      <c r="C1656" s="26" t="str">
        <f t="shared" si="101"/>
        <v/>
      </c>
      <c r="D1656" s="26" t="str">
        <f t="shared" si="102"/>
        <v/>
      </c>
      <c r="E1656" s="29"/>
      <c r="F1656" s="22"/>
      <c r="G1656" s="22"/>
      <c r="H1656" s="22"/>
      <c r="I1656" s="24"/>
      <c r="J1656" s="24"/>
      <c r="K1656" s="24"/>
      <c r="L1656" s="24"/>
      <c r="M1656" s="27" t="str">
        <f t="shared" si="103"/>
        <v/>
      </c>
      <c r="N1656" s="25"/>
      <c r="O1656" s="22"/>
      <c r="P1656" s="24"/>
      <c r="Q1656" s="26"/>
    </row>
    <row r="1657" spans="1:17" ht="15" x14ac:dyDescent="0.15">
      <c r="A1657" s="22"/>
      <c r="B1657" s="26" t="str">
        <f t="shared" si="100"/>
        <v/>
      </c>
      <c r="C1657" s="26" t="str">
        <f t="shared" si="101"/>
        <v/>
      </c>
      <c r="D1657" s="26" t="str">
        <f t="shared" si="102"/>
        <v/>
      </c>
      <c r="E1657" s="29"/>
      <c r="F1657" s="22"/>
      <c r="G1657" s="22"/>
      <c r="H1657" s="22"/>
      <c r="I1657" s="24"/>
      <c r="J1657" s="24"/>
      <c r="K1657" s="24"/>
      <c r="L1657" s="24"/>
      <c r="M1657" s="27" t="str">
        <f t="shared" si="103"/>
        <v/>
      </c>
      <c r="N1657" s="25"/>
      <c r="O1657" s="22"/>
      <c r="P1657" s="24"/>
      <c r="Q1657" s="26"/>
    </row>
    <row r="1658" spans="1:17" ht="15" x14ac:dyDescent="0.15">
      <c r="A1658" s="22"/>
      <c r="B1658" s="26" t="str">
        <f t="shared" si="100"/>
        <v/>
      </c>
      <c r="C1658" s="26" t="str">
        <f t="shared" si="101"/>
        <v/>
      </c>
      <c r="D1658" s="26" t="str">
        <f t="shared" si="102"/>
        <v/>
      </c>
      <c r="E1658" s="29"/>
      <c r="F1658" s="22"/>
      <c r="G1658" s="22"/>
      <c r="H1658" s="22"/>
      <c r="I1658" s="24"/>
      <c r="J1658" s="24"/>
      <c r="K1658" s="24"/>
      <c r="L1658" s="24"/>
      <c r="M1658" s="27" t="str">
        <f t="shared" si="103"/>
        <v/>
      </c>
      <c r="N1658" s="25"/>
      <c r="O1658" s="22"/>
      <c r="P1658" s="24"/>
      <c r="Q1658" s="26"/>
    </row>
    <row r="1659" spans="1:17" ht="15" x14ac:dyDescent="0.15">
      <c r="A1659" s="22"/>
      <c r="B1659" s="26" t="str">
        <f t="shared" si="100"/>
        <v/>
      </c>
      <c r="C1659" s="26" t="str">
        <f t="shared" si="101"/>
        <v/>
      </c>
      <c r="D1659" s="26" t="str">
        <f t="shared" si="102"/>
        <v/>
      </c>
      <c r="E1659" s="29"/>
      <c r="F1659" s="22"/>
      <c r="G1659" s="22"/>
      <c r="H1659" s="22"/>
      <c r="I1659" s="24"/>
      <c r="J1659" s="24"/>
      <c r="K1659" s="24"/>
      <c r="L1659" s="24"/>
      <c r="M1659" s="27" t="str">
        <f t="shared" si="103"/>
        <v/>
      </c>
      <c r="N1659" s="25"/>
      <c r="O1659" s="22"/>
      <c r="P1659" s="24"/>
      <c r="Q1659" s="26"/>
    </row>
    <row r="1660" spans="1:17" ht="15" x14ac:dyDescent="0.15">
      <c r="A1660" s="22"/>
      <c r="B1660" s="26" t="str">
        <f t="shared" si="100"/>
        <v/>
      </c>
      <c r="C1660" s="26" t="str">
        <f t="shared" si="101"/>
        <v/>
      </c>
      <c r="D1660" s="26" t="str">
        <f t="shared" si="102"/>
        <v/>
      </c>
      <c r="E1660" s="29"/>
      <c r="F1660" s="22"/>
      <c r="G1660" s="22"/>
      <c r="H1660" s="22"/>
      <c r="I1660" s="24"/>
      <c r="J1660" s="24"/>
      <c r="K1660" s="24"/>
      <c r="L1660" s="24"/>
      <c r="M1660" s="27" t="str">
        <f t="shared" si="103"/>
        <v/>
      </c>
      <c r="N1660" s="25"/>
      <c r="O1660" s="22"/>
      <c r="P1660" s="24"/>
      <c r="Q1660" s="26"/>
    </row>
    <row r="1661" spans="1:17" ht="15" x14ac:dyDescent="0.15">
      <c r="A1661" s="22"/>
      <c r="B1661" s="26" t="str">
        <f t="shared" si="100"/>
        <v/>
      </c>
      <c r="C1661" s="26" t="str">
        <f t="shared" si="101"/>
        <v/>
      </c>
      <c r="D1661" s="26" t="str">
        <f t="shared" si="102"/>
        <v/>
      </c>
      <c r="E1661" s="29"/>
      <c r="F1661" s="22"/>
      <c r="G1661" s="22"/>
      <c r="H1661" s="22"/>
      <c r="I1661" s="24"/>
      <c r="J1661" s="24"/>
      <c r="K1661" s="24"/>
      <c r="L1661" s="24"/>
      <c r="M1661" s="27" t="str">
        <f t="shared" si="103"/>
        <v/>
      </c>
      <c r="N1661" s="25"/>
      <c r="O1661" s="22"/>
      <c r="P1661" s="24"/>
      <c r="Q1661" s="26"/>
    </row>
    <row r="1662" spans="1:17" ht="15" x14ac:dyDescent="0.15">
      <c r="A1662" s="22"/>
      <c r="B1662" s="26" t="str">
        <f t="shared" si="100"/>
        <v/>
      </c>
      <c r="C1662" s="26" t="str">
        <f t="shared" si="101"/>
        <v/>
      </c>
      <c r="D1662" s="26" t="str">
        <f t="shared" si="102"/>
        <v/>
      </c>
      <c r="E1662" s="29"/>
      <c r="F1662" s="22"/>
      <c r="G1662" s="22"/>
      <c r="H1662" s="22"/>
      <c r="I1662" s="24"/>
      <c r="J1662" s="24"/>
      <c r="K1662" s="24"/>
      <c r="L1662" s="24"/>
      <c r="M1662" s="27" t="str">
        <f t="shared" si="103"/>
        <v/>
      </c>
      <c r="N1662" s="25"/>
      <c r="O1662" s="22"/>
      <c r="P1662" s="24"/>
      <c r="Q1662" s="26"/>
    </row>
    <row r="1663" spans="1:17" ht="15" x14ac:dyDescent="0.15">
      <c r="A1663" s="22"/>
      <c r="B1663" s="26" t="str">
        <f t="shared" si="100"/>
        <v/>
      </c>
      <c r="C1663" s="26" t="str">
        <f t="shared" si="101"/>
        <v/>
      </c>
      <c r="D1663" s="26" t="str">
        <f t="shared" si="102"/>
        <v/>
      </c>
      <c r="E1663" s="29"/>
      <c r="F1663" s="22"/>
      <c r="G1663" s="22"/>
      <c r="H1663" s="22"/>
      <c r="I1663" s="24"/>
      <c r="J1663" s="24"/>
      <c r="K1663" s="24"/>
      <c r="L1663" s="24"/>
      <c r="M1663" s="27" t="str">
        <f t="shared" si="103"/>
        <v/>
      </c>
      <c r="N1663" s="25"/>
      <c r="O1663" s="22"/>
      <c r="P1663" s="24"/>
      <c r="Q1663" s="26"/>
    </row>
    <row r="1664" spans="1:17" ht="15" x14ac:dyDescent="0.15">
      <c r="A1664" s="22"/>
      <c r="B1664" s="26" t="str">
        <f t="shared" si="100"/>
        <v/>
      </c>
      <c r="C1664" s="26" t="str">
        <f t="shared" si="101"/>
        <v/>
      </c>
      <c r="D1664" s="26" t="str">
        <f t="shared" si="102"/>
        <v/>
      </c>
      <c r="E1664" s="29"/>
      <c r="F1664" s="22"/>
      <c r="G1664" s="22"/>
      <c r="H1664" s="22"/>
      <c r="I1664" s="24"/>
      <c r="J1664" s="24"/>
      <c r="K1664" s="24"/>
      <c r="L1664" s="24"/>
      <c r="M1664" s="27" t="str">
        <f t="shared" si="103"/>
        <v/>
      </c>
      <c r="N1664" s="25"/>
      <c r="O1664" s="22"/>
      <c r="P1664" s="24"/>
      <c r="Q1664" s="26"/>
    </row>
    <row r="1665" spans="1:17" ht="15" x14ac:dyDescent="0.15">
      <c r="A1665" s="22"/>
      <c r="B1665" s="26" t="str">
        <f t="shared" si="100"/>
        <v/>
      </c>
      <c r="C1665" s="26" t="str">
        <f t="shared" si="101"/>
        <v/>
      </c>
      <c r="D1665" s="26" t="str">
        <f t="shared" si="102"/>
        <v/>
      </c>
      <c r="E1665" s="29"/>
      <c r="F1665" s="22"/>
      <c r="G1665" s="22"/>
      <c r="H1665" s="22"/>
      <c r="I1665" s="24"/>
      <c r="J1665" s="24"/>
      <c r="K1665" s="24"/>
      <c r="L1665" s="24"/>
      <c r="M1665" s="27" t="str">
        <f t="shared" si="103"/>
        <v/>
      </c>
      <c r="N1665" s="25"/>
      <c r="O1665" s="22"/>
      <c r="P1665" s="24"/>
      <c r="Q1665" s="26"/>
    </row>
    <row r="1666" spans="1:17" ht="15" x14ac:dyDescent="0.15">
      <c r="A1666" s="22"/>
      <c r="B1666" s="26" t="str">
        <f t="shared" si="100"/>
        <v/>
      </c>
      <c r="C1666" s="26" t="str">
        <f t="shared" si="101"/>
        <v/>
      </c>
      <c r="D1666" s="26" t="str">
        <f t="shared" si="102"/>
        <v/>
      </c>
      <c r="E1666" s="29"/>
      <c r="F1666" s="22"/>
      <c r="G1666" s="22"/>
      <c r="H1666" s="22"/>
      <c r="I1666" s="24"/>
      <c r="J1666" s="24"/>
      <c r="K1666" s="24"/>
      <c r="L1666" s="24"/>
      <c r="M1666" s="27" t="str">
        <f t="shared" si="103"/>
        <v/>
      </c>
      <c r="N1666" s="25"/>
      <c r="O1666" s="22"/>
      <c r="P1666" s="24"/>
      <c r="Q1666" s="26"/>
    </row>
    <row r="1667" spans="1:17" ht="15" x14ac:dyDescent="0.15">
      <c r="A1667" s="22"/>
      <c r="B1667" s="26" t="str">
        <f t="shared" si="100"/>
        <v/>
      </c>
      <c r="C1667" s="26" t="str">
        <f t="shared" si="101"/>
        <v/>
      </c>
      <c r="D1667" s="26" t="str">
        <f t="shared" si="102"/>
        <v/>
      </c>
      <c r="E1667" s="29"/>
      <c r="F1667" s="22"/>
      <c r="G1667" s="22"/>
      <c r="H1667" s="22"/>
      <c r="I1667" s="24"/>
      <c r="J1667" s="24"/>
      <c r="K1667" s="24"/>
      <c r="L1667" s="24"/>
      <c r="M1667" s="27" t="str">
        <f t="shared" si="103"/>
        <v/>
      </c>
      <c r="N1667" s="25"/>
      <c r="O1667" s="22"/>
      <c r="P1667" s="24"/>
      <c r="Q1667" s="26"/>
    </row>
    <row r="1668" spans="1:17" ht="15" x14ac:dyDescent="0.15">
      <c r="A1668" s="22"/>
      <c r="B1668" s="26" t="str">
        <f t="shared" si="100"/>
        <v/>
      </c>
      <c r="C1668" s="26" t="str">
        <f t="shared" si="101"/>
        <v/>
      </c>
      <c r="D1668" s="26" t="str">
        <f t="shared" si="102"/>
        <v/>
      </c>
      <c r="E1668" s="29"/>
      <c r="F1668" s="22"/>
      <c r="G1668" s="22"/>
      <c r="H1668" s="22"/>
      <c r="I1668" s="24"/>
      <c r="J1668" s="24"/>
      <c r="K1668" s="24"/>
      <c r="L1668" s="24"/>
      <c r="M1668" s="27" t="str">
        <f t="shared" si="103"/>
        <v/>
      </c>
      <c r="N1668" s="25"/>
      <c r="O1668" s="22"/>
      <c r="P1668" s="24"/>
      <c r="Q1668" s="26"/>
    </row>
    <row r="1669" spans="1:17" ht="15" x14ac:dyDescent="0.15">
      <c r="A1669" s="22"/>
      <c r="B1669" s="26" t="str">
        <f t="shared" si="100"/>
        <v/>
      </c>
      <c r="C1669" s="26" t="str">
        <f t="shared" si="101"/>
        <v/>
      </c>
      <c r="D1669" s="26" t="str">
        <f t="shared" si="102"/>
        <v/>
      </c>
      <c r="E1669" s="29"/>
      <c r="F1669" s="22"/>
      <c r="G1669" s="22"/>
      <c r="H1669" s="22"/>
      <c r="I1669" s="24"/>
      <c r="J1669" s="24"/>
      <c r="K1669" s="24"/>
      <c r="L1669" s="24"/>
      <c r="M1669" s="27" t="str">
        <f t="shared" si="103"/>
        <v/>
      </c>
      <c r="N1669" s="25"/>
      <c r="O1669" s="22"/>
      <c r="P1669" s="24"/>
      <c r="Q1669" s="26"/>
    </row>
    <row r="1670" spans="1:17" ht="15" x14ac:dyDescent="0.15">
      <c r="A1670" s="22"/>
      <c r="B1670" s="26" t="str">
        <f t="shared" si="100"/>
        <v/>
      </c>
      <c r="C1670" s="26" t="str">
        <f t="shared" si="101"/>
        <v/>
      </c>
      <c r="D1670" s="26" t="str">
        <f t="shared" si="102"/>
        <v/>
      </c>
      <c r="E1670" s="29"/>
      <c r="F1670" s="22"/>
      <c r="G1670" s="22"/>
      <c r="H1670" s="22"/>
      <c r="I1670" s="24"/>
      <c r="J1670" s="24"/>
      <c r="K1670" s="24"/>
      <c r="L1670" s="24"/>
      <c r="M1670" s="27" t="str">
        <f t="shared" si="103"/>
        <v/>
      </c>
      <c r="N1670" s="25"/>
      <c r="O1670" s="22"/>
      <c r="P1670" s="24"/>
      <c r="Q1670" s="26"/>
    </row>
    <row r="1671" spans="1:17" ht="15" x14ac:dyDescent="0.15">
      <c r="A1671" s="22"/>
      <c r="B1671" s="26" t="str">
        <f t="shared" ref="B1671:B1734" si="104">IFERROR(IF($A1671="","",LEFT($A1671,FIND(" | ",$A1671)-1)),"")</f>
        <v/>
      </c>
      <c r="C1671" s="26" t="str">
        <f t="shared" ref="C1671:C1734" si="105">IFERROR(IF($A1671="","",MID($A1671,FIND(" | ",$A1671)+3,FIND(" | ",$A1671,FIND(" | ",$A1671)+3)-FIND(" | ",$A1671)-3)),"")</f>
        <v/>
      </c>
      <c r="D1671" s="26" t="str">
        <f t="shared" ref="D1671:D1734" si="106">IFERROR(IF($A1671="","",RIGHT($A1671,LEN($A1671)-FIND(" | ",$A1671,FIND(" | ",$A1671)+3)-2)),"")</f>
        <v/>
      </c>
      <c r="E1671" s="29"/>
      <c r="F1671" s="22"/>
      <c r="G1671" s="22"/>
      <c r="H1671" s="22"/>
      <c r="I1671" s="24"/>
      <c r="J1671" s="24"/>
      <c r="K1671" s="24"/>
      <c r="L1671" s="24"/>
      <c r="M1671" s="27" t="str">
        <f t="shared" ref="M1671:M1734" si="107">IF($B1671="","",SUM($J1671,-$K1671,$L1671))</f>
        <v/>
      </c>
      <c r="N1671" s="25"/>
      <c r="O1671" s="22"/>
      <c r="P1671" s="24"/>
      <c r="Q1671" s="26"/>
    </row>
    <row r="1672" spans="1:17" ht="15" x14ac:dyDescent="0.15">
      <c r="A1672" s="22"/>
      <c r="B1672" s="26" t="str">
        <f t="shared" si="104"/>
        <v/>
      </c>
      <c r="C1672" s="26" t="str">
        <f t="shared" si="105"/>
        <v/>
      </c>
      <c r="D1672" s="26" t="str">
        <f t="shared" si="106"/>
        <v/>
      </c>
      <c r="E1672" s="29"/>
      <c r="F1672" s="22"/>
      <c r="G1672" s="22"/>
      <c r="H1672" s="22"/>
      <c r="I1672" s="24"/>
      <c r="J1672" s="24"/>
      <c r="K1672" s="24"/>
      <c r="L1672" s="24"/>
      <c r="M1672" s="27" t="str">
        <f t="shared" si="107"/>
        <v/>
      </c>
      <c r="N1672" s="25"/>
      <c r="O1672" s="22"/>
      <c r="P1672" s="24"/>
      <c r="Q1672" s="26"/>
    </row>
    <row r="1673" spans="1:17" ht="15" x14ac:dyDescent="0.15">
      <c r="A1673" s="22"/>
      <c r="B1673" s="26" t="str">
        <f t="shared" si="104"/>
        <v/>
      </c>
      <c r="C1673" s="26" t="str">
        <f t="shared" si="105"/>
        <v/>
      </c>
      <c r="D1673" s="26" t="str">
        <f t="shared" si="106"/>
        <v/>
      </c>
      <c r="E1673" s="29"/>
      <c r="F1673" s="22"/>
      <c r="G1673" s="22"/>
      <c r="H1673" s="22"/>
      <c r="I1673" s="24"/>
      <c r="J1673" s="24"/>
      <c r="K1673" s="24"/>
      <c r="L1673" s="24"/>
      <c r="M1673" s="27" t="str">
        <f t="shared" si="107"/>
        <v/>
      </c>
      <c r="N1673" s="25"/>
      <c r="O1673" s="22"/>
      <c r="P1673" s="24"/>
      <c r="Q1673" s="26"/>
    </row>
    <row r="1674" spans="1:17" ht="15" x14ac:dyDescent="0.15">
      <c r="A1674" s="22"/>
      <c r="B1674" s="26" t="str">
        <f t="shared" si="104"/>
        <v/>
      </c>
      <c r="C1674" s="26" t="str">
        <f t="shared" si="105"/>
        <v/>
      </c>
      <c r="D1674" s="26" t="str">
        <f t="shared" si="106"/>
        <v/>
      </c>
      <c r="E1674" s="29"/>
      <c r="F1674" s="22"/>
      <c r="G1674" s="22"/>
      <c r="H1674" s="22"/>
      <c r="I1674" s="24"/>
      <c r="J1674" s="24"/>
      <c r="K1674" s="24"/>
      <c r="L1674" s="24"/>
      <c r="M1674" s="27" t="str">
        <f t="shared" si="107"/>
        <v/>
      </c>
      <c r="N1674" s="25"/>
      <c r="O1674" s="22"/>
      <c r="P1674" s="24"/>
      <c r="Q1674" s="26"/>
    </row>
    <row r="1675" spans="1:17" ht="15" x14ac:dyDescent="0.15">
      <c r="A1675" s="22"/>
      <c r="B1675" s="26" t="str">
        <f t="shared" si="104"/>
        <v/>
      </c>
      <c r="C1675" s="26" t="str">
        <f t="shared" si="105"/>
        <v/>
      </c>
      <c r="D1675" s="26" t="str">
        <f t="shared" si="106"/>
        <v/>
      </c>
      <c r="E1675" s="29"/>
      <c r="F1675" s="22"/>
      <c r="G1675" s="22"/>
      <c r="H1675" s="22"/>
      <c r="I1675" s="24"/>
      <c r="J1675" s="24"/>
      <c r="K1675" s="24"/>
      <c r="L1675" s="24"/>
      <c r="M1675" s="27" t="str">
        <f t="shared" si="107"/>
        <v/>
      </c>
      <c r="N1675" s="25"/>
      <c r="O1675" s="22"/>
      <c r="P1675" s="24"/>
      <c r="Q1675" s="26"/>
    </row>
    <row r="1676" spans="1:17" ht="15" x14ac:dyDescent="0.15">
      <c r="A1676" s="22"/>
      <c r="B1676" s="26" t="str">
        <f t="shared" si="104"/>
        <v/>
      </c>
      <c r="C1676" s="26" t="str">
        <f t="shared" si="105"/>
        <v/>
      </c>
      <c r="D1676" s="26" t="str">
        <f t="shared" si="106"/>
        <v/>
      </c>
      <c r="E1676" s="29"/>
      <c r="F1676" s="22"/>
      <c r="G1676" s="22"/>
      <c r="H1676" s="22"/>
      <c r="I1676" s="24"/>
      <c r="J1676" s="24"/>
      <c r="K1676" s="24"/>
      <c r="L1676" s="24"/>
      <c r="M1676" s="27" t="str">
        <f t="shared" si="107"/>
        <v/>
      </c>
      <c r="N1676" s="25"/>
      <c r="O1676" s="22"/>
      <c r="P1676" s="24"/>
      <c r="Q1676" s="26"/>
    </row>
    <row r="1677" spans="1:17" ht="15" x14ac:dyDescent="0.15">
      <c r="A1677" s="22"/>
      <c r="B1677" s="26" t="str">
        <f t="shared" si="104"/>
        <v/>
      </c>
      <c r="C1677" s="26" t="str">
        <f t="shared" si="105"/>
        <v/>
      </c>
      <c r="D1677" s="26" t="str">
        <f t="shared" si="106"/>
        <v/>
      </c>
      <c r="E1677" s="29"/>
      <c r="F1677" s="22"/>
      <c r="G1677" s="22"/>
      <c r="H1677" s="22"/>
      <c r="I1677" s="24"/>
      <c r="J1677" s="24"/>
      <c r="K1677" s="24"/>
      <c r="L1677" s="24"/>
      <c r="M1677" s="27" t="str">
        <f t="shared" si="107"/>
        <v/>
      </c>
      <c r="N1677" s="25"/>
      <c r="O1677" s="22"/>
      <c r="P1677" s="24"/>
      <c r="Q1677" s="26"/>
    </row>
    <row r="1678" spans="1:17" ht="15" x14ac:dyDescent="0.15">
      <c r="A1678" s="22"/>
      <c r="B1678" s="26" t="str">
        <f t="shared" si="104"/>
        <v/>
      </c>
      <c r="C1678" s="26" t="str">
        <f t="shared" si="105"/>
        <v/>
      </c>
      <c r="D1678" s="26" t="str">
        <f t="shared" si="106"/>
        <v/>
      </c>
      <c r="E1678" s="29"/>
      <c r="F1678" s="22"/>
      <c r="G1678" s="22"/>
      <c r="H1678" s="22"/>
      <c r="I1678" s="24"/>
      <c r="J1678" s="24"/>
      <c r="K1678" s="24"/>
      <c r="L1678" s="24"/>
      <c r="M1678" s="27" t="str">
        <f t="shared" si="107"/>
        <v/>
      </c>
      <c r="N1678" s="25"/>
      <c r="O1678" s="22"/>
      <c r="P1678" s="24"/>
      <c r="Q1678" s="26"/>
    </row>
    <row r="1679" spans="1:17" ht="15" x14ac:dyDescent="0.15">
      <c r="A1679" s="22"/>
      <c r="B1679" s="26" t="str">
        <f t="shared" si="104"/>
        <v/>
      </c>
      <c r="C1679" s="26" t="str">
        <f t="shared" si="105"/>
        <v/>
      </c>
      <c r="D1679" s="26" t="str">
        <f t="shared" si="106"/>
        <v/>
      </c>
      <c r="E1679" s="29"/>
      <c r="F1679" s="22"/>
      <c r="G1679" s="22"/>
      <c r="H1679" s="22"/>
      <c r="I1679" s="24"/>
      <c r="J1679" s="24"/>
      <c r="K1679" s="24"/>
      <c r="L1679" s="24"/>
      <c r="M1679" s="27" t="str">
        <f t="shared" si="107"/>
        <v/>
      </c>
      <c r="N1679" s="25"/>
      <c r="O1679" s="22"/>
      <c r="P1679" s="24"/>
      <c r="Q1679" s="26"/>
    </row>
    <row r="1680" spans="1:17" ht="15" x14ac:dyDescent="0.15">
      <c r="A1680" s="22"/>
      <c r="B1680" s="26" t="str">
        <f t="shared" si="104"/>
        <v/>
      </c>
      <c r="C1680" s="26" t="str">
        <f t="shared" si="105"/>
        <v/>
      </c>
      <c r="D1680" s="26" t="str">
        <f t="shared" si="106"/>
        <v/>
      </c>
      <c r="E1680" s="29"/>
      <c r="F1680" s="22"/>
      <c r="G1680" s="22"/>
      <c r="H1680" s="22"/>
      <c r="I1680" s="24"/>
      <c r="J1680" s="24"/>
      <c r="K1680" s="24"/>
      <c r="L1680" s="24"/>
      <c r="M1680" s="27" t="str">
        <f t="shared" si="107"/>
        <v/>
      </c>
      <c r="N1680" s="25"/>
      <c r="O1680" s="22"/>
      <c r="P1680" s="24"/>
      <c r="Q1680" s="26"/>
    </row>
    <row r="1681" spans="1:17" ht="15" x14ac:dyDescent="0.15">
      <c r="A1681" s="22"/>
      <c r="B1681" s="26" t="str">
        <f t="shared" si="104"/>
        <v/>
      </c>
      <c r="C1681" s="26" t="str">
        <f t="shared" si="105"/>
        <v/>
      </c>
      <c r="D1681" s="26" t="str">
        <f t="shared" si="106"/>
        <v/>
      </c>
      <c r="E1681" s="29"/>
      <c r="F1681" s="22"/>
      <c r="G1681" s="22"/>
      <c r="H1681" s="22"/>
      <c r="I1681" s="24"/>
      <c r="J1681" s="24"/>
      <c r="K1681" s="24"/>
      <c r="L1681" s="24"/>
      <c r="M1681" s="27" t="str">
        <f t="shared" si="107"/>
        <v/>
      </c>
      <c r="N1681" s="25"/>
      <c r="O1681" s="22"/>
      <c r="P1681" s="24"/>
      <c r="Q1681" s="26"/>
    </row>
    <row r="1682" spans="1:17" ht="15" x14ac:dyDescent="0.15">
      <c r="A1682" s="22"/>
      <c r="B1682" s="26" t="str">
        <f t="shared" si="104"/>
        <v/>
      </c>
      <c r="C1682" s="26" t="str">
        <f t="shared" si="105"/>
        <v/>
      </c>
      <c r="D1682" s="26" t="str">
        <f t="shared" si="106"/>
        <v/>
      </c>
      <c r="E1682" s="29"/>
      <c r="F1682" s="22"/>
      <c r="G1682" s="22"/>
      <c r="H1682" s="22"/>
      <c r="I1682" s="24"/>
      <c r="J1682" s="24"/>
      <c r="K1682" s="24"/>
      <c r="L1682" s="24"/>
      <c r="M1682" s="27" t="str">
        <f t="shared" si="107"/>
        <v/>
      </c>
      <c r="N1682" s="25"/>
      <c r="O1682" s="22"/>
      <c r="P1682" s="24"/>
      <c r="Q1682" s="26"/>
    </row>
    <row r="1683" spans="1:17" ht="15" x14ac:dyDescent="0.15">
      <c r="A1683" s="22"/>
      <c r="B1683" s="26" t="str">
        <f t="shared" si="104"/>
        <v/>
      </c>
      <c r="C1683" s="26" t="str">
        <f t="shared" si="105"/>
        <v/>
      </c>
      <c r="D1683" s="26" t="str">
        <f t="shared" si="106"/>
        <v/>
      </c>
      <c r="E1683" s="29"/>
      <c r="F1683" s="22"/>
      <c r="G1683" s="22"/>
      <c r="H1683" s="22"/>
      <c r="I1683" s="24"/>
      <c r="J1683" s="24"/>
      <c r="K1683" s="24"/>
      <c r="L1683" s="24"/>
      <c r="M1683" s="27" t="str">
        <f t="shared" si="107"/>
        <v/>
      </c>
      <c r="N1683" s="25"/>
      <c r="O1683" s="22"/>
      <c r="P1683" s="24"/>
      <c r="Q1683" s="26"/>
    </row>
    <row r="1684" spans="1:17" ht="15" x14ac:dyDescent="0.15">
      <c r="A1684" s="22"/>
      <c r="B1684" s="26" t="str">
        <f t="shared" si="104"/>
        <v/>
      </c>
      <c r="C1684" s="26" t="str">
        <f t="shared" si="105"/>
        <v/>
      </c>
      <c r="D1684" s="26" t="str">
        <f t="shared" si="106"/>
        <v/>
      </c>
      <c r="E1684" s="29"/>
      <c r="F1684" s="22"/>
      <c r="G1684" s="22"/>
      <c r="H1684" s="22"/>
      <c r="I1684" s="24"/>
      <c r="J1684" s="24"/>
      <c r="K1684" s="24"/>
      <c r="L1684" s="24"/>
      <c r="M1684" s="27" t="str">
        <f t="shared" si="107"/>
        <v/>
      </c>
      <c r="N1684" s="25"/>
      <c r="O1684" s="22"/>
      <c r="P1684" s="24"/>
      <c r="Q1684" s="26"/>
    </row>
    <row r="1685" spans="1:17" ht="15" x14ac:dyDescent="0.15">
      <c r="A1685" s="22"/>
      <c r="B1685" s="26" t="str">
        <f t="shared" si="104"/>
        <v/>
      </c>
      <c r="C1685" s="26" t="str">
        <f t="shared" si="105"/>
        <v/>
      </c>
      <c r="D1685" s="26" t="str">
        <f t="shared" si="106"/>
        <v/>
      </c>
      <c r="E1685" s="29"/>
      <c r="F1685" s="22"/>
      <c r="G1685" s="22"/>
      <c r="H1685" s="22"/>
      <c r="I1685" s="24"/>
      <c r="J1685" s="24"/>
      <c r="K1685" s="24"/>
      <c r="L1685" s="24"/>
      <c r="M1685" s="27" t="str">
        <f t="shared" si="107"/>
        <v/>
      </c>
      <c r="N1685" s="25"/>
      <c r="O1685" s="22"/>
      <c r="P1685" s="24"/>
      <c r="Q1685" s="26"/>
    </row>
    <row r="1686" spans="1:17" ht="15" x14ac:dyDescent="0.15">
      <c r="A1686" s="22"/>
      <c r="B1686" s="26" t="str">
        <f t="shared" si="104"/>
        <v/>
      </c>
      <c r="C1686" s="26" t="str">
        <f t="shared" si="105"/>
        <v/>
      </c>
      <c r="D1686" s="26" t="str">
        <f t="shared" si="106"/>
        <v/>
      </c>
      <c r="E1686" s="29"/>
      <c r="F1686" s="22"/>
      <c r="G1686" s="22"/>
      <c r="H1686" s="22"/>
      <c r="I1686" s="24"/>
      <c r="J1686" s="24"/>
      <c r="K1686" s="24"/>
      <c r="L1686" s="24"/>
      <c r="M1686" s="27" t="str">
        <f t="shared" si="107"/>
        <v/>
      </c>
      <c r="N1686" s="25"/>
      <c r="O1686" s="22"/>
      <c r="P1686" s="24"/>
      <c r="Q1686" s="26"/>
    </row>
    <row r="1687" spans="1:17" ht="15" x14ac:dyDescent="0.15">
      <c r="A1687" s="22"/>
      <c r="B1687" s="26" t="str">
        <f t="shared" si="104"/>
        <v/>
      </c>
      <c r="C1687" s="26" t="str">
        <f t="shared" si="105"/>
        <v/>
      </c>
      <c r="D1687" s="26" t="str">
        <f t="shared" si="106"/>
        <v/>
      </c>
      <c r="E1687" s="29"/>
      <c r="F1687" s="22"/>
      <c r="G1687" s="22"/>
      <c r="H1687" s="22"/>
      <c r="I1687" s="24"/>
      <c r="J1687" s="24"/>
      <c r="K1687" s="24"/>
      <c r="L1687" s="24"/>
      <c r="M1687" s="27" t="str">
        <f t="shared" si="107"/>
        <v/>
      </c>
      <c r="N1687" s="25"/>
      <c r="O1687" s="22"/>
      <c r="P1687" s="24"/>
      <c r="Q1687" s="26"/>
    </row>
    <row r="1688" spans="1:17" ht="15" x14ac:dyDescent="0.15">
      <c r="A1688" s="22"/>
      <c r="B1688" s="26" t="str">
        <f t="shared" si="104"/>
        <v/>
      </c>
      <c r="C1688" s="26" t="str">
        <f t="shared" si="105"/>
        <v/>
      </c>
      <c r="D1688" s="26" t="str">
        <f t="shared" si="106"/>
        <v/>
      </c>
      <c r="E1688" s="29"/>
      <c r="F1688" s="22"/>
      <c r="G1688" s="22"/>
      <c r="H1688" s="22"/>
      <c r="I1688" s="24"/>
      <c r="J1688" s="24"/>
      <c r="K1688" s="24"/>
      <c r="L1688" s="24"/>
      <c r="M1688" s="27" t="str">
        <f t="shared" si="107"/>
        <v/>
      </c>
      <c r="N1688" s="25"/>
      <c r="O1688" s="22"/>
      <c r="P1688" s="24"/>
      <c r="Q1688" s="26"/>
    </row>
    <row r="1689" spans="1:17" ht="15" x14ac:dyDescent="0.15">
      <c r="A1689" s="22"/>
      <c r="B1689" s="26" t="str">
        <f t="shared" si="104"/>
        <v/>
      </c>
      <c r="C1689" s="26" t="str">
        <f t="shared" si="105"/>
        <v/>
      </c>
      <c r="D1689" s="26" t="str">
        <f t="shared" si="106"/>
        <v/>
      </c>
      <c r="E1689" s="29"/>
      <c r="F1689" s="22"/>
      <c r="G1689" s="22"/>
      <c r="H1689" s="22"/>
      <c r="I1689" s="24"/>
      <c r="J1689" s="24"/>
      <c r="K1689" s="24"/>
      <c r="L1689" s="24"/>
      <c r="M1689" s="27" t="str">
        <f t="shared" si="107"/>
        <v/>
      </c>
      <c r="N1689" s="25"/>
      <c r="O1689" s="22"/>
      <c r="P1689" s="24"/>
      <c r="Q1689" s="26"/>
    </row>
    <row r="1690" spans="1:17" ht="15" x14ac:dyDescent="0.15">
      <c r="A1690" s="22"/>
      <c r="B1690" s="26" t="str">
        <f t="shared" si="104"/>
        <v/>
      </c>
      <c r="C1690" s="26" t="str">
        <f t="shared" si="105"/>
        <v/>
      </c>
      <c r="D1690" s="26" t="str">
        <f t="shared" si="106"/>
        <v/>
      </c>
      <c r="E1690" s="29"/>
      <c r="F1690" s="22"/>
      <c r="G1690" s="22"/>
      <c r="H1690" s="22"/>
      <c r="I1690" s="24"/>
      <c r="J1690" s="24"/>
      <c r="K1690" s="24"/>
      <c r="L1690" s="24"/>
      <c r="M1690" s="27" t="str">
        <f t="shared" si="107"/>
        <v/>
      </c>
      <c r="N1690" s="25"/>
      <c r="O1690" s="22"/>
      <c r="P1690" s="24"/>
      <c r="Q1690" s="26"/>
    </row>
    <row r="1691" spans="1:17" ht="15" x14ac:dyDescent="0.15">
      <c r="A1691" s="22"/>
      <c r="B1691" s="26" t="str">
        <f t="shared" si="104"/>
        <v/>
      </c>
      <c r="C1691" s="26" t="str">
        <f t="shared" si="105"/>
        <v/>
      </c>
      <c r="D1691" s="26" t="str">
        <f t="shared" si="106"/>
        <v/>
      </c>
      <c r="E1691" s="29"/>
      <c r="F1691" s="22"/>
      <c r="G1691" s="22"/>
      <c r="H1691" s="22"/>
      <c r="I1691" s="24"/>
      <c r="J1691" s="24"/>
      <c r="K1691" s="24"/>
      <c r="L1691" s="24"/>
      <c r="M1691" s="27" t="str">
        <f t="shared" si="107"/>
        <v/>
      </c>
      <c r="N1691" s="25"/>
      <c r="O1691" s="22"/>
      <c r="P1691" s="24"/>
      <c r="Q1691" s="26"/>
    </row>
    <row r="1692" spans="1:17" ht="15" x14ac:dyDescent="0.15">
      <c r="A1692" s="22"/>
      <c r="B1692" s="26" t="str">
        <f t="shared" si="104"/>
        <v/>
      </c>
      <c r="C1692" s="26" t="str">
        <f t="shared" si="105"/>
        <v/>
      </c>
      <c r="D1692" s="26" t="str">
        <f t="shared" si="106"/>
        <v/>
      </c>
      <c r="E1692" s="29"/>
      <c r="F1692" s="22"/>
      <c r="G1692" s="22"/>
      <c r="H1692" s="22"/>
      <c r="I1692" s="24"/>
      <c r="J1692" s="24"/>
      <c r="K1692" s="24"/>
      <c r="L1692" s="24"/>
      <c r="M1692" s="27" t="str">
        <f t="shared" si="107"/>
        <v/>
      </c>
      <c r="N1692" s="25"/>
      <c r="O1692" s="22"/>
      <c r="P1692" s="24"/>
      <c r="Q1692" s="26"/>
    </row>
    <row r="1693" spans="1:17" ht="15" x14ac:dyDescent="0.15">
      <c r="A1693" s="22"/>
      <c r="B1693" s="26" t="str">
        <f t="shared" si="104"/>
        <v/>
      </c>
      <c r="C1693" s="26" t="str">
        <f t="shared" si="105"/>
        <v/>
      </c>
      <c r="D1693" s="26" t="str">
        <f t="shared" si="106"/>
        <v/>
      </c>
      <c r="E1693" s="29"/>
      <c r="F1693" s="22"/>
      <c r="G1693" s="22"/>
      <c r="H1693" s="22"/>
      <c r="I1693" s="24"/>
      <c r="J1693" s="24"/>
      <c r="K1693" s="24"/>
      <c r="L1693" s="24"/>
      <c r="M1693" s="27" t="str">
        <f t="shared" si="107"/>
        <v/>
      </c>
      <c r="N1693" s="25"/>
      <c r="O1693" s="22"/>
      <c r="P1693" s="24"/>
      <c r="Q1693" s="26"/>
    </row>
    <row r="1694" spans="1:17" ht="15" x14ac:dyDescent="0.15">
      <c r="A1694" s="22"/>
      <c r="B1694" s="26" t="str">
        <f t="shared" si="104"/>
        <v/>
      </c>
      <c r="C1694" s="26" t="str">
        <f t="shared" si="105"/>
        <v/>
      </c>
      <c r="D1694" s="26" t="str">
        <f t="shared" si="106"/>
        <v/>
      </c>
      <c r="E1694" s="29"/>
      <c r="F1694" s="22"/>
      <c r="G1694" s="22"/>
      <c r="H1694" s="22"/>
      <c r="I1694" s="24"/>
      <c r="J1694" s="24"/>
      <c r="K1694" s="24"/>
      <c r="L1694" s="24"/>
      <c r="M1694" s="27" t="str">
        <f t="shared" si="107"/>
        <v/>
      </c>
      <c r="N1694" s="25"/>
      <c r="O1694" s="22"/>
      <c r="P1694" s="24"/>
      <c r="Q1694" s="26"/>
    </row>
    <row r="1695" spans="1:17" ht="15" x14ac:dyDescent="0.15">
      <c r="A1695" s="22"/>
      <c r="B1695" s="26" t="str">
        <f t="shared" si="104"/>
        <v/>
      </c>
      <c r="C1695" s="26" t="str">
        <f t="shared" si="105"/>
        <v/>
      </c>
      <c r="D1695" s="26" t="str">
        <f t="shared" si="106"/>
        <v/>
      </c>
      <c r="E1695" s="29"/>
      <c r="F1695" s="22"/>
      <c r="G1695" s="22"/>
      <c r="H1695" s="22"/>
      <c r="I1695" s="24"/>
      <c r="J1695" s="24"/>
      <c r="K1695" s="24"/>
      <c r="L1695" s="24"/>
      <c r="M1695" s="27" t="str">
        <f t="shared" si="107"/>
        <v/>
      </c>
      <c r="N1695" s="25"/>
      <c r="O1695" s="22"/>
      <c r="P1695" s="24"/>
      <c r="Q1695" s="26"/>
    </row>
    <row r="1696" spans="1:17" ht="15" x14ac:dyDescent="0.15">
      <c r="A1696" s="22"/>
      <c r="B1696" s="26" t="str">
        <f t="shared" si="104"/>
        <v/>
      </c>
      <c r="C1696" s="26" t="str">
        <f t="shared" si="105"/>
        <v/>
      </c>
      <c r="D1696" s="26" t="str">
        <f t="shared" si="106"/>
        <v/>
      </c>
      <c r="E1696" s="29"/>
      <c r="F1696" s="22"/>
      <c r="G1696" s="22"/>
      <c r="H1696" s="22"/>
      <c r="I1696" s="24"/>
      <c r="J1696" s="24"/>
      <c r="K1696" s="24"/>
      <c r="L1696" s="24"/>
      <c r="M1696" s="27" t="str">
        <f t="shared" si="107"/>
        <v/>
      </c>
      <c r="N1696" s="25"/>
      <c r="O1696" s="22"/>
      <c r="P1696" s="24"/>
      <c r="Q1696" s="26"/>
    </row>
    <row r="1697" spans="1:17" ht="15" x14ac:dyDescent="0.15">
      <c r="A1697" s="22"/>
      <c r="B1697" s="26" t="str">
        <f t="shared" si="104"/>
        <v/>
      </c>
      <c r="C1697" s="26" t="str">
        <f t="shared" si="105"/>
        <v/>
      </c>
      <c r="D1697" s="26" t="str">
        <f t="shared" si="106"/>
        <v/>
      </c>
      <c r="E1697" s="29"/>
      <c r="F1697" s="22"/>
      <c r="G1697" s="22"/>
      <c r="H1697" s="22"/>
      <c r="I1697" s="24"/>
      <c r="J1697" s="24"/>
      <c r="K1697" s="24"/>
      <c r="L1697" s="24"/>
      <c r="M1697" s="27" t="str">
        <f t="shared" si="107"/>
        <v/>
      </c>
      <c r="N1697" s="25"/>
      <c r="O1697" s="22"/>
      <c r="P1697" s="24"/>
      <c r="Q1697" s="26"/>
    </row>
    <row r="1698" spans="1:17" ht="15" x14ac:dyDescent="0.15">
      <c r="A1698" s="22"/>
      <c r="B1698" s="26" t="str">
        <f t="shared" si="104"/>
        <v/>
      </c>
      <c r="C1698" s="26" t="str">
        <f t="shared" si="105"/>
        <v/>
      </c>
      <c r="D1698" s="26" t="str">
        <f t="shared" si="106"/>
        <v/>
      </c>
      <c r="E1698" s="29"/>
      <c r="F1698" s="22"/>
      <c r="G1698" s="22"/>
      <c r="H1698" s="22"/>
      <c r="I1698" s="24"/>
      <c r="J1698" s="24"/>
      <c r="K1698" s="24"/>
      <c r="L1698" s="24"/>
      <c r="M1698" s="27" t="str">
        <f t="shared" si="107"/>
        <v/>
      </c>
      <c r="N1698" s="25"/>
      <c r="O1698" s="22"/>
      <c r="P1698" s="24"/>
      <c r="Q1698" s="26"/>
    </row>
    <row r="1699" spans="1:17" ht="15" x14ac:dyDescent="0.15">
      <c r="A1699" s="22"/>
      <c r="B1699" s="26" t="str">
        <f t="shared" si="104"/>
        <v/>
      </c>
      <c r="C1699" s="26" t="str">
        <f t="shared" si="105"/>
        <v/>
      </c>
      <c r="D1699" s="26" t="str">
        <f t="shared" si="106"/>
        <v/>
      </c>
      <c r="E1699" s="29"/>
      <c r="F1699" s="22"/>
      <c r="G1699" s="22"/>
      <c r="H1699" s="22"/>
      <c r="I1699" s="24"/>
      <c r="J1699" s="24"/>
      <c r="K1699" s="24"/>
      <c r="L1699" s="24"/>
      <c r="M1699" s="27" t="str">
        <f t="shared" si="107"/>
        <v/>
      </c>
      <c r="N1699" s="25"/>
      <c r="O1699" s="22"/>
      <c r="P1699" s="24"/>
      <c r="Q1699" s="26"/>
    </row>
    <row r="1700" spans="1:17" ht="15" x14ac:dyDescent="0.15">
      <c r="A1700" s="22"/>
      <c r="B1700" s="26" t="str">
        <f t="shared" si="104"/>
        <v/>
      </c>
      <c r="C1700" s="26" t="str">
        <f t="shared" si="105"/>
        <v/>
      </c>
      <c r="D1700" s="26" t="str">
        <f t="shared" si="106"/>
        <v/>
      </c>
      <c r="E1700" s="29"/>
      <c r="F1700" s="22"/>
      <c r="G1700" s="22"/>
      <c r="H1700" s="22"/>
      <c r="I1700" s="24"/>
      <c r="J1700" s="24"/>
      <c r="K1700" s="24"/>
      <c r="L1700" s="24"/>
      <c r="M1700" s="27" t="str">
        <f t="shared" si="107"/>
        <v/>
      </c>
      <c r="N1700" s="25"/>
      <c r="O1700" s="22"/>
      <c r="P1700" s="24"/>
      <c r="Q1700" s="26"/>
    </row>
    <row r="1701" spans="1:17" ht="15" x14ac:dyDescent="0.15">
      <c r="A1701" s="22"/>
      <c r="B1701" s="26" t="str">
        <f t="shared" si="104"/>
        <v/>
      </c>
      <c r="C1701" s="26" t="str">
        <f t="shared" si="105"/>
        <v/>
      </c>
      <c r="D1701" s="26" t="str">
        <f t="shared" si="106"/>
        <v/>
      </c>
      <c r="E1701" s="29"/>
      <c r="F1701" s="22"/>
      <c r="G1701" s="22"/>
      <c r="H1701" s="22"/>
      <c r="I1701" s="24"/>
      <c r="J1701" s="24"/>
      <c r="K1701" s="24"/>
      <c r="L1701" s="24"/>
      <c r="M1701" s="27" t="str">
        <f t="shared" si="107"/>
        <v/>
      </c>
      <c r="N1701" s="25"/>
      <c r="O1701" s="22"/>
      <c r="P1701" s="24"/>
      <c r="Q1701" s="26"/>
    </row>
    <row r="1702" spans="1:17" ht="15" x14ac:dyDescent="0.15">
      <c r="A1702" s="22"/>
      <c r="B1702" s="26" t="str">
        <f t="shared" si="104"/>
        <v/>
      </c>
      <c r="C1702" s="26" t="str">
        <f t="shared" si="105"/>
        <v/>
      </c>
      <c r="D1702" s="26" t="str">
        <f t="shared" si="106"/>
        <v/>
      </c>
      <c r="E1702" s="29"/>
      <c r="F1702" s="22"/>
      <c r="G1702" s="22"/>
      <c r="H1702" s="22"/>
      <c r="I1702" s="24"/>
      <c r="J1702" s="24"/>
      <c r="K1702" s="24"/>
      <c r="L1702" s="24"/>
      <c r="M1702" s="27" t="str">
        <f t="shared" si="107"/>
        <v/>
      </c>
      <c r="N1702" s="25"/>
      <c r="O1702" s="22"/>
      <c r="P1702" s="24"/>
      <c r="Q1702" s="26"/>
    </row>
    <row r="1703" spans="1:17" ht="15" x14ac:dyDescent="0.15">
      <c r="A1703" s="22"/>
      <c r="B1703" s="26" t="str">
        <f t="shared" si="104"/>
        <v/>
      </c>
      <c r="C1703" s="26" t="str">
        <f t="shared" si="105"/>
        <v/>
      </c>
      <c r="D1703" s="26" t="str">
        <f t="shared" si="106"/>
        <v/>
      </c>
      <c r="E1703" s="29"/>
      <c r="F1703" s="22"/>
      <c r="G1703" s="22"/>
      <c r="H1703" s="22"/>
      <c r="I1703" s="24"/>
      <c r="J1703" s="24"/>
      <c r="K1703" s="24"/>
      <c r="L1703" s="24"/>
      <c r="M1703" s="27" t="str">
        <f t="shared" si="107"/>
        <v/>
      </c>
      <c r="N1703" s="25"/>
      <c r="O1703" s="22"/>
      <c r="P1703" s="24"/>
      <c r="Q1703" s="26"/>
    </row>
    <row r="1704" spans="1:17" ht="15" x14ac:dyDescent="0.15">
      <c r="A1704" s="22"/>
      <c r="B1704" s="26" t="str">
        <f t="shared" si="104"/>
        <v/>
      </c>
      <c r="C1704" s="26" t="str">
        <f t="shared" si="105"/>
        <v/>
      </c>
      <c r="D1704" s="26" t="str">
        <f t="shared" si="106"/>
        <v/>
      </c>
      <c r="E1704" s="29"/>
      <c r="F1704" s="22"/>
      <c r="G1704" s="22"/>
      <c r="H1704" s="22"/>
      <c r="I1704" s="24"/>
      <c r="J1704" s="24"/>
      <c r="K1704" s="24"/>
      <c r="L1704" s="24"/>
      <c r="M1704" s="27" t="str">
        <f t="shared" si="107"/>
        <v/>
      </c>
      <c r="N1704" s="25"/>
      <c r="O1704" s="22"/>
      <c r="P1704" s="24"/>
      <c r="Q1704" s="26"/>
    </row>
    <row r="1705" spans="1:17" ht="15" x14ac:dyDescent="0.15">
      <c r="A1705" s="22"/>
      <c r="B1705" s="26" t="str">
        <f t="shared" si="104"/>
        <v/>
      </c>
      <c r="C1705" s="26" t="str">
        <f t="shared" si="105"/>
        <v/>
      </c>
      <c r="D1705" s="26" t="str">
        <f t="shared" si="106"/>
        <v/>
      </c>
      <c r="E1705" s="29"/>
      <c r="F1705" s="22"/>
      <c r="G1705" s="22"/>
      <c r="H1705" s="22"/>
      <c r="I1705" s="24"/>
      <c r="J1705" s="24"/>
      <c r="K1705" s="24"/>
      <c r="L1705" s="24"/>
      <c r="M1705" s="27" t="str">
        <f t="shared" si="107"/>
        <v/>
      </c>
      <c r="N1705" s="25"/>
      <c r="O1705" s="22"/>
      <c r="P1705" s="24"/>
      <c r="Q1705" s="26"/>
    </row>
    <row r="1706" spans="1:17" ht="15" x14ac:dyDescent="0.15">
      <c r="A1706" s="22"/>
      <c r="B1706" s="26" t="str">
        <f t="shared" si="104"/>
        <v/>
      </c>
      <c r="C1706" s="26" t="str">
        <f t="shared" si="105"/>
        <v/>
      </c>
      <c r="D1706" s="26" t="str">
        <f t="shared" si="106"/>
        <v/>
      </c>
      <c r="E1706" s="29"/>
      <c r="F1706" s="22"/>
      <c r="G1706" s="22"/>
      <c r="H1706" s="22"/>
      <c r="I1706" s="24"/>
      <c r="J1706" s="24"/>
      <c r="K1706" s="24"/>
      <c r="L1706" s="24"/>
      <c r="M1706" s="27" t="str">
        <f t="shared" si="107"/>
        <v/>
      </c>
      <c r="N1706" s="25"/>
      <c r="O1706" s="22"/>
      <c r="P1706" s="24"/>
      <c r="Q1706" s="26"/>
    </row>
    <row r="1707" spans="1:17" ht="15" x14ac:dyDescent="0.15">
      <c r="A1707" s="22"/>
      <c r="B1707" s="26" t="str">
        <f t="shared" si="104"/>
        <v/>
      </c>
      <c r="C1707" s="26" t="str">
        <f t="shared" si="105"/>
        <v/>
      </c>
      <c r="D1707" s="26" t="str">
        <f t="shared" si="106"/>
        <v/>
      </c>
      <c r="E1707" s="29"/>
      <c r="F1707" s="22"/>
      <c r="G1707" s="22"/>
      <c r="H1707" s="22"/>
      <c r="I1707" s="24"/>
      <c r="J1707" s="24"/>
      <c r="K1707" s="24"/>
      <c r="L1707" s="24"/>
      <c r="M1707" s="27" t="str">
        <f t="shared" si="107"/>
        <v/>
      </c>
      <c r="N1707" s="25"/>
      <c r="O1707" s="22"/>
      <c r="P1707" s="24"/>
      <c r="Q1707" s="26"/>
    </row>
    <row r="1708" spans="1:17" ht="15" x14ac:dyDescent="0.15">
      <c r="A1708" s="22"/>
      <c r="B1708" s="26" t="str">
        <f t="shared" si="104"/>
        <v/>
      </c>
      <c r="C1708" s="26" t="str">
        <f t="shared" si="105"/>
        <v/>
      </c>
      <c r="D1708" s="26" t="str">
        <f t="shared" si="106"/>
        <v/>
      </c>
      <c r="E1708" s="29"/>
      <c r="F1708" s="22"/>
      <c r="G1708" s="22"/>
      <c r="H1708" s="22"/>
      <c r="I1708" s="24"/>
      <c r="J1708" s="24"/>
      <c r="K1708" s="24"/>
      <c r="L1708" s="24"/>
      <c r="M1708" s="27" t="str">
        <f t="shared" si="107"/>
        <v/>
      </c>
      <c r="N1708" s="25"/>
      <c r="O1708" s="22"/>
      <c r="P1708" s="24"/>
      <c r="Q1708" s="26"/>
    </row>
    <row r="1709" spans="1:17" ht="15" x14ac:dyDescent="0.15">
      <c r="A1709" s="22"/>
      <c r="B1709" s="26" t="str">
        <f t="shared" si="104"/>
        <v/>
      </c>
      <c r="C1709" s="26" t="str">
        <f t="shared" si="105"/>
        <v/>
      </c>
      <c r="D1709" s="26" t="str">
        <f t="shared" si="106"/>
        <v/>
      </c>
      <c r="E1709" s="29"/>
      <c r="F1709" s="22"/>
      <c r="G1709" s="22"/>
      <c r="H1709" s="22"/>
      <c r="I1709" s="24"/>
      <c r="J1709" s="24"/>
      <c r="K1709" s="24"/>
      <c r="L1709" s="24"/>
      <c r="M1709" s="27" t="str">
        <f t="shared" si="107"/>
        <v/>
      </c>
      <c r="N1709" s="25"/>
      <c r="O1709" s="22"/>
      <c r="P1709" s="24"/>
      <c r="Q1709" s="26"/>
    </row>
    <row r="1710" spans="1:17" ht="15" x14ac:dyDescent="0.15">
      <c r="A1710" s="22"/>
      <c r="B1710" s="26" t="str">
        <f t="shared" si="104"/>
        <v/>
      </c>
      <c r="C1710" s="26" t="str">
        <f t="shared" si="105"/>
        <v/>
      </c>
      <c r="D1710" s="26" t="str">
        <f t="shared" si="106"/>
        <v/>
      </c>
      <c r="E1710" s="29"/>
      <c r="F1710" s="22"/>
      <c r="G1710" s="22"/>
      <c r="H1710" s="22"/>
      <c r="I1710" s="24"/>
      <c r="J1710" s="24"/>
      <c r="K1710" s="24"/>
      <c r="L1710" s="24"/>
      <c r="M1710" s="27" t="str">
        <f t="shared" si="107"/>
        <v/>
      </c>
      <c r="N1710" s="25"/>
      <c r="O1710" s="22"/>
      <c r="P1710" s="24"/>
      <c r="Q1710" s="26"/>
    </row>
    <row r="1711" spans="1:17" ht="15" x14ac:dyDescent="0.15">
      <c r="A1711" s="22"/>
      <c r="B1711" s="26" t="str">
        <f t="shared" si="104"/>
        <v/>
      </c>
      <c r="C1711" s="26" t="str">
        <f t="shared" si="105"/>
        <v/>
      </c>
      <c r="D1711" s="26" t="str">
        <f t="shared" si="106"/>
        <v/>
      </c>
      <c r="E1711" s="29"/>
      <c r="F1711" s="22"/>
      <c r="G1711" s="22"/>
      <c r="H1711" s="22"/>
      <c r="I1711" s="24"/>
      <c r="J1711" s="24"/>
      <c r="K1711" s="24"/>
      <c r="L1711" s="24"/>
      <c r="M1711" s="27" t="str">
        <f t="shared" si="107"/>
        <v/>
      </c>
      <c r="N1711" s="25"/>
      <c r="O1711" s="22"/>
      <c r="P1711" s="24"/>
      <c r="Q1711" s="26"/>
    </row>
    <row r="1712" spans="1:17" ht="15" x14ac:dyDescent="0.15">
      <c r="A1712" s="22"/>
      <c r="B1712" s="26" t="str">
        <f t="shared" si="104"/>
        <v/>
      </c>
      <c r="C1712" s="26" t="str">
        <f t="shared" si="105"/>
        <v/>
      </c>
      <c r="D1712" s="26" t="str">
        <f t="shared" si="106"/>
        <v/>
      </c>
      <c r="E1712" s="29"/>
      <c r="F1712" s="22"/>
      <c r="G1712" s="22"/>
      <c r="H1712" s="22"/>
      <c r="I1712" s="24"/>
      <c r="J1712" s="24"/>
      <c r="K1712" s="24"/>
      <c r="L1712" s="24"/>
      <c r="M1712" s="27" t="str">
        <f t="shared" si="107"/>
        <v/>
      </c>
      <c r="N1712" s="25"/>
      <c r="O1712" s="22"/>
      <c r="P1712" s="24"/>
      <c r="Q1712" s="26"/>
    </row>
    <row r="1713" spans="1:17" ht="15" x14ac:dyDescent="0.15">
      <c r="A1713" s="22"/>
      <c r="B1713" s="26" t="str">
        <f t="shared" si="104"/>
        <v/>
      </c>
      <c r="C1713" s="26" t="str">
        <f t="shared" si="105"/>
        <v/>
      </c>
      <c r="D1713" s="26" t="str">
        <f t="shared" si="106"/>
        <v/>
      </c>
      <c r="E1713" s="29"/>
      <c r="F1713" s="22"/>
      <c r="G1713" s="22"/>
      <c r="H1713" s="22"/>
      <c r="I1713" s="24"/>
      <c r="J1713" s="24"/>
      <c r="K1713" s="24"/>
      <c r="L1713" s="24"/>
      <c r="M1713" s="27" t="str">
        <f t="shared" si="107"/>
        <v/>
      </c>
      <c r="N1713" s="25"/>
      <c r="O1713" s="22"/>
      <c r="P1713" s="24"/>
      <c r="Q1713" s="26"/>
    </row>
    <row r="1714" spans="1:17" ht="15" x14ac:dyDescent="0.15">
      <c r="A1714" s="22"/>
      <c r="B1714" s="26" t="str">
        <f t="shared" si="104"/>
        <v/>
      </c>
      <c r="C1714" s="26" t="str">
        <f t="shared" si="105"/>
        <v/>
      </c>
      <c r="D1714" s="26" t="str">
        <f t="shared" si="106"/>
        <v/>
      </c>
      <c r="E1714" s="29"/>
      <c r="F1714" s="22"/>
      <c r="G1714" s="22"/>
      <c r="H1714" s="22"/>
      <c r="I1714" s="24"/>
      <c r="J1714" s="24"/>
      <c r="K1714" s="24"/>
      <c r="L1714" s="24"/>
      <c r="M1714" s="27" t="str">
        <f t="shared" si="107"/>
        <v/>
      </c>
      <c r="N1714" s="25"/>
      <c r="O1714" s="22"/>
      <c r="P1714" s="24"/>
      <c r="Q1714" s="26"/>
    </row>
    <row r="1715" spans="1:17" ht="15" x14ac:dyDescent="0.15">
      <c r="A1715" s="22"/>
      <c r="B1715" s="26" t="str">
        <f t="shared" si="104"/>
        <v/>
      </c>
      <c r="C1715" s="26" t="str">
        <f t="shared" si="105"/>
        <v/>
      </c>
      <c r="D1715" s="26" t="str">
        <f t="shared" si="106"/>
        <v/>
      </c>
      <c r="E1715" s="29"/>
      <c r="F1715" s="22"/>
      <c r="G1715" s="22"/>
      <c r="H1715" s="22"/>
      <c r="I1715" s="24"/>
      <c r="J1715" s="24"/>
      <c r="K1715" s="24"/>
      <c r="L1715" s="24"/>
      <c r="M1715" s="27" t="str">
        <f t="shared" si="107"/>
        <v/>
      </c>
      <c r="N1715" s="25"/>
      <c r="O1715" s="22"/>
      <c r="P1715" s="24"/>
      <c r="Q1715" s="26"/>
    </row>
    <row r="1716" spans="1:17" ht="15" x14ac:dyDescent="0.15">
      <c r="A1716" s="22"/>
      <c r="B1716" s="26" t="str">
        <f t="shared" si="104"/>
        <v/>
      </c>
      <c r="C1716" s="26" t="str">
        <f t="shared" si="105"/>
        <v/>
      </c>
      <c r="D1716" s="26" t="str">
        <f t="shared" si="106"/>
        <v/>
      </c>
      <c r="E1716" s="29"/>
      <c r="F1716" s="22"/>
      <c r="G1716" s="22"/>
      <c r="H1716" s="22"/>
      <c r="I1716" s="24"/>
      <c r="J1716" s="24"/>
      <c r="K1716" s="24"/>
      <c r="L1716" s="24"/>
      <c r="M1716" s="27" t="str">
        <f t="shared" si="107"/>
        <v/>
      </c>
      <c r="N1716" s="25"/>
      <c r="O1716" s="22"/>
      <c r="P1716" s="24"/>
      <c r="Q1716" s="26"/>
    </row>
    <row r="1717" spans="1:17" ht="15" x14ac:dyDescent="0.15">
      <c r="A1717" s="22"/>
      <c r="B1717" s="26" t="str">
        <f t="shared" si="104"/>
        <v/>
      </c>
      <c r="C1717" s="26" t="str">
        <f t="shared" si="105"/>
        <v/>
      </c>
      <c r="D1717" s="26" t="str">
        <f t="shared" si="106"/>
        <v/>
      </c>
      <c r="E1717" s="29"/>
      <c r="F1717" s="22"/>
      <c r="G1717" s="22"/>
      <c r="H1717" s="22"/>
      <c r="I1717" s="24"/>
      <c r="J1717" s="24"/>
      <c r="K1717" s="24"/>
      <c r="L1717" s="24"/>
      <c r="M1717" s="27" t="str">
        <f t="shared" si="107"/>
        <v/>
      </c>
      <c r="N1717" s="25"/>
      <c r="O1717" s="22"/>
      <c r="P1717" s="24"/>
      <c r="Q1717" s="26"/>
    </row>
    <row r="1718" spans="1:17" ht="15" x14ac:dyDescent="0.15">
      <c r="A1718" s="22"/>
      <c r="B1718" s="26" t="str">
        <f t="shared" si="104"/>
        <v/>
      </c>
      <c r="C1718" s="26" t="str">
        <f t="shared" si="105"/>
        <v/>
      </c>
      <c r="D1718" s="26" t="str">
        <f t="shared" si="106"/>
        <v/>
      </c>
      <c r="E1718" s="29"/>
      <c r="F1718" s="22"/>
      <c r="G1718" s="22"/>
      <c r="H1718" s="22"/>
      <c r="I1718" s="24"/>
      <c r="J1718" s="24"/>
      <c r="K1718" s="24"/>
      <c r="L1718" s="24"/>
      <c r="M1718" s="27" t="str">
        <f t="shared" si="107"/>
        <v/>
      </c>
      <c r="N1718" s="25"/>
      <c r="O1718" s="22"/>
      <c r="P1718" s="24"/>
      <c r="Q1718" s="26"/>
    </row>
    <row r="1719" spans="1:17" ht="15" x14ac:dyDescent="0.15">
      <c r="A1719" s="22"/>
      <c r="B1719" s="26" t="str">
        <f t="shared" si="104"/>
        <v/>
      </c>
      <c r="C1719" s="26" t="str">
        <f t="shared" si="105"/>
        <v/>
      </c>
      <c r="D1719" s="26" t="str">
        <f t="shared" si="106"/>
        <v/>
      </c>
      <c r="E1719" s="29"/>
      <c r="F1719" s="22"/>
      <c r="G1719" s="22"/>
      <c r="H1719" s="22"/>
      <c r="I1719" s="24"/>
      <c r="J1719" s="24"/>
      <c r="K1719" s="24"/>
      <c r="L1719" s="24"/>
      <c r="M1719" s="27" t="str">
        <f t="shared" si="107"/>
        <v/>
      </c>
      <c r="N1719" s="25"/>
      <c r="O1719" s="22"/>
      <c r="P1719" s="24"/>
      <c r="Q1719" s="26"/>
    </row>
    <row r="1720" spans="1:17" ht="15" x14ac:dyDescent="0.15">
      <c r="A1720" s="22"/>
      <c r="B1720" s="26" t="str">
        <f t="shared" si="104"/>
        <v/>
      </c>
      <c r="C1720" s="26" t="str">
        <f t="shared" si="105"/>
        <v/>
      </c>
      <c r="D1720" s="26" t="str">
        <f t="shared" si="106"/>
        <v/>
      </c>
      <c r="E1720" s="29"/>
      <c r="F1720" s="22"/>
      <c r="G1720" s="22"/>
      <c r="H1720" s="22"/>
      <c r="I1720" s="24"/>
      <c r="J1720" s="24"/>
      <c r="K1720" s="24"/>
      <c r="L1720" s="24"/>
      <c r="M1720" s="27" t="str">
        <f t="shared" si="107"/>
        <v/>
      </c>
      <c r="N1720" s="25"/>
      <c r="O1720" s="22"/>
      <c r="P1720" s="24"/>
      <c r="Q1720" s="26"/>
    </row>
    <row r="1721" spans="1:17" ht="15" x14ac:dyDescent="0.15">
      <c r="A1721" s="22"/>
      <c r="B1721" s="26" t="str">
        <f t="shared" si="104"/>
        <v/>
      </c>
      <c r="C1721" s="26" t="str">
        <f t="shared" si="105"/>
        <v/>
      </c>
      <c r="D1721" s="26" t="str">
        <f t="shared" si="106"/>
        <v/>
      </c>
      <c r="E1721" s="29"/>
      <c r="F1721" s="22"/>
      <c r="G1721" s="22"/>
      <c r="H1721" s="22"/>
      <c r="I1721" s="24"/>
      <c r="J1721" s="24"/>
      <c r="K1721" s="24"/>
      <c r="L1721" s="24"/>
      <c r="M1721" s="27" t="str">
        <f t="shared" si="107"/>
        <v/>
      </c>
      <c r="N1721" s="25"/>
      <c r="O1721" s="22"/>
      <c r="P1721" s="24"/>
      <c r="Q1721" s="26"/>
    </row>
    <row r="1722" spans="1:17" ht="15" x14ac:dyDescent="0.15">
      <c r="A1722" s="22"/>
      <c r="B1722" s="26" t="str">
        <f t="shared" si="104"/>
        <v/>
      </c>
      <c r="C1722" s="26" t="str">
        <f t="shared" si="105"/>
        <v/>
      </c>
      <c r="D1722" s="26" t="str">
        <f t="shared" si="106"/>
        <v/>
      </c>
      <c r="E1722" s="29"/>
      <c r="F1722" s="22"/>
      <c r="G1722" s="22"/>
      <c r="H1722" s="22"/>
      <c r="I1722" s="24"/>
      <c r="J1722" s="24"/>
      <c r="K1722" s="24"/>
      <c r="L1722" s="24"/>
      <c r="M1722" s="27" t="str">
        <f t="shared" si="107"/>
        <v/>
      </c>
      <c r="N1722" s="25"/>
      <c r="O1722" s="22"/>
      <c r="P1722" s="24"/>
      <c r="Q1722" s="26"/>
    </row>
    <row r="1723" spans="1:17" ht="15" x14ac:dyDescent="0.15">
      <c r="A1723" s="22"/>
      <c r="B1723" s="26" t="str">
        <f t="shared" si="104"/>
        <v/>
      </c>
      <c r="C1723" s="26" t="str">
        <f t="shared" si="105"/>
        <v/>
      </c>
      <c r="D1723" s="26" t="str">
        <f t="shared" si="106"/>
        <v/>
      </c>
      <c r="E1723" s="29"/>
      <c r="F1723" s="22"/>
      <c r="G1723" s="22"/>
      <c r="H1723" s="22"/>
      <c r="I1723" s="24"/>
      <c r="J1723" s="24"/>
      <c r="K1723" s="24"/>
      <c r="L1723" s="24"/>
      <c r="M1723" s="27" t="str">
        <f t="shared" si="107"/>
        <v/>
      </c>
      <c r="N1723" s="25"/>
      <c r="O1723" s="22"/>
      <c r="P1723" s="24"/>
      <c r="Q1723" s="26"/>
    </row>
    <row r="1724" spans="1:17" ht="15" x14ac:dyDescent="0.15">
      <c r="A1724" s="22"/>
      <c r="B1724" s="26" t="str">
        <f t="shared" si="104"/>
        <v/>
      </c>
      <c r="C1724" s="26" t="str">
        <f t="shared" si="105"/>
        <v/>
      </c>
      <c r="D1724" s="26" t="str">
        <f t="shared" si="106"/>
        <v/>
      </c>
      <c r="E1724" s="29"/>
      <c r="F1724" s="22"/>
      <c r="G1724" s="22"/>
      <c r="H1724" s="22"/>
      <c r="I1724" s="24"/>
      <c r="J1724" s="24"/>
      <c r="K1724" s="24"/>
      <c r="L1724" s="24"/>
      <c r="M1724" s="27" t="str">
        <f t="shared" si="107"/>
        <v/>
      </c>
      <c r="N1724" s="25"/>
      <c r="O1724" s="22"/>
      <c r="P1724" s="24"/>
      <c r="Q1724" s="26"/>
    </row>
    <row r="1725" spans="1:17" ht="15" x14ac:dyDescent="0.15">
      <c r="A1725" s="22"/>
      <c r="B1725" s="26" t="str">
        <f t="shared" si="104"/>
        <v/>
      </c>
      <c r="C1725" s="26" t="str">
        <f t="shared" si="105"/>
        <v/>
      </c>
      <c r="D1725" s="26" t="str">
        <f t="shared" si="106"/>
        <v/>
      </c>
      <c r="E1725" s="29"/>
      <c r="F1725" s="22"/>
      <c r="G1725" s="22"/>
      <c r="H1725" s="22"/>
      <c r="I1725" s="24"/>
      <c r="J1725" s="24"/>
      <c r="K1725" s="24"/>
      <c r="L1725" s="24"/>
      <c r="M1725" s="27" t="str">
        <f t="shared" si="107"/>
        <v/>
      </c>
      <c r="N1725" s="25"/>
      <c r="O1725" s="22"/>
      <c r="P1725" s="24"/>
      <c r="Q1725" s="26"/>
    </row>
    <row r="1726" spans="1:17" ht="15" x14ac:dyDescent="0.15">
      <c r="A1726" s="22"/>
      <c r="B1726" s="26" t="str">
        <f t="shared" si="104"/>
        <v/>
      </c>
      <c r="C1726" s="26" t="str">
        <f t="shared" si="105"/>
        <v/>
      </c>
      <c r="D1726" s="26" t="str">
        <f t="shared" si="106"/>
        <v/>
      </c>
      <c r="E1726" s="29"/>
      <c r="F1726" s="22"/>
      <c r="G1726" s="22"/>
      <c r="H1726" s="22"/>
      <c r="I1726" s="24"/>
      <c r="J1726" s="24"/>
      <c r="K1726" s="24"/>
      <c r="L1726" s="24"/>
      <c r="M1726" s="27" t="str">
        <f t="shared" si="107"/>
        <v/>
      </c>
      <c r="N1726" s="25"/>
      <c r="O1726" s="22"/>
      <c r="P1726" s="24"/>
      <c r="Q1726" s="26"/>
    </row>
    <row r="1727" spans="1:17" ht="15" x14ac:dyDescent="0.15">
      <c r="A1727" s="22"/>
      <c r="B1727" s="26" t="str">
        <f t="shared" si="104"/>
        <v/>
      </c>
      <c r="C1727" s="26" t="str">
        <f t="shared" si="105"/>
        <v/>
      </c>
      <c r="D1727" s="26" t="str">
        <f t="shared" si="106"/>
        <v/>
      </c>
      <c r="E1727" s="29"/>
      <c r="F1727" s="22"/>
      <c r="G1727" s="22"/>
      <c r="H1727" s="22"/>
      <c r="I1727" s="24"/>
      <c r="J1727" s="24"/>
      <c r="K1727" s="24"/>
      <c r="L1727" s="24"/>
      <c r="M1727" s="27" t="str">
        <f t="shared" si="107"/>
        <v/>
      </c>
      <c r="N1727" s="25"/>
      <c r="O1727" s="22"/>
      <c r="P1727" s="24"/>
      <c r="Q1727" s="26"/>
    </row>
    <row r="1728" spans="1:17" ht="15" x14ac:dyDescent="0.15">
      <c r="A1728" s="22"/>
      <c r="B1728" s="26" t="str">
        <f t="shared" si="104"/>
        <v/>
      </c>
      <c r="C1728" s="26" t="str">
        <f t="shared" si="105"/>
        <v/>
      </c>
      <c r="D1728" s="26" t="str">
        <f t="shared" si="106"/>
        <v/>
      </c>
      <c r="E1728" s="29"/>
      <c r="F1728" s="22"/>
      <c r="G1728" s="22"/>
      <c r="H1728" s="22"/>
      <c r="I1728" s="24"/>
      <c r="J1728" s="24"/>
      <c r="K1728" s="24"/>
      <c r="L1728" s="24"/>
      <c r="M1728" s="27" t="str">
        <f t="shared" si="107"/>
        <v/>
      </c>
      <c r="N1728" s="25"/>
      <c r="O1728" s="22"/>
      <c r="P1728" s="24"/>
      <c r="Q1728" s="26"/>
    </row>
    <row r="1729" spans="1:17" ht="15" x14ac:dyDescent="0.15">
      <c r="A1729" s="22"/>
      <c r="B1729" s="26" t="str">
        <f t="shared" si="104"/>
        <v/>
      </c>
      <c r="C1729" s="26" t="str">
        <f t="shared" si="105"/>
        <v/>
      </c>
      <c r="D1729" s="26" t="str">
        <f t="shared" si="106"/>
        <v/>
      </c>
      <c r="E1729" s="29"/>
      <c r="F1729" s="22"/>
      <c r="G1729" s="22"/>
      <c r="H1729" s="22"/>
      <c r="I1729" s="24"/>
      <c r="J1729" s="24"/>
      <c r="K1729" s="24"/>
      <c r="L1729" s="24"/>
      <c r="M1729" s="27" t="str">
        <f t="shared" si="107"/>
        <v/>
      </c>
      <c r="N1729" s="25"/>
      <c r="O1729" s="22"/>
      <c r="P1729" s="24"/>
      <c r="Q1729" s="26"/>
    </row>
    <row r="1730" spans="1:17" ht="15" x14ac:dyDescent="0.15">
      <c r="A1730" s="22"/>
      <c r="B1730" s="26" t="str">
        <f t="shared" si="104"/>
        <v/>
      </c>
      <c r="C1730" s="26" t="str">
        <f t="shared" si="105"/>
        <v/>
      </c>
      <c r="D1730" s="26" t="str">
        <f t="shared" si="106"/>
        <v/>
      </c>
      <c r="E1730" s="29"/>
      <c r="F1730" s="22"/>
      <c r="G1730" s="22"/>
      <c r="H1730" s="22"/>
      <c r="I1730" s="24"/>
      <c r="J1730" s="24"/>
      <c r="K1730" s="24"/>
      <c r="L1730" s="24"/>
      <c r="M1730" s="27" t="str">
        <f t="shared" si="107"/>
        <v/>
      </c>
      <c r="N1730" s="25"/>
      <c r="O1730" s="22"/>
      <c r="P1730" s="24"/>
      <c r="Q1730" s="26"/>
    </row>
    <row r="1731" spans="1:17" ht="15" x14ac:dyDescent="0.15">
      <c r="A1731" s="22"/>
      <c r="B1731" s="26" t="str">
        <f t="shared" si="104"/>
        <v/>
      </c>
      <c r="C1731" s="26" t="str">
        <f t="shared" si="105"/>
        <v/>
      </c>
      <c r="D1731" s="26" t="str">
        <f t="shared" si="106"/>
        <v/>
      </c>
      <c r="E1731" s="29"/>
      <c r="F1731" s="22"/>
      <c r="G1731" s="22"/>
      <c r="H1731" s="22"/>
      <c r="I1731" s="24"/>
      <c r="J1731" s="24"/>
      <c r="K1731" s="24"/>
      <c r="L1731" s="24"/>
      <c r="M1731" s="27" t="str">
        <f t="shared" si="107"/>
        <v/>
      </c>
      <c r="N1731" s="25"/>
      <c r="O1731" s="22"/>
      <c r="P1731" s="24"/>
      <c r="Q1731" s="26"/>
    </row>
    <row r="1732" spans="1:17" ht="15" x14ac:dyDescent="0.15">
      <c r="A1732" s="22"/>
      <c r="B1732" s="26" t="str">
        <f t="shared" si="104"/>
        <v/>
      </c>
      <c r="C1732" s="26" t="str">
        <f t="shared" si="105"/>
        <v/>
      </c>
      <c r="D1732" s="26" t="str">
        <f t="shared" si="106"/>
        <v/>
      </c>
      <c r="E1732" s="29"/>
      <c r="F1732" s="22"/>
      <c r="G1732" s="22"/>
      <c r="H1732" s="22"/>
      <c r="I1732" s="24"/>
      <c r="J1732" s="24"/>
      <c r="K1732" s="24"/>
      <c r="L1732" s="24"/>
      <c r="M1732" s="27" t="str">
        <f t="shared" si="107"/>
        <v/>
      </c>
      <c r="N1732" s="25"/>
      <c r="O1732" s="22"/>
      <c r="P1732" s="24"/>
      <c r="Q1732" s="26"/>
    </row>
    <row r="1733" spans="1:17" ht="15" x14ac:dyDescent="0.15">
      <c r="A1733" s="22"/>
      <c r="B1733" s="26" t="str">
        <f t="shared" si="104"/>
        <v/>
      </c>
      <c r="C1733" s="26" t="str">
        <f t="shared" si="105"/>
        <v/>
      </c>
      <c r="D1733" s="26" t="str">
        <f t="shared" si="106"/>
        <v/>
      </c>
      <c r="E1733" s="29"/>
      <c r="F1733" s="22"/>
      <c r="G1733" s="22"/>
      <c r="H1733" s="22"/>
      <c r="I1733" s="24"/>
      <c r="J1733" s="24"/>
      <c r="K1733" s="24"/>
      <c r="L1733" s="24"/>
      <c r="M1733" s="27" t="str">
        <f t="shared" si="107"/>
        <v/>
      </c>
      <c r="N1733" s="25"/>
      <c r="O1733" s="22"/>
      <c r="P1733" s="24"/>
      <c r="Q1733" s="26"/>
    </row>
    <row r="1734" spans="1:17" ht="15" x14ac:dyDescent="0.15">
      <c r="A1734" s="22"/>
      <c r="B1734" s="26" t="str">
        <f t="shared" si="104"/>
        <v/>
      </c>
      <c r="C1734" s="26" t="str">
        <f t="shared" si="105"/>
        <v/>
      </c>
      <c r="D1734" s="26" t="str">
        <f t="shared" si="106"/>
        <v/>
      </c>
      <c r="E1734" s="29"/>
      <c r="F1734" s="22"/>
      <c r="G1734" s="22"/>
      <c r="H1734" s="22"/>
      <c r="I1734" s="24"/>
      <c r="J1734" s="24"/>
      <c r="K1734" s="24"/>
      <c r="L1734" s="24"/>
      <c r="M1734" s="27" t="str">
        <f t="shared" si="107"/>
        <v/>
      </c>
      <c r="N1734" s="25"/>
      <c r="O1734" s="22"/>
      <c r="P1734" s="24"/>
      <c r="Q1734" s="26"/>
    </row>
    <row r="1735" spans="1:17" ht="15" x14ac:dyDescent="0.15">
      <c r="A1735" s="22"/>
      <c r="B1735" s="26" t="str">
        <f t="shared" ref="B1735:B1798" si="108">IFERROR(IF($A1735="","",LEFT($A1735,FIND(" | ",$A1735)-1)),"")</f>
        <v/>
      </c>
      <c r="C1735" s="26" t="str">
        <f t="shared" ref="C1735:C1798" si="109">IFERROR(IF($A1735="","",MID($A1735,FIND(" | ",$A1735)+3,FIND(" | ",$A1735,FIND(" | ",$A1735)+3)-FIND(" | ",$A1735)-3)),"")</f>
        <v/>
      </c>
      <c r="D1735" s="26" t="str">
        <f t="shared" ref="D1735:D1798" si="110">IFERROR(IF($A1735="","",RIGHT($A1735,LEN($A1735)-FIND(" | ",$A1735,FIND(" | ",$A1735)+3)-2)),"")</f>
        <v/>
      </c>
      <c r="E1735" s="29"/>
      <c r="F1735" s="22"/>
      <c r="G1735" s="22"/>
      <c r="H1735" s="22"/>
      <c r="I1735" s="24"/>
      <c r="J1735" s="24"/>
      <c r="K1735" s="24"/>
      <c r="L1735" s="24"/>
      <c r="M1735" s="27" t="str">
        <f t="shared" ref="M1735:M1798" si="111">IF($B1735="","",SUM($J1735,-$K1735,$L1735))</f>
        <v/>
      </c>
      <c r="N1735" s="25"/>
      <c r="O1735" s="22"/>
      <c r="P1735" s="24"/>
      <c r="Q1735" s="26"/>
    </row>
    <row r="1736" spans="1:17" ht="15" x14ac:dyDescent="0.15">
      <c r="A1736" s="22"/>
      <c r="B1736" s="26" t="str">
        <f t="shared" si="108"/>
        <v/>
      </c>
      <c r="C1736" s="26" t="str">
        <f t="shared" si="109"/>
        <v/>
      </c>
      <c r="D1736" s="26" t="str">
        <f t="shared" si="110"/>
        <v/>
      </c>
      <c r="E1736" s="29"/>
      <c r="F1736" s="22"/>
      <c r="G1736" s="22"/>
      <c r="H1736" s="22"/>
      <c r="I1736" s="24"/>
      <c r="J1736" s="24"/>
      <c r="K1736" s="24"/>
      <c r="L1736" s="24"/>
      <c r="M1736" s="27" t="str">
        <f t="shared" si="111"/>
        <v/>
      </c>
      <c r="N1736" s="25"/>
      <c r="O1736" s="22"/>
      <c r="P1736" s="24"/>
      <c r="Q1736" s="26"/>
    </row>
    <row r="1737" spans="1:17" ht="15" x14ac:dyDescent="0.15">
      <c r="A1737" s="22"/>
      <c r="B1737" s="26" t="str">
        <f t="shared" si="108"/>
        <v/>
      </c>
      <c r="C1737" s="26" t="str">
        <f t="shared" si="109"/>
        <v/>
      </c>
      <c r="D1737" s="26" t="str">
        <f t="shared" si="110"/>
        <v/>
      </c>
      <c r="E1737" s="29"/>
      <c r="F1737" s="22"/>
      <c r="G1737" s="22"/>
      <c r="H1737" s="22"/>
      <c r="I1737" s="24"/>
      <c r="J1737" s="24"/>
      <c r="K1737" s="24"/>
      <c r="L1737" s="24"/>
      <c r="M1737" s="27" t="str">
        <f t="shared" si="111"/>
        <v/>
      </c>
      <c r="N1737" s="25"/>
      <c r="O1737" s="22"/>
      <c r="P1737" s="24"/>
      <c r="Q1737" s="26"/>
    </row>
    <row r="1738" spans="1:17" ht="15" x14ac:dyDescent="0.15">
      <c r="A1738" s="22"/>
      <c r="B1738" s="26" t="str">
        <f t="shared" si="108"/>
        <v/>
      </c>
      <c r="C1738" s="26" t="str">
        <f t="shared" si="109"/>
        <v/>
      </c>
      <c r="D1738" s="26" t="str">
        <f t="shared" si="110"/>
        <v/>
      </c>
      <c r="E1738" s="29"/>
      <c r="F1738" s="22"/>
      <c r="G1738" s="22"/>
      <c r="H1738" s="22"/>
      <c r="I1738" s="24"/>
      <c r="J1738" s="24"/>
      <c r="K1738" s="24"/>
      <c r="L1738" s="24"/>
      <c r="M1738" s="27" t="str">
        <f t="shared" si="111"/>
        <v/>
      </c>
      <c r="N1738" s="25"/>
      <c r="O1738" s="22"/>
      <c r="P1738" s="24"/>
      <c r="Q1738" s="26"/>
    </row>
    <row r="1739" spans="1:17" ht="15" x14ac:dyDescent="0.15">
      <c r="A1739" s="22"/>
      <c r="B1739" s="26" t="str">
        <f t="shared" si="108"/>
        <v/>
      </c>
      <c r="C1739" s="26" t="str">
        <f t="shared" si="109"/>
        <v/>
      </c>
      <c r="D1739" s="26" t="str">
        <f t="shared" si="110"/>
        <v/>
      </c>
      <c r="E1739" s="29"/>
      <c r="F1739" s="22"/>
      <c r="G1739" s="22"/>
      <c r="H1739" s="22"/>
      <c r="I1739" s="24"/>
      <c r="J1739" s="24"/>
      <c r="K1739" s="24"/>
      <c r="L1739" s="24"/>
      <c r="M1739" s="27" t="str">
        <f t="shared" si="111"/>
        <v/>
      </c>
      <c r="N1739" s="25"/>
      <c r="O1739" s="22"/>
      <c r="P1739" s="24"/>
      <c r="Q1739" s="26"/>
    </row>
    <row r="1740" spans="1:17" ht="15" x14ac:dyDescent="0.15">
      <c r="A1740" s="22"/>
      <c r="B1740" s="26" t="str">
        <f t="shared" si="108"/>
        <v/>
      </c>
      <c r="C1740" s="26" t="str">
        <f t="shared" si="109"/>
        <v/>
      </c>
      <c r="D1740" s="26" t="str">
        <f t="shared" si="110"/>
        <v/>
      </c>
      <c r="E1740" s="29"/>
      <c r="F1740" s="22"/>
      <c r="G1740" s="22"/>
      <c r="H1740" s="22"/>
      <c r="I1740" s="24"/>
      <c r="J1740" s="24"/>
      <c r="K1740" s="24"/>
      <c r="L1740" s="24"/>
      <c r="M1740" s="27" t="str">
        <f t="shared" si="111"/>
        <v/>
      </c>
      <c r="N1740" s="25"/>
      <c r="O1740" s="22"/>
      <c r="P1740" s="24"/>
      <c r="Q1740" s="26"/>
    </row>
    <row r="1741" spans="1:17" ht="15" x14ac:dyDescent="0.15">
      <c r="A1741" s="22"/>
      <c r="B1741" s="26" t="str">
        <f t="shared" si="108"/>
        <v/>
      </c>
      <c r="C1741" s="26" t="str">
        <f t="shared" si="109"/>
        <v/>
      </c>
      <c r="D1741" s="26" t="str">
        <f t="shared" si="110"/>
        <v/>
      </c>
      <c r="E1741" s="29"/>
      <c r="F1741" s="22"/>
      <c r="G1741" s="22"/>
      <c r="H1741" s="22"/>
      <c r="I1741" s="24"/>
      <c r="J1741" s="24"/>
      <c r="K1741" s="24"/>
      <c r="L1741" s="24"/>
      <c r="M1741" s="27" t="str">
        <f t="shared" si="111"/>
        <v/>
      </c>
      <c r="N1741" s="25"/>
      <c r="O1741" s="22"/>
      <c r="P1741" s="24"/>
      <c r="Q1741" s="26"/>
    </row>
    <row r="1742" spans="1:17" ht="15" x14ac:dyDescent="0.15">
      <c r="A1742" s="22"/>
      <c r="B1742" s="26" t="str">
        <f t="shared" si="108"/>
        <v/>
      </c>
      <c r="C1742" s="26" t="str">
        <f t="shared" si="109"/>
        <v/>
      </c>
      <c r="D1742" s="26" t="str">
        <f t="shared" si="110"/>
        <v/>
      </c>
      <c r="E1742" s="29"/>
      <c r="F1742" s="22"/>
      <c r="G1742" s="22"/>
      <c r="H1742" s="22"/>
      <c r="I1742" s="24"/>
      <c r="J1742" s="24"/>
      <c r="K1742" s="24"/>
      <c r="L1742" s="24"/>
      <c r="M1742" s="27" t="str">
        <f t="shared" si="111"/>
        <v/>
      </c>
      <c r="N1742" s="25"/>
      <c r="O1742" s="22"/>
      <c r="P1742" s="24"/>
      <c r="Q1742" s="26"/>
    </row>
    <row r="1743" spans="1:17" ht="15" x14ac:dyDescent="0.15">
      <c r="A1743" s="22"/>
      <c r="B1743" s="26" t="str">
        <f t="shared" si="108"/>
        <v/>
      </c>
      <c r="C1743" s="26" t="str">
        <f t="shared" si="109"/>
        <v/>
      </c>
      <c r="D1743" s="26" t="str">
        <f t="shared" si="110"/>
        <v/>
      </c>
      <c r="E1743" s="29"/>
      <c r="F1743" s="22"/>
      <c r="G1743" s="22"/>
      <c r="H1743" s="22"/>
      <c r="I1743" s="24"/>
      <c r="J1743" s="24"/>
      <c r="K1743" s="24"/>
      <c r="L1743" s="24"/>
      <c r="M1743" s="27" t="str">
        <f t="shared" si="111"/>
        <v/>
      </c>
      <c r="N1743" s="25"/>
      <c r="O1743" s="22"/>
      <c r="P1743" s="24"/>
      <c r="Q1743" s="26"/>
    </row>
    <row r="1744" spans="1:17" ht="15" x14ac:dyDescent="0.15">
      <c r="A1744" s="22"/>
      <c r="B1744" s="26" t="str">
        <f t="shared" si="108"/>
        <v/>
      </c>
      <c r="C1744" s="26" t="str">
        <f t="shared" si="109"/>
        <v/>
      </c>
      <c r="D1744" s="26" t="str">
        <f t="shared" si="110"/>
        <v/>
      </c>
      <c r="E1744" s="29"/>
      <c r="F1744" s="22"/>
      <c r="G1744" s="22"/>
      <c r="H1744" s="22"/>
      <c r="I1744" s="24"/>
      <c r="J1744" s="24"/>
      <c r="K1744" s="24"/>
      <c r="L1744" s="24"/>
      <c r="M1744" s="27" t="str">
        <f t="shared" si="111"/>
        <v/>
      </c>
      <c r="N1744" s="25"/>
      <c r="O1744" s="22"/>
      <c r="P1744" s="24"/>
      <c r="Q1744" s="26"/>
    </row>
    <row r="1745" spans="1:17" ht="15" x14ac:dyDescent="0.15">
      <c r="A1745" s="22"/>
      <c r="B1745" s="26" t="str">
        <f t="shared" si="108"/>
        <v/>
      </c>
      <c r="C1745" s="26" t="str">
        <f t="shared" si="109"/>
        <v/>
      </c>
      <c r="D1745" s="26" t="str">
        <f t="shared" si="110"/>
        <v/>
      </c>
      <c r="E1745" s="29"/>
      <c r="F1745" s="22"/>
      <c r="G1745" s="22"/>
      <c r="H1745" s="22"/>
      <c r="I1745" s="24"/>
      <c r="J1745" s="24"/>
      <c r="K1745" s="24"/>
      <c r="L1745" s="24"/>
      <c r="M1745" s="27" t="str">
        <f t="shared" si="111"/>
        <v/>
      </c>
      <c r="N1745" s="25"/>
      <c r="O1745" s="22"/>
      <c r="P1745" s="24"/>
      <c r="Q1745" s="26"/>
    </row>
    <row r="1746" spans="1:17" ht="15" x14ac:dyDescent="0.15">
      <c r="A1746" s="22"/>
      <c r="B1746" s="26" t="str">
        <f t="shared" si="108"/>
        <v/>
      </c>
      <c r="C1746" s="26" t="str">
        <f t="shared" si="109"/>
        <v/>
      </c>
      <c r="D1746" s="26" t="str">
        <f t="shared" si="110"/>
        <v/>
      </c>
      <c r="E1746" s="29"/>
      <c r="F1746" s="22"/>
      <c r="G1746" s="22"/>
      <c r="H1746" s="22"/>
      <c r="I1746" s="24"/>
      <c r="J1746" s="24"/>
      <c r="K1746" s="24"/>
      <c r="L1746" s="24"/>
      <c r="M1746" s="27" t="str">
        <f t="shared" si="111"/>
        <v/>
      </c>
      <c r="N1746" s="25"/>
      <c r="O1746" s="22"/>
      <c r="P1746" s="24"/>
      <c r="Q1746" s="26"/>
    </row>
    <row r="1747" spans="1:17" ht="15" x14ac:dyDescent="0.15">
      <c r="A1747" s="22"/>
      <c r="B1747" s="26" t="str">
        <f t="shared" si="108"/>
        <v/>
      </c>
      <c r="C1747" s="26" t="str">
        <f t="shared" si="109"/>
        <v/>
      </c>
      <c r="D1747" s="26" t="str">
        <f t="shared" si="110"/>
        <v/>
      </c>
      <c r="E1747" s="29"/>
      <c r="F1747" s="22"/>
      <c r="G1747" s="22"/>
      <c r="H1747" s="22"/>
      <c r="I1747" s="24"/>
      <c r="J1747" s="24"/>
      <c r="K1747" s="24"/>
      <c r="L1747" s="24"/>
      <c r="M1747" s="27" t="str">
        <f t="shared" si="111"/>
        <v/>
      </c>
      <c r="N1747" s="25"/>
      <c r="O1747" s="22"/>
      <c r="P1747" s="24"/>
      <c r="Q1747" s="26"/>
    </row>
    <row r="1748" spans="1:17" ht="15" x14ac:dyDescent="0.15">
      <c r="A1748" s="22"/>
      <c r="B1748" s="26" t="str">
        <f t="shared" si="108"/>
        <v/>
      </c>
      <c r="C1748" s="26" t="str">
        <f t="shared" si="109"/>
        <v/>
      </c>
      <c r="D1748" s="26" t="str">
        <f t="shared" si="110"/>
        <v/>
      </c>
      <c r="E1748" s="29"/>
      <c r="F1748" s="22"/>
      <c r="G1748" s="22"/>
      <c r="H1748" s="22"/>
      <c r="I1748" s="24"/>
      <c r="J1748" s="24"/>
      <c r="K1748" s="24"/>
      <c r="L1748" s="24"/>
      <c r="M1748" s="27" t="str">
        <f t="shared" si="111"/>
        <v/>
      </c>
      <c r="N1748" s="25"/>
      <c r="O1748" s="22"/>
      <c r="P1748" s="24"/>
      <c r="Q1748" s="26"/>
    </row>
    <row r="1749" spans="1:17" ht="15" x14ac:dyDescent="0.15">
      <c r="A1749" s="22"/>
      <c r="B1749" s="26" t="str">
        <f t="shared" si="108"/>
        <v/>
      </c>
      <c r="C1749" s="26" t="str">
        <f t="shared" si="109"/>
        <v/>
      </c>
      <c r="D1749" s="26" t="str">
        <f t="shared" si="110"/>
        <v/>
      </c>
      <c r="E1749" s="29"/>
      <c r="F1749" s="22"/>
      <c r="G1749" s="22"/>
      <c r="H1749" s="22"/>
      <c r="I1749" s="24"/>
      <c r="J1749" s="24"/>
      <c r="K1749" s="24"/>
      <c r="L1749" s="24"/>
      <c r="M1749" s="27" t="str">
        <f t="shared" si="111"/>
        <v/>
      </c>
      <c r="N1749" s="25"/>
      <c r="O1749" s="22"/>
      <c r="P1749" s="24"/>
      <c r="Q1749" s="26"/>
    </row>
    <row r="1750" spans="1:17" ht="15" x14ac:dyDescent="0.15">
      <c r="A1750" s="22"/>
      <c r="B1750" s="26" t="str">
        <f t="shared" si="108"/>
        <v/>
      </c>
      <c r="C1750" s="26" t="str">
        <f t="shared" si="109"/>
        <v/>
      </c>
      <c r="D1750" s="26" t="str">
        <f t="shared" si="110"/>
        <v/>
      </c>
      <c r="E1750" s="29"/>
      <c r="F1750" s="22"/>
      <c r="G1750" s="22"/>
      <c r="H1750" s="22"/>
      <c r="I1750" s="24"/>
      <c r="J1750" s="24"/>
      <c r="K1750" s="24"/>
      <c r="L1750" s="24"/>
      <c r="M1750" s="27" t="str">
        <f t="shared" si="111"/>
        <v/>
      </c>
      <c r="N1750" s="25"/>
      <c r="O1750" s="22"/>
      <c r="P1750" s="24"/>
      <c r="Q1750" s="26"/>
    </row>
    <row r="1751" spans="1:17" ht="15" x14ac:dyDescent="0.15">
      <c r="A1751" s="22"/>
      <c r="B1751" s="26" t="str">
        <f t="shared" si="108"/>
        <v/>
      </c>
      <c r="C1751" s="26" t="str">
        <f t="shared" si="109"/>
        <v/>
      </c>
      <c r="D1751" s="26" t="str">
        <f t="shared" si="110"/>
        <v/>
      </c>
      <c r="E1751" s="29"/>
      <c r="F1751" s="22"/>
      <c r="G1751" s="22"/>
      <c r="H1751" s="22"/>
      <c r="I1751" s="24"/>
      <c r="J1751" s="24"/>
      <c r="K1751" s="24"/>
      <c r="L1751" s="24"/>
      <c r="M1751" s="27" t="str">
        <f t="shared" si="111"/>
        <v/>
      </c>
      <c r="N1751" s="25"/>
      <c r="O1751" s="22"/>
      <c r="P1751" s="24"/>
      <c r="Q1751" s="26"/>
    </row>
    <row r="1752" spans="1:17" ht="15" x14ac:dyDescent="0.15">
      <c r="A1752" s="22"/>
      <c r="B1752" s="26" t="str">
        <f t="shared" si="108"/>
        <v/>
      </c>
      <c r="C1752" s="26" t="str">
        <f t="shared" si="109"/>
        <v/>
      </c>
      <c r="D1752" s="26" t="str">
        <f t="shared" si="110"/>
        <v/>
      </c>
      <c r="E1752" s="29"/>
      <c r="F1752" s="22"/>
      <c r="G1752" s="22"/>
      <c r="H1752" s="22"/>
      <c r="I1752" s="24"/>
      <c r="J1752" s="24"/>
      <c r="K1752" s="24"/>
      <c r="L1752" s="24"/>
      <c r="M1752" s="27" t="str">
        <f t="shared" si="111"/>
        <v/>
      </c>
      <c r="N1752" s="25"/>
      <c r="O1752" s="22"/>
      <c r="P1752" s="24"/>
      <c r="Q1752" s="26"/>
    </row>
    <row r="1753" spans="1:17" ht="15" x14ac:dyDescent="0.15">
      <c r="A1753" s="22"/>
      <c r="B1753" s="26" t="str">
        <f t="shared" si="108"/>
        <v/>
      </c>
      <c r="C1753" s="26" t="str">
        <f t="shared" si="109"/>
        <v/>
      </c>
      <c r="D1753" s="26" t="str">
        <f t="shared" si="110"/>
        <v/>
      </c>
      <c r="E1753" s="29"/>
      <c r="F1753" s="22"/>
      <c r="G1753" s="22"/>
      <c r="H1753" s="22"/>
      <c r="I1753" s="24"/>
      <c r="J1753" s="24"/>
      <c r="K1753" s="24"/>
      <c r="L1753" s="24"/>
      <c r="M1753" s="27" t="str">
        <f t="shared" si="111"/>
        <v/>
      </c>
      <c r="N1753" s="25"/>
      <c r="O1753" s="22"/>
      <c r="P1753" s="24"/>
      <c r="Q1753" s="26"/>
    </row>
    <row r="1754" spans="1:17" ht="15" x14ac:dyDescent="0.15">
      <c r="A1754" s="22"/>
      <c r="B1754" s="26" t="str">
        <f t="shared" si="108"/>
        <v/>
      </c>
      <c r="C1754" s="26" t="str">
        <f t="shared" si="109"/>
        <v/>
      </c>
      <c r="D1754" s="26" t="str">
        <f t="shared" si="110"/>
        <v/>
      </c>
      <c r="E1754" s="29"/>
      <c r="F1754" s="22"/>
      <c r="G1754" s="22"/>
      <c r="H1754" s="22"/>
      <c r="I1754" s="24"/>
      <c r="J1754" s="24"/>
      <c r="K1754" s="24"/>
      <c r="L1754" s="24"/>
      <c r="M1754" s="27" t="str">
        <f t="shared" si="111"/>
        <v/>
      </c>
      <c r="N1754" s="25"/>
      <c r="O1754" s="22"/>
      <c r="P1754" s="24"/>
      <c r="Q1754" s="26"/>
    </row>
    <row r="1755" spans="1:17" ht="15" x14ac:dyDescent="0.15">
      <c r="A1755" s="22"/>
      <c r="B1755" s="26" t="str">
        <f t="shared" si="108"/>
        <v/>
      </c>
      <c r="C1755" s="26" t="str">
        <f t="shared" si="109"/>
        <v/>
      </c>
      <c r="D1755" s="26" t="str">
        <f t="shared" si="110"/>
        <v/>
      </c>
      <c r="E1755" s="29"/>
      <c r="F1755" s="22"/>
      <c r="G1755" s="22"/>
      <c r="H1755" s="22"/>
      <c r="I1755" s="24"/>
      <c r="J1755" s="24"/>
      <c r="K1755" s="24"/>
      <c r="L1755" s="24"/>
      <c r="M1755" s="27" t="str">
        <f t="shared" si="111"/>
        <v/>
      </c>
      <c r="N1755" s="25"/>
      <c r="O1755" s="22"/>
      <c r="P1755" s="24"/>
      <c r="Q1755" s="26"/>
    </row>
    <row r="1756" spans="1:17" ht="15" x14ac:dyDescent="0.15">
      <c r="A1756" s="22"/>
      <c r="B1756" s="26" t="str">
        <f t="shared" si="108"/>
        <v/>
      </c>
      <c r="C1756" s="26" t="str">
        <f t="shared" si="109"/>
        <v/>
      </c>
      <c r="D1756" s="26" t="str">
        <f t="shared" si="110"/>
        <v/>
      </c>
      <c r="E1756" s="29"/>
      <c r="F1756" s="22"/>
      <c r="G1756" s="22"/>
      <c r="H1756" s="22"/>
      <c r="I1756" s="24"/>
      <c r="J1756" s="24"/>
      <c r="K1756" s="24"/>
      <c r="L1756" s="24"/>
      <c r="M1756" s="27" t="str">
        <f t="shared" si="111"/>
        <v/>
      </c>
      <c r="N1756" s="25"/>
      <c r="O1756" s="22"/>
      <c r="P1756" s="24"/>
      <c r="Q1756" s="26"/>
    </row>
    <row r="1757" spans="1:17" ht="15" x14ac:dyDescent="0.15">
      <c r="A1757" s="22"/>
      <c r="B1757" s="26" t="str">
        <f t="shared" si="108"/>
        <v/>
      </c>
      <c r="C1757" s="26" t="str">
        <f t="shared" si="109"/>
        <v/>
      </c>
      <c r="D1757" s="26" t="str">
        <f t="shared" si="110"/>
        <v/>
      </c>
      <c r="E1757" s="29"/>
      <c r="F1757" s="22"/>
      <c r="G1757" s="22"/>
      <c r="H1757" s="22"/>
      <c r="I1757" s="24"/>
      <c r="J1757" s="24"/>
      <c r="K1757" s="24"/>
      <c r="L1757" s="24"/>
      <c r="M1757" s="27" t="str">
        <f t="shared" si="111"/>
        <v/>
      </c>
      <c r="N1757" s="25"/>
      <c r="O1757" s="22"/>
      <c r="P1757" s="24"/>
      <c r="Q1757" s="26"/>
    </row>
    <row r="1758" spans="1:17" ht="15" x14ac:dyDescent="0.15">
      <c r="A1758" s="22"/>
      <c r="B1758" s="26" t="str">
        <f t="shared" si="108"/>
        <v/>
      </c>
      <c r="C1758" s="26" t="str">
        <f t="shared" si="109"/>
        <v/>
      </c>
      <c r="D1758" s="26" t="str">
        <f t="shared" si="110"/>
        <v/>
      </c>
      <c r="E1758" s="29"/>
      <c r="F1758" s="22"/>
      <c r="G1758" s="22"/>
      <c r="H1758" s="22"/>
      <c r="I1758" s="24"/>
      <c r="J1758" s="24"/>
      <c r="K1758" s="24"/>
      <c r="L1758" s="24"/>
      <c r="M1758" s="27" t="str">
        <f t="shared" si="111"/>
        <v/>
      </c>
      <c r="N1758" s="25"/>
      <c r="O1758" s="22"/>
      <c r="P1758" s="24"/>
      <c r="Q1758" s="26"/>
    </row>
    <row r="1759" spans="1:17" ht="15" x14ac:dyDescent="0.15">
      <c r="A1759" s="22"/>
      <c r="B1759" s="26" t="str">
        <f t="shared" si="108"/>
        <v/>
      </c>
      <c r="C1759" s="26" t="str">
        <f t="shared" si="109"/>
        <v/>
      </c>
      <c r="D1759" s="26" t="str">
        <f t="shared" si="110"/>
        <v/>
      </c>
      <c r="E1759" s="29"/>
      <c r="F1759" s="22"/>
      <c r="G1759" s="22"/>
      <c r="H1759" s="22"/>
      <c r="I1759" s="24"/>
      <c r="J1759" s="24"/>
      <c r="K1759" s="24"/>
      <c r="L1759" s="24"/>
      <c r="M1759" s="27" t="str">
        <f t="shared" si="111"/>
        <v/>
      </c>
      <c r="N1759" s="25"/>
      <c r="O1759" s="22"/>
      <c r="P1759" s="24"/>
      <c r="Q1759" s="26"/>
    </row>
    <row r="1760" spans="1:17" ht="15" x14ac:dyDescent="0.15">
      <c r="A1760" s="22"/>
      <c r="B1760" s="26" t="str">
        <f t="shared" si="108"/>
        <v/>
      </c>
      <c r="C1760" s="26" t="str">
        <f t="shared" si="109"/>
        <v/>
      </c>
      <c r="D1760" s="26" t="str">
        <f t="shared" si="110"/>
        <v/>
      </c>
      <c r="E1760" s="29"/>
      <c r="F1760" s="22"/>
      <c r="G1760" s="22"/>
      <c r="H1760" s="22"/>
      <c r="I1760" s="24"/>
      <c r="J1760" s="24"/>
      <c r="K1760" s="24"/>
      <c r="L1760" s="24"/>
      <c r="M1760" s="27" t="str">
        <f t="shared" si="111"/>
        <v/>
      </c>
      <c r="N1760" s="25"/>
      <c r="O1760" s="22"/>
      <c r="P1760" s="24"/>
      <c r="Q1760" s="26"/>
    </row>
    <row r="1761" spans="1:17" ht="15" x14ac:dyDescent="0.15">
      <c r="A1761" s="22"/>
      <c r="B1761" s="26" t="str">
        <f t="shared" si="108"/>
        <v/>
      </c>
      <c r="C1761" s="26" t="str">
        <f t="shared" si="109"/>
        <v/>
      </c>
      <c r="D1761" s="26" t="str">
        <f t="shared" si="110"/>
        <v/>
      </c>
      <c r="E1761" s="29"/>
      <c r="F1761" s="22"/>
      <c r="G1761" s="22"/>
      <c r="H1761" s="22"/>
      <c r="I1761" s="24"/>
      <c r="J1761" s="24"/>
      <c r="K1761" s="24"/>
      <c r="L1761" s="24"/>
      <c r="M1761" s="27" t="str">
        <f t="shared" si="111"/>
        <v/>
      </c>
      <c r="N1761" s="25"/>
      <c r="O1761" s="22"/>
      <c r="P1761" s="24"/>
      <c r="Q1761" s="26"/>
    </row>
    <row r="1762" spans="1:17" ht="15" x14ac:dyDescent="0.15">
      <c r="A1762" s="22"/>
      <c r="B1762" s="26" t="str">
        <f t="shared" si="108"/>
        <v/>
      </c>
      <c r="C1762" s="26" t="str">
        <f t="shared" si="109"/>
        <v/>
      </c>
      <c r="D1762" s="26" t="str">
        <f t="shared" si="110"/>
        <v/>
      </c>
      <c r="E1762" s="29"/>
      <c r="F1762" s="22"/>
      <c r="G1762" s="22"/>
      <c r="H1762" s="22"/>
      <c r="I1762" s="24"/>
      <c r="J1762" s="24"/>
      <c r="K1762" s="24"/>
      <c r="L1762" s="24"/>
      <c r="M1762" s="27" t="str">
        <f t="shared" si="111"/>
        <v/>
      </c>
      <c r="N1762" s="25"/>
      <c r="O1762" s="22"/>
      <c r="P1762" s="24"/>
      <c r="Q1762" s="26"/>
    </row>
    <row r="1763" spans="1:17" ht="15" x14ac:dyDescent="0.15">
      <c r="A1763" s="22"/>
      <c r="B1763" s="26" t="str">
        <f t="shared" si="108"/>
        <v/>
      </c>
      <c r="C1763" s="26" t="str">
        <f t="shared" si="109"/>
        <v/>
      </c>
      <c r="D1763" s="26" t="str">
        <f t="shared" si="110"/>
        <v/>
      </c>
      <c r="E1763" s="29"/>
      <c r="F1763" s="22"/>
      <c r="G1763" s="22"/>
      <c r="H1763" s="22"/>
      <c r="I1763" s="24"/>
      <c r="J1763" s="24"/>
      <c r="K1763" s="24"/>
      <c r="L1763" s="24"/>
      <c r="M1763" s="27" t="str">
        <f t="shared" si="111"/>
        <v/>
      </c>
      <c r="N1763" s="25"/>
      <c r="O1763" s="22"/>
      <c r="P1763" s="24"/>
      <c r="Q1763" s="26"/>
    </row>
    <row r="1764" spans="1:17" ht="15" x14ac:dyDescent="0.15">
      <c r="A1764" s="22"/>
      <c r="B1764" s="26" t="str">
        <f t="shared" si="108"/>
        <v/>
      </c>
      <c r="C1764" s="26" t="str">
        <f t="shared" si="109"/>
        <v/>
      </c>
      <c r="D1764" s="26" t="str">
        <f t="shared" si="110"/>
        <v/>
      </c>
      <c r="E1764" s="29"/>
      <c r="F1764" s="22"/>
      <c r="G1764" s="22"/>
      <c r="H1764" s="22"/>
      <c r="I1764" s="24"/>
      <c r="J1764" s="24"/>
      <c r="K1764" s="24"/>
      <c r="L1764" s="24"/>
      <c r="M1764" s="27" t="str">
        <f t="shared" si="111"/>
        <v/>
      </c>
      <c r="N1764" s="25"/>
      <c r="O1764" s="22"/>
      <c r="P1764" s="24"/>
      <c r="Q1764" s="26"/>
    </row>
    <row r="1765" spans="1:17" ht="15" x14ac:dyDescent="0.15">
      <c r="A1765" s="22"/>
      <c r="B1765" s="26" t="str">
        <f t="shared" si="108"/>
        <v/>
      </c>
      <c r="C1765" s="26" t="str">
        <f t="shared" si="109"/>
        <v/>
      </c>
      <c r="D1765" s="26" t="str">
        <f t="shared" si="110"/>
        <v/>
      </c>
      <c r="E1765" s="29"/>
      <c r="F1765" s="22"/>
      <c r="G1765" s="22"/>
      <c r="H1765" s="22"/>
      <c r="I1765" s="24"/>
      <c r="J1765" s="24"/>
      <c r="K1765" s="24"/>
      <c r="L1765" s="24"/>
      <c r="M1765" s="27" t="str">
        <f t="shared" si="111"/>
        <v/>
      </c>
      <c r="N1765" s="25"/>
      <c r="O1765" s="22"/>
      <c r="P1765" s="24"/>
      <c r="Q1765" s="26"/>
    </row>
    <row r="1766" spans="1:17" ht="15" x14ac:dyDescent="0.15">
      <c r="A1766" s="22"/>
      <c r="B1766" s="26" t="str">
        <f t="shared" si="108"/>
        <v/>
      </c>
      <c r="C1766" s="26" t="str">
        <f t="shared" si="109"/>
        <v/>
      </c>
      <c r="D1766" s="26" t="str">
        <f t="shared" si="110"/>
        <v/>
      </c>
      <c r="E1766" s="29"/>
      <c r="F1766" s="22"/>
      <c r="G1766" s="22"/>
      <c r="H1766" s="22"/>
      <c r="I1766" s="24"/>
      <c r="J1766" s="24"/>
      <c r="K1766" s="24"/>
      <c r="L1766" s="24"/>
      <c r="M1766" s="27" t="str">
        <f t="shared" si="111"/>
        <v/>
      </c>
      <c r="N1766" s="25"/>
      <c r="O1766" s="22"/>
      <c r="P1766" s="24"/>
      <c r="Q1766" s="26"/>
    </row>
    <row r="1767" spans="1:17" ht="15" x14ac:dyDescent="0.15">
      <c r="A1767" s="22"/>
      <c r="B1767" s="26" t="str">
        <f t="shared" si="108"/>
        <v/>
      </c>
      <c r="C1767" s="26" t="str">
        <f t="shared" si="109"/>
        <v/>
      </c>
      <c r="D1767" s="26" t="str">
        <f t="shared" si="110"/>
        <v/>
      </c>
      <c r="E1767" s="29"/>
      <c r="F1767" s="22"/>
      <c r="G1767" s="22"/>
      <c r="H1767" s="22"/>
      <c r="I1767" s="24"/>
      <c r="J1767" s="24"/>
      <c r="K1767" s="24"/>
      <c r="L1767" s="24"/>
      <c r="M1767" s="27" t="str">
        <f t="shared" si="111"/>
        <v/>
      </c>
      <c r="N1767" s="25"/>
      <c r="O1767" s="22"/>
      <c r="P1767" s="24"/>
      <c r="Q1767" s="26"/>
    </row>
    <row r="1768" spans="1:17" ht="15" x14ac:dyDescent="0.15">
      <c r="A1768" s="22"/>
      <c r="B1768" s="26" t="str">
        <f t="shared" si="108"/>
        <v/>
      </c>
      <c r="C1768" s="26" t="str">
        <f t="shared" si="109"/>
        <v/>
      </c>
      <c r="D1768" s="26" t="str">
        <f t="shared" si="110"/>
        <v/>
      </c>
      <c r="E1768" s="29"/>
      <c r="F1768" s="22"/>
      <c r="G1768" s="22"/>
      <c r="H1768" s="22"/>
      <c r="I1768" s="24"/>
      <c r="J1768" s="24"/>
      <c r="K1768" s="24"/>
      <c r="L1768" s="24"/>
      <c r="M1768" s="27" t="str">
        <f t="shared" si="111"/>
        <v/>
      </c>
      <c r="N1768" s="25"/>
      <c r="O1768" s="22"/>
      <c r="P1768" s="24"/>
      <c r="Q1768" s="26"/>
    </row>
    <row r="1769" spans="1:17" ht="15" x14ac:dyDescent="0.15">
      <c r="A1769" s="22"/>
      <c r="B1769" s="26" t="str">
        <f t="shared" si="108"/>
        <v/>
      </c>
      <c r="C1769" s="26" t="str">
        <f t="shared" si="109"/>
        <v/>
      </c>
      <c r="D1769" s="26" t="str">
        <f t="shared" si="110"/>
        <v/>
      </c>
      <c r="E1769" s="29"/>
      <c r="F1769" s="22"/>
      <c r="G1769" s="22"/>
      <c r="H1769" s="22"/>
      <c r="I1769" s="24"/>
      <c r="J1769" s="24"/>
      <c r="K1769" s="24"/>
      <c r="L1769" s="24"/>
      <c r="M1769" s="27" t="str">
        <f t="shared" si="111"/>
        <v/>
      </c>
      <c r="N1769" s="25"/>
      <c r="O1769" s="22"/>
      <c r="P1769" s="24"/>
      <c r="Q1769" s="26"/>
    </row>
    <row r="1770" spans="1:17" ht="15" x14ac:dyDescent="0.15">
      <c r="A1770" s="22"/>
      <c r="B1770" s="26" t="str">
        <f t="shared" si="108"/>
        <v/>
      </c>
      <c r="C1770" s="26" t="str">
        <f t="shared" si="109"/>
        <v/>
      </c>
      <c r="D1770" s="26" t="str">
        <f t="shared" si="110"/>
        <v/>
      </c>
      <c r="E1770" s="29"/>
      <c r="F1770" s="22"/>
      <c r="G1770" s="22"/>
      <c r="H1770" s="22"/>
      <c r="I1770" s="24"/>
      <c r="J1770" s="24"/>
      <c r="K1770" s="24"/>
      <c r="L1770" s="24"/>
      <c r="M1770" s="27" t="str">
        <f t="shared" si="111"/>
        <v/>
      </c>
      <c r="N1770" s="25"/>
      <c r="O1770" s="22"/>
      <c r="P1770" s="24"/>
      <c r="Q1770" s="26"/>
    </row>
    <row r="1771" spans="1:17" ht="15" x14ac:dyDescent="0.15">
      <c r="A1771" s="22"/>
      <c r="B1771" s="26" t="str">
        <f t="shared" si="108"/>
        <v/>
      </c>
      <c r="C1771" s="26" t="str">
        <f t="shared" si="109"/>
        <v/>
      </c>
      <c r="D1771" s="26" t="str">
        <f t="shared" si="110"/>
        <v/>
      </c>
      <c r="E1771" s="29"/>
      <c r="F1771" s="22"/>
      <c r="G1771" s="22"/>
      <c r="H1771" s="22"/>
      <c r="I1771" s="24"/>
      <c r="J1771" s="24"/>
      <c r="K1771" s="24"/>
      <c r="L1771" s="24"/>
      <c r="M1771" s="27" t="str">
        <f t="shared" si="111"/>
        <v/>
      </c>
      <c r="N1771" s="25"/>
      <c r="O1771" s="22"/>
      <c r="P1771" s="24"/>
      <c r="Q1771" s="26"/>
    </row>
    <row r="1772" spans="1:17" ht="15" x14ac:dyDescent="0.15">
      <c r="A1772" s="22"/>
      <c r="B1772" s="26" t="str">
        <f t="shared" si="108"/>
        <v/>
      </c>
      <c r="C1772" s="26" t="str">
        <f t="shared" si="109"/>
        <v/>
      </c>
      <c r="D1772" s="26" t="str">
        <f t="shared" si="110"/>
        <v/>
      </c>
      <c r="E1772" s="29"/>
      <c r="F1772" s="22"/>
      <c r="G1772" s="22"/>
      <c r="H1772" s="22"/>
      <c r="I1772" s="24"/>
      <c r="J1772" s="24"/>
      <c r="K1772" s="24"/>
      <c r="L1772" s="24"/>
      <c r="M1772" s="27" t="str">
        <f t="shared" si="111"/>
        <v/>
      </c>
      <c r="N1772" s="25"/>
      <c r="O1772" s="22"/>
      <c r="P1772" s="24"/>
      <c r="Q1772" s="26"/>
    </row>
    <row r="1773" spans="1:17" ht="15" x14ac:dyDescent="0.15">
      <c r="A1773" s="22"/>
      <c r="B1773" s="26" t="str">
        <f t="shared" si="108"/>
        <v/>
      </c>
      <c r="C1773" s="26" t="str">
        <f t="shared" si="109"/>
        <v/>
      </c>
      <c r="D1773" s="26" t="str">
        <f t="shared" si="110"/>
        <v/>
      </c>
      <c r="E1773" s="29"/>
      <c r="F1773" s="22"/>
      <c r="G1773" s="22"/>
      <c r="H1773" s="22"/>
      <c r="I1773" s="24"/>
      <c r="J1773" s="24"/>
      <c r="K1773" s="24"/>
      <c r="L1773" s="24"/>
      <c r="M1773" s="27" t="str">
        <f t="shared" si="111"/>
        <v/>
      </c>
      <c r="N1773" s="25"/>
      <c r="O1773" s="22"/>
      <c r="P1773" s="24"/>
      <c r="Q1773" s="26"/>
    </row>
    <row r="1774" spans="1:17" ht="15" x14ac:dyDescent="0.15">
      <c r="A1774" s="22"/>
      <c r="B1774" s="26" t="str">
        <f t="shared" si="108"/>
        <v/>
      </c>
      <c r="C1774" s="26" t="str">
        <f t="shared" si="109"/>
        <v/>
      </c>
      <c r="D1774" s="26" t="str">
        <f t="shared" si="110"/>
        <v/>
      </c>
      <c r="E1774" s="29"/>
      <c r="F1774" s="22"/>
      <c r="G1774" s="22"/>
      <c r="H1774" s="22"/>
      <c r="I1774" s="24"/>
      <c r="J1774" s="24"/>
      <c r="K1774" s="24"/>
      <c r="L1774" s="24"/>
      <c r="M1774" s="27" t="str">
        <f t="shared" si="111"/>
        <v/>
      </c>
      <c r="N1774" s="25"/>
      <c r="O1774" s="22"/>
      <c r="P1774" s="24"/>
      <c r="Q1774" s="26"/>
    </row>
    <row r="1775" spans="1:17" ht="15" x14ac:dyDescent="0.15">
      <c r="A1775" s="22"/>
      <c r="B1775" s="26" t="str">
        <f t="shared" si="108"/>
        <v/>
      </c>
      <c r="C1775" s="26" t="str">
        <f t="shared" si="109"/>
        <v/>
      </c>
      <c r="D1775" s="26" t="str">
        <f t="shared" si="110"/>
        <v/>
      </c>
      <c r="E1775" s="29"/>
      <c r="F1775" s="22"/>
      <c r="G1775" s="22"/>
      <c r="H1775" s="22"/>
      <c r="I1775" s="24"/>
      <c r="J1775" s="24"/>
      <c r="K1775" s="24"/>
      <c r="L1775" s="24"/>
      <c r="M1775" s="27" t="str">
        <f t="shared" si="111"/>
        <v/>
      </c>
      <c r="N1775" s="25"/>
      <c r="O1775" s="22"/>
      <c r="P1775" s="24"/>
      <c r="Q1775" s="26"/>
    </row>
    <row r="1776" spans="1:17" ht="15" x14ac:dyDescent="0.15">
      <c r="A1776" s="22"/>
      <c r="B1776" s="26" t="str">
        <f t="shared" si="108"/>
        <v/>
      </c>
      <c r="C1776" s="26" t="str">
        <f t="shared" si="109"/>
        <v/>
      </c>
      <c r="D1776" s="26" t="str">
        <f t="shared" si="110"/>
        <v/>
      </c>
      <c r="E1776" s="29"/>
      <c r="F1776" s="22"/>
      <c r="G1776" s="22"/>
      <c r="H1776" s="22"/>
      <c r="I1776" s="24"/>
      <c r="J1776" s="24"/>
      <c r="K1776" s="24"/>
      <c r="L1776" s="24"/>
      <c r="M1776" s="27" t="str">
        <f t="shared" si="111"/>
        <v/>
      </c>
      <c r="N1776" s="25"/>
      <c r="O1776" s="22"/>
      <c r="P1776" s="24"/>
      <c r="Q1776" s="26"/>
    </row>
    <row r="1777" spans="1:17" ht="15" x14ac:dyDescent="0.15">
      <c r="A1777" s="22"/>
      <c r="B1777" s="26" t="str">
        <f t="shared" si="108"/>
        <v/>
      </c>
      <c r="C1777" s="26" t="str">
        <f t="shared" si="109"/>
        <v/>
      </c>
      <c r="D1777" s="26" t="str">
        <f t="shared" si="110"/>
        <v/>
      </c>
      <c r="E1777" s="29"/>
      <c r="F1777" s="22"/>
      <c r="G1777" s="22"/>
      <c r="H1777" s="22"/>
      <c r="I1777" s="24"/>
      <c r="J1777" s="24"/>
      <c r="K1777" s="24"/>
      <c r="L1777" s="24"/>
      <c r="M1777" s="27" t="str">
        <f t="shared" si="111"/>
        <v/>
      </c>
      <c r="N1777" s="25"/>
      <c r="O1777" s="22"/>
      <c r="P1777" s="24"/>
      <c r="Q1777" s="26"/>
    </row>
    <row r="1778" spans="1:17" ht="15" x14ac:dyDescent="0.15">
      <c r="A1778" s="22"/>
      <c r="B1778" s="26" t="str">
        <f t="shared" si="108"/>
        <v/>
      </c>
      <c r="C1778" s="26" t="str">
        <f t="shared" si="109"/>
        <v/>
      </c>
      <c r="D1778" s="26" t="str">
        <f t="shared" si="110"/>
        <v/>
      </c>
      <c r="E1778" s="29"/>
      <c r="F1778" s="22"/>
      <c r="G1778" s="22"/>
      <c r="H1778" s="22"/>
      <c r="I1778" s="24"/>
      <c r="J1778" s="24"/>
      <c r="K1778" s="24"/>
      <c r="L1778" s="24"/>
      <c r="M1778" s="27" t="str">
        <f t="shared" si="111"/>
        <v/>
      </c>
      <c r="N1778" s="25"/>
      <c r="O1778" s="22"/>
      <c r="P1778" s="24"/>
      <c r="Q1778" s="26"/>
    </row>
    <row r="1779" spans="1:17" ht="15" x14ac:dyDescent="0.15">
      <c r="A1779" s="22"/>
      <c r="B1779" s="26" t="str">
        <f t="shared" si="108"/>
        <v/>
      </c>
      <c r="C1779" s="26" t="str">
        <f t="shared" si="109"/>
        <v/>
      </c>
      <c r="D1779" s="26" t="str">
        <f t="shared" si="110"/>
        <v/>
      </c>
      <c r="E1779" s="29"/>
      <c r="F1779" s="22"/>
      <c r="G1779" s="22"/>
      <c r="H1779" s="22"/>
      <c r="I1779" s="24"/>
      <c r="J1779" s="24"/>
      <c r="K1779" s="24"/>
      <c r="L1779" s="24"/>
      <c r="M1779" s="27" t="str">
        <f t="shared" si="111"/>
        <v/>
      </c>
      <c r="N1779" s="25"/>
      <c r="O1779" s="22"/>
      <c r="P1779" s="24"/>
      <c r="Q1779" s="26"/>
    </row>
    <row r="1780" spans="1:17" ht="15" x14ac:dyDescent="0.15">
      <c r="A1780" s="22"/>
      <c r="B1780" s="26" t="str">
        <f t="shared" si="108"/>
        <v/>
      </c>
      <c r="C1780" s="26" t="str">
        <f t="shared" si="109"/>
        <v/>
      </c>
      <c r="D1780" s="26" t="str">
        <f t="shared" si="110"/>
        <v/>
      </c>
      <c r="E1780" s="29"/>
      <c r="F1780" s="22"/>
      <c r="G1780" s="22"/>
      <c r="H1780" s="22"/>
      <c r="I1780" s="24"/>
      <c r="J1780" s="24"/>
      <c r="K1780" s="24"/>
      <c r="L1780" s="24"/>
      <c r="M1780" s="27" t="str">
        <f t="shared" si="111"/>
        <v/>
      </c>
      <c r="N1780" s="25"/>
      <c r="O1780" s="22"/>
      <c r="P1780" s="24"/>
      <c r="Q1780" s="26"/>
    </row>
    <row r="1781" spans="1:17" ht="15" x14ac:dyDescent="0.15">
      <c r="A1781" s="22"/>
      <c r="B1781" s="26" t="str">
        <f t="shared" si="108"/>
        <v/>
      </c>
      <c r="C1781" s="26" t="str">
        <f t="shared" si="109"/>
        <v/>
      </c>
      <c r="D1781" s="26" t="str">
        <f t="shared" si="110"/>
        <v/>
      </c>
      <c r="E1781" s="29"/>
      <c r="F1781" s="22"/>
      <c r="G1781" s="22"/>
      <c r="H1781" s="22"/>
      <c r="I1781" s="24"/>
      <c r="J1781" s="24"/>
      <c r="K1781" s="24"/>
      <c r="L1781" s="24"/>
      <c r="M1781" s="27" t="str">
        <f t="shared" si="111"/>
        <v/>
      </c>
      <c r="N1781" s="25"/>
      <c r="O1781" s="22"/>
      <c r="P1781" s="24"/>
      <c r="Q1781" s="26"/>
    </row>
    <row r="1782" spans="1:17" ht="15" x14ac:dyDescent="0.15">
      <c r="A1782" s="22"/>
      <c r="B1782" s="26" t="str">
        <f t="shared" si="108"/>
        <v/>
      </c>
      <c r="C1782" s="26" t="str">
        <f t="shared" si="109"/>
        <v/>
      </c>
      <c r="D1782" s="26" t="str">
        <f t="shared" si="110"/>
        <v/>
      </c>
      <c r="E1782" s="29"/>
      <c r="F1782" s="22"/>
      <c r="G1782" s="22"/>
      <c r="H1782" s="22"/>
      <c r="I1782" s="24"/>
      <c r="J1782" s="24"/>
      <c r="K1782" s="24"/>
      <c r="L1782" s="24"/>
      <c r="M1782" s="27" t="str">
        <f t="shared" si="111"/>
        <v/>
      </c>
      <c r="N1782" s="25"/>
      <c r="O1782" s="22"/>
      <c r="P1782" s="24"/>
      <c r="Q1782" s="26"/>
    </row>
    <row r="1783" spans="1:17" ht="15" x14ac:dyDescent="0.15">
      <c r="A1783" s="22"/>
      <c r="B1783" s="26" t="str">
        <f t="shared" si="108"/>
        <v/>
      </c>
      <c r="C1783" s="26" t="str">
        <f t="shared" si="109"/>
        <v/>
      </c>
      <c r="D1783" s="26" t="str">
        <f t="shared" si="110"/>
        <v/>
      </c>
      <c r="E1783" s="29"/>
      <c r="F1783" s="22"/>
      <c r="G1783" s="22"/>
      <c r="H1783" s="22"/>
      <c r="I1783" s="24"/>
      <c r="J1783" s="24"/>
      <c r="K1783" s="24"/>
      <c r="L1783" s="24"/>
      <c r="M1783" s="27" t="str">
        <f t="shared" si="111"/>
        <v/>
      </c>
      <c r="N1783" s="25"/>
      <c r="O1783" s="22"/>
      <c r="P1783" s="24"/>
      <c r="Q1783" s="26"/>
    </row>
    <row r="1784" spans="1:17" ht="15" x14ac:dyDescent="0.15">
      <c r="A1784" s="22"/>
      <c r="B1784" s="26" t="str">
        <f t="shared" si="108"/>
        <v/>
      </c>
      <c r="C1784" s="26" t="str">
        <f t="shared" si="109"/>
        <v/>
      </c>
      <c r="D1784" s="26" t="str">
        <f t="shared" si="110"/>
        <v/>
      </c>
      <c r="E1784" s="29"/>
      <c r="F1784" s="22"/>
      <c r="G1784" s="22"/>
      <c r="H1784" s="22"/>
      <c r="I1784" s="24"/>
      <c r="J1784" s="24"/>
      <c r="K1784" s="24"/>
      <c r="L1784" s="24"/>
      <c r="M1784" s="27" t="str">
        <f t="shared" si="111"/>
        <v/>
      </c>
      <c r="N1784" s="25"/>
      <c r="O1784" s="22"/>
      <c r="P1784" s="24"/>
      <c r="Q1784" s="26"/>
    </row>
    <row r="1785" spans="1:17" ht="15" x14ac:dyDescent="0.15">
      <c r="A1785" s="22"/>
      <c r="B1785" s="26" t="str">
        <f t="shared" si="108"/>
        <v/>
      </c>
      <c r="C1785" s="26" t="str">
        <f t="shared" si="109"/>
        <v/>
      </c>
      <c r="D1785" s="26" t="str">
        <f t="shared" si="110"/>
        <v/>
      </c>
      <c r="E1785" s="29"/>
      <c r="F1785" s="22"/>
      <c r="G1785" s="22"/>
      <c r="H1785" s="22"/>
      <c r="I1785" s="24"/>
      <c r="J1785" s="24"/>
      <c r="K1785" s="24"/>
      <c r="L1785" s="24"/>
      <c r="M1785" s="27" t="str">
        <f t="shared" si="111"/>
        <v/>
      </c>
      <c r="N1785" s="25"/>
      <c r="O1785" s="22"/>
      <c r="P1785" s="24"/>
      <c r="Q1785" s="26"/>
    </row>
    <row r="1786" spans="1:17" ht="15" x14ac:dyDescent="0.15">
      <c r="A1786" s="22"/>
      <c r="B1786" s="26" t="str">
        <f t="shared" si="108"/>
        <v/>
      </c>
      <c r="C1786" s="26" t="str">
        <f t="shared" si="109"/>
        <v/>
      </c>
      <c r="D1786" s="26" t="str">
        <f t="shared" si="110"/>
        <v/>
      </c>
      <c r="E1786" s="29"/>
      <c r="F1786" s="22"/>
      <c r="G1786" s="22"/>
      <c r="H1786" s="22"/>
      <c r="I1786" s="24"/>
      <c r="J1786" s="24"/>
      <c r="K1786" s="24"/>
      <c r="L1786" s="24"/>
      <c r="M1786" s="27" t="str">
        <f t="shared" si="111"/>
        <v/>
      </c>
      <c r="N1786" s="25"/>
      <c r="O1786" s="22"/>
      <c r="P1786" s="24"/>
      <c r="Q1786" s="26"/>
    </row>
    <row r="1787" spans="1:17" ht="15" x14ac:dyDescent="0.15">
      <c r="A1787" s="22"/>
      <c r="B1787" s="26" t="str">
        <f t="shared" si="108"/>
        <v/>
      </c>
      <c r="C1787" s="26" t="str">
        <f t="shared" si="109"/>
        <v/>
      </c>
      <c r="D1787" s="26" t="str">
        <f t="shared" si="110"/>
        <v/>
      </c>
      <c r="E1787" s="29"/>
      <c r="F1787" s="22"/>
      <c r="G1787" s="22"/>
      <c r="H1787" s="22"/>
      <c r="I1787" s="24"/>
      <c r="J1787" s="24"/>
      <c r="K1787" s="24"/>
      <c r="L1787" s="24"/>
      <c r="M1787" s="27" t="str">
        <f t="shared" si="111"/>
        <v/>
      </c>
      <c r="N1787" s="25"/>
      <c r="O1787" s="22"/>
      <c r="P1787" s="24"/>
      <c r="Q1787" s="26"/>
    </row>
    <row r="1788" spans="1:17" ht="15" x14ac:dyDescent="0.15">
      <c r="A1788" s="22"/>
      <c r="B1788" s="26" t="str">
        <f t="shared" si="108"/>
        <v/>
      </c>
      <c r="C1788" s="26" t="str">
        <f t="shared" si="109"/>
        <v/>
      </c>
      <c r="D1788" s="26" t="str">
        <f t="shared" si="110"/>
        <v/>
      </c>
      <c r="E1788" s="29"/>
      <c r="F1788" s="22"/>
      <c r="G1788" s="22"/>
      <c r="H1788" s="22"/>
      <c r="I1788" s="24"/>
      <c r="J1788" s="24"/>
      <c r="K1788" s="24"/>
      <c r="L1788" s="24"/>
      <c r="M1788" s="27" t="str">
        <f t="shared" si="111"/>
        <v/>
      </c>
      <c r="N1788" s="25"/>
      <c r="O1788" s="22"/>
      <c r="P1788" s="24"/>
      <c r="Q1788" s="26"/>
    </row>
    <row r="1789" spans="1:17" ht="15" x14ac:dyDescent="0.15">
      <c r="A1789" s="22"/>
      <c r="B1789" s="26" t="str">
        <f t="shared" si="108"/>
        <v/>
      </c>
      <c r="C1789" s="26" t="str">
        <f t="shared" si="109"/>
        <v/>
      </c>
      <c r="D1789" s="26" t="str">
        <f t="shared" si="110"/>
        <v/>
      </c>
      <c r="E1789" s="29"/>
      <c r="F1789" s="22"/>
      <c r="G1789" s="22"/>
      <c r="H1789" s="22"/>
      <c r="I1789" s="24"/>
      <c r="J1789" s="24"/>
      <c r="K1789" s="24"/>
      <c r="L1789" s="24"/>
      <c r="M1789" s="27" t="str">
        <f t="shared" si="111"/>
        <v/>
      </c>
      <c r="N1789" s="25"/>
      <c r="O1789" s="22"/>
      <c r="P1789" s="24"/>
      <c r="Q1789" s="26"/>
    </row>
    <row r="1790" spans="1:17" ht="15" x14ac:dyDescent="0.15">
      <c r="A1790" s="22"/>
      <c r="B1790" s="26" t="str">
        <f t="shared" si="108"/>
        <v/>
      </c>
      <c r="C1790" s="26" t="str">
        <f t="shared" si="109"/>
        <v/>
      </c>
      <c r="D1790" s="26" t="str">
        <f t="shared" si="110"/>
        <v/>
      </c>
      <c r="E1790" s="29"/>
      <c r="F1790" s="22"/>
      <c r="G1790" s="22"/>
      <c r="H1790" s="22"/>
      <c r="I1790" s="24"/>
      <c r="J1790" s="24"/>
      <c r="K1790" s="24"/>
      <c r="L1790" s="24"/>
      <c r="M1790" s="27" t="str">
        <f t="shared" si="111"/>
        <v/>
      </c>
      <c r="N1790" s="25"/>
      <c r="O1790" s="22"/>
      <c r="P1790" s="24"/>
      <c r="Q1790" s="26"/>
    </row>
    <row r="1791" spans="1:17" ht="15" x14ac:dyDescent="0.15">
      <c r="A1791" s="22"/>
      <c r="B1791" s="26" t="str">
        <f t="shared" si="108"/>
        <v/>
      </c>
      <c r="C1791" s="26" t="str">
        <f t="shared" si="109"/>
        <v/>
      </c>
      <c r="D1791" s="26" t="str">
        <f t="shared" si="110"/>
        <v/>
      </c>
      <c r="E1791" s="29"/>
      <c r="F1791" s="22"/>
      <c r="G1791" s="22"/>
      <c r="H1791" s="22"/>
      <c r="I1791" s="24"/>
      <c r="J1791" s="24"/>
      <c r="K1791" s="24"/>
      <c r="L1791" s="24"/>
      <c r="M1791" s="27" t="str">
        <f t="shared" si="111"/>
        <v/>
      </c>
      <c r="N1791" s="25"/>
      <c r="O1791" s="22"/>
      <c r="P1791" s="24"/>
      <c r="Q1791" s="26"/>
    </row>
    <row r="1792" spans="1:17" ht="15" x14ac:dyDescent="0.15">
      <c r="A1792" s="22"/>
      <c r="B1792" s="26" t="str">
        <f t="shared" si="108"/>
        <v/>
      </c>
      <c r="C1792" s="26" t="str">
        <f t="shared" si="109"/>
        <v/>
      </c>
      <c r="D1792" s="26" t="str">
        <f t="shared" si="110"/>
        <v/>
      </c>
      <c r="E1792" s="29"/>
      <c r="F1792" s="22"/>
      <c r="G1792" s="22"/>
      <c r="H1792" s="22"/>
      <c r="I1792" s="24"/>
      <c r="J1792" s="24"/>
      <c r="K1792" s="24"/>
      <c r="L1792" s="24"/>
      <c r="M1792" s="27" t="str">
        <f t="shared" si="111"/>
        <v/>
      </c>
      <c r="N1792" s="25"/>
      <c r="O1792" s="22"/>
      <c r="P1792" s="24"/>
      <c r="Q1792" s="26"/>
    </row>
    <row r="1793" spans="1:17" ht="15" x14ac:dyDescent="0.15">
      <c r="A1793" s="22"/>
      <c r="B1793" s="26" t="str">
        <f t="shared" si="108"/>
        <v/>
      </c>
      <c r="C1793" s="26" t="str">
        <f t="shared" si="109"/>
        <v/>
      </c>
      <c r="D1793" s="26" t="str">
        <f t="shared" si="110"/>
        <v/>
      </c>
      <c r="E1793" s="29"/>
      <c r="F1793" s="22"/>
      <c r="G1793" s="22"/>
      <c r="H1793" s="22"/>
      <c r="I1793" s="24"/>
      <c r="J1793" s="24"/>
      <c r="K1793" s="24"/>
      <c r="L1793" s="24"/>
      <c r="M1793" s="27" t="str">
        <f t="shared" si="111"/>
        <v/>
      </c>
      <c r="N1793" s="25"/>
      <c r="O1793" s="22"/>
      <c r="P1793" s="24"/>
      <c r="Q1793" s="26"/>
    </row>
    <row r="1794" spans="1:17" ht="15" x14ac:dyDescent="0.15">
      <c r="A1794" s="22"/>
      <c r="B1794" s="26" t="str">
        <f t="shared" si="108"/>
        <v/>
      </c>
      <c r="C1794" s="26" t="str">
        <f t="shared" si="109"/>
        <v/>
      </c>
      <c r="D1794" s="26" t="str">
        <f t="shared" si="110"/>
        <v/>
      </c>
      <c r="E1794" s="29"/>
      <c r="F1794" s="22"/>
      <c r="G1794" s="22"/>
      <c r="H1794" s="22"/>
      <c r="I1794" s="24"/>
      <c r="J1794" s="24"/>
      <c r="K1794" s="24"/>
      <c r="L1794" s="24"/>
      <c r="M1794" s="27" t="str">
        <f t="shared" si="111"/>
        <v/>
      </c>
      <c r="N1794" s="25"/>
      <c r="O1794" s="22"/>
      <c r="P1794" s="24"/>
      <c r="Q1794" s="26"/>
    </row>
    <row r="1795" spans="1:17" ht="15" x14ac:dyDescent="0.15">
      <c r="A1795" s="22"/>
      <c r="B1795" s="26" t="str">
        <f t="shared" si="108"/>
        <v/>
      </c>
      <c r="C1795" s="26" t="str">
        <f t="shared" si="109"/>
        <v/>
      </c>
      <c r="D1795" s="26" t="str">
        <f t="shared" si="110"/>
        <v/>
      </c>
      <c r="E1795" s="29"/>
      <c r="F1795" s="22"/>
      <c r="G1795" s="22"/>
      <c r="H1795" s="22"/>
      <c r="I1795" s="24"/>
      <c r="J1795" s="24"/>
      <c r="K1795" s="24"/>
      <c r="L1795" s="24"/>
      <c r="M1795" s="27" t="str">
        <f t="shared" si="111"/>
        <v/>
      </c>
      <c r="N1795" s="25"/>
      <c r="O1795" s="22"/>
      <c r="P1795" s="24"/>
      <c r="Q1795" s="26"/>
    </row>
    <row r="1796" spans="1:17" ht="15" x14ac:dyDescent="0.15">
      <c r="A1796" s="22"/>
      <c r="B1796" s="26" t="str">
        <f t="shared" si="108"/>
        <v/>
      </c>
      <c r="C1796" s="26" t="str">
        <f t="shared" si="109"/>
        <v/>
      </c>
      <c r="D1796" s="26" t="str">
        <f t="shared" si="110"/>
        <v/>
      </c>
      <c r="E1796" s="29"/>
      <c r="F1796" s="22"/>
      <c r="G1796" s="22"/>
      <c r="H1796" s="22"/>
      <c r="I1796" s="24"/>
      <c r="J1796" s="24"/>
      <c r="K1796" s="24"/>
      <c r="L1796" s="24"/>
      <c r="M1796" s="27" t="str">
        <f t="shared" si="111"/>
        <v/>
      </c>
      <c r="N1796" s="25"/>
      <c r="O1796" s="22"/>
      <c r="P1796" s="24"/>
      <c r="Q1796" s="26"/>
    </row>
    <row r="1797" spans="1:17" ht="15" x14ac:dyDescent="0.15">
      <c r="A1797" s="22"/>
      <c r="B1797" s="26" t="str">
        <f t="shared" si="108"/>
        <v/>
      </c>
      <c r="C1797" s="26" t="str">
        <f t="shared" si="109"/>
        <v/>
      </c>
      <c r="D1797" s="26" t="str">
        <f t="shared" si="110"/>
        <v/>
      </c>
      <c r="E1797" s="29"/>
      <c r="F1797" s="22"/>
      <c r="G1797" s="22"/>
      <c r="H1797" s="22"/>
      <c r="I1797" s="24"/>
      <c r="J1797" s="24"/>
      <c r="K1797" s="24"/>
      <c r="L1797" s="24"/>
      <c r="M1797" s="27" t="str">
        <f t="shared" si="111"/>
        <v/>
      </c>
      <c r="N1797" s="25"/>
      <c r="O1797" s="22"/>
      <c r="P1797" s="24"/>
      <c r="Q1797" s="26"/>
    </row>
    <row r="1798" spans="1:17" ht="15" x14ac:dyDescent="0.15">
      <c r="A1798" s="22"/>
      <c r="B1798" s="26" t="str">
        <f t="shared" si="108"/>
        <v/>
      </c>
      <c r="C1798" s="26" t="str">
        <f t="shared" si="109"/>
        <v/>
      </c>
      <c r="D1798" s="26" t="str">
        <f t="shared" si="110"/>
        <v/>
      </c>
      <c r="E1798" s="29"/>
      <c r="F1798" s="22"/>
      <c r="G1798" s="22"/>
      <c r="H1798" s="22"/>
      <c r="I1798" s="24"/>
      <c r="J1798" s="24"/>
      <c r="K1798" s="24"/>
      <c r="L1798" s="24"/>
      <c r="M1798" s="27" t="str">
        <f t="shared" si="111"/>
        <v/>
      </c>
      <c r="N1798" s="25"/>
      <c r="O1798" s="22"/>
      <c r="P1798" s="24"/>
      <c r="Q1798" s="26"/>
    </row>
    <row r="1799" spans="1:17" ht="15" x14ac:dyDescent="0.15">
      <c r="A1799" s="22"/>
      <c r="B1799" s="26" t="str">
        <f t="shared" ref="B1799:B1862" si="112">IFERROR(IF($A1799="","",LEFT($A1799,FIND(" | ",$A1799)-1)),"")</f>
        <v/>
      </c>
      <c r="C1799" s="26" t="str">
        <f t="shared" ref="C1799:C1862" si="113">IFERROR(IF($A1799="","",MID($A1799,FIND(" | ",$A1799)+3,FIND(" | ",$A1799,FIND(" | ",$A1799)+3)-FIND(" | ",$A1799)-3)),"")</f>
        <v/>
      </c>
      <c r="D1799" s="26" t="str">
        <f t="shared" ref="D1799:D1862" si="114">IFERROR(IF($A1799="","",RIGHT($A1799,LEN($A1799)-FIND(" | ",$A1799,FIND(" | ",$A1799)+3)-2)),"")</f>
        <v/>
      </c>
      <c r="E1799" s="29"/>
      <c r="F1799" s="22"/>
      <c r="G1799" s="22"/>
      <c r="H1799" s="22"/>
      <c r="I1799" s="24"/>
      <c r="J1799" s="24"/>
      <c r="K1799" s="24"/>
      <c r="L1799" s="24"/>
      <c r="M1799" s="27" t="str">
        <f t="shared" ref="M1799:M1862" si="115">IF($B1799="","",SUM($J1799,-$K1799,$L1799))</f>
        <v/>
      </c>
      <c r="N1799" s="25"/>
      <c r="O1799" s="22"/>
      <c r="P1799" s="24"/>
      <c r="Q1799" s="26"/>
    </row>
    <row r="1800" spans="1:17" ht="15" x14ac:dyDescent="0.15">
      <c r="A1800" s="22"/>
      <c r="B1800" s="26" t="str">
        <f t="shared" si="112"/>
        <v/>
      </c>
      <c r="C1800" s="26" t="str">
        <f t="shared" si="113"/>
        <v/>
      </c>
      <c r="D1800" s="26" t="str">
        <f t="shared" si="114"/>
        <v/>
      </c>
      <c r="E1800" s="29"/>
      <c r="F1800" s="22"/>
      <c r="G1800" s="22"/>
      <c r="H1800" s="22"/>
      <c r="I1800" s="24"/>
      <c r="J1800" s="24"/>
      <c r="K1800" s="24"/>
      <c r="L1800" s="24"/>
      <c r="M1800" s="27" t="str">
        <f t="shared" si="115"/>
        <v/>
      </c>
      <c r="N1800" s="25"/>
      <c r="O1800" s="22"/>
      <c r="P1800" s="24"/>
      <c r="Q1800" s="26"/>
    </row>
    <row r="1801" spans="1:17" ht="15" x14ac:dyDescent="0.15">
      <c r="A1801" s="22"/>
      <c r="B1801" s="26" t="str">
        <f t="shared" si="112"/>
        <v/>
      </c>
      <c r="C1801" s="26" t="str">
        <f t="shared" si="113"/>
        <v/>
      </c>
      <c r="D1801" s="26" t="str">
        <f t="shared" si="114"/>
        <v/>
      </c>
      <c r="E1801" s="29"/>
      <c r="F1801" s="22"/>
      <c r="G1801" s="22"/>
      <c r="H1801" s="22"/>
      <c r="I1801" s="24"/>
      <c r="J1801" s="24"/>
      <c r="K1801" s="24"/>
      <c r="L1801" s="24"/>
      <c r="M1801" s="27" t="str">
        <f t="shared" si="115"/>
        <v/>
      </c>
      <c r="N1801" s="25"/>
      <c r="O1801" s="22"/>
      <c r="P1801" s="24"/>
      <c r="Q1801" s="26"/>
    </row>
    <row r="1802" spans="1:17" ht="15" x14ac:dyDescent="0.15">
      <c r="A1802" s="22"/>
      <c r="B1802" s="26" t="str">
        <f t="shared" si="112"/>
        <v/>
      </c>
      <c r="C1802" s="26" t="str">
        <f t="shared" si="113"/>
        <v/>
      </c>
      <c r="D1802" s="26" t="str">
        <f t="shared" si="114"/>
        <v/>
      </c>
      <c r="E1802" s="29"/>
      <c r="F1802" s="22"/>
      <c r="G1802" s="22"/>
      <c r="H1802" s="22"/>
      <c r="I1802" s="24"/>
      <c r="J1802" s="24"/>
      <c r="K1802" s="24"/>
      <c r="L1802" s="24"/>
      <c r="M1802" s="27" t="str">
        <f t="shared" si="115"/>
        <v/>
      </c>
      <c r="N1802" s="25"/>
      <c r="O1802" s="22"/>
      <c r="P1802" s="24"/>
      <c r="Q1802" s="26"/>
    </row>
    <row r="1803" spans="1:17" ht="15" x14ac:dyDescent="0.15">
      <c r="A1803" s="22"/>
      <c r="B1803" s="26" t="str">
        <f t="shared" si="112"/>
        <v/>
      </c>
      <c r="C1803" s="26" t="str">
        <f t="shared" si="113"/>
        <v/>
      </c>
      <c r="D1803" s="26" t="str">
        <f t="shared" si="114"/>
        <v/>
      </c>
      <c r="E1803" s="29"/>
      <c r="F1803" s="22"/>
      <c r="G1803" s="22"/>
      <c r="H1803" s="22"/>
      <c r="I1803" s="24"/>
      <c r="J1803" s="24"/>
      <c r="K1803" s="24"/>
      <c r="L1803" s="24"/>
      <c r="M1803" s="27" t="str">
        <f t="shared" si="115"/>
        <v/>
      </c>
      <c r="N1803" s="25"/>
      <c r="O1803" s="22"/>
      <c r="P1803" s="24"/>
      <c r="Q1803" s="26"/>
    </row>
    <row r="1804" spans="1:17" ht="15" x14ac:dyDescent="0.15">
      <c r="A1804" s="22"/>
      <c r="B1804" s="26" t="str">
        <f t="shared" si="112"/>
        <v/>
      </c>
      <c r="C1804" s="26" t="str">
        <f t="shared" si="113"/>
        <v/>
      </c>
      <c r="D1804" s="26" t="str">
        <f t="shared" si="114"/>
        <v/>
      </c>
      <c r="E1804" s="29"/>
      <c r="F1804" s="22"/>
      <c r="G1804" s="22"/>
      <c r="H1804" s="22"/>
      <c r="I1804" s="24"/>
      <c r="J1804" s="24"/>
      <c r="K1804" s="24"/>
      <c r="L1804" s="24"/>
      <c r="M1804" s="27" t="str">
        <f t="shared" si="115"/>
        <v/>
      </c>
      <c r="N1804" s="25"/>
      <c r="O1804" s="22"/>
      <c r="P1804" s="24"/>
      <c r="Q1804" s="26"/>
    </row>
    <row r="1805" spans="1:17" ht="15" x14ac:dyDescent="0.15">
      <c r="A1805" s="22"/>
      <c r="B1805" s="26" t="str">
        <f t="shared" si="112"/>
        <v/>
      </c>
      <c r="C1805" s="26" t="str">
        <f t="shared" si="113"/>
        <v/>
      </c>
      <c r="D1805" s="26" t="str">
        <f t="shared" si="114"/>
        <v/>
      </c>
      <c r="E1805" s="29"/>
      <c r="F1805" s="22"/>
      <c r="G1805" s="22"/>
      <c r="H1805" s="22"/>
      <c r="I1805" s="24"/>
      <c r="J1805" s="24"/>
      <c r="K1805" s="24"/>
      <c r="L1805" s="24"/>
      <c r="M1805" s="27" t="str">
        <f t="shared" si="115"/>
        <v/>
      </c>
      <c r="N1805" s="25"/>
      <c r="O1805" s="22"/>
      <c r="P1805" s="24"/>
      <c r="Q1805" s="26"/>
    </row>
    <row r="1806" spans="1:17" ht="15" x14ac:dyDescent="0.15">
      <c r="A1806" s="22"/>
      <c r="B1806" s="26" t="str">
        <f t="shared" si="112"/>
        <v/>
      </c>
      <c r="C1806" s="26" t="str">
        <f t="shared" si="113"/>
        <v/>
      </c>
      <c r="D1806" s="26" t="str">
        <f t="shared" si="114"/>
        <v/>
      </c>
      <c r="E1806" s="29"/>
      <c r="F1806" s="22"/>
      <c r="G1806" s="22"/>
      <c r="H1806" s="22"/>
      <c r="I1806" s="24"/>
      <c r="J1806" s="24"/>
      <c r="K1806" s="24"/>
      <c r="L1806" s="24"/>
      <c r="M1806" s="27" t="str">
        <f t="shared" si="115"/>
        <v/>
      </c>
      <c r="N1806" s="25"/>
      <c r="O1806" s="22"/>
      <c r="P1806" s="24"/>
      <c r="Q1806" s="26"/>
    </row>
    <row r="1807" spans="1:17" ht="15" x14ac:dyDescent="0.15">
      <c r="A1807" s="22"/>
      <c r="B1807" s="26" t="str">
        <f t="shared" si="112"/>
        <v/>
      </c>
      <c r="C1807" s="26" t="str">
        <f t="shared" si="113"/>
        <v/>
      </c>
      <c r="D1807" s="26" t="str">
        <f t="shared" si="114"/>
        <v/>
      </c>
      <c r="E1807" s="29"/>
      <c r="F1807" s="22"/>
      <c r="G1807" s="22"/>
      <c r="H1807" s="22"/>
      <c r="I1807" s="24"/>
      <c r="J1807" s="24"/>
      <c r="K1807" s="24"/>
      <c r="L1807" s="24"/>
      <c r="M1807" s="27" t="str">
        <f t="shared" si="115"/>
        <v/>
      </c>
      <c r="N1807" s="25"/>
      <c r="O1807" s="22"/>
      <c r="P1807" s="24"/>
      <c r="Q1807" s="26"/>
    </row>
    <row r="1808" spans="1:17" ht="15" x14ac:dyDescent="0.15">
      <c r="A1808" s="22"/>
      <c r="B1808" s="26" t="str">
        <f t="shared" si="112"/>
        <v/>
      </c>
      <c r="C1808" s="26" t="str">
        <f t="shared" si="113"/>
        <v/>
      </c>
      <c r="D1808" s="26" t="str">
        <f t="shared" si="114"/>
        <v/>
      </c>
      <c r="E1808" s="29"/>
      <c r="F1808" s="22"/>
      <c r="G1808" s="22"/>
      <c r="H1808" s="22"/>
      <c r="I1808" s="24"/>
      <c r="J1808" s="24"/>
      <c r="K1808" s="24"/>
      <c r="L1808" s="24"/>
      <c r="M1808" s="27" t="str">
        <f t="shared" si="115"/>
        <v/>
      </c>
      <c r="N1808" s="25"/>
      <c r="O1808" s="22"/>
      <c r="P1808" s="24"/>
      <c r="Q1808" s="26"/>
    </row>
    <row r="1809" spans="1:17" ht="15" x14ac:dyDescent="0.15">
      <c r="A1809" s="22"/>
      <c r="B1809" s="26" t="str">
        <f t="shared" si="112"/>
        <v/>
      </c>
      <c r="C1809" s="26" t="str">
        <f t="shared" si="113"/>
        <v/>
      </c>
      <c r="D1809" s="26" t="str">
        <f t="shared" si="114"/>
        <v/>
      </c>
      <c r="E1809" s="29"/>
      <c r="F1809" s="22"/>
      <c r="G1809" s="22"/>
      <c r="H1809" s="22"/>
      <c r="I1809" s="24"/>
      <c r="J1809" s="24"/>
      <c r="K1809" s="24"/>
      <c r="L1809" s="24"/>
      <c r="M1809" s="27" t="str">
        <f t="shared" si="115"/>
        <v/>
      </c>
      <c r="N1809" s="25"/>
      <c r="O1809" s="22"/>
      <c r="P1809" s="24"/>
      <c r="Q1809" s="26"/>
    </row>
    <row r="1810" spans="1:17" ht="15" x14ac:dyDescent="0.15">
      <c r="A1810" s="22"/>
      <c r="B1810" s="26" t="str">
        <f t="shared" si="112"/>
        <v/>
      </c>
      <c r="C1810" s="26" t="str">
        <f t="shared" si="113"/>
        <v/>
      </c>
      <c r="D1810" s="26" t="str">
        <f t="shared" si="114"/>
        <v/>
      </c>
      <c r="E1810" s="29"/>
      <c r="F1810" s="22"/>
      <c r="G1810" s="22"/>
      <c r="H1810" s="22"/>
      <c r="I1810" s="24"/>
      <c r="J1810" s="24"/>
      <c r="K1810" s="24"/>
      <c r="L1810" s="24"/>
      <c r="M1810" s="27" t="str">
        <f t="shared" si="115"/>
        <v/>
      </c>
      <c r="N1810" s="25"/>
      <c r="O1810" s="22"/>
      <c r="P1810" s="24"/>
      <c r="Q1810" s="26"/>
    </row>
    <row r="1811" spans="1:17" ht="15" x14ac:dyDescent="0.15">
      <c r="A1811" s="22"/>
      <c r="B1811" s="26" t="str">
        <f t="shared" si="112"/>
        <v/>
      </c>
      <c r="C1811" s="26" t="str">
        <f t="shared" si="113"/>
        <v/>
      </c>
      <c r="D1811" s="26" t="str">
        <f t="shared" si="114"/>
        <v/>
      </c>
      <c r="E1811" s="29"/>
      <c r="F1811" s="22"/>
      <c r="G1811" s="22"/>
      <c r="H1811" s="22"/>
      <c r="I1811" s="24"/>
      <c r="J1811" s="24"/>
      <c r="K1811" s="24"/>
      <c r="L1811" s="24"/>
      <c r="M1811" s="27" t="str">
        <f t="shared" si="115"/>
        <v/>
      </c>
      <c r="N1811" s="25"/>
      <c r="O1811" s="22"/>
      <c r="P1811" s="24"/>
      <c r="Q1811" s="26"/>
    </row>
    <row r="1812" spans="1:17" ht="15" x14ac:dyDescent="0.15">
      <c r="A1812" s="22"/>
      <c r="B1812" s="26" t="str">
        <f t="shared" si="112"/>
        <v/>
      </c>
      <c r="C1812" s="26" t="str">
        <f t="shared" si="113"/>
        <v/>
      </c>
      <c r="D1812" s="26" t="str">
        <f t="shared" si="114"/>
        <v/>
      </c>
      <c r="E1812" s="29"/>
      <c r="F1812" s="22"/>
      <c r="G1812" s="22"/>
      <c r="H1812" s="22"/>
      <c r="I1812" s="24"/>
      <c r="J1812" s="24"/>
      <c r="K1812" s="24"/>
      <c r="L1812" s="24"/>
      <c r="M1812" s="27" t="str">
        <f t="shared" si="115"/>
        <v/>
      </c>
      <c r="N1812" s="25"/>
      <c r="O1812" s="22"/>
      <c r="P1812" s="24"/>
      <c r="Q1812" s="26"/>
    </row>
    <row r="1813" spans="1:17" ht="15" x14ac:dyDescent="0.15">
      <c r="A1813" s="22"/>
      <c r="B1813" s="26" t="str">
        <f t="shared" si="112"/>
        <v/>
      </c>
      <c r="C1813" s="26" t="str">
        <f t="shared" si="113"/>
        <v/>
      </c>
      <c r="D1813" s="26" t="str">
        <f t="shared" si="114"/>
        <v/>
      </c>
      <c r="E1813" s="29"/>
      <c r="F1813" s="22"/>
      <c r="G1813" s="22"/>
      <c r="H1813" s="22"/>
      <c r="I1813" s="24"/>
      <c r="J1813" s="24"/>
      <c r="K1813" s="24"/>
      <c r="L1813" s="24"/>
      <c r="M1813" s="27" t="str">
        <f t="shared" si="115"/>
        <v/>
      </c>
      <c r="N1813" s="25"/>
      <c r="O1813" s="22"/>
      <c r="P1813" s="24"/>
      <c r="Q1813" s="26"/>
    </row>
    <row r="1814" spans="1:17" ht="15" x14ac:dyDescent="0.15">
      <c r="A1814" s="22"/>
      <c r="B1814" s="26" t="str">
        <f t="shared" si="112"/>
        <v/>
      </c>
      <c r="C1814" s="26" t="str">
        <f t="shared" si="113"/>
        <v/>
      </c>
      <c r="D1814" s="26" t="str">
        <f t="shared" si="114"/>
        <v/>
      </c>
      <c r="E1814" s="29"/>
      <c r="F1814" s="22"/>
      <c r="G1814" s="22"/>
      <c r="H1814" s="22"/>
      <c r="I1814" s="24"/>
      <c r="J1814" s="24"/>
      <c r="K1814" s="24"/>
      <c r="L1814" s="24"/>
      <c r="M1814" s="27" t="str">
        <f t="shared" si="115"/>
        <v/>
      </c>
      <c r="N1814" s="25"/>
      <c r="O1814" s="22"/>
      <c r="P1814" s="24"/>
      <c r="Q1814" s="26"/>
    </row>
    <row r="1815" spans="1:17" ht="15" x14ac:dyDescent="0.15">
      <c r="A1815" s="22"/>
      <c r="B1815" s="26" t="str">
        <f t="shared" si="112"/>
        <v/>
      </c>
      <c r="C1815" s="26" t="str">
        <f t="shared" si="113"/>
        <v/>
      </c>
      <c r="D1815" s="26" t="str">
        <f t="shared" si="114"/>
        <v/>
      </c>
      <c r="E1815" s="29"/>
      <c r="F1815" s="22"/>
      <c r="G1815" s="22"/>
      <c r="H1815" s="22"/>
      <c r="I1815" s="24"/>
      <c r="J1815" s="24"/>
      <c r="K1815" s="24"/>
      <c r="L1815" s="24"/>
      <c r="M1815" s="27" t="str">
        <f t="shared" si="115"/>
        <v/>
      </c>
      <c r="N1815" s="25"/>
      <c r="O1815" s="22"/>
      <c r="P1815" s="24"/>
      <c r="Q1815" s="26"/>
    </row>
    <row r="1816" spans="1:17" ht="15" x14ac:dyDescent="0.15">
      <c r="A1816" s="22"/>
      <c r="B1816" s="26" t="str">
        <f t="shared" si="112"/>
        <v/>
      </c>
      <c r="C1816" s="26" t="str">
        <f t="shared" si="113"/>
        <v/>
      </c>
      <c r="D1816" s="26" t="str">
        <f t="shared" si="114"/>
        <v/>
      </c>
      <c r="E1816" s="29"/>
      <c r="F1816" s="22"/>
      <c r="G1816" s="22"/>
      <c r="H1816" s="22"/>
      <c r="I1816" s="24"/>
      <c r="J1816" s="24"/>
      <c r="K1816" s="24"/>
      <c r="L1816" s="24"/>
      <c r="M1816" s="27" t="str">
        <f t="shared" si="115"/>
        <v/>
      </c>
      <c r="N1816" s="25"/>
      <c r="O1816" s="22"/>
      <c r="P1816" s="24"/>
      <c r="Q1816" s="26"/>
    </row>
    <row r="1817" spans="1:17" ht="15" x14ac:dyDescent="0.15">
      <c r="A1817" s="22"/>
      <c r="B1817" s="26" t="str">
        <f t="shared" si="112"/>
        <v/>
      </c>
      <c r="C1817" s="26" t="str">
        <f t="shared" si="113"/>
        <v/>
      </c>
      <c r="D1817" s="26" t="str">
        <f t="shared" si="114"/>
        <v/>
      </c>
      <c r="E1817" s="29"/>
      <c r="F1817" s="22"/>
      <c r="G1817" s="22"/>
      <c r="H1817" s="22"/>
      <c r="I1817" s="24"/>
      <c r="J1817" s="24"/>
      <c r="K1817" s="24"/>
      <c r="L1817" s="24"/>
      <c r="M1817" s="27" t="str">
        <f t="shared" si="115"/>
        <v/>
      </c>
      <c r="N1817" s="25"/>
      <c r="O1817" s="22"/>
      <c r="P1817" s="24"/>
      <c r="Q1817" s="26"/>
    </row>
    <row r="1818" spans="1:17" ht="15" x14ac:dyDescent="0.15">
      <c r="A1818" s="22"/>
      <c r="B1818" s="26" t="str">
        <f t="shared" si="112"/>
        <v/>
      </c>
      <c r="C1818" s="26" t="str">
        <f t="shared" si="113"/>
        <v/>
      </c>
      <c r="D1818" s="26" t="str">
        <f t="shared" si="114"/>
        <v/>
      </c>
      <c r="E1818" s="29"/>
      <c r="F1818" s="22"/>
      <c r="G1818" s="22"/>
      <c r="H1818" s="22"/>
      <c r="I1818" s="24"/>
      <c r="J1818" s="24"/>
      <c r="K1818" s="24"/>
      <c r="L1818" s="24"/>
      <c r="M1818" s="27" t="str">
        <f t="shared" si="115"/>
        <v/>
      </c>
      <c r="N1818" s="25"/>
      <c r="O1818" s="22"/>
      <c r="P1818" s="24"/>
      <c r="Q1818" s="26"/>
    </row>
    <row r="1819" spans="1:17" ht="15" x14ac:dyDescent="0.15">
      <c r="A1819" s="22"/>
      <c r="B1819" s="26" t="str">
        <f t="shared" si="112"/>
        <v/>
      </c>
      <c r="C1819" s="26" t="str">
        <f t="shared" si="113"/>
        <v/>
      </c>
      <c r="D1819" s="26" t="str">
        <f t="shared" si="114"/>
        <v/>
      </c>
      <c r="E1819" s="29"/>
      <c r="F1819" s="22"/>
      <c r="G1819" s="22"/>
      <c r="H1819" s="22"/>
      <c r="I1819" s="24"/>
      <c r="J1819" s="24"/>
      <c r="K1819" s="24"/>
      <c r="L1819" s="24"/>
      <c r="M1819" s="27" t="str">
        <f t="shared" si="115"/>
        <v/>
      </c>
      <c r="N1819" s="25"/>
      <c r="O1819" s="22"/>
      <c r="P1819" s="24"/>
      <c r="Q1819" s="26"/>
    </row>
    <row r="1820" spans="1:17" ht="15" x14ac:dyDescent="0.15">
      <c r="A1820" s="22"/>
      <c r="B1820" s="26" t="str">
        <f t="shared" si="112"/>
        <v/>
      </c>
      <c r="C1820" s="26" t="str">
        <f t="shared" si="113"/>
        <v/>
      </c>
      <c r="D1820" s="26" t="str">
        <f t="shared" si="114"/>
        <v/>
      </c>
      <c r="E1820" s="29"/>
      <c r="F1820" s="22"/>
      <c r="G1820" s="22"/>
      <c r="H1820" s="22"/>
      <c r="I1820" s="24"/>
      <c r="J1820" s="24"/>
      <c r="K1820" s="24"/>
      <c r="L1820" s="24"/>
      <c r="M1820" s="27" t="str">
        <f t="shared" si="115"/>
        <v/>
      </c>
      <c r="N1820" s="25"/>
      <c r="O1820" s="22"/>
      <c r="P1820" s="24"/>
      <c r="Q1820" s="26"/>
    </row>
    <row r="1821" spans="1:17" ht="15" x14ac:dyDescent="0.15">
      <c r="A1821" s="22"/>
      <c r="B1821" s="26" t="str">
        <f t="shared" si="112"/>
        <v/>
      </c>
      <c r="C1821" s="26" t="str">
        <f t="shared" si="113"/>
        <v/>
      </c>
      <c r="D1821" s="26" t="str">
        <f t="shared" si="114"/>
        <v/>
      </c>
      <c r="E1821" s="29"/>
      <c r="F1821" s="22"/>
      <c r="G1821" s="22"/>
      <c r="H1821" s="22"/>
      <c r="I1821" s="24"/>
      <c r="J1821" s="24"/>
      <c r="K1821" s="24"/>
      <c r="L1821" s="24"/>
      <c r="M1821" s="27" t="str">
        <f t="shared" si="115"/>
        <v/>
      </c>
      <c r="N1821" s="25"/>
      <c r="O1821" s="22"/>
      <c r="P1821" s="24"/>
      <c r="Q1821" s="26"/>
    </row>
    <row r="1822" spans="1:17" ht="15" x14ac:dyDescent="0.15">
      <c r="A1822" s="22"/>
      <c r="B1822" s="26" t="str">
        <f t="shared" si="112"/>
        <v/>
      </c>
      <c r="C1822" s="26" t="str">
        <f t="shared" si="113"/>
        <v/>
      </c>
      <c r="D1822" s="26" t="str">
        <f t="shared" si="114"/>
        <v/>
      </c>
      <c r="E1822" s="29"/>
      <c r="F1822" s="22"/>
      <c r="G1822" s="22"/>
      <c r="H1822" s="22"/>
      <c r="I1822" s="24"/>
      <c r="J1822" s="24"/>
      <c r="K1822" s="24"/>
      <c r="L1822" s="24"/>
      <c r="M1822" s="27" t="str">
        <f t="shared" si="115"/>
        <v/>
      </c>
      <c r="N1822" s="25"/>
      <c r="O1822" s="22"/>
      <c r="P1822" s="24"/>
      <c r="Q1822" s="26"/>
    </row>
    <row r="1823" spans="1:17" ht="15" x14ac:dyDescent="0.15">
      <c r="A1823" s="22"/>
      <c r="B1823" s="26" t="str">
        <f t="shared" si="112"/>
        <v/>
      </c>
      <c r="C1823" s="26" t="str">
        <f t="shared" si="113"/>
        <v/>
      </c>
      <c r="D1823" s="26" t="str">
        <f t="shared" si="114"/>
        <v/>
      </c>
      <c r="E1823" s="29"/>
      <c r="F1823" s="22"/>
      <c r="G1823" s="22"/>
      <c r="H1823" s="22"/>
      <c r="I1823" s="24"/>
      <c r="J1823" s="24"/>
      <c r="K1823" s="24"/>
      <c r="L1823" s="24"/>
      <c r="M1823" s="27" t="str">
        <f t="shared" si="115"/>
        <v/>
      </c>
      <c r="N1823" s="25"/>
      <c r="O1823" s="22"/>
      <c r="P1823" s="24"/>
      <c r="Q1823" s="26"/>
    </row>
    <row r="1824" spans="1:17" ht="15" x14ac:dyDescent="0.15">
      <c r="A1824" s="22"/>
      <c r="B1824" s="26" t="str">
        <f t="shared" si="112"/>
        <v/>
      </c>
      <c r="C1824" s="26" t="str">
        <f t="shared" si="113"/>
        <v/>
      </c>
      <c r="D1824" s="26" t="str">
        <f t="shared" si="114"/>
        <v/>
      </c>
      <c r="E1824" s="29"/>
      <c r="F1824" s="22"/>
      <c r="G1824" s="22"/>
      <c r="H1824" s="22"/>
      <c r="I1824" s="24"/>
      <c r="J1824" s="24"/>
      <c r="K1824" s="24"/>
      <c r="L1824" s="24"/>
      <c r="M1824" s="27" t="str">
        <f t="shared" si="115"/>
        <v/>
      </c>
      <c r="N1824" s="25"/>
      <c r="O1824" s="22"/>
      <c r="P1824" s="24"/>
      <c r="Q1824" s="26"/>
    </row>
    <row r="1825" spans="1:17" ht="15" x14ac:dyDescent="0.15">
      <c r="A1825" s="22"/>
      <c r="B1825" s="26" t="str">
        <f t="shared" si="112"/>
        <v/>
      </c>
      <c r="C1825" s="26" t="str">
        <f t="shared" si="113"/>
        <v/>
      </c>
      <c r="D1825" s="26" t="str">
        <f t="shared" si="114"/>
        <v/>
      </c>
      <c r="E1825" s="29"/>
      <c r="F1825" s="22"/>
      <c r="G1825" s="22"/>
      <c r="H1825" s="22"/>
      <c r="I1825" s="24"/>
      <c r="J1825" s="24"/>
      <c r="K1825" s="24"/>
      <c r="L1825" s="24"/>
      <c r="M1825" s="27" t="str">
        <f t="shared" si="115"/>
        <v/>
      </c>
      <c r="N1825" s="25"/>
      <c r="O1825" s="22"/>
      <c r="P1825" s="24"/>
      <c r="Q1825" s="26"/>
    </row>
    <row r="1826" spans="1:17" ht="15" x14ac:dyDescent="0.15">
      <c r="A1826" s="22"/>
      <c r="B1826" s="26" t="str">
        <f t="shared" si="112"/>
        <v/>
      </c>
      <c r="C1826" s="26" t="str">
        <f t="shared" si="113"/>
        <v/>
      </c>
      <c r="D1826" s="26" t="str">
        <f t="shared" si="114"/>
        <v/>
      </c>
      <c r="E1826" s="29"/>
      <c r="F1826" s="22"/>
      <c r="G1826" s="22"/>
      <c r="H1826" s="22"/>
      <c r="I1826" s="24"/>
      <c r="J1826" s="24"/>
      <c r="K1826" s="24"/>
      <c r="L1826" s="24"/>
      <c r="M1826" s="27" t="str">
        <f t="shared" si="115"/>
        <v/>
      </c>
      <c r="N1826" s="25"/>
      <c r="O1826" s="22"/>
      <c r="P1826" s="24"/>
      <c r="Q1826" s="26"/>
    </row>
    <row r="1827" spans="1:17" ht="15" x14ac:dyDescent="0.15">
      <c r="A1827" s="22"/>
      <c r="B1827" s="26" t="str">
        <f t="shared" si="112"/>
        <v/>
      </c>
      <c r="C1827" s="26" t="str">
        <f t="shared" si="113"/>
        <v/>
      </c>
      <c r="D1827" s="26" t="str">
        <f t="shared" si="114"/>
        <v/>
      </c>
      <c r="E1827" s="29"/>
      <c r="F1827" s="22"/>
      <c r="G1827" s="22"/>
      <c r="H1827" s="22"/>
      <c r="I1827" s="24"/>
      <c r="J1827" s="24"/>
      <c r="K1827" s="24"/>
      <c r="L1827" s="24"/>
      <c r="M1827" s="27" t="str">
        <f t="shared" si="115"/>
        <v/>
      </c>
      <c r="N1827" s="25"/>
      <c r="O1827" s="22"/>
      <c r="P1827" s="24"/>
      <c r="Q1827" s="26"/>
    </row>
    <row r="1828" spans="1:17" ht="15" x14ac:dyDescent="0.15">
      <c r="A1828" s="22"/>
      <c r="B1828" s="26" t="str">
        <f t="shared" si="112"/>
        <v/>
      </c>
      <c r="C1828" s="26" t="str">
        <f t="shared" si="113"/>
        <v/>
      </c>
      <c r="D1828" s="26" t="str">
        <f t="shared" si="114"/>
        <v/>
      </c>
      <c r="E1828" s="29"/>
      <c r="F1828" s="22"/>
      <c r="G1828" s="22"/>
      <c r="H1828" s="22"/>
      <c r="I1828" s="24"/>
      <c r="J1828" s="24"/>
      <c r="K1828" s="24"/>
      <c r="L1828" s="24"/>
      <c r="M1828" s="27" t="str">
        <f t="shared" si="115"/>
        <v/>
      </c>
      <c r="N1828" s="25"/>
      <c r="O1828" s="22"/>
      <c r="P1828" s="24"/>
      <c r="Q1828" s="26"/>
    </row>
    <row r="1829" spans="1:17" ht="15" x14ac:dyDescent="0.15">
      <c r="A1829" s="22"/>
      <c r="B1829" s="26" t="str">
        <f t="shared" si="112"/>
        <v/>
      </c>
      <c r="C1829" s="26" t="str">
        <f t="shared" si="113"/>
        <v/>
      </c>
      <c r="D1829" s="26" t="str">
        <f t="shared" si="114"/>
        <v/>
      </c>
      <c r="E1829" s="29"/>
      <c r="F1829" s="22"/>
      <c r="G1829" s="22"/>
      <c r="H1829" s="22"/>
      <c r="I1829" s="24"/>
      <c r="J1829" s="24"/>
      <c r="K1829" s="24"/>
      <c r="L1829" s="24"/>
      <c r="M1829" s="27" t="str">
        <f t="shared" si="115"/>
        <v/>
      </c>
      <c r="N1829" s="25"/>
      <c r="O1829" s="22"/>
      <c r="P1829" s="24"/>
      <c r="Q1829" s="26"/>
    </row>
    <row r="1830" spans="1:17" ht="15" x14ac:dyDescent="0.15">
      <c r="A1830" s="22"/>
      <c r="B1830" s="26" t="str">
        <f t="shared" si="112"/>
        <v/>
      </c>
      <c r="C1830" s="26" t="str">
        <f t="shared" si="113"/>
        <v/>
      </c>
      <c r="D1830" s="26" t="str">
        <f t="shared" si="114"/>
        <v/>
      </c>
      <c r="E1830" s="29"/>
      <c r="F1830" s="22"/>
      <c r="G1830" s="22"/>
      <c r="H1830" s="22"/>
      <c r="I1830" s="24"/>
      <c r="J1830" s="24"/>
      <c r="K1830" s="24"/>
      <c r="L1830" s="24"/>
      <c r="M1830" s="27" t="str">
        <f t="shared" si="115"/>
        <v/>
      </c>
      <c r="N1830" s="25"/>
      <c r="O1830" s="22"/>
      <c r="P1830" s="24"/>
      <c r="Q1830" s="26"/>
    </row>
    <row r="1831" spans="1:17" ht="15" x14ac:dyDescent="0.15">
      <c r="A1831" s="22"/>
      <c r="B1831" s="26" t="str">
        <f t="shared" si="112"/>
        <v/>
      </c>
      <c r="C1831" s="26" t="str">
        <f t="shared" si="113"/>
        <v/>
      </c>
      <c r="D1831" s="26" t="str">
        <f t="shared" si="114"/>
        <v/>
      </c>
      <c r="E1831" s="29"/>
      <c r="F1831" s="22"/>
      <c r="G1831" s="22"/>
      <c r="H1831" s="22"/>
      <c r="I1831" s="24"/>
      <c r="J1831" s="24"/>
      <c r="K1831" s="24"/>
      <c r="L1831" s="24"/>
      <c r="M1831" s="27" t="str">
        <f t="shared" si="115"/>
        <v/>
      </c>
      <c r="N1831" s="25"/>
      <c r="O1831" s="22"/>
      <c r="P1831" s="24"/>
      <c r="Q1831" s="26"/>
    </row>
    <row r="1832" spans="1:17" ht="15" x14ac:dyDescent="0.15">
      <c r="A1832" s="22"/>
      <c r="B1832" s="26" t="str">
        <f t="shared" si="112"/>
        <v/>
      </c>
      <c r="C1832" s="26" t="str">
        <f t="shared" si="113"/>
        <v/>
      </c>
      <c r="D1832" s="26" t="str">
        <f t="shared" si="114"/>
        <v/>
      </c>
      <c r="E1832" s="29"/>
      <c r="F1832" s="22"/>
      <c r="G1832" s="22"/>
      <c r="H1832" s="22"/>
      <c r="I1832" s="24"/>
      <c r="J1832" s="24"/>
      <c r="K1832" s="24"/>
      <c r="L1832" s="24"/>
      <c r="M1832" s="27" t="str">
        <f t="shared" si="115"/>
        <v/>
      </c>
      <c r="N1832" s="25"/>
      <c r="O1832" s="22"/>
      <c r="P1832" s="24"/>
      <c r="Q1832" s="26"/>
    </row>
    <row r="1833" spans="1:17" ht="15" x14ac:dyDescent="0.15">
      <c r="A1833" s="22"/>
      <c r="B1833" s="26" t="str">
        <f t="shared" si="112"/>
        <v/>
      </c>
      <c r="C1833" s="26" t="str">
        <f t="shared" si="113"/>
        <v/>
      </c>
      <c r="D1833" s="26" t="str">
        <f t="shared" si="114"/>
        <v/>
      </c>
      <c r="E1833" s="29"/>
      <c r="F1833" s="22"/>
      <c r="G1833" s="22"/>
      <c r="H1833" s="22"/>
      <c r="I1833" s="24"/>
      <c r="J1833" s="24"/>
      <c r="K1833" s="24"/>
      <c r="L1833" s="24"/>
      <c r="M1833" s="27" t="str">
        <f t="shared" si="115"/>
        <v/>
      </c>
      <c r="N1833" s="25"/>
      <c r="O1833" s="22"/>
      <c r="P1833" s="24"/>
      <c r="Q1833" s="26"/>
    </row>
    <row r="1834" spans="1:17" ht="15" x14ac:dyDescent="0.15">
      <c r="A1834" s="22"/>
      <c r="B1834" s="26" t="str">
        <f t="shared" si="112"/>
        <v/>
      </c>
      <c r="C1834" s="26" t="str">
        <f t="shared" si="113"/>
        <v/>
      </c>
      <c r="D1834" s="26" t="str">
        <f t="shared" si="114"/>
        <v/>
      </c>
      <c r="E1834" s="29"/>
      <c r="F1834" s="22"/>
      <c r="G1834" s="22"/>
      <c r="H1834" s="22"/>
      <c r="I1834" s="24"/>
      <c r="J1834" s="24"/>
      <c r="K1834" s="24"/>
      <c r="L1834" s="24"/>
      <c r="M1834" s="27" t="str">
        <f t="shared" si="115"/>
        <v/>
      </c>
      <c r="N1834" s="25"/>
      <c r="O1834" s="22"/>
      <c r="P1834" s="24"/>
      <c r="Q1834" s="26"/>
    </row>
    <row r="1835" spans="1:17" ht="15" x14ac:dyDescent="0.15">
      <c r="A1835" s="22"/>
      <c r="B1835" s="26" t="str">
        <f t="shared" si="112"/>
        <v/>
      </c>
      <c r="C1835" s="26" t="str">
        <f t="shared" si="113"/>
        <v/>
      </c>
      <c r="D1835" s="26" t="str">
        <f t="shared" si="114"/>
        <v/>
      </c>
      <c r="E1835" s="29"/>
      <c r="F1835" s="22"/>
      <c r="G1835" s="22"/>
      <c r="H1835" s="22"/>
      <c r="I1835" s="24"/>
      <c r="J1835" s="24"/>
      <c r="K1835" s="24"/>
      <c r="L1835" s="24"/>
      <c r="M1835" s="27" t="str">
        <f t="shared" si="115"/>
        <v/>
      </c>
      <c r="N1835" s="25"/>
      <c r="O1835" s="22"/>
      <c r="P1835" s="24"/>
      <c r="Q1835" s="26"/>
    </row>
    <row r="1836" spans="1:17" ht="15" x14ac:dyDescent="0.15">
      <c r="A1836" s="22"/>
      <c r="B1836" s="26" t="str">
        <f t="shared" si="112"/>
        <v/>
      </c>
      <c r="C1836" s="26" t="str">
        <f t="shared" si="113"/>
        <v/>
      </c>
      <c r="D1836" s="26" t="str">
        <f t="shared" si="114"/>
        <v/>
      </c>
      <c r="E1836" s="29"/>
      <c r="F1836" s="22"/>
      <c r="G1836" s="22"/>
      <c r="H1836" s="22"/>
      <c r="I1836" s="24"/>
      <c r="J1836" s="24"/>
      <c r="K1836" s="24"/>
      <c r="L1836" s="24"/>
      <c r="M1836" s="27" t="str">
        <f t="shared" si="115"/>
        <v/>
      </c>
      <c r="N1836" s="25"/>
      <c r="O1836" s="22"/>
      <c r="P1836" s="24"/>
      <c r="Q1836" s="26"/>
    </row>
    <row r="1837" spans="1:17" ht="15" x14ac:dyDescent="0.15">
      <c r="A1837" s="22"/>
      <c r="B1837" s="26" t="str">
        <f t="shared" si="112"/>
        <v/>
      </c>
      <c r="C1837" s="26" t="str">
        <f t="shared" si="113"/>
        <v/>
      </c>
      <c r="D1837" s="26" t="str">
        <f t="shared" si="114"/>
        <v/>
      </c>
      <c r="E1837" s="29"/>
      <c r="F1837" s="22"/>
      <c r="G1837" s="22"/>
      <c r="H1837" s="22"/>
      <c r="I1837" s="24"/>
      <c r="J1837" s="24"/>
      <c r="K1837" s="24"/>
      <c r="L1837" s="24"/>
      <c r="M1837" s="27" t="str">
        <f t="shared" si="115"/>
        <v/>
      </c>
      <c r="N1837" s="25"/>
      <c r="O1837" s="22"/>
      <c r="P1837" s="24"/>
      <c r="Q1837" s="26"/>
    </row>
    <row r="1838" spans="1:17" ht="15" x14ac:dyDescent="0.15">
      <c r="A1838" s="22"/>
      <c r="B1838" s="26" t="str">
        <f t="shared" si="112"/>
        <v/>
      </c>
      <c r="C1838" s="26" t="str">
        <f t="shared" si="113"/>
        <v/>
      </c>
      <c r="D1838" s="26" t="str">
        <f t="shared" si="114"/>
        <v/>
      </c>
      <c r="E1838" s="29"/>
      <c r="F1838" s="22"/>
      <c r="G1838" s="22"/>
      <c r="H1838" s="22"/>
      <c r="I1838" s="24"/>
      <c r="J1838" s="24"/>
      <c r="K1838" s="24"/>
      <c r="L1838" s="24"/>
      <c r="M1838" s="27" t="str">
        <f t="shared" si="115"/>
        <v/>
      </c>
      <c r="N1838" s="25"/>
      <c r="O1838" s="22"/>
      <c r="P1838" s="24"/>
      <c r="Q1838" s="26"/>
    </row>
    <row r="1839" spans="1:17" ht="15" x14ac:dyDescent="0.15">
      <c r="A1839" s="22"/>
      <c r="B1839" s="26" t="str">
        <f t="shared" si="112"/>
        <v/>
      </c>
      <c r="C1839" s="26" t="str">
        <f t="shared" si="113"/>
        <v/>
      </c>
      <c r="D1839" s="26" t="str">
        <f t="shared" si="114"/>
        <v/>
      </c>
      <c r="E1839" s="29"/>
      <c r="F1839" s="22"/>
      <c r="G1839" s="22"/>
      <c r="H1839" s="22"/>
      <c r="I1839" s="24"/>
      <c r="J1839" s="24"/>
      <c r="K1839" s="24"/>
      <c r="L1839" s="24"/>
      <c r="M1839" s="27" t="str">
        <f t="shared" si="115"/>
        <v/>
      </c>
      <c r="N1839" s="25"/>
      <c r="O1839" s="22"/>
      <c r="P1839" s="24"/>
      <c r="Q1839" s="26"/>
    </row>
    <row r="1840" spans="1:17" ht="15" x14ac:dyDescent="0.15">
      <c r="A1840" s="22"/>
      <c r="B1840" s="26" t="str">
        <f t="shared" si="112"/>
        <v/>
      </c>
      <c r="C1840" s="26" t="str">
        <f t="shared" si="113"/>
        <v/>
      </c>
      <c r="D1840" s="26" t="str">
        <f t="shared" si="114"/>
        <v/>
      </c>
      <c r="E1840" s="29"/>
      <c r="F1840" s="22"/>
      <c r="G1840" s="22"/>
      <c r="H1840" s="22"/>
      <c r="I1840" s="24"/>
      <c r="J1840" s="24"/>
      <c r="K1840" s="24"/>
      <c r="L1840" s="24"/>
      <c r="M1840" s="27" t="str">
        <f t="shared" si="115"/>
        <v/>
      </c>
      <c r="N1840" s="25"/>
      <c r="O1840" s="22"/>
      <c r="P1840" s="24"/>
      <c r="Q1840" s="26"/>
    </row>
    <row r="1841" spans="1:17" ht="15" x14ac:dyDescent="0.15">
      <c r="A1841" s="22"/>
      <c r="B1841" s="26" t="str">
        <f t="shared" si="112"/>
        <v/>
      </c>
      <c r="C1841" s="26" t="str">
        <f t="shared" si="113"/>
        <v/>
      </c>
      <c r="D1841" s="26" t="str">
        <f t="shared" si="114"/>
        <v/>
      </c>
      <c r="E1841" s="29"/>
      <c r="F1841" s="22"/>
      <c r="G1841" s="22"/>
      <c r="H1841" s="22"/>
      <c r="I1841" s="24"/>
      <c r="J1841" s="24"/>
      <c r="K1841" s="24"/>
      <c r="L1841" s="24"/>
      <c r="M1841" s="27" t="str">
        <f t="shared" si="115"/>
        <v/>
      </c>
      <c r="N1841" s="25"/>
      <c r="O1841" s="22"/>
      <c r="P1841" s="24"/>
      <c r="Q1841" s="26"/>
    </row>
    <row r="1842" spans="1:17" ht="15" x14ac:dyDescent="0.15">
      <c r="A1842" s="22"/>
      <c r="B1842" s="26" t="str">
        <f t="shared" si="112"/>
        <v/>
      </c>
      <c r="C1842" s="26" t="str">
        <f t="shared" si="113"/>
        <v/>
      </c>
      <c r="D1842" s="26" t="str">
        <f t="shared" si="114"/>
        <v/>
      </c>
      <c r="E1842" s="29"/>
      <c r="F1842" s="22"/>
      <c r="G1842" s="22"/>
      <c r="H1842" s="22"/>
      <c r="I1842" s="24"/>
      <c r="J1842" s="24"/>
      <c r="K1842" s="24"/>
      <c r="L1842" s="24"/>
      <c r="M1842" s="27" t="str">
        <f t="shared" si="115"/>
        <v/>
      </c>
      <c r="N1842" s="25"/>
      <c r="O1842" s="22"/>
      <c r="P1842" s="24"/>
      <c r="Q1842" s="26"/>
    </row>
    <row r="1843" spans="1:17" ht="15" x14ac:dyDescent="0.15">
      <c r="A1843" s="22"/>
      <c r="B1843" s="26" t="str">
        <f t="shared" si="112"/>
        <v/>
      </c>
      <c r="C1843" s="26" t="str">
        <f t="shared" si="113"/>
        <v/>
      </c>
      <c r="D1843" s="26" t="str">
        <f t="shared" si="114"/>
        <v/>
      </c>
      <c r="E1843" s="29"/>
      <c r="F1843" s="22"/>
      <c r="G1843" s="22"/>
      <c r="H1843" s="22"/>
      <c r="I1843" s="24"/>
      <c r="J1843" s="24"/>
      <c r="K1843" s="24"/>
      <c r="L1843" s="24"/>
      <c r="M1843" s="27" t="str">
        <f t="shared" si="115"/>
        <v/>
      </c>
      <c r="N1843" s="25"/>
      <c r="O1843" s="22"/>
      <c r="P1843" s="24"/>
      <c r="Q1843" s="26"/>
    </row>
    <row r="1844" spans="1:17" ht="15" x14ac:dyDescent="0.15">
      <c r="A1844" s="22"/>
      <c r="B1844" s="26" t="str">
        <f t="shared" si="112"/>
        <v/>
      </c>
      <c r="C1844" s="26" t="str">
        <f t="shared" si="113"/>
        <v/>
      </c>
      <c r="D1844" s="26" t="str">
        <f t="shared" si="114"/>
        <v/>
      </c>
      <c r="E1844" s="29"/>
      <c r="F1844" s="22"/>
      <c r="G1844" s="22"/>
      <c r="H1844" s="22"/>
      <c r="I1844" s="24"/>
      <c r="J1844" s="24"/>
      <c r="K1844" s="24"/>
      <c r="L1844" s="24"/>
      <c r="M1844" s="27" t="str">
        <f t="shared" si="115"/>
        <v/>
      </c>
      <c r="N1844" s="25"/>
      <c r="O1844" s="22"/>
      <c r="P1844" s="24"/>
      <c r="Q1844" s="26"/>
    </row>
    <row r="1845" spans="1:17" ht="15" x14ac:dyDescent="0.15">
      <c r="A1845" s="22"/>
      <c r="B1845" s="26" t="str">
        <f t="shared" si="112"/>
        <v/>
      </c>
      <c r="C1845" s="26" t="str">
        <f t="shared" si="113"/>
        <v/>
      </c>
      <c r="D1845" s="26" t="str">
        <f t="shared" si="114"/>
        <v/>
      </c>
      <c r="E1845" s="29"/>
      <c r="F1845" s="22"/>
      <c r="G1845" s="22"/>
      <c r="H1845" s="22"/>
      <c r="I1845" s="24"/>
      <c r="J1845" s="24"/>
      <c r="K1845" s="24"/>
      <c r="L1845" s="24"/>
      <c r="M1845" s="27" t="str">
        <f t="shared" si="115"/>
        <v/>
      </c>
      <c r="N1845" s="25"/>
      <c r="O1845" s="22"/>
      <c r="P1845" s="24"/>
      <c r="Q1845" s="26"/>
    </row>
    <row r="1846" spans="1:17" ht="15" x14ac:dyDescent="0.15">
      <c r="A1846" s="22"/>
      <c r="B1846" s="26" t="str">
        <f t="shared" si="112"/>
        <v/>
      </c>
      <c r="C1846" s="26" t="str">
        <f t="shared" si="113"/>
        <v/>
      </c>
      <c r="D1846" s="26" t="str">
        <f t="shared" si="114"/>
        <v/>
      </c>
      <c r="E1846" s="29"/>
      <c r="F1846" s="22"/>
      <c r="G1846" s="22"/>
      <c r="H1846" s="22"/>
      <c r="I1846" s="24"/>
      <c r="J1846" s="24"/>
      <c r="K1846" s="24"/>
      <c r="L1846" s="24"/>
      <c r="M1846" s="27" t="str">
        <f t="shared" si="115"/>
        <v/>
      </c>
      <c r="N1846" s="25"/>
      <c r="O1846" s="22"/>
      <c r="P1846" s="24"/>
      <c r="Q1846" s="26"/>
    </row>
    <row r="1847" spans="1:17" ht="15" x14ac:dyDescent="0.15">
      <c r="A1847" s="22"/>
      <c r="B1847" s="26" t="str">
        <f t="shared" si="112"/>
        <v/>
      </c>
      <c r="C1847" s="26" t="str">
        <f t="shared" si="113"/>
        <v/>
      </c>
      <c r="D1847" s="26" t="str">
        <f t="shared" si="114"/>
        <v/>
      </c>
      <c r="E1847" s="29"/>
      <c r="F1847" s="22"/>
      <c r="G1847" s="22"/>
      <c r="H1847" s="22"/>
      <c r="I1847" s="24"/>
      <c r="J1847" s="24"/>
      <c r="K1847" s="24"/>
      <c r="L1847" s="24"/>
      <c r="M1847" s="27" t="str">
        <f t="shared" si="115"/>
        <v/>
      </c>
      <c r="N1847" s="25"/>
      <c r="O1847" s="22"/>
      <c r="P1847" s="24"/>
      <c r="Q1847" s="26"/>
    </row>
    <row r="1848" spans="1:17" ht="15" x14ac:dyDescent="0.15">
      <c r="A1848" s="22"/>
      <c r="B1848" s="26" t="str">
        <f t="shared" si="112"/>
        <v/>
      </c>
      <c r="C1848" s="26" t="str">
        <f t="shared" si="113"/>
        <v/>
      </c>
      <c r="D1848" s="26" t="str">
        <f t="shared" si="114"/>
        <v/>
      </c>
      <c r="E1848" s="29"/>
      <c r="F1848" s="22"/>
      <c r="G1848" s="22"/>
      <c r="H1848" s="22"/>
      <c r="I1848" s="24"/>
      <c r="J1848" s="24"/>
      <c r="K1848" s="24"/>
      <c r="L1848" s="24"/>
      <c r="M1848" s="27" t="str">
        <f t="shared" si="115"/>
        <v/>
      </c>
      <c r="N1848" s="25"/>
      <c r="O1848" s="22"/>
      <c r="P1848" s="24"/>
      <c r="Q1848" s="26"/>
    </row>
    <row r="1849" spans="1:17" ht="15" x14ac:dyDescent="0.15">
      <c r="A1849" s="22"/>
      <c r="B1849" s="26" t="str">
        <f t="shared" si="112"/>
        <v/>
      </c>
      <c r="C1849" s="26" t="str">
        <f t="shared" si="113"/>
        <v/>
      </c>
      <c r="D1849" s="26" t="str">
        <f t="shared" si="114"/>
        <v/>
      </c>
      <c r="E1849" s="29"/>
      <c r="F1849" s="22"/>
      <c r="G1849" s="22"/>
      <c r="H1849" s="22"/>
      <c r="I1849" s="24"/>
      <c r="J1849" s="24"/>
      <c r="K1849" s="24"/>
      <c r="L1849" s="24"/>
      <c r="M1849" s="27" t="str">
        <f t="shared" si="115"/>
        <v/>
      </c>
      <c r="N1849" s="25"/>
      <c r="O1849" s="22"/>
      <c r="P1849" s="24"/>
      <c r="Q1849" s="26"/>
    </row>
    <row r="1850" spans="1:17" ht="15" x14ac:dyDescent="0.15">
      <c r="A1850" s="22"/>
      <c r="B1850" s="26" t="str">
        <f t="shared" si="112"/>
        <v/>
      </c>
      <c r="C1850" s="26" t="str">
        <f t="shared" si="113"/>
        <v/>
      </c>
      <c r="D1850" s="26" t="str">
        <f t="shared" si="114"/>
        <v/>
      </c>
      <c r="E1850" s="29"/>
      <c r="F1850" s="22"/>
      <c r="G1850" s="22"/>
      <c r="H1850" s="22"/>
      <c r="I1850" s="24"/>
      <c r="J1850" s="24"/>
      <c r="K1850" s="24"/>
      <c r="L1850" s="24"/>
      <c r="M1850" s="27" t="str">
        <f t="shared" si="115"/>
        <v/>
      </c>
      <c r="N1850" s="25"/>
      <c r="O1850" s="22"/>
      <c r="P1850" s="24"/>
      <c r="Q1850" s="26"/>
    </row>
    <row r="1851" spans="1:17" ht="15" x14ac:dyDescent="0.15">
      <c r="A1851" s="22"/>
      <c r="B1851" s="26" t="str">
        <f t="shared" si="112"/>
        <v/>
      </c>
      <c r="C1851" s="26" t="str">
        <f t="shared" si="113"/>
        <v/>
      </c>
      <c r="D1851" s="26" t="str">
        <f t="shared" si="114"/>
        <v/>
      </c>
      <c r="E1851" s="29"/>
      <c r="F1851" s="22"/>
      <c r="G1851" s="22"/>
      <c r="H1851" s="22"/>
      <c r="I1851" s="24"/>
      <c r="J1851" s="24"/>
      <c r="K1851" s="24"/>
      <c r="L1851" s="24"/>
      <c r="M1851" s="27" t="str">
        <f t="shared" si="115"/>
        <v/>
      </c>
      <c r="N1851" s="25"/>
      <c r="O1851" s="22"/>
      <c r="P1851" s="24"/>
      <c r="Q1851" s="26"/>
    </row>
    <row r="1852" spans="1:17" ht="15" x14ac:dyDescent="0.15">
      <c r="A1852" s="22"/>
      <c r="B1852" s="26" t="str">
        <f t="shared" si="112"/>
        <v/>
      </c>
      <c r="C1852" s="26" t="str">
        <f t="shared" si="113"/>
        <v/>
      </c>
      <c r="D1852" s="26" t="str">
        <f t="shared" si="114"/>
        <v/>
      </c>
      <c r="E1852" s="29"/>
      <c r="F1852" s="22"/>
      <c r="G1852" s="22"/>
      <c r="H1852" s="22"/>
      <c r="I1852" s="24"/>
      <c r="J1852" s="24"/>
      <c r="K1852" s="24"/>
      <c r="L1852" s="24"/>
      <c r="M1852" s="27" t="str">
        <f t="shared" si="115"/>
        <v/>
      </c>
      <c r="N1852" s="25"/>
      <c r="O1852" s="22"/>
      <c r="P1852" s="24"/>
      <c r="Q1852" s="26"/>
    </row>
    <row r="1853" spans="1:17" ht="15" x14ac:dyDescent="0.15">
      <c r="A1853" s="22"/>
      <c r="B1853" s="26" t="str">
        <f t="shared" si="112"/>
        <v/>
      </c>
      <c r="C1853" s="26" t="str">
        <f t="shared" si="113"/>
        <v/>
      </c>
      <c r="D1853" s="26" t="str">
        <f t="shared" si="114"/>
        <v/>
      </c>
      <c r="E1853" s="29"/>
      <c r="F1853" s="22"/>
      <c r="G1853" s="22"/>
      <c r="H1853" s="22"/>
      <c r="I1853" s="24"/>
      <c r="J1853" s="24"/>
      <c r="K1853" s="24"/>
      <c r="L1853" s="24"/>
      <c r="M1853" s="27" t="str">
        <f t="shared" si="115"/>
        <v/>
      </c>
      <c r="N1853" s="25"/>
      <c r="O1853" s="22"/>
      <c r="P1853" s="24"/>
      <c r="Q1853" s="26"/>
    </row>
    <row r="1854" spans="1:17" ht="15" x14ac:dyDescent="0.15">
      <c r="A1854" s="22"/>
      <c r="B1854" s="26" t="str">
        <f t="shared" si="112"/>
        <v/>
      </c>
      <c r="C1854" s="26" t="str">
        <f t="shared" si="113"/>
        <v/>
      </c>
      <c r="D1854" s="26" t="str">
        <f t="shared" si="114"/>
        <v/>
      </c>
      <c r="E1854" s="29"/>
      <c r="F1854" s="22"/>
      <c r="G1854" s="22"/>
      <c r="H1854" s="22"/>
      <c r="I1854" s="24"/>
      <c r="J1854" s="24"/>
      <c r="K1854" s="24"/>
      <c r="L1854" s="24"/>
      <c r="M1854" s="27" t="str">
        <f t="shared" si="115"/>
        <v/>
      </c>
      <c r="N1854" s="25"/>
      <c r="O1854" s="22"/>
      <c r="P1854" s="24"/>
      <c r="Q1854" s="26"/>
    </row>
    <row r="1855" spans="1:17" ht="15" x14ac:dyDescent="0.15">
      <c r="A1855" s="22"/>
      <c r="B1855" s="26" t="str">
        <f t="shared" si="112"/>
        <v/>
      </c>
      <c r="C1855" s="26" t="str">
        <f t="shared" si="113"/>
        <v/>
      </c>
      <c r="D1855" s="26" t="str">
        <f t="shared" si="114"/>
        <v/>
      </c>
      <c r="E1855" s="29"/>
      <c r="F1855" s="22"/>
      <c r="G1855" s="22"/>
      <c r="H1855" s="22"/>
      <c r="I1855" s="24"/>
      <c r="J1855" s="24"/>
      <c r="K1855" s="24"/>
      <c r="L1855" s="24"/>
      <c r="M1855" s="27" t="str">
        <f t="shared" si="115"/>
        <v/>
      </c>
      <c r="N1855" s="25"/>
      <c r="O1855" s="22"/>
      <c r="P1855" s="24"/>
      <c r="Q1855" s="26"/>
    </row>
    <row r="1856" spans="1:17" ht="15" x14ac:dyDescent="0.15">
      <c r="A1856" s="22"/>
      <c r="B1856" s="26" t="str">
        <f t="shared" si="112"/>
        <v/>
      </c>
      <c r="C1856" s="26" t="str">
        <f t="shared" si="113"/>
        <v/>
      </c>
      <c r="D1856" s="26" t="str">
        <f t="shared" si="114"/>
        <v/>
      </c>
      <c r="E1856" s="29"/>
      <c r="F1856" s="22"/>
      <c r="G1856" s="22"/>
      <c r="H1856" s="22"/>
      <c r="I1856" s="24"/>
      <c r="J1856" s="24"/>
      <c r="K1856" s="24"/>
      <c r="L1856" s="24"/>
      <c r="M1856" s="27" t="str">
        <f t="shared" si="115"/>
        <v/>
      </c>
      <c r="N1856" s="25"/>
      <c r="O1856" s="22"/>
      <c r="P1856" s="24"/>
      <c r="Q1856" s="26"/>
    </row>
    <row r="1857" spans="1:17" ht="15" x14ac:dyDescent="0.15">
      <c r="A1857" s="22"/>
      <c r="B1857" s="26" t="str">
        <f t="shared" si="112"/>
        <v/>
      </c>
      <c r="C1857" s="26" t="str">
        <f t="shared" si="113"/>
        <v/>
      </c>
      <c r="D1857" s="26" t="str">
        <f t="shared" si="114"/>
        <v/>
      </c>
      <c r="E1857" s="29"/>
      <c r="F1857" s="22"/>
      <c r="G1857" s="22"/>
      <c r="H1857" s="22"/>
      <c r="I1857" s="24"/>
      <c r="J1857" s="24"/>
      <c r="K1857" s="24"/>
      <c r="L1857" s="24"/>
      <c r="M1857" s="27" t="str">
        <f t="shared" si="115"/>
        <v/>
      </c>
      <c r="N1857" s="25"/>
      <c r="O1857" s="22"/>
      <c r="P1857" s="24"/>
      <c r="Q1857" s="26"/>
    </row>
    <row r="1858" spans="1:17" ht="15" x14ac:dyDescent="0.15">
      <c r="A1858" s="22"/>
      <c r="B1858" s="26" t="str">
        <f t="shared" si="112"/>
        <v/>
      </c>
      <c r="C1858" s="26" t="str">
        <f t="shared" si="113"/>
        <v/>
      </c>
      <c r="D1858" s="26" t="str">
        <f t="shared" si="114"/>
        <v/>
      </c>
      <c r="E1858" s="29"/>
      <c r="F1858" s="22"/>
      <c r="G1858" s="22"/>
      <c r="H1858" s="22"/>
      <c r="I1858" s="24"/>
      <c r="J1858" s="24"/>
      <c r="K1858" s="24"/>
      <c r="L1858" s="24"/>
      <c r="M1858" s="27" t="str">
        <f t="shared" si="115"/>
        <v/>
      </c>
      <c r="N1858" s="25"/>
      <c r="O1858" s="22"/>
      <c r="P1858" s="24"/>
      <c r="Q1858" s="26"/>
    </row>
    <row r="1859" spans="1:17" ht="15" x14ac:dyDescent="0.15">
      <c r="A1859" s="22"/>
      <c r="B1859" s="26" t="str">
        <f t="shared" si="112"/>
        <v/>
      </c>
      <c r="C1859" s="26" t="str">
        <f t="shared" si="113"/>
        <v/>
      </c>
      <c r="D1859" s="26" t="str">
        <f t="shared" si="114"/>
        <v/>
      </c>
      <c r="E1859" s="29"/>
      <c r="F1859" s="22"/>
      <c r="G1859" s="22"/>
      <c r="H1859" s="22"/>
      <c r="I1859" s="24"/>
      <c r="J1859" s="24"/>
      <c r="K1859" s="24"/>
      <c r="L1859" s="24"/>
      <c r="M1859" s="27" t="str">
        <f t="shared" si="115"/>
        <v/>
      </c>
      <c r="N1859" s="25"/>
      <c r="O1859" s="22"/>
      <c r="P1859" s="24"/>
      <c r="Q1859" s="26"/>
    </row>
    <row r="1860" spans="1:17" ht="15" x14ac:dyDescent="0.15">
      <c r="A1860" s="22"/>
      <c r="B1860" s="26" t="str">
        <f t="shared" si="112"/>
        <v/>
      </c>
      <c r="C1860" s="26" t="str">
        <f t="shared" si="113"/>
        <v/>
      </c>
      <c r="D1860" s="26" t="str">
        <f t="shared" si="114"/>
        <v/>
      </c>
      <c r="E1860" s="29"/>
      <c r="F1860" s="22"/>
      <c r="G1860" s="22"/>
      <c r="H1860" s="22"/>
      <c r="I1860" s="24"/>
      <c r="J1860" s="24"/>
      <c r="K1860" s="24"/>
      <c r="L1860" s="24"/>
      <c r="M1860" s="27" t="str">
        <f t="shared" si="115"/>
        <v/>
      </c>
      <c r="N1860" s="25"/>
      <c r="O1860" s="22"/>
      <c r="P1860" s="24"/>
      <c r="Q1860" s="26"/>
    </row>
    <row r="1861" spans="1:17" ht="15" x14ac:dyDescent="0.15">
      <c r="A1861" s="22"/>
      <c r="B1861" s="26" t="str">
        <f t="shared" si="112"/>
        <v/>
      </c>
      <c r="C1861" s="26" t="str">
        <f t="shared" si="113"/>
        <v/>
      </c>
      <c r="D1861" s="26" t="str">
        <f t="shared" si="114"/>
        <v/>
      </c>
      <c r="E1861" s="29"/>
      <c r="F1861" s="22"/>
      <c r="G1861" s="22"/>
      <c r="H1861" s="22"/>
      <c r="I1861" s="24"/>
      <c r="J1861" s="24"/>
      <c r="K1861" s="24"/>
      <c r="L1861" s="24"/>
      <c r="M1861" s="27" t="str">
        <f t="shared" si="115"/>
        <v/>
      </c>
      <c r="N1861" s="25"/>
      <c r="O1861" s="22"/>
      <c r="P1861" s="24"/>
      <c r="Q1861" s="26"/>
    </row>
    <row r="1862" spans="1:17" ht="15" x14ac:dyDescent="0.15">
      <c r="A1862" s="22"/>
      <c r="B1862" s="26" t="str">
        <f t="shared" si="112"/>
        <v/>
      </c>
      <c r="C1862" s="26" t="str">
        <f t="shared" si="113"/>
        <v/>
      </c>
      <c r="D1862" s="26" t="str">
        <f t="shared" si="114"/>
        <v/>
      </c>
      <c r="E1862" s="29"/>
      <c r="F1862" s="22"/>
      <c r="G1862" s="22"/>
      <c r="H1862" s="22"/>
      <c r="I1862" s="24"/>
      <c r="J1862" s="24"/>
      <c r="K1862" s="24"/>
      <c r="L1862" s="24"/>
      <c r="M1862" s="27" t="str">
        <f t="shared" si="115"/>
        <v/>
      </c>
      <c r="N1862" s="25"/>
      <c r="O1862" s="22"/>
      <c r="P1862" s="24"/>
      <c r="Q1862" s="26"/>
    </row>
    <row r="1863" spans="1:17" ht="15" x14ac:dyDescent="0.15">
      <c r="A1863" s="22"/>
      <c r="B1863" s="26" t="str">
        <f t="shared" ref="B1863:B1926" si="116">IFERROR(IF($A1863="","",LEFT($A1863,FIND(" | ",$A1863)-1)),"")</f>
        <v/>
      </c>
      <c r="C1863" s="26" t="str">
        <f t="shared" ref="C1863:C1926" si="117">IFERROR(IF($A1863="","",MID($A1863,FIND(" | ",$A1863)+3,FIND(" | ",$A1863,FIND(" | ",$A1863)+3)-FIND(" | ",$A1863)-3)),"")</f>
        <v/>
      </c>
      <c r="D1863" s="26" t="str">
        <f t="shared" ref="D1863:D1926" si="118">IFERROR(IF($A1863="","",RIGHT($A1863,LEN($A1863)-FIND(" | ",$A1863,FIND(" | ",$A1863)+3)-2)),"")</f>
        <v/>
      </c>
      <c r="E1863" s="29"/>
      <c r="F1863" s="22"/>
      <c r="G1863" s="22"/>
      <c r="H1863" s="22"/>
      <c r="I1863" s="24"/>
      <c r="J1863" s="24"/>
      <c r="K1863" s="24"/>
      <c r="L1863" s="24"/>
      <c r="M1863" s="27" t="str">
        <f t="shared" ref="M1863:M1926" si="119">IF($B1863="","",SUM($J1863,-$K1863,$L1863))</f>
        <v/>
      </c>
      <c r="N1863" s="25"/>
      <c r="O1863" s="22"/>
      <c r="P1863" s="24"/>
      <c r="Q1863" s="26"/>
    </row>
    <row r="1864" spans="1:17" ht="15" x14ac:dyDescent="0.15">
      <c r="A1864" s="22"/>
      <c r="B1864" s="26" t="str">
        <f t="shared" si="116"/>
        <v/>
      </c>
      <c r="C1864" s="26" t="str">
        <f t="shared" si="117"/>
        <v/>
      </c>
      <c r="D1864" s="26" t="str">
        <f t="shared" si="118"/>
        <v/>
      </c>
      <c r="E1864" s="29"/>
      <c r="F1864" s="22"/>
      <c r="G1864" s="22"/>
      <c r="H1864" s="22"/>
      <c r="I1864" s="24"/>
      <c r="J1864" s="24"/>
      <c r="K1864" s="24"/>
      <c r="L1864" s="24"/>
      <c r="M1864" s="27" t="str">
        <f t="shared" si="119"/>
        <v/>
      </c>
      <c r="N1864" s="25"/>
      <c r="O1864" s="22"/>
      <c r="P1864" s="24"/>
      <c r="Q1864" s="26"/>
    </row>
    <row r="1865" spans="1:17" ht="15" x14ac:dyDescent="0.15">
      <c r="A1865" s="22"/>
      <c r="B1865" s="26" t="str">
        <f t="shared" si="116"/>
        <v/>
      </c>
      <c r="C1865" s="26" t="str">
        <f t="shared" si="117"/>
        <v/>
      </c>
      <c r="D1865" s="26" t="str">
        <f t="shared" si="118"/>
        <v/>
      </c>
      <c r="E1865" s="29"/>
      <c r="F1865" s="22"/>
      <c r="G1865" s="22"/>
      <c r="H1865" s="22"/>
      <c r="I1865" s="24"/>
      <c r="J1865" s="24"/>
      <c r="K1865" s="24"/>
      <c r="L1865" s="24"/>
      <c r="M1865" s="27" t="str">
        <f t="shared" si="119"/>
        <v/>
      </c>
      <c r="N1865" s="25"/>
      <c r="O1865" s="22"/>
      <c r="P1865" s="24"/>
      <c r="Q1865" s="26"/>
    </row>
    <row r="1866" spans="1:17" ht="15" x14ac:dyDescent="0.15">
      <c r="A1866" s="22"/>
      <c r="B1866" s="26" t="str">
        <f t="shared" si="116"/>
        <v/>
      </c>
      <c r="C1866" s="26" t="str">
        <f t="shared" si="117"/>
        <v/>
      </c>
      <c r="D1866" s="26" t="str">
        <f t="shared" si="118"/>
        <v/>
      </c>
      <c r="E1866" s="29"/>
      <c r="F1866" s="22"/>
      <c r="G1866" s="22"/>
      <c r="H1866" s="22"/>
      <c r="I1866" s="24"/>
      <c r="J1866" s="24"/>
      <c r="K1866" s="24"/>
      <c r="L1866" s="24"/>
      <c r="M1866" s="27" t="str">
        <f t="shared" si="119"/>
        <v/>
      </c>
      <c r="N1866" s="25"/>
      <c r="O1866" s="22"/>
      <c r="P1866" s="24"/>
      <c r="Q1866" s="26"/>
    </row>
    <row r="1867" spans="1:17" ht="15" x14ac:dyDescent="0.15">
      <c r="A1867" s="22"/>
      <c r="B1867" s="26" t="str">
        <f t="shared" si="116"/>
        <v/>
      </c>
      <c r="C1867" s="26" t="str">
        <f t="shared" si="117"/>
        <v/>
      </c>
      <c r="D1867" s="26" t="str">
        <f t="shared" si="118"/>
        <v/>
      </c>
      <c r="E1867" s="29"/>
      <c r="F1867" s="22"/>
      <c r="G1867" s="22"/>
      <c r="H1867" s="22"/>
      <c r="I1867" s="24"/>
      <c r="J1867" s="24"/>
      <c r="K1867" s="24"/>
      <c r="L1867" s="24"/>
      <c r="M1867" s="27" t="str">
        <f t="shared" si="119"/>
        <v/>
      </c>
      <c r="N1867" s="25"/>
      <c r="O1867" s="22"/>
      <c r="P1867" s="24"/>
      <c r="Q1867" s="26"/>
    </row>
    <row r="1868" spans="1:17" ht="15" x14ac:dyDescent="0.15">
      <c r="A1868" s="22"/>
      <c r="B1868" s="26" t="str">
        <f t="shared" si="116"/>
        <v/>
      </c>
      <c r="C1868" s="26" t="str">
        <f t="shared" si="117"/>
        <v/>
      </c>
      <c r="D1868" s="26" t="str">
        <f t="shared" si="118"/>
        <v/>
      </c>
      <c r="E1868" s="29"/>
      <c r="F1868" s="22"/>
      <c r="G1868" s="22"/>
      <c r="H1868" s="22"/>
      <c r="I1868" s="24"/>
      <c r="J1868" s="24"/>
      <c r="K1868" s="24"/>
      <c r="L1868" s="24"/>
      <c r="M1868" s="27" t="str">
        <f t="shared" si="119"/>
        <v/>
      </c>
      <c r="N1868" s="25"/>
      <c r="O1868" s="22"/>
      <c r="P1868" s="24"/>
      <c r="Q1868" s="26"/>
    </row>
    <row r="1869" spans="1:17" ht="15" x14ac:dyDescent="0.15">
      <c r="A1869" s="22"/>
      <c r="B1869" s="26" t="str">
        <f t="shared" si="116"/>
        <v/>
      </c>
      <c r="C1869" s="26" t="str">
        <f t="shared" si="117"/>
        <v/>
      </c>
      <c r="D1869" s="26" t="str">
        <f t="shared" si="118"/>
        <v/>
      </c>
      <c r="E1869" s="29"/>
      <c r="F1869" s="22"/>
      <c r="G1869" s="22"/>
      <c r="H1869" s="22"/>
      <c r="I1869" s="24"/>
      <c r="J1869" s="24"/>
      <c r="K1869" s="24"/>
      <c r="L1869" s="24"/>
      <c r="M1869" s="27" t="str">
        <f t="shared" si="119"/>
        <v/>
      </c>
      <c r="N1869" s="25"/>
      <c r="O1869" s="22"/>
      <c r="P1869" s="24"/>
      <c r="Q1869" s="26"/>
    </row>
    <row r="1870" spans="1:17" ht="15" x14ac:dyDescent="0.15">
      <c r="A1870" s="22"/>
      <c r="B1870" s="26" t="str">
        <f t="shared" si="116"/>
        <v/>
      </c>
      <c r="C1870" s="26" t="str">
        <f t="shared" si="117"/>
        <v/>
      </c>
      <c r="D1870" s="26" t="str">
        <f t="shared" si="118"/>
        <v/>
      </c>
      <c r="E1870" s="29"/>
      <c r="F1870" s="22"/>
      <c r="G1870" s="22"/>
      <c r="H1870" s="22"/>
      <c r="I1870" s="24"/>
      <c r="J1870" s="24"/>
      <c r="K1870" s="24"/>
      <c r="L1870" s="24"/>
      <c r="M1870" s="27" t="str">
        <f t="shared" si="119"/>
        <v/>
      </c>
      <c r="N1870" s="25"/>
      <c r="O1870" s="22"/>
      <c r="P1870" s="24"/>
      <c r="Q1870" s="26"/>
    </row>
    <row r="1871" spans="1:17" ht="15" x14ac:dyDescent="0.15">
      <c r="A1871" s="22"/>
      <c r="B1871" s="26" t="str">
        <f t="shared" si="116"/>
        <v/>
      </c>
      <c r="C1871" s="26" t="str">
        <f t="shared" si="117"/>
        <v/>
      </c>
      <c r="D1871" s="26" t="str">
        <f t="shared" si="118"/>
        <v/>
      </c>
      <c r="E1871" s="29"/>
      <c r="F1871" s="22"/>
      <c r="G1871" s="22"/>
      <c r="H1871" s="22"/>
      <c r="I1871" s="24"/>
      <c r="J1871" s="24"/>
      <c r="K1871" s="24"/>
      <c r="L1871" s="24"/>
      <c r="M1871" s="27" t="str">
        <f t="shared" si="119"/>
        <v/>
      </c>
      <c r="N1871" s="25"/>
      <c r="O1871" s="22"/>
      <c r="P1871" s="24"/>
      <c r="Q1871" s="26"/>
    </row>
    <row r="1872" spans="1:17" ht="15" x14ac:dyDescent="0.15">
      <c r="A1872" s="22"/>
      <c r="B1872" s="26" t="str">
        <f t="shared" si="116"/>
        <v/>
      </c>
      <c r="C1872" s="26" t="str">
        <f t="shared" si="117"/>
        <v/>
      </c>
      <c r="D1872" s="26" t="str">
        <f t="shared" si="118"/>
        <v/>
      </c>
      <c r="E1872" s="29"/>
      <c r="F1872" s="22"/>
      <c r="G1872" s="22"/>
      <c r="H1872" s="22"/>
      <c r="I1872" s="24"/>
      <c r="J1872" s="24"/>
      <c r="K1872" s="24"/>
      <c r="L1872" s="24"/>
      <c r="M1872" s="27" t="str">
        <f t="shared" si="119"/>
        <v/>
      </c>
      <c r="N1872" s="25"/>
      <c r="O1872" s="22"/>
      <c r="P1872" s="24"/>
      <c r="Q1872" s="26"/>
    </row>
    <row r="1873" spans="1:17" ht="15" x14ac:dyDescent="0.15">
      <c r="A1873" s="22"/>
      <c r="B1873" s="26" t="str">
        <f t="shared" si="116"/>
        <v/>
      </c>
      <c r="C1873" s="26" t="str">
        <f t="shared" si="117"/>
        <v/>
      </c>
      <c r="D1873" s="26" t="str">
        <f t="shared" si="118"/>
        <v/>
      </c>
      <c r="E1873" s="29"/>
      <c r="F1873" s="22"/>
      <c r="G1873" s="22"/>
      <c r="H1873" s="22"/>
      <c r="I1873" s="24"/>
      <c r="J1873" s="24"/>
      <c r="K1873" s="24"/>
      <c r="L1873" s="24"/>
      <c r="M1873" s="27" t="str">
        <f t="shared" si="119"/>
        <v/>
      </c>
      <c r="N1873" s="25"/>
      <c r="O1873" s="22"/>
      <c r="P1873" s="24"/>
      <c r="Q1873" s="26"/>
    </row>
    <row r="1874" spans="1:17" ht="15" x14ac:dyDescent="0.15">
      <c r="A1874" s="22"/>
      <c r="B1874" s="26" t="str">
        <f t="shared" si="116"/>
        <v/>
      </c>
      <c r="C1874" s="26" t="str">
        <f t="shared" si="117"/>
        <v/>
      </c>
      <c r="D1874" s="26" t="str">
        <f t="shared" si="118"/>
        <v/>
      </c>
      <c r="E1874" s="29"/>
      <c r="F1874" s="22"/>
      <c r="G1874" s="22"/>
      <c r="H1874" s="22"/>
      <c r="I1874" s="24"/>
      <c r="J1874" s="24"/>
      <c r="K1874" s="24"/>
      <c r="L1874" s="24"/>
      <c r="M1874" s="27" t="str">
        <f t="shared" si="119"/>
        <v/>
      </c>
      <c r="N1874" s="25"/>
      <c r="O1874" s="22"/>
      <c r="P1874" s="24"/>
      <c r="Q1874" s="26"/>
    </row>
    <row r="1875" spans="1:17" ht="15" x14ac:dyDescent="0.15">
      <c r="A1875" s="22"/>
      <c r="B1875" s="26" t="str">
        <f t="shared" si="116"/>
        <v/>
      </c>
      <c r="C1875" s="26" t="str">
        <f t="shared" si="117"/>
        <v/>
      </c>
      <c r="D1875" s="26" t="str">
        <f t="shared" si="118"/>
        <v/>
      </c>
      <c r="E1875" s="29"/>
      <c r="F1875" s="22"/>
      <c r="G1875" s="22"/>
      <c r="H1875" s="22"/>
      <c r="I1875" s="24"/>
      <c r="J1875" s="24"/>
      <c r="K1875" s="24"/>
      <c r="L1875" s="24"/>
      <c r="M1875" s="27" t="str">
        <f t="shared" si="119"/>
        <v/>
      </c>
      <c r="N1875" s="25"/>
      <c r="O1875" s="22"/>
      <c r="P1875" s="24"/>
      <c r="Q1875" s="26"/>
    </row>
    <row r="1876" spans="1:17" ht="15" x14ac:dyDescent="0.15">
      <c r="A1876" s="22"/>
      <c r="B1876" s="26" t="str">
        <f t="shared" si="116"/>
        <v/>
      </c>
      <c r="C1876" s="26" t="str">
        <f t="shared" si="117"/>
        <v/>
      </c>
      <c r="D1876" s="26" t="str">
        <f t="shared" si="118"/>
        <v/>
      </c>
      <c r="E1876" s="29"/>
      <c r="F1876" s="22"/>
      <c r="G1876" s="22"/>
      <c r="H1876" s="22"/>
      <c r="I1876" s="24"/>
      <c r="J1876" s="24"/>
      <c r="K1876" s="24"/>
      <c r="L1876" s="24"/>
      <c r="M1876" s="27" t="str">
        <f t="shared" si="119"/>
        <v/>
      </c>
      <c r="N1876" s="25"/>
      <c r="O1876" s="22"/>
      <c r="P1876" s="24"/>
      <c r="Q1876" s="26"/>
    </row>
    <row r="1877" spans="1:17" ht="15" x14ac:dyDescent="0.15">
      <c r="A1877" s="22"/>
      <c r="B1877" s="26" t="str">
        <f t="shared" si="116"/>
        <v/>
      </c>
      <c r="C1877" s="26" t="str">
        <f t="shared" si="117"/>
        <v/>
      </c>
      <c r="D1877" s="26" t="str">
        <f t="shared" si="118"/>
        <v/>
      </c>
      <c r="E1877" s="29"/>
      <c r="F1877" s="22"/>
      <c r="G1877" s="22"/>
      <c r="H1877" s="22"/>
      <c r="I1877" s="24"/>
      <c r="J1877" s="24"/>
      <c r="K1877" s="24"/>
      <c r="L1877" s="24"/>
      <c r="M1877" s="27" t="str">
        <f t="shared" si="119"/>
        <v/>
      </c>
      <c r="N1877" s="25"/>
      <c r="O1877" s="22"/>
      <c r="P1877" s="24"/>
      <c r="Q1877" s="26"/>
    </row>
    <row r="1878" spans="1:17" ht="15" x14ac:dyDescent="0.15">
      <c r="A1878" s="22"/>
      <c r="B1878" s="26" t="str">
        <f t="shared" si="116"/>
        <v/>
      </c>
      <c r="C1878" s="26" t="str">
        <f t="shared" si="117"/>
        <v/>
      </c>
      <c r="D1878" s="26" t="str">
        <f t="shared" si="118"/>
        <v/>
      </c>
      <c r="E1878" s="29"/>
      <c r="F1878" s="22"/>
      <c r="G1878" s="22"/>
      <c r="H1878" s="22"/>
      <c r="I1878" s="24"/>
      <c r="J1878" s="24"/>
      <c r="K1878" s="24"/>
      <c r="L1878" s="24"/>
      <c r="M1878" s="27" t="str">
        <f t="shared" si="119"/>
        <v/>
      </c>
      <c r="N1878" s="25"/>
      <c r="O1878" s="22"/>
      <c r="P1878" s="24"/>
      <c r="Q1878" s="26"/>
    </row>
    <row r="1879" spans="1:17" ht="15" x14ac:dyDescent="0.15">
      <c r="A1879" s="22"/>
      <c r="B1879" s="26" t="str">
        <f t="shared" si="116"/>
        <v/>
      </c>
      <c r="C1879" s="26" t="str">
        <f t="shared" si="117"/>
        <v/>
      </c>
      <c r="D1879" s="26" t="str">
        <f t="shared" si="118"/>
        <v/>
      </c>
      <c r="E1879" s="29"/>
      <c r="F1879" s="22"/>
      <c r="G1879" s="22"/>
      <c r="H1879" s="22"/>
      <c r="I1879" s="24"/>
      <c r="J1879" s="24"/>
      <c r="K1879" s="24"/>
      <c r="L1879" s="24"/>
      <c r="M1879" s="27" t="str">
        <f t="shared" si="119"/>
        <v/>
      </c>
      <c r="N1879" s="25"/>
      <c r="O1879" s="22"/>
      <c r="P1879" s="24"/>
      <c r="Q1879" s="26"/>
    </row>
    <row r="1880" spans="1:17" ht="15" x14ac:dyDescent="0.15">
      <c r="A1880" s="22"/>
      <c r="B1880" s="26" t="str">
        <f t="shared" si="116"/>
        <v/>
      </c>
      <c r="C1880" s="26" t="str">
        <f t="shared" si="117"/>
        <v/>
      </c>
      <c r="D1880" s="26" t="str">
        <f t="shared" si="118"/>
        <v/>
      </c>
      <c r="E1880" s="29"/>
      <c r="F1880" s="22"/>
      <c r="G1880" s="22"/>
      <c r="H1880" s="22"/>
      <c r="I1880" s="24"/>
      <c r="J1880" s="24"/>
      <c r="K1880" s="24"/>
      <c r="L1880" s="24"/>
      <c r="M1880" s="27" t="str">
        <f t="shared" si="119"/>
        <v/>
      </c>
      <c r="N1880" s="25"/>
      <c r="O1880" s="22"/>
      <c r="P1880" s="24"/>
      <c r="Q1880" s="26"/>
    </row>
    <row r="1881" spans="1:17" ht="15" x14ac:dyDescent="0.15">
      <c r="A1881" s="22"/>
      <c r="B1881" s="26" t="str">
        <f t="shared" si="116"/>
        <v/>
      </c>
      <c r="C1881" s="26" t="str">
        <f t="shared" si="117"/>
        <v/>
      </c>
      <c r="D1881" s="26" t="str">
        <f t="shared" si="118"/>
        <v/>
      </c>
      <c r="E1881" s="29"/>
      <c r="F1881" s="22"/>
      <c r="G1881" s="22"/>
      <c r="H1881" s="22"/>
      <c r="I1881" s="24"/>
      <c r="J1881" s="24"/>
      <c r="K1881" s="24"/>
      <c r="L1881" s="24"/>
      <c r="M1881" s="27" t="str">
        <f t="shared" si="119"/>
        <v/>
      </c>
      <c r="N1881" s="25"/>
      <c r="O1881" s="22"/>
      <c r="P1881" s="24"/>
      <c r="Q1881" s="26"/>
    </row>
    <row r="1882" spans="1:17" ht="15" x14ac:dyDescent="0.15">
      <c r="A1882" s="22"/>
      <c r="B1882" s="26" t="str">
        <f t="shared" si="116"/>
        <v/>
      </c>
      <c r="C1882" s="26" t="str">
        <f t="shared" si="117"/>
        <v/>
      </c>
      <c r="D1882" s="26" t="str">
        <f t="shared" si="118"/>
        <v/>
      </c>
      <c r="E1882" s="29"/>
      <c r="F1882" s="22"/>
      <c r="G1882" s="22"/>
      <c r="H1882" s="22"/>
      <c r="I1882" s="24"/>
      <c r="J1882" s="24"/>
      <c r="K1882" s="24"/>
      <c r="L1882" s="24"/>
      <c r="M1882" s="27" t="str">
        <f t="shared" si="119"/>
        <v/>
      </c>
      <c r="N1882" s="25"/>
      <c r="O1882" s="22"/>
      <c r="P1882" s="24"/>
      <c r="Q1882" s="26"/>
    </row>
    <row r="1883" spans="1:17" ht="15" x14ac:dyDescent="0.15">
      <c r="A1883" s="22"/>
      <c r="B1883" s="26" t="str">
        <f t="shared" si="116"/>
        <v/>
      </c>
      <c r="C1883" s="26" t="str">
        <f t="shared" si="117"/>
        <v/>
      </c>
      <c r="D1883" s="26" t="str">
        <f t="shared" si="118"/>
        <v/>
      </c>
      <c r="E1883" s="29"/>
      <c r="F1883" s="22"/>
      <c r="G1883" s="22"/>
      <c r="H1883" s="22"/>
      <c r="I1883" s="24"/>
      <c r="J1883" s="24"/>
      <c r="K1883" s="24"/>
      <c r="L1883" s="24"/>
      <c r="M1883" s="27" t="str">
        <f t="shared" si="119"/>
        <v/>
      </c>
      <c r="N1883" s="25"/>
      <c r="O1883" s="22"/>
      <c r="P1883" s="24"/>
      <c r="Q1883" s="26"/>
    </row>
    <row r="1884" spans="1:17" ht="15" x14ac:dyDescent="0.15">
      <c r="A1884" s="22"/>
      <c r="B1884" s="26" t="str">
        <f t="shared" si="116"/>
        <v/>
      </c>
      <c r="C1884" s="26" t="str">
        <f t="shared" si="117"/>
        <v/>
      </c>
      <c r="D1884" s="26" t="str">
        <f t="shared" si="118"/>
        <v/>
      </c>
      <c r="E1884" s="29"/>
      <c r="F1884" s="22"/>
      <c r="G1884" s="22"/>
      <c r="H1884" s="22"/>
      <c r="I1884" s="24"/>
      <c r="J1884" s="24"/>
      <c r="K1884" s="24"/>
      <c r="L1884" s="24"/>
      <c r="M1884" s="27" t="str">
        <f t="shared" si="119"/>
        <v/>
      </c>
      <c r="N1884" s="25"/>
      <c r="O1884" s="22"/>
      <c r="P1884" s="24"/>
      <c r="Q1884" s="26"/>
    </row>
    <row r="1885" spans="1:17" ht="15" x14ac:dyDescent="0.15">
      <c r="A1885" s="22"/>
      <c r="B1885" s="26" t="str">
        <f t="shared" si="116"/>
        <v/>
      </c>
      <c r="C1885" s="26" t="str">
        <f t="shared" si="117"/>
        <v/>
      </c>
      <c r="D1885" s="26" t="str">
        <f t="shared" si="118"/>
        <v/>
      </c>
      <c r="E1885" s="29"/>
      <c r="F1885" s="22"/>
      <c r="G1885" s="22"/>
      <c r="H1885" s="22"/>
      <c r="I1885" s="24"/>
      <c r="J1885" s="24"/>
      <c r="K1885" s="24"/>
      <c r="L1885" s="24"/>
      <c r="M1885" s="27" t="str">
        <f t="shared" si="119"/>
        <v/>
      </c>
      <c r="N1885" s="25"/>
      <c r="O1885" s="22"/>
      <c r="P1885" s="24"/>
      <c r="Q1885" s="26"/>
    </row>
    <row r="1886" spans="1:17" ht="15" x14ac:dyDescent="0.15">
      <c r="A1886" s="22"/>
      <c r="B1886" s="26" t="str">
        <f t="shared" si="116"/>
        <v/>
      </c>
      <c r="C1886" s="26" t="str">
        <f t="shared" si="117"/>
        <v/>
      </c>
      <c r="D1886" s="26" t="str">
        <f t="shared" si="118"/>
        <v/>
      </c>
      <c r="E1886" s="29"/>
      <c r="F1886" s="22"/>
      <c r="G1886" s="22"/>
      <c r="H1886" s="22"/>
      <c r="I1886" s="24"/>
      <c r="J1886" s="24"/>
      <c r="K1886" s="24"/>
      <c r="L1886" s="24"/>
      <c r="M1886" s="27" t="str">
        <f t="shared" si="119"/>
        <v/>
      </c>
      <c r="N1886" s="25"/>
      <c r="O1886" s="22"/>
      <c r="P1886" s="24"/>
      <c r="Q1886" s="26"/>
    </row>
    <row r="1887" spans="1:17" ht="15" x14ac:dyDescent="0.15">
      <c r="A1887" s="22"/>
      <c r="B1887" s="26" t="str">
        <f t="shared" si="116"/>
        <v/>
      </c>
      <c r="C1887" s="26" t="str">
        <f t="shared" si="117"/>
        <v/>
      </c>
      <c r="D1887" s="26" t="str">
        <f t="shared" si="118"/>
        <v/>
      </c>
      <c r="E1887" s="29"/>
      <c r="F1887" s="22"/>
      <c r="G1887" s="22"/>
      <c r="H1887" s="22"/>
      <c r="I1887" s="24"/>
      <c r="J1887" s="24"/>
      <c r="K1887" s="24"/>
      <c r="L1887" s="24"/>
      <c r="M1887" s="27" t="str">
        <f t="shared" si="119"/>
        <v/>
      </c>
      <c r="N1887" s="25"/>
      <c r="O1887" s="22"/>
      <c r="P1887" s="24"/>
      <c r="Q1887" s="26"/>
    </row>
    <row r="1888" spans="1:17" ht="15" x14ac:dyDescent="0.15">
      <c r="A1888" s="22"/>
      <c r="B1888" s="26" t="str">
        <f t="shared" si="116"/>
        <v/>
      </c>
      <c r="C1888" s="26" t="str">
        <f t="shared" si="117"/>
        <v/>
      </c>
      <c r="D1888" s="26" t="str">
        <f t="shared" si="118"/>
        <v/>
      </c>
      <c r="E1888" s="29"/>
      <c r="F1888" s="22"/>
      <c r="G1888" s="22"/>
      <c r="H1888" s="22"/>
      <c r="I1888" s="24"/>
      <c r="J1888" s="24"/>
      <c r="K1888" s="24"/>
      <c r="L1888" s="24"/>
      <c r="M1888" s="27" t="str">
        <f t="shared" si="119"/>
        <v/>
      </c>
      <c r="N1888" s="25"/>
      <c r="O1888" s="22"/>
      <c r="P1888" s="24"/>
      <c r="Q1888" s="26"/>
    </row>
    <row r="1889" spans="1:17" ht="15" x14ac:dyDescent="0.15">
      <c r="A1889" s="22"/>
      <c r="B1889" s="26" t="str">
        <f t="shared" si="116"/>
        <v/>
      </c>
      <c r="C1889" s="26" t="str">
        <f t="shared" si="117"/>
        <v/>
      </c>
      <c r="D1889" s="26" t="str">
        <f t="shared" si="118"/>
        <v/>
      </c>
      <c r="E1889" s="29"/>
      <c r="F1889" s="22"/>
      <c r="G1889" s="22"/>
      <c r="H1889" s="22"/>
      <c r="I1889" s="24"/>
      <c r="J1889" s="24"/>
      <c r="K1889" s="24"/>
      <c r="L1889" s="24"/>
      <c r="M1889" s="27" t="str">
        <f t="shared" si="119"/>
        <v/>
      </c>
      <c r="N1889" s="25"/>
      <c r="O1889" s="22"/>
      <c r="P1889" s="24"/>
      <c r="Q1889" s="26"/>
    </row>
    <row r="1890" spans="1:17" ht="15" x14ac:dyDescent="0.15">
      <c r="A1890" s="22"/>
      <c r="B1890" s="26" t="str">
        <f t="shared" si="116"/>
        <v/>
      </c>
      <c r="C1890" s="26" t="str">
        <f t="shared" si="117"/>
        <v/>
      </c>
      <c r="D1890" s="26" t="str">
        <f t="shared" si="118"/>
        <v/>
      </c>
      <c r="E1890" s="29"/>
      <c r="F1890" s="22"/>
      <c r="G1890" s="22"/>
      <c r="H1890" s="22"/>
      <c r="I1890" s="24"/>
      <c r="J1890" s="24"/>
      <c r="K1890" s="24"/>
      <c r="L1890" s="24"/>
      <c r="M1890" s="27" t="str">
        <f t="shared" si="119"/>
        <v/>
      </c>
      <c r="N1890" s="25"/>
      <c r="O1890" s="22"/>
      <c r="P1890" s="24"/>
      <c r="Q1890" s="26"/>
    </row>
    <row r="1891" spans="1:17" ht="15" x14ac:dyDescent="0.15">
      <c r="A1891" s="22"/>
      <c r="B1891" s="26" t="str">
        <f t="shared" si="116"/>
        <v/>
      </c>
      <c r="C1891" s="26" t="str">
        <f t="shared" si="117"/>
        <v/>
      </c>
      <c r="D1891" s="26" t="str">
        <f t="shared" si="118"/>
        <v/>
      </c>
      <c r="E1891" s="29"/>
      <c r="F1891" s="22"/>
      <c r="G1891" s="22"/>
      <c r="H1891" s="22"/>
      <c r="I1891" s="24"/>
      <c r="J1891" s="24"/>
      <c r="K1891" s="24"/>
      <c r="L1891" s="24"/>
      <c r="M1891" s="27" t="str">
        <f t="shared" si="119"/>
        <v/>
      </c>
      <c r="N1891" s="25"/>
      <c r="O1891" s="22"/>
      <c r="P1891" s="24"/>
      <c r="Q1891" s="26"/>
    </row>
    <row r="1892" spans="1:17" ht="15" x14ac:dyDescent="0.15">
      <c r="A1892" s="22"/>
      <c r="B1892" s="26" t="str">
        <f t="shared" si="116"/>
        <v/>
      </c>
      <c r="C1892" s="26" t="str">
        <f t="shared" si="117"/>
        <v/>
      </c>
      <c r="D1892" s="26" t="str">
        <f t="shared" si="118"/>
        <v/>
      </c>
      <c r="E1892" s="29"/>
      <c r="F1892" s="22"/>
      <c r="G1892" s="22"/>
      <c r="H1892" s="22"/>
      <c r="I1892" s="24"/>
      <c r="J1892" s="24"/>
      <c r="K1892" s="24"/>
      <c r="L1892" s="24"/>
      <c r="M1892" s="27" t="str">
        <f t="shared" si="119"/>
        <v/>
      </c>
      <c r="N1892" s="25"/>
      <c r="O1892" s="22"/>
      <c r="P1892" s="24"/>
      <c r="Q1892" s="26"/>
    </row>
    <row r="1893" spans="1:17" ht="15" x14ac:dyDescent="0.15">
      <c r="A1893" s="22"/>
      <c r="B1893" s="26" t="str">
        <f t="shared" si="116"/>
        <v/>
      </c>
      <c r="C1893" s="26" t="str">
        <f t="shared" si="117"/>
        <v/>
      </c>
      <c r="D1893" s="26" t="str">
        <f t="shared" si="118"/>
        <v/>
      </c>
      <c r="E1893" s="29"/>
      <c r="F1893" s="22"/>
      <c r="G1893" s="22"/>
      <c r="H1893" s="22"/>
      <c r="I1893" s="24"/>
      <c r="J1893" s="24"/>
      <c r="K1893" s="24"/>
      <c r="L1893" s="24"/>
      <c r="M1893" s="27" t="str">
        <f t="shared" si="119"/>
        <v/>
      </c>
      <c r="N1893" s="25"/>
      <c r="O1893" s="22"/>
      <c r="P1893" s="24"/>
      <c r="Q1893" s="26"/>
    </row>
    <row r="1894" spans="1:17" ht="15" x14ac:dyDescent="0.15">
      <c r="A1894" s="22"/>
      <c r="B1894" s="26" t="str">
        <f t="shared" si="116"/>
        <v/>
      </c>
      <c r="C1894" s="26" t="str">
        <f t="shared" si="117"/>
        <v/>
      </c>
      <c r="D1894" s="26" t="str">
        <f t="shared" si="118"/>
        <v/>
      </c>
      <c r="E1894" s="29"/>
      <c r="F1894" s="22"/>
      <c r="G1894" s="22"/>
      <c r="H1894" s="22"/>
      <c r="I1894" s="24"/>
      <c r="J1894" s="24"/>
      <c r="K1894" s="24"/>
      <c r="L1894" s="24"/>
      <c r="M1894" s="27" t="str">
        <f t="shared" si="119"/>
        <v/>
      </c>
      <c r="N1894" s="25"/>
      <c r="O1894" s="22"/>
      <c r="P1894" s="24"/>
      <c r="Q1894" s="26"/>
    </row>
    <row r="1895" spans="1:17" ht="15" x14ac:dyDescent="0.15">
      <c r="A1895" s="22"/>
      <c r="B1895" s="26" t="str">
        <f t="shared" si="116"/>
        <v/>
      </c>
      <c r="C1895" s="26" t="str">
        <f t="shared" si="117"/>
        <v/>
      </c>
      <c r="D1895" s="26" t="str">
        <f t="shared" si="118"/>
        <v/>
      </c>
      <c r="E1895" s="29"/>
      <c r="F1895" s="22"/>
      <c r="G1895" s="22"/>
      <c r="H1895" s="22"/>
      <c r="I1895" s="24"/>
      <c r="J1895" s="24"/>
      <c r="K1895" s="24"/>
      <c r="L1895" s="24"/>
      <c r="M1895" s="27" t="str">
        <f t="shared" si="119"/>
        <v/>
      </c>
      <c r="N1895" s="25"/>
      <c r="O1895" s="22"/>
      <c r="P1895" s="24"/>
      <c r="Q1895" s="26"/>
    </row>
    <row r="1896" spans="1:17" ht="15" x14ac:dyDescent="0.15">
      <c r="A1896" s="22"/>
      <c r="B1896" s="26" t="str">
        <f t="shared" si="116"/>
        <v/>
      </c>
      <c r="C1896" s="26" t="str">
        <f t="shared" si="117"/>
        <v/>
      </c>
      <c r="D1896" s="26" t="str">
        <f t="shared" si="118"/>
        <v/>
      </c>
      <c r="E1896" s="29"/>
      <c r="F1896" s="22"/>
      <c r="G1896" s="22"/>
      <c r="H1896" s="22"/>
      <c r="I1896" s="24"/>
      <c r="J1896" s="24"/>
      <c r="K1896" s="24"/>
      <c r="L1896" s="24"/>
      <c r="M1896" s="27" t="str">
        <f t="shared" si="119"/>
        <v/>
      </c>
      <c r="N1896" s="25"/>
      <c r="O1896" s="22"/>
      <c r="P1896" s="24"/>
      <c r="Q1896" s="26"/>
    </row>
    <row r="1897" spans="1:17" ht="15" x14ac:dyDescent="0.15">
      <c r="A1897" s="22"/>
      <c r="B1897" s="26" t="str">
        <f t="shared" si="116"/>
        <v/>
      </c>
      <c r="C1897" s="26" t="str">
        <f t="shared" si="117"/>
        <v/>
      </c>
      <c r="D1897" s="26" t="str">
        <f t="shared" si="118"/>
        <v/>
      </c>
      <c r="E1897" s="29"/>
      <c r="F1897" s="22"/>
      <c r="G1897" s="22"/>
      <c r="H1897" s="22"/>
      <c r="I1897" s="24"/>
      <c r="J1897" s="24"/>
      <c r="K1897" s="24"/>
      <c r="L1897" s="24"/>
      <c r="M1897" s="27" t="str">
        <f t="shared" si="119"/>
        <v/>
      </c>
      <c r="N1897" s="25"/>
      <c r="O1897" s="22"/>
      <c r="P1897" s="24"/>
      <c r="Q1897" s="26"/>
    </row>
    <row r="1898" spans="1:17" ht="15" x14ac:dyDescent="0.15">
      <c r="A1898" s="22"/>
      <c r="B1898" s="26" t="str">
        <f t="shared" si="116"/>
        <v/>
      </c>
      <c r="C1898" s="26" t="str">
        <f t="shared" si="117"/>
        <v/>
      </c>
      <c r="D1898" s="26" t="str">
        <f t="shared" si="118"/>
        <v/>
      </c>
      <c r="E1898" s="29"/>
      <c r="F1898" s="22"/>
      <c r="G1898" s="22"/>
      <c r="H1898" s="22"/>
      <c r="I1898" s="24"/>
      <c r="J1898" s="24"/>
      <c r="K1898" s="24"/>
      <c r="L1898" s="24"/>
      <c r="M1898" s="27" t="str">
        <f t="shared" si="119"/>
        <v/>
      </c>
      <c r="N1898" s="25"/>
      <c r="O1898" s="22"/>
      <c r="P1898" s="24"/>
      <c r="Q1898" s="26"/>
    </row>
    <row r="1899" spans="1:17" ht="15" x14ac:dyDescent="0.15">
      <c r="A1899" s="22"/>
      <c r="B1899" s="26" t="str">
        <f t="shared" si="116"/>
        <v/>
      </c>
      <c r="C1899" s="26" t="str">
        <f t="shared" si="117"/>
        <v/>
      </c>
      <c r="D1899" s="26" t="str">
        <f t="shared" si="118"/>
        <v/>
      </c>
      <c r="E1899" s="29"/>
      <c r="F1899" s="22"/>
      <c r="G1899" s="22"/>
      <c r="H1899" s="22"/>
      <c r="I1899" s="24"/>
      <c r="J1899" s="24"/>
      <c r="K1899" s="24"/>
      <c r="L1899" s="24"/>
      <c r="M1899" s="27" t="str">
        <f t="shared" si="119"/>
        <v/>
      </c>
      <c r="N1899" s="25"/>
      <c r="O1899" s="22"/>
      <c r="P1899" s="24"/>
      <c r="Q1899" s="26"/>
    </row>
    <row r="1900" spans="1:17" ht="15" x14ac:dyDescent="0.15">
      <c r="A1900" s="22"/>
      <c r="B1900" s="26" t="str">
        <f t="shared" si="116"/>
        <v/>
      </c>
      <c r="C1900" s="26" t="str">
        <f t="shared" si="117"/>
        <v/>
      </c>
      <c r="D1900" s="26" t="str">
        <f t="shared" si="118"/>
        <v/>
      </c>
      <c r="E1900" s="29"/>
      <c r="F1900" s="22"/>
      <c r="G1900" s="22"/>
      <c r="H1900" s="22"/>
      <c r="I1900" s="24"/>
      <c r="J1900" s="24"/>
      <c r="K1900" s="24"/>
      <c r="L1900" s="24"/>
      <c r="M1900" s="27" t="str">
        <f t="shared" si="119"/>
        <v/>
      </c>
      <c r="N1900" s="25"/>
      <c r="O1900" s="22"/>
      <c r="P1900" s="24"/>
      <c r="Q1900" s="26"/>
    </row>
    <row r="1901" spans="1:17" ht="15" x14ac:dyDescent="0.15">
      <c r="A1901" s="22"/>
      <c r="B1901" s="26" t="str">
        <f t="shared" si="116"/>
        <v/>
      </c>
      <c r="C1901" s="26" t="str">
        <f t="shared" si="117"/>
        <v/>
      </c>
      <c r="D1901" s="26" t="str">
        <f t="shared" si="118"/>
        <v/>
      </c>
      <c r="E1901" s="29"/>
      <c r="F1901" s="22"/>
      <c r="G1901" s="22"/>
      <c r="H1901" s="22"/>
      <c r="I1901" s="24"/>
      <c r="J1901" s="24"/>
      <c r="K1901" s="24"/>
      <c r="L1901" s="24"/>
      <c r="M1901" s="27" t="str">
        <f t="shared" si="119"/>
        <v/>
      </c>
      <c r="N1901" s="25"/>
      <c r="O1901" s="22"/>
      <c r="P1901" s="24"/>
      <c r="Q1901" s="26"/>
    </row>
    <row r="1902" spans="1:17" ht="15" x14ac:dyDescent="0.15">
      <c r="A1902" s="22"/>
      <c r="B1902" s="26" t="str">
        <f t="shared" si="116"/>
        <v/>
      </c>
      <c r="C1902" s="26" t="str">
        <f t="shared" si="117"/>
        <v/>
      </c>
      <c r="D1902" s="26" t="str">
        <f t="shared" si="118"/>
        <v/>
      </c>
      <c r="E1902" s="29"/>
      <c r="F1902" s="22"/>
      <c r="G1902" s="22"/>
      <c r="H1902" s="22"/>
      <c r="I1902" s="24"/>
      <c r="J1902" s="24"/>
      <c r="K1902" s="24"/>
      <c r="L1902" s="24"/>
      <c r="M1902" s="27" t="str">
        <f t="shared" si="119"/>
        <v/>
      </c>
      <c r="N1902" s="25"/>
      <c r="O1902" s="22"/>
      <c r="P1902" s="24"/>
      <c r="Q1902" s="26"/>
    </row>
    <row r="1903" spans="1:17" ht="15" x14ac:dyDescent="0.15">
      <c r="A1903" s="22"/>
      <c r="B1903" s="26" t="str">
        <f t="shared" si="116"/>
        <v/>
      </c>
      <c r="C1903" s="26" t="str">
        <f t="shared" si="117"/>
        <v/>
      </c>
      <c r="D1903" s="26" t="str">
        <f t="shared" si="118"/>
        <v/>
      </c>
      <c r="E1903" s="29"/>
      <c r="F1903" s="22"/>
      <c r="G1903" s="22"/>
      <c r="H1903" s="22"/>
      <c r="I1903" s="24"/>
      <c r="J1903" s="24"/>
      <c r="K1903" s="24"/>
      <c r="L1903" s="24"/>
      <c r="M1903" s="27" t="str">
        <f t="shared" si="119"/>
        <v/>
      </c>
      <c r="N1903" s="25"/>
      <c r="O1903" s="22"/>
      <c r="P1903" s="24"/>
      <c r="Q1903" s="26"/>
    </row>
    <row r="1904" spans="1:17" ht="15" x14ac:dyDescent="0.15">
      <c r="A1904" s="22"/>
      <c r="B1904" s="26" t="str">
        <f t="shared" si="116"/>
        <v/>
      </c>
      <c r="C1904" s="26" t="str">
        <f t="shared" si="117"/>
        <v/>
      </c>
      <c r="D1904" s="26" t="str">
        <f t="shared" si="118"/>
        <v/>
      </c>
      <c r="E1904" s="29"/>
      <c r="F1904" s="22"/>
      <c r="G1904" s="22"/>
      <c r="H1904" s="22"/>
      <c r="I1904" s="24"/>
      <c r="J1904" s="24"/>
      <c r="K1904" s="24"/>
      <c r="L1904" s="24"/>
      <c r="M1904" s="27" t="str">
        <f t="shared" si="119"/>
        <v/>
      </c>
      <c r="N1904" s="25"/>
      <c r="O1904" s="22"/>
      <c r="P1904" s="24"/>
      <c r="Q1904" s="26"/>
    </row>
    <row r="1905" spans="1:17" ht="15" x14ac:dyDescent="0.15">
      <c r="A1905" s="22"/>
      <c r="B1905" s="26" t="str">
        <f t="shared" si="116"/>
        <v/>
      </c>
      <c r="C1905" s="26" t="str">
        <f t="shared" si="117"/>
        <v/>
      </c>
      <c r="D1905" s="26" t="str">
        <f t="shared" si="118"/>
        <v/>
      </c>
      <c r="E1905" s="29"/>
      <c r="F1905" s="22"/>
      <c r="G1905" s="22"/>
      <c r="H1905" s="22"/>
      <c r="I1905" s="24"/>
      <c r="J1905" s="24"/>
      <c r="K1905" s="24"/>
      <c r="L1905" s="24"/>
      <c r="M1905" s="27" t="str">
        <f t="shared" si="119"/>
        <v/>
      </c>
      <c r="N1905" s="25"/>
      <c r="O1905" s="22"/>
      <c r="P1905" s="24"/>
      <c r="Q1905" s="26"/>
    </row>
    <row r="1906" spans="1:17" ht="15" x14ac:dyDescent="0.15">
      <c r="A1906" s="22"/>
      <c r="B1906" s="26" t="str">
        <f t="shared" si="116"/>
        <v/>
      </c>
      <c r="C1906" s="26" t="str">
        <f t="shared" si="117"/>
        <v/>
      </c>
      <c r="D1906" s="26" t="str">
        <f t="shared" si="118"/>
        <v/>
      </c>
      <c r="E1906" s="29"/>
      <c r="F1906" s="22"/>
      <c r="G1906" s="22"/>
      <c r="H1906" s="22"/>
      <c r="I1906" s="24"/>
      <c r="J1906" s="24"/>
      <c r="K1906" s="24"/>
      <c r="L1906" s="24"/>
      <c r="M1906" s="27" t="str">
        <f t="shared" si="119"/>
        <v/>
      </c>
      <c r="N1906" s="25"/>
      <c r="O1906" s="22"/>
      <c r="P1906" s="24"/>
      <c r="Q1906" s="26"/>
    </row>
    <row r="1907" spans="1:17" ht="15" x14ac:dyDescent="0.15">
      <c r="A1907" s="22"/>
      <c r="B1907" s="26" t="str">
        <f t="shared" si="116"/>
        <v/>
      </c>
      <c r="C1907" s="26" t="str">
        <f t="shared" si="117"/>
        <v/>
      </c>
      <c r="D1907" s="26" t="str">
        <f t="shared" si="118"/>
        <v/>
      </c>
      <c r="E1907" s="29"/>
      <c r="F1907" s="22"/>
      <c r="G1907" s="22"/>
      <c r="H1907" s="22"/>
      <c r="I1907" s="24"/>
      <c r="J1907" s="24"/>
      <c r="K1907" s="24"/>
      <c r="L1907" s="24"/>
      <c r="M1907" s="27" t="str">
        <f t="shared" si="119"/>
        <v/>
      </c>
      <c r="N1907" s="25"/>
      <c r="O1907" s="22"/>
      <c r="P1907" s="24"/>
      <c r="Q1907" s="26"/>
    </row>
    <row r="1908" spans="1:17" ht="15" x14ac:dyDescent="0.15">
      <c r="A1908" s="22"/>
      <c r="B1908" s="26" t="str">
        <f t="shared" si="116"/>
        <v/>
      </c>
      <c r="C1908" s="26" t="str">
        <f t="shared" si="117"/>
        <v/>
      </c>
      <c r="D1908" s="26" t="str">
        <f t="shared" si="118"/>
        <v/>
      </c>
      <c r="E1908" s="29"/>
      <c r="F1908" s="22"/>
      <c r="G1908" s="22"/>
      <c r="H1908" s="22"/>
      <c r="I1908" s="24"/>
      <c r="J1908" s="24"/>
      <c r="K1908" s="24"/>
      <c r="L1908" s="24"/>
      <c r="M1908" s="27" t="str">
        <f t="shared" si="119"/>
        <v/>
      </c>
      <c r="N1908" s="25"/>
      <c r="O1908" s="22"/>
      <c r="P1908" s="24"/>
      <c r="Q1908" s="26"/>
    </row>
    <row r="1909" spans="1:17" ht="15" x14ac:dyDescent="0.15">
      <c r="A1909" s="22"/>
      <c r="B1909" s="26" t="str">
        <f t="shared" si="116"/>
        <v/>
      </c>
      <c r="C1909" s="26" t="str">
        <f t="shared" si="117"/>
        <v/>
      </c>
      <c r="D1909" s="26" t="str">
        <f t="shared" si="118"/>
        <v/>
      </c>
      <c r="E1909" s="29"/>
      <c r="F1909" s="22"/>
      <c r="G1909" s="22"/>
      <c r="H1909" s="22"/>
      <c r="I1909" s="24"/>
      <c r="J1909" s="24"/>
      <c r="K1909" s="24"/>
      <c r="L1909" s="24"/>
      <c r="M1909" s="27" t="str">
        <f t="shared" si="119"/>
        <v/>
      </c>
      <c r="N1909" s="25"/>
      <c r="O1909" s="22"/>
      <c r="P1909" s="24"/>
      <c r="Q1909" s="26"/>
    </row>
    <row r="1910" spans="1:17" ht="15" x14ac:dyDescent="0.15">
      <c r="A1910" s="22"/>
      <c r="B1910" s="26" t="str">
        <f t="shared" si="116"/>
        <v/>
      </c>
      <c r="C1910" s="26" t="str">
        <f t="shared" si="117"/>
        <v/>
      </c>
      <c r="D1910" s="26" t="str">
        <f t="shared" si="118"/>
        <v/>
      </c>
      <c r="E1910" s="29"/>
      <c r="F1910" s="22"/>
      <c r="G1910" s="22"/>
      <c r="H1910" s="22"/>
      <c r="I1910" s="24"/>
      <c r="J1910" s="24"/>
      <c r="K1910" s="24"/>
      <c r="L1910" s="24"/>
      <c r="M1910" s="27" t="str">
        <f t="shared" si="119"/>
        <v/>
      </c>
      <c r="N1910" s="25"/>
      <c r="O1910" s="22"/>
      <c r="P1910" s="24"/>
      <c r="Q1910" s="26"/>
    </row>
    <row r="1911" spans="1:17" ht="15" x14ac:dyDescent="0.15">
      <c r="A1911" s="22"/>
      <c r="B1911" s="26" t="str">
        <f t="shared" si="116"/>
        <v/>
      </c>
      <c r="C1911" s="26" t="str">
        <f t="shared" si="117"/>
        <v/>
      </c>
      <c r="D1911" s="26" t="str">
        <f t="shared" si="118"/>
        <v/>
      </c>
      <c r="E1911" s="29"/>
      <c r="F1911" s="22"/>
      <c r="G1911" s="22"/>
      <c r="H1911" s="22"/>
      <c r="I1911" s="24"/>
      <c r="J1911" s="24"/>
      <c r="K1911" s="24"/>
      <c r="L1911" s="24"/>
      <c r="M1911" s="27" t="str">
        <f t="shared" si="119"/>
        <v/>
      </c>
      <c r="N1911" s="25"/>
      <c r="O1911" s="22"/>
      <c r="P1911" s="24"/>
      <c r="Q1911" s="26"/>
    </row>
    <row r="1912" spans="1:17" ht="15" x14ac:dyDescent="0.15">
      <c r="A1912" s="22"/>
      <c r="B1912" s="26" t="str">
        <f t="shared" si="116"/>
        <v/>
      </c>
      <c r="C1912" s="26" t="str">
        <f t="shared" si="117"/>
        <v/>
      </c>
      <c r="D1912" s="26" t="str">
        <f t="shared" si="118"/>
        <v/>
      </c>
      <c r="E1912" s="29"/>
      <c r="F1912" s="22"/>
      <c r="G1912" s="22"/>
      <c r="H1912" s="22"/>
      <c r="I1912" s="24"/>
      <c r="J1912" s="24"/>
      <c r="K1912" s="24"/>
      <c r="L1912" s="24"/>
      <c r="M1912" s="27" t="str">
        <f t="shared" si="119"/>
        <v/>
      </c>
      <c r="N1912" s="25"/>
      <c r="O1912" s="22"/>
      <c r="P1912" s="24"/>
      <c r="Q1912" s="26"/>
    </row>
    <row r="1913" spans="1:17" ht="15" x14ac:dyDescent="0.15">
      <c r="A1913" s="22"/>
      <c r="B1913" s="26" t="str">
        <f t="shared" si="116"/>
        <v/>
      </c>
      <c r="C1913" s="26" t="str">
        <f t="shared" si="117"/>
        <v/>
      </c>
      <c r="D1913" s="26" t="str">
        <f t="shared" si="118"/>
        <v/>
      </c>
      <c r="E1913" s="29"/>
      <c r="F1913" s="22"/>
      <c r="G1913" s="22"/>
      <c r="H1913" s="22"/>
      <c r="I1913" s="24"/>
      <c r="J1913" s="24"/>
      <c r="K1913" s="24"/>
      <c r="L1913" s="24"/>
      <c r="M1913" s="27" t="str">
        <f t="shared" si="119"/>
        <v/>
      </c>
      <c r="N1913" s="25"/>
      <c r="O1913" s="22"/>
      <c r="P1913" s="24"/>
      <c r="Q1913" s="26"/>
    </row>
    <row r="1914" spans="1:17" ht="15" x14ac:dyDescent="0.15">
      <c r="A1914" s="22"/>
      <c r="B1914" s="26" t="str">
        <f t="shared" si="116"/>
        <v/>
      </c>
      <c r="C1914" s="26" t="str">
        <f t="shared" si="117"/>
        <v/>
      </c>
      <c r="D1914" s="26" t="str">
        <f t="shared" si="118"/>
        <v/>
      </c>
      <c r="E1914" s="29"/>
      <c r="F1914" s="22"/>
      <c r="G1914" s="22"/>
      <c r="H1914" s="22"/>
      <c r="I1914" s="24"/>
      <c r="J1914" s="24"/>
      <c r="K1914" s="24"/>
      <c r="L1914" s="24"/>
      <c r="M1914" s="27" t="str">
        <f t="shared" si="119"/>
        <v/>
      </c>
      <c r="N1914" s="25"/>
      <c r="O1914" s="22"/>
      <c r="P1914" s="24"/>
      <c r="Q1914" s="26"/>
    </row>
    <row r="1915" spans="1:17" ht="15" x14ac:dyDescent="0.15">
      <c r="A1915" s="22"/>
      <c r="B1915" s="26" t="str">
        <f t="shared" si="116"/>
        <v/>
      </c>
      <c r="C1915" s="26" t="str">
        <f t="shared" si="117"/>
        <v/>
      </c>
      <c r="D1915" s="26" t="str">
        <f t="shared" si="118"/>
        <v/>
      </c>
      <c r="E1915" s="29"/>
      <c r="F1915" s="22"/>
      <c r="G1915" s="22"/>
      <c r="H1915" s="22"/>
      <c r="I1915" s="24"/>
      <c r="J1915" s="24"/>
      <c r="K1915" s="24"/>
      <c r="L1915" s="24"/>
      <c r="M1915" s="27" t="str">
        <f t="shared" si="119"/>
        <v/>
      </c>
      <c r="N1915" s="25"/>
      <c r="O1915" s="22"/>
      <c r="P1915" s="24"/>
      <c r="Q1915" s="26"/>
    </row>
    <row r="1916" spans="1:17" ht="15" x14ac:dyDescent="0.15">
      <c r="A1916" s="22"/>
      <c r="B1916" s="26" t="str">
        <f t="shared" si="116"/>
        <v/>
      </c>
      <c r="C1916" s="26" t="str">
        <f t="shared" si="117"/>
        <v/>
      </c>
      <c r="D1916" s="26" t="str">
        <f t="shared" si="118"/>
        <v/>
      </c>
      <c r="E1916" s="29"/>
      <c r="F1916" s="22"/>
      <c r="G1916" s="22"/>
      <c r="H1916" s="22"/>
      <c r="I1916" s="24"/>
      <c r="J1916" s="24"/>
      <c r="K1916" s="24"/>
      <c r="L1916" s="24"/>
      <c r="M1916" s="27" t="str">
        <f t="shared" si="119"/>
        <v/>
      </c>
      <c r="N1916" s="25"/>
      <c r="O1916" s="22"/>
      <c r="P1916" s="24"/>
      <c r="Q1916" s="26"/>
    </row>
    <row r="1917" spans="1:17" ht="15" x14ac:dyDescent="0.15">
      <c r="A1917" s="22"/>
      <c r="B1917" s="26" t="str">
        <f t="shared" si="116"/>
        <v/>
      </c>
      <c r="C1917" s="26" t="str">
        <f t="shared" si="117"/>
        <v/>
      </c>
      <c r="D1917" s="26" t="str">
        <f t="shared" si="118"/>
        <v/>
      </c>
      <c r="E1917" s="29"/>
      <c r="F1917" s="22"/>
      <c r="G1917" s="22"/>
      <c r="H1917" s="22"/>
      <c r="I1917" s="24"/>
      <c r="J1917" s="24"/>
      <c r="K1917" s="24"/>
      <c r="L1917" s="24"/>
      <c r="M1917" s="27" t="str">
        <f t="shared" si="119"/>
        <v/>
      </c>
      <c r="N1917" s="25"/>
      <c r="O1917" s="22"/>
      <c r="P1917" s="24"/>
      <c r="Q1917" s="26"/>
    </row>
    <row r="1918" spans="1:17" ht="15" x14ac:dyDescent="0.15">
      <c r="A1918" s="22"/>
      <c r="B1918" s="26" t="str">
        <f t="shared" si="116"/>
        <v/>
      </c>
      <c r="C1918" s="26" t="str">
        <f t="shared" si="117"/>
        <v/>
      </c>
      <c r="D1918" s="26" t="str">
        <f t="shared" si="118"/>
        <v/>
      </c>
      <c r="E1918" s="29"/>
      <c r="F1918" s="22"/>
      <c r="G1918" s="22"/>
      <c r="H1918" s="22"/>
      <c r="I1918" s="24"/>
      <c r="J1918" s="24"/>
      <c r="K1918" s="24"/>
      <c r="L1918" s="24"/>
      <c r="M1918" s="27" t="str">
        <f t="shared" si="119"/>
        <v/>
      </c>
      <c r="N1918" s="25"/>
      <c r="O1918" s="22"/>
      <c r="P1918" s="24"/>
      <c r="Q1918" s="26"/>
    </row>
    <row r="1919" spans="1:17" ht="15" x14ac:dyDescent="0.15">
      <c r="A1919" s="22"/>
      <c r="B1919" s="26" t="str">
        <f t="shared" si="116"/>
        <v/>
      </c>
      <c r="C1919" s="26" t="str">
        <f t="shared" si="117"/>
        <v/>
      </c>
      <c r="D1919" s="26" t="str">
        <f t="shared" si="118"/>
        <v/>
      </c>
      <c r="E1919" s="29"/>
      <c r="F1919" s="22"/>
      <c r="G1919" s="22"/>
      <c r="H1919" s="22"/>
      <c r="I1919" s="24"/>
      <c r="J1919" s="24"/>
      <c r="K1919" s="24"/>
      <c r="L1919" s="24"/>
      <c r="M1919" s="27" t="str">
        <f t="shared" si="119"/>
        <v/>
      </c>
      <c r="N1919" s="25"/>
      <c r="O1919" s="22"/>
      <c r="P1919" s="24"/>
      <c r="Q1919" s="26"/>
    </row>
    <row r="1920" spans="1:17" ht="15" x14ac:dyDescent="0.15">
      <c r="A1920" s="22"/>
      <c r="B1920" s="26" t="str">
        <f t="shared" si="116"/>
        <v/>
      </c>
      <c r="C1920" s="26" t="str">
        <f t="shared" si="117"/>
        <v/>
      </c>
      <c r="D1920" s="26" t="str">
        <f t="shared" si="118"/>
        <v/>
      </c>
      <c r="E1920" s="29"/>
      <c r="F1920" s="22"/>
      <c r="G1920" s="22"/>
      <c r="H1920" s="22"/>
      <c r="I1920" s="24"/>
      <c r="J1920" s="24"/>
      <c r="K1920" s="24"/>
      <c r="L1920" s="24"/>
      <c r="M1920" s="27" t="str">
        <f t="shared" si="119"/>
        <v/>
      </c>
      <c r="N1920" s="25"/>
      <c r="O1920" s="22"/>
      <c r="P1920" s="24"/>
      <c r="Q1920" s="26"/>
    </row>
    <row r="1921" spans="1:17" ht="15" x14ac:dyDescent="0.15">
      <c r="A1921" s="22"/>
      <c r="B1921" s="26" t="str">
        <f t="shared" si="116"/>
        <v/>
      </c>
      <c r="C1921" s="26" t="str">
        <f t="shared" si="117"/>
        <v/>
      </c>
      <c r="D1921" s="26" t="str">
        <f t="shared" si="118"/>
        <v/>
      </c>
      <c r="E1921" s="29"/>
      <c r="F1921" s="22"/>
      <c r="G1921" s="22"/>
      <c r="H1921" s="22"/>
      <c r="I1921" s="24"/>
      <c r="J1921" s="24"/>
      <c r="K1921" s="24"/>
      <c r="L1921" s="24"/>
      <c r="M1921" s="27" t="str">
        <f t="shared" si="119"/>
        <v/>
      </c>
      <c r="N1921" s="25"/>
      <c r="O1921" s="22"/>
      <c r="P1921" s="24"/>
      <c r="Q1921" s="26"/>
    </row>
    <row r="1922" spans="1:17" ht="15" x14ac:dyDescent="0.15">
      <c r="A1922" s="22"/>
      <c r="B1922" s="26" t="str">
        <f t="shared" si="116"/>
        <v/>
      </c>
      <c r="C1922" s="26" t="str">
        <f t="shared" si="117"/>
        <v/>
      </c>
      <c r="D1922" s="26" t="str">
        <f t="shared" si="118"/>
        <v/>
      </c>
      <c r="E1922" s="29"/>
      <c r="F1922" s="22"/>
      <c r="G1922" s="22"/>
      <c r="H1922" s="22"/>
      <c r="I1922" s="24"/>
      <c r="J1922" s="24"/>
      <c r="K1922" s="24"/>
      <c r="L1922" s="24"/>
      <c r="M1922" s="27" t="str">
        <f t="shared" si="119"/>
        <v/>
      </c>
      <c r="N1922" s="25"/>
      <c r="O1922" s="22"/>
      <c r="P1922" s="24"/>
      <c r="Q1922" s="26"/>
    </row>
    <row r="1923" spans="1:17" ht="15" x14ac:dyDescent="0.15">
      <c r="A1923" s="22"/>
      <c r="B1923" s="26" t="str">
        <f t="shared" si="116"/>
        <v/>
      </c>
      <c r="C1923" s="26" t="str">
        <f t="shared" si="117"/>
        <v/>
      </c>
      <c r="D1923" s="26" t="str">
        <f t="shared" si="118"/>
        <v/>
      </c>
      <c r="E1923" s="29"/>
      <c r="F1923" s="22"/>
      <c r="G1923" s="22"/>
      <c r="H1923" s="22"/>
      <c r="I1923" s="24"/>
      <c r="J1923" s="24"/>
      <c r="K1923" s="24"/>
      <c r="L1923" s="24"/>
      <c r="M1923" s="27" t="str">
        <f t="shared" si="119"/>
        <v/>
      </c>
      <c r="N1923" s="25"/>
      <c r="O1923" s="22"/>
      <c r="P1923" s="24"/>
      <c r="Q1923" s="26"/>
    </row>
    <row r="1924" spans="1:17" ht="15" x14ac:dyDescent="0.15">
      <c r="A1924" s="22"/>
      <c r="B1924" s="26" t="str">
        <f t="shared" si="116"/>
        <v/>
      </c>
      <c r="C1924" s="26" t="str">
        <f t="shared" si="117"/>
        <v/>
      </c>
      <c r="D1924" s="26" t="str">
        <f t="shared" si="118"/>
        <v/>
      </c>
      <c r="E1924" s="29"/>
      <c r="F1924" s="22"/>
      <c r="G1924" s="22"/>
      <c r="H1924" s="22"/>
      <c r="I1924" s="24"/>
      <c r="J1924" s="24"/>
      <c r="K1924" s="24"/>
      <c r="L1924" s="24"/>
      <c r="M1924" s="27" t="str">
        <f t="shared" si="119"/>
        <v/>
      </c>
      <c r="N1924" s="25"/>
      <c r="O1924" s="22"/>
      <c r="P1924" s="24"/>
      <c r="Q1924" s="26"/>
    </row>
    <row r="1925" spans="1:17" ht="15" x14ac:dyDescent="0.15">
      <c r="A1925" s="22"/>
      <c r="B1925" s="26" t="str">
        <f t="shared" si="116"/>
        <v/>
      </c>
      <c r="C1925" s="26" t="str">
        <f t="shared" si="117"/>
        <v/>
      </c>
      <c r="D1925" s="26" t="str">
        <f t="shared" si="118"/>
        <v/>
      </c>
      <c r="E1925" s="29"/>
      <c r="F1925" s="22"/>
      <c r="G1925" s="22"/>
      <c r="H1925" s="22"/>
      <c r="I1925" s="24"/>
      <c r="J1925" s="24"/>
      <c r="K1925" s="24"/>
      <c r="L1925" s="24"/>
      <c r="M1925" s="27" t="str">
        <f t="shared" si="119"/>
        <v/>
      </c>
      <c r="N1925" s="25"/>
      <c r="O1925" s="22"/>
      <c r="P1925" s="24"/>
      <c r="Q1925" s="26"/>
    </row>
    <row r="1926" spans="1:17" ht="15" x14ac:dyDescent="0.15">
      <c r="A1926" s="22"/>
      <c r="B1926" s="26" t="str">
        <f t="shared" si="116"/>
        <v/>
      </c>
      <c r="C1926" s="26" t="str">
        <f t="shared" si="117"/>
        <v/>
      </c>
      <c r="D1926" s="26" t="str">
        <f t="shared" si="118"/>
        <v/>
      </c>
      <c r="E1926" s="29"/>
      <c r="F1926" s="22"/>
      <c r="G1926" s="22"/>
      <c r="H1926" s="22"/>
      <c r="I1926" s="24"/>
      <c r="J1926" s="24"/>
      <c r="K1926" s="24"/>
      <c r="L1926" s="24"/>
      <c r="M1926" s="27" t="str">
        <f t="shared" si="119"/>
        <v/>
      </c>
      <c r="N1926" s="25"/>
      <c r="O1926" s="22"/>
      <c r="P1926" s="24"/>
      <c r="Q1926" s="26"/>
    </row>
    <row r="1927" spans="1:17" ht="15" x14ac:dyDescent="0.15">
      <c r="A1927" s="22"/>
      <c r="B1927" s="26" t="str">
        <f t="shared" ref="B1927:B1990" si="120">IFERROR(IF($A1927="","",LEFT($A1927,FIND(" | ",$A1927)-1)),"")</f>
        <v/>
      </c>
      <c r="C1927" s="26" t="str">
        <f t="shared" ref="C1927:C1990" si="121">IFERROR(IF($A1927="","",MID($A1927,FIND(" | ",$A1927)+3,FIND(" | ",$A1927,FIND(" | ",$A1927)+3)-FIND(" | ",$A1927)-3)),"")</f>
        <v/>
      </c>
      <c r="D1927" s="26" t="str">
        <f t="shared" ref="D1927:D1990" si="122">IFERROR(IF($A1927="","",RIGHT($A1927,LEN($A1927)-FIND(" | ",$A1927,FIND(" | ",$A1927)+3)-2)),"")</f>
        <v/>
      </c>
      <c r="E1927" s="29"/>
      <c r="F1927" s="22"/>
      <c r="G1927" s="22"/>
      <c r="H1927" s="22"/>
      <c r="I1927" s="24"/>
      <c r="J1927" s="24"/>
      <c r="K1927" s="24"/>
      <c r="L1927" s="24"/>
      <c r="M1927" s="27" t="str">
        <f t="shared" ref="M1927:M1990" si="123">IF($B1927="","",SUM($J1927,-$K1927,$L1927))</f>
        <v/>
      </c>
      <c r="N1927" s="25"/>
      <c r="O1927" s="22"/>
      <c r="P1927" s="24"/>
      <c r="Q1927" s="26"/>
    </row>
    <row r="1928" spans="1:17" ht="15" x14ac:dyDescent="0.15">
      <c r="A1928" s="22"/>
      <c r="B1928" s="26" t="str">
        <f t="shared" si="120"/>
        <v/>
      </c>
      <c r="C1928" s="26" t="str">
        <f t="shared" si="121"/>
        <v/>
      </c>
      <c r="D1928" s="26" t="str">
        <f t="shared" si="122"/>
        <v/>
      </c>
      <c r="E1928" s="29"/>
      <c r="F1928" s="22"/>
      <c r="G1928" s="22"/>
      <c r="H1928" s="22"/>
      <c r="I1928" s="24"/>
      <c r="J1928" s="24"/>
      <c r="K1928" s="24"/>
      <c r="L1928" s="24"/>
      <c r="M1928" s="27" t="str">
        <f t="shared" si="123"/>
        <v/>
      </c>
      <c r="N1928" s="25"/>
      <c r="O1928" s="22"/>
      <c r="P1928" s="24"/>
      <c r="Q1928" s="26"/>
    </row>
    <row r="1929" spans="1:17" ht="15" x14ac:dyDescent="0.15">
      <c r="A1929" s="22"/>
      <c r="B1929" s="26" t="str">
        <f t="shared" si="120"/>
        <v/>
      </c>
      <c r="C1929" s="26" t="str">
        <f t="shared" si="121"/>
        <v/>
      </c>
      <c r="D1929" s="26" t="str">
        <f t="shared" si="122"/>
        <v/>
      </c>
      <c r="E1929" s="29"/>
      <c r="F1929" s="22"/>
      <c r="G1929" s="22"/>
      <c r="H1929" s="22"/>
      <c r="I1929" s="24"/>
      <c r="J1929" s="24"/>
      <c r="K1929" s="24"/>
      <c r="L1929" s="24"/>
      <c r="M1929" s="27" t="str">
        <f t="shared" si="123"/>
        <v/>
      </c>
      <c r="N1929" s="25"/>
      <c r="O1929" s="22"/>
      <c r="P1929" s="24"/>
      <c r="Q1929" s="26"/>
    </row>
    <row r="1930" spans="1:17" ht="15" x14ac:dyDescent="0.15">
      <c r="A1930" s="22"/>
      <c r="B1930" s="26" t="str">
        <f t="shared" si="120"/>
        <v/>
      </c>
      <c r="C1930" s="26" t="str">
        <f t="shared" si="121"/>
        <v/>
      </c>
      <c r="D1930" s="26" t="str">
        <f t="shared" si="122"/>
        <v/>
      </c>
      <c r="E1930" s="29"/>
      <c r="F1930" s="22"/>
      <c r="G1930" s="22"/>
      <c r="H1930" s="22"/>
      <c r="I1930" s="24"/>
      <c r="J1930" s="24"/>
      <c r="K1930" s="24"/>
      <c r="L1930" s="24"/>
      <c r="M1930" s="27" t="str">
        <f t="shared" si="123"/>
        <v/>
      </c>
      <c r="N1930" s="25"/>
      <c r="O1930" s="22"/>
      <c r="P1930" s="24"/>
      <c r="Q1930" s="26"/>
    </row>
    <row r="1931" spans="1:17" ht="15" x14ac:dyDescent="0.15">
      <c r="A1931" s="22"/>
      <c r="B1931" s="26" t="str">
        <f t="shared" si="120"/>
        <v/>
      </c>
      <c r="C1931" s="26" t="str">
        <f t="shared" si="121"/>
        <v/>
      </c>
      <c r="D1931" s="26" t="str">
        <f t="shared" si="122"/>
        <v/>
      </c>
      <c r="E1931" s="29"/>
      <c r="F1931" s="22"/>
      <c r="G1931" s="22"/>
      <c r="H1931" s="22"/>
      <c r="I1931" s="24"/>
      <c r="J1931" s="24"/>
      <c r="K1931" s="24"/>
      <c r="L1931" s="24"/>
      <c r="M1931" s="27" t="str">
        <f t="shared" si="123"/>
        <v/>
      </c>
      <c r="N1931" s="25"/>
      <c r="O1931" s="22"/>
      <c r="P1931" s="24"/>
      <c r="Q1931" s="26"/>
    </row>
    <row r="1932" spans="1:17" ht="15" x14ac:dyDescent="0.15">
      <c r="A1932" s="22"/>
      <c r="B1932" s="26" t="str">
        <f t="shared" si="120"/>
        <v/>
      </c>
      <c r="C1932" s="26" t="str">
        <f t="shared" si="121"/>
        <v/>
      </c>
      <c r="D1932" s="26" t="str">
        <f t="shared" si="122"/>
        <v/>
      </c>
      <c r="E1932" s="29"/>
      <c r="F1932" s="22"/>
      <c r="G1932" s="22"/>
      <c r="H1932" s="22"/>
      <c r="I1932" s="24"/>
      <c r="J1932" s="24"/>
      <c r="K1932" s="24"/>
      <c r="L1932" s="24"/>
      <c r="M1932" s="27" t="str">
        <f t="shared" si="123"/>
        <v/>
      </c>
      <c r="N1932" s="25"/>
      <c r="O1932" s="22"/>
      <c r="P1932" s="24"/>
      <c r="Q1932" s="26"/>
    </row>
    <row r="1933" spans="1:17" ht="15" x14ac:dyDescent="0.15">
      <c r="A1933" s="22"/>
      <c r="B1933" s="26" t="str">
        <f t="shared" si="120"/>
        <v/>
      </c>
      <c r="C1933" s="26" t="str">
        <f t="shared" si="121"/>
        <v/>
      </c>
      <c r="D1933" s="26" t="str">
        <f t="shared" si="122"/>
        <v/>
      </c>
      <c r="E1933" s="29"/>
      <c r="F1933" s="22"/>
      <c r="G1933" s="22"/>
      <c r="H1933" s="22"/>
      <c r="I1933" s="24"/>
      <c r="J1933" s="24"/>
      <c r="K1933" s="24"/>
      <c r="L1933" s="24"/>
      <c r="M1933" s="27" t="str">
        <f t="shared" si="123"/>
        <v/>
      </c>
      <c r="N1933" s="25"/>
      <c r="O1933" s="22"/>
      <c r="P1933" s="24"/>
      <c r="Q1933" s="26"/>
    </row>
    <row r="1934" spans="1:17" ht="15" x14ac:dyDescent="0.15">
      <c r="A1934" s="22"/>
      <c r="B1934" s="26" t="str">
        <f t="shared" si="120"/>
        <v/>
      </c>
      <c r="C1934" s="26" t="str">
        <f t="shared" si="121"/>
        <v/>
      </c>
      <c r="D1934" s="26" t="str">
        <f t="shared" si="122"/>
        <v/>
      </c>
      <c r="E1934" s="29"/>
      <c r="F1934" s="22"/>
      <c r="G1934" s="22"/>
      <c r="H1934" s="22"/>
      <c r="I1934" s="24"/>
      <c r="J1934" s="24"/>
      <c r="K1934" s="24"/>
      <c r="L1934" s="24"/>
      <c r="M1934" s="27" t="str">
        <f t="shared" si="123"/>
        <v/>
      </c>
      <c r="N1934" s="25"/>
      <c r="O1934" s="22"/>
      <c r="P1934" s="24"/>
      <c r="Q1934" s="26"/>
    </row>
    <row r="1935" spans="1:17" ht="15" x14ac:dyDescent="0.15">
      <c r="A1935" s="22"/>
      <c r="B1935" s="26" t="str">
        <f t="shared" si="120"/>
        <v/>
      </c>
      <c r="C1935" s="26" t="str">
        <f t="shared" si="121"/>
        <v/>
      </c>
      <c r="D1935" s="26" t="str">
        <f t="shared" si="122"/>
        <v/>
      </c>
      <c r="E1935" s="29"/>
      <c r="F1935" s="22"/>
      <c r="G1935" s="22"/>
      <c r="H1935" s="22"/>
      <c r="I1935" s="24"/>
      <c r="J1935" s="24"/>
      <c r="K1935" s="24"/>
      <c r="L1935" s="24"/>
      <c r="M1935" s="27" t="str">
        <f t="shared" si="123"/>
        <v/>
      </c>
      <c r="N1935" s="25"/>
      <c r="O1935" s="22"/>
      <c r="P1935" s="24"/>
      <c r="Q1935" s="26"/>
    </row>
    <row r="1936" spans="1:17" ht="15" x14ac:dyDescent="0.15">
      <c r="A1936" s="22"/>
      <c r="B1936" s="26" t="str">
        <f t="shared" si="120"/>
        <v/>
      </c>
      <c r="C1936" s="26" t="str">
        <f t="shared" si="121"/>
        <v/>
      </c>
      <c r="D1936" s="26" t="str">
        <f t="shared" si="122"/>
        <v/>
      </c>
      <c r="E1936" s="29"/>
      <c r="F1936" s="22"/>
      <c r="G1936" s="22"/>
      <c r="H1936" s="22"/>
      <c r="I1936" s="24"/>
      <c r="J1936" s="24"/>
      <c r="K1936" s="24"/>
      <c r="L1936" s="24"/>
      <c r="M1936" s="27" t="str">
        <f t="shared" si="123"/>
        <v/>
      </c>
      <c r="N1936" s="25"/>
      <c r="O1936" s="22"/>
      <c r="P1936" s="24"/>
      <c r="Q1936" s="26"/>
    </row>
    <row r="1937" spans="1:17" ht="15" x14ac:dyDescent="0.15">
      <c r="A1937" s="22"/>
      <c r="B1937" s="26" t="str">
        <f t="shared" si="120"/>
        <v/>
      </c>
      <c r="C1937" s="26" t="str">
        <f t="shared" si="121"/>
        <v/>
      </c>
      <c r="D1937" s="26" t="str">
        <f t="shared" si="122"/>
        <v/>
      </c>
      <c r="E1937" s="29"/>
      <c r="F1937" s="22"/>
      <c r="G1937" s="22"/>
      <c r="H1937" s="22"/>
      <c r="I1937" s="24"/>
      <c r="J1937" s="24"/>
      <c r="K1937" s="24"/>
      <c r="L1937" s="24"/>
      <c r="M1937" s="27" t="str">
        <f t="shared" si="123"/>
        <v/>
      </c>
      <c r="N1937" s="25"/>
      <c r="O1937" s="22"/>
      <c r="P1937" s="24"/>
      <c r="Q1937" s="26"/>
    </row>
    <row r="1938" spans="1:17" ht="15" x14ac:dyDescent="0.15">
      <c r="A1938" s="22"/>
      <c r="B1938" s="26" t="str">
        <f t="shared" si="120"/>
        <v/>
      </c>
      <c r="C1938" s="26" t="str">
        <f t="shared" si="121"/>
        <v/>
      </c>
      <c r="D1938" s="26" t="str">
        <f t="shared" si="122"/>
        <v/>
      </c>
      <c r="E1938" s="29"/>
      <c r="F1938" s="22"/>
      <c r="G1938" s="22"/>
      <c r="H1938" s="22"/>
      <c r="I1938" s="24"/>
      <c r="J1938" s="24"/>
      <c r="K1938" s="24"/>
      <c r="L1938" s="24"/>
      <c r="M1938" s="27" t="str">
        <f t="shared" si="123"/>
        <v/>
      </c>
      <c r="N1938" s="25"/>
      <c r="O1938" s="22"/>
      <c r="P1938" s="24"/>
      <c r="Q1938" s="26"/>
    </row>
    <row r="1939" spans="1:17" ht="15" x14ac:dyDescent="0.15">
      <c r="A1939" s="22"/>
      <c r="B1939" s="26" t="str">
        <f t="shared" si="120"/>
        <v/>
      </c>
      <c r="C1939" s="26" t="str">
        <f t="shared" si="121"/>
        <v/>
      </c>
      <c r="D1939" s="26" t="str">
        <f t="shared" si="122"/>
        <v/>
      </c>
      <c r="E1939" s="29"/>
      <c r="F1939" s="22"/>
      <c r="G1939" s="22"/>
      <c r="H1939" s="22"/>
      <c r="I1939" s="24"/>
      <c r="J1939" s="24"/>
      <c r="K1939" s="24"/>
      <c r="L1939" s="24"/>
      <c r="M1939" s="27" t="str">
        <f t="shared" si="123"/>
        <v/>
      </c>
      <c r="N1939" s="25"/>
      <c r="O1939" s="22"/>
      <c r="P1939" s="24"/>
      <c r="Q1939" s="26"/>
    </row>
    <row r="1940" spans="1:17" ht="15" x14ac:dyDescent="0.15">
      <c r="A1940" s="22"/>
      <c r="B1940" s="26" t="str">
        <f t="shared" si="120"/>
        <v/>
      </c>
      <c r="C1940" s="26" t="str">
        <f t="shared" si="121"/>
        <v/>
      </c>
      <c r="D1940" s="26" t="str">
        <f t="shared" si="122"/>
        <v/>
      </c>
      <c r="E1940" s="29"/>
      <c r="F1940" s="22"/>
      <c r="G1940" s="22"/>
      <c r="H1940" s="22"/>
      <c r="I1940" s="24"/>
      <c r="J1940" s="24"/>
      <c r="K1940" s="24"/>
      <c r="L1940" s="24"/>
      <c r="M1940" s="27" t="str">
        <f t="shared" si="123"/>
        <v/>
      </c>
      <c r="N1940" s="25"/>
      <c r="O1940" s="22"/>
      <c r="P1940" s="24"/>
      <c r="Q1940" s="26"/>
    </row>
    <row r="1941" spans="1:17" ht="15" x14ac:dyDescent="0.15">
      <c r="A1941" s="22"/>
      <c r="B1941" s="26" t="str">
        <f t="shared" si="120"/>
        <v/>
      </c>
      <c r="C1941" s="26" t="str">
        <f t="shared" si="121"/>
        <v/>
      </c>
      <c r="D1941" s="26" t="str">
        <f t="shared" si="122"/>
        <v/>
      </c>
      <c r="E1941" s="29"/>
      <c r="F1941" s="22"/>
      <c r="G1941" s="22"/>
      <c r="H1941" s="22"/>
      <c r="I1941" s="24"/>
      <c r="J1941" s="24"/>
      <c r="K1941" s="24"/>
      <c r="L1941" s="24"/>
      <c r="M1941" s="27" t="str">
        <f t="shared" si="123"/>
        <v/>
      </c>
      <c r="N1941" s="25"/>
      <c r="O1941" s="22"/>
      <c r="P1941" s="24"/>
      <c r="Q1941" s="26"/>
    </row>
    <row r="1942" spans="1:17" ht="15" x14ac:dyDescent="0.15">
      <c r="A1942" s="22"/>
      <c r="B1942" s="26" t="str">
        <f t="shared" si="120"/>
        <v/>
      </c>
      <c r="C1942" s="26" t="str">
        <f t="shared" si="121"/>
        <v/>
      </c>
      <c r="D1942" s="26" t="str">
        <f t="shared" si="122"/>
        <v/>
      </c>
      <c r="E1942" s="29"/>
      <c r="F1942" s="22"/>
      <c r="G1942" s="22"/>
      <c r="H1942" s="22"/>
      <c r="I1942" s="24"/>
      <c r="J1942" s="24"/>
      <c r="K1942" s="24"/>
      <c r="L1942" s="24"/>
      <c r="M1942" s="27" t="str">
        <f t="shared" si="123"/>
        <v/>
      </c>
      <c r="N1942" s="25"/>
      <c r="O1942" s="22"/>
      <c r="P1942" s="24"/>
      <c r="Q1942" s="26"/>
    </row>
    <row r="1943" spans="1:17" ht="15" x14ac:dyDescent="0.15">
      <c r="A1943" s="22"/>
      <c r="B1943" s="26" t="str">
        <f t="shared" si="120"/>
        <v/>
      </c>
      <c r="C1943" s="26" t="str">
        <f t="shared" si="121"/>
        <v/>
      </c>
      <c r="D1943" s="26" t="str">
        <f t="shared" si="122"/>
        <v/>
      </c>
      <c r="E1943" s="29"/>
      <c r="F1943" s="22"/>
      <c r="G1943" s="22"/>
      <c r="H1943" s="22"/>
      <c r="I1943" s="24"/>
      <c r="J1943" s="24"/>
      <c r="K1943" s="24"/>
      <c r="L1943" s="24"/>
      <c r="M1943" s="27" t="str">
        <f t="shared" si="123"/>
        <v/>
      </c>
      <c r="N1943" s="25"/>
      <c r="O1943" s="22"/>
      <c r="P1943" s="24"/>
      <c r="Q1943" s="26"/>
    </row>
    <row r="1944" spans="1:17" ht="15" x14ac:dyDescent="0.15">
      <c r="A1944" s="22"/>
      <c r="B1944" s="26" t="str">
        <f t="shared" si="120"/>
        <v/>
      </c>
      <c r="C1944" s="26" t="str">
        <f t="shared" si="121"/>
        <v/>
      </c>
      <c r="D1944" s="26" t="str">
        <f t="shared" si="122"/>
        <v/>
      </c>
      <c r="E1944" s="29"/>
      <c r="F1944" s="22"/>
      <c r="G1944" s="22"/>
      <c r="H1944" s="22"/>
      <c r="I1944" s="24"/>
      <c r="J1944" s="24"/>
      <c r="K1944" s="24"/>
      <c r="L1944" s="24"/>
      <c r="M1944" s="27" t="str">
        <f t="shared" si="123"/>
        <v/>
      </c>
      <c r="N1944" s="25"/>
      <c r="O1944" s="22"/>
      <c r="P1944" s="24"/>
      <c r="Q1944" s="26"/>
    </row>
    <row r="1945" spans="1:17" ht="15" x14ac:dyDescent="0.15">
      <c r="A1945" s="22"/>
      <c r="B1945" s="26" t="str">
        <f t="shared" si="120"/>
        <v/>
      </c>
      <c r="C1945" s="26" t="str">
        <f t="shared" si="121"/>
        <v/>
      </c>
      <c r="D1945" s="26" t="str">
        <f t="shared" si="122"/>
        <v/>
      </c>
      <c r="E1945" s="29"/>
      <c r="F1945" s="22"/>
      <c r="G1945" s="22"/>
      <c r="H1945" s="22"/>
      <c r="I1945" s="24"/>
      <c r="J1945" s="24"/>
      <c r="K1945" s="24"/>
      <c r="L1945" s="24"/>
      <c r="M1945" s="27" t="str">
        <f t="shared" si="123"/>
        <v/>
      </c>
      <c r="N1945" s="25"/>
      <c r="O1945" s="22"/>
      <c r="P1945" s="24"/>
      <c r="Q1945" s="26"/>
    </row>
    <row r="1946" spans="1:17" ht="15" x14ac:dyDescent="0.15">
      <c r="A1946" s="22"/>
      <c r="B1946" s="26" t="str">
        <f t="shared" si="120"/>
        <v/>
      </c>
      <c r="C1946" s="26" t="str">
        <f t="shared" si="121"/>
        <v/>
      </c>
      <c r="D1946" s="26" t="str">
        <f t="shared" si="122"/>
        <v/>
      </c>
      <c r="E1946" s="29"/>
      <c r="F1946" s="22"/>
      <c r="G1946" s="22"/>
      <c r="H1946" s="22"/>
      <c r="I1946" s="24"/>
      <c r="J1946" s="24"/>
      <c r="K1946" s="24"/>
      <c r="L1946" s="24"/>
      <c r="M1946" s="27" t="str">
        <f t="shared" si="123"/>
        <v/>
      </c>
      <c r="N1946" s="25"/>
      <c r="O1946" s="22"/>
      <c r="P1946" s="24"/>
      <c r="Q1946" s="26"/>
    </row>
    <row r="1947" spans="1:17" ht="15" x14ac:dyDescent="0.15">
      <c r="A1947" s="22"/>
      <c r="B1947" s="26" t="str">
        <f t="shared" si="120"/>
        <v/>
      </c>
      <c r="C1947" s="26" t="str">
        <f t="shared" si="121"/>
        <v/>
      </c>
      <c r="D1947" s="26" t="str">
        <f t="shared" si="122"/>
        <v/>
      </c>
      <c r="E1947" s="29"/>
      <c r="F1947" s="22"/>
      <c r="G1947" s="22"/>
      <c r="H1947" s="22"/>
      <c r="I1947" s="24"/>
      <c r="J1947" s="24"/>
      <c r="K1947" s="24"/>
      <c r="L1947" s="24"/>
      <c r="M1947" s="27" t="str">
        <f t="shared" si="123"/>
        <v/>
      </c>
      <c r="N1947" s="25"/>
      <c r="O1947" s="22"/>
      <c r="P1947" s="24"/>
      <c r="Q1947" s="26"/>
    </row>
    <row r="1948" spans="1:17" ht="15" x14ac:dyDescent="0.15">
      <c r="A1948" s="22"/>
      <c r="B1948" s="26" t="str">
        <f t="shared" si="120"/>
        <v/>
      </c>
      <c r="C1948" s="26" t="str">
        <f t="shared" si="121"/>
        <v/>
      </c>
      <c r="D1948" s="26" t="str">
        <f t="shared" si="122"/>
        <v/>
      </c>
      <c r="E1948" s="29"/>
      <c r="F1948" s="22"/>
      <c r="G1948" s="22"/>
      <c r="H1948" s="22"/>
      <c r="I1948" s="24"/>
      <c r="J1948" s="24"/>
      <c r="K1948" s="24"/>
      <c r="L1948" s="24"/>
      <c r="M1948" s="27" t="str">
        <f t="shared" si="123"/>
        <v/>
      </c>
      <c r="N1948" s="25"/>
      <c r="O1948" s="22"/>
      <c r="P1948" s="24"/>
      <c r="Q1948" s="26"/>
    </row>
    <row r="1949" spans="1:17" ht="15" x14ac:dyDescent="0.15">
      <c r="A1949" s="22"/>
      <c r="B1949" s="26" t="str">
        <f t="shared" si="120"/>
        <v/>
      </c>
      <c r="C1949" s="26" t="str">
        <f t="shared" si="121"/>
        <v/>
      </c>
      <c r="D1949" s="26" t="str">
        <f t="shared" si="122"/>
        <v/>
      </c>
      <c r="E1949" s="29"/>
      <c r="F1949" s="22"/>
      <c r="G1949" s="22"/>
      <c r="H1949" s="22"/>
      <c r="I1949" s="24"/>
      <c r="J1949" s="24"/>
      <c r="K1949" s="24"/>
      <c r="L1949" s="24"/>
      <c r="M1949" s="27" t="str">
        <f t="shared" si="123"/>
        <v/>
      </c>
      <c r="N1949" s="25"/>
      <c r="O1949" s="22"/>
      <c r="P1949" s="24"/>
      <c r="Q1949" s="26"/>
    </row>
    <row r="1950" spans="1:17" ht="15" x14ac:dyDescent="0.15">
      <c r="A1950" s="22"/>
      <c r="B1950" s="26" t="str">
        <f t="shared" si="120"/>
        <v/>
      </c>
      <c r="C1950" s="26" t="str">
        <f t="shared" si="121"/>
        <v/>
      </c>
      <c r="D1950" s="26" t="str">
        <f t="shared" si="122"/>
        <v/>
      </c>
      <c r="E1950" s="29"/>
      <c r="F1950" s="22"/>
      <c r="G1950" s="22"/>
      <c r="H1950" s="22"/>
      <c r="I1950" s="24"/>
      <c r="J1950" s="24"/>
      <c r="K1950" s="24"/>
      <c r="L1950" s="24"/>
      <c r="M1950" s="27" t="str">
        <f t="shared" si="123"/>
        <v/>
      </c>
      <c r="N1950" s="25"/>
      <c r="O1950" s="22"/>
      <c r="P1950" s="24"/>
      <c r="Q1950" s="26"/>
    </row>
    <row r="1951" spans="1:17" ht="15" x14ac:dyDescent="0.15">
      <c r="A1951" s="22"/>
      <c r="B1951" s="26" t="str">
        <f t="shared" si="120"/>
        <v/>
      </c>
      <c r="C1951" s="26" t="str">
        <f t="shared" si="121"/>
        <v/>
      </c>
      <c r="D1951" s="26" t="str">
        <f t="shared" si="122"/>
        <v/>
      </c>
      <c r="E1951" s="29"/>
      <c r="F1951" s="22"/>
      <c r="G1951" s="22"/>
      <c r="H1951" s="22"/>
      <c r="I1951" s="24"/>
      <c r="J1951" s="24"/>
      <c r="K1951" s="24"/>
      <c r="L1951" s="24"/>
      <c r="M1951" s="27" t="str">
        <f t="shared" si="123"/>
        <v/>
      </c>
      <c r="N1951" s="25"/>
      <c r="O1951" s="22"/>
      <c r="P1951" s="24"/>
      <c r="Q1951" s="26"/>
    </row>
    <row r="1952" spans="1:17" ht="15" x14ac:dyDescent="0.15">
      <c r="A1952" s="22"/>
      <c r="B1952" s="26" t="str">
        <f t="shared" si="120"/>
        <v/>
      </c>
      <c r="C1952" s="26" t="str">
        <f t="shared" si="121"/>
        <v/>
      </c>
      <c r="D1952" s="26" t="str">
        <f t="shared" si="122"/>
        <v/>
      </c>
      <c r="E1952" s="29"/>
      <c r="F1952" s="22"/>
      <c r="G1952" s="22"/>
      <c r="H1952" s="22"/>
      <c r="I1952" s="24"/>
      <c r="J1952" s="24"/>
      <c r="K1952" s="24"/>
      <c r="L1952" s="24"/>
      <c r="M1952" s="27" t="str">
        <f t="shared" si="123"/>
        <v/>
      </c>
      <c r="N1952" s="25"/>
      <c r="O1952" s="22"/>
      <c r="P1952" s="24"/>
      <c r="Q1952" s="26"/>
    </row>
    <row r="1953" spans="1:17" ht="15" x14ac:dyDescent="0.15">
      <c r="A1953" s="22"/>
      <c r="B1953" s="26" t="str">
        <f t="shared" si="120"/>
        <v/>
      </c>
      <c r="C1953" s="26" t="str">
        <f t="shared" si="121"/>
        <v/>
      </c>
      <c r="D1953" s="26" t="str">
        <f t="shared" si="122"/>
        <v/>
      </c>
      <c r="E1953" s="29"/>
      <c r="F1953" s="22"/>
      <c r="G1953" s="22"/>
      <c r="H1953" s="22"/>
      <c r="I1953" s="24"/>
      <c r="J1953" s="24"/>
      <c r="K1953" s="24"/>
      <c r="L1953" s="24"/>
      <c r="M1953" s="27" t="str">
        <f t="shared" si="123"/>
        <v/>
      </c>
      <c r="N1953" s="25"/>
      <c r="O1953" s="22"/>
      <c r="P1953" s="24"/>
      <c r="Q1953" s="26"/>
    </row>
    <row r="1954" spans="1:17" ht="15" x14ac:dyDescent="0.15">
      <c r="A1954" s="22"/>
      <c r="B1954" s="26" t="str">
        <f t="shared" si="120"/>
        <v/>
      </c>
      <c r="C1954" s="26" t="str">
        <f t="shared" si="121"/>
        <v/>
      </c>
      <c r="D1954" s="26" t="str">
        <f t="shared" si="122"/>
        <v/>
      </c>
      <c r="E1954" s="29"/>
      <c r="F1954" s="22"/>
      <c r="G1954" s="22"/>
      <c r="H1954" s="22"/>
      <c r="I1954" s="24"/>
      <c r="J1954" s="24"/>
      <c r="K1954" s="24"/>
      <c r="L1954" s="24"/>
      <c r="M1954" s="27" t="str">
        <f t="shared" si="123"/>
        <v/>
      </c>
      <c r="N1954" s="25"/>
      <c r="O1954" s="22"/>
      <c r="P1954" s="24"/>
      <c r="Q1954" s="26"/>
    </row>
    <row r="1955" spans="1:17" ht="15" x14ac:dyDescent="0.15">
      <c r="A1955" s="22"/>
      <c r="B1955" s="26" t="str">
        <f t="shared" si="120"/>
        <v/>
      </c>
      <c r="C1955" s="26" t="str">
        <f t="shared" si="121"/>
        <v/>
      </c>
      <c r="D1955" s="26" t="str">
        <f t="shared" si="122"/>
        <v/>
      </c>
      <c r="E1955" s="29"/>
      <c r="F1955" s="22"/>
      <c r="G1955" s="22"/>
      <c r="H1955" s="22"/>
      <c r="I1955" s="24"/>
      <c r="J1955" s="24"/>
      <c r="K1955" s="24"/>
      <c r="L1955" s="24"/>
      <c r="M1955" s="27" t="str">
        <f t="shared" si="123"/>
        <v/>
      </c>
      <c r="N1955" s="25"/>
      <c r="O1955" s="22"/>
      <c r="P1955" s="24"/>
      <c r="Q1955" s="26"/>
    </row>
    <row r="1956" spans="1:17" ht="15" x14ac:dyDescent="0.15">
      <c r="A1956" s="22"/>
      <c r="B1956" s="26" t="str">
        <f t="shared" si="120"/>
        <v/>
      </c>
      <c r="C1956" s="26" t="str">
        <f t="shared" si="121"/>
        <v/>
      </c>
      <c r="D1956" s="26" t="str">
        <f t="shared" si="122"/>
        <v/>
      </c>
      <c r="E1956" s="29"/>
      <c r="F1956" s="22"/>
      <c r="G1956" s="22"/>
      <c r="H1956" s="22"/>
      <c r="I1956" s="24"/>
      <c r="J1956" s="24"/>
      <c r="K1956" s="24"/>
      <c r="L1956" s="24"/>
      <c r="M1956" s="27" t="str">
        <f t="shared" si="123"/>
        <v/>
      </c>
      <c r="N1956" s="25"/>
      <c r="O1956" s="22"/>
      <c r="P1956" s="24"/>
      <c r="Q1956" s="26"/>
    </row>
    <row r="1957" spans="1:17" ht="15" x14ac:dyDescent="0.15">
      <c r="A1957" s="22"/>
      <c r="B1957" s="26" t="str">
        <f t="shared" si="120"/>
        <v/>
      </c>
      <c r="C1957" s="26" t="str">
        <f t="shared" si="121"/>
        <v/>
      </c>
      <c r="D1957" s="26" t="str">
        <f t="shared" si="122"/>
        <v/>
      </c>
      <c r="E1957" s="29"/>
      <c r="F1957" s="22"/>
      <c r="G1957" s="22"/>
      <c r="H1957" s="22"/>
      <c r="I1957" s="24"/>
      <c r="J1957" s="24"/>
      <c r="K1957" s="24"/>
      <c r="L1957" s="24"/>
      <c r="M1957" s="27" t="str">
        <f t="shared" si="123"/>
        <v/>
      </c>
      <c r="N1957" s="25"/>
      <c r="O1957" s="22"/>
      <c r="P1957" s="24"/>
      <c r="Q1957" s="26"/>
    </row>
    <row r="1958" spans="1:17" ht="15" x14ac:dyDescent="0.15">
      <c r="A1958" s="22"/>
      <c r="B1958" s="26" t="str">
        <f t="shared" si="120"/>
        <v/>
      </c>
      <c r="C1958" s="26" t="str">
        <f t="shared" si="121"/>
        <v/>
      </c>
      <c r="D1958" s="26" t="str">
        <f t="shared" si="122"/>
        <v/>
      </c>
      <c r="E1958" s="29"/>
      <c r="F1958" s="22"/>
      <c r="G1958" s="22"/>
      <c r="H1958" s="22"/>
      <c r="I1958" s="24"/>
      <c r="J1958" s="24"/>
      <c r="K1958" s="24"/>
      <c r="L1958" s="24"/>
      <c r="M1958" s="27" t="str">
        <f t="shared" si="123"/>
        <v/>
      </c>
      <c r="N1958" s="25"/>
      <c r="O1958" s="22"/>
      <c r="P1958" s="24"/>
      <c r="Q1958" s="26"/>
    </row>
    <row r="1959" spans="1:17" ht="15" x14ac:dyDescent="0.15">
      <c r="A1959" s="22"/>
      <c r="B1959" s="26" t="str">
        <f t="shared" si="120"/>
        <v/>
      </c>
      <c r="C1959" s="26" t="str">
        <f t="shared" si="121"/>
        <v/>
      </c>
      <c r="D1959" s="26" t="str">
        <f t="shared" si="122"/>
        <v/>
      </c>
      <c r="E1959" s="29"/>
      <c r="F1959" s="22"/>
      <c r="G1959" s="22"/>
      <c r="H1959" s="22"/>
      <c r="I1959" s="24"/>
      <c r="J1959" s="24"/>
      <c r="K1959" s="24"/>
      <c r="L1959" s="24"/>
      <c r="M1959" s="27" t="str">
        <f t="shared" si="123"/>
        <v/>
      </c>
      <c r="N1959" s="25"/>
      <c r="O1959" s="22"/>
      <c r="P1959" s="24"/>
      <c r="Q1959" s="26"/>
    </row>
    <row r="1960" spans="1:17" ht="15" x14ac:dyDescent="0.15">
      <c r="A1960" s="22"/>
      <c r="B1960" s="26" t="str">
        <f t="shared" si="120"/>
        <v/>
      </c>
      <c r="C1960" s="26" t="str">
        <f t="shared" si="121"/>
        <v/>
      </c>
      <c r="D1960" s="26" t="str">
        <f t="shared" si="122"/>
        <v/>
      </c>
      <c r="E1960" s="29"/>
      <c r="F1960" s="22"/>
      <c r="G1960" s="22"/>
      <c r="H1960" s="22"/>
      <c r="I1960" s="24"/>
      <c r="J1960" s="24"/>
      <c r="K1960" s="24"/>
      <c r="L1960" s="24"/>
      <c r="M1960" s="27" t="str">
        <f t="shared" si="123"/>
        <v/>
      </c>
      <c r="N1960" s="25"/>
      <c r="O1960" s="22"/>
      <c r="P1960" s="24"/>
      <c r="Q1960" s="26"/>
    </row>
    <row r="1961" spans="1:17" ht="15" x14ac:dyDescent="0.15">
      <c r="A1961" s="22"/>
      <c r="B1961" s="26" t="str">
        <f t="shared" si="120"/>
        <v/>
      </c>
      <c r="C1961" s="26" t="str">
        <f t="shared" si="121"/>
        <v/>
      </c>
      <c r="D1961" s="26" t="str">
        <f t="shared" si="122"/>
        <v/>
      </c>
      <c r="E1961" s="29"/>
      <c r="F1961" s="22"/>
      <c r="G1961" s="22"/>
      <c r="H1961" s="22"/>
      <c r="I1961" s="24"/>
      <c r="J1961" s="24"/>
      <c r="K1961" s="24"/>
      <c r="L1961" s="24"/>
      <c r="M1961" s="27" t="str">
        <f t="shared" si="123"/>
        <v/>
      </c>
      <c r="N1961" s="25"/>
      <c r="O1961" s="22"/>
      <c r="P1961" s="24"/>
      <c r="Q1961" s="26"/>
    </row>
    <row r="1962" spans="1:17" ht="15" x14ac:dyDescent="0.15">
      <c r="A1962" s="22"/>
      <c r="B1962" s="26" t="str">
        <f t="shared" si="120"/>
        <v/>
      </c>
      <c r="C1962" s="26" t="str">
        <f t="shared" si="121"/>
        <v/>
      </c>
      <c r="D1962" s="26" t="str">
        <f t="shared" si="122"/>
        <v/>
      </c>
      <c r="E1962" s="29"/>
      <c r="F1962" s="22"/>
      <c r="G1962" s="22"/>
      <c r="H1962" s="22"/>
      <c r="I1962" s="24"/>
      <c r="J1962" s="24"/>
      <c r="K1962" s="24"/>
      <c r="L1962" s="24"/>
      <c r="M1962" s="27" t="str">
        <f t="shared" si="123"/>
        <v/>
      </c>
      <c r="N1962" s="25"/>
      <c r="O1962" s="22"/>
      <c r="P1962" s="24"/>
      <c r="Q1962" s="26"/>
    </row>
    <row r="1963" spans="1:17" ht="15" x14ac:dyDescent="0.15">
      <c r="A1963" s="22"/>
      <c r="B1963" s="26" t="str">
        <f t="shared" si="120"/>
        <v/>
      </c>
      <c r="C1963" s="26" t="str">
        <f t="shared" si="121"/>
        <v/>
      </c>
      <c r="D1963" s="26" t="str">
        <f t="shared" si="122"/>
        <v/>
      </c>
      <c r="E1963" s="29"/>
      <c r="F1963" s="22"/>
      <c r="G1963" s="22"/>
      <c r="H1963" s="22"/>
      <c r="I1963" s="24"/>
      <c r="J1963" s="24"/>
      <c r="K1963" s="24"/>
      <c r="L1963" s="24"/>
      <c r="M1963" s="27" t="str">
        <f t="shared" si="123"/>
        <v/>
      </c>
      <c r="N1963" s="25"/>
      <c r="O1963" s="22"/>
      <c r="P1963" s="24"/>
      <c r="Q1963" s="26"/>
    </row>
    <row r="1964" spans="1:17" ht="15" x14ac:dyDescent="0.15">
      <c r="A1964" s="22"/>
      <c r="B1964" s="26" t="str">
        <f t="shared" si="120"/>
        <v/>
      </c>
      <c r="C1964" s="26" t="str">
        <f t="shared" si="121"/>
        <v/>
      </c>
      <c r="D1964" s="26" t="str">
        <f t="shared" si="122"/>
        <v/>
      </c>
      <c r="E1964" s="29"/>
      <c r="F1964" s="22"/>
      <c r="G1964" s="22"/>
      <c r="H1964" s="22"/>
      <c r="I1964" s="24"/>
      <c r="J1964" s="24"/>
      <c r="K1964" s="24"/>
      <c r="L1964" s="24"/>
      <c r="M1964" s="27" t="str">
        <f t="shared" si="123"/>
        <v/>
      </c>
      <c r="N1964" s="25"/>
      <c r="O1964" s="22"/>
      <c r="P1964" s="24"/>
      <c r="Q1964" s="26"/>
    </row>
    <row r="1965" spans="1:17" ht="15" x14ac:dyDescent="0.15">
      <c r="A1965" s="22"/>
      <c r="B1965" s="26" t="str">
        <f t="shared" si="120"/>
        <v/>
      </c>
      <c r="C1965" s="26" t="str">
        <f t="shared" si="121"/>
        <v/>
      </c>
      <c r="D1965" s="26" t="str">
        <f t="shared" si="122"/>
        <v/>
      </c>
      <c r="E1965" s="29"/>
      <c r="F1965" s="22"/>
      <c r="G1965" s="22"/>
      <c r="H1965" s="22"/>
      <c r="I1965" s="24"/>
      <c r="J1965" s="24"/>
      <c r="K1965" s="24"/>
      <c r="L1965" s="24"/>
      <c r="M1965" s="27" t="str">
        <f t="shared" si="123"/>
        <v/>
      </c>
      <c r="N1965" s="25"/>
      <c r="O1965" s="22"/>
      <c r="P1965" s="24"/>
      <c r="Q1965" s="26"/>
    </row>
    <row r="1966" spans="1:17" ht="15" x14ac:dyDescent="0.15">
      <c r="A1966" s="22"/>
      <c r="B1966" s="26" t="str">
        <f t="shared" si="120"/>
        <v/>
      </c>
      <c r="C1966" s="26" t="str">
        <f t="shared" si="121"/>
        <v/>
      </c>
      <c r="D1966" s="26" t="str">
        <f t="shared" si="122"/>
        <v/>
      </c>
      <c r="E1966" s="29"/>
      <c r="F1966" s="22"/>
      <c r="G1966" s="22"/>
      <c r="H1966" s="22"/>
      <c r="I1966" s="24"/>
      <c r="J1966" s="24"/>
      <c r="K1966" s="24"/>
      <c r="L1966" s="24"/>
      <c r="M1966" s="27" t="str">
        <f t="shared" si="123"/>
        <v/>
      </c>
      <c r="N1966" s="25"/>
      <c r="O1966" s="22"/>
      <c r="P1966" s="24"/>
      <c r="Q1966" s="26"/>
    </row>
    <row r="1967" spans="1:17" ht="15" x14ac:dyDescent="0.15">
      <c r="A1967" s="22"/>
      <c r="B1967" s="26" t="str">
        <f t="shared" si="120"/>
        <v/>
      </c>
      <c r="C1967" s="26" t="str">
        <f t="shared" si="121"/>
        <v/>
      </c>
      <c r="D1967" s="26" t="str">
        <f t="shared" si="122"/>
        <v/>
      </c>
      <c r="E1967" s="29"/>
      <c r="F1967" s="22"/>
      <c r="G1967" s="22"/>
      <c r="H1967" s="22"/>
      <c r="I1967" s="24"/>
      <c r="J1967" s="24"/>
      <c r="K1967" s="24"/>
      <c r="L1967" s="24"/>
      <c r="M1967" s="27" t="str">
        <f t="shared" si="123"/>
        <v/>
      </c>
      <c r="N1967" s="25"/>
      <c r="O1967" s="22"/>
      <c r="P1967" s="24"/>
      <c r="Q1967" s="26"/>
    </row>
    <row r="1968" spans="1:17" ht="15" x14ac:dyDescent="0.15">
      <c r="A1968" s="22"/>
      <c r="B1968" s="26" t="str">
        <f t="shared" si="120"/>
        <v/>
      </c>
      <c r="C1968" s="26" t="str">
        <f t="shared" si="121"/>
        <v/>
      </c>
      <c r="D1968" s="26" t="str">
        <f t="shared" si="122"/>
        <v/>
      </c>
      <c r="E1968" s="29"/>
      <c r="F1968" s="22"/>
      <c r="G1968" s="22"/>
      <c r="H1968" s="22"/>
      <c r="I1968" s="24"/>
      <c r="J1968" s="24"/>
      <c r="K1968" s="24"/>
      <c r="L1968" s="24"/>
      <c r="M1968" s="27" t="str">
        <f t="shared" si="123"/>
        <v/>
      </c>
      <c r="N1968" s="25"/>
      <c r="O1968" s="22"/>
      <c r="P1968" s="24"/>
      <c r="Q1968" s="26"/>
    </row>
    <row r="1969" spans="1:17" ht="15" x14ac:dyDescent="0.15">
      <c r="A1969" s="22"/>
      <c r="B1969" s="26" t="str">
        <f t="shared" si="120"/>
        <v/>
      </c>
      <c r="C1969" s="26" t="str">
        <f t="shared" si="121"/>
        <v/>
      </c>
      <c r="D1969" s="26" t="str">
        <f t="shared" si="122"/>
        <v/>
      </c>
      <c r="E1969" s="29"/>
      <c r="F1969" s="22"/>
      <c r="G1969" s="22"/>
      <c r="H1969" s="22"/>
      <c r="I1969" s="24"/>
      <c r="J1969" s="24"/>
      <c r="K1969" s="24"/>
      <c r="L1969" s="24"/>
      <c r="M1969" s="27" t="str">
        <f t="shared" si="123"/>
        <v/>
      </c>
      <c r="N1969" s="25"/>
      <c r="O1969" s="22"/>
      <c r="P1969" s="24"/>
      <c r="Q1969" s="26"/>
    </row>
    <row r="1970" spans="1:17" ht="15" x14ac:dyDescent="0.15">
      <c r="A1970" s="22"/>
      <c r="B1970" s="26" t="str">
        <f t="shared" si="120"/>
        <v/>
      </c>
      <c r="C1970" s="26" t="str">
        <f t="shared" si="121"/>
        <v/>
      </c>
      <c r="D1970" s="26" t="str">
        <f t="shared" si="122"/>
        <v/>
      </c>
      <c r="E1970" s="29"/>
      <c r="F1970" s="22"/>
      <c r="G1970" s="22"/>
      <c r="H1970" s="22"/>
      <c r="I1970" s="24"/>
      <c r="J1970" s="24"/>
      <c r="K1970" s="24"/>
      <c r="L1970" s="24"/>
      <c r="M1970" s="27" t="str">
        <f t="shared" si="123"/>
        <v/>
      </c>
      <c r="N1970" s="25"/>
      <c r="O1970" s="22"/>
      <c r="P1970" s="24"/>
      <c r="Q1970" s="26"/>
    </row>
    <row r="1971" spans="1:17" ht="15" x14ac:dyDescent="0.15">
      <c r="A1971" s="22"/>
      <c r="B1971" s="26" t="str">
        <f t="shared" si="120"/>
        <v/>
      </c>
      <c r="C1971" s="26" t="str">
        <f t="shared" si="121"/>
        <v/>
      </c>
      <c r="D1971" s="26" t="str">
        <f t="shared" si="122"/>
        <v/>
      </c>
      <c r="E1971" s="29"/>
      <c r="F1971" s="22"/>
      <c r="G1971" s="22"/>
      <c r="H1971" s="22"/>
      <c r="I1971" s="24"/>
      <c r="J1971" s="24"/>
      <c r="K1971" s="24"/>
      <c r="L1971" s="24"/>
      <c r="M1971" s="27" t="str">
        <f t="shared" si="123"/>
        <v/>
      </c>
      <c r="N1971" s="25"/>
      <c r="O1971" s="22"/>
      <c r="P1971" s="24"/>
      <c r="Q1971" s="26"/>
    </row>
    <row r="1972" spans="1:17" ht="15" x14ac:dyDescent="0.15">
      <c r="A1972" s="22"/>
      <c r="B1972" s="26" t="str">
        <f t="shared" si="120"/>
        <v/>
      </c>
      <c r="C1972" s="26" t="str">
        <f t="shared" si="121"/>
        <v/>
      </c>
      <c r="D1972" s="26" t="str">
        <f t="shared" si="122"/>
        <v/>
      </c>
      <c r="E1972" s="29"/>
      <c r="F1972" s="22"/>
      <c r="G1972" s="22"/>
      <c r="H1972" s="22"/>
      <c r="I1972" s="24"/>
      <c r="J1972" s="24"/>
      <c r="K1972" s="24"/>
      <c r="L1972" s="24"/>
      <c r="M1972" s="27" t="str">
        <f t="shared" si="123"/>
        <v/>
      </c>
      <c r="N1972" s="25"/>
      <c r="O1972" s="22"/>
      <c r="P1972" s="24"/>
      <c r="Q1972" s="26"/>
    </row>
    <row r="1973" spans="1:17" ht="15" x14ac:dyDescent="0.15">
      <c r="A1973" s="22"/>
      <c r="B1973" s="26" t="str">
        <f t="shared" si="120"/>
        <v/>
      </c>
      <c r="C1973" s="26" t="str">
        <f t="shared" si="121"/>
        <v/>
      </c>
      <c r="D1973" s="26" t="str">
        <f t="shared" si="122"/>
        <v/>
      </c>
      <c r="E1973" s="29"/>
      <c r="F1973" s="22"/>
      <c r="G1973" s="22"/>
      <c r="H1973" s="22"/>
      <c r="I1973" s="24"/>
      <c r="J1973" s="24"/>
      <c r="K1973" s="24"/>
      <c r="L1973" s="24"/>
      <c r="M1973" s="27" t="str">
        <f t="shared" si="123"/>
        <v/>
      </c>
      <c r="N1973" s="25"/>
      <c r="O1973" s="22"/>
      <c r="P1973" s="24"/>
      <c r="Q1973" s="26"/>
    </row>
    <row r="1974" spans="1:17" ht="15" x14ac:dyDescent="0.15">
      <c r="A1974" s="22"/>
      <c r="B1974" s="26" t="str">
        <f t="shared" si="120"/>
        <v/>
      </c>
      <c r="C1974" s="26" t="str">
        <f t="shared" si="121"/>
        <v/>
      </c>
      <c r="D1974" s="26" t="str">
        <f t="shared" si="122"/>
        <v/>
      </c>
      <c r="E1974" s="29"/>
      <c r="F1974" s="22"/>
      <c r="G1974" s="22"/>
      <c r="H1974" s="22"/>
      <c r="I1974" s="24"/>
      <c r="J1974" s="24"/>
      <c r="K1974" s="24"/>
      <c r="L1974" s="24"/>
      <c r="M1974" s="27" t="str">
        <f t="shared" si="123"/>
        <v/>
      </c>
      <c r="N1974" s="25"/>
      <c r="O1974" s="22"/>
      <c r="P1974" s="24"/>
      <c r="Q1974" s="26"/>
    </row>
    <row r="1975" spans="1:17" ht="15" x14ac:dyDescent="0.15">
      <c r="A1975" s="22"/>
      <c r="B1975" s="26" t="str">
        <f t="shared" si="120"/>
        <v/>
      </c>
      <c r="C1975" s="26" t="str">
        <f t="shared" si="121"/>
        <v/>
      </c>
      <c r="D1975" s="26" t="str">
        <f t="shared" si="122"/>
        <v/>
      </c>
      <c r="E1975" s="29"/>
      <c r="F1975" s="22"/>
      <c r="G1975" s="22"/>
      <c r="H1975" s="22"/>
      <c r="I1975" s="24"/>
      <c r="J1975" s="24"/>
      <c r="K1975" s="24"/>
      <c r="L1975" s="24"/>
      <c r="M1975" s="27" t="str">
        <f t="shared" si="123"/>
        <v/>
      </c>
      <c r="N1975" s="25"/>
      <c r="O1975" s="22"/>
      <c r="P1975" s="24"/>
      <c r="Q1975" s="26"/>
    </row>
    <row r="1976" spans="1:17" ht="15" x14ac:dyDescent="0.15">
      <c r="A1976" s="22"/>
      <c r="B1976" s="26" t="str">
        <f t="shared" si="120"/>
        <v/>
      </c>
      <c r="C1976" s="26" t="str">
        <f t="shared" si="121"/>
        <v/>
      </c>
      <c r="D1976" s="26" t="str">
        <f t="shared" si="122"/>
        <v/>
      </c>
      <c r="E1976" s="29"/>
      <c r="F1976" s="22"/>
      <c r="G1976" s="22"/>
      <c r="H1976" s="22"/>
      <c r="I1976" s="24"/>
      <c r="J1976" s="24"/>
      <c r="K1976" s="24"/>
      <c r="L1976" s="24"/>
      <c r="M1976" s="27" t="str">
        <f t="shared" si="123"/>
        <v/>
      </c>
      <c r="N1976" s="25"/>
      <c r="O1976" s="22"/>
      <c r="P1976" s="24"/>
      <c r="Q1976" s="26"/>
    </row>
    <row r="1977" spans="1:17" ht="15" x14ac:dyDescent="0.15">
      <c r="A1977" s="22"/>
      <c r="B1977" s="26" t="str">
        <f t="shared" si="120"/>
        <v/>
      </c>
      <c r="C1977" s="26" t="str">
        <f t="shared" si="121"/>
        <v/>
      </c>
      <c r="D1977" s="26" t="str">
        <f t="shared" si="122"/>
        <v/>
      </c>
      <c r="E1977" s="29"/>
      <c r="F1977" s="22"/>
      <c r="G1977" s="22"/>
      <c r="H1977" s="22"/>
      <c r="I1977" s="24"/>
      <c r="J1977" s="24"/>
      <c r="K1977" s="24"/>
      <c r="L1977" s="24"/>
      <c r="M1977" s="27" t="str">
        <f t="shared" si="123"/>
        <v/>
      </c>
      <c r="N1977" s="25"/>
      <c r="O1977" s="22"/>
      <c r="P1977" s="24"/>
      <c r="Q1977" s="26"/>
    </row>
    <row r="1978" spans="1:17" ht="15" x14ac:dyDescent="0.15">
      <c r="A1978" s="22"/>
      <c r="B1978" s="26" t="str">
        <f t="shared" si="120"/>
        <v/>
      </c>
      <c r="C1978" s="26" t="str">
        <f t="shared" si="121"/>
        <v/>
      </c>
      <c r="D1978" s="26" t="str">
        <f t="shared" si="122"/>
        <v/>
      </c>
      <c r="E1978" s="29"/>
      <c r="F1978" s="22"/>
      <c r="G1978" s="22"/>
      <c r="H1978" s="22"/>
      <c r="I1978" s="24"/>
      <c r="J1978" s="24"/>
      <c r="K1978" s="24"/>
      <c r="L1978" s="24"/>
      <c r="M1978" s="27" t="str">
        <f t="shared" si="123"/>
        <v/>
      </c>
      <c r="N1978" s="25"/>
      <c r="O1978" s="22"/>
      <c r="P1978" s="24"/>
      <c r="Q1978" s="26"/>
    </row>
    <row r="1979" spans="1:17" ht="15" x14ac:dyDescent="0.15">
      <c r="A1979" s="22"/>
      <c r="B1979" s="26" t="str">
        <f t="shared" si="120"/>
        <v/>
      </c>
      <c r="C1979" s="26" t="str">
        <f t="shared" si="121"/>
        <v/>
      </c>
      <c r="D1979" s="26" t="str">
        <f t="shared" si="122"/>
        <v/>
      </c>
      <c r="E1979" s="29"/>
      <c r="F1979" s="22"/>
      <c r="G1979" s="22"/>
      <c r="H1979" s="22"/>
      <c r="I1979" s="24"/>
      <c r="J1979" s="24"/>
      <c r="K1979" s="24"/>
      <c r="L1979" s="24"/>
      <c r="M1979" s="27" t="str">
        <f t="shared" si="123"/>
        <v/>
      </c>
      <c r="N1979" s="25"/>
      <c r="O1979" s="22"/>
      <c r="P1979" s="24"/>
      <c r="Q1979" s="26"/>
    </row>
    <row r="1980" spans="1:17" ht="15" x14ac:dyDescent="0.15">
      <c r="A1980" s="22"/>
      <c r="B1980" s="26" t="str">
        <f t="shared" si="120"/>
        <v/>
      </c>
      <c r="C1980" s="26" t="str">
        <f t="shared" si="121"/>
        <v/>
      </c>
      <c r="D1980" s="26" t="str">
        <f t="shared" si="122"/>
        <v/>
      </c>
      <c r="E1980" s="29"/>
      <c r="F1980" s="22"/>
      <c r="G1980" s="22"/>
      <c r="H1980" s="22"/>
      <c r="I1980" s="24"/>
      <c r="J1980" s="24"/>
      <c r="K1980" s="24"/>
      <c r="L1980" s="24"/>
      <c r="M1980" s="27" t="str">
        <f t="shared" si="123"/>
        <v/>
      </c>
      <c r="N1980" s="25"/>
      <c r="O1980" s="22"/>
      <c r="P1980" s="24"/>
      <c r="Q1980" s="26"/>
    </row>
    <row r="1981" spans="1:17" ht="15" x14ac:dyDescent="0.15">
      <c r="A1981" s="22"/>
      <c r="B1981" s="26" t="str">
        <f t="shared" si="120"/>
        <v/>
      </c>
      <c r="C1981" s="26" t="str">
        <f t="shared" si="121"/>
        <v/>
      </c>
      <c r="D1981" s="26" t="str">
        <f t="shared" si="122"/>
        <v/>
      </c>
      <c r="E1981" s="29"/>
      <c r="F1981" s="22"/>
      <c r="G1981" s="22"/>
      <c r="H1981" s="22"/>
      <c r="I1981" s="24"/>
      <c r="J1981" s="24"/>
      <c r="K1981" s="24"/>
      <c r="L1981" s="24"/>
      <c r="M1981" s="27" t="str">
        <f t="shared" si="123"/>
        <v/>
      </c>
      <c r="N1981" s="25"/>
      <c r="O1981" s="22"/>
      <c r="P1981" s="24"/>
      <c r="Q1981" s="26"/>
    </row>
    <row r="1982" spans="1:17" ht="15" x14ac:dyDescent="0.15">
      <c r="A1982" s="22"/>
      <c r="B1982" s="26" t="str">
        <f t="shared" si="120"/>
        <v/>
      </c>
      <c r="C1982" s="26" t="str">
        <f t="shared" si="121"/>
        <v/>
      </c>
      <c r="D1982" s="26" t="str">
        <f t="shared" si="122"/>
        <v/>
      </c>
      <c r="E1982" s="29"/>
      <c r="F1982" s="22"/>
      <c r="G1982" s="22"/>
      <c r="H1982" s="22"/>
      <c r="I1982" s="24"/>
      <c r="J1982" s="24"/>
      <c r="K1982" s="24"/>
      <c r="L1982" s="24"/>
      <c r="M1982" s="27" t="str">
        <f t="shared" si="123"/>
        <v/>
      </c>
      <c r="N1982" s="25"/>
      <c r="O1982" s="22"/>
      <c r="P1982" s="24"/>
      <c r="Q1982" s="26"/>
    </row>
    <row r="1983" spans="1:17" ht="15" x14ac:dyDescent="0.15">
      <c r="A1983" s="22"/>
      <c r="B1983" s="26" t="str">
        <f t="shared" si="120"/>
        <v/>
      </c>
      <c r="C1983" s="26" t="str">
        <f t="shared" si="121"/>
        <v/>
      </c>
      <c r="D1983" s="26" t="str">
        <f t="shared" si="122"/>
        <v/>
      </c>
      <c r="E1983" s="29"/>
      <c r="F1983" s="22"/>
      <c r="G1983" s="22"/>
      <c r="H1983" s="22"/>
      <c r="I1983" s="24"/>
      <c r="J1983" s="24"/>
      <c r="K1983" s="24"/>
      <c r="L1983" s="24"/>
      <c r="M1983" s="27" t="str">
        <f t="shared" si="123"/>
        <v/>
      </c>
      <c r="N1983" s="25"/>
      <c r="O1983" s="22"/>
      <c r="P1983" s="24"/>
      <c r="Q1983" s="26"/>
    </row>
    <row r="1984" spans="1:17" ht="15" x14ac:dyDescent="0.15">
      <c r="A1984" s="22"/>
      <c r="B1984" s="26" t="str">
        <f t="shared" si="120"/>
        <v/>
      </c>
      <c r="C1984" s="26" t="str">
        <f t="shared" si="121"/>
        <v/>
      </c>
      <c r="D1984" s="26" t="str">
        <f t="shared" si="122"/>
        <v/>
      </c>
      <c r="E1984" s="29"/>
      <c r="F1984" s="22"/>
      <c r="G1984" s="22"/>
      <c r="H1984" s="22"/>
      <c r="I1984" s="24"/>
      <c r="J1984" s="24"/>
      <c r="K1984" s="24"/>
      <c r="L1984" s="24"/>
      <c r="M1984" s="27" t="str">
        <f t="shared" si="123"/>
        <v/>
      </c>
      <c r="N1984" s="25"/>
      <c r="O1984" s="22"/>
      <c r="P1984" s="24"/>
      <c r="Q1984" s="26"/>
    </row>
    <row r="1985" spans="1:17" ht="15" x14ac:dyDescent="0.15">
      <c r="A1985" s="22"/>
      <c r="B1985" s="26" t="str">
        <f t="shared" si="120"/>
        <v/>
      </c>
      <c r="C1985" s="26" t="str">
        <f t="shared" si="121"/>
        <v/>
      </c>
      <c r="D1985" s="26" t="str">
        <f t="shared" si="122"/>
        <v/>
      </c>
      <c r="E1985" s="29"/>
      <c r="F1985" s="22"/>
      <c r="G1985" s="22"/>
      <c r="H1985" s="22"/>
      <c r="I1985" s="24"/>
      <c r="J1985" s="24"/>
      <c r="K1985" s="24"/>
      <c r="L1985" s="24"/>
      <c r="M1985" s="27" t="str">
        <f t="shared" si="123"/>
        <v/>
      </c>
      <c r="N1985" s="25"/>
      <c r="O1985" s="22"/>
      <c r="P1985" s="24"/>
      <c r="Q1985" s="26"/>
    </row>
    <row r="1986" spans="1:17" ht="15" x14ac:dyDescent="0.15">
      <c r="A1986" s="22"/>
      <c r="B1986" s="26" t="str">
        <f t="shared" si="120"/>
        <v/>
      </c>
      <c r="C1986" s="26" t="str">
        <f t="shared" si="121"/>
        <v/>
      </c>
      <c r="D1986" s="26" t="str">
        <f t="shared" si="122"/>
        <v/>
      </c>
      <c r="E1986" s="29"/>
      <c r="F1986" s="22"/>
      <c r="G1986" s="22"/>
      <c r="H1986" s="22"/>
      <c r="I1986" s="24"/>
      <c r="J1986" s="24"/>
      <c r="K1986" s="24"/>
      <c r="L1986" s="24"/>
      <c r="M1986" s="27" t="str">
        <f t="shared" si="123"/>
        <v/>
      </c>
      <c r="N1986" s="25"/>
      <c r="O1986" s="22"/>
      <c r="P1986" s="24"/>
      <c r="Q1986" s="26"/>
    </row>
    <row r="1987" spans="1:17" ht="15" x14ac:dyDescent="0.15">
      <c r="A1987" s="22"/>
      <c r="B1987" s="26" t="str">
        <f t="shared" si="120"/>
        <v/>
      </c>
      <c r="C1987" s="26" t="str">
        <f t="shared" si="121"/>
        <v/>
      </c>
      <c r="D1987" s="26" t="str">
        <f t="shared" si="122"/>
        <v/>
      </c>
      <c r="E1987" s="29"/>
      <c r="F1987" s="22"/>
      <c r="G1987" s="22"/>
      <c r="H1987" s="22"/>
      <c r="I1987" s="24"/>
      <c r="J1987" s="24"/>
      <c r="K1987" s="24"/>
      <c r="L1987" s="24"/>
      <c r="M1987" s="27" t="str">
        <f t="shared" si="123"/>
        <v/>
      </c>
      <c r="N1987" s="25"/>
      <c r="O1987" s="22"/>
      <c r="P1987" s="24"/>
      <c r="Q1987" s="26"/>
    </row>
    <row r="1988" spans="1:17" ht="15" x14ac:dyDescent="0.15">
      <c r="A1988" s="22"/>
      <c r="B1988" s="26" t="str">
        <f t="shared" si="120"/>
        <v/>
      </c>
      <c r="C1988" s="26" t="str">
        <f t="shared" si="121"/>
        <v/>
      </c>
      <c r="D1988" s="26" t="str">
        <f t="shared" si="122"/>
        <v/>
      </c>
      <c r="E1988" s="29"/>
      <c r="F1988" s="22"/>
      <c r="G1988" s="22"/>
      <c r="H1988" s="22"/>
      <c r="I1988" s="24"/>
      <c r="J1988" s="24"/>
      <c r="K1988" s="24"/>
      <c r="L1988" s="24"/>
      <c r="M1988" s="27" t="str">
        <f t="shared" si="123"/>
        <v/>
      </c>
      <c r="N1988" s="25"/>
      <c r="O1988" s="22"/>
      <c r="P1988" s="24"/>
      <c r="Q1988" s="26"/>
    </row>
    <row r="1989" spans="1:17" ht="15" x14ac:dyDescent="0.15">
      <c r="A1989" s="22"/>
      <c r="B1989" s="26" t="str">
        <f t="shared" si="120"/>
        <v/>
      </c>
      <c r="C1989" s="26" t="str">
        <f t="shared" si="121"/>
        <v/>
      </c>
      <c r="D1989" s="26" t="str">
        <f t="shared" si="122"/>
        <v/>
      </c>
      <c r="E1989" s="29"/>
      <c r="F1989" s="22"/>
      <c r="G1989" s="22"/>
      <c r="H1989" s="22"/>
      <c r="I1989" s="24"/>
      <c r="J1989" s="24"/>
      <c r="K1989" s="24"/>
      <c r="L1989" s="24"/>
      <c r="M1989" s="27" t="str">
        <f t="shared" si="123"/>
        <v/>
      </c>
      <c r="N1989" s="25"/>
      <c r="O1989" s="22"/>
      <c r="P1989" s="24"/>
      <c r="Q1989" s="26"/>
    </row>
    <row r="1990" spans="1:17" ht="15" x14ac:dyDescent="0.15">
      <c r="A1990" s="22"/>
      <c r="B1990" s="26" t="str">
        <f t="shared" si="120"/>
        <v/>
      </c>
      <c r="C1990" s="26" t="str">
        <f t="shared" si="121"/>
        <v/>
      </c>
      <c r="D1990" s="26" t="str">
        <f t="shared" si="122"/>
        <v/>
      </c>
      <c r="E1990" s="29"/>
      <c r="F1990" s="22"/>
      <c r="G1990" s="22"/>
      <c r="H1990" s="22"/>
      <c r="I1990" s="24"/>
      <c r="J1990" s="24"/>
      <c r="K1990" s="24"/>
      <c r="L1990" s="24"/>
      <c r="M1990" s="27" t="str">
        <f t="shared" si="123"/>
        <v/>
      </c>
      <c r="N1990" s="25"/>
      <c r="O1990" s="22"/>
      <c r="P1990" s="24"/>
      <c r="Q1990" s="26"/>
    </row>
    <row r="1991" spans="1:17" ht="15" x14ac:dyDescent="0.15">
      <c r="A1991" s="22"/>
      <c r="B1991" s="26" t="str">
        <f t="shared" ref="B1991:B2054" si="124">IFERROR(IF($A1991="","",LEFT($A1991,FIND(" | ",$A1991)-1)),"")</f>
        <v/>
      </c>
      <c r="C1991" s="26" t="str">
        <f t="shared" ref="C1991:C2054" si="125">IFERROR(IF($A1991="","",MID($A1991,FIND(" | ",$A1991)+3,FIND(" | ",$A1991,FIND(" | ",$A1991)+3)-FIND(" | ",$A1991)-3)),"")</f>
        <v/>
      </c>
      <c r="D1991" s="26" t="str">
        <f t="shared" ref="D1991:D2054" si="126">IFERROR(IF($A1991="","",RIGHT($A1991,LEN($A1991)-FIND(" | ",$A1991,FIND(" | ",$A1991)+3)-2)),"")</f>
        <v/>
      </c>
      <c r="E1991" s="29"/>
      <c r="F1991" s="22"/>
      <c r="G1991" s="22"/>
      <c r="H1991" s="22"/>
      <c r="I1991" s="24"/>
      <c r="J1991" s="24"/>
      <c r="K1991" s="24"/>
      <c r="L1991" s="24"/>
      <c r="M1991" s="27" t="str">
        <f t="shared" ref="M1991:M2054" si="127">IF($B1991="","",SUM($J1991,-$K1991,$L1991))</f>
        <v/>
      </c>
      <c r="N1991" s="25"/>
      <c r="O1991" s="22"/>
      <c r="P1991" s="24"/>
      <c r="Q1991" s="26"/>
    </row>
    <row r="1992" spans="1:17" ht="15" x14ac:dyDescent="0.15">
      <c r="A1992" s="22"/>
      <c r="B1992" s="26" t="str">
        <f t="shared" si="124"/>
        <v/>
      </c>
      <c r="C1992" s="26" t="str">
        <f t="shared" si="125"/>
        <v/>
      </c>
      <c r="D1992" s="26" t="str">
        <f t="shared" si="126"/>
        <v/>
      </c>
      <c r="E1992" s="29"/>
      <c r="F1992" s="22"/>
      <c r="G1992" s="22"/>
      <c r="H1992" s="22"/>
      <c r="I1992" s="24"/>
      <c r="J1992" s="24"/>
      <c r="K1992" s="24"/>
      <c r="L1992" s="24"/>
      <c r="M1992" s="27" t="str">
        <f t="shared" si="127"/>
        <v/>
      </c>
      <c r="N1992" s="25"/>
      <c r="O1992" s="22"/>
      <c r="P1992" s="24"/>
      <c r="Q1992" s="26"/>
    </row>
    <row r="1993" spans="1:17" ht="15" x14ac:dyDescent="0.15">
      <c r="A1993" s="22"/>
      <c r="B1993" s="26" t="str">
        <f t="shared" si="124"/>
        <v/>
      </c>
      <c r="C1993" s="26" t="str">
        <f t="shared" si="125"/>
        <v/>
      </c>
      <c r="D1993" s="26" t="str">
        <f t="shared" si="126"/>
        <v/>
      </c>
      <c r="E1993" s="29"/>
      <c r="F1993" s="22"/>
      <c r="G1993" s="22"/>
      <c r="H1993" s="22"/>
      <c r="I1993" s="24"/>
      <c r="J1993" s="24"/>
      <c r="K1993" s="24"/>
      <c r="L1993" s="24"/>
      <c r="M1993" s="27" t="str">
        <f t="shared" si="127"/>
        <v/>
      </c>
      <c r="N1993" s="25"/>
      <c r="O1993" s="22"/>
      <c r="P1993" s="24"/>
      <c r="Q1993" s="26"/>
    </row>
    <row r="1994" spans="1:17" ht="15" x14ac:dyDescent="0.15">
      <c r="A1994" s="22"/>
      <c r="B1994" s="26" t="str">
        <f t="shared" si="124"/>
        <v/>
      </c>
      <c r="C1994" s="26" t="str">
        <f t="shared" si="125"/>
        <v/>
      </c>
      <c r="D1994" s="26" t="str">
        <f t="shared" si="126"/>
        <v/>
      </c>
      <c r="E1994" s="29"/>
      <c r="F1994" s="22"/>
      <c r="G1994" s="22"/>
      <c r="H1994" s="22"/>
      <c r="I1994" s="24"/>
      <c r="J1994" s="24"/>
      <c r="K1994" s="24"/>
      <c r="L1994" s="24"/>
      <c r="M1994" s="27" t="str">
        <f t="shared" si="127"/>
        <v/>
      </c>
      <c r="N1994" s="25"/>
      <c r="O1994" s="22"/>
      <c r="P1994" s="24"/>
      <c r="Q1994" s="26"/>
    </row>
    <row r="1995" spans="1:17" ht="15" x14ac:dyDescent="0.15">
      <c r="A1995" s="22"/>
      <c r="B1995" s="26" t="str">
        <f t="shared" si="124"/>
        <v/>
      </c>
      <c r="C1995" s="26" t="str">
        <f t="shared" si="125"/>
        <v/>
      </c>
      <c r="D1995" s="26" t="str">
        <f t="shared" si="126"/>
        <v/>
      </c>
      <c r="E1995" s="29"/>
      <c r="F1995" s="22"/>
      <c r="G1995" s="22"/>
      <c r="H1995" s="22"/>
      <c r="I1995" s="24"/>
      <c r="J1995" s="24"/>
      <c r="K1995" s="24"/>
      <c r="L1995" s="24"/>
      <c r="M1995" s="27" t="str">
        <f t="shared" si="127"/>
        <v/>
      </c>
      <c r="N1995" s="25"/>
      <c r="O1995" s="22"/>
      <c r="P1995" s="24"/>
      <c r="Q1995" s="26"/>
    </row>
    <row r="1996" spans="1:17" ht="15" x14ac:dyDescent="0.15">
      <c r="A1996" s="22"/>
      <c r="B1996" s="26" t="str">
        <f t="shared" si="124"/>
        <v/>
      </c>
      <c r="C1996" s="26" t="str">
        <f t="shared" si="125"/>
        <v/>
      </c>
      <c r="D1996" s="26" t="str">
        <f t="shared" si="126"/>
        <v/>
      </c>
      <c r="E1996" s="29"/>
      <c r="F1996" s="22"/>
      <c r="G1996" s="22"/>
      <c r="H1996" s="22"/>
      <c r="I1996" s="24"/>
      <c r="J1996" s="24"/>
      <c r="K1996" s="24"/>
      <c r="L1996" s="24"/>
      <c r="M1996" s="27" t="str">
        <f t="shared" si="127"/>
        <v/>
      </c>
      <c r="N1996" s="25"/>
      <c r="O1996" s="22"/>
      <c r="P1996" s="24"/>
      <c r="Q1996" s="26"/>
    </row>
    <row r="1997" spans="1:17" ht="15" x14ac:dyDescent="0.15">
      <c r="A1997" s="22"/>
      <c r="B1997" s="26" t="str">
        <f t="shared" si="124"/>
        <v/>
      </c>
      <c r="C1997" s="26" t="str">
        <f t="shared" si="125"/>
        <v/>
      </c>
      <c r="D1997" s="26" t="str">
        <f t="shared" si="126"/>
        <v/>
      </c>
      <c r="E1997" s="29"/>
      <c r="F1997" s="22"/>
      <c r="G1997" s="22"/>
      <c r="H1997" s="22"/>
      <c r="I1997" s="24"/>
      <c r="J1997" s="24"/>
      <c r="K1997" s="24"/>
      <c r="L1997" s="24"/>
      <c r="M1997" s="27" t="str">
        <f t="shared" si="127"/>
        <v/>
      </c>
      <c r="N1997" s="25"/>
      <c r="O1997" s="22"/>
      <c r="P1997" s="24"/>
      <c r="Q1997" s="26"/>
    </row>
    <row r="1998" spans="1:17" ht="15" x14ac:dyDescent="0.15">
      <c r="A1998" s="22"/>
      <c r="B1998" s="26" t="str">
        <f t="shared" si="124"/>
        <v/>
      </c>
      <c r="C1998" s="26" t="str">
        <f t="shared" si="125"/>
        <v/>
      </c>
      <c r="D1998" s="26" t="str">
        <f t="shared" si="126"/>
        <v/>
      </c>
      <c r="E1998" s="29"/>
      <c r="F1998" s="22"/>
      <c r="G1998" s="22"/>
      <c r="H1998" s="22"/>
      <c r="I1998" s="24"/>
      <c r="J1998" s="24"/>
      <c r="K1998" s="24"/>
      <c r="L1998" s="24"/>
      <c r="M1998" s="27" t="str">
        <f t="shared" si="127"/>
        <v/>
      </c>
      <c r="N1998" s="25"/>
      <c r="O1998" s="22"/>
      <c r="P1998" s="24"/>
      <c r="Q1998" s="26"/>
    </row>
    <row r="1999" spans="1:17" ht="15" x14ac:dyDescent="0.15">
      <c r="A1999" s="22"/>
      <c r="B1999" s="26" t="str">
        <f t="shared" si="124"/>
        <v/>
      </c>
      <c r="C1999" s="26" t="str">
        <f t="shared" si="125"/>
        <v/>
      </c>
      <c r="D1999" s="26" t="str">
        <f t="shared" si="126"/>
        <v/>
      </c>
      <c r="E1999" s="29"/>
      <c r="F1999" s="22"/>
      <c r="G1999" s="22"/>
      <c r="H1999" s="22"/>
      <c r="I1999" s="24"/>
      <c r="J1999" s="24"/>
      <c r="K1999" s="24"/>
      <c r="L1999" s="24"/>
      <c r="M1999" s="27" t="str">
        <f t="shared" si="127"/>
        <v/>
      </c>
      <c r="N1999" s="25"/>
      <c r="O1999" s="22"/>
      <c r="P1999" s="24"/>
      <c r="Q1999" s="26"/>
    </row>
    <row r="2000" spans="1:17" ht="15" x14ac:dyDescent="0.15">
      <c r="A2000" s="22"/>
      <c r="B2000" s="26" t="str">
        <f t="shared" si="124"/>
        <v/>
      </c>
      <c r="C2000" s="26" t="str">
        <f t="shared" si="125"/>
        <v/>
      </c>
      <c r="D2000" s="26" t="str">
        <f t="shared" si="126"/>
        <v/>
      </c>
      <c r="E2000" s="29"/>
      <c r="F2000" s="22"/>
      <c r="G2000" s="22"/>
      <c r="H2000" s="22"/>
      <c r="I2000" s="24"/>
      <c r="J2000" s="24"/>
      <c r="K2000" s="24"/>
      <c r="L2000" s="24"/>
      <c r="M2000" s="27" t="str">
        <f t="shared" si="127"/>
        <v/>
      </c>
      <c r="N2000" s="25"/>
      <c r="O2000" s="22"/>
      <c r="P2000" s="24"/>
      <c r="Q2000" s="26"/>
    </row>
    <row r="2001" spans="1:17" ht="15" x14ac:dyDescent="0.15">
      <c r="A2001" s="22"/>
      <c r="B2001" s="26" t="str">
        <f t="shared" si="124"/>
        <v/>
      </c>
      <c r="C2001" s="26" t="str">
        <f t="shared" si="125"/>
        <v/>
      </c>
      <c r="D2001" s="26" t="str">
        <f t="shared" si="126"/>
        <v/>
      </c>
      <c r="E2001" s="29"/>
      <c r="F2001" s="22"/>
      <c r="G2001" s="22"/>
      <c r="H2001" s="22"/>
      <c r="I2001" s="24"/>
      <c r="J2001" s="24"/>
      <c r="K2001" s="24"/>
      <c r="L2001" s="24"/>
      <c r="M2001" s="27" t="str">
        <f t="shared" si="127"/>
        <v/>
      </c>
      <c r="N2001" s="25"/>
      <c r="O2001" s="22"/>
      <c r="P2001" s="24"/>
      <c r="Q2001" s="26"/>
    </row>
    <row r="2002" spans="1:17" ht="15" x14ac:dyDescent="0.15">
      <c r="A2002" s="22"/>
      <c r="B2002" s="26" t="str">
        <f t="shared" si="124"/>
        <v/>
      </c>
      <c r="C2002" s="26" t="str">
        <f t="shared" si="125"/>
        <v/>
      </c>
      <c r="D2002" s="26" t="str">
        <f t="shared" si="126"/>
        <v/>
      </c>
      <c r="E2002" s="29"/>
      <c r="F2002" s="22"/>
      <c r="G2002" s="22"/>
      <c r="H2002" s="22"/>
      <c r="I2002" s="24"/>
      <c r="J2002" s="24"/>
      <c r="K2002" s="24"/>
      <c r="L2002" s="24"/>
      <c r="M2002" s="27" t="str">
        <f t="shared" si="127"/>
        <v/>
      </c>
      <c r="N2002" s="25"/>
      <c r="O2002" s="22"/>
      <c r="P2002" s="24"/>
      <c r="Q2002" s="26"/>
    </row>
    <row r="2003" spans="1:17" ht="15" x14ac:dyDescent="0.15">
      <c r="A2003" s="22"/>
      <c r="B2003" s="26" t="str">
        <f t="shared" si="124"/>
        <v/>
      </c>
      <c r="C2003" s="26" t="str">
        <f t="shared" si="125"/>
        <v/>
      </c>
      <c r="D2003" s="26" t="str">
        <f t="shared" si="126"/>
        <v/>
      </c>
      <c r="E2003" s="29"/>
      <c r="F2003" s="22"/>
      <c r="G2003" s="22"/>
      <c r="H2003" s="22"/>
      <c r="I2003" s="24"/>
      <c r="J2003" s="24"/>
      <c r="K2003" s="24"/>
      <c r="L2003" s="24"/>
      <c r="M2003" s="27" t="str">
        <f t="shared" si="127"/>
        <v/>
      </c>
      <c r="N2003" s="25"/>
      <c r="O2003" s="22"/>
      <c r="P2003" s="24"/>
      <c r="Q2003" s="26"/>
    </row>
    <row r="2004" spans="1:17" ht="15" x14ac:dyDescent="0.15">
      <c r="A2004" s="22"/>
      <c r="B2004" s="26" t="str">
        <f t="shared" si="124"/>
        <v/>
      </c>
      <c r="C2004" s="26" t="str">
        <f t="shared" si="125"/>
        <v/>
      </c>
      <c r="D2004" s="26" t="str">
        <f t="shared" si="126"/>
        <v/>
      </c>
      <c r="E2004" s="29"/>
      <c r="F2004" s="22"/>
      <c r="G2004" s="22"/>
      <c r="H2004" s="22"/>
      <c r="I2004" s="24"/>
      <c r="J2004" s="24"/>
      <c r="K2004" s="24"/>
      <c r="L2004" s="24"/>
      <c r="M2004" s="27" t="str">
        <f t="shared" si="127"/>
        <v/>
      </c>
      <c r="N2004" s="25"/>
      <c r="O2004" s="22"/>
      <c r="P2004" s="24"/>
      <c r="Q2004" s="26"/>
    </row>
    <row r="2005" spans="1:17" ht="15" x14ac:dyDescent="0.15">
      <c r="A2005" s="22"/>
      <c r="B2005" s="26" t="str">
        <f t="shared" si="124"/>
        <v/>
      </c>
      <c r="C2005" s="26" t="str">
        <f t="shared" si="125"/>
        <v/>
      </c>
      <c r="D2005" s="26" t="str">
        <f t="shared" si="126"/>
        <v/>
      </c>
      <c r="E2005" s="29"/>
      <c r="F2005" s="22"/>
      <c r="G2005" s="22"/>
      <c r="H2005" s="22"/>
      <c r="I2005" s="24"/>
      <c r="J2005" s="24"/>
      <c r="K2005" s="24"/>
      <c r="L2005" s="24"/>
      <c r="M2005" s="27" t="str">
        <f t="shared" si="127"/>
        <v/>
      </c>
      <c r="N2005" s="25"/>
      <c r="O2005" s="22"/>
      <c r="P2005" s="24"/>
      <c r="Q2005" s="26"/>
    </row>
    <row r="2006" spans="1:17" ht="15" x14ac:dyDescent="0.15">
      <c r="A2006" s="22"/>
      <c r="B2006" s="26" t="str">
        <f t="shared" si="124"/>
        <v/>
      </c>
      <c r="C2006" s="26" t="str">
        <f t="shared" si="125"/>
        <v/>
      </c>
      <c r="D2006" s="26" t="str">
        <f t="shared" si="126"/>
        <v/>
      </c>
      <c r="E2006" s="29"/>
      <c r="F2006" s="22"/>
      <c r="G2006" s="22"/>
      <c r="H2006" s="22"/>
      <c r="I2006" s="24"/>
      <c r="J2006" s="24"/>
      <c r="K2006" s="24"/>
      <c r="L2006" s="24"/>
      <c r="M2006" s="27" t="str">
        <f t="shared" si="127"/>
        <v/>
      </c>
      <c r="N2006" s="25"/>
      <c r="O2006" s="22"/>
      <c r="P2006" s="24"/>
      <c r="Q2006" s="26"/>
    </row>
    <row r="2007" spans="1:17" ht="15" x14ac:dyDescent="0.15">
      <c r="A2007" s="22"/>
      <c r="B2007" s="26" t="str">
        <f t="shared" si="124"/>
        <v/>
      </c>
      <c r="C2007" s="26" t="str">
        <f t="shared" si="125"/>
        <v/>
      </c>
      <c r="D2007" s="26" t="str">
        <f t="shared" si="126"/>
        <v/>
      </c>
      <c r="E2007" s="29"/>
      <c r="F2007" s="22"/>
      <c r="G2007" s="22"/>
      <c r="H2007" s="22"/>
      <c r="I2007" s="24"/>
      <c r="J2007" s="24"/>
      <c r="K2007" s="24"/>
      <c r="L2007" s="24"/>
      <c r="M2007" s="27" t="str">
        <f t="shared" si="127"/>
        <v/>
      </c>
      <c r="N2007" s="25"/>
      <c r="O2007" s="22"/>
      <c r="P2007" s="24"/>
      <c r="Q2007" s="26"/>
    </row>
    <row r="2008" spans="1:17" ht="15" x14ac:dyDescent="0.15">
      <c r="A2008" s="22"/>
      <c r="B2008" s="26" t="str">
        <f t="shared" si="124"/>
        <v/>
      </c>
      <c r="C2008" s="26" t="str">
        <f t="shared" si="125"/>
        <v/>
      </c>
      <c r="D2008" s="26" t="str">
        <f t="shared" si="126"/>
        <v/>
      </c>
      <c r="E2008" s="29"/>
      <c r="F2008" s="22"/>
      <c r="G2008" s="22"/>
      <c r="H2008" s="22"/>
      <c r="I2008" s="24"/>
      <c r="J2008" s="24"/>
      <c r="K2008" s="24"/>
      <c r="L2008" s="24"/>
      <c r="M2008" s="27" t="str">
        <f t="shared" si="127"/>
        <v/>
      </c>
      <c r="N2008" s="25"/>
      <c r="O2008" s="22"/>
      <c r="P2008" s="24"/>
      <c r="Q2008" s="26"/>
    </row>
    <row r="2009" spans="1:17" ht="15" x14ac:dyDescent="0.15">
      <c r="A2009" s="22"/>
      <c r="B2009" s="26" t="str">
        <f t="shared" si="124"/>
        <v/>
      </c>
      <c r="C2009" s="26" t="str">
        <f t="shared" si="125"/>
        <v/>
      </c>
      <c r="D2009" s="26" t="str">
        <f t="shared" si="126"/>
        <v/>
      </c>
      <c r="E2009" s="29"/>
      <c r="F2009" s="22"/>
      <c r="G2009" s="22"/>
      <c r="H2009" s="22"/>
      <c r="I2009" s="24"/>
      <c r="J2009" s="24"/>
      <c r="K2009" s="24"/>
      <c r="L2009" s="24"/>
      <c r="M2009" s="27" t="str">
        <f t="shared" si="127"/>
        <v/>
      </c>
      <c r="N2009" s="25"/>
      <c r="O2009" s="22"/>
      <c r="P2009" s="24"/>
      <c r="Q2009" s="26"/>
    </row>
    <row r="2010" spans="1:17" ht="15" x14ac:dyDescent="0.15">
      <c r="A2010" s="22"/>
      <c r="B2010" s="26" t="str">
        <f t="shared" si="124"/>
        <v/>
      </c>
      <c r="C2010" s="26" t="str">
        <f t="shared" si="125"/>
        <v/>
      </c>
      <c r="D2010" s="26" t="str">
        <f t="shared" si="126"/>
        <v/>
      </c>
      <c r="E2010" s="29"/>
      <c r="F2010" s="22"/>
      <c r="G2010" s="22"/>
      <c r="H2010" s="22"/>
      <c r="I2010" s="24"/>
      <c r="J2010" s="24"/>
      <c r="K2010" s="24"/>
      <c r="L2010" s="24"/>
      <c r="M2010" s="27" t="str">
        <f t="shared" si="127"/>
        <v/>
      </c>
      <c r="N2010" s="25"/>
      <c r="O2010" s="22"/>
      <c r="P2010" s="24"/>
      <c r="Q2010" s="26"/>
    </row>
    <row r="2011" spans="1:17" ht="15" x14ac:dyDescent="0.15">
      <c r="A2011" s="22"/>
      <c r="B2011" s="26" t="str">
        <f t="shared" si="124"/>
        <v/>
      </c>
      <c r="C2011" s="26" t="str">
        <f t="shared" si="125"/>
        <v/>
      </c>
      <c r="D2011" s="26" t="str">
        <f t="shared" si="126"/>
        <v/>
      </c>
      <c r="E2011" s="29"/>
      <c r="F2011" s="22"/>
      <c r="G2011" s="22"/>
      <c r="H2011" s="22"/>
      <c r="I2011" s="24"/>
      <c r="J2011" s="24"/>
      <c r="K2011" s="24"/>
      <c r="L2011" s="24"/>
      <c r="M2011" s="27" t="str">
        <f t="shared" si="127"/>
        <v/>
      </c>
      <c r="N2011" s="25"/>
      <c r="O2011" s="22"/>
      <c r="P2011" s="24"/>
      <c r="Q2011" s="26"/>
    </row>
    <row r="2012" spans="1:17" ht="15" x14ac:dyDescent="0.15">
      <c r="A2012" s="22"/>
      <c r="B2012" s="26" t="str">
        <f t="shared" si="124"/>
        <v/>
      </c>
      <c r="C2012" s="26" t="str">
        <f t="shared" si="125"/>
        <v/>
      </c>
      <c r="D2012" s="26" t="str">
        <f t="shared" si="126"/>
        <v/>
      </c>
      <c r="E2012" s="29"/>
      <c r="F2012" s="22"/>
      <c r="G2012" s="22"/>
      <c r="H2012" s="22"/>
      <c r="I2012" s="24"/>
      <c r="J2012" s="24"/>
      <c r="K2012" s="24"/>
      <c r="L2012" s="24"/>
      <c r="M2012" s="27" t="str">
        <f t="shared" si="127"/>
        <v/>
      </c>
      <c r="N2012" s="25"/>
      <c r="O2012" s="22"/>
      <c r="P2012" s="24"/>
      <c r="Q2012" s="26"/>
    </row>
    <row r="2013" spans="1:17" ht="15" x14ac:dyDescent="0.15">
      <c r="A2013" s="22"/>
      <c r="B2013" s="26" t="str">
        <f t="shared" si="124"/>
        <v/>
      </c>
      <c r="C2013" s="26" t="str">
        <f t="shared" si="125"/>
        <v/>
      </c>
      <c r="D2013" s="26" t="str">
        <f t="shared" si="126"/>
        <v/>
      </c>
      <c r="E2013" s="29"/>
      <c r="F2013" s="22"/>
      <c r="G2013" s="22"/>
      <c r="H2013" s="22"/>
      <c r="I2013" s="24"/>
      <c r="J2013" s="24"/>
      <c r="K2013" s="24"/>
      <c r="L2013" s="24"/>
      <c r="M2013" s="27" t="str">
        <f t="shared" si="127"/>
        <v/>
      </c>
      <c r="N2013" s="25"/>
      <c r="O2013" s="22"/>
      <c r="P2013" s="24"/>
      <c r="Q2013" s="26"/>
    </row>
    <row r="2014" spans="1:17" ht="15" x14ac:dyDescent="0.15">
      <c r="A2014" s="22"/>
      <c r="B2014" s="26" t="str">
        <f t="shared" si="124"/>
        <v/>
      </c>
      <c r="C2014" s="26" t="str">
        <f t="shared" si="125"/>
        <v/>
      </c>
      <c r="D2014" s="26" t="str">
        <f t="shared" si="126"/>
        <v/>
      </c>
      <c r="E2014" s="29"/>
      <c r="F2014" s="22"/>
      <c r="G2014" s="22"/>
      <c r="H2014" s="22"/>
      <c r="I2014" s="24"/>
      <c r="J2014" s="24"/>
      <c r="K2014" s="24"/>
      <c r="L2014" s="24"/>
      <c r="M2014" s="27" t="str">
        <f t="shared" si="127"/>
        <v/>
      </c>
      <c r="N2014" s="25"/>
      <c r="O2014" s="22"/>
      <c r="P2014" s="24"/>
      <c r="Q2014" s="26"/>
    </row>
    <row r="2015" spans="1:17" ht="15" x14ac:dyDescent="0.15">
      <c r="A2015" s="22"/>
      <c r="B2015" s="26" t="str">
        <f t="shared" si="124"/>
        <v/>
      </c>
      <c r="C2015" s="26" t="str">
        <f t="shared" si="125"/>
        <v/>
      </c>
      <c r="D2015" s="26" t="str">
        <f t="shared" si="126"/>
        <v/>
      </c>
      <c r="E2015" s="29"/>
      <c r="F2015" s="22"/>
      <c r="G2015" s="22"/>
      <c r="H2015" s="22"/>
      <c r="I2015" s="24"/>
      <c r="J2015" s="24"/>
      <c r="K2015" s="24"/>
      <c r="L2015" s="24"/>
      <c r="M2015" s="27" t="str">
        <f t="shared" si="127"/>
        <v/>
      </c>
      <c r="N2015" s="25"/>
      <c r="O2015" s="22"/>
      <c r="P2015" s="24"/>
      <c r="Q2015" s="26"/>
    </row>
    <row r="2016" spans="1:17" ht="15" x14ac:dyDescent="0.15">
      <c r="A2016" s="22"/>
      <c r="B2016" s="26" t="str">
        <f t="shared" si="124"/>
        <v/>
      </c>
      <c r="C2016" s="26" t="str">
        <f t="shared" si="125"/>
        <v/>
      </c>
      <c r="D2016" s="26" t="str">
        <f t="shared" si="126"/>
        <v/>
      </c>
      <c r="E2016" s="29"/>
      <c r="F2016" s="22"/>
      <c r="G2016" s="22"/>
      <c r="H2016" s="22"/>
      <c r="I2016" s="24"/>
      <c r="J2016" s="24"/>
      <c r="K2016" s="24"/>
      <c r="L2016" s="24"/>
      <c r="M2016" s="27" t="str">
        <f t="shared" si="127"/>
        <v/>
      </c>
      <c r="N2016" s="25"/>
      <c r="O2016" s="22"/>
      <c r="P2016" s="24"/>
      <c r="Q2016" s="26"/>
    </row>
    <row r="2017" spans="1:17" ht="15" x14ac:dyDescent="0.15">
      <c r="A2017" s="22"/>
      <c r="B2017" s="26" t="str">
        <f t="shared" si="124"/>
        <v/>
      </c>
      <c r="C2017" s="26" t="str">
        <f t="shared" si="125"/>
        <v/>
      </c>
      <c r="D2017" s="26" t="str">
        <f t="shared" si="126"/>
        <v/>
      </c>
      <c r="E2017" s="29"/>
      <c r="F2017" s="22"/>
      <c r="G2017" s="22"/>
      <c r="H2017" s="22"/>
      <c r="I2017" s="24"/>
      <c r="J2017" s="24"/>
      <c r="K2017" s="24"/>
      <c r="L2017" s="24"/>
      <c r="M2017" s="27" t="str">
        <f t="shared" si="127"/>
        <v/>
      </c>
      <c r="N2017" s="25"/>
      <c r="O2017" s="22"/>
      <c r="P2017" s="24"/>
      <c r="Q2017" s="26"/>
    </row>
    <row r="2018" spans="1:17" ht="15" x14ac:dyDescent="0.15">
      <c r="A2018" s="22"/>
      <c r="B2018" s="26" t="str">
        <f t="shared" si="124"/>
        <v/>
      </c>
      <c r="C2018" s="26" t="str">
        <f t="shared" si="125"/>
        <v/>
      </c>
      <c r="D2018" s="26" t="str">
        <f t="shared" si="126"/>
        <v/>
      </c>
      <c r="E2018" s="29"/>
      <c r="F2018" s="22"/>
      <c r="G2018" s="22"/>
      <c r="H2018" s="22"/>
      <c r="I2018" s="24"/>
      <c r="J2018" s="24"/>
      <c r="K2018" s="24"/>
      <c r="L2018" s="24"/>
      <c r="M2018" s="27" t="str">
        <f t="shared" si="127"/>
        <v/>
      </c>
      <c r="N2018" s="25"/>
      <c r="O2018" s="22"/>
      <c r="P2018" s="24"/>
      <c r="Q2018" s="26"/>
    </row>
    <row r="2019" spans="1:17" ht="15" x14ac:dyDescent="0.15">
      <c r="A2019" s="22"/>
      <c r="B2019" s="26" t="str">
        <f t="shared" si="124"/>
        <v/>
      </c>
      <c r="C2019" s="26" t="str">
        <f t="shared" si="125"/>
        <v/>
      </c>
      <c r="D2019" s="26" t="str">
        <f t="shared" si="126"/>
        <v/>
      </c>
      <c r="E2019" s="29"/>
      <c r="F2019" s="22"/>
      <c r="G2019" s="22"/>
      <c r="H2019" s="22"/>
      <c r="I2019" s="24"/>
      <c r="J2019" s="24"/>
      <c r="K2019" s="24"/>
      <c r="L2019" s="24"/>
      <c r="M2019" s="27" t="str">
        <f t="shared" si="127"/>
        <v/>
      </c>
      <c r="N2019" s="25"/>
      <c r="O2019" s="22"/>
      <c r="P2019" s="24"/>
      <c r="Q2019" s="26"/>
    </row>
    <row r="2020" spans="1:17" ht="15" x14ac:dyDescent="0.15">
      <c r="A2020" s="22"/>
      <c r="B2020" s="26" t="str">
        <f t="shared" si="124"/>
        <v/>
      </c>
      <c r="C2020" s="26" t="str">
        <f t="shared" si="125"/>
        <v/>
      </c>
      <c r="D2020" s="26" t="str">
        <f t="shared" si="126"/>
        <v/>
      </c>
      <c r="E2020" s="29"/>
      <c r="F2020" s="22"/>
      <c r="G2020" s="22"/>
      <c r="H2020" s="22"/>
      <c r="I2020" s="24"/>
      <c r="J2020" s="24"/>
      <c r="K2020" s="24"/>
      <c r="L2020" s="24"/>
      <c r="M2020" s="27" t="str">
        <f t="shared" si="127"/>
        <v/>
      </c>
      <c r="N2020" s="25"/>
      <c r="O2020" s="22"/>
      <c r="P2020" s="24"/>
      <c r="Q2020" s="26"/>
    </row>
    <row r="2021" spans="1:17" ht="15" x14ac:dyDescent="0.15">
      <c r="A2021" s="22"/>
      <c r="B2021" s="26" t="str">
        <f t="shared" si="124"/>
        <v/>
      </c>
      <c r="C2021" s="26" t="str">
        <f t="shared" si="125"/>
        <v/>
      </c>
      <c r="D2021" s="26" t="str">
        <f t="shared" si="126"/>
        <v/>
      </c>
      <c r="E2021" s="29"/>
      <c r="F2021" s="22"/>
      <c r="G2021" s="22"/>
      <c r="H2021" s="22"/>
      <c r="I2021" s="24"/>
      <c r="J2021" s="24"/>
      <c r="K2021" s="24"/>
      <c r="L2021" s="24"/>
      <c r="M2021" s="27" t="str">
        <f t="shared" si="127"/>
        <v/>
      </c>
      <c r="N2021" s="25"/>
      <c r="O2021" s="22"/>
      <c r="P2021" s="24"/>
      <c r="Q2021" s="26"/>
    </row>
    <row r="2022" spans="1:17" ht="15" x14ac:dyDescent="0.15">
      <c r="A2022" s="22"/>
      <c r="B2022" s="26" t="str">
        <f t="shared" si="124"/>
        <v/>
      </c>
      <c r="C2022" s="26" t="str">
        <f t="shared" si="125"/>
        <v/>
      </c>
      <c r="D2022" s="26" t="str">
        <f t="shared" si="126"/>
        <v/>
      </c>
      <c r="E2022" s="29"/>
      <c r="F2022" s="22"/>
      <c r="G2022" s="22"/>
      <c r="H2022" s="22"/>
      <c r="I2022" s="24"/>
      <c r="J2022" s="24"/>
      <c r="K2022" s="24"/>
      <c r="L2022" s="24"/>
      <c r="M2022" s="27" t="str">
        <f t="shared" si="127"/>
        <v/>
      </c>
      <c r="N2022" s="25"/>
      <c r="O2022" s="22"/>
      <c r="P2022" s="24"/>
      <c r="Q2022" s="26"/>
    </row>
    <row r="2023" spans="1:17" ht="15" x14ac:dyDescent="0.15">
      <c r="A2023" s="22"/>
      <c r="B2023" s="26" t="str">
        <f t="shared" si="124"/>
        <v/>
      </c>
      <c r="C2023" s="26" t="str">
        <f t="shared" si="125"/>
        <v/>
      </c>
      <c r="D2023" s="26" t="str">
        <f t="shared" si="126"/>
        <v/>
      </c>
      <c r="E2023" s="29"/>
      <c r="F2023" s="22"/>
      <c r="G2023" s="22"/>
      <c r="H2023" s="22"/>
      <c r="I2023" s="24"/>
      <c r="J2023" s="24"/>
      <c r="K2023" s="24"/>
      <c r="L2023" s="24"/>
      <c r="M2023" s="27" t="str">
        <f t="shared" si="127"/>
        <v/>
      </c>
      <c r="N2023" s="25"/>
      <c r="O2023" s="22"/>
      <c r="P2023" s="24"/>
      <c r="Q2023" s="26"/>
    </row>
    <row r="2024" spans="1:17" ht="15" x14ac:dyDescent="0.15">
      <c r="A2024" s="22"/>
      <c r="B2024" s="26" t="str">
        <f t="shared" si="124"/>
        <v/>
      </c>
      <c r="C2024" s="26" t="str">
        <f t="shared" si="125"/>
        <v/>
      </c>
      <c r="D2024" s="26" t="str">
        <f t="shared" si="126"/>
        <v/>
      </c>
      <c r="E2024" s="29"/>
      <c r="F2024" s="22"/>
      <c r="G2024" s="22"/>
      <c r="H2024" s="22"/>
      <c r="I2024" s="24"/>
      <c r="J2024" s="24"/>
      <c r="K2024" s="24"/>
      <c r="L2024" s="24"/>
      <c r="M2024" s="27" t="str">
        <f t="shared" si="127"/>
        <v/>
      </c>
      <c r="N2024" s="25"/>
      <c r="O2024" s="22"/>
      <c r="P2024" s="24"/>
      <c r="Q2024" s="26"/>
    </row>
    <row r="2025" spans="1:17" ht="15" x14ac:dyDescent="0.15">
      <c r="A2025" s="22"/>
      <c r="B2025" s="26" t="str">
        <f t="shared" si="124"/>
        <v/>
      </c>
      <c r="C2025" s="26" t="str">
        <f t="shared" si="125"/>
        <v/>
      </c>
      <c r="D2025" s="26" t="str">
        <f t="shared" si="126"/>
        <v/>
      </c>
      <c r="E2025" s="29"/>
      <c r="F2025" s="22"/>
      <c r="G2025" s="22"/>
      <c r="H2025" s="22"/>
      <c r="I2025" s="24"/>
      <c r="J2025" s="24"/>
      <c r="K2025" s="24"/>
      <c r="L2025" s="24"/>
      <c r="M2025" s="27" t="str">
        <f t="shared" si="127"/>
        <v/>
      </c>
      <c r="N2025" s="25"/>
      <c r="O2025" s="22"/>
      <c r="P2025" s="24"/>
      <c r="Q2025" s="26"/>
    </row>
    <row r="2026" spans="1:17" ht="15" x14ac:dyDescent="0.15">
      <c r="A2026" s="22"/>
      <c r="B2026" s="26" t="str">
        <f t="shared" si="124"/>
        <v/>
      </c>
      <c r="C2026" s="26" t="str">
        <f t="shared" si="125"/>
        <v/>
      </c>
      <c r="D2026" s="26" t="str">
        <f t="shared" si="126"/>
        <v/>
      </c>
      <c r="E2026" s="29"/>
      <c r="F2026" s="22"/>
      <c r="G2026" s="22"/>
      <c r="H2026" s="22"/>
      <c r="I2026" s="24"/>
      <c r="J2026" s="24"/>
      <c r="K2026" s="24"/>
      <c r="L2026" s="24"/>
      <c r="M2026" s="27" t="str">
        <f t="shared" si="127"/>
        <v/>
      </c>
      <c r="N2026" s="25"/>
      <c r="O2026" s="22"/>
      <c r="P2026" s="24"/>
      <c r="Q2026" s="26"/>
    </row>
    <row r="2027" spans="1:17" ht="15" x14ac:dyDescent="0.15">
      <c r="A2027" s="22"/>
      <c r="B2027" s="26" t="str">
        <f t="shared" si="124"/>
        <v/>
      </c>
      <c r="C2027" s="26" t="str">
        <f t="shared" si="125"/>
        <v/>
      </c>
      <c r="D2027" s="26" t="str">
        <f t="shared" si="126"/>
        <v/>
      </c>
      <c r="E2027" s="29"/>
      <c r="F2027" s="22"/>
      <c r="G2027" s="22"/>
      <c r="H2027" s="22"/>
      <c r="I2027" s="24"/>
      <c r="J2027" s="24"/>
      <c r="K2027" s="24"/>
      <c r="L2027" s="24"/>
      <c r="M2027" s="27" t="str">
        <f t="shared" si="127"/>
        <v/>
      </c>
      <c r="N2027" s="25"/>
      <c r="O2027" s="22"/>
      <c r="P2027" s="24"/>
      <c r="Q2027" s="26"/>
    </row>
    <row r="2028" spans="1:17" ht="15" x14ac:dyDescent="0.15">
      <c r="A2028" s="22"/>
      <c r="B2028" s="26" t="str">
        <f t="shared" si="124"/>
        <v/>
      </c>
      <c r="C2028" s="26" t="str">
        <f t="shared" si="125"/>
        <v/>
      </c>
      <c r="D2028" s="26" t="str">
        <f t="shared" si="126"/>
        <v/>
      </c>
      <c r="E2028" s="29"/>
      <c r="F2028" s="22"/>
      <c r="G2028" s="22"/>
      <c r="H2028" s="22"/>
      <c r="I2028" s="24"/>
      <c r="J2028" s="24"/>
      <c r="K2028" s="24"/>
      <c r="L2028" s="24"/>
      <c r="M2028" s="27" t="str">
        <f t="shared" si="127"/>
        <v/>
      </c>
      <c r="N2028" s="25"/>
      <c r="O2028" s="22"/>
      <c r="P2028" s="24"/>
      <c r="Q2028" s="26"/>
    </row>
    <row r="2029" spans="1:17" ht="15" x14ac:dyDescent="0.15">
      <c r="A2029" s="22"/>
      <c r="B2029" s="26" t="str">
        <f t="shared" si="124"/>
        <v/>
      </c>
      <c r="C2029" s="26" t="str">
        <f t="shared" si="125"/>
        <v/>
      </c>
      <c r="D2029" s="26" t="str">
        <f t="shared" si="126"/>
        <v/>
      </c>
      <c r="E2029" s="29"/>
      <c r="F2029" s="22"/>
      <c r="G2029" s="22"/>
      <c r="H2029" s="22"/>
      <c r="I2029" s="24"/>
      <c r="J2029" s="24"/>
      <c r="K2029" s="24"/>
      <c r="L2029" s="24"/>
      <c r="M2029" s="27" t="str">
        <f t="shared" si="127"/>
        <v/>
      </c>
      <c r="N2029" s="25"/>
      <c r="O2029" s="22"/>
      <c r="P2029" s="24"/>
      <c r="Q2029" s="26"/>
    </row>
    <row r="2030" spans="1:17" ht="15" x14ac:dyDescent="0.15">
      <c r="A2030" s="22"/>
      <c r="B2030" s="26" t="str">
        <f t="shared" si="124"/>
        <v/>
      </c>
      <c r="C2030" s="26" t="str">
        <f t="shared" si="125"/>
        <v/>
      </c>
      <c r="D2030" s="26" t="str">
        <f t="shared" si="126"/>
        <v/>
      </c>
      <c r="E2030" s="29"/>
      <c r="F2030" s="22"/>
      <c r="G2030" s="22"/>
      <c r="H2030" s="22"/>
      <c r="I2030" s="24"/>
      <c r="J2030" s="24"/>
      <c r="K2030" s="24"/>
      <c r="L2030" s="24"/>
      <c r="M2030" s="27" t="str">
        <f t="shared" si="127"/>
        <v/>
      </c>
      <c r="N2030" s="25"/>
      <c r="O2030" s="22"/>
      <c r="P2030" s="24"/>
      <c r="Q2030" s="26"/>
    </row>
    <row r="2031" spans="1:17" ht="15" x14ac:dyDescent="0.15">
      <c r="A2031" s="22"/>
      <c r="B2031" s="26" t="str">
        <f t="shared" si="124"/>
        <v/>
      </c>
      <c r="C2031" s="26" t="str">
        <f t="shared" si="125"/>
        <v/>
      </c>
      <c r="D2031" s="26" t="str">
        <f t="shared" si="126"/>
        <v/>
      </c>
      <c r="E2031" s="29"/>
      <c r="F2031" s="22"/>
      <c r="G2031" s="22"/>
      <c r="H2031" s="22"/>
      <c r="I2031" s="24"/>
      <c r="J2031" s="24"/>
      <c r="K2031" s="24"/>
      <c r="L2031" s="24"/>
      <c r="M2031" s="27" t="str">
        <f t="shared" si="127"/>
        <v/>
      </c>
      <c r="N2031" s="25"/>
      <c r="O2031" s="22"/>
      <c r="P2031" s="24"/>
      <c r="Q2031" s="26"/>
    </row>
    <row r="2032" spans="1:17" ht="15" x14ac:dyDescent="0.15">
      <c r="A2032" s="22"/>
      <c r="B2032" s="26" t="str">
        <f t="shared" si="124"/>
        <v/>
      </c>
      <c r="C2032" s="26" t="str">
        <f t="shared" si="125"/>
        <v/>
      </c>
      <c r="D2032" s="26" t="str">
        <f t="shared" si="126"/>
        <v/>
      </c>
      <c r="E2032" s="29"/>
      <c r="F2032" s="22"/>
      <c r="G2032" s="22"/>
      <c r="H2032" s="22"/>
      <c r="I2032" s="24"/>
      <c r="J2032" s="24"/>
      <c r="K2032" s="24"/>
      <c r="L2032" s="24"/>
      <c r="M2032" s="27" t="str">
        <f t="shared" si="127"/>
        <v/>
      </c>
      <c r="N2032" s="25"/>
      <c r="O2032" s="22"/>
      <c r="P2032" s="24"/>
      <c r="Q2032" s="26"/>
    </row>
    <row r="2033" spans="1:17" ht="15" x14ac:dyDescent="0.15">
      <c r="A2033" s="22"/>
      <c r="B2033" s="26" t="str">
        <f t="shared" si="124"/>
        <v/>
      </c>
      <c r="C2033" s="26" t="str">
        <f t="shared" si="125"/>
        <v/>
      </c>
      <c r="D2033" s="26" t="str">
        <f t="shared" si="126"/>
        <v/>
      </c>
      <c r="E2033" s="29"/>
      <c r="F2033" s="22"/>
      <c r="G2033" s="22"/>
      <c r="H2033" s="22"/>
      <c r="I2033" s="24"/>
      <c r="J2033" s="24"/>
      <c r="K2033" s="24"/>
      <c r="L2033" s="24"/>
      <c r="M2033" s="27" t="str">
        <f t="shared" si="127"/>
        <v/>
      </c>
      <c r="N2033" s="25"/>
      <c r="O2033" s="22"/>
      <c r="P2033" s="24"/>
      <c r="Q2033" s="26"/>
    </row>
    <row r="2034" spans="1:17" ht="15" x14ac:dyDescent="0.15">
      <c r="A2034" s="22"/>
      <c r="B2034" s="26" t="str">
        <f t="shared" si="124"/>
        <v/>
      </c>
      <c r="C2034" s="26" t="str">
        <f t="shared" si="125"/>
        <v/>
      </c>
      <c r="D2034" s="26" t="str">
        <f t="shared" si="126"/>
        <v/>
      </c>
      <c r="E2034" s="29"/>
      <c r="F2034" s="22"/>
      <c r="G2034" s="22"/>
      <c r="H2034" s="22"/>
      <c r="I2034" s="24"/>
      <c r="J2034" s="24"/>
      <c r="K2034" s="24"/>
      <c r="L2034" s="24"/>
      <c r="M2034" s="27" t="str">
        <f t="shared" si="127"/>
        <v/>
      </c>
      <c r="N2034" s="25"/>
      <c r="O2034" s="22"/>
      <c r="P2034" s="24"/>
      <c r="Q2034" s="26"/>
    </row>
    <row r="2035" spans="1:17" ht="15" x14ac:dyDescent="0.15">
      <c r="A2035" s="22"/>
      <c r="B2035" s="26" t="str">
        <f t="shared" si="124"/>
        <v/>
      </c>
      <c r="C2035" s="26" t="str">
        <f t="shared" si="125"/>
        <v/>
      </c>
      <c r="D2035" s="26" t="str">
        <f t="shared" si="126"/>
        <v/>
      </c>
      <c r="E2035" s="29"/>
      <c r="F2035" s="22"/>
      <c r="G2035" s="22"/>
      <c r="H2035" s="22"/>
      <c r="I2035" s="24"/>
      <c r="J2035" s="24"/>
      <c r="K2035" s="24"/>
      <c r="L2035" s="24"/>
      <c r="M2035" s="27" t="str">
        <f t="shared" si="127"/>
        <v/>
      </c>
      <c r="N2035" s="25"/>
      <c r="O2035" s="22"/>
      <c r="P2035" s="24"/>
      <c r="Q2035" s="26"/>
    </row>
    <row r="2036" spans="1:17" ht="15" x14ac:dyDescent="0.15">
      <c r="A2036" s="22"/>
      <c r="B2036" s="26" t="str">
        <f t="shared" si="124"/>
        <v/>
      </c>
      <c r="C2036" s="26" t="str">
        <f t="shared" si="125"/>
        <v/>
      </c>
      <c r="D2036" s="26" t="str">
        <f t="shared" si="126"/>
        <v/>
      </c>
      <c r="E2036" s="29"/>
      <c r="F2036" s="22"/>
      <c r="G2036" s="22"/>
      <c r="H2036" s="22"/>
      <c r="I2036" s="24"/>
      <c r="J2036" s="24"/>
      <c r="K2036" s="24"/>
      <c r="L2036" s="24"/>
      <c r="M2036" s="27" t="str">
        <f t="shared" si="127"/>
        <v/>
      </c>
      <c r="N2036" s="25"/>
      <c r="O2036" s="22"/>
      <c r="P2036" s="24"/>
      <c r="Q2036" s="26"/>
    </row>
    <row r="2037" spans="1:17" ht="15" x14ac:dyDescent="0.15">
      <c r="A2037" s="22"/>
      <c r="B2037" s="26" t="str">
        <f t="shared" si="124"/>
        <v/>
      </c>
      <c r="C2037" s="26" t="str">
        <f t="shared" si="125"/>
        <v/>
      </c>
      <c r="D2037" s="26" t="str">
        <f t="shared" si="126"/>
        <v/>
      </c>
      <c r="E2037" s="29"/>
      <c r="F2037" s="22"/>
      <c r="G2037" s="22"/>
      <c r="H2037" s="22"/>
      <c r="I2037" s="24"/>
      <c r="J2037" s="24"/>
      <c r="K2037" s="24"/>
      <c r="L2037" s="24"/>
      <c r="M2037" s="27" t="str">
        <f t="shared" si="127"/>
        <v/>
      </c>
      <c r="N2037" s="25"/>
      <c r="O2037" s="22"/>
      <c r="P2037" s="24"/>
      <c r="Q2037" s="26"/>
    </row>
    <row r="2038" spans="1:17" ht="15" x14ac:dyDescent="0.15">
      <c r="A2038" s="22"/>
      <c r="B2038" s="26" t="str">
        <f t="shared" si="124"/>
        <v/>
      </c>
      <c r="C2038" s="26" t="str">
        <f t="shared" si="125"/>
        <v/>
      </c>
      <c r="D2038" s="26" t="str">
        <f t="shared" si="126"/>
        <v/>
      </c>
      <c r="E2038" s="29"/>
      <c r="F2038" s="22"/>
      <c r="G2038" s="22"/>
      <c r="H2038" s="22"/>
      <c r="I2038" s="24"/>
      <c r="J2038" s="24"/>
      <c r="K2038" s="24"/>
      <c r="L2038" s="24"/>
      <c r="M2038" s="27" t="str">
        <f t="shared" si="127"/>
        <v/>
      </c>
      <c r="N2038" s="25"/>
      <c r="O2038" s="22"/>
      <c r="P2038" s="24"/>
      <c r="Q2038" s="26"/>
    </row>
    <row r="2039" spans="1:17" ht="15" x14ac:dyDescent="0.15">
      <c r="A2039" s="22"/>
      <c r="B2039" s="26" t="str">
        <f t="shared" si="124"/>
        <v/>
      </c>
      <c r="C2039" s="26" t="str">
        <f t="shared" si="125"/>
        <v/>
      </c>
      <c r="D2039" s="26" t="str">
        <f t="shared" si="126"/>
        <v/>
      </c>
      <c r="E2039" s="29"/>
      <c r="F2039" s="22"/>
      <c r="G2039" s="22"/>
      <c r="H2039" s="22"/>
      <c r="I2039" s="24"/>
      <c r="J2039" s="24"/>
      <c r="K2039" s="24"/>
      <c r="L2039" s="24"/>
      <c r="M2039" s="27" t="str">
        <f t="shared" si="127"/>
        <v/>
      </c>
      <c r="N2039" s="25"/>
      <c r="O2039" s="22"/>
      <c r="P2039" s="24"/>
      <c r="Q2039" s="26"/>
    </row>
    <row r="2040" spans="1:17" ht="15" x14ac:dyDescent="0.15">
      <c r="A2040" s="22"/>
      <c r="B2040" s="26" t="str">
        <f t="shared" si="124"/>
        <v/>
      </c>
      <c r="C2040" s="26" t="str">
        <f t="shared" si="125"/>
        <v/>
      </c>
      <c r="D2040" s="26" t="str">
        <f t="shared" si="126"/>
        <v/>
      </c>
      <c r="E2040" s="29"/>
      <c r="F2040" s="22"/>
      <c r="G2040" s="22"/>
      <c r="H2040" s="22"/>
      <c r="I2040" s="24"/>
      <c r="J2040" s="24"/>
      <c r="K2040" s="24"/>
      <c r="L2040" s="24"/>
      <c r="M2040" s="27" t="str">
        <f t="shared" si="127"/>
        <v/>
      </c>
      <c r="N2040" s="25"/>
      <c r="O2040" s="22"/>
      <c r="P2040" s="24"/>
      <c r="Q2040" s="26"/>
    </row>
    <row r="2041" spans="1:17" ht="15" x14ac:dyDescent="0.15">
      <c r="A2041" s="22"/>
      <c r="B2041" s="26" t="str">
        <f t="shared" si="124"/>
        <v/>
      </c>
      <c r="C2041" s="26" t="str">
        <f t="shared" si="125"/>
        <v/>
      </c>
      <c r="D2041" s="26" t="str">
        <f t="shared" si="126"/>
        <v/>
      </c>
      <c r="E2041" s="29"/>
      <c r="F2041" s="22"/>
      <c r="G2041" s="22"/>
      <c r="H2041" s="22"/>
      <c r="I2041" s="24"/>
      <c r="J2041" s="24"/>
      <c r="K2041" s="24"/>
      <c r="L2041" s="24"/>
      <c r="M2041" s="27" t="str">
        <f t="shared" si="127"/>
        <v/>
      </c>
      <c r="N2041" s="25"/>
      <c r="O2041" s="22"/>
      <c r="P2041" s="24"/>
      <c r="Q2041" s="26"/>
    </row>
    <row r="2042" spans="1:17" ht="15" x14ac:dyDescent="0.15">
      <c r="A2042" s="22"/>
      <c r="B2042" s="26" t="str">
        <f t="shared" si="124"/>
        <v/>
      </c>
      <c r="C2042" s="26" t="str">
        <f t="shared" si="125"/>
        <v/>
      </c>
      <c r="D2042" s="26" t="str">
        <f t="shared" si="126"/>
        <v/>
      </c>
      <c r="E2042" s="29"/>
      <c r="F2042" s="22"/>
      <c r="G2042" s="22"/>
      <c r="H2042" s="22"/>
      <c r="I2042" s="24"/>
      <c r="J2042" s="24"/>
      <c r="K2042" s="24"/>
      <c r="L2042" s="24"/>
      <c r="M2042" s="27" t="str">
        <f t="shared" si="127"/>
        <v/>
      </c>
      <c r="N2042" s="25"/>
      <c r="O2042" s="22"/>
      <c r="P2042" s="24"/>
      <c r="Q2042" s="26"/>
    </row>
    <row r="2043" spans="1:17" ht="15" x14ac:dyDescent="0.15">
      <c r="A2043" s="22"/>
      <c r="B2043" s="26" t="str">
        <f t="shared" si="124"/>
        <v/>
      </c>
      <c r="C2043" s="26" t="str">
        <f t="shared" si="125"/>
        <v/>
      </c>
      <c r="D2043" s="26" t="str">
        <f t="shared" si="126"/>
        <v/>
      </c>
      <c r="E2043" s="29"/>
      <c r="F2043" s="22"/>
      <c r="G2043" s="22"/>
      <c r="H2043" s="22"/>
      <c r="I2043" s="24"/>
      <c r="J2043" s="24"/>
      <c r="K2043" s="24"/>
      <c r="L2043" s="24"/>
      <c r="M2043" s="27" t="str">
        <f t="shared" si="127"/>
        <v/>
      </c>
      <c r="N2043" s="25"/>
      <c r="O2043" s="22"/>
      <c r="P2043" s="24"/>
      <c r="Q2043" s="26"/>
    </row>
    <row r="2044" spans="1:17" ht="15" x14ac:dyDescent="0.15">
      <c r="A2044" s="22"/>
      <c r="B2044" s="26" t="str">
        <f t="shared" si="124"/>
        <v/>
      </c>
      <c r="C2044" s="26" t="str">
        <f t="shared" si="125"/>
        <v/>
      </c>
      <c r="D2044" s="26" t="str">
        <f t="shared" si="126"/>
        <v/>
      </c>
      <c r="E2044" s="29"/>
      <c r="F2044" s="22"/>
      <c r="G2044" s="22"/>
      <c r="H2044" s="22"/>
      <c r="I2044" s="24"/>
      <c r="J2044" s="24"/>
      <c r="K2044" s="24"/>
      <c r="L2044" s="24"/>
      <c r="M2044" s="27" t="str">
        <f t="shared" si="127"/>
        <v/>
      </c>
      <c r="N2044" s="25"/>
      <c r="O2044" s="22"/>
      <c r="P2044" s="24"/>
      <c r="Q2044" s="26"/>
    </row>
    <row r="2045" spans="1:17" ht="15" x14ac:dyDescent="0.15">
      <c r="A2045" s="22"/>
      <c r="B2045" s="26" t="str">
        <f t="shared" si="124"/>
        <v/>
      </c>
      <c r="C2045" s="26" t="str">
        <f t="shared" si="125"/>
        <v/>
      </c>
      <c r="D2045" s="26" t="str">
        <f t="shared" si="126"/>
        <v/>
      </c>
      <c r="E2045" s="29"/>
      <c r="F2045" s="22"/>
      <c r="G2045" s="22"/>
      <c r="H2045" s="22"/>
      <c r="I2045" s="24"/>
      <c r="J2045" s="24"/>
      <c r="K2045" s="24"/>
      <c r="L2045" s="24"/>
      <c r="M2045" s="27" t="str">
        <f t="shared" si="127"/>
        <v/>
      </c>
      <c r="N2045" s="25"/>
      <c r="O2045" s="22"/>
      <c r="P2045" s="24"/>
      <c r="Q2045" s="26"/>
    </row>
    <row r="2046" spans="1:17" ht="15" x14ac:dyDescent="0.15">
      <c r="A2046" s="22"/>
      <c r="B2046" s="26" t="str">
        <f t="shared" si="124"/>
        <v/>
      </c>
      <c r="C2046" s="26" t="str">
        <f t="shared" si="125"/>
        <v/>
      </c>
      <c r="D2046" s="26" t="str">
        <f t="shared" si="126"/>
        <v/>
      </c>
      <c r="E2046" s="29"/>
      <c r="F2046" s="22"/>
      <c r="G2046" s="22"/>
      <c r="H2046" s="22"/>
      <c r="I2046" s="24"/>
      <c r="J2046" s="24"/>
      <c r="K2046" s="24"/>
      <c r="L2046" s="24"/>
      <c r="M2046" s="27" t="str">
        <f t="shared" si="127"/>
        <v/>
      </c>
      <c r="N2046" s="25"/>
      <c r="O2046" s="22"/>
      <c r="P2046" s="24"/>
      <c r="Q2046" s="26"/>
    </row>
    <row r="2047" spans="1:17" ht="15" x14ac:dyDescent="0.15">
      <c r="A2047" s="22"/>
      <c r="B2047" s="26" t="str">
        <f t="shared" si="124"/>
        <v/>
      </c>
      <c r="C2047" s="26" t="str">
        <f t="shared" si="125"/>
        <v/>
      </c>
      <c r="D2047" s="26" t="str">
        <f t="shared" si="126"/>
        <v/>
      </c>
      <c r="E2047" s="29"/>
      <c r="F2047" s="22"/>
      <c r="G2047" s="22"/>
      <c r="H2047" s="22"/>
      <c r="I2047" s="24"/>
      <c r="J2047" s="24"/>
      <c r="K2047" s="24"/>
      <c r="L2047" s="24"/>
      <c r="M2047" s="27" t="str">
        <f t="shared" si="127"/>
        <v/>
      </c>
      <c r="N2047" s="25"/>
      <c r="O2047" s="22"/>
      <c r="P2047" s="24"/>
      <c r="Q2047" s="26"/>
    </row>
    <row r="2048" spans="1:17" ht="15" x14ac:dyDescent="0.15">
      <c r="A2048" s="22"/>
      <c r="B2048" s="26" t="str">
        <f t="shared" si="124"/>
        <v/>
      </c>
      <c r="C2048" s="26" t="str">
        <f t="shared" si="125"/>
        <v/>
      </c>
      <c r="D2048" s="26" t="str">
        <f t="shared" si="126"/>
        <v/>
      </c>
      <c r="E2048" s="29"/>
      <c r="F2048" s="22"/>
      <c r="G2048" s="22"/>
      <c r="H2048" s="22"/>
      <c r="I2048" s="24"/>
      <c r="J2048" s="24"/>
      <c r="K2048" s="24"/>
      <c r="L2048" s="24"/>
      <c r="M2048" s="27" t="str">
        <f t="shared" si="127"/>
        <v/>
      </c>
      <c r="N2048" s="25"/>
      <c r="O2048" s="22"/>
      <c r="P2048" s="24"/>
      <c r="Q2048" s="26"/>
    </row>
    <row r="2049" spans="1:17" ht="15" x14ac:dyDescent="0.15">
      <c r="A2049" s="22"/>
      <c r="B2049" s="26" t="str">
        <f t="shared" si="124"/>
        <v/>
      </c>
      <c r="C2049" s="26" t="str">
        <f t="shared" si="125"/>
        <v/>
      </c>
      <c r="D2049" s="26" t="str">
        <f t="shared" si="126"/>
        <v/>
      </c>
      <c r="E2049" s="29"/>
      <c r="F2049" s="22"/>
      <c r="G2049" s="22"/>
      <c r="H2049" s="22"/>
      <c r="I2049" s="24"/>
      <c r="J2049" s="24"/>
      <c r="K2049" s="24"/>
      <c r="L2049" s="24"/>
      <c r="M2049" s="27" t="str">
        <f t="shared" si="127"/>
        <v/>
      </c>
      <c r="N2049" s="25"/>
      <c r="O2049" s="22"/>
      <c r="P2049" s="24"/>
      <c r="Q2049" s="26"/>
    </row>
    <row r="2050" spans="1:17" ht="15" x14ac:dyDescent="0.15">
      <c r="A2050" s="22"/>
      <c r="B2050" s="26" t="str">
        <f t="shared" si="124"/>
        <v/>
      </c>
      <c r="C2050" s="26" t="str">
        <f t="shared" si="125"/>
        <v/>
      </c>
      <c r="D2050" s="26" t="str">
        <f t="shared" si="126"/>
        <v/>
      </c>
      <c r="E2050" s="29"/>
      <c r="F2050" s="22"/>
      <c r="G2050" s="22"/>
      <c r="H2050" s="22"/>
      <c r="I2050" s="24"/>
      <c r="J2050" s="24"/>
      <c r="K2050" s="24"/>
      <c r="L2050" s="24"/>
      <c r="M2050" s="27" t="str">
        <f t="shared" si="127"/>
        <v/>
      </c>
      <c r="N2050" s="25"/>
      <c r="O2050" s="22"/>
      <c r="P2050" s="24"/>
      <c r="Q2050" s="26"/>
    </row>
    <row r="2051" spans="1:17" ht="15" x14ac:dyDescent="0.15">
      <c r="A2051" s="22"/>
      <c r="B2051" s="26" t="str">
        <f t="shared" si="124"/>
        <v/>
      </c>
      <c r="C2051" s="26" t="str">
        <f t="shared" si="125"/>
        <v/>
      </c>
      <c r="D2051" s="26" t="str">
        <f t="shared" si="126"/>
        <v/>
      </c>
      <c r="E2051" s="29"/>
      <c r="F2051" s="22"/>
      <c r="G2051" s="22"/>
      <c r="H2051" s="22"/>
      <c r="I2051" s="24"/>
      <c r="J2051" s="24"/>
      <c r="K2051" s="24"/>
      <c r="L2051" s="24"/>
      <c r="M2051" s="27" t="str">
        <f t="shared" si="127"/>
        <v/>
      </c>
      <c r="N2051" s="25"/>
      <c r="O2051" s="22"/>
      <c r="P2051" s="24"/>
      <c r="Q2051" s="26"/>
    </row>
    <row r="2052" spans="1:17" ht="15" x14ac:dyDescent="0.15">
      <c r="A2052" s="22"/>
      <c r="B2052" s="26" t="str">
        <f t="shared" si="124"/>
        <v/>
      </c>
      <c r="C2052" s="26" t="str">
        <f t="shared" si="125"/>
        <v/>
      </c>
      <c r="D2052" s="26" t="str">
        <f t="shared" si="126"/>
        <v/>
      </c>
      <c r="E2052" s="29"/>
      <c r="F2052" s="22"/>
      <c r="G2052" s="22"/>
      <c r="H2052" s="22"/>
      <c r="I2052" s="24"/>
      <c r="J2052" s="24"/>
      <c r="K2052" s="24"/>
      <c r="L2052" s="24"/>
      <c r="M2052" s="27" t="str">
        <f t="shared" si="127"/>
        <v/>
      </c>
      <c r="N2052" s="25"/>
      <c r="O2052" s="22"/>
      <c r="P2052" s="24"/>
      <c r="Q2052" s="26"/>
    </row>
    <row r="2053" spans="1:17" ht="15" x14ac:dyDescent="0.15">
      <c r="A2053" s="22"/>
      <c r="B2053" s="26" t="str">
        <f t="shared" si="124"/>
        <v/>
      </c>
      <c r="C2053" s="26" t="str">
        <f t="shared" si="125"/>
        <v/>
      </c>
      <c r="D2053" s="26" t="str">
        <f t="shared" si="126"/>
        <v/>
      </c>
      <c r="E2053" s="29"/>
      <c r="F2053" s="22"/>
      <c r="G2053" s="22"/>
      <c r="H2053" s="22"/>
      <c r="I2053" s="24"/>
      <c r="J2053" s="24"/>
      <c r="K2053" s="24"/>
      <c r="L2053" s="24"/>
      <c r="M2053" s="27" t="str">
        <f t="shared" si="127"/>
        <v/>
      </c>
      <c r="N2053" s="25"/>
      <c r="O2053" s="22"/>
      <c r="P2053" s="24"/>
      <c r="Q2053" s="26"/>
    </row>
    <row r="2054" spans="1:17" ht="15" x14ac:dyDescent="0.15">
      <c r="A2054" s="22"/>
      <c r="B2054" s="26" t="str">
        <f t="shared" si="124"/>
        <v/>
      </c>
      <c r="C2054" s="26" t="str">
        <f t="shared" si="125"/>
        <v/>
      </c>
      <c r="D2054" s="26" t="str">
        <f t="shared" si="126"/>
        <v/>
      </c>
      <c r="E2054" s="29"/>
      <c r="F2054" s="22"/>
      <c r="G2054" s="22"/>
      <c r="H2054" s="22"/>
      <c r="I2054" s="24"/>
      <c r="J2054" s="24"/>
      <c r="K2054" s="24"/>
      <c r="L2054" s="24"/>
      <c r="M2054" s="27" t="str">
        <f t="shared" si="127"/>
        <v/>
      </c>
      <c r="N2054" s="25"/>
      <c r="O2054" s="22"/>
      <c r="P2054" s="24"/>
      <c r="Q2054" s="26"/>
    </row>
    <row r="2055" spans="1:17" ht="15" x14ac:dyDescent="0.15">
      <c r="A2055" s="22"/>
      <c r="B2055" s="26" t="str">
        <f t="shared" ref="B2055:B2118" si="128">IFERROR(IF($A2055="","",LEFT($A2055,FIND(" | ",$A2055)-1)),"")</f>
        <v/>
      </c>
      <c r="C2055" s="26" t="str">
        <f t="shared" ref="C2055:C2118" si="129">IFERROR(IF($A2055="","",MID($A2055,FIND(" | ",$A2055)+3,FIND(" | ",$A2055,FIND(" | ",$A2055)+3)-FIND(" | ",$A2055)-3)),"")</f>
        <v/>
      </c>
      <c r="D2055" s="26" t="str">
        <f t="shared" ref="D2055:D2118" si="130">IFERROR(IF($A2055="","",RIGHT($A2055,LEN($A2055)-FIND(" | ",$A2055,FIND(" | ",$A2055)+3)-2)),"")</f>
        <v/>
      </c>
      <c r="E2055" s="29"/>
      <c r="F2055" s="22"/>
      <c r="G2055" s="22"/>
      <c r="H2055" s="22"/>
      <c r="I2055" s="24"/>
      <c r="J2055" s="24"/>
      <c r="K2055" s="24"/>
      <c r="L2055" s="24"/>
      <c r="M2055" s="27" t="str">
        <f t="shared" ref="M2055:M2118" si="131">IF($B2055="","",SUM($J2055,-$K2055,$L2055))</f>
        <v/>
      </c>
      <c r="N2055" s="25"/>
      <c r="O2055" s="22"/>
      <c r="P2055" s="24"/>
      <c r="Q2055" s="26"/>
    </row>
    <row r="2056" spans="1:17" ht="15" x14ac:dyDescent="0.15">
      <c r="A2056" s="22"/>
      <c r="B2056" s="26" t="str">
        <f t="shared" si="128"/>
        <v/>
      </c>
      <c r="C2056" s="26" t="str">
        <f t="shared" si="129"/>
        <v/>
      </c>
      <c r="D2056" s="26" t="str">
        <f t="shared" si="130"/>
        <v/>
      </c>
      <c r="E2056" s="29"/>
      <c r="F2056" s="22"/>
      <c r="G2056" s="22"/>
      <c r="H2056" s="22"/>
      <c r="I2056" s="24"/>
      <c r="J2056" s="24"/>
      <c r="K2056" s="24"/>
      <c r="L2056" s="24"/>
      <c r="M2056" s="27" t="str">
        <f t="shared" si="131"/>
        <v/>
      </c>
      <c r="N2056" s="25"/>
      <c r="O2056" s="22"/>
      <c r="P2056" s="24"/>
      <c r="Q2056" s="26"/>
    </row>
    <row r="2057" spans="1:17" ht="15" x14ac:dyDescent="0.15">
      <c r="A2057" s="22"/>
      <c r="B2057" s="26" t="str">
        <f t="shared" si="128"/>
        <v/>
      </c>
      <c r="C2057" s="26" t="str">
        <f t="shared" si="129"/>
        <v/>
      </c>
      <c r="D2057" s="26" t="str">
        <f t="shared" si="130"/>
        <v/>
      </c>
      <c r="E2057" s="29"/>
      <c r="F2057" s="22"/>
      <c r="G2057" s="22"/>
      <c r="H2057" s="22"/>
      <c r="I2057" s="24"/>
      <c r="J2057" s="24"/>
      <c r="K2057" s="24"/>
      <c r="L2057" s="24"/>
      <c r="M2057" s="27" t="str">
        <f t="shared" si="131"/>
        <v/>
      </c>
      <c r="N2057" s="25"/>
      <c r="O2057" s="22"/>
      <c r="P2057" s="24"/>
      <c r="Q2057" s="26"/>
    </row>
    <row r="2058" spans="1:17" ht="15" x14ac:dyDescent="0.15">
      <c r="A2058" s="22"/>
      <c r="B2058" s="26" t="str">
        <f t="shared" si="128"/>
        <v/>
      </c>
      <c r="C2058" s="26" t="str">
        <f t="shared" si="129"/>
        <v/>
      </c>
      <c r="D2058" s="26" t="str">
        <f t="shared" si="130"/>
        <v/>
      </c>
      <c r="E2058" s="29"/>
      <c r="F2058" s="22"/>
      <c r="G2058" s="22"/>
      <c r="H2058" s="22"/>
      <c r="I2058" s="24"/>
      <c r="J2058" s="24"/>
      <c r="K2058" s="24"/>
      <c r="L2058" s="24"/>
      <c r="M2058" s="27" t="str">
        <f t="shared" si="131"/>
        <v/>
      </c>
      <c r="N2058" s="25"/>
      <c r="O2058" s="22"/>
      <c r="P2058" s="24"/>
      <c r="Q2058" s="26"/>
    </row>
    <row r="2059" spans="1:17" ht="15" x14ac:dyDescent="0.15">
      <c r="A2059" s="22"/>
      <c r="B2059" s="26" t="str">
        <f t="shared" si="128"/>
        <v/>
      </c>
      <c r="C2059" s="26" t="str">
        <f t="shared" si="129"/>
        <v/>
      </c>
      <c r="D2059" s="26" t="str">
        <f t="shared" si="130"/>
        <v/>
      </c>
      <c r="E2059" s="29"/>
      <c r="F2059" s="22"/>
      <c r="G2059" s="22"/>
      <c r="H2059" s="22"/>
      <c r="I2059" s="24"/>
      <c r="J2059" s="24"/>
      <c r="K2059" s="24"/>
      <c r="L2059" s="24"/>
      <c r="M2059" s="27" t="str">
        <f t="shared" si="131"/>
        <v/>
      </c>
      <c r="N2059" s="25"/>
      <c r="O2059" s="22"/>
      <c r="P2059" s="24"/>
      <c r="Q2059" s="26"/>
    </row>
    <row r="2060" spans="1:17" ht="15" x14ac:dyDescent="0.15">
      <c r="A2060" s="22"/>
      <c r="B2060" s="26" t="str">
        <f t="shared" si="128"/>
        <v/>
      </c>
      <c r="C2060" s="26" t="str">
        <f t="shared" si="129"/>
        <v/>
      </c>
      <c r="D2060" s="26" t="str">
        <f t="shared" si="130"/>
        <v/>
      </c>
      <c r="E2060" s="29"/>
      <c r="F2060" s="22"/>
      <c r="G2060" s="22"/>
      <c r="H2060" s="22"/>
      <c r="I2060" s="24"/>
      <c r="J2060" s="24"/>
      <c r="K2060" s="24"/>
      <c r="L2060" s="24"/>
      <c r="M2060" s="27" t="str">
        <f t="shared" si="131"/>
        <v/>
      </c>
      <c r="N2060" s="25"/>
      <c r="O2060" s="22"/>
      <c r="P2060" s="24"/>
      <c r="Q2060" s="26"/>
    </row>
    <row r="2061" spans="1:17" ht="15" x14ac:dyDescent="0.15">
      <c r="A2061" s="22"/>
      <c r="B2061" s="26" t="str">
        <f t="shared" si="128"/>
        <v/>
      </c>
      <c r="C2061" s="26" t="str">
        <f t="shared" si="129"/>
        <v/>
      </c>
      <c r="D2061" s="26" t="str">
        <f t="shared" si="130"/>
        <v/>
      </c>
      <c r="E2061" s="29"/>
      <c r="F2061" s="22"/>
      <c r="G2061" s="22"/>
      <c r="H2061" s="22"/>
      <c r="I2061" s="24"/>
      <c r="J2061" s="24"/>
      <c r="K2061" s="24"/>
      <c r="L2061" s="24"/>
      <c r="M2061" s="27" t="str">
        <f t="shared" si="131"/>
        <v/>
      </c>
      <c r="N2061" s="25"/>
      <c r="O2061" s="22"/>
      <c r="P2061" s="24"/>
      <c r="Q2061" s="26"/>
    </row>
    <row r="2062" spans="1:17" ht="15" x14ac:dyDescent="0.15">
      <c r="A2062" s="22"/>
      <c r="B2062" s="26" t="str">
        <f t="shared" si="128"/>
        <v/>
      </c>
      <c r="C2062" s="26" t="str">
        <f t="shared" si="129"/>
        <v/>
      </c>
      <c r="D2062" s="26" t="str">
        <f t="shared" si="130"/>
        <v/>
      </c>
      <c r="E2062" s="29"/>
      <c r="F2062" s="22"/>
      <c r="G2062" s="22"/>
      <c r="H2062" s="22"/>
      <c r="I2062" s="24"/>
      <c r="J2062" s="24"/>
      <c r="K2062" s="24"/>
      <c r="L2062" s="24"/>
      <c r="M2062" s="27" t="str">
        <f t="shared" si="131"/>
        <v/>
      </c>
      <c r="N2062" s="25"/>
      <c r="O2062" s="22"/>
      <c r="P2062" s="24"/>
      <c r="Q2062" s="26"/>
    </row>
    <row r="2063" spans="1:17" ht="15" x14ac:dyDescent="0.15">
      <c r="A2063" s="22"/>
      <c r="B2063" s="26" t="str">
        <f t="shared" si="128"/>
        <v/>
      </c>
      <c r="C2063" s="26" t="str">
        <f t="shared" si="129"/>
        <v/>
      </c>
      <c r="D2063" s="26" t="str">
        <f t="shared" si="130"/>
        <v/>
      </c>
      <c r="E2063" s="29"/>
      <c r="F2063" s="22"/>
      <c r="G2063" s="22"/>
      <c r="H2063" s="22"/>
      <c r="I2063" s="24"/>
      <c r="J2063" s="24"/>
      <c r="K2063" s="24"/>
      <c r="L2063" s="24"/>
      <c r="M2063" s="27" t="str">
        <f t="shared" si="131"/>
        <v/>
      </c>
      <c r="N2063" s="25"/>
      <c r="O2063" s="22"/>
      <c r="P2063" s="24"/>
      <c r="Q2063" s="26"/>
    </row>
    <row r="2064" spans="1:17" ht="15" x14ac:dyDescent="0.15">
      <c r="A2064" s="22"/>
      <c r="B2064" s="26" t="str">
        <f t="shared" si="128"/>
        <v/>
      </c>
      <c r="C2064" s="26" t="str">
        <f t="shared" si="129"/>
        <v/>
      </c>
      <c r="D2064" s="26" t="str">
        <f t="shared" si="130"/>
        <v/>
      </c>
      <c r="E2064" s="29"/>
      <c r="F2064" s="22"/>
      <c r="G2064" s="22"/>
      <c r="H2064" s="22"/>
      <c r="I2064" s="24"/>
      <c r="J2064" s="24"/>
      <c r="K2064" s="24"/>
      <c r="L2064" s="24"/>
      <c r="M2064" s="27" t="str">
        <f t="shared" si="131"/>
        <v/>
      </c>
      <c r="N2064" s="25"/>
      <c r="O2064" s="22"/>
      <c r="P2064" s="24"/>
      <c r="Q2064" s="26"/>
    </row>
    <row r="2065" spans="1:17" ht="15" x14ac:dyDescent="0.15">
      <c r="A2065" s="22"/>
      <c r="B2065" s="26" t="str">
        <f t="shared" si="128"/>
        <v/>
      </c>
      <c r="C2065" s="26" t="str">
        <f t="shared" si="129"/>
        <v/>
      </c>
      <c r="D2065" s="26" t="str">
        <f t="shared" si="130"/>
        <v/>
      </c>
      <c r="E2065" s="29"/>
      <c r="F2065" s="22"/>
      <c r="G2065" s="22"/>
      <c r="H2065" s="22"/>
      <c r="I2065" s="24"/>
      <c r="J2065" s="24"/>
      <c r="K2065" s="24"/>
      <c r="L2065" s="24"/>
      <c r="M2065" s="27" t="str">
        <f t="shared" si="131"/>
        <v/>
      </c>
      <c r="N2065" s="25"/>
      <c r="O2065" s="22"/>
      <c r="P2065" s="24"/>
      <c r="Q2065" s="26"/>
    </row>
    <row r="2066" spans="1:17" ht="15" x14ac:dyDescent="0.15">
      <c r="A2066" s="22"/>
      <c r="B2066" s="26" t="str">
        <f t="shared" si="128"/>
        <v/>
      </c>
      <c r="C2066" s="26" t="str">
        <f t="shared" si="129"/>
        <v/>
      </c>
      <c r="D2066" s="26" t="str">
        <f t="shared" si="130"/>
        <v/>
      </c>
      <c r="E2066" s="29"/>
      <c r="F2066" s="22"/>
      <c r="G2066" s="22"/>
      <c r="H2066" s="22"/>
      <c r="I2066" s="24"/>
      <c r="J2066" s="24"/>
      <c r="K2066" s="24"/>
      <c r="L2066" s="24"/>
      <c r="M2066" s="27" t="str">
        <f t="shared" si="131"/>
        <v/>
      </c>
      <c r="N2066" s="25"/>
      <c r="O2066" s="22"/>
      <c r="P2066" s="24"/>
      <c r="Q2066" s="26"/>
    </row>
    <row r="2067" spans="1:17" ht="15" x14ac:dyDescent="0.15">
      <c r="A2067" s="22"/>
      <c r="B2067" s="26" t="str">
        <f t="shared" si="128"/>
        <v/>
      </c>
      <c r="C2067" s="26" t="str">
        <f t="shared" si="129"/>
        <v/>
      </c>
      <c r="D2067" s="26" t="str">
        <f t="shared" si="130"/>
        <v/>
      </c>
      <c r="E2067" s="29"/>
      <c r="F2067" s="22"/>
      <c r="G2067" s="22"/>
      <c r="H2067" s="22"/>
      <c r="I2067" s="24"/>
      <c r="J2067" s="24"/>
      <c r="K2067" s="24"/>
      <c r="L2067" s="24"/>
      <c r="M2067" s="27" t="str">
        <f t="shared" si="131"/>
        <v/>
      </c>
      <c r="N2067" s="25"/>
      <c r="O2067" s="22"/>
      <c r="P2067" s="24"/>
      <c r="Q2067" s="26"/>
    </row>
    <row r="2068" spans="1:17" ht="15" x14ac:dyDescent="0.15">
      <c r="A2068" s="22"/>
      <c r="B2068" s="26" t="str">
        <f t="shared" si="128"/>
        <v/>
      </c>
      <c r="C2068" s="26" t="str">
        <f t="shared" si="129"/>
        <v/>
      </c>
      <c r="D2068" s="26" t="str">
        <f t="shared" si="130"/>
        <v/>
      </c>
      <c r="E2068" s="29"/>
      <c r="F2068" s="22"/>
      <c r="G2068" s="22"/>
      <c r="H2068" s="22"/>
      <c r="I2068" s="24"/>
      <c r="J2068" s="24"/>
      <c r="K2068" s="24"/>
      <c r="L2068" s="24"/>
      <c r="M2068" s="27" t="str">
        <f t="shared" si="131"/>
        <v/>
      </c>
      <c r="N2068" s="25"/>
      <c r="O2068" s="22"/>
      <c r="P2068" s="24"/>
      <c r="Q2068" s="26"/>
    </row>
    <row r="2069" spans="1:17" ht="15" x14ac:dyDescent="0.15">
      <c r="A2069" s="22"/>
      <c r="B2069" s="26" t="str">
        <f t="shared" si="128"/>
        <v/>
      </c>
      <c r="C2069" s="26" t="str">
        <f t="shared" si="129"/>
        <v/>
      </c>
      <c r="D2069" s="26" t="str">
        <f t="shared" si="130"/>
        <v/>
      </c>
      <c r="E2069" s="29"/>
      <c r="F2069" s="22"/>
      <c r="G2069" s="22"/>
      <c r="H2069" s="22"/>
      <c r="I2069" s="24"/>
      <c r="J2069" s="24"/>
      <c r="K2069" s="24"/>
      <c r="L2069" s="24"/>
      <c r="M2069" s="27" t="str">
        <f t="shared" si="131"/>
        <v/>
      </c>
      <c r="N2069" s="25"/>
      <c r="O2069" s="22"/>
      <c r="P2069" s="24"/>
      <c r="Q2069" s="26"/>
    </row>
    <row r="2070" spans="1:17" ht="15" x14ac:dyDescent="0.15">
      <c r="A2070" s="22"/>
      <c r="B2070" s="26" t="str">
        <f t="shared" si="128"/>
        <v/>
      </c>
      <c r="C2070" s="26" t="str">
        <f t="shared" si="129"/>
        <v/>
      </c>
      <c r="D2070" s="26" t="str">
        <f t="shared" si="130"/>
        <v/>
      </c>
      <c r="E2070" s="29"/>
      <c r="F2070" s="22"/>
      <c r="G2070" s="22"/>
      <c r="H2070" s="22"/>
      <c r="I2070" s="24"/>
      <c r="J2070" s="24"/>
      <c r="K2070" s="24"/>
      <c r="L2070" s="24"/>
      <c r="M2070" s="27" t="str">
        <f t="shared" si="131"/>
        <v/>
      </c>
      <c r="N2070" s="25"/>
      <c r="O2070" s="22"/>
      <c r="P2070" s="24"/>
      <c r="Q2070" s="26"/>
    </row>
    <row r="2071" spans="1:17" ht="15" x14ac:dyDescent="0.15">
      <c r="A2071" s="22"/>
      <c r="B2071" s="26" t="str">
        <f t="shared" si="128"/>
        <v/>
      </c>
      <c r="C2071" s="26" t="str">
        <f t="shared" si="129"/>
        <v/>
      </c>
      <c r="D2071" s="26" t="str">
        <f t="shared" si="130"/>
        <v/>
      </c>
      <c r="E2071" s="29"/>
      <c r="F2071" s="22"/>
      <c r="G2071" s="22"/>
      <c r="H2071" s="22"/>
      <c r="I2071" s="24"/>
      <c r="J2071" s="24"/>
      <c r="K2071" s="24"/>
      <c r="L2071" s="24"/>
      <c r="M2071" s="27" t="str">
        <f t="shared" si="131"/>
        <v/>
      </c>
      <c r="N2071" s="25"/>
      <c r="O2071" s="22"/>
      <c r="P2071" s="24"/>
      <c r="Q2071" s="26"/>
    </row>
    <row r="2072" spans="1:17" ht="15" x14ac:dyDescent="0.15">
      <c r="A2072" s="22"/>
      <c r="B2072" s="26" t="str">
        <f t="shared" si="128"/>
        <v/>
      </c>
      <c r="C2072" s="26" t="str">
        <f t="shared" si="129"/>
        <v/>
      </c>
      <c r="D2072" s="26" t="str">
        <f t="shared" si="130"/>
        <v/>
      </c>
      <c r="E2072" s="29"/>
      <c r="F2072" s="22"/>
      <c r="G2072" s="22"/>
      <c r="H2072" s="22"/>
      <c r="I2072" s="24"/>
      <c r="J2072" s="24"/>
      <c r="K2072" s="24"/>
      <c r="L2072" s="24"/>
      <c r="M2072" s="27" t="str">
        <f t="shared" si="131"/>
        <v/>
      </c>
      <c r="N2072" s="25"/>
      <c r="O2072" s="22"/>
      <c r="P2072" s="24"/>
      <c r="Q2072" s="26"/>
    </row>
    <row r="2073" spans="1:17" ht="15" x14ac:dyDescent="0.15">
      <c r="A2073" s="22"/>
      <c r="B2073" s="26" t="str">
        <f t="shared" si="128"/>
        <v/>
      </c>
      <c r="C2073" s="26" t="str">
        <f t="shared" si="129"/>
        <v/>
      </c>
      <c r="D2073" s="26" t="str">
        <f t="shared" si="130"/>
        <v/>
      </c>
      <c r="E2073" s="29"/>
      <c r="F2073" s="22"/>
      <c r="G2073" s="22"/>
      <c r="H2073" s="22"/>
      <c r="I2073" s="24"/>
      <c r="J2073" s="24"/>
      <c r="K2073" s="24"/>
      <c r="L2073" s="24"/>
      <c r="M2073" s="27" t="str">
        <f t="shared" si="131"/>
        <v/>
      </c>
      <c r="N2073" s="25"/>
      <c r="O2073" s="22"/>
      <c r="P2073" s="24"/>
      <c r="Q2073" s="26"/>
    </row>
    <row r="2074" spans="1:17" ht="15" x14ac:dyDescent="0.15">
      <c r="A2074" s="22"/>
      <c r="B2074" s="26" t="str">
        <f t="shared" si="128"/>
        <v/>
      </c>
      <c r="C2074" s="26" t="str">
        <f t="shared" si="129"/>
        <v/>
      </c>
      <c r="D2074" s="26" t="str">
        <f t="shared" si="130"/>
        <v/>
      </c>
      <c r="E2074" s="29"/>
      <c r="F2074" s="22"/>
      <c r="G2074" s="22"/>
      <c r="H2074" s="22"/>
      <c r="I2074" s="24"/>
      <c r="J2074" s="24"/>
      <c r="K2074" s="24"/>
      <c r="L2074" s="24"/>
      <c r="M2074" s="27" t="str">
        <f t="shared" si="131"/>
        <v/>
      </c>
      <c r="N2074" s="25"/>
      <c r="O2074" s="22"/>
      <c r="P2074" s="24"/>
      <c r="Q2074" s="26"/>
    </row>
    <row r="2075" spans="1:17" ht="15" x14ac:dyDescent="0.15">
      <c r="A2075" s="22"/>
      <c r="B2075" s="26" t="str">
        <f t="shared" si="128"/>
        <v/>
      </c>
      <c r="C2075" s="26" t="str">
        <f t="shared" si="129"/>
        <v/>
      </c>
      <c r="D2075" s="26" t="str">
        <f t="shared" si="130"/>
        <v/>
      </c>
      <c r="E2075" s="29"/>
      <c r="F2075" s="22"/>
      <c r="G2075" s="22"/>
      <c r="H2075" s="22"/>
      <c r="I2075" s="24"/>
      <c r="J2075" s="24"/>
      <c r="K2075" s="24"/>
      <c r="L2075" s="24"/>
      <c r="M2075" s="27" t="str">
        <f t="shared" si="131"/>
        <v/>
      </c>
      <c r="N2075" s="25"/>
      <c r="O2075" s="22"/>
      <c r="P2075" s="24"/>
      <c r="Q2075" s="26"/>
    </row>
    <row r="2076" spans="1:17" ht="15" x14ac:dyDescent="0.15">
      <c r="A2076" s="22"/>
      <c r="B2076" s="26" t="str">
        <f t="shared" si="128"/>
        <v/>
      </c>
      <c r="C2076" s="26" t="str">
        <f t="shared" si="129"/>
        <v/>
      </c>
      <c r="D2076" s="26" t="str">
        <f t="shared" si="130"/>
        <v/>
      </c>
      <c r="E2076" s="29"/>
      <c r="F2076" s="22"/>
      <c r="G2076" s="22"/>
      <c r="H2076" s="22"/>
      <c r="I2076" s="24"/>
      <c r="J2076" s="24"/>
      <c r="K2076" s="24"/>
      <c r="L2076" s="24"/>
      <c r="M2076" s="27" t="str">
        <f t="shared" si="131"/>
        <v/>
      </c>
      <c r="N2076" s="25"/>
      <c r="O2076" s="22"/>
      <c r="P2076" s="24"/>
      <c r="Q2076" s="26"/>
    </row>
    <row r="2077" spans="1:17" ht="15" x14ac:dyDescent="0.15">
      <c r="A2077" s="22"/>
      <c r="B2077" s="26" t="str">
        <f t="shared" si="128"/>
        <v/>
      </c>
      <c r="C2077" s="26" t="str">
        <f t="shared" si="129"/>
        <v/>
      </c>
      <c r="D2077" s="26" t="str">
        <f t="shared" si="130"/>
        <v/>
      </c>
      <c r="E2077" s="29"/>
      <c r="F2077" s="22"/>
      <c r="G2077" s="22"/>
      <c r="H2077" s="22"/>
      <c r="I2077" s="24"/>
      <c r="J2077" s="24"/>
      <c r="K2077" s="24"/>
      <c r="L2077" s="24"/>
      <c r="M2077" s="27" t="str">
        <f t="shared" si="131"/>
        <v/>
      </c>
      <c r="N2077" s="25"/>
      <c r="O2077" s="22"/>
      <c r="P2077" s="24"/>
      <c r="Q2077" s="26"/>
    </row>
    <row r="2078" spans="1:17" ht="15" x14ac:dyDescent="0.15">
      <c r="A2078" s="22"/>
      <c r="B2078" s="26" t="str">
        <f t="shared" si="128"/>
        <v/>
      </c>
      <c r="C2078" s="26" t="str">
        <f t="shared" si="129"/>
        <v/>
      </c>
      <c r="D2078" s="26" t="str">
        <f t="shared" si="130"/>
        <v/>
      </c>
      <c r="E2078" s="29"/>
      <c r="F2078" s="22"/>
      <c r="G2078" s="22"/>
      <c r="H2078" s="22"/>
      <c r="I2078" s="24"/>
      <c r="J2078" s="24"/>
      <c r="K2078" s="24"/>
      <c r="L2078" s="24"/>
      <c r="M2078" s="27" t="str">
        <f t="shared" si="131"/>
        <v/>
      </c>
      <c r="N2078" s="25"/>
      <c r="O2078" s="22"/>
      <c r="P2078" s="24"/>
      <c r="Q2078" s="26"/>
    </row>
    <row r="2079" spans="1:17" ht="15" x14ac:dyDescent="0.15">
      <c r="A2079" s="22"/>
      <c r="B2079" s="26" t="str">
        <f t="shared" si="128"/>
        <v/>
      </c>
      <c r="C2079" s="26" t="str">
        <f t="shared" si="129"/>
        <v/>
      </c>
      <c r="D2079" s="26" t="str">
        <f t="shared" si="130"/>
        <v/>
      </c>
      <c r="E2079" s="29"/>
      <c r="F2079" s="22"/>
      <c r="G2079" s="22"/>
      <c r="H2079" s="22"/>
      <c r="I2079" s="24"/>
      <c r="J2079" s="24"/>
      <c r="K2079" s="24"/>
      <c r="L2079" s="24"/>
      <c r="M2079" s="27" t="str">
        <f t="shared" si="131"/>
        <v/>
      </c>
      <c r="N2079" s="25"/>
      <c r="O2079" s="22"/>
      <c r="P2079" s="24"/>
      <c r="Q2079" s="26"/>
    </row>
    <row r="2080" spans="1:17" ht="15" x14ac:dyDescent="0.15">
      <c r="A2080" s="22"/>
      <c r="B2080" s="26" t="str">
        <f t="shared" si="128"/>
        <v/>
      </c>
      <c r="C2080" s="26" t="str">
        <f t="shared" si="129"/>
        <v/>
      </c>
      <c r="D2080" s="26" t="str">
        <f t="shared" si="130"/>
        <v/>
      </c>
      <c r="E2080" s="29"/>
      <c r="F2080" s="22"/>
      <c r="G2080" s="22"/>
      <c r="H2080" s="22"/>
      <c r="I2080" s="24"/>
      <c r="J2080" s="24"/>
      <c r="K2080" s="24"/>
      <c r="L2080" s="24"/>
      <c r="M2080" s="27" t="str">
        <f t="shared" si="131"/>
        <v/>
      </c>
      <c r="N2080" s="25"/>
      <c r="O2080" s="22"/>
      <c r="P2080" s="24"/>
      <c r="Q2080" s="26"/>
    </row>
    <row r="2081" spans="1:17" ht="15" x14ac:dyDescent="0.15">
      <c r="A2081" s="22"/>
      <c r="B2081" s="26" t="str">
        <f t="shared" si="128"/>
        <v/>
      </c>
      <c r="C2081" s="26" t="str">
        <f t="shared" si="129"/>
        <v/>
      </c>
      <c r="D2081" s="26" t="str">
        <f t="shared" si="130"/>
        <v/>
      </c>
      <c r="E2081" s="29"/>
      <c r="F2081" s="22"/>
      <c r="G2081" s="22"/>
      <c r="H2081" s="22"/>
      <c r="I2081" s="24"/>
      <c r="J2081" s="24"/>
      <c r="K2081" s="24"/>
      <c r="L2081" s="24"/>
      <c r="M2081" s="27" t="str">
        <f t="shared" si="131"/>
        <v/>
      </c>
      <c r="N2081" s="25"/>
      <c r="O2081" s="22"/>
      <c r="P2081" s="24"/>
      <c r="Q2081" s="26"/>
    </row>
    <row r="2082" spans="1:17" ht="15" x14ac:dyDescent="0.15">
      <c r="A2082" s="22"/>
      <c r="B2082" s="26" t="str">
        <f t="shared" si="128"/>
        <v/>
      </c>
      <c r="C2082" s="26" t="str">
        <f t="shared" si="129"/>
        <v/>
      </c>
      <c r="D2082" s="26" t="str">
        <f t="shared" si="130"/>
        <v/>
      </c>
      <c r="E2082" s="29"/>
      <c r="F2082" s="22"/>
      <c r="G2082" s="22"/>
      <c r="H2082" s="22"/>
      <c r="I2082" s="24"/>
      <c r="J2082" s="24"/>
      <c r="K2082" s="24"/>
      <c r="L2082" s="24"/>
      <c r="M2082" s="27" t="str">
        <f t="shared" si="131"/>
        <v/>
      </c>
      <c r="N2082" s="25"/>
      <c r="O2082" s="22"/>
      <c r="P2082" s="24"/>
      <c r="Q2082" s="26"/>
    </row>
    <row r="2083" spans="1:17" ht="15" x14ac:dyDescent="0.15">
      <c r="A2083" s="22"/>
      <c r="B2083" s="26" t="str">
        <f t="shared" si="128"/>
        <v/>
      </c>
      <c r="C2083" s="26" t="str">
        <f t="shared" si="129"/>
        <v/>
      </c>
      <c r="D2083" s="26" t="str">
        <f t="shared" si="130"/>
        <v/>
      </c>
      <c r="E2083" s="29"/>
      <c r="F2083" s="22"/>
      <c r="G2083" s="22"/>
      <c r="H2083" s="22"/>
      <c r="I2083" s="24"/>
      <c r="J2083" s="24"/>
      <c r="K2083" s="24"/>
      <c r="L2083" s="24"/>
      <c r="M2083" s="27" t="str">
        <f t="shared" si="131"/>
        <v/>
      </c>
      <c r="N2083" s="25"/>
      <c r="O2083" s="22"/>
      <c r="P2083" s="24"/>
      <c r="Q2083" s="26"/>
    </row>
    <row r="2084" spans="1:17" ht="15" x14ac:dyDescent="0.15">
      <c r="A2084" s="22"/>
      <c r="B2084" s="26" t="str">
        <f t="shared" si="128"/>
        <v/>
      </c>
      <c r="C2084" s="26" t="str">
        <f t="shared" si="129"/>
        <v/>
      </c>
      <c r="D2084" s="26" t="str">
        <f t="shared" si="130"/>
        <v/>
      </c>
      <c r="E2084" s="29"/>
      <c r="F2084" s="22"/>
      <c r="G2084" s="22"/>
      <c r="H2084" s="22"/>
      <c r="I2084" s="24"/>
      <c r="J2084" s="24"/>
      <c r="K2084" s="24"/>
      <c r="L2084" s="24"/>
      <c r="M2084" s="27" t="str">
        <f t="shared" si="131"/>
        <v/>
      </c>
      <c r="N2084" s="25"/>
      <c r="O2084" s="22"/>
      <c r="P2084" s="24"/>
      <c r="Q2084" s="26"/>
    </row>
    <row r="2085" spans="1:17" ht="15" x14ac:dyDescent="0.15">
      <c r="A2085" s="22"/>
      <c r="B2085" s="26" t="str">
        <f t="shared" si="128"/>
        <v/>
      </c>
      <c r="C2085" s="26" t="str">
        <f t="shared" si="129"/>
        <v/>
      </c>
      <c r="D2085" s="26" t="str">
        <f t="shared" si="130"/>
        <v/>
      </c>
      <c r="E2085" s="29"/>
      <c r="F2085" s="22"/>
      <c r="G2085" s="22"/>
      <c r="H2085" s="22"/>
      <c r="I2085" s="24"/>
      <c r="J2085" s="24"/>
      <c r="K2085" s="24"/>
      <c r="L2085" s="24"/>
      <c r="M2085" s="27" t="str">
        <f t="shared" si="131"/>
        <v/>
      </c>
      <c r="N2085" s="25"/>
      <c r="O2085" s="22"/>
      <c r="P2085" s="24"/>
      <c r="Q2085" s="26"/>
    </row>
    <row r="2086" spans="1:17" ht="15" x14ac:dyDescent="0.15">
      <c r="A2086" s="22"/>
      <c r="B2086" s="26" t="str">
        <f t="shared" si="128"/>
        <v/>
      </c>
      <c r="C2086" s="26" t="str">
        <f t="shared" si="129"/>
        <v/>
      </c>
      <c r="D2086" s="26" t="str">
        <f t="shared" si="130"/>
        <v/>
      </c>
      <c r="E2086" s="29"/>
      <c r="F2086" s="22"/>
      <c r="G2086" s="22"/>
      <c r="H2086" s="22"/>
      <c r="I2086" s="24"/>
      <c r="J2086" s="24"/>
      <c r="K2086" s="24"/>
      <c r="L2086" s="24"/>
      <c r="M2086" s="27" t="str">
        <f t="shared" si="131"/>
        <v/>
      </c>
      <c r="N2086" s="25"/>
      <c r="O2086" s="22"/>
      <c r="P2086" s="24"/>
      <c r="Q2086" s="26"/>
    </row>
    <row r="2087" spans="1:17" ht="15" x14ac:dyDescent="0.15">
      <c r="A2087" s="22"/>
      <c r="B2087" s="26" t="str">
        <f t="shared" si="128"/>
        <v/>
      </c>
      <c r="C2087" s="26" t="str">
        <f t="shared" si="129"/>
        <v/>
      </c>
      <c r="D2087" s="26" t="str">
        <f t="shared" si="130"/>
        <v/>
      </c>
      <c r="E2087" s="29"/>
      <c r="F2087" s="22"/>
      <c r="G2087" s="22"/>
      <c r="H2087" s="22"/>
      <c r="I2087" s="24"/>
      <c r="J2087" s="24"/>
      <c r="K2087" s="24"/>
      <c r="L2087" s="24"/>
      <c r="M2087" s="27" t="str">
        <f t="shared" si="131"/>
        <v/>
      </c>
      <c r="N2087" s="25"/>
      <c r="O2087" s="22"/>
      <c r="P2087" s="24"/>
      <c r="Q2087" s="26"/>
    </row>
    <row r="2088" spans="1:17" ht="15" x14ac:dyDescent="0.15">
      <c r="A2088" s="22"/>
      <c r="B2088" s="26" t="str">
        <f t="shared" si="128"/>
        <v/>
      </c>
      <c r="C2088" s="26" t="str">
        <f t="shared" si="129"/>
        <v/>
      </c>
      <c r="D2088" s="26" t="str">
        <f t="shared" si="130"/>
        <v/>
      </c>
      <c r="E2088" s="29"/>
      <c r="F2088" s="22"/>
      <c r="G2088" s="22"/>
      <c r="H2088" s="22"/>
      <c r="I2088" s="24"/>
      <c r="J2088" s="24"/>
      <c r="K2088" s="24"/>
      <c r="L2088" s="24"/>
      <c r="M2088" s="27" t="str">
        <f t="shared" si="131"/>
        <v/>
      </c>
      <c r="N2088" s="25"/>
      <c r="O2088" s="22"/>
      <c r="P2088" s="24"/>
      <c r="Q2088" s="26"/>
    </row>
    <row r="2089" spans="1:17" ht="15" x14ac:dyDescent="0.15">
      <c r="A2089" s="22"/>
      <c r="B2089" s="26" t="str">
        <f t="shared" si="128"/>
        <v/>
      </c>
      <c r="C2089" s="26" t="str">
        <f t="shared" si="129"/>
        <v/>
      </c>
      <c r="D2089" s="26" t="str">
        <f t="shared" si="130"/>
        <v/>
      </c>
      <c r="E2089" s="29"/>
      <c r="F2089" s="22"/>
      <c r="G2089" s="22"/>
      <c r="H2089" s="22"/>
      <c r="I2089" s="24"/>
      <c r="J2089" s="24"/>
      <c r="K2089" s="24"/>
      <c r="L2089" s="24"/>
      <c r="M2089" s="27" t="str">
        <f t="shared" si="131"/>
        <v/>
      </c>
      <c r="N2089" s="25"/>
      <c r="O2089" s="22"/>
      <c r="P2089" s="24"/>
      <c r="Q2089" s="26"/>
    </row>
    <row r="2090" spans="1:17" ht="15" x14ac:dyDescent="0.15">
      <c r="A2090" s="22"/>
      <c r="B2090" s="26" t="str">
        <f t="shared" si="128"/>
        <v/>
      </c>
      <c r="C2090" s="26" t="str">
        <f t="shared" si="129"/>
        <v/>
      </c>
      <c r="D2090" s="26" t="str">
        <f t="shared" si="130"/>
        <v/>
      </c>
      <c r="E2090" s="29"/>
      <c r="F2090" s="22"/>
      <c r="G2090" s="22"/>
      <c r="H2090" s="22"/>
      <c r="I2090" s="24"/>
      <c r="J2090" s="24"/>
      <c r="K2090" s="24"/>
      <c r="L2090" s="24"/>
      <c r="M2090" s="27" t="str">
        <f t="shared" si="131"/>
        <v/>
      </c>
      <c r="N2090" s="25"/>
      <c r="O2090" s="22"/>
      <c r="P2090" s="24"/>
      <c r="Q2090" s="26"/>
    </row>
    <row r="2091" spans="1:17" ht="15" x14ac:dyDescent="0.15">
      <c r="A2091" s="22"/>
      <c r="B2091" s="26" t="str">
        <f t="shared" si="128"/>
        <v/>
      </c>
      <c r="C2091" s="26" t="str">
        <f t="shared" si="129"/>
        <v/>
      </c>
      <c r="D2091" s="26" t="str">
        <f t="shared" si="130"/>
        <v/>
      </c>
      <c r="E2091" s="29"/>
      <c r="F2091" s="22"/>
      <c r="G2091" s="22"/>
      <c r="H2091" s="22"/>
      <c r="I2091" s="24"/>
      <c r="J2091" s="24"/>
      <c r="K2091" s="24"/>
      <c r="L2091" s="24"/>
      <c r="M2091" s="27" t="str">
        <f t="shared" si="131"/>
        <v/>
      </c>
      <c r="N2091" s="25"/>
      <c r="O2091" s="22"/>
      <c r="P2091" s="24"/>
      <c r="Q2091" s="26"/>
    </row>
    <row r="2092" spans="1:17" ht="15" x14ac:dyDescent="0.15">
      <c r="A2092" s="22"/>
      <c r="B2092" s="26" t="str">
        <f t="shared" si="128"/>
        <v/>
      </c>
      <c r="C2092" s="26" t="str">
        <f t="shared" si="129"/>
        <v/>
      </c>
      <c r="D2092" s="26" t="str">
        <f t="shared" si="130"/>
        <v/>
      </c>
      <c r="E2092" s="29"/>
      <c r="F2092" s="22"/>
      <c r="G2092" s="22"/>
      <c r="H2092" s="22"/>
      <c r="I2092" s="24"/>
      <c r="J2092" s="24"/>
      <c r="K2092" s="24"/>
      <c r="L2092" s="24"/>
      <c r="M2092" s="27" t="str">
        <f t="shared" si="131"/>
        <v/>
      </c>
      <c r="N2092" s="25"/>
      <c r="O2092" s="22"/>
      <c r="P2092" s="24"/>
      <c r="Q2092" s="26"/>
    </row>
    <row r="2093" spans="1:17" ht="15" x14ac:dyDescent="0.15">
      <c r="A2093" s="22"/>
      <c r="B2093" s="26" t="str">
        <f t="shared" si="128"/>
        <v/>
      </c>
      <c r="C2093" s="26" t="str">
        <f t="shared" si="129"/>
        <v/>
      </c>
      <c r="D2093" s="26" t="str">
        <f t="shared" si="130"/>
        <v/>
      </c>
      <c r="E2093" s="29"/>
      <c r="F2093" s="22"/>
      <c r="G2093" s="22"/>
      <c r="H2093" s="22"/>
      <c r="I2093" s="24"/>
      <c r="J2093" s="24"/>
      <c r="K2093" s="24"/>
      <c r="L2093" s="24"/>
      <c r="M2093" s="27" t="str">
        <f t="shared" si="131"/>
        <v/>
      </c>
      <c r="N2093" s="25"/>
      <c r="O2093" s="22"/>
      <c r="P2093" s="24"/>
      <c r="Q2093" s="26"/>
    </row>
    <row r="2094" spans="1:17" ht="15" x14ac:dyDescent="0.15">
      <c r="A2094" s="22"/>
      <c r="B2094" s="26" t="str">
        <f t="shared" si="128"/>
        <v/>
      </c>
      <c r="C2094" s="26" t="str">
        <f t="shared" si="129"/>
        <v/>
      </c>
      <c r="D2094" s="26" t="str">
        <f t="shared" si="130"/>
        <v/>
      </c>
      <c r="E2094" s="29"/>
      <c r="F2094" s="22"/>
      <c r="G2094" s="22"/>
      <c r="H2094" s="22"/>
      <c r="I2094" s="24"/>
      <c r="J2094" s="24"/>
      <c r="K2094" s="24"/>
      <c r="L2094" s="24"/>
      <c r="M2094" s="27" t="str">
        <f t="shared" si="131"/>
        <v/>
      </c>
      <c r="N2094" s="25"/>
      <c r="O2094" s="22"/>
      <c r="P2094" s="24"/>
      <c r="Q2094" s="26"/>
    </row>
    <row r="2095" spans="1:17" ht="15" x14ac:dyDescent="0.15">
      <c r="A2095" s="22"/>
      <c r="B2095" s="26" t="str">
        <f t="shared" si="128"/>
        <v/>
      </c>
      <c r="C2095" s="26" t="str">
        <f t="shared" si="129"/>
        <v/>
      </c>
      <c r="D2095" s="26" t="str">
        <f t="shared" si="130"/>
        <v/>
      </c>
      <c r="E2095" s="29"/>
      <c r="F2095" s="22"/>
      <c r="G2095" s="22"/>
      <c r="H2095" s="22"/>
      <c r="I2095" s="24"/>
      <c r="J2095" s="24"/>
      <c r="K2095" s="24"/>
      <c r="L2095" s="24"/>
      <c r="M2095" s="27" t="str">
        <f t="shared" si="131"/>
        <v/>
      </c>
      <c r="N2095" s="25"/>
      <c r="O2095" s="22"/>
      <c r="P2095" s="24"/>
      <c r="Q2095" s="26"/>
    </row>
    <row r="2096" spans="1:17" ht="15" x14ac:dyDescent="0.15">
      <c r="A2096" s="22"/>
      <c r="B2096" s="26" t="str">
        <f t="shared" si="128"/>
        <v/>
      </c>
      <c r="C2096" s="26" t="str">
        <f t="shared" si="129"/>
        <v/>
      </c>
      <c r="D2096" s="26" t="str">
        <f t="shared" si="130"/>
        <v/>
      </c>
      <c r="E2096" s="29"/>
      <c r="F2096" s="22"/>
      <c r="G2096" s="22"/>
      <c r="H2096" s="22"/>
      <c r="I2096" s="24"/>
      <c r="J2096" s="24"/>
      <c r="K2096" s="24"/>
      <c r="L2096" s="24"/>
      <c r="M2096" s="27" t="str">
        <f t="shared" si="131"/>
        <v/>
      </c>
      <c r="N2096" s="25"/>
      <c r="O2096" s="22"/>
      <c r="P2096" s="24"/>
      <c r="Q2096" s="26"/>
    </row>
    <row r="2097" spans="1:17" ht="15" x14ac:dyDescent="0.15">
      <c r="A2097" s="22"/>
      <c r="B2097" s="26" t="str">
        <f t="shared" si="128"/>
        <v/>
      </c>
      <c r="C2097" s="26" t="str">
        <f t="shared" si="129"/>
        <v/>
      </c>
      <c r="D2097" s="26" t="str">
        <f t="shared" si="130"/>
        <v/>
      </c>
      <c r="E2097" s="29"/>
      <c r="F2097" s="22"/>
      <c r="G2097" s="22"/>
      <c r="H2097" s="22"/>
      <c r="I2097" s="24"/>
      <c r="J2097" s="24"/>
      <c r="K2097" s="24"/>
      <c r="L2097" s="24"/>
      <c r="M2097" s="27" t="str">
        <f t="shared" si="131"/>
        <v/>
      </c>
      <c r="N2097" s="25"/>
      <c r="O2097" s="22"/>
      <c r="P2097" s="24"/>
      <c r="Q2097" s="26"/>
    </row>
    <row r="2098" spans="1:17" ht="15" x14ac:dyDescent="0.15">
      <c r="A2098" s="22"/>
      <c r="B2098" s="26" t="str">
        <f t="shared" si="128"/>
        <v/>
      </c>
      <c r="C2098" s="26" t="str">
        <f t="shared" si="129"/>
        <v/>
      </c>
      <c r="D2098" s="26" t="str">
        <f t="shared" si="130"/>
        <v/>
      </c>
      <c r="E2098" s="29"/>
      <c r="F2098" s="22"/>
      <c r="G2098" s="22"/>
      <c r="H2098" s="22"/>
      <c r="I2098" s="24"/>
      <c r="J2098" s="24"/>
      <c r="K2098" s="24"/>
      <c r="L2098" s="24"/>
      <c r="M2098" s="27" t="str">
        <f t="shared" si="131"/>
        <v/>
      </c>
      <c r="N2098" s="25"/>
      <c r="O2098" s="22"/>
      <c r="P2098" s="24"/>
      <c r="Q2098" s="26"/>
    </row>
    <row r="2099" spans="1:17" ht="15" x14ac:dyDescent="0.15">
      <c r="A2099" s="22"/>
      <c r="B2099" s="26" t="str">
        <f t="shared" si="128"/>
        <v/>
      </c>
      <c r="C2099" s="26" t="str">
        <f t="shared" si="129"/>
        <v/>
      </c>
      <c r="D2099" s="26" t="str">
        <f t="shared" si="130"/>
        <v/>
      </c>
      <c r="E2099" s="29"/>
      <c r="F2099" s="22"/>
      <c r="G2099" s="22"/>
      <c r="H2099" s="22"/>
      <c r="I2099" s="24"/>
      <c r="J2099" s="24"/>
      <c r="K2099" s="24"/>
      <c r="L2099" s="24"/>
      <c r="M2099" s="27" t="str">
        <f t="shared" si="131"/>
        <v/>
      </c>
      <c r="N2099" s="25"/>
      <c r="O2099" s="22"/>
      <c r="P2099" s="24"/>
      <c r="Q2099" s="26"/>
    </row>
    <row r="2100" spans="1:17" ht="15" x14ac:dyDescent="0.15">
      <c r="A2100" s="22"/>
      <c r="B2100" s="26" t="str">
        <f t="shared" si="128"/>
        <v/>
      </c>
      <c r="C2100" s="26" t="str">
        <f t="shared" si="129"/>
        <v/>
      </c>
      <c r="D2100" s="26" t="str">
        <f t="shared" si="130"/>
        <v/>
      </c>
      <c r="E2100" s="29"/>
      <c r="F2100" s="22"/>
      <c r="G2100" s="22"/>
      <c r="H2100" s="22"/>
      <c r="I2100" s="24"/>
      <c r="J2100" s="24"/>
      <c r="K2100" s="24"/>
      <c r="L2100" s="24"/>
      <c r="M2100" s="27" t="str">
        <f t="shared" si="131"/>
        <v/>
      </c>
      <c r="N2100" s="25"/>
      <c r="O2100" s="22"/>
      <c r="P2100" s="24"/>
      <c r="Q2100" s="26"/>
    </row>
    <row r="2101" spans="1:17" ht="15" x14ac:dyDescent="0.15">
      <c r="A2101" s="22"/>
      <c r="B2101" s="26" t="str">
        <f t="shared" si="128"/>
        <v/>
      </c>
      <c r="C2101" s="26" t="str">
        <f t="shared" si="129"/>
        <v/>
      </c>
      <c r="D2101" s="26" t="str">
        <f t="shared" si="130"/>
        <v/>
      </c>
      <c r="E2101" s="29"/>
      <c r="F2101" s="22"/>
      <c r="G2101" s="22"/>
      <c r="H2101" s="22"/>
      <c r="I2101" s="24"/>
      <c r="J2101" s="24"/>
      <c r="K2101" s="24"/>
      <c r="L2101" s="24"/>
      <c r="M2101" s="27" t="str">
        <f t="shared" si="131"/>
        <v/>
      </c>
      <c r="N2101" s="25"/>
      <c r="O2101" s="22"/>
      <c r="P2101" s="24"/>
      <c r="Q2101" s="26"/>
    </row>
    <row r="2102" spans="1:17" ht="15" x14ac:dyDescent="0.15">
      <c r="A2102" s="22"/>
      <c r="B2102" s="26" t="str">
        <f t="shared" si="128"/>
        <v/>
      </c>
      <c r="C2102" s="26" t="str">
        <f t="shared" si="129"/>
        <v/>
      </c>
      <c r="D2102" s="26" t="str">
        <f t="shared" si="130"/>
        <v/>
      </c>
      <c r="E2102" s="29"/>
      <c r="F2102" s="22"/>
      <c r="G2102" s="22"/>
      <c r="H2102" s="22"/>
      <c r="I2102" s="24"/>
      <c r="J2102" s="24"/>
      <c r="K2102" s="24"/>
      <c r="L2102" s="24"/>
      <c r="M2102" s="27" t="str">
        <f t="shared" si="131"/>
        <v/>
      </c>
      <c r="N2102" s="25"/>
      <c r="O2102" s="22"/>
      <c r="P2102" s="24"/>
      <c r="Q2102" s="26"/>
    </row>
    <row r="2103" spans="1:17" ht="15" x14ac:dyDescent="0.15">
      <c r="A2103" s="22"/>
      <c r="B2103" s="26" t="str">
        <f t="shared" si="128"/>
        <v/>
      </c>
      <c r="C2103" s="26" t="str">
        <f t="shared" si="129"/>
        <v/>
      </c>
      <c r="D2103" s="26" t="str">
        <f t="shared" si="130"/>
        <v/>
      </c>
      <c r="E2103" s="29"/>
      <c r="F2103" s="22"/>
      <c r="G2103" s="22"/>
      <c r="H2103" s="22"/>
      <c r="I2103" s="24"/>
      <c r="J2103" s="24"/>
      <c r="K2103" s="24"/>
      <c r="L2103" s="24"/>
      <c r="M2103" s="27" t="str">
        <f t="shared" si="131"/>
        <v/>
      </c>
      <c r="N2103" s="25"/>
      <c r="O2103" s="22"/>
      <c r="P2103" s="24"/>
      <c r="Q2103" s="26"/>
    </row>
    <row r="2104" spans="1:17" ht="15" x14ac:dyDescent="0.15">
      <c r="A2104" s="22"/>
      <c r="B2104" s="26" t="str">
        <f t="shared" si="128"/>
        <v/>
      </c>
      <c r="C2104" s="26" t="str">
        <f t="shared" si="129"/>
        <v/>
      </c>
      <c r="D2104" s="26" t="str">
        <f t="shared" si="130"/>
        <v/>
      </c>
      <c r="E2104" s="29"/>
      <c r="F2104" s="22"/>
      <c r="G2104" s="22"/>
      <c r="H2104" s="22"/>
      <c r="I2104" s="24"/>
      <c r="J2104" s="24"/>
      <c r="K2104" s="24"/>
      <c r="L2104" s="24"/>
      <c r="M2104" s="27" t="str">
        <f t="shared" si="131"/>
        <v/>
      </c>
      <c r="N2104" s="25"/>
      <c r="O2104" s="22"/>
      <c r="P2104" s="24"/>
      <c r="Q2104" s="26"/>
    </row>
    <row r="2105" spans="1:17" ht="15" x14ac:dyDescent="0.15">
      <c r="A2105" s="22"/>
      <c r="B2105" s="26" t="str">
        <f t="shared" si="128"/>
        <v/>
      </c>
      <c r="C2105" s="26" t="str">
        <f t="shared" si="129"/>
        <v/>
      </c>
      <c r="D2105" s="26" t="str">
        <f t="shared" si="130"/>
        <v/>
      </c>
      <c r="E2105" s="29"/>
      <c r="F2105" s="22"/>
      <c r="G2105" s="22"/>
      <c r="H2105" s="22"/>
      <c r="I2105" s="24"/>
      <c r="J2105" s="24"/>
      <c r="K2105" s="24"/>
      <c r="L2105" s="24"/>
      <c r="M2105" s="27" t="str">
        <f t="shared" si="131"/>
        <v/>
      </c>
      <c r="N2105" s="25"/>
      <c r="O2105" s="22"/>
      <c r="P2105" s="24"/>
      <c r="Q2105" s="26"/>
    </row>
    <row r="2106" spans="1:17" ht="15" x14ac:dyDescent="0.15">
      <c r="A2106" s="22"/>
      <c r="B2106" s="26" t="str">
        <f t="shared" si="128"/>
        <v/>
      </c>
      <c r="C2106" s="26" t="str">
        <f t="shared" si="129"/>
        <v/>
      </c>
      <c r="D2106" s="26" t="str">
        <f t="shared" si="130"/>
        <v/>
      </c>
      <c r="E2106" s="29"/>
      <c r="F2106" s="22"/>
      <c r="G2106" s="22"/>
      <c r="H2106" s="22"/>
      <c r="I2106" s="24"/>
      <c r="J2106" s="24"/>
      <c r="K2106" s="24"/>
      <c r="L2106" s="24"/>
      <c r="M2106" s="27" t="str">
        <f t="shared" si="131"/>
        <v/>
      </c>
      <c r="N2106" s="25"/>
      <c r="O2106" s="22"/>
      <c r="P2106" s="24"/>
      <c r="Q2106" s="26"/>
    </row>
    <row r="2107" spans="1:17" ht="15" x14ac:dyDescent="0.15">
      <c r="A2107" s="22"/>
      <c r="B2107" s="26" t="str">
        <f t="shared" si="128"/>
        <v/>
      </c>
      <c r="C2107" s="26" t="str">
        <f t="shared" si="129"/>
        <v/>
      </c>
      <c r="D2107" s="26" t="str">
        <f t="shared" si="130"/>
        <v/>
      </c>
      <c r="E2107" s="29"/>
      <c r="F2107" s="22"/>
      <c r="G2107" s="22"/>
      <c r="H2107" s="22"/>
      <c r="I2107" s="24"/>
      <c r="J2107" s="24"/>
      <c r="K2107" s="24"/>
      <c r="L2107" s="24"/>
      <c r="M2107" s="27" t="str">
        <f t="shared" si="131"/>
        <v/>
      </c>
      <c r="N2107" s="25"/>
      <c r="O2107" s="22"/>
      <c r="P2107" s="24"/>
      <c r="Q2107" s="26"/>
    </row>
    <row r="2108" spans="1:17" ht="15" x14ac:dyDescent="0.15">
      <c r="A2108" s="22"/>
      <c r="B2108" s="26" t="str">
        <f t="shared" si="128"/>
        <v/>
      </c>
      <c r="C2108" s="26" t="str">
        <f t="shared" si="129"/>
        <v/>
      </c>
      <c r="D2108" s="26" t="str">
        <f t="shared" si="130"/>
        <v/>
      </c>
      <c r="E2108" s="29"/>
      <c r="F2108" s="22"/>
      <c r="G2108" s="22"/>
      <c r="H2108" s="22"/>
      <c r="I2108" s="24"/>
      <c r="J2108" s="24"/>
      <c r="K2108" s="24"/>
      <c r="L2108" s="24"/>
      <c r="M2108" s="27" t="str">
        <f t="shared" si="131"/>
        <v/>
      </c>
      <c r="N2108" s="25"/>
      <c r="O2108" s="22"/>
      <c r="P2108" s="24"/>
      <c r="Q2108" s="26"/>
    </row>
    <row r="2109" spans="1:17" ht="15" x14ac:dyDescent="0.15">
      <c r="A2109" s="22"/>
      <c r="B2109" s="26" t="str">
        <f t="shared" si="128"/>
        <v/>
      </c>
      <c r="C2109" s="26" t="str">
        <f t="shared" si="129"/>
        <v/>
      </c>
      <c r="D2109" s="26" t="str">
        <f t="shared" si="130"/>
        <v/>
      </c>
      <c r="E2109" s="29"/>
      <c r="F2109" s="22"/>
      <c r="G2109" s="22"/>
      <c r="H2109" s="22"/>
      <c r="I2109" s="24"/>
      <c r="J2109" s="24"/>
      <c r="K2109" s="24"/>
      <c r="L2109" s="24"/>
      <c r="M2109" s="27" t="str">
        <f t="shared" si="131"/>
        <v/>
      </c>
      <c r="N2109" s="25"/>
      <c r="O2109" s="22"/>
      <c r="P2109" s="24"/>
      <c r="Q2109" s="26"/>
    </row>
    <row r="2110" spans="1:17" ht="15" x14ac:dyDescent="0.15">
      <c r="A2110" s="22"/>
      <c r="B2110" s="26" t="str">
        <f t="shared" si="128"/>
        <v/>
      </c>
      <c r="C2110" s="26" t="str">
        <f t="shared" si="129"/>
        <v/>
      </c>
      <c r="D2110" s="26" t="str">
        <f t="shared" si="130"/>
        <v/>
      </c>
      <c r="E2110" s="29"/>
      <c r="F2110" s="22"/>
      <c r="G2110" s="22"/>
      <c r="H2110" s="22"/>
      <c r="I2110" s="24"/>
      <c r="J2110" s="24"/>
      <c r="K2110" s="24"/>
      <c r="L2110" s="24"/>
      <c r="M2110" s="27" t="str">
        <f t="shared" si="131"/>
        <v/>
      </c>
      <c r="N2110" s="25"/>
      <c r="O2110" s="22"/>
      <c r="P2110" s="24"/>
      <c r="Q2110" s="26"/>
    </row>
    <row r="2111" spans="1:17" ht="15" x14ac:dyDescent="0.15">
      <c r="A2111" s="22"/>
      <c r="B2111" s="26" t="str">
        <f t="shared" si="128"/>
        <v/>
      </c>
      <c r="C2111" s="26" t="str">
        <f t="shared" si="129"/>
        <v/>
      </c>
      <c r="D2111" s="26" t="str">
        <f t="shared" si="130"/>
        <v/>
      </c>
      <c r="E2111" s="29"/>
      <c r="F2111" s="22"/>
      <c r="G2111" s="22"/>
      <c r="H2111" s="22"/>
      <c r="I2111" s="24"/>
      <c r="J2111" s="24"/>
      <c r="K2111" s="24"/>
      <c r="L2111" s="24"/>
      <c r="M2111" s="27" t="str">
        <f t="shared" si="131"/>
        <v/>
      </c>
      <c r="N2111" s="25"/>
      <c r="O2111" s="22"/>
      <c r="P2111" s="24"/>
      <c r="Q2111" s="26"/>
    </row>
    <row r="2112" spans="1:17" ht="15" x14ac:dyDescent="0.15">
      <c r="A2112" s="22"/>
      <c r="B2112" s="26" t="str">
        <f t="shared" si="128"/>
        <v/>
      </c>
      <c r="C2112" s="26" t="str">
        <f t="shared" si="129"/>
        <v/>
      </c>
      <c r="D2112" s="26" t="str">
        <f t="shared" si="130"/>
        <v/>
      </c>
      <c r="E2112" s="29"/>
      <c r="F2112" s="22"/>
      <c r="G2112" s="22"/>
      <c r="H2112" s="22"/>
      <c r="I2112" s="24"/>
      <c r="J2112" s="24"/>
      <c r="K2112" s="24"/>
      <c r="L2112" s="24"/>
      <c r="M2112" s="27" t="str">
        <f t="shared" si="131"/>
        <v/>
      </c>
      <c r="N2112" s="25"/>
      <c r="O2112" s="22"/>
      <c r="P2112" s="24"/>
      <c r="Q2112" s="26"/>
    </row>
    <row r="2113" spans="1:17" ht="15" x14ac:dyDescent="0.15">
      <c r="A2113" s="22"/>
      <c r="B2113" s="26" t="str">
        <f t="shared" si="128"/>
        <v/>
      </c>
      <c r="C2113" s="26" t="str">
        <f t="shared" si="129"/>
        <v/>
      </c>
      <c r="D2113" s="26" t="str">
        <f t="shared" si="130"/>
        <v/>
      </c>
      <c r="E2113" s="29"/>
      <c r="F2113" s="22"/>
      <c r="G2113" s="22"/>
      <c r="H2113" s="22"/>
      <c r="I2113" s="24"/>
      <c r="J2113" s="24"/>
      <c r="K2113" s="24"/>
      <c r="L2113" s="24"/>
      <c r="M2113" s="27" t="str">
        <f t="shared" si="131"/>
        <v/>
      </c>
      <c r="N2113" s="25"/>
      <c r="O2113" s="22"/>
      <c r="P2113" s="24"/>
      <c r="Q2113" s="26"/>
    </row>
    <row r="2114" spans="1:17" ht="15" x14ac:dyDescent="0.15">
      <c r="A2114" s="22"/>
      <c r="B2114" s="26" t="str">
        <f t="shared" si="128"/>
        <v/>
      </c>
      <c r="C2114" s="26" t="str">
        <f t="shared" si="129"/>
        <v/>
      </c>
      <c r="D2114" s="26" t="str">
        <f t="shared" si="130"/>
        <v/>
      </c>
      <c r="E2114" s="29"/>
      <c r="F2114" s="22"/>
      <c r="G2114" s="22"/>
      <c r="H2114" s="22"/>
      <c r="I2114" s="24"/>
      <c r="J2114" s="24"/>
      <c r="K2114" s="24"/>
      <c r="L2114" s="24"/>
      <c r="M2114" s="27" t="str">
        <f t="shared" si="131"/>
        <v/>
      </c>
      <c r="N2114" s="25"/>
      <c r="O2114" s="22"/>
      <c r="P2114" s="24"/>
      <c r="Q2114" s="26"/>
    </row>
    <row r="2115" spans="1:17" ht="15" x14ac:dyDescent="0.15">
      <c r="A2115" s="22"/>
      <c r="B2115" s="26" t="str">
        <f t="shared" si="128"/>
        <v/>
      </c>
      <c r="C2115" s="26" t="str">
        <f t="shared" si="129"/>
        <v/>
      </c>
      <c r="D2115" s="26" t="str">
        <f t="shared" si="130"/>
        <v/>
      </c>
      <c r="E2115" s="29"/>
      <c r="F2115" s="22"/>
      <c r="G2115" s="22"/>
      <c r="H2115" s="22"/>
      <c r="I2115" s="24"/>
      <c r="J2115" s="24"/>
      <c r="K2115" s="24"/>
      <c r="L2115" s="24"/>
      <c r="M2115" s="27" t="str">
        <f t="shared" si="131"/>
        <v/>
      </c>
      <c r="N2115" s="25"/>
      <c r="O2115" s="22"/>
      <c r="P2115" s="24"/>
      <c r="Q2115" s="26"/>
    </row>
    <row r="2116" spans="1:17" ht="15" x14ac:dyDescent="0.15">
      <c r="A2116" s="22"/>
      <c r="B2116" s="26" t="str">
        <f t="shared" si="128"/>
        <v/>
      </c>
      <c r="C2116" s="26" t="str">
        <f t="shared" si="129"/>
        <v/>
      </c>
      <c r="D2116" s="26" t="str">
        <f t="shared" si="130"/>
        <v/>
      </c>
      <c r="E2116" s="29"/>
      <c r="F2116" s="22"/>
      <c r="G2116" s="22"/>
      <c r="H2116" s="22"/>
      <c r="I2116" s="24"/>
      <c r="J2116" s="24"/>
      <c r="K2116" s="24"/>
      <c r="L2116" s="24"/>
      <c r="M2116" s="27" t="str">
        <f t="shared" si="131"/>
        <v/>
      </c>
      <c r="N2116" s="25"/>
      <c r="O2116" s="22"/>
      <c r="P2116" s="24"/>
      <c r="Q2116" s="26"/>
    </row>
    <row r="2117" spans="1:17" ht="15" x14ac:dyDescent="0.15">
      <c r="A2117" s="22"/>
      <c r="B2117" s="26" t="str">
        <f t="shared" si="128"/>
        <v/>
      </c>
      <c r="C2117" s="26" t="str">
        <f t="shared" si="129"/>
        <v/>
      </c>
      <c r="D2117" s="26" t="str">
        <f t="shared" si="130"/>
        <v/>
      </c>
      <c r="E2117" s="29"/>
      <c r="F2117" s="22"/>
      <c r="G2117" s="22"/>
      <c r="H2117" s="22"/>
      <c r="I2117" s="24"/>
      <c r="J2117" s="24"/>
      <c r="K2117" s="24"/>
      <c r="L2117" s="24"/>
      <c r="M2117" s="27" t="str">
        <f t="shared" si="131"/>
        <v/>
      </c>
      <c r="N2117" s="25"/>
      <c r="O2117" s="22"/>
      <c r="P2117" s="24"/>
      <c r="Q2117" s="26"/>
    </row>
    <row r="2118" spans="1:17" ht="15" x14ac:dyDescent="0.15">
      <c r="A2118" s="22"/>
      <c r="B2118" s="26" t="str">
        <f t="shared" si="128"/>
        <v/>
      </c>
      <c r="C2118" s="26" t="str">
        <f t="shared" si="129"/>
        <v/>
      </c>
      <c r="D2118" s="26" t="str">
        <f t="shared" si="130"/>
        <v/>
      </c>
      <c r="E2118" s="29"/>
      <c r="F2118" s="22"/>
      <c r="G2118" s="22"/>
      <c r="H2118" s="22"/>
      <c r="I2118" s="24"/>
      <c r="J2118" s="24"/>
      <c r="K2118" s="24"/>
      <c r="L2118" s="24"/>
      <c r="M2118" s="27" t="str">
        <f t="shared" si="131"/>
        <v/>
      </c>
      <c r="N2118" s="25"/>
      <c r="O2118" s="22"/>
      <c r="P2118" s="24"/>
      <c r="Q2118" s="26"/>
    </row>
    <row r="2119" spans="1:17" ht="15" x14ac:dyDescent="0.15">
      <c r="A2119" s="22"/>
      <c r="B2119" s="26" t="str">
        <f t="shared" ref="B2119:B2182" si="132">IFERROR(IF($A2119="","",LEFT($A2119,FIND(" | ",$A2119)-1)),"")</f>
        <v/>
      </c>
      <c r="C2119" s="26" t="str">
        <f t="shared" ref="C2119:C2182" si="133">IFERROR(IF($A2119="","",MID($A2119,FIND(" | ",$A2119)+3,FIND(" | ",$A2119,FIND(" | ",$A2119)+3)-FIND(" | ",$A2119)-3)),"")</f>
        <v/>
      </c>
      <c r="D2119" s="26" t="str">
        <f t="shared" ref="D2119:D2182" si="134">IFERROR(IF($A2119="","",RIGHT($A2119,LEN($A2119)-FIND(" | ",$A2119,FIND(" | ",$A2119)+3)-2)),"")</f>
        <v/>
      </c>
      <c r="E2119" s="29"/>
      <c r="F2119" s="22"/>
      <c r="G2119" s="22"/>
      <c r="H2119" s="22"/>
      <c r="I2119" s="24"/>
      <c r="J2119" s="24"/>
      <c r="K2119" s="24"/>
      <c r="L2119" s="24"/>
      <c r="M2119" s="27" t="str">
        <f t="shared" ref="M2119:M2182" si="135">IF($B2119="","",SUM($J2119,-$K2119,$L2119))</f>
        <v/>
      </c>
      <c r="N2119" s="25"/>
      <c r="O2119" s="22"/>
      <c r="P2119" s="24"/>
      <c r="Q2119" s="26"/>
    </row>
    <row r="2120" spans="1:17" ht="15" x14ac:dyDescent="0.15">
      <c r="A2120" s="22"/>
      <c r="B2120" s="26" t="str">
        <f t="shared" si="132"/>
        <v/>
      </c>
      <c r="C2120" s="26" t="str">
        <f t="shared" si="133"/>
        <v/>
      </c>
      <c r="D2120" s="26" t="str">
        <f t="shared" si="134"/>
        <v/>
      </c>
      <c r="E2120" s="29"/>
      <c r="F2120" s="22"/>
      <c r="G2120" s="22"/>
      <c r="H2120" s="22"/>
      <c r="I2120" s="24"/>
      <c r="J2120" s="24"/>
      <c r="K2120" s="24"/>
      <c r="L2120" s="24"/>
      <c r="M2120" s="27" t="str">
        <f t="shared" si="135"/>
        <v/>
      </c>
      <c r="N2120" s="25"/>
      <c r="O2120" s="22"/>
      <c r="P2120" s="24"/>
      <c r="Q2120" s="26"/>
    </row>
    <row r="2121" spans="1:17" ht="15" x14ac:dyDescent="0.15">
      <c r="A2121" s="22"/>
      <c r="B2121" s="26" t="str">
        <f t="shared" si="132"/>
        <v/>
      </c>
      <c r="C2121" s="26" t="str">
        <f t="shared" si="133"/>
        <v/>
      </c>
      <c r="D2121" s="26" t="str">
        <f t="shared" si="134"/>
        <v/>
      </c>
      <c r="E2121" s="29"/>
      <c r="F2121" s="22"/>
      <c r="G2121" s="22"/>
      <c r="H2121" s="22"/>
      <c r="I2121" s="24"/>
      <c r="J2121" s="24"/>
      <c r="K2121" s="24"/>
      <c r="L2121" s="24"/>
      <c r="M2121" s="27" t="str">
        <f t="shared" si="135"/>
        <v/>
      </c>
      <c r="N2121" s="25"/>
      <c r="O2121" s="22"/>
      <c r="P2121" s="24"/>
      <c r="Q2121" s="26"/>
    </row>
    <row r="2122" spans="1:17" ht="15" x14ac:dyDescent="0.15">
      <c r="A2122" s="22"/>
      <c r="B2122" s="26" t="str">
        <f t="shared" si="132"/>
        <v/>
      </c>
      <c r="C2122" s="26" t="str">
        <f t="shared" si="133"/>
        <v/>
      </c>
      <c r="D2122" s="26" t="str">
        <f t="shared" si="134"/>
        <v/>
      </c>
      <c r="E2122" s="29"/>
      <c r="F2122" s="22"/>
      <c r="G2122" s="22"/>
      <c r="H2122" s="22"/>
      <c r="I2122" s="24"/>
      <c r="J2122" s="24"/>
      <c r="K2122" s="24"/>
      <c r="L2122" s="24"/>
      <c r="M2122" s="27" t="str">
        <f t="shared" si="135"/>
        <v/>
      </c>
      <c r="N2122" s="25"/>
      <c r="O2122" s="22"/>
      <c r="P2122" s="24"/>
      <c r="Q2122" s="26"/>
    </row>
    <row r="2123" spans="1:17" ht="15" x14ac:dyDescent="0.15">
      <c r="A2123" s="22"/>
      <c r="B2123" s="26" t="str">
        <f t="shared" si="132"/>
        <v/>
      </c>
      <c r="C2123" s="26" t="str">
        <f t="shared" si="133"/>
        <v/>
      </c>
      <c r="D2123" s="26" t="str">
        <f t="shared" si="134"/>
        <v/>
      </c>
      <c r="E2123" s="29"/>
      <c r="F2123" s="22"/>
      <c r="G2123" s="22"/>
      <c r="H2123" s="22"/>
      <c r="I2123" s="24"/>
      <c r="J2123" s="24"/>
      <c r="K2123" s="24"/>
      <c r="L2123" s="24"/>
      <c r="M2123" s="27" t="str">
        <f t="shared" si="135"/>
        <v/>
      </c>
      <c r="N2123" s="25"/>
      <c r="O2123" s="22"/>
      <c r="P2123" s="24"/>
      <c r="Q2123" s="26"/>
    </row>
    <row r="2124" spans="1:17" ht="15" x14ac:dyDescent="0.15">
      <c r="A2124" s="22"/>
      <c r="B2124" s="26" t="str">
        <f t="shared" si="132"/>
        <v/>
      </c>
      <c r="C2124" s="26" t="str">
        <f t="shared" si="133"/>
        <v/>
      </c>
      <c r="D2124" s="26" t="str">
        <f t="shared" si="134"/>
        <v/>
      </c>
      <c r="E2124" s="29"/>
      <c r="F2124" s="22"/>
      <c r="G2124" s="22"/>
      <c r="H2124" s="22"/>
      <c r="I2124" s="24"/>
      <c r="J2124" s="24"/>
      <c r="K2124" s="24"/>
      <c r="L2124" s="24"/>
      <c r="M2124" s="27" t="str">
        <f t="shared" si="135"/>
        <v/>
      </c>
      <c r="N2124" s="25"/>
      <c r="O2124" s="22"/>
      <c r="P2124" s="24"/>
      <c r="Q2124" s="26"/>
    </row>
    <row r="2125" spans="1:17" ht="15" x14ac:dyDescent="0.15">
      <c r="A2125" s="22"/>
      <c r="B2125" s="26" t="str">
        <f t="shared" si="132"/>
        <v/>
      </c>
      <c r="C2125" s="26" t="str">
        <f t="shared" si="133"/>
        <v/>
      </c>
      <c r="D2125" s="26" t="str">
        <f t="shared" si="134"/>
        <v/>
      </c>
      <c r="E2125" s="29"/>
      <c r="F2125" s="22"/>
      <c r="G2125" s="22"/>
      <c r="H2125" s="22"/>
      <c r="I2125" s="24"/>
      <c r="J2125" s="24"/>
      <c r="K2125" s="24"/>
      <c r="L2125" s="24"/>
      <c r="M2125" s="27" t="str">
        <f t="shared" si="135"/>
        <v/>
      </c>
      <c r="N2125" s="25"/>
      <c r="O2125" s="22"/>
      <c r="P2125" s="24"/>
      <c r="Q2125" s="26"/>
    </row>
    <row r="2126" spans="1:17" ht="15" x14ac:dyDescent="0.15">
      <c r="A2126" s="22"/>
      <c r="B2126" s="26" t="str">
        <f t="shared" si="132"/>
        <v/>
      </c>
      <c r="C2126" s="26" t="str">
        <f t="shared" si="133"/>
        <v/>
      </c>
      <c r="D2126" s="26" t="str">
        <f t="shared" si="134"/>
        <v/>
      </c>
      <c r="E2126" s="29"/>
      <c r="F2126" s="22"/>
      <c r="G2126" s="22"/>
      <c r="H2126" s="22"/>
      <c r="I2126" s="24"/>
      <c r="J2126" s="24"/>
      <c r="K2126" s="24"/>
      <c r="L2126" s="24"/>
      <c r="M2126" s="27" t="str">
        <f t="shared" si="135"/>
        <v/>
      </c>
      <c r="N2126" s="25"/>
      <c r="O2126" s="22"/>
      <c r="P2126" s="24"/>
      <c r="Q2126" s="26"/>
    </row>
    <row r="2127" spans="1:17" ht="15" x14ac:dyDescent="0.15">
      <c r="A2127" s="22"/>
      <c r="B2127" s="26" t="str">
        <f t="shared" si="132"/>
        <v/>
      </c>
      <c r="C2127" s="26" t="str">
        <f t="shared" si="133"/>
        <v/>
      </c>
      <c r="D2127" s="26" t="str">
        <f t="shared" si="134"/>
        <v/>
      </c>
      <c r="E2127" s="29"/>
      <c r="F2127" s="22"/>
      <c r="G2127" s="22"/>
      <c r="H2127" s="22"/>
      <c r="I2127" s="24"/>
      <c r="J2127" s="24"/>
      <c r="K2127" s="24"/>
      <c r="L2127" s="24"/>
      <c r="M2127" s="27" t="str">
        <f t="shared" si="135"/>
        <v/>
      </c>
      <c r="N2127" s="25"/>
      <c r="O2127" s="22"/>
      <c r="P2127" s="24"/>
      <c r="Q2127" s="26"/>
    </row>
    <row r="2128" spans="1:17" ht="15" x14ac:dyDescent="0.15">
      <c r="A2128" s="22"/>
      <c r="B2128" s="26" t="str">
        <f t="shared" si="132"/>
        <v/>
      </c>
      <c r="C2128" s="26" t="str">
        <f t="shared" si="133"/>
        <v/>
      </c>
      <c r="D2128" s="26" t="str">
        <f t="shared" si="134"/>
        <v/>
      </c>
      <c r="E2128" s="29"/>
      <c r="F2128" s="22"/>
      <c r="G2128" s="22"/>
      <c r="H2128" s="22"/>
      <c r="I2128" s="24"/>
      <c r="J2128" s="24"/>
      <c r="K2128" s="24"/>
      <c r="L2128" s="24"/>
      <c r="M2128" s="27" t="str">
        <f t="shared" si="135"/>
        <v/>
      </c>
      <c r="N2128" s="25"/>
      <c r="O2128" s="22"/>
      <c r="P2128" s="24"/>
      <c r="Q2128" s="26"/>
    </row>
    <row r="2129" spans="1:17" ht="15" x14ac:dyDescent="0.15">
      <c r="A2129" s="22"/>
      <c r="B2129" s="26" t="str">
        <f t="shared" si="132"/>
        <v/>
      </c>
      <c r="C2129" s="26" t="str">
        <f t="shared" si="133"/>
        <v/>
      </c>
      <c r="D2129" s="26" t="str">
        <f t="shared" si="134"/>
        <v/>
      </c>
      <c r="E2129" s="29"/>
      <c r="F2129" s="22"/>
      <c r="G2129" s="22"/>
      <c r="H2129" s="22"/>
      <c r="I2129" s="24"/>
      <c r="J2129" s="24"/>
      <c r="K2129" s="24"/>
      <c r="L2129" s="24"/>
      <c r="M2129" s="27" t="str">
        <f t="shared" si="135"/>
        <v/>
      </c>
      <c r="N2129" s="25"/>
      <c r="O2129" s="22"/>
      <c r="P2129" s="24"/>
      <c r="Q2129" s="26"/>
    </row>
    <row r="2130" spans="1:17" ht="15" x14ac:dyDescent="0.15">
      <c r="A2130" s="22"/>
      <c r="B2130" s="26" t="str">
        <f t="shared" si="132"/>
        <v/>
      </c>
      <c r="C2130" s="26" t="str">
        <f t="shared" si="133"/>
        <v/>
      </c>
      <c r="D2130" s="26" t="str">
        <f t="shared" si="134"/>
        <v/>
      </c>
      <c r="E2130" s="29"/>
      <c r="F2130" s="22"/>
      <c r="G2130" s="22"/>
      <c r="H2130" s="22"/>
      <c r="I2130" s="24"/>
      <c r="J2130" s="24"/>
      <c r="K2130" s="24"/>
      <c r="L2130" s="24"/>
      <c r="M2130" s="27" t="str">
        <f t="shared" si="135"/>
        <v/>
      </c>
      <c r="N2130" s="25"/>
      <c r="O2130" s="22"/>
      <c r="P2130" s="24"/>
      <c r="Q2130" s="26"/>
    </row>
    <row r="2131" spans="1:17" ht="15" x14ac:dyDescent="0.15">
      <c r="A2131" s="22"/>
      <c r="B2131" s="26" t="str">
        <f t="shared" si="132"/>
        <v/>
      </c>
      <c r="C2131" s="26" t="str">
        <f t="shared" si="133"/>
        <v/>
      </c>
      <c r="D2131" s="26" t="str">
        <f t="shared" si="134"/>
        <v/>
      </c>
      <c r="E2131" s="29"/>
      <c r="F2131" s="22"/>
      <c r="G2131" s="22"/>
      <c r="H2131" s="22"/>
      <c r="I2131" s="24"/>
      <c r="J2131" s="24"/>
      <c r="K2131" s="24"/>
      <c r="L2131" s="24"/>
      <c r="M2131" s="27" t="str">
        <f t="shared" si="135"/>
        <v/>
      </c>
      <c r="N2131" s="25"/>
      <c r="O2131" s="22"/>
      <c r="P2131" s="24"/>
      <c r="Q2131" s="26"/>
    </row>
    <row r="2132" spans="1:17" ht="15" x14ac:dyDescent="0.15">
      <c r="A2132" s="22"/>
      <c r="B2132" s="26" t="str">
        <f t="shared" si="132"/>
        <v/>
      </c>
      <c r="C2132" s="26" t="str">
        <f t="shared" si="133"/>
        <v/>
      </c>
      <c r="D2132" s="26" t="str">
        <f t="shared" si="134"/>
        <v/>
      </c>
      <c r="E2132" s="29"/>
      <c r="F2132" s="22"/>
      <c r="G2132" s="22"/>
      <c r="H2132" s="22"/>
      <c r="I2132" s="24"/>
      <c r="J2132" s="24"/>
      <c r="K2132" s="24"/>
      <c r="L2132" s="24"/>
      <c r="M2132" s="27" t="str">
        <f t="shared" si="135"/>
        <v/>
      </c>
      <c r="N2132" s="25"/>
      <c r="O2132" s="22"/>
      <c r="P2132" s="24"/>
      <c r="Q2132" s="26"/>
    </row>
    <row r="2133" spans="1:17" ht="15" x14ac:dyDescent="0.15">
      <c r="A2133" s="22"/>
      <c r="B2133" s="26" t="str">
        <f t="shared" si="132"/>
        <v/>
      </c>
      <c r="C2133" s="26" t="str">
        <f t="shared" si="133"/>
        <v/>
      </c>
      <c r="D2133" s="26" t="str">
        <f t="shared" si="134"/>
        <v/>
      </c>
      <c r="E2133" s="29"/>
      <c r="F2133" s="22"/>
      <c r="G2133" s="22"/>
      <c r="H2133" s="22"/>
      <c r="I2133" s="24"/>
      <c r="J2133" s="24"/>
      <c r="K2133" s="24"/>
      <c r="L2133" s="24"/>
      <c r="M2133" s="27" t="str">
        <f t="shared" si="135"/>
        <v/>
      </c>
      <c r="N2133" s="25"/>
      <c r="O2133" s="22"/>
      <c r="P2133" s="24"/>
      <c r="Q2133" s="26"/>
    </row>
    <row r="2134" spans="1:17" ht="15" x14ac:dyDescent="0.15">
      <c r="A2134" s="22"/>
      <c r="B2134" s="26" t="str">
        <f t="shared" si="132"/>
        <v/>
      </c>
      <c r="C2134" s="26" t="str">
        <f t="shared" si="133"/>
        <v/>
      </c>
      <c r="D2134" s="26" t="str">
        <f t="shared" si="134"/>
        <v/>
      </c>
      <c r="E2134" s="29"/>
      <c r="F2134" s="22"/>
      <c r="G2134" s="22"/>
      <c r="H2134" s="22"/>
      <c r="I2134" s="24"/>
      <c r="J2134" s="24"/>
      <c r="K2134" s="24"/>
      <c r="L2134" s="24"/>
      <c r="M2134" s="27" t="str">
        <f t="shared" si="135"/>
        <v/>
      </c>
      <c r="N2134" s="25"/>
      <c r="O2134" s="22"/>
      <c r="P2134" s="24"/>
      <c r="Q2134" s="26"/>
    </row>
    <row r="2135" spans="1:17" ht="15" x14ac:dyDescent="0.15">
      <c r="A2135" s="22"/>
      <c r="B2135" s="26" t="str">
        <f t="shared" si="132"/>
        <v/>
      </c>
      <c r="C2135" s="26" t="str">
        <f t="shared" si="133"/>
        <v/>
      </c>
      <c r="D2135" s="26" t="str">
        <f t="shared" si="134"/>
        <v/>
      </c>
      <c r="E2135" s="29"/>
      <c r="F2135" s="22"/>
      <c r="G2135" s="22"/>
      <c r="H2135" s="22"/>
      <c r="I2135" s="24"/>
      <c r="J2135" s="24"/>
      <c r="K2135" s="24"/>
      <c r="L2135" s="24"/>
      <c r="M2135" s="27" t="str">
        <f t="shared" si="135"/>
        <v/>
      </c>
      <c r="N2135" s="25"/>
      <c r="O2135" s="22"/>
      <c r="P2135" s="24"/>
      <c r="Q2135" s="26"/>
    </row>
    <row r="2136" spans="1:17" ht="15" x14ac:dyDescent="0.15">
      <c r="A2136" s="22"/>
      <c r="B2136" s="26" t="str">
        <f t="shared" si="132"/>
        <v/>
      </c>
      <c r="C2136" s="26" t="str">
        <f t="shared" si="133"/>
        <v/>
      </c>
      <c r="D2136" s="26" t="str">
        <f t="shared" si="134"/>
        <v/>
      </c>
      <c r="E2136" s="29"/>
      <c r="F2136" s="22"/>
      <c r="G2136" s="22"/>
      <c r="H2136" s="22"/>
      <c r="I2136" s="24"/>
      <c r="J2136" s="24"/>
      <c r="K2136" s="24"/>
      <c r="L2136" s="24"/>
      <c r="M2136" s="27" t="str">
        <f t="shared" si="135"/>
        <v/>
      </c>
      <c r="N2136" s="25"/>
      <c r="O2136" s="22"/>
      <c r="P2136" s="24"/>
      <c r="Q2136" s="26"/>
    </row>
    <row r="2137" spans="1:17" ht="15" x14ac:dyDescent="0.15">
      <c r="A2137" s="22"/>
      <c r="B2137" s="26" t="str">
        <f t="shared" si="132"/>
        <v/>
      </c>
      <c r="C2137" s="26" t="str">
        <f t="shared" si="133"/>
        <v/>
      </c>
      <c r="D2137" s="26" t="str">
        <f t="shared" si="134"/>
        <v/>
      </c>
      <c r="E2137" s="29"/>
      <c r="F2137" s="22"/>
      <c r="G2137" s="22"/>
      <c r="H2137" s="22"/>
      <c r="I2137" s="24"/>
      <c r="J2137" s="24"/>
      <c r="K2137" s="24"/>
      <c r="L2137" s="24"/>
      <c r="M2137" s="27" t="str">
        <f t="shared" si="135"/>
        <v/>
      </c>
      <c r="N2137" s="25"/>
      <c r="O2137" s="22"/>
      <c r="P2137" s="24"/>
      <c r="Q2137" s="26"/>
    </row>
    <row r="2138" spans="1:17" ht="15" x14ac:dyDescent="0.15">
      <c r="A2138" s="22"/>
      <c r="B2138" s="26" t="str">
        <f t="shared" si="132"/>
        <v/>
      </c>
      <c r="C2138" s="26" t="str">
        <f t="shared" si="133"/>
        <v/>
      </c>
      <c r="D2138" s="26" t="str">
        <f t="shared" si="134"/>
        <v/>
      </c>
      <c r="E2138" s="29"/>
      <c r="F2138" s="22"/>
      <c r="G2138" s="22"/>
      <c r="H2138" s="22"/>
      <c r="I2138" s="24"/>
      <c r="J2138" s="24"/>
      <c r="K2138" s="24"/>
      <c r="L2138" s="24"/>
      <c r="M2138" s="27" t="str">
        <f t="shared" si="135"/>
        <v/>
      </c>
      <c r="N2138" s="25"/>
      <c r="O2138" s="22"/>
      <c r="P2138" s="24"/>
      <c r="Q2138" s="26"/>
    </row>
    <row r="2139" spans="1:17" ht="15" x14ac:dyDescent="0.15">
      <c r="A2139" s="22"/>
      <c r="B2139" s="26" t="str">
        <f t="shared" si="132"/>
        <v/>
      </c>
      <c r="C2139" s="26" t="str">
        <f t="shared" si="133"/>
        <v/>
      </c>
      <c r="D2139" s="26" t="str">
        <f t="shared" si="134"/>
        <v/>
      </c>
      <c r="E2139" s="29"/>
      <c r="F2139" s="22"/>
      <c r="G2139" s="22"/>
      <c r="H2139" s="22"/>
      <c r="I2139" s="24"/>
      <c r="J2139" s="24"/>
      <c r="K2139" s="24"/>
      <c r="L2139" s="24"/>
      <c r="M2139" s="27" t="str">
        <f t="shared" si="135"/>
        <v/>
      </c>
      <c r="N2139" s="25"/>
      <c r="O2139" s="22"/>
      <c r="P2139" s="24"/>
      <c r="Q2139" s="26"/>
    </row>
    <row r="2140" spans="1:17" ht="15" x14ac:dyDescent="0.15">
      <c r="A2140" s="22"/>
      <c r="B2140" s="26" t="str">
        <f t="shared" si="132"/>
        <v/>
      </c>
      <c r="C2140" s="26" t="str">
        <f t="shared" si="133"/>
        <v/>
      </c>
      <c r="D2140" s="26" t="str">
        <f t="shared" si="134"/>
        <v/>
      </c>
      <c r="E2140" s="29"/>
      <c r="F2140" s="22"/>
      <c r="G2140" s="22"/>
      <c r="H2140" s="22"/>
      <c r="I2140" s="24"/>
      <c r="J2140" s="24"/>
      <c r="K2140" s="24"/>
      <c r="L2140" s="24"/>
      <c r="M2140" s="27" t="str">
        <f t="shared" si="135"/>
        <v/>
      </c>
      <c r="N2140" s="25"/>
      <c r="O2140" s="22"/>
      <c r="P2140" s="24"/>
      <c r="Q2140" s="26"/>
    </row>
    <row r="2141" spans="1:17" ht="15" x14ac:dyDescent="0.15">
      <c r="A2141" s="22"/>
      <c r="B2141" s="26" t="str">
        <f t="shared" si="132"/>
        <v/>
      </c>
      <c r="C2141" s="26" t="str">
        <f t="shared" si="133"/>
        <v/>
      </c>
      <c r="D2141" s="26" t="str">
        <f t="shared" si="134"/>
        <v/>
      </c>
      <c r="E2141" s="29"/>
      <c r="F2141" s="22"/>
      <c r="G2141" s="22"/>
      <c r="H2141" s="22"/>
      <c r="I2141" s="24"/>
      <c r="J2141" s="24"/>
      <c r="K2141" s="24"/>
      <c r="L2141" s="24"/>
      <c r="M2141" s="27" t="str">
        <f t="shared" si="135"/>
        <v/>
      </c>
      <c r="N2141" s="25"/>
      <c r="O2141" s="22"/>
      <c r="P2141" s="24"/>
      <c r="Q2141" s="26"/>
    </row>
    <row r="2142" spans="1:17" ht="15" x14ac:dyDescent="0.15">
      <c r="A2142" s="22"/>
      <c r="B2142" s="26" t="str">
        <f t="shared" si="132"/>
        <v/>
      </c>
      <c r="C2142" s="26" t="str">
        <f t="shared" si="133"/>
        <v/>
      </c>
      <c r="D2142" s="26" t="str">
        <f t="shared" si="134"/>
        <v/>
      </c>
      <c r="E2142" s="29"/>
      <c r="F2142" s="22"/>
      <c r="G2142" s="22"/>
      <c r="H2142" s="22"/>
      <c r="I2142" s="24"/>
      <c r="J2142" s="24"/>
      <c r="K2142" s="24"/>
      <c r="L2142" s="24"/>
      <c r="M2142" s="27" t="str">
        <f t="shared" si="135"/>
        <v/>
      </c>
      <c r="N2142" s="25"/>
      <c r="O2142" s="22"/>
      <c r="P2142" s="24"/>
      <c r="Q2142" s="26"/>
    </row>
    <row r="2143" spans="1:17" ht="15" x14ac:dyDescent="0.15">
      <c r="A2143" s="22"/>
      <c r="B2143" s="26" t="str">
        <f t="shared" si="132"/>
        <v/>
      </c>
      <c r="C2143" s="26" t="str">
        <f t="shared" si="133"/>
        <v/>
      </c>
      <c r="D2143" s="26" t="str">
        <f t="shared" si="134"/>
        <v/>
      </c>
      <c r="E2143" s="29"/>
      <c r="F2143" s="22"/>
      <c r="G2143" s="22"/>
      <c r="H2143" s="22"/>
      <c r="I2143" s="24"/>
      <c r="J2143" s="24"/>
      <c r="K2143" s="24"/>
      <c r="L2143" s="24"/>
      <c r="M2143" s="27" t="str">
        <f t="shared" si="135"/>
        <v/>
      </c>
      <c r="N2143" s="25"/>
      <c r="O2143" s="22"/>
      <c r="P2143" s="24"/>
      <c r="Q2143" s="26"/>
    </row>
    <row r="2144" spans="1:17" ht="15" x14ac:dyDescent="0.15">
      <c r="A2144" s="22"/>
      <c r="B2144" s="26" t="str">
        <f t="shared" si="132"/>
        <v/>
      </c>
      <c r="C2144" s="26" t="str">
        <f t="shared" si="133"/>
        <v/>
      </c>
      <c r="D2144" s="26" t="str">
        <f t="shared" si="134"/>
        <v/>
      </c>
      <c r="E2144" s="29"/>
      <c r="F2144" s="22"/>
      <c r="G2144" s="22"/>
      <c r="H2144" s="22"/>
      <c r="I2144" s="24"/>
      <c r="J2144" s="24"/>
      <c r="K2144" s="24"/>
      <c r="L2144" s="24"/>
      <c r="M2144" s="27" t="str">
        <f t="shared" si="135"/>
        <v/>
      </c>
      <c r="N2144" s="25"/>
      <c r="O2144" s="22"/>
      <c r="P2144" s="24"/>
      <c r="Q2144" s="26"/>
    </row>
    <row r="2145" spans="1:17" ht="15" x14ac:dyDescent="0.15">
      <c r="A2145" s="22"/>
      <c r="B2145" s="26" t="str">
        <f t="shared" si="132"/>
        <v/>
      </c>
      <c r="C2145" s="26" t="str">
        <f t="shared" si="133"/>
        <v/>
      </c>
      <c r="D2145" s="26" t="str">
        <f t="shared" si="134"/>
        <v/>
      </c>
      <c r="E2145" s="29"/>
      <c r="F2145" s="22"/>
      <c r="G2145" s="22"/>
      <c r="H2145" s="22"/>
      <c r="I2145" s="24"/>
      <c r="J2145" s="24"/>
      <c r="K2145" s="24"/>
      <c r="L2145" s="24"/>
      <c r="M2145" s="27" t="str">
        <f t="shared" si="135"/>
        <v/>
      </c>
      <c r="N2145" s="25"/>
      <c r="O2145" s="22"/>
      <c r="P2145" s="24"/>
      <c r="Q2145" s="26"/>
    </row>
    <row r="2146" spans="1:17" ht="15" x14ac:dyDescent="0.15">
      <c r="A2146" s="22"/>
      <c r="B2146" s="26" t="str">
        <f t="shared" si="132"/>
        <v/>
      </c>
      <c r="C2146" s="26" t="str">
        <f t="shared" si="133"/>
        <v/>
      </c>
      <c r="D2146" s="26" t="str">
        <f t="shared" si="134"/>
        <v/>
      </c>
      <c r="E2146" s="29"/>
      <c r="F2146" s="22"/>
      <c r="G2146" s="22"/>
      <c r="H2146" s="22"/>
      <c r="I2146" s="24"/>
      <c r="J2146" s="24"/>
      <c r="K2146" s="24"/>
      <c r="L2146" s="24"/>
      <c r="M2146" s="27" t="str">
        <f t="shared" si="135"/>
        <v/>
      </c>
      <c r="N2146" s="25"/>
      <c r="O2146" s="22"/>
      <c r="P2146" s="24"/>
      <c r="Q2146" s="26"/>
    </row>
    <row r="2147" spans="1:17" ht="15" x14ac:dyDescent="0.15">
      <c r="A2147" s="22"/>
      <c r="B2147" s="26" t="str">
        <f t="shared" si="132"/>
        <v/>
      </c>
      <c r="C2147" s="26" t="str">
        <f t="shared" si="133"/>
        <v/>
      </c>
      <c r="D2147" s="26" t="str">
        <f t="shared" si="134"/>
        <v/>
      </c>
      <c r="E2147" s="29"/>
      <c r="F2147" s="22"/>
      <c r="G2147" s="22"/>
      <c r="H2147" s="22"/>
      <c r="I2147" s="24"/>
      <c r="J2147" s="24"/>
      <c r="K2147" s="24"/>
      <c r="L2147" s="24"/>
      <c r="M2147" s="27" t="str">
        <f t="shared" si="135"/>
        <v/>
      </c>
      <c r="N2147" s="25"/>
      <c r="O2147" s="22"/>
      <c r="P2147" s="24"/>
      <c r="Q2147" s="26"/>
    </row>
    <row r="2148" spans="1:17" ht="15" x14ac:dyDescent="0.15">
      <c r="A2148" s="22"/>
      <c r="B2148" s="26" t="str">
        <f t="shared" si="132"/>
        <v/>
      </c>
      <c r="C2148" s="26" t="str">
        <f t="shared" si="133"/>
        <v/>
      </c>
      <c r="D2148" s="26" t="str">
        <f t="shared" si="134"/>
        <v/>
      </c>
      <c r="E2148" s="29"/>
      <c r="F2148" s="22"/>
      <c r="G2148" s="22"/>
      <c r="H2148" s="22"/>
      <c r="I2148" s="24"/>
      <c r="J2148" s="24"/>
      <c r="K2148" s="24"/>
      <c r="L2148" s="24"/>
      <c r="M2148" s="27" t="str">
        <f t="shared" si="135"/>
        <v/>
      </c>
      <c r="N2148" s="25"/>
      <c r="O2148" s="22"/>
      <c r="P2148" s="24"/>
      <c r="Q2148" s="26"/>
    </row>
    <row r="2149" spans="1:17" ht="15" x14ac:dyDescent="0.15">
      <c r="A2149" s="22"/>
      <c r="B2149" s="26" t="str">
        <f t="shared" si="132"/>
        <v/>
      </c>
      <c r="C2149" s="26" t="str">
        <f t="shared" si="133"/>
        <v/>
      </c>
      <c r="D2149" s="26" t="str">
        <f t="shared" si="134"/>
        <v/>
      </c>
      <c r="E2149" s="29"/>
      <c r="F2149" s="22"/>
      <c r="G2149" s="22"/>
      <c r="H2149" s="22"/>
      <c r="I2149" s="24"/>
      <c r="J2149" s="24"/>
      <c r="K2149" s="24"/>
      <c r="L2149" s="24"/>
      <c r="M2149" s="27" t="str">
        <f t="shared" si="135"/>
        <v/>
      </c>
      <c r="N2149" s="25"/>
      <c r="O2149" s="22"/>
      <c r="P2149" s="24"/>
      <c r="Q2149" s="26"/>
    </row>
    <row r="2150" spans="1:17" ht="15" x14ac:dyDescent="0.15">
      <c r="A2150" s="22"/>
      <c r="B2150" s="26" t="str">
        <f t="shared" si="132"/>
        <v/>
      </c>
      <c r="C2150" s="26" t="str">
        <f t="shared" si="133"/>
        <v/>
      </c>
      <c r="D2150" s="26" t="str">
        <f t="shared" si="134"/>
        <v/>
      </c>
      <c r="E2150" s="29"/>
      <c r="F2150" s="22"/>
      <c r="G2150" s="22"/>
      <c r="H2150" s="22"/>
      <c r="I2150" s="24"/>
      <c r="J2150" s="24"/>
      <c r="K2150" s="24"/>
      <c r="L2150" s="24"/>
      <c r="M2150" s="27" t="str">
        <f t="shared" si="135"/>
        <v/>
      </c>
      <c r="N2150" s="25"/>
      <c r="O2150" s="22"/>
      <c r="P2150" s="24"/>
      <c r="Q2150" s="26"/>
    </row>
    <row r="2151" spans="1:17" ht="15" x14ac:dyDescent="0.15">
      <c r="A2151" s="22"/>
      <c r="B2151" s="26" t="str">
        <f t="shared" si="132"/>
        <v/>
      </c>
      <c r="C2151" s="26" t="str">
        <f t="shared" si="133"/>
        <v/>
      </c>
      <c r="D2151" s="26" t="str">
        <f t="shared" si="134"/>
        <v/>
      </c>
      <c r="E2151" s="29"/>
      <c r="F2151" s="22"/>
      <c r="G2151" s="22"/>
      <c r="H2151" s="22"/>
      <c r="I2151" s="24"/>
      <c r="J2151" s="24"/>
      <c r="K2151" s="24"/>
      <c r="L2151" s="24"/>
      <c r="M2151" s="27" t="str">
        <f t="shared" si="135"/>
        <v/>
      </c>
      <c r="N2151" s="25"/>
      <c r="O2151" s="22"/>
      <c r="P2151" s="24"/>
      <c r="Q2151" s="26"/>
    </row>
    <row r="2152" spans="1:17" ht="15" x14ac:dyDescent="0.15">
      <c r="A2152" s="22"/>
      <c r="B2152" s="26" t="str">
        <f t="shared" si="132"/>
        <v/>
      </c>
      <c r="C2152" s="26" t="str">
        <f t="shared" si="133"/>
        <v/>
      </c>
      <c r="D2152" s="26" t="str">
        <f t="shared" si="134"/>
        <v/>
      </c>
      <c r="E2152" s="29"/>
      <c r="F2152" s="22"/>
      <c r="G2152" s="22"/>
      <c r="H2152" s="22"/>
      <c r="I2152" s="24"/>
      <c r="J2152" s="24"/>
      <c r="K2152" s="24"/>
      <c r="L2152" s="24"/>
      <c r="M2152" s="27" t="str">
        <f t="shared" si="135"/>
        <v/>
      </c>
      <c r="N2152" s="25"/>
      <c r="O2152" s="22"/>
      <c r="P2152" s="24"/>
      <c r="Q2152" s="26"/>
    </row>
    <row r="2153" spans="1:17" ht="15" x14ac:dyDescent="0.15">
      <c r="A2153" s="22"/>
      <c r="B2153" s="26" t="str">
        <f t="shared" si="132"/>
        <v/>
      </c>
      <c r="C2153" s="26" t="str">
        <f t="shared" si="133"/>
        <v/>
      </c>
      <c r="D2153" s="26" t="str">
        <f t="shared" si="134"/>
        <v/>
      </c>
      <c r="E2153" s="29"/>
      <c r="F2153" s="22"/>
      <c r="G2153" s="22"/>
      <c r="H2153" s="22"/>
      <c r="I2153" s="24"/>
      <c r="J2153" s="24"/>
      <c r="K2153" s="24"/>
      <c r="L2153" s="24"/>
      <c r="M2153" s="27" t="str">
        <f t="shared" si="135"/>
        <v/>
      </c>
      <c r="N2153" s="25"/>
      <c r="O2153" s="22"/>
      <c r="P2153" s="24"/>
      <c r="Q2153" s="26"/>
    </row>
    <row r="2154" spans="1:17" ht="15" x14ac:dyDescent="0.15">
      <c r="A2154" s="22"/>
      <c r="B2154" s="26" t="str">
        <f t="shared" si="132"/>
        <v/>
      </c>
      <c r="C2154" s="26" t="str">
        <f t="shared" si="133"/>
        <v/>
      </c>
      <c r="D2154" s="26" t="str">
        <f t="shared" si="134"/>
        <v/>
      </c>
      <c r="E2154" s="29"/>
      <c r="F2154" s="22"/>
      <c r="G2154" s="22"/>
      <c r="H2154" s="22"/>
      <c r="I2154" s="24"/>
      <c r="J2154" s="24"/>
      <c r="K2154" s="24"/>
      <c r="L2154" s="24"/>
      <c r="M2154" s="27" t="str">
        <f t="shared" si="135"/>
        <v/>
      </c>
      <c r="N2154" s="25"/>
      <c r="O2154" s="22"/>
      <c r="P2154" s="24"/>
      <c r="Q2154" s="26"/>
    </row>
    <row r="2155" spans="1:17" ht="15" x14ac:dyDescent="0.15">
      <c r="A2155" s="22"/>
      <c r="B2155" s="26" t="str">
        <f t="shared" si="132"/>
        <v/>
      </c>
      <c r="C2155" s="26" t="str">
        <f t="shared" si="133"/>
        <v/>
      </c>
      <c r="D2155" s="26" t="str">
        <f t="shared" si="134"/>
        <v/>
      </c>
      <c r="E2155" s="29"/>
      <c r="F2155" s="22"/>
      <c r="G2155" s="22"/>
      <c r="H2155" s="22"/>
      <c r="I2155" s="24"/>
      <c r="J2155" s="24"/>
      <c r="K2155" s="24"/>
      <c r="L2155" s="24"/>
      <c r="M2155" s="27" t="str">
        <f t="shared" si="135"/>
        <v/>
      </c>
      <c r="N2155" s="25"/>
      <c r="O2155" s="22"/>
      <c r="P2155" s="24"/>
      <c r="Q2155" s="26"/>
    </row>
    <row r="2156" spans="1:17" ht="15" x14ac:dyDescent="0.15">
      <c r="A2156" s="22"/>
      <c r="B2156" s="26" t="str">
        <f t="shared" si="132"/>
        <v/>
      </c>
      <c r="C2156" s="26" t="str">
        <f t="shared" si="133"/>
        <v/>
      </c>
      <c r="D2156" s="26" t="str">
        <f t="shared" si="134"/>
        <v/>
      </c>
      <c r="E2156" s="29"/>
      <c r="F2156" s="22"/>
      <c r="G2156" s="22"/>
      <c r="H2156" s="22"/>
      <c r="I2156" s="24"/>
      <c r="J2156" s="24"/>
      <c r="K2156" s="24"/>
      <c r="L2156" s="24"/>
      <c r="M2156" s="27" t="str">
        <f t="shared" si="135"/>
        <v/>
      </c>
      <c r="N2156" s="25"/>
      <c r="O2156" s="22"/>
      <c r="P2156" s="24"/>
      <c r="Q2156" s="26"/>
    </row>
    <row r="2157" spans="1:17" ht="15" x14ac:dyDescent="0.15">
      <c r="A2157" s="22"/>
      <c r="B2157" s="26" t="str">
        <f t="shared" si="132"/>
        <v/>
      </c>
      <c r="C2157" s="26" t="str">
        <f t="shared" si="133"/>
        <v/>
      </c>
      <c r="D2157" s="26" t="str">
        <f t="shared" si="134"/>
        <v/>
      </c>
      <c r="E2157" s="29"/>
      <c r="F2157" s="22"/>
      <c r="G2157" s="22"/>
      <c r="H2157" s="22"/>
      <c r="I2157" s="24"/>
      <c r="J2157" s="24"/>
      <c r="K2157" s="24"/>
      <c r="L2157" s="24"/>
      <c r="M2157" s="27" t="str">
        <f t="shared" si="135"/>
        <v/>
      </c>
      <c r="N2157" s="25"/>
      <c r="O2157" s="22"/>
      <c r="P2157" s="24"/>
      <c r="Q2157" s="26"/>
    </row>
    <row r="2158" spans="1:17" ht="15" x14ac:dyDescent="0.15">
      <c r="A2158" s="22"/>
      <c r="B2158" s="26" t="str">
        <f t="shared" si="132"/>
        <v/>
      </c>
      <c r="C2158" s="26" t="str">
        <f t="shared" si="133"/>
        <v/>
      </c>
      <c r="D2158" s="26" t="str">
        <f t="shared" si="134"/>
        <v/>
      </c>
      <c r="E2158" s="29"/>
      <c r="F2158" s="22"/>
      <c r="G2158" s="22"/>
      <c r="H2158" s="22"/>
      <c r="I2158" s="24"/>
      <c r="J2158" s="24"/>
      <c r="K2158" s="24"/>
      <c r="L2158" s="24"/>
      <c r="M2158" s="27" t="str">
        <f t="shared" si="135"/>
        <v/>
      </c>
      <c r="N2158" s="25"/>
      <c r="O2158" s="22"/>
      <c r="P2158" s="24"/>
      <c r="Q2158" s="26"/>
    </row>
    <row r="2159" spans="1:17" ht="15" x14ac:dyDescent="0.15">
      <c r="A2159" s="22"/>
      <c r="B2159" s="26" t="str">
        <f t="shared" si="132"/>
        <v/>
      </c>
      <c r="C2159" s="26" t="str">
        <f t="shared" si="133"/>
        <v/>
      </c>
      <c r="D2159" s="26" t="str">
        <f t="shared" si="134"/>
        <v/>
      </c>
      <c r="E2159" s="29"/>
      <c r="F2159" s="22"/>
      <c r="G2159" s="22"/>
      <c r="H2159" s="22"/>
      <c r="I2159" s="24"/>
      <c r="J2159" s="24"/>
      <c r="K2159" s="24"/>
      <c r="L2159" s="24"/>
      <c r="M2159" s="27" t="str">
        <f t="shared" si="135"/>
        <v/>
      </c>
      <c r="N2159" s="25"/>
      <c r="O2159" s="22"/>
      <c r="P2159" s="24"/>
      <c r="Q2159" s="26"/>
    </row>
    <row r="2160" spans="1:17" ht="15" x14ac:dyDescent="0.15">
      <c r="A2160" s="22"/>
      <c r="B2160" s="26" t="str">
        <f t="shared" si="132"/>
        <v/>
      </c>
      <c r="C2160" s="26" t="str">
        <f t="shared" si="133"/>
        <v/>
      </c>
      <c r="D2160" s="26" t="str">
        <f t="shared" si="134"/>
        <v/>
      </c>
      <c r="E2160" s="29"/>
      <c r="F2160" s="22"/>
      <c r="G2160" s="22"/>
      <c r="H2160" s="22"/>
      <c r="I2160" s="24"/>
      <c r="J2160" s="24"/>
      <c r="K2160" s="24"/>
      <c r="L2160" s="24"/>
      <c r="M2160" s="27" t="str">
        <f t="shared" si="135"/>
        <v/>
      </c>
      <c r="N2160" s="25"/>
      <c r="O2160" s="22"/>
      <c r="P2160" s="24"/>
      <c r="Q2160" s="26"/>
    </row>
    <row r="2161" spans="1:17" ht="15" x14ac:dyDescent="0.15">
      <c r="A2161" s="22"/>
      <c r="B2161" s="26" t="str">
        <f t="shared" si="132"/>
        <v/>
      </c>
      <c r="C2161" s="26" t="str">
        <f t="shared" si="133"/>
        <v/>
      </c>
      <c r="D2161" s="26" t="str">
        <f t="shared" si="134"/>
        <v/>
      </c>
      <c r="E2161" s="29"/>
      <c r="F2161" s="22"/>
      <c r="G2161" s="22"/>
      <c r="H2161" s="22"/>
      <c r="I2161" s="24"/>
      <c r="J2161" s="24"/>
      <c r="K2161" s="24"/>
      <c r="L2161" s="24"/>
      <c r="M2161" s="27" t="str">
        <f t="shared" si="135"/>
        <v/>
      </c>
      <c r="N2161" s="25"/>
      <c r="O2161" s="22"/>
      <c r="P2161" s="24"/>
      <c r="Q2161" s="26"/>
    </row>
    <row r="2162" spans="1:17" ht="15" x14ac:dyDescent="0.15">
      <c r="A2162" s="22"/>
      <c r="B2162" s="26" t="str">
        <f t="shared" si="132"/>
        <v/>
      </c>
      <c r="C2162" s="26" t="str">
        <f t="shared" si="133"/>
        <v/>
      </c>
      <c r="D2162" s="26" t="str">
        <f t="shared" si="134"/>
        <v/>
      </c>
      <c r="E2162" s="29"/>
      <c r="F2162" s="22"/>
      <c r="G2162" s="22"/>
      <c r="H2162" s="22"/>
      <c r="I2162" s="24"/>
      <c r="J2162" s="24"/>
      <c r="K2162" s="24"/>
      <c r="L2162" s="24"/>
      <c r="M2162" s="27" t="str">
        <f t="shared" si="135"/>
        <v/>
      </c>
      <c r="N2162" s="25"/>
      <c r="O2162" s="22"/>
      <c r="P2162" s="24"/>
      <c r="Q2162" s="26"/>
    </row>
    <row r="2163" spans="1:17" ht="15" x14ac:dyDescent="0.15">
      <c r="A2163" s="22"/>
      <c r="B2163" s="26" t="str">
        <f t="shared" si="132"/>
        <v/>
      </c>
      <c r="C2163" s="26" t="str">
        <f t="shared" si="133"/>
        <v/>
      </c>
      <c r="D2163" s="26" t="str">
        <f t="shared" si="134"/>
        <v/>
      </c>
      <c r="E2163" s="29"/>
      <c r="F2163" s="22"/>
      <c r="G2163" s="22"/>
      <c r="H2163" s="22"/>
      <c r="I2163" s="24"/>
      <c r="J2163" s="24"/>
      <c r="K2163" s="24"/>
      <c r="L2163" s="24"/>
      <c r="M2163" s="27" t="str">
        <f t="shared" si="135"/>
        <v/>
      </c>
      <c r="N2163" s="25"/>
      <c r="O2163" s="22"/>
      <c r="P2163" s="24"/>
      <c r="Q2163" s="26"/>
    </row>
    <row r="2164" spans="1:17" ht="15" x14ac:dyDescent="0.15">
      <c r="A2164" s="22"/>
      <c r="B2164" s="26" t="str">
        <f t="shared" si="132"/>
        <v/>
      </c>
      <c r="C2164" s="26" t="str">
        <f t="shared" si="133"/>
        <v/>
      </c>
      <c r="D2164" s="26" t="str">
        <f t="shared" si="134"/>
        <v/>
      </c>
      <c r="E2164" s="29"/>
      <c r="F2164" s="22"/>
      <c r="G2164" s="22"/>
      <c r="H2164" s="22"/>
      <c r="I2164" s="24"/>
      <c r="J2164" s="24"/>
      <c r="K2164" s="24"/>
      <c r="L2164" s="24"/>
      <c r="M2164" s="27" t="str">
        <f t="shared" si="135"/>
        <v/>
      </c>
      <c r="N2164" s="25"/>
      <c r="O2164" s="22"/>
      <c r="P2164" s="24"/>
      <c r="Q2164" s="26"/>
    </row>
    <row r="2165" spans="1:17" ht="15" x14ac:dyDescent="0.15">
      <c r="A2165" s="22"/>
      <c r="B2165" s="26" t="str">
        <f t="shared" si="132"/>
        <v/>
      </c>
      <c r="C2165" s="26" t="str">
        <f t="shared" si="133"/>
        <v/>
      </c>
      <c r="D2165" s="26" t="str">
        <f t="shared" si="134"/>
        <v/>
      </c>
      <c r="E2165" s="29"/>
      <c r="F2165" s="22"/>
      <c r="G2165" s="22"/>
      <c r="H2165" s="22"/>
      <c r="I2165" s="24"/>
      <c r="J2165" s="24"/>
      <c r="K2165" s="24"/>
      <c r="L2165" s="24"/>
      <c r="M2165" s="27" t="str">
        <f t="shared" si="135"/>
        <v/>
      </c>
      <c r="N2165" s="25"/>
      <c r="O2165" s="22"/>
      <c r="P2165" s="24"/>
      <c r="Q2165" s="26"/>
    </row>
    <row r="2166" spans="1:17" ht="15" x14ac:dyDescent="0.15">
      <c r="A2166" s="22"/>
      <c r="B2166" s="26" t="str">
        <f t="shared" si="132"/>
        <v/>
      </c>
      <c r="C2166" s="26" t="str">
        <f t="shared" si="133"/>
        <v/>
      </c>
      <c r="D2166" s="26" t="str">
        <f t="shared" si="134"/>
        <v/>
      </c>
      <c r="E2166" s="29"/>
      <c r="F2166" s="22"/>
      <c r="G2166" s="22"/>
      <c r="H2166" s="22"/>
      <c r="I2166" s="24"/>
      <c r="J2166" s="24"/>
      <c r="K2166" s="24"/>
      <c r="L2166" s="24"/>
      <c r="M2166" s="27" t="str">
        <f t="shared" si="135"/>
        <v/>
      </c>
      <c r="N2166" s="25"/>
      <c r="O2166" s="22"/>
      <c r="P2166" s="24"/>
      <c r="Q2166" s="26"/>
    </row>
    <row r="2167" spans="1:17" ht="15" x14ac:dyDescent="0.15">
      <c r="A2167" s="22"/>
      <c r="B2167" s="26" t="str">
        <f t="shared" si="132"/>
        <v/>
      </c>
      <c r="C2167" s="26" t="str">
        <f t="shared" si="133"/>
        <v/>
      </c>
      <c r="D2167" s="26" t="str">
        <f t="shared" si="134"/>
        <v/>
      </c>
      <c r="E2167" s="29"/>
      <c r="F2167" s="22"/>
      <c r="G2167" s="22"/>
      <c r="H2167" s="22"/>
      <c r="I2167" s="24"/>
      <c r="J2167" s="24"/>
      <c r="K2167" s="24"/>
      <c r="L2167" s="24"/>
      <c r="M2167" s="27" t="str">
        <f t="shared" si="135"/>
        <v/>
      </c>
      <c r="N2167" s="25"/>
      <c r="O2167" s="22"/>
      <c r="P2167" s="24"/>
      <c r="Q2167" s="26"/>
    </row>
    <row r="2168" spans="1:17" ht="15" x14ac:dyDescent="0.15">
      <c r="A2168" s="22"/>
      <c r="B2168" s="26" t="str">
        <f t="shared" si="132"/>
        <v/>
      </c>
      <c r="C2168" s="26" t="str">
        <f t="shared" si="133"/>
        <v/>
      </c>
      <c r="D2168" s="26" t="str">
        <f t="shared" si="134"/>
        <v/>
      </c>
      <c r="E2168" s="29"/>
      <c r="F2168" s="22"/>
      <c r="G2168" s="22"/>
      <c r="H2168" s="22"/>
      <c r="I2168" s="24"/>
      <c r="J2168" s="24"/>
      <c r="K2168" s="24"/>
      <c r="L2168" s="24"/>
      <c r="M2168" s="27" t="str">
        <f t="shared" si="135"/>
        <v/>
      </c>
      <c r="N2168" s="25"/>
      <c r="O2168" s="22"/>
      <c r="P2168" s="24"/>
      <c r="Q2168" s="26"/>
    </row>
    <row r="2169" spans="1:17" ht="15" x14ac:dyDescent="0.15">
      <c r="A2169" s="22"/>
      <c r="B2169" s="26" t="str">
        <f t="shared" si="132"/>
        <v/>
      </c>
      <c r="C2169" s="26" t="str">
        <f t="shared" si="133"/>
        <v/>
      </c>
      <c r="D2169" s="26" t="str">
        <f t="shared" si="134"/>
        <v/>
      </c>
      <c r="E2169" s="29"/>
      <c r="F2169" s="22"/>
      <c r="G2169" s="22"/>
      <c r="H2169" s="22"/>
      <c r="I2169" s="24"/>
      <c r="J2169" s="24"/>
      <c r="K2169" s="24"/>
      <c r="L2169" s="24"/>
      <c r="M2169" s="27" t="str">
        <f t="shared" si="135"/>
        <v/>
      </c>
      <c r="N2169" s="25"/>
      <c r="O2169" s="22"/>
      <c r="P2169" s="24"/>
      <c r="Q2169" s="26"/>
    </row>
    <row r="2170" spans="1:17" ht="15" x14ac:dyDescent="0.15">
      <c r="A2170" s="22"/>
      <c r="B2170" s="26" t="str">
        <f t="shared" si="132"/>
        <v/>
      </c>
      <c r="C2170" s="26" t="str">
        <f t="shared" si="133"/>
        <v/>
      </c>
      <c r="D2170" s="26" t="str">
        <f t="shared" si="134"/>
        <v/>
      </c>
      <c r="E2170" s="29"/>
      <c r="F2170" s="22"/>
      <c r="G2170" s="22"/>
      <c r="H2170" s="22"/>
      <c r="I2170" s="24"/>
      <c r="J2170" s="24"/>
      <c r="K2170" s="24"/>
      <c r="L2170" s="24"/>
      <c r="M2170" s="27" t="str">
        <f t="shared" si="135"/>
        <v/>
      </c>
      <c r="N2170" s="25"/>
      <c r="O2170" s="22"/>
      <c r="P2170" s="24"/>
      <c r="Q2170" s="26"/>
    </row>
    <row r="2171" spans="1:17" ht="15" x14ac:dyDescent="0.15">
      <c r="A2171" s="22"/>
      <c r="B2171" s="26" t="str">
        <f t="shared" si="132"/>
        <v/>
      </c>
      <c r="C2171" s="26" t="str">
        <f t="shared" si="133"/>
        <v/>
      </c>
      <c r="D2171" s="26" t="str">
        <f t="shared" si="134"/>
        <v/>
      </c>
      <c r="E2171" s="29"/>
      <c r="F2171" s="22"/>
      <c r="G2171" s="22"/>
      <c r="H2171" s="22"/>
      <c r="I2171" s="24"/>
      <c r="J2171" s="24"/>
      <c r="K2171" s="24"/>
      <c r="L2171" s="24"/>
      <c r="M2171" s="27" t="str">
        <f t="shared" si="135"/>
        <v/>
      </c>
      <c r="N2171" s="25"/>
      <c r="O2171" s="22"/>
      <c r="P2171" s="24"/>
      <c r="Q2171" s="26"/>
    </row>
    <row r="2172" spans="1:17" ht="15" x14ac:dyDescent="0.15">
      <c r="A2172" s="22"/>
      <c r="B2172" s="26" t="str">
        <f t="shared" si="132"/>
        <v/>
      </c>
      <c r="C2172" s="26" t="str">
        <f t="shared" si="133"/>
        <v/>
      </c>
      <c r="D2172" s="26" t="str">
        <f t="shared" si="134"/>
        <v/>
      </c>
      <c r="E2172" s="29"/>
      <c r="F2172" s="22"/>
      <c r="G2172" s="22"/>
      <c r="H2172" s="22"/>
      <c r="I2172" s="24"/>
      <c r="J2172" s="24"/>
      <c r="K2172" s="24"/>
      <c r="L2172" s="24"/>
      <c r="M2172" s="27" t="str">
        <f t="shared" si="135"/>
        <v/>
      </c>
      <c r="N2172" s="25"/>
      <c r="O2172" s="22"/>
      <c r="P2172" s="24"/>
      <c r="Q2172" s="26"/>
    </row>
    <row r="2173" spans="1:17" ht="15" x14ac:dyDescent="0.15">
      <c r="A2173" s="22"/>
      <c r="B2173" s="26" t="str">
        <f t="shared" si="132"/>
        <v/>
      </c>
      <c r="C2173" s="26" t="str">
        <f t="shared" si="133"/>
        <v/>
      </c>
      <c r="D2173" s="26" t="str">
        <f t="shared" si="134"/>
        <v/>
      </c>
      <c r="E2173" s="29"/>
      <c r="F2173" s="22"/>
      <c r="G2173" s="22"/>
      <c r="H2173" s="22"/>
      <c r="I2173" s="24"/>
      <c r="J2173" s="24"/>
      <c r="K2173" s="24"/>
      <c r="L2173" s="24"/>
      <c r="M2173" s="27" t="str">
        <f t="shared" si="135"/>
        <v/>
      </c>
      <c r="N2173" s="25"/>
      <c r="O2173" s="22"/>
      <c r="P2173" s="24"/>
      <c r="Q2173" s="26"/>
    </row>
    <row r="2174" spans="1:17" ht="15" x14ac:dyDescent="0.15">
      <c r="A2174" s="22"/>
      <c r="B2174" s="26" t="str">
        <f t="shared" si="132"/>
        <v/>
      </c>
      <c r="C2174" s="26" t="str">
        <f t="shared" si="133"/>
        <v/>
      </c>
      <c r="D2174" s="26" t="str">
        <f t="shared" si="134"/>
        <v/>
      </c>
      <c r="E2174" s="29"/>
      <c r="F2174" s="22"/>
      <c r="G2174" s="22"/>
      <c r="H2174" s="22"/>
      <c r="I2174" s="24"/>
      <c r="J2174" s="24"/>
      <c r="K2174" s="24"/>
      <c r="L2174" s="24"/>
      <c r="M2174" s="27" t="str">
        <f t="shared" si="135"/>
        <v/>
      </c>
      <c r="N2174" s="25"/>
      <c r="O2174" s="22"/>
      <c r="P2174" s="24"/>
      <c r="Q2174" s="26"/>
    </row>
    <row r="2175" spans="1:17" ht="15" x14ac:dyDescent="0.15">
      <c r="A2175" s="22"/>
      <c r="B2175" s="26" t="str">
        <f t="shared" si="132"/>
        <v/>
      </c>
      <c r="C2175" s="26" t="str">
        <f t="shared" si="133"/>
        <v/>
      </c>
      <c r="D2175" s="26" t="str">
        <f t="shared" si="134"/>
        <v/>
      </c>
      <c r="E2175" s="29"/>
      <c r="F2175" s="22"/>
      <c r="G2175" s="22"/>
      <c r="H2175" s="22"/>
      <c r="I2175" s="24"/>
      <c r="J2175" s="24"/>
      <c r="K2175" s="24"/>
      <c r="L2175" s="24"/>
      <c r="M2175" s="27" t="str">
        <f t="shared" si="135"/>
        <v/>
      </c>
      <c r="N2175" s="25"/>
      <c r="O2175" s="22"/>
      <c r="P2175" s="24"/>
      <c r="Q2175" s="26"/>
    </row>
    <row r="2176" spans="1:17" ht="15" x14ac:dyDescent="0.15">
      <c r="A2176" s="22"/>
      <c r="B2176" s="26" t="str">
        <f t="shared" si="132"/>
        <v/>
      </c>
      <c r="C2176" s="26" t="str">
        <f t="shared" si="133"/>
        <v/>
      </c>
      <c r="D2176" s="26" t="str">
        <f t="shared" si="134"/>
        <v/>
      </c>
      <c r="E2176" s="29"/>
      <c r="F2176" s="22"/>
      <c r="G2176" s="22"/>
      <c r="H2176" s="22"/>
      <c r="I2176" s="24"/>
      <c r="J2176" s="24"/>
      <c r="K2176" s="24"/>
      <c r="L2176" s="24"/>
      <c r="M2176" s="27" t="str">
        <f t="shared" si="135"/>
        <v/>
      </c>
      <c r="N2176" s="25"/>
      <c r="O2176" s="22"/>
      <c r="P2176" s="24"/>
      <c r="Q2176" s="26"/>
    </row>
    <row r="2177" spans="1:17" ht="15" x14ac:dyDescent="0.15">
      <c r="A2177" s="22"/>
      <c r="B2177" s="26" t="str">
        <f t="shared" si="132"/>
        <v/>
      </c>
      <c r="C2177" s="26" t="str">
        <f t="shared" si="133"/>
        <v/>
      </c>
      <c r="D2177" s="26" t="str">
        <f t="shared" si="134"/>
        <v/>
      </c>
      <c r="E2177" s="29"/>
      <c r="F2177" s="22"/>
      <c r="G2177" s="22"/>
      <c r="H2177" s="22"/>
      <c r="I2177" s="24"/>
      <c r="J2177" s="24"/>
      <c r="K2177" s="24"/>
      <c r="L2177" s="24"/>
      <c r="M2177" s="27" t="str">
        <f t="shared" si="135"/>
        <v/>
      </c>
      <c r="N2177" s="25"/>
      <c r="O2177" s="22"/>
      <c r="P2177" s="24"/>
      <c r="Q2177" s="26"/>
    </row>
    <row r="2178" spans="1:17" ht="15" x14ac:dyDescent="0.15">
      <c r="A2178" s="22"/>
      <c r="B2178" s="26" t="str">
        <f t="shared" si="132"/>
        <v/>
      </c>
      <c r="C2178" s="26" t="str">
        <f t="shared" si="133"/>
        <v/>
      </c>
      <c r="D2178" s="26" t="str">
        <f t="shared" si="134"/>
        <v/>
      </c>
      <c r="E2178" s="29"/>
      <c r="F2178" s="22"/>
      <c r="G2178" s="22"/>
      <c r="H2178" s="22"/>
      <c r="I2178" s="24"/>
      <c r="J2178" s="24"/>
      <c r="K2178" s="24"/>
      <c r="L2178" s="24"/>
      <c r="M2178" s="27" t="str">
        <f t="shared" si="135"/>
        <v/>
      </c>
      <c r="N2178" s="25"/>
      <c r="O2178" s="22"/>
      <c r="P2178" s="24"/>
      <c r="Q2178" s="26"/>
    </row>
    <row r="2179" spans="1:17" ht="15" x14ac:dyDescent="0.15">
      <c r="A2179" s="22"/>
      <c r="B2179" s="26" t="str">
        <f t="shared" si="132"/>
        <v/>
      </c>
      <c r="C2179" s="26" t="str">
        <f t="shared" si="133"/>
        <v/>
      </c>
      <c r="D2179" s="26" t="str">
        <f t="shared" si="134"/>
        <v/>
      </c>
      <c r="E2179" s="29"/>
      <c r="F2179" s="22"/>
      <c r="G2179" s="22"/>
      <c r="H2179" s="22"/>
      <c r="I2179" s="24"/>
      <c r="J2179" s="24"/>
      <c r="K2179" s="24"/>
      <c r="L2179" s="24"/>
      <c r="M2179" s="27" t="str">
        <f t="shared" si="135"/>
        <v/>
      </c>
      <c r="N2179" s="25"/>
      <c r="O2179" s="22"/>
      <c r="P2179" s="24"/>
      <c r="Q2179" s="26"/>
    </row>
    <row r="2180" spans="1:17" ht="15" x14ac:dyDescent="0.15">
      <c r="A2180" s="22"/>
      <c r="B2180" s="26" t="str">
        <f t="shared" si="132"/>
        <v/>
      </c>
      <c r="C2180" s="26" t="str">
        <f t="shared" si="133"/>
        <v/>
      </c>
      <c r="D2180" s="26" t="str">
        <f t="shared" si="134"/>
        <v/>
      </c>
      <c r="E2180" s="29"/>
      <c r="F2180" s="22"/>
      <c r="G2180" s="22"/>
      <c r="H2180" s="22"/>
      <c r="I2180" s="24"/>
      <c r="J2180" s="24"/>
      <c r="K2180" s="24"/>
      <c r="L2180" s="24"/>
      <c r="M2180" s="27" t="str">
        <f t="shared" si="135"/>
        <v/>
      </c>
      <c r="N2180" s="25"/>
      <c r="O2180" s="22"/>
      <c r="P2180" s="24"/>
      <c r="Q2180" s="26"/>
    </row>
    <row r="2181" spans="1:17" ht="15" x14ac:dyDescent="0.15">
      <c r="A2181" s="22"/>
      <c r="B2181" s="26" t="str">
        <f t="shared" si="132"/>
        <v/>
      </c>
      <c r="C2181" s="26" t="str">
        <f t="shared" si="133"/>
        <v/>
      </c>
      <c r="D2181" s="26" t="str">
        <f t="shared" si="134"/>
        <v/>
      </c>
      <c r="E2181" s="29"/>
      <c r="F2181" s="22"/>
      <c r="G2181" s="22"/>
      <c r="H2181" s="22"/>
      <c r="I2181" s="24"/>
      <c r="J2181" s="24"/>
      <c r="K2181" s="24"/>
      <c r="L2181" s="24"/>
      <c r="M2181" s="27" t="str">
        <f t="shared" si="135"/>
        <v/>
      </c>
      <c r="N2181" s="25"/>
      <c r="O2181" s="22"/>
      <c r="P2181" s="24"/>
      <c r="Q2181" s="26"/>
    </row>
    <row r="2182" spans="1:17" ht="15" x14ac:dyDescent="0.15">
      <c r="A2182" s="22"/>
      <c r="B2182" s="26" t="str">
        <f t="shared" si="132"/>
        <v/>
      </c>
      <c r="C2182" s="26" t="str">
        <f t="shared" si="133"/>
        <v/>
      </c>
      <c r="D2182" s="26" t="str">
        <f t="shared" si="134"/>
        <v/>
      </c>
      <c r="E2182" s="29"/>
      <c r="F2182" s="22"/>
      <c r="G2182" s="22"/>
      <c r="H2182" s="22"/>
      <c r="I2182" s="24"/>
      <c r="J2182" s="24"/>
      <c r="K2182" s="24"/>
      <c r="L2182" s="24"/>
      <c r="M2182" s="27" t="str">
        <f t="shared" si="135"/>
        <v/>
      </c>
      <c r="N2182" s="25"/>
      <c r="O2182" s="22"/>
      <c r="P2182" s="24"/>
      <c r="Q2182" s="26"/>
    </row>
    <row r="2183" spans="1:17" ht="15" x14ac:dyDescent="0.15">
      <c r="A2183" s="22"/>
      <c r="B2183" s="26" t="str">
        <f t="shared" ref="B2183:B2246" si="136">IFERROR(IF($A2183="","",LEFT($A2183,FIND(" | ",$A2183)-1)),"")</f>
        <v/>
      </c>
      <c r="C2183" s="26" t="str">
        <f t="shared" ref="C2183:C2246" si="137">IFERROR(IF($A2183="","",MID($A2183,FIND(" | ",$A2183)+3,FIND(" | ",$A2183,FIND(" | ",$A2183)+3)-FIND(" | ",$A2183)-3)),"")</f>
        <v/>
      </c>
      <c r="D2183" s="26" t="str">
        <f t="shared" ref="D2183:D2246" si="138">IFERROR(IF($A2183="","",RIGHT($A2183,LEN($A2183)-FIND(" | ",$A2183,FIND(" | ",$A2183)+3)-2)),"")</f>
        <v/>
      </c>
      <c r="E2183" s="29"/>
      <c r="F2183" s="22"/>
      <c r="G2183" s="22"/>
      <c r="H2183" s="22"/>
      <c r="I2183" s="24"/>
      <c r="J2183" s="24"/>
      <c r="K2183" s="24"/>
      <c r="L2183" s="24"/>
      <c r="M2183" s="27" t="str">
        <f t="shared" ref="M2183:M2246" si="139">IF($B2183="","",SUM($J2183,-$K2183,$L2183))</f>
        <v/>
      </c>
      <c r="N2183" s="25"/>
      <c r="O2183" s="22"/>
      <c r="P2183" s="24"/>
      <c r="Q2183" s="26"/>
    </row>
    <row r="2184" spans="1:17" ht="15" x14ac:dyDescent="0.15">
      <c r="A2184" s="22"/>
      <c r="B2184" s="26" t="str">
        <f t="shared" si="136"/>
        <v/>
      </c>
      <c r="C2184" s="26" t="str">
        <f t="shared" si="137"/>
        <v/>
      </c>
      <c r="D2184" s="26" t="str">
        <f t="shared" si="138"/>
        <v/>
      </c>
      <c r="E2184" s="29"/>
      <c r="F2184" s="22"/>
      <c r="G2184" s="22"/>
      <c r="H2184" s="22"/>
      <c r="I2184" s="24"/>
      <c r="J2184" s="24"/>
      <c r="K2184" s="24"/>
      <c r="L2184" s="24"/>
      <c r="M2184" s="27" t="str">
        <f t="shared" si="139"/>
        <v/>
      </c>
      <c r="N2184" s="25"/>
      <c r="O2184" s="22"/>
      <c r="P2184" s="24"/>
      <c r="Q2184" s="26"/>
    </row>
    <row r="2185" spans="1:17" ht="15" x14ac:dyDescent="0.15">
      <c r="A2185" s="22"/>
      <c r="B2185" s="26" t="str">
        <f t="shared" si="136"/>
        <v/>
      </c>
      <c r="C2185" s="26" t="str">
        <f t="shared" si="137"/>
        <v/>
      </c>
      <c r="D2185" s="26" t="str">
        <f t="shared" si="138"/>
        <v/>
      </c>
      <c r="E2185" s="29"/>
      <c r="F2185" s="22"/>
      <c r="G2185" s="22"/>
      <c r="H2185" s="22"/>
      <c r="I2185" s="24"/>
      <c r="J2185" s="24"/>
      <c r="K2185" s="24"/>
      <c r="L2185" s="24"/>
      <c r="M2185" s="27" t="str">
        <f t="shared" si="139"/>
        <v/>
      </c>
      <c r="N2185" s="25"/>
      <c r="O2185" s="22"/>
      <c r="P2185" s="24"/>
      <c r="Q2185" s="26"/>
    </row>
    <row r="2186" spans="1:17" ht="15" x14ac:dyDescent="0.15">
      <c r="A2186" s="22"/>
      <c r="B2186" s="26" t="str">
        <f t="shared" si="136"/>
        <v/>
      </c>
      <c r="C2186" s="26" t="str">
        <f t="shared" si="137"/>
        <v/>
      </c>
      <c r="D2186" s="26" t="str">
        <f t="shared" si="138"/>
        <v/>
      </c>
      <c r="E2186" s="29"/>
      <c r="F2186" s="22"/>
      <c r="G2186" s="22"/>
      <c r="H2186" s="22"/>
      <c r="I2186" s="24"/>
      <c r="J2186" s="24"/>
      <c r="K2186" s="24"/>
      <c r="L2186" s="24"/>
      <c r="M2186" s="27" t="str">
        <f t="shared" si="139"/>
        <v/>
      </c>
      <c r="N2186" s="25"/>
      <c r="O2186" s="22"/>
      <c r="P2186" s="24"/>
      <c r="Q2186" s="26"/>
    </row>
    <row r="2187" spans="1:17" ht="15" x14ac:dyDescent="0.15">
      <c r="A2187" s="22"/>
      <c r="B2187" s="26" t="str">
        <f t="shared" si="136"/>
        <v/>
      </c>
      <c r="C2187" s="26" t="str">
        <f t="shared" si="137"/>
        <v/>
      </c>
      <c r="D2187" s="26" t="str">
        <f t="shared" si="138"/>
        <v/>
      </c>
      <c r="E2187" s="29"/>
      <c r="F2187" s="22"/>
      <c r="G2187" s="22"/>
      <c r="H2187" s="22"/>
      <c r="I2187" s="24"/>
      <c r="J2187" s="24"/>
      <c r="K2187" s="24"/>
      <c r="L2187" s="24"/>
      <c r="M2187" s="27" t="str">
        <f t="shared" si="139"/>
        <v/>
      </c>
      <c r="N2187" s="25"/>
      <c r="O2187" s="22"/>
      <c r="P2187" s="24"/>
      <c r="Q2187" s="26"/>
    </row>
    <row r="2188" spans="1:17" ht="15" x14ac:dyDescent="0.15">
      <c r="A2188" s="22"/>
      <c r="B2188" s="26" t="str">
        <f t="shared" si="136"/>
        <v/>
      </c>
      <c r="C2188" s="26" t="str">
        <f t="shared" si="137"/>
        <v/>
      </c>
      <c r="D2188" s="26" t="str">
        <f t="shared" si="138"/>
        <v/>
      </c>
      <c r="E2188" s="29"/>
      <c r="F2188" s="22"/>
      <c r="G2188" s="22"/>
      <c r="H2188" s="22"/>
      <c r="I2188" s="24"/>
      <c r="J2188" s="24"/>
      <c r="K2188" s="24"/>
      <c r="L2188" s="24"/>
      <c r="M2188" s="27" t="str">
        <f t="shared" si="139"/>
        <v/>
      </c>
      <c r="N2188" s="25"/>
      <c r="O2188" s="22"/>
      <c r="P2188" s="24"/>
      <c r="Q2188" s="26"/>
    </row>
    <row r="2189" spans="1:17" ht="15" x14ac:dyDescent="0.15">
      <c r="A2189" s="22"/>
      <c r="B2189" s="26" t="str">
        <f t="shared" si="136"/>
        <v/>
      </c>
      <c r="C2189" s="26" t="str">
        <f t="shared" si="137"/>
        <v/>
      </c>
      <c r="D2189" s="26" t="str">
        <f t="shared" si="138"/>
        <v/>
      </c>
      <c r="E2189" s="29"/>
      <c r="F2189" s="22"/>
      <c r="G2189" s="22"/>
      <c r="H2189" s="22"/>
      <c r="I2189" s="24"/>
      <c r="J2189" s="24"/>
      <c r="K2189" s="24"/>
      <c r="L2189" s="24"/>
      <c r="M2189" s="27" t="str">
        <f t="shared" si="139"/>
        <v/>
      </c>
      <c r="N2189" s="25"/>
      <c r="O2189" s="22"/>
      <c r="P2189" s="24"/>
      <c r="Q2189" s="26"/>
    </row>
    <row r="2190" spans="1:17" ht="15" x14ac:dyDescent="0.15">
      <c r="A2190" s="22"/>
      <c r="B2190" s="26" t="str">
        <f t="shared" si="136"/>
        <v/>
      </c>
      <c r="C2190" s="26" t="str">
        <f t="shared" si="137"/>
        <v/>
      </c>
      <c r="D2190" s="26" t="str">
        <f t="shared" si="138"/>
        <v/>
      </c>
      <c r="E2190" s="29"/>
      <c r="F2190" s="22"/>
      <c r="G2190" s="22"/>
      <c r="H2190" s="22"/>
      <c r="I2190" s="24"/>
      <c r="J2190" s="24"/>
      <c r="K2190" s="24"/>
      <c r="L2190" s="24"/>
      <c r="M2190" s="27" t="str">
        <f t="shared" si="139"/>
        <v/>
      </c>
      <c r="N2190" s="25"/>
      <c r="O2190" s="22"/>
      <c r="P2190" s="24"/>
      <c r="Q2190" s="26"/>
    </row>
    <row r="2191" spans="1:17" ht="15" x14ac:dyDescent="0.15">
      <c r="A2191" s="22"/>
      <c r="B2191" s="26" t="str">
        <f t="shared" si="136"/>
        <v/>
      </c>
      <c r="C2191" s="26" t="str">
        <f t="shared" si="137"/>
        <v/>
      </c>
      <c r="D2191" s="26" t="str">
        <f t="shared" si="138"/>
        <v/>
      </c>
      <c r="E2191" s="29"/>
      <c r="F2191" s="22"/>
      <c r="G2191" s="22"/>
      <c r="H2191" s="22"/>
      <c r="I2191" s="24"/>
      <c r="J2191" s="24"/>
      <c r="K2191" s="24"/>
      <c r="L2191" s="24"/>
      <c r="M2191" s="27" t="str">
        <f t="shared" si="139"/>
        <v/>
      </c>
      <c r="N2191" s="25"/>
      <c r="O2191" s="22"/>
      <c r="P2191" s="24"/>
      <c r="Q2191" s="26"/>
    </row>
    <row r="2192" spans="1:17" ht="15" x14ac:dyDescent="0.15">
      <c r="A2192" s="22"/>
      <c r="B2192" s="26" t="str">
        <f t="shared" si="136"/>
        <v/>
      </c>
      <c r="C2192" s="26" t="str">
        <f t="shared" si="137"/>
        <v/>
      </c>
      <c r="D2192" s="26" t="str">
        <f t="shared" si="138"/>
        <v/>
      </c>
      <c r="E2192" s="29"/>
      <c r="F2192" s="22"/>
      <c r="G2192" s="22"/>
      <c r="H2192" s="22"/>
      <c r="I2192" s="24"/>
      <c r="J2192" s="24"/>
      <c r="K2192" s="24"/>
      <c r="L2192" s="24"/>
      <c r="M2192" s="27" t="str">
        <f t="shared" si="139"/>
        <v/>
      </c>
      <c r="N2192" s="25"/>
      <c r="O2192" s="22"/>
      <c r="P2192" s="24"/>
      <c r="Q2192" s="26"/>
    </row>
    <row r="2193" spans="1:17" ht="15" x14ac:dyDescent="0.15">
      <c r="A2193" s="22"/>
      <c r="B2193" s="26" t="str">
        <f t="shared" si="136"/>
        <v/>
      </c>
      <c r="C2193" s="26" t="str">
        <f t="shared" si="137"/>
        <v/>
      </c>
      <c r="D2193" s="26" t="str">
        <f t="shared" si="138"/>
        <v/>
      </c>
      <c r="E2193" s="29"/>
      <c r="F2193" s="22"/>
      <c r="G2193" s="22"/>
      <c r="H2193" s="22"/>
      <c r="I2193" s="24"/>
      <c r="J2193" s="24"/>
      <c r="K2193" s="24"/>
      <c r="L2193" s="24"/>
      <c r="M2193" s="27" t="str">
        <f t="shared" si="139"/>
        <v/>
      </c>
      <c r="N2193" s="25"/>
      <c r="O2193" s="22"/>
      <c r="P2193" s="24"/>
      <c r="Q2193" s="26"/>
    </row>
    <row r="2194" spans="1:17" ht="15" x14ac:dyDescent="0.15">
      <c r="A2194" s="22"/>
      <c r="B2194" s="26" t="str">
        <f t="shared" si="136"/>
        <v/>
      </c>
      <c r="C2194" s="26" t="str">
        <f t="shared" si="137"/>
        <v/>
      </c>
      <c r="D2194" s="26" t="str">
        <f t="shared" si="138"/>
        <v/>
      </c>
      <c r="E2194" s="29"/>
      <c r="F2194" s="22"/>
      <c r="G2194" s="22"/>
      <c r="H2194" s="22"/>
      <c r="I2194" s="24"/>
      <c r="J2194" s="24"/>
      <c r="K2194" s="24"/>
      <c r="L2194" s="24"/>
      <c r="M2194" s="27" t="str">
        <f t="shared" si="139"/>
        <v/>
      </c>
      <c r="N2194" s="25"/>
      <c r="O2194" s="22"/>
      <c r="P2194" s="24"/>
      <c r="Q2194" s="26"/>
    </row>
    <row r="2195" spans="1:17" ht="15" x14ac:dyDescent="0.15">
      <c r="A2195" s="22"/>
      <c r="B2195" s="26" t="str">
        <f t="shared" si="136"/>
        <v/>
      </c>
      <c r="C2195" s="26" t="str">
        <f t="shared" si="137"/>
        <v/>
      </c>
      <c r="D2195" s="26" t="str">
        <f t="shared" si="138"/>
        <v/>
      </c>
      <c r="E2195" s="29"/>
      <c r="F2195" s="22"/>
      <c r="G2195" s="22"/>
      <c r="H2195" s="22"/>
      <c r="I2195" s="24"/>
      <c r="J2195" s="24"/>
      <c r="K2195" s="24"/>
      <c r="L2195" s="24"/>
      <c r="M2195" s="27" t="str">
        <f t="shared" si="139"/>
        <v/>
      </c>
      <c r="N2195" s="25"/>
      <c r="O2195" s="22"/>
      <c r="P2195" s="24"/>
      <c r="Q2195" s="26"/>
    </row>
    <row r="2196" spans="1:17" ht="15" x14ac:dyDescent="0.15">
      <c r="A2196" s="22"/>
      <c r="B2196" s="26" t="str">
        <f t="shared" si="136"/>
        <v/>
      </c>
      <c r="C2196" s="26" t="str">
        <f t="shared" si="137"/>
        <v/>
      </c>
      <c r="D2196" s="26" t="str">
        <f t="shared" si="138"/>
        <v/>
      </c>
      <c r="E2196" s="29"/>
      <c r="F2196" s="22"/>
      <c r="G2196" s="22"/>
      <c r="H2196" s="22"/>
      <c r="I2196" s="24"/>
      <c r="J2196" s="24"/>
      <c r="K2196" s="24"/>
      <c r="L2196" s="24"/>
      <c r="M2196" s="27" t="str">
        <f t="shared" si="139"/>
        <v/>
      </c>
      <c r="N2196" s="25"/>
      <c r="O2196" s="22"/>
      <c r="P2196" s="24"/>
      <c r="Q2196" s="26"/>
    </row>
    <row r="2197" spans="1:17" ht="15" x14ac:dyDescent="0.15">
      <c r="A2197" s="22"/>
      <c r="B2197" s="26" t="str">
        <f t="shared" si="136"/>
        <v/>
      </c>
      <c r="C2197" s="26" t="str">
        <f t="shared" si="137"/>
        <v/>
      </c>
      <c r="D2197" s="26" t="str">
        <f t="shared" si="138"/>
        <v/>
      </c>
      <c r="E2197" s="29"/>
      <c r="F2197" s="22"/>
      <c r="G2197" s="22"/>
      <c r="H2197" s="22"/>
      <c r="I2197" s="24"/>
      <c r="J2197" s="24"/>
      <c r="K2197" s="24"/>
      <c r="L2197" s="24"/>
      <c r="M2197" s="27" t="str">
        <f t="shared" si="139"/>
        <v/>
      </c>
      <c r="N2197" s="25"/>
      <c r="O2197" s="22"/>
      <c r="P2197" s="24"/>
      <c r="Q2197" s="26"/>
    </row>
    <row r="2198" spans="1:17" ht="15" x14ac:dyDescent="0.15">
      <c r="A2198" s="22"/>
      <c r="B2198" s="26" t="str">
        <f t="shared" si="136"/>
        <v/>
      </c>
      <c r="C2198" s="26" t="str">
        <f t="shared" si="137"/>
        <v/>
      </c>
      <c r="D2198" s="26" t="str">
        <f t="shared" si="138"/>
        <v/>
      </c>
      <c r="E2198" s="29"/>
      <c r="F2198" s="22"/>
      <c r="G2198" s="22"/>
      <c r="H2198" s="22"/>
      <c r="I2198" s="24"/>
      <c r="J2198" s="24"/>
      <c r="K2198" s="24"/>
      <c r="L2198" s="24"/>
      <c r="M2198" s="27" t="str">
        <f t="shared" si="139"/>
        <v/>
      </c>
      <c r="N2198" s="25"/>
      <c r="O2198" s="22"/>
      <c r="P2198" s="24"/>
      <c r="Q2198" s="26"/>
    </row>
    <row r="2199" spans="1:17" ht="15" x14ac:dyDescent="0.15">
      <c r="A2199" s="22"/>
      <c r="B2199" s="26" t="str">
        <f t="shared" si="136"/>
        <v/>
      </c>
      <c r="C2199" s="26" t="str">
        <f t="shared" si="137"/>
        <v/>
      </c>
      <c r="D2199" s="26" t="str">
        <f t="shared" si="138"/>
        <v/>
      </c>
      <c r="E2199" s="29"/>
      <c r="F2199" s="22"/>
      <c r="G2199" s="22"/>
      <c r="H2199" s="22"/>
      <c r="I2199" s="24"/>
      <c r="J2199" s="24"/>
      <c r="K2199" s="24"/>
      <c r="L2199" s="24"/>
      <c r="M2199" s="27" t="str">
        <f t="shared" si="139"/>
        <v/>
      </c>
      <c r="N2199" s="25"/>
      <c r="O2199" s="22"/>
      <c r="P2199" s="24"/>
      <c r="Q2199" s="26"/>
    </row>
    <row r="2200" spans="1:17" ht="15" x14ac:dyDescent="0.15">
      <c r="A2200" s="22"/>
      <c r="B2200" s="26" t="str">
        <f t="shared" si="136"/>
        <v/>
      </c>
      <c r="C2200" s="26" t="str">
        <f t="shared" si="137"/>
        <v/>
      </c>
      <c r="D2200" s="26" t="str">
        <f t="shared" si="138"/>
        <v/>
      </c>
      <c r="E2200" s="29"/>
      <c r="F2200" s="22"/>
      <c r="G2200" s="22"/>
      <c r="H2200" s="22"/>
      <c r="I2200" s="24"/>
      <c r="J2200" s="24"/>
      <c r="K2200" s="24"/>
      <c r="L2200" s="24"/>
      <c r="M2200" s="27" t="str">
        <f t="shared" si="139"/>
        <v/>
      </c>
      <c r="N2200" s="25"/>
      <c r="O2200" s="22"/>
      <c r="P2200" s="24"/>
      <c r="Q2200" s="26"/>
    </row>
    <row r="2201" spans="1:17" ht="15" x14ac:dyDescent="0.15">
      <c r="A2201" s="22"/>
      <c r="B2201" s="26" t="str">
        <f t="shared" si="136"/>
        <v/>
      </c>
      <c r="C2201" s="26" t="str">
        <f t="shared" si="137"/>
        <v/>
      </c>
      <c r="D2201" s="26" t="str">
        <f t="shared" si="138"/>
        <v/>
      </c>
      <c r="E2201" s="29"/>
      <c r="F2201" s="22"/>
      <c r="G2201" s="22"/>
      <c r="H2201" s="22"/>
      <c r="I2201" s="24"/>
      <c r="J2201" s="24"/>
      <c r="K2201" s="24"/>
      <c r="L2201" s="24"/>
      <c r="M2201" s="27" t="str">
        <f t="shared" si="139"/>
        <v/>
      </c>
      <c r="N2201" s="25"/>
      <c r="O2201" s="22"/>
      <c r="P2201" s="24"/>
      <c r="Q2201" s="26"/>
    </row>
    <row r="2202" spans="1:17" ht="15" x14ac:dyDescent="0.15">
      <c r="A2202" s="22"/>
      <c r="B2202" s="26" t="str">
        <f t="shared" si="136"/>
        <v/>
      </c>
      <c r="C2202" s="26" t="str">
        <f t="shared" si="137"/>
        <v/>
      </c>
      <c r="D2202" s="26" t="str">
        <f t="shared" si="138"/>
        <v/>
      </c>
      <c r="E2202" s="29"/>
      <c r="F2202" s="22"/>
      <c r="G2202" s="22"/>
      <c r="H2202" s="22"/>
      <c r="I2202" s="24"/>
      <c r="J2202" s="24"/>
      <c r="K2202" s="24"/>
      <c r="L2202" s="24"/>
      <c r="M2202" s="27" t="str">
        <f t="shared" si="139"/>
        <v/>
      </c>
      <c r="N2202" s="25"/>
      <c r="O2202" s="22"/>
      <c r="P2202" s="24"/>
      <c r="Q2202" s="26"/>
    </row>
    <row r="2203" spans="1:17" ht="15" x14ac:dyDescent="0.15">
      <c r="A2203" s="22"/>
      <c r="B2203" s="26" t="str">
        <f t="shared" si="136"/>
        <v/>
      </c>
      <c r="C2203" s="26" t="str">
        <f t="shared" si="137"/>
        <v/>
      </c>
      <c r="D2203" s="26" t="str">
        <f t="shared" si="138"/>
        <v/>
      </c>
      <c r="E2203" s="29"/>
      <c r="F2203" s="22"/>
      <c r="G2203" s="22"/>
      <c r="H2203" s="22"/>
      <c r="I2203" s="24"/>
      <c r="J2203" s="24"/>
      <c r="K2203" s="24"/>
      <c r="L2203" s="24"/>
      <c r="M2203" s="27" t="str">
        <f t="shared" si="139"/>
        <v/>
      </c>
      <c r="N2203" s="25"/>
      <c r="O2203" s="22"/>
      <c r="P2203" s="24"/>
      <c r="Q2203" s="26"/>
    </row>
    <row r="2204" spans="1:17" ht="15" x14ac:dyDescent="0.15">
      <c r="A2204" s="22"/>
      <c r="B2204" s="26" t="str">
        <f t="shared" si="136"/>
        <v/>
      </c>
      <c r="C2204" s="26" t="str">
        <f t="shared" si="137"/>
        <v/>
      </c>
      <c r="D2204" s="26" t="str">
        <f t="shared" si="138"/>
        <v/>
      </c>
      <c r="E2204" s="29"/>
      <c r="F2204" s="22"/>
      <c r="G2204" s="22"/>
      <c r="H2204" s="22"/>
      <c r="I2204" s="24"/>
      <c r="J2204" s="24"/>
      <c r="K2204" s="24"/>
      <c r="L2204" s="24"/>
      <c r="M2204" s="27" t="str">
        <f t="shared" si="139"/>
        <v/>
      </c>
      <c r="N2204" s="25"/>
      <c r="O2204" s="22"/>
      <c r="P2204" s="24"/>
      <c r="Q2204" s="26"/>
    </row>
    <row r="2205" spans="1:17" ht="15" x14ac:dyDescent="0.15">
      <c r="A2205" s="22"/>
      <c r="B2205" s="26" t="str">
        <f t="shared" si="136"/>
        <v/>
      </c>
      <c r="C2205" s="26" t="str">
        <f t="shared" si="137"/>
        <v/>
      </c>
      <c r="D2205" s="26" t="str">
        <f t="shared" si="138"/>
        <v/>
      </c>
      <c r="E2205" s="29"/>
      <c r="F2205" s="22"/>
      <c r="G2205" s="22"/>
      <c r="H2205" s="22"/>
      <c r="I2205" s="24"/>
      <c r="J2205" s="24"/>
      <c r="K2205" s="24"/>
      <c r="L2205" s="24"/>
      <c r="M2205" s="27" t="str">
        <f t="shared" si="139"/>
        <v/>
      </c>
      <c r="N2205" s="25"/>
      <c r="O2205" s="22"/>
      <c r="P2205" s="24"/>
      <c r="Q2205" s="26"/>
    </row>
    <row r="2206" spans="1:17" ht="15" x14ac:dyDescent="0.15">
      <c r="A2206" s="22"/>
      <c r="B2206" s="26" t="str">
        <f t="shared" si="136"/>
        <v/>
      </c>
      <c r="C2206" s="26" t="str">
        <f t="shared" si="137"/>
        <v/>
      </c>
      <c r="D2206" s="26" t="str">
        <f t="shared" si="138"/>
        <v/>
      </c>
      <c r="E2206" s="29"/>
      <c r="F2206" s="22"/>
      <c r="G2206" s="22"/>
      <c r="H2206" s="22"/>
      <c r="I2206" s="24"/>
      <c r="J2206" s="24"/>
      <c r="K2206" s="24"/>
      <c r="L2206" s="24"/>
      <c r="M2206" s="27" t="str">
        <f t="shared" si="139"/>
        <v/>
      </c>
      <c r="N2206" s="25"/>
      <c r="O2206" s="22"/>
      <c r="P2206" s="24"/>
      <c r="Q2206" s="26"/>
    </row>
    <row r="2207" spans="1:17" ht="15" x14ac:dyDescent="0.15">
      <c r="A2207" s="22"/>
      <c r="B2207" s="26" t="str">
        <f t="shared" si="136"/>
        <v/>
      </c>
      <c r="C2207" s="26" t="str">
        <f t="shared" si="137"/>
        <v/>
      </c>
      <c r="D2207" s="26" t="str">
        <f t="shared" si="138"/>
        <v/>
      </c>
      <c r="E2207" s="29"/>
      <c r="F2207" s="22"/>
      <c r="G2207" s="22"/>
      <c r="H2207" s="22"/>
      <c r="I2207" s="24"/>
      <c r="J2207" s="24"/>
      <c r="K2207" s="24"/>
      <c r="L2207" s="24"/>
      <c r="M2207" s="27" t="str">
        <f t="shared" si="139"/>
        <v/>
      </c>
      <c r="N2207" s="25"/>
      <c r="O2207" s="22"/>
      <c r="P2207" s="24"/>
      <c r="Q2207" s="26"/>
    </row>
    <row r="2208" spans="1:17" ht="15" x14ac:dyDescent="0.15">
      <c r="A2208" s="22"/>
      <c r="B2208" s="26" t="str">
        <f t="shared" si="136"/>
        <v/>
      </c>
      <c r="C2208" s="26" t="str">
        <f t="shared" si="137"/>
        <v/>
      </c>
      <c r="D2208" s="26" t="str">
        <f t="shared" si="138"/>
        <v/>
      </c>
      <c r="E2208" s="29"/>
      <c r="F2208" s="22"/>
      <c r="G2208" s="22"/>
      <c r="H2208" s="22"/>
      <c r="I2208" s="24"/>
      <c r="J2208" s="24"/>
      <c r="K2208" s="24"/>
      <c r="L2208" s="24"/>
      <c r="M2208" s="27" t="str">
        <f t="shared" si="139"/>
        <v/>
      </c>
      <c r="N2208" s="25"/>
      <c r="O2208" s="22"/>
      <c r="P2208" s="24"/>
      <c r="Q2208" s="26"/>
    </row>
    <row r="2209" spans="1:17" ht="15" x14ac:dyDescent="0.15">
      <c r="A2209" s="22"/>
      <c r="B2209" s="26" t="str">
        <f t="shared" si="136"/>
        <v/>
      </c>
      <c r="C2209" s="26" t="str">
        <f t="shared" si="137"/>
        <v/>
      </c>
      <c r="D2209" s="26" t="str">
        <f t="shared" si="138"/>
        <v/>
      </c>
      <c r="E2209" s="29"/>
      <c r="F2209" s="22"/>
      <c r="G2209" s="22"/>
      <c r="H2209" s="22"/>
      <c r="I2209" s="24"/>
      <c r="J2209" s="24"/>
      <c r="K2209" s="24"/>
      <c r="L2209" s="24"/>
      <c r="M2209" s="27" t="str">
        <f t="shared" si="139"/>
        <v/>
      </c>
      <c r="N2209" s="25"/>
      <c r="O2209" s="22"/>
      <c r="P2209" s="24"/>
      <c r="Q2209" s="26"/>
    </row>
    <row r="2210" spans="1:17" ht="15" x14ac:dyDescent="0.15">
      <c r="A2210" s="22"/>
      <c r="B2210" s="26" t="str">
        <f t="shared" si="136"/>
        <v/>
      </c>
      <c r="C2210" s="26" t="str">
        <f t="shared" si="137"/>
        <v/>
      </c>
      <c r="D2210" s="26" t="str">
        <f t="shared" si="138"/>
        <v/>
      </c>
      <c r="E2210" s="29"/>
      <c r="F2210" s="22"/>
      <c r="G2210" s="22"/>
      <c r="H2210" s="22"/>
      <c r="I2210" s="24"/>
      <c r="J2210" s="24"/>
      <c r="K2210" s="24"/>
      <c r="L2210" s="24"/>
      <c r="M2210" s="27" t="str">
        <f t="shared" si="139"/>
        <v/>
      </c>
      <c r="N2210" s="25"/>
      <c r="O2210" s="22"/>
      <c r="P2210" s="24"/>
      <c r="Q2210" s="26"/>
    </row>
    <row r="2211" spans="1:17" ht="15" x14ac:dyDescent="0.15">
      <c r="A2211" s="22"/>
      <c r="B2211" s="26" t="str">
        <f t="shared" si="136"/>
        <v/>
      </c>
      <c r="C2211" s="26" t="str">
        <f t="shared" si="137"/>
        <v/>
      </c>
      <c r="D2211" s="26" t="str">
        <f t="shared" si="138"/>
        <v/>
      </c>
      <c r="E2211" s="29"/>
      <c r="F2211" s="22"/>
      <c r="G2211" s="22"/>
      <c r="H2211" s="22"/>
      <c r="I2211" s="24"/>
      <c r="J2211" s="24"/>
      <c r="K2211" s="24"/>
      <c r="L2211" s="24"/>
      <c r="M2211" s="27" t="str">
        <f t="shared" si="139"/>
        <v/>
      </c>
      <c r="N2211" s="25"/>
      <c r="O2211" s="22"/>
      <c r="P2211" s="24"/>
      <c r="Q2211" s="26"/>
    </row>
    <row r="2212" spans="1:17" ht="15" x14ac:dyDescent="0.15">
      <c r="A2212" s="22"/>
      <c r="B2212" s="26" t="str">
        <f t="shared" si="136"/>
        <v/>
      </c>
      <c r="C2212" s="26" t="str">
        <f t="shared" si="137"/>
        <v/>
      </c>
      <c r="D2212" s="26" t="str">
        <f t="shared" si="138"/>
        <v/>
      </c>
      <c r="E2212" s="29"/>
      <c r="F2212" s="22"/>
      <c r="G2212" s="22"/>
      <c r="H2212" s="22"/>
      <c r="I2212" s="24"/>
      <c r="J2212" s="24"/>
      <c r="K2212" s="24"/>
      <c r="L2212" s="24"/>
      <c r="M2212" s="27" t="str">
        <f t="shared" si="139"/>
        <v/>
      </c>
      <c r="N2212" s="25"/>
      <c r="O2212" s="22"/>
      <c r="P2212" s="24"/>
      <c r="Q2212" s="26"/>
    </row>
    <row r="2213" spans="1:17" ht="15" x14ac:dyDescent="0.15">
      <c r="A2213" s="22"/>
      <c r="B2213" s="26" t="str">
        <f t="shared" si="136"/>
        <v/>
      </c>
      <c r="C2213" s="26" t="str">
        <f t="shared" si="137"/>
        <v/>
      </c>
      <c r="D2213" s="26" t="str">
        <f t="shared" si="138"/>
        <v/>
      </c>
      <c r="E2213" s="29"/>
      <c r="F2213" s="22"/>
      <c r="G2213" s="22"/>
      <c r="H2213" s="22"/>
      <c r="I2213" s="24"/>
      <c r="J2213" s="24"/>
      <c r="K2213" s="24"/>
      <c r="L2213" s="24"/>
      <c r="M2213" s="27" t="str">
        <f t="shared" si="139"/>
        <v/>
      </c>
      <c r="N2213" s="25"/>
      <c r="O2213" s="22"/>
      <c r="P2213" s="24"/>
      <c r="Q2213" s="26"/>
    </row>
    <row r="2214" spans="1:17" ht="15" x14ac:dyDescent="0.15">
      <c r="A2214" s="22"/>
      <c r="B2214" s="26" t="str">
        <f t="shared" si="136"/>
        <v/>
      </c>
      <c r="C2214" s="26" t="str">
        <f t="shared" si="137"/>
        <v/>
      </c>
      <c r="D2214" s="26" t="str">
        <f t="shared" si="138"/>
        <v/>
      </c>
      <c r="E2214" s="29"/>
      <c r="F2214" s="22"/>
      <c r="G2214" s="22"/>
      <c r="H2214" s="22"/>
      <c r="I2214" s="24"/>
      <c r="J2214" s="24"/>
      <c r="K2214" s="24"/>
      <c r="L2214" s="24"/>
      <c r="M2214" s="27" t="str">
        <f t="shared" si="139"/>
        <v/>
      </c>
      <c r="N2214" s="25"/>
      <c r="O2214" s="22"/>
      <c r="P2214" s="24"/>
      <c r="Q2214" s="26"/>
    </row>
    <row r="2215" spans="1:17" ht="15" x14ac:dyDescent="0.15">
      <c r="A2215" s="22"/>
      <c r="B2215" s="26" t="str">
        <f t="shared" si="136"/>
        <v/>
      </c>
      <c r="C2215" s="26" t="str">
        <f t="shared" si="137"/>
        <v/>
      </c>
      <c r="D2215" s="26" t="str">
        <f t="shared" si="138"/>
        <v/>
      </c>
      <c r="E2215" s="29"/>
      <c r="F2215" s="22"/>
      <c r="G2215" s="22"/>
      <c r="H2215" s="22"/>
      <c r="I2215" s="24"/>
      <c r="J2215" s="24"/>
      <c r="K2215" s="24"/>
      <c r="L2215" s="24"/>
      <c r="M2215" s="27" t="str">
        <f t="shared" si="139"/>
        <v/>
      </c>
      <c r="N2215" s="25"/>
      <c r="O2215" s="22"/>
      <c r="P2215" s="24"/>
      <c r="Q2215" s="26"/>
    </row>
    <row r="2216" spans="1:17" ht="15" x14ac:dyDescent="0.15">
      <c r="A2216" s="22"/>
      <c r="B2216" s="26" t="str">
        <f t="shared" si="136"/>
        <v/>
      </c>
      <c r="C2216" s="26" t="str">
        <f t="shared" si="137"/>
        <v/>
      </c>
      <c r="D2216" s="26" t="str">
        <f t="shared" si="138"/>
        <v/>
      </c>
      <c r="E2216" s="29"/>
      <c r="F2216" s="22"/>
      <c r="G2216" s="22"/>
      <c r="H2216" s="22"/>
      <c r="I2216" s="24"/>
      <c r="J2216" s="24"/>
      <c r="K2216" s="24"/>
      <c r="L2216" s="24"/>
      <c r="M2216" s="27" t="str">
        <f t="shared" si="139"/>
        <v/>
      </c>
      <c r="N2216" s="25"/>
      <c r="O2216" s="22"/>
      <c r="P2216" s="24"/>
      <c r="Q2216" s="26"/>
    </row>
    <row r="2217" spans="1:17" ht="15" x14ac:dyDescent="0.15">
      <c r="A2217" s="22"/>
      <c r="B2217" s="26" t="str">
        <f t="shared" si="136"/>
        <v/>
      </c>
      <c r="C2217" s="26" t="str">
        <f t="shared" si="137"/>
        <v/>
      </c>
      <c r="D2217" s="26" t="str">
        <f t="shared" si="138"/>
        <v/>
      </c>
      <c r="E2217" s="29"/>
      <c r="F2217" s="22"/>
      <c r="G2217" s="22"/>
      <c r="H2217" s="22"/>
      <c r="I2217" s="24"/>
      <c r="J2217" s="24"/>
      <c r="K2217" s="24"/>
      <c r="L2217" s="24"/>
      <c r="M2217" s="27" t="str">
        <f t="shared" si="139"/>
        <v/>
      </c>
      <c r="N2217" s="25"/>
      <c r="O2217" s="22"/>
      <c r="P2217" s="24"/>
      <c r="Q2217" s="26"/>
    </row>
    <row r="2218" spans="1:17" ht="15" x14ac:dyDescent="0.15">
      <c r="A2218" s="22"/>
      <c r="B2218" s="26" t="str">
        <f t="shared" si="136"/>
        <v/>
      </c>
      <c r="C2218" s="26" t="str">
        <f t="shared" si="137"/>
        <v/>
      </c>
      <c r="D2218" s="26" t="str">
        <f t="shared" si="138"/>
        <v/>
      </c>
      <c r="E2218" s="29"/>
      <c r="F2218" s="22"/>
      <c r="G2218" s="22"/>
      <c r="H2218" s="22"/>
      <c r="I2218" s="24"/>
      <c r="J2218" s="24"/>
      <c r="K2218" s="24"/>
      <c r="L2218" s="24"/>
      <c r="M2218" s="27" t="str">
        <f t="shared" si="139"/>
        <v/>
      </c>
      <c r="N2218" s="25"/>
      <c r="O2218" s="22"/>
      <c r="P2218" s="24"/>
      <c r="Q2218" s="26"/>
    </row>
    <row r="2219" spans="1:17" ht="15" x14ac:dyDescent="0.15">
      <c r="A2219" s="22"/>
      <c r="B2219" s="26" t="str">
        <f t="shared" si="136"/>
        <v/>
      </c>
      <c r="C2219" s="26" t="str">
        <f t="shared" si="137"/>
        <v/>
      </c>
      <c r="D2219" s="26" t="str">
        <f t="shared" si="138"/>
        <v/>
      </c>
      <c r="E2219" s="29"/>
      <c r="F2219" s="22"/>
      <c r="G2219" s="22"/>
      <c r="H2219" s="22"/>
      <c r="I2219" s="24"/>
      <c r="J2219" s="24"/>
      <c r="K2219" s="24"/>
      <c r="L2219" s="24"/>
      <c r="M2219" s="27" t="str">
        <f t="shared" si="139"/>
        <v/>
      </c>
      <c r="N2219" s="25"/>
      <c r="O2219" s="22"/>
      <c r="P2219" s="24"/>
      <c r="Q2219" s="26"/>
    </row>
    <row r="2220" spans="1:17" ht="15" x14ac:dyDescent="0.15">
      <c r="A2220" s="22"/>
      <c r="B2220" s="26" t="str">
        <f t="shared" si="136"/>
        <v/>
      </c>
      <c r="C2220" s="26" t="str">
        <f t="shared" si="137"/>
        <v/>
      </c>
      <c r="D2220" s="26" t="str">
        <f t="shared" si="138"/>
        <v/>
      </c>
      <c r="E2220" s="29"/>
      <c r="F2220" s="22"/>
      <c r="G2220" s="22"/>
      <c r="H2220" s="22"/>
      <c r="I2220" s="24"/>
      <c r="J2220" s="24"/>
      <c r="K2220" s="24"/>
      <c r="L2220" s="24"/>
      <c r="M2220" s="27" t="str">
        <f t="shared" si="139"/>
        <v/>
      </c>
      <c r="N2220" s="25"/>
      <c r="O2220" s="22"/>
      <c r="P2220" s="24"/>
      <c r="Q2220" s="26"/>
    </row>
    <row r="2221" spans="1:17" ht="15" x14ac:dyDescent="0.15">
      <c r="A2221" s="22"/>
      <c r="B2221" s="26" t="str">
        <f t="shared" si="136"/>
        <v/>
      </c>
      <c r="C2221" s="26" t="str">
        <f t="shared" si="137"/>
        <v/>
      </c>
      <c r="D2221" s="26" t="str">
        <f t="shared" si="138"/>
        <v/>
      </c>
      <c r="E2221" s="29"/>
      <c r="F2221" s="22"/>
      <c r="G2221" s="22"/>
      <c r="H2221" s="22"/>
      <c r="I2221" s="24"/>
      <c r="J2221" s="24"/>
      <c r="K2221" s="24"/>
      <c r="L2221" s="24"/>
      <c r="M2221" s="27" t="str">
        <f t="shared" si="139"/>
        <v/>
      </c>
      <c r="N2221" s="25"/>
      <c r="O2221" s="22"/>
      <c r="P2221" s="24"/>
      <c r="Q2221" s="26"/>
    </row>
    <row r="2222" spans="1:17" ht="15" x14ac:dyDescent="0.15">
      <c r="A2222" s="22"/>
      <c r="B2222" s="26" t="str">
        <f t="shared" si="136"/>
        <v/>
      </c>
      <c r="C2222" s="26" t="str">
        <f t="shared" si="137"/>
        <v/>
      </c>
      <c r="D2222" s="26" t="str">
        <f t="shared" si="138"/>
        <v/>
      </c>
      <c r="E2222" s="29"/>
      <c r="F2222" s="22"/>
      <c r="G2222" s="22"/>
      <c r="H2222" s="22"/>
      <c r="I2222" s="24"/>
      <c r="J2222" s="24"/>
      <c r="K2222" s="24"/>
      <c r="L2222" s="24"/>
      <c r="M2222" s="27" t="str">
        <f t="shared" si="139"/>
        <v/>
      </c>
      <c r="N2222" s="25"/>
      <c r="O2222" s="22"/>
      <c r="P2222" s="24"/>
      <c r="Q2222" s="26"/>
    </row>
    <row r="2223" spans="1:17" ht="15" x14ac:dyDescent="0.15">
      <c r="A2223" s="22"/>
      <c r="B2223" s="26" t="str">
        <f t="shared" si="136"/>
        <v/>
      </c>
      <c r="C2223" s="26" t="str">
        <f t="shared" si="137"/>
        <v/>
      </c>
      <c r="D2223" s="26" t="str">
        <f t="shared" si="138"/>
        <v/>
      </c>
      <c r="E2223" s="29"/>
      <c r="F2223" s="22"/>
      <c r="G2223" s="22"/>
      <c r="H2223" s="22"/>
      <c r="I2223" s="24"/>
      <c r="J2223" s="24"/>
      <c r="K2223" s="24"/>
      <c r="L2223" s="24"/>
      <c r="M2223" s="27" t="str">
        <f t="shared" si="139"/>
        <v/>
      </c>
      <c r="N2223" s="25"/>
      <c r="O2223" s="22"/>
      <c r="P2223" s="24"/>
      <c r="Q2223" s="26"/>
    </row>
    <row r="2224" spans="1:17" ht="15" x14ac:dyDescent="0.15">
      <c r="A2224" s="22"/>
      <c r="B2224" s="26" t="str">
        <f t="shared" si="136"/>
        <v/>
      </c>
      <c r="C2224" s="26" t="str">
        <f t="shared" si="137"/>
        <v/>
      </c>
      <c r="D2224" s="26" t="str">
        <f t="shared" si="138"/>
        <v/>
      </c>
      <c r="E2224" s="29"/>
      <c r="F2224" s="22"/>
      <c r="G2224" s="22"/>
      <c r="H2224" s="22"/>
      <c r="I2224" s="24"/>
      <c r="J2224" s="24"/>
      <c r="K2224" s="24"/>
      <c r="L2224" s="24"/>
      <c r="M2224" s="27" t="str">
        <f t="shared" si="139"/>
        <v/>
      </c>
      <c r="N2224" s="25"/>
      <c r="O2224" s="22"/>
      <c r="P2224" s="24"/>
      <c r="Q2224" s="26"/>
    </row>
    <row r="2225" spans="1:17" ht="15" x14ac:dyDescent="0.15">
      <c r="A2225" s="22"/>
      <c r="B2225" s="26" t="str">
        <f t="shared" si="136"/>
        <v/>
      </c>
      <c r="C2225" s="26" t="str">
        <f t="shared" si="137"/>
        <v/>
      </c>
      <c r="D2225" s="26" t="str">
        <f t="shared" si="138"/>
        <v/>
      </c>
      <c r="E2225" s="29"/>
      <c r="F2225" s="22"/>
      <c r="G2225" s="22"/>
      <c r="H2225" s="22"/>
      <c r="I2225" s="24"/>
      <c r="J2225" s="24"/>
      <c r="K2225" s="24"/>
      <c r="L2225" s="24"/>
      <c r="M2225" s="27" t="str">
        <f t="shared" si="139"/>
        <v/>
      </c>
      <c r="N2225" s="25"/>
      <c r="O2225" s="22"/>
      <c r="P2225" s="24"/>
      <c r="Q2225" s="26"/>
    </row>
    <row r="2226" spans="1:17" ht="15" x14ac:dyDescent="0.15">
      <c r="A2226" s="22"/>
      <c r="B2226" s="26" t="str">
        <f t="shared" si="136"/>
        <v/>
      </c>
      <c r="C2226" s="26" t="str">
        <f t="shared" si="137"/>
        <v/>
      </c>
      <c r="D2226" s="26" t="str">
        <f t="shared" si="138"/>
        <v/>
      </c>
      <c r="E2226" s="29"/>
      <c r="F2226" s="22"/>
      <c r="G2226" s="22"/>
      <c r="H2226" s="22"/>
      <c r="I2226" s="24"/>
      <c r="J2226" s="24"/>
      <c r="K2226" s="24"/>
      <c r="L2226" s="24"/>
      <c r="M2226" s="27" t="str">
        <f t="shared" si="139"/>
        <v/>
      </c>
      <c r="N2226" s="25"/>
      <c r="O2226" s="22"/>
      <c r="P2226" s="24"/>
      <c r="Q2226" s="26"/>
    </row>
    <row r="2227" spans="1:17" ht="15" x14ac:dyDescent="0.15">
      <c r="A2227" s="22"/>
      <c r="B2227" s="26" t="str">
        <f t="shared" si="136"/>
        <v/>
      </c>
      <c r="C2227" s="26" t="str">
        <f t="shared" si="137"/>
        <v/>
      </c>
      <c r="D2227" s="26" t="str">
        <f t="shared" si="138"/>
        <v/>
      </c>
      <c r="E2227" s="29"/>
      <c r="F2227" s="22"/>
      <c r="G2227" s="22"/>
      <c r="H2227" s="22"/>
      <c r="I2227" s="24"/>
      <c r="J2227" s="24"/>
      <c r="K2227" s="24"/>
      <c r="L2227" s="24"/>
      <c r="M2227" s="27" t="str">
        <f t="shared" si="139"/>
        <v/>
      </c>
      <c r="N2227" s="25"/>
      <c r="O2227" s="22"/>
      <c r="P2227" s="24"/>
      <c r="Q2227" s="26"/>
    </row>
    <row r="2228" spans="1:17" ht="15" x14ac:dyDescent="0.15">
      <c r="A2228" s="22"/>
      <c r="B2228" s="26" t="str">
        <f t="shared" si="136"/>
        <v/>
      </c>
      <c r="C2228" s="26" t="str">
        <f t="shared" si="137"/>
        <v/>
      </c>
      <c r="D2228" s="26" t="str">
        <f t="shared" si="138"/>
        <v/>
      </c>
      <c r="E2228" s="29"/>
      <c r="F2228" s="22"/>
      <c r="G2228" s="22"/>
      <c r="H2228" s="22"/>
      <c r="I2228" s="24"/>
      <c r="J2228" s="24"/>
      <c r="K2228" s="24"/>
      <c r="L2228" s="24"/>
      <c r="M2228" s="27" t="str">
        <f t="shared" si="139"/>
        <v/>
      </c>
      <c r="N2228" s="25"/>
      <c r="O2228" s="22"/>
      <c r="P2228" s="24"/>
      <c r="Q2228" s="26"/>
    </row>
    <row r="2229" spans="1:17" ht="15" x14ac:dyDescent="0.15">
      <c r="A2229" s="22"/>
      <c r="B2229" s="26" t="str">
        <f t="shared" si="136"/>
        <v/>
      </c>
      <c r="C2229" s="26" t="str">
        <f t="shared" si="137"/>
        <v/>
      </c>
      <c r="D2229" s="26" t="str">
        <f t="shared" si="138"/>
        <v/>
      </c>
      <c r="E2229" s="29"/>
      <c r="F2229" s="22"/>
      <c r="G2229" s="22"/>
      <c r="H2229" s="22"/>
      <c r="I2229" s="24"/>
      <c r="J2229" s="24"/>
      <c r="K2229" s="24"/>
      <c r="L2229" s="24"/>
      <c r="M2229" s="27" t="str">
        <f t="shared" si="139"/>
        <v/>
      </c>
      <c r="N2229" s="25"/>
      <c r="O2229" s="22"/>
      <c r="P2229" s="24"/>
      <c r="Q2229" s="26"/>
    </row>
    <row r="2230" spans="1:17" ht="15" x14ac:dyDescent="0.15">
      <c r="A2230" s="22"/>
      <c r="B2230" s="26" t="str">
        <f t="shared" si="136"/>
        <v/>
      </c>
      <c r="C2230" s="26" t="str">
        <f t="shared" si="137"/>
        <v/>
      </c>
      <c r="D2230" s="26" t="str">
        <f t="shared" si="138"/>
        <v/>
      </c>
      <c r="E2230" s="29"/>
      <c r="F2230" s="22"/>
      <c r="G2230" s="22"/>
      <c r="H2230" s="22"/>
      <c r="I2230" s="24"/>
      <c r="J2230" s="24"/>
      <c r="K2230" s="24"/>
      <c r="L2230" s="24"/>
      <c r="M2230" s="27" t="str">
        <f t="shared" si="139"/>
        <v/>
      </c>
      <c r="N2230" s="25"/>
      <c r="O2230" s="22"/>
      <c r="P2230" s="24"/>
      <c r="Q2230" s="26"/>
    </row>
    <row r="2231" spans="1:17" ht="15" x14ac:dyDescent="0.15">
      <c r="A2231" s="22"/>
      <c r="B2231" s="26" t="str">
        <f t="shared" si="136"/>
        <v/>
      </c>
      <c r="C2231" s="26" t="str">
        <f t="shared" si="137"/>
        <v/>
      </c>
      <c r="D2231" s="26" t="str">
        <f t="shared" si="138"/>
        <v/>
      </c>
      <c r="E2231" s="29"/>
      <c r="F2231" s="22"/>
      <c r="G2231" s="22"/>
      <c r="H2231" s="22"/>
      <c r="I2231" s="24"/>
      <c r="J2231" s="24"/>
      <c r="K2231" s="24"/>
      <c r="L2231" s="24"/>
      <c r="M2231" s="27" t="str">
        <f t="shared" si="139"/>
        <v/>
      </c>
      <c r="N2231" s="25"/>
      <c r="O2231" s="22"/>
      <c r="P2231" s="24"/>
      <c r="Q2231" s="26"/>
    </row>
    <row r="2232" spans="1:17" ht="15" x14ac:dyDescent="0.15">
      <c r="A2232" s="22"/>
      <c r="B2232" s="26" t="str">
        <f t="shared" si="136"/>
        <v/>
      </c>
      <c r="C2232" s="26" t="str">
        <f t="shared" si="137"/>
        <v/>
      </c>
      <c r="D2232" s="26" t="str">
        <f t="shared" si="138"/>
        <v/>
      </c>
      <c r="E2232" s="29"/>
      <c r="F2232" s="22"/>
      <c r="G2232" s="22"/>
      <c r="H2232" s="22"/>
      <c r="I2232" s="24"/>
      <c r="J2232" s="24"/>
      <c r="K2232" s="24"/>
      <c r="L2232" s="24"/>
      <c r="M2232" s="27" t="str">
        <f t="shared" si="139"/>
        <v/>
      </c>
      <c r="N2232" s="25"/>
      <c r="O2232" s="22"/>
      <c r="P2232" s="24"/>
      <c r="Q2232" s="26"/>
    </row>
    <row r="2233" spans="1:17" ht="15" x14ac:dyDescent="0.15">
      <c r="A2233" s="22"/>
      <c r="B2233" s="26" t="str">
        <f t="shared" si="136"/>
        <v/>
      </c>
      <c r="C2233" s="26" t="str">
        <f t="shared" si="137"/>
        <v/>
      </c>
      <c r="D2233" s="26" t="str">
        <f t="shared" si="138"/>
        <v/>
      </c>
      <c r="E2233" s="29"/>
      <c r="F2233" s="22"/>
      <c r="G2233" s="22"/>
      <c r="H2233" s="22"/>
      <c r="I2233" s="24"/>
      <c r="J2233" s="24"/>
      <c r="K2233" s="24"/>
      <c r="L2233" s="24"/>
      <c r="M2233" s="27" t="str">
        <f t="shared" si="139"/>
        <v/>
      </c>
      <c r="N2233" s="25"/>
      <c r="O2233" s="22"/>
      <c r="P2233" s="24"/>
      <c r="Q2233" s="26"/>
    </row>
    <row r="2234" spans="1:17" ht="15" x14ac:dyDescent="0.15">
      <c r="A2234" s="22"/>
      <c r="B2234" s="26" t="str">
        <f t="shared" si="136"/>
        <v/>
      </c>
      <c r="C2234" s="26" t="str">
        <f t="shared" si="137"/>
        <v/>
      </c>
      <c r="D2234" s="26" t="str">
        <f t="shared" si="138"/>
        <v/>
      </c>
      <c r="E2234" s="29"/>
      <c r="F2234" s="22"/>
      <c r="G2234" s="22"/>
      <c r="H2234" s="22"/>
      <c r="I2234" s="24"/>
      <c r="J2234" s="24"/>
      <c r="K2234" s="24"/>
      <c r="L2234" s="24"/>
      <c r="M2234" s="27" t="str">
        <f t="shared" si="139"/>
        <v/>
      </c>
      <c r="N2234" s="25"/>
      <c r="O2234" s="22"/>
      <c r="P2234" s="24"/>
      <c r="Q2234" s="26"/>
    </row>
    <row r="2235" spans="1:17" ht="15" x14ac:dyDescent="0.15">
      <c r="A2235" s="22"/>
      <c r="B2235" s="26" t="str">
        <f t="shared" si="136"/>
        <v/>
      </c>
      <c r="C2235" s="26" t="str">
        <f t="shared" si="137"/>
        <v/>
      </c>
      <c r="D2235" s="26" t="str">
        <f t="shared" si="138"/>
        <v/>
      </c>
      <c r="E2235" s="29"/>
      <c r="F2235" s="22"/>
      <c r="G2235" s="22"/>
      <c r="H2235" s="22"/>
      <c r="I2235" s="24"/>
      <c r="J2235" s="24"/>
      <c r="K2235" s="24"/>
      <c r="L2235" s="24"/>
      <c r="M2235" s="27" t="str">
        <f t="shared" si="139"/>
        <v/>
      </c>
      <c r="N2235" s="25"/>
      <c r="O2235" s="22"/>
      <c r="P2235" s="24"/>
      <c r="Q2235" s="26"/>
    </row>
    <row r="2236" spans="1:17" ht="15" x14ac:dyDescent="0.15">
      <c r="A2236" s="22"/>
      <c r="B2236" s="26" t="str">
        <f t="shared" si="136"/>
        <v/>
      </c>
      <c r="C2236" s="26" t="str">
        <f t="shared" si="137"/>
        <v/>
      </c>
      <c r="D2236" s="26" t="str">
        <f t="shared" si="138"/>
        <v/>
      </c>
      <c r="E2236" s="29"/>
      <c r="F2236" s="22"/>
      <c r="G2236" s="22"/>
      <c r="H2236" s="22"/>
      <c r="I2236" s="24"/>
      <c r="J2236" s="24"/>
      <c r="K2236" s="24"/>
      <c r="L2236" s="24"/>
      <c r="M2236" s="27" t="str">
        <f t="shared" si="139"/>
        <v/>
      </c>
      <c r="N2236" s="25"/>
      <c r="O2236" s="22"/>
      <c r="P2236" s="24"/>
      <c r="Q2236" s="26"/>
    </row>
    <row r="2237" spans="1:17" ht="15" x14ac:dyDescent="0.15">
      <c r="A2237" s="22"/>
      <c r="B2237" s="26" t="str">
        <f t="shared" si="136"/>
        <v/>
      </c>
      <c r="C2237" s="26" t="str">
        <f t="shared" si="137"/>
        <v/>
      </c>
      <c r="D2237" s="26" t="str">
        <f t="shared" si="138"/>
        <v/>
      </c>
      <c r="E2237" s="29"/>
      <c r="F2237" s="22"/>
      <c r="G2237" s="22"/>
      <c r="H2237" s="22"/>
      <c r="I2237" s="24"/>
      <c r="J2237" s="24"/>
      <c r="K2237" s="24"/>
      <c r="L2237" s="24"/>
      <c r="M2237" s="27" t="str">
        <f t="shared" si="139"/>
        <v/>
      </c>
      <c r="N2237" s="25"/>
      <c r="O2237" s="22"/>
      <c r="P2237" s="24"/>
      <c r="Q2237" s="26"/>
    </row>
    <row r="2238" spans="1:17" ht="15" x14ac:dyDescent="0.15">
      <c r="A2238" s="22"/>
      <c r="B2238" s="26" t="str">
        <f t="shared" si="136"/>
        <v/>
      </c>
      <c r="C2238" s="26" t="str">
        <f t="shared" si="137"/>
        <v/>
      </c>
      <c r="D2238" s="26" t="str">
        <f t="shared" si="138"/>
        <v/>
      </c>
      <c r="E2238" s="29"/>
      <c r="F2238" s="22"/>
      <c r="G2238" s="22"/>
      <c r="H2238" s="22"/>
      <c r="I2238" s="24"/>
      <c r="J2238" s="24"/>
      <c r="K2238" s="24"/>
      <c r="L2238" s="24"/>
      <c r="M2238" s="27" t="str">
        <f t="shared" si="139"/>
        <v/>
      </c>
      <c r="N2238" s="25"/>
      <c r="O2238" s="22"/>
      <c r="P2238" s="24"/>
      <c r="Q2238" s="26"/>
    </row>
    <row r="2239" spans="1:17" ht="15" x14ac:dyDescent="0.15">
      <c r="A2239" s="22"/>
      <c r="B2239" s="26" t="str">
        <f t="shared" si="136"/>
        <v/>
      </c>
      <c r="C2239" s="26" t="str">
        <f t="shared" si="137"/>
        <v/>
      </c>
      <c r="D2239" s="26" t="str">
        <f t="shared" si="138"/>
        <v/>
      </c>
      <c r="E2239" s="29"/>
      <c r="F2239" s="22"/>
      <c r="G2239" s="22"/>
      <c r="H2239" s="22"/>
      <c r="I2239" s="24"/>
      <c r="J2239" s="24"/>
      <c r="K2239" s="24"/>
      <c r="L2239" s="24"/>
      <c r="M2239" s="27" t="str">
        <f t="shared" si="139"/>
        <v/>
      </c>
      <c r="N2239" s="25"/>
      <c r="O2239" s="22"/>
      <c r="P2239" s="24"/>
      <c r="Q2239" s="26"/>
    </row>
    <row r="2240" spans="1:17" ht="15" x14ac:dyDescent="0.15">
      <c r="A2240" s="22"/>
      <c r="B2240" s="26" t="str">
        <f t="shared" si="136"/>
        <v/>
      </c>
      <c r="C2240" s="26" t="str">
        <f t="shared" si="137"/>
        <v/>
      </c>
      <c r="D2240" s="26" t="str">
        <f t="shared" si="138"/>
        <v/>
      </c>
      <c r="E2240" s="29"/>
      <c r="F2240" s="22"/>
      <c r="G2240" s="22"/>
      <c r="H2240" s="22"/>
      <c r="I2240" s="24"/>
      <c r="J2240" s="24"/>
      <c r="K2240" s="24"/>
      <c r="L2240" s="24"/>
      <c r="M2240" s="27" t="str">
        <f t="shared" si="139"/>
        <v/>
      </c>
      <c r="N2240" s="25"/>
      <c r="O2240" s="22"/>
      <c r="P2240" s="24"/>
      <c r="Q2240" s="26"/>
    </row>
    <row r="2241" spans="1:17" ht="15" x14ac:dyDescent="0.15">
      <c r="A2241" s="22"/>
      <c r="B2241" s="26" t="str">
        <f t="shared" si="136"/>
        <v/>
      </c>
      <c r="C2241" s="26" t="str">
        <f t="shared" si="137"/>
        <v/>
      </c>
      <c r="D2241" s="26" t="str">
        <f t="shared" si="138"/>
        <v/>
      </c>
      <c r="E2241" s="29"/>
      <c r="F2241" s="22"/>
      <c r="G2241" s="22"/>
      <c r="H2241" s="22"/>
      <c r="I2241" s="24"/>
      <c r="J2241" s="24"/>
      <c r="K2241" s="24"/>
      <c r="L2241" s="24"/>
      <c r="M2241" s="27" t="str">
        <f t="shared" si="139"/>
        <v/>
      </c>
      <c r="N2241" s="25"/>
      <c r="O2241" s="22"/>
      <c r="P2241" s="24"/>
      <c r="Q2241" s="26"/>
    </row>
    <row r="2242" spans="1:17" ht="15" x14ac:dyDescent="0.15">
      <c r="A2242" s="22"/>
      <c r="B2242" s="26" t="str">
        <f t="shared" si="136"/>
        <v/>
      </c>
      <c r="C2242" s="26" t="str">
        <f t="shared" si="137"/>
        <v/>
      </c>
      <c r="D2242" s="26" t="str">
        <f t="shared" si="138"/>
        <v/>
      </c>
      <c r="E2242" s="29"/>
      <c r="F2242" s="22"/>
      <c r="G2242" s="22"/>
      <c r="H2242" s="22"/>
      <c r="I2242" s="24"/>
      <c r="J2242" s="24"/>
      <c r="K2242" s="24"/>
      <c r="L2242" s="24"/>
      <c r="M2242" s="27" t="str">
        <f t="shared" si="139"/>
        <v/>
      </c>
      <c r="N2242" s="25"/>
      <c r="O2242" s="22"/>
      <c r="P2242" s="24"/>
      <c r="Q2242" s="26"/>
    </row>
    <row r="2243" spans="1:17" ht="15" x14ac:dyDescent="0.15">
      <c r="A2243" s="22"/>
      <c r="B2243" s="26" t="str">
        <f t="shared" si="136"/>
        <v/>
      </c>
      <c r="C2243" s="26" t="str">
        <f t="shared" si="137"/>
        <v/>
      </c>
      <c r="D2243" s="26" t="str">
        <f t="shared" si="138"/>
        <v/>
      </c>
      <c r="E2243" s="29"/>
      <c r="F2243" s="22"/>
      <c r="G2243" s="22"/>
      <c r="H2243" s="22"/>
      <c r="I2243" s="24"/>
      <c r="J2243" s="24"/>
      <c r="K2243" s="24"/>
      <c r="L2243" s="24"/>
      <c r="M2243" s="27" t="str">
        <f t="shared" si="139"/>
        <v/>
      </c>
      <c r="N2243" s="25"/>
      <c r="O2243" s="22"/>
      <c r="P2243" s="24"/>
      <c r="Q2243" s="26"/>
    </row>
    <row r="2244" spans="1:17" ht="15" x14ac:dyDescent="0.15">
      <c r="A2244" s="22"/>
      <c r="B2244" s="26" t="str">
        <f t="shared" si="136"/>
        <v/>
      </c>
      <c r="C2244" s="26" t="str">
        <f t="shared" si="137"/>
        <v/>
      </c>
      <c r="D2244" s="26" t="str">
        <f t="shared" si="138"/>
        <v/>
      </c>
      <c r="E2244" s="29"/>
      <c r="F2244" s="22"/>
      <c r="G2244" s="22"/>
      <c r="H2244" s="22"/>
      <c r="I2244" s="24"/>
      <c r="J2244" s="24"/>
      <c r="K2244" s="24"/>
      <c r="L2244" s="24"/>
      <c r="M2244" s="27" t="str">
        <f t="shared" si="139"/>
        <v/>
      </c>
      <c r="N2244" s="25"/>
      <c r="O2244" s="22"/>
      <c r="P2244" s="24"/>
      <c r="Q2244" s="26"/>
    </row>
    <row r="2245" spans="1:17" ht="15" x14ac:dyDescent="0.15">
      <c r="A2245" s="22"/>
      <c r="B2245" s="26" t="str">
        <f t="shared" si="136"/>
        <v/>
      </c>
      <c r="C2245" s="26" t="str">
        <f t="shared" si="137"/>
        <v/>
      </c>
      <c r="D2245" s="26" t="str">
        <f t="shared" si="138"/>
        <v/>
      </c>
      <c r="E2245" s="29"/>
      <c r="F2245" s="22"/>
      <c r="G2245" s="22"/>
      <c r="H2245" s="22"/>
      <c r="I2245" s="24"/>
      <c r="J2245" s="24"/>
      <c r="K2245" s="24"/>
      <c r="L2245" s="24"/>
      <c r="M2245" s="27" t="str">
        <f t="shared" si="139"/>
        <v/>
      </c>
      <c r="N2245" s="25"/>
      <c r="O2245" s="22"/>
      <c r="P2245" s="24"/>
      <c r="Q2245" s="26"/>
    </row>
    <row r="2246" spans="1:17" ht="15" x14ac:dyDescent="0.15">
      <c r="A2246" s="22"/>
      <c r="B2246" s="26" t="str">
        <f t="shared" si="136"/>
        <v/>
      </c>
      <c r="C2246" s="26" t="str">
        <f t="shared" si="137"/>
        <v/>
      </c>
      <c r="D2246" s="26" t="str">
        <f t="shared" si="138"/>
        <v/>
      </c>
      <c r="E2246" s="29"/>
      <c r="F2246" s="22"/>
      <c r="G2246" s="22"/>
      <c r="H2246" s="22"/>
      <c r="I2246" s="24"/>
      <c r="J2246" s="24"/>
      <c r="K2246" s="24"/>
      <c r="L2246" s="24"/>
      <c r="M2246" s="27" t="str">
        <f t="shared" si="139"/>
        <v/>
      </c>
      <c r="N2246" s="25"/>
      <c r="O2246" s="22"/>
      <c r="P2246" s="24"/>
      <c r="Q2246" s="26"/>
    </row>
    <row r="2247" spans="1:17" ht="15" x14ac:dyDescent="0.15">
      <c r="A2247" s="22"/>
      <c r="B2247" s="26" t="str">
        <f t="shared" ref="B2247:B2310" si="140">IFERROR(IF($A2247="","",LEFT($A2247,FIND(" | ",$A2247)-1)),"")</f>
        <v/>
      </c>
      <c r="C2247" s="26" t="str">
        <f t="shared" ref="C2247:C2310" si="141">IFERROR(IF($A2247="","",MID($A2247,FIND(" | ",$A2247)+3,FIND(" | ",$A2247,FIND(" | ",$A2247)+3)-FIND(" | ",$A2247)-3)),"")</f>
        <v/>
      </c>
      <c r="D2247" s="26" t="str">
        <f t="shared" ref="D2247:D2310" si="142">IFERROR(IF($A2247="","",RIGHT($A2247,LEN($A2247)-FIND(" | ",$A2247,FIND(" | ",$A2247)+3)-2)),"")</f>
        <v/>
      </c>
      <c r="E2247" s="29"/>
      <c r="F2247" s="22"/>
      <c r="G2247" s="22"/>
      <c r="H2247" s="22"/>
      <c r="I2247" s="24"/>
      <c r="J2247" s="24"/>
      <c r="K2247" s="24"/>
      <c r="L2247" s="24"/>
      <c r="M2247" s="27" t="str">
        <f t="shared" ref="M2247:M2310" si="143">IF($B2247="","",SUM($J2247,-$K2247,$L2247))</f>
        <v/>
      </c>
      <c r="N2247" s="25"/>
      <c r="O2247" s="22"/>
      <c r="P2247" s="24"/>
      <c r="Q2247" s="26"/>
    </row>
    <row r="2248" spans="1:17" ht="15" x14ac:dyDescent="0.15">
      <c r="A2248" s="22"/>
      <c r="B2248" s="26" t="str">
        <f t="shared" si="140"/>
        <v/>
      </c>
      <c r="C2248" s="26" t="str">
        <f t="shared" si="141"/>
        <v/>
      </c>
      <c r="D2248" s="26" t="str">
        <f t="shared" si="142"/>
        <v/>
      </c>
      <c r="E2248" s="29"/>
      <c r="F2248" s="22"/>
      <c r="G2248" s="22"/>
      <c r="H2248" s="22"/>
      <c r="I2248" s="24"/>
      <c r="J2248" s="24"/>
      <c r="K2248" s="24"/>
      <c r="L2248" s="24"/>
      <c r="M2248" s="27" t="str">
        <f t="shared" si="143"/>
        <v/>
      </c>
      <c r="N2248" s="25"/>
      <c r="O2248" s="22"/>
      <c r="P2248" s="24"/>
      <c r="Q2248" s="26"/>
    </row>
    <row r="2249" spans="1:17" ht="15" x14ac:dyDescent="0.15">
      <c r="A2249" s="22"/>
      <c r="B2249" s="26" t="str">
        <f t="shared" si="140"/>
        <v/>
      </c>
      <c r="C2249" s="26" t="str">
        <f t="shared" si="141"/>
        <v/>
      </c>
      <c r="D2249" s="26" t="str">
        <f t="shared" si="142"/>
        <v/>
      </c>
      <c r="E2249" s="29"/>
      <c r="F2249" s="22"/>
      <c r="G2249" s="22"/>
      <c r="H2249" s="22"/>
      <c r="I2249" s="24"/>
      <c r="J2249" s="24"/>
      <c r="K2249" s="24"/>
      <c r="L2249" s="24"/>
      <c r="M2249" s="27" t="str">
        <f t="shared" si="143"/>
        <v/>
      </c>
      <c r="N2249" s="25"/>
      <c r="O2249" s="22"/>
      <c r="P2249" s="24"/>
      <c r="Q2249" s="26"/>
    </row>
    <row r="2250" spans="1:17" ht="15" x14ac:dyDescent="0.15">
      <c r="A2250" s="22"/>
      <c r="B2250" s="26" t="str">
        <f t="shared" si="140"/>
        <v/>
      </c>
      <c r="C2250" s="26" t="str">
        <f t="shared" si="141"/>
        <v/>
      </c>
      <c r="D2250" s="26" t="str">
        <f t="shared" si="142"/>
        <v/>
      </c>
      <c r="E2250" s="29"/>
      <c r="F2250" s="22"/>
      <c r="G2250" s="22"/>
      <c r="H2250" s="22"/>
      <c r="I2250" s="24"/>
      <c r="J2250" s="24"/>
      <c r="K2250" s="24"/>
      <c r="L2250" s="24"/>
      <c r="M2250" s="27" t="str">
        <f t="shared" si="143"/>
        <v/>
      </c>
      <c r="N2250" s="25"/>
      <c r="O2250" s="22"/>
      <c r="P2250" s="24"/>
      <c r="Q2250" s="26"/>
    </row>
    <row r="2251" spans="1:17" ht="15" x14ac:dyDescent="0.15">
      <c r="A2251" s="22"/>
      <c r="B2251" s="26" t="str">
        <f t="shared" si="140"/>
        <v/>
      </c>
      <c r="C2251" s="26" t="str">
        <f t="shared" si="141"/>
        <v/>
      </c>
      <c r="D2251" s="26" t="str">
        <f t="shared" si="142"/>
        <v/>
      </c>
      <c r="E2251" s="29"/>
      <c r="F2251" s="22"/>
      <c r="G2251" s="22"/>
      <c r="H2251" s="22"/>
      <c r="I2251" s="24"/>
      <c r="J2251" s="24"/>
      <c r="K2251" s="24"/>
      <c r="L2251" s="24"/>
      <c r="M2251" s="27" t="str">
        <f t="shared" si="143"/>
        <v/>
      </c>
      <c r="N2251" s="25"/>
      <c r="O2251" s="22"/>
      <c r="P2251" s="24"/>
      <c r="Q2251" s="26"/>
    </row>
    <row r="2252" spans="1:17" ht="15" x14ac:dyDescent="0.15">
      <c r="A2252" s="22"/>
      <c r="B2252" s="26" t="str">
        <f t="shared" si="140"/>
        <v/>
      </c>
      <c r="C2252" s="26" t="str">
        <f t="shared" si="141"/>
        <v/>
      </c>
      <c r="D2252" s="26" t="str">
        <f t="shared" si="142"/>
        <v/>
      </c>
      <c r="E2252" s="29"/>
      <c r="F2252" s="22"/>
      <c r="G2252" s="22"/>
      <c r="H2252" s="22"/>
      <c r="I2252" s="24"/>
      <c r="J2252" s="24"/>
      <c r="K2252" s="24"/>
      <c r="L2252" s="24"/>
      <c r="M2252" s="27" t="str">
        <f t="shared" si="143"/>
        <v/>
      </c>
      <c r="N2252" s="25"/>
      <c r="O2252" s="22"/>
      <c r="P2252" s="24"/>
      <c r="Q2252" s="26"/>
    </row>
    <row r="2253" spans="1:17" ht="15" x14ac:dyDescent="0.15">
      <c r="A2253" s="22"/>
      <c r="B2253" s="26" t="str">
        <f t="shared" si="140"/>
        <v/>
      </c>
      <c r="C2253" s="26" t="str">
        <f t="shared" si="141"/>
        <v/>
      </c>
      <c r="D2253" s="26" t="str">
        <f t="shared" si="142"/>
        <v/>
      </c>
      <c r="E2253" s="29"/>
      <c r="F2253" s="22"/>
      <c r="G2253" s="22"/>
      <c r="H2253" s="22"/>
      <c r="I2253" s="24"/>
      <c r="J2253" s="24"/>
      <c r="K2253" s="24"/>
      <c r="L2253" s="24"/>
      <c r="M2253" s="27" t="str">
        <f t="shared" si="143"/>
        <v/>
      </c>
      <c r="N2253" s="25"/>
      <c r="O2253" s="22"/>
      <c r="P2253" s="24"/>
      <c r="Q2253" s="26"/>
    </row>
    <row r="2254" spans="1:17" ht="15" x14ac:dyDescent="0.15">
      <c r="A2254" s="22"/>
      <c r="B2254" s="26" t="str">
        <f t="shared" si="140"/>
        <v/>
      </c>
      <c r="C2254" s="26" t="str">
        <f t="shared" si="141"/>
        <v/>
      </c>
      <c r="D2254" s="26" t="str">
        <f t="shared" si="142"/>
        <v/>
      </c>
      <c r="E2254" s="29"/>
      <c r="F2254" s="22"/>
      <c r="G2254" s="22"/>
      <c r="H2254" s="22"/>
      <c r="I2254" s="24"/>
      <c r="J2254" s="24"/>
      <c r="K2254" s="24"/>
      <c r="L2254" s="24"/>
      <c r="M2254" s="27" t="str">
        <f t="shared" si="143"/>
        <v/>
      </c>
      <c r="N2254" s="25"/>
      <c r="O2254" s="22"/>
      <c r="P2254" s="24"/>
      <c r="Q2254" s="26"/>
    </row>
    <row r="2255" spans="1:17" ht="15" x14ac:dyDescent="0.15">
      <c r="A2255" s="22"/>
      <c r="B2255" s="26" t="str">
        <f t="shared" si="140"/>
        <v/>
      </c>
      <c r="C2255" s="26" t="str">
        <f t="shared" si="141"/>
        <v/>
      </c>
      <c r="D2255" s="26" t="str">
        <f t="shared" si="142"/>
        <v/>
      </c>
      <c r="E2255" s="29"/>
      <c r="F2255" s="22"/>
      <c r="G2255" s="22"/>
      <c r="H2255" s="22"/>
      <c r="I2255" s="24"/>
      <c r="J2255" s="24"/>
      <c r="K2255" s="24"/>
      <c r="L2255" s="24"/>
      <c r="M2255" s="27" t="str">
        <f t="shared" si="143"/>
        <v/>
      </c>
      <c r="N2255" s="25"/>
      <c r="O2255" s="22"/>
      <c r="P2255" s="24"/>
      <c r="Q2255" s="26"/>
    </row>
    <row r="2256" spans="1:17" ht="15" x14ac:dyDescent="0.15">
      <c r="A2256" s="22"/>
      <c r="B2256" s="26" t="str">
        <f t="shared" si="140"/>
        <v/>
      </c>
      <c r="C2256" s="26" t="str">
        <f t="shared" si="141"/>
        <v/>
      </c>
      <c r="D2256" s="26" t="str">
        <f t="shared" si="142"/>
        <v/>
      </c>
      <c r="E2256" s="29"/>
      <c r="F2256" s="22"/>
      <c r="G2256" s="22"/>
      <c r="H2256" s="22"/>
      <c r="I2256" s="24"/>
      <c r="J2256" s="24"/>
      <c r="K2256" s="24"/>
      <c r="L2256" s="24"/>
      <c r="M2256" s="27" t="str">
        <f t="shared" si="143"/>
        <v/>
      </c>
      <c r="N2256" s="25"/>
      <c r="O2256" s="22"/>
      <c r="P2256" s="24"/>
      <c r="Q2256" s="26"/>
    </row>
    <row r="2257" spans="1:17" ht="15" x14ac:dyDescent="0.15">
      <c r="A2257" s="22"/>
      <c r="B2257" s="26" t="str">
        <f t="shared" si="140"/>
        <v/>
      </c>
      <c r="C2257" s="26" t="str">
        <f t="shared" si="141"/>
        <v/>
      </c>
      <c r="D2257" s="26" t="str">
        <f t="shared" si="142"/>
        <v/>
      </c>
      <c r="E2257" s="29"/>
      <c r="F2257" s="22"/>
      <c r="G2257" s="22"/>
      <c r="H2257" s="22"/>
      <c r="I2257" s="24"/>
      <c r="J2257" s="24"/>
      <c r="K2257" s="24"/>
      <c r="L2257" s="24"/>
      <c r="M2257" s="27" t="str">
        <f t="shared" si="143"/>
        <v/>
      </c>
      <c r="N2257" s="25"/>
      <c r="O2257" s="22"/>
      <c r="P2257" s="24"/>
      <c r="Q2257" s="26"/>
    </row>
    <row r="2258" spans="1:17" ht="15" x14ac:dyDescent="0.15">
      <c r="A2258" s="22"/>
      <c r="B2258" s="26" t="str">
        <f t="shared" si="140"/>
        <v/>
      </c>
      <c r="C2258" s="26" t="str">
        <f t="shared" si="141"/>
        <v/>
      </c>
      <c r="D2258" s="26" t="str">
        <f t="shared" si="142"/>
        <v/>
      </c>
      <c r="E2258" s="29"/>
      <c r="F2258" s="22"/>
      <c r="G2258" s="22"/>
      <c r="H2258" s="22"/>
      <c r="I2258" s="24"/>
      <c r="J2258" s="24"/>
      <c r="K2258" s="24"/>
      <c r="L2258" s="24"/>
      <c r="M2258" s="27" t="str">
        <f t="shared" si="143"/>
        <v/>
      </c>
      <c r="N2258" s="25"/>
      <c r="O2258" s="22"/>
      <c r="P2258" s="24"/>
      <c r="Q2258" s="26"/>
    </row>
    <row r="2259" spans="1:17" ht="15" x14ac:dyDescent="0.15">
      <c r="A2259" s="22"/>
      <c r="B2259" s="26" t="str">
        <f t="shared" si="140"/>
        <v/>
      </c>
      <c r="C2259" s="26" t="str">
        <f t="shared" si="141"/>
        <v/>
      </c>
      <c r="D2259" s="26" t="str">
        <f t="shared" si="142"/>
        <v/>
      </c>
      <c r="E2259" s="29"/>
      <c r="F2259" s="22"/>
      <c r="G2259" s="22"/>
      <c r="H2259" s="22"/>
      <c r="I2259" s="24"/>
      <c r="J2259" s="24"/>
      <c r="K2259" s="24"/>
      <c r="L2259" s="24"/>
      <c r="M2259" s="27" t="str">
        <f t="shared" si="143"/>
        <v/>
      </c>
      <c r="N2259" s="25"/>
      <c r="O2259" s="22"/>
      <c r="P2259" s="24"/>
      <c r="Q2259" s="26"/>
    </row>
    <row r="2260" spans="1:17" ht="15" x14ac:dyDescent="0.15">
      <c r="A2260" s="22"/>
      <c r="B2260" s="26" t="str">
        <f t="shared" si="140"/>
        <v/>
      </c>
      <c r="C2260" s="26" t="str">
        <f t="shared" si="141"/>
        <v/>
      </c>
      <c r="D2260" s="26" t="str">
        <f t="shared" si="142"/>
        <v/>
      </c>
      <c r="E2260" s="29"/>
      <c r="F2260" s="22"/>
      <c r="G2260" s="22"/>
      <c r="H2260" s="22"/>
      <c r="I2260" s="24"/>
      <c r="J2260" s="24"/>
      <c r="K2260" s="24"/>
      <c r="L2260" s="24"/>
      <c r="M2260" s="27" t="str">
        <f t="shared" si="143"/>
        <v/>
      </c>
      <c r="N2260" s="25"/>
      <c r="O2260" s="22"/>
      <c r="P2260" s="24"/>
      <c r="Q2260" s="26"/>
    </row>
    <row r="2261" spans="1:17" ht="15" x14ac:dyDescent="0.15">
      <c r="A2261" s="22"/>
      <c r="B2261" s="26" t="str">
        <f t="shared" si="140"/>
        <v/>
      </c>
      <c r="C2261" s="26" t="str">
        <f t="shared" si="141"/>
        <v/>
      </c>
      <c r="D2261" s="26" t="str">
        <f t="shared" si="142"/>
        <v/>
      </c>
      <c r="E2261" s="29"/>
      <c r="F2261" s="22"/>
      <c r="G2261" s="22"/>
      <c r="H2261" s="22"/>
      <c r="I2261" s="24"/>
      <c r="J2261" s="24"/>
      <c r="K2261" s="24"/>
      <c r="L2261" s="24"/>
      <c r="M2261" s="27" t="str">
        <f t="shared" si="143"/>
        <v/>
      </c>
      <c r="N2261" s="25"/>
      <c r="O2261" s="22"/>
      <c r="P2261" s="24"/>
      <c r="Q2261" s="26"/>
    </row>
    <row r="2262" spans="1:17" ht="15" x14ac:dyDescent="0.15">
      <c r="A2262" s="22"/>
      <c r="B2262" s="26" t="str">
        <f t="shared" si="140"/>
        <v/>
      </c>
      <c r="C2262" s="26" t="str">
        <f t="shared" si="141"/>
        <v/>
      </c>
      <c r="D2262" s="26" t="str">
        <f t="shared" si="142"/>
        <v/>
      </c>
      <c r="E2262" s="29"/>
      <c r="F2262" s="22"/>
      <c r="G2262" s="22"/>
      <c r="H2262" s="22"/>
      <c r="I2262" s="24"/>
      <c r="J2262" s="24"/>
      <c r="K2262" s="24"/>
      <c r="L2262" s="24"/>
      <c r="M2262" s="27" t="str">
        <f t="shared" si="143"/>
        <v/>
      </c>
      <c r="N2262" s="25"/>
      <c r="O2262" s="22"/>
      <c r="P2262" s="24"/>
      <c r="Q2262" s="26"/>
    </row>
    <row r="2263" spans="1:17" ht="15" x14ac:dyDescent="0.15">
      <c r="A2263" s="22"/>
      <c r="B2263" s="26" t="str">
        <f t="shared" si="140"/>
        <v/>
      </c>
      <c r="C2263" s="26" t="str">
        <f t="shared" si="141"/>
        <v/>
      </c>
      <c r="D2263" s="26" t="str">
        <f t="shared" si="142"/>
        <v/>
      </c>
      <c r="E2263" s="29"/>
      <c r="F2263" s="22"/>
      <c r="G2263" s="22"/>
      <c r="H2263" s="22"/>
      <c r="I2263" s="24"/>
      <c r="J2263" s="24"/>
      <c r="K2263" s="24"/>
      <c r="L2263" s="24"/>
      <c r="M2263" s="27" t="str">
        <f t="shared" si="143"/>
        <v/>
      </c>
      <c r="N2263" s="25"/>
      <c r="O2263" s="22"/>
      <c r="P2263" s="24"/>
      <c r="Q2263" s="26"/>
    </row>
    <row r="2264" spans="1:17" ht="15" x14ac:dyDescent="0.15">
      <c r="A2264" s="22"/>
      <c r="B2264" s="26" t="str">
        <f t="shared" si="140"/>
        <v/>
      </c>
      <c r="C2264" s="26" t="str">
        <f t="shared" si="141"/>
        <v/>
      </c>
      <c r="D2264" s="26" t="str">
        <f t="shared" si="142"/>
        <v/>
      </c>
      <c r="E2264" s="29"/>
      <c r="F2264" s="22"/>
      <c r="G2264" s="22"/>
      <c r="H2264" s="22"/>
      <c r="I2264" s="24"/>
      <c r="J2264" s="24"/>
      <c r="K2264" s="24"/>
      <c r="L2264" s="24"/>
      <c r="M2264" s="27" t="str">
        <f t="shared" si="143"/>
        <v/>
      </c>
      <c r="N2264" s="25"/>
      <c r="O2264" s="22"/>
      <c r="P2264" s="24"/>
      <c r="Q2264" s="26"/>
    </row>
    <row r="2265" spans="1:17" ht="15" x14ac:dyDescent="0.15">
      <c r="A2265" s="22"/>
      <c r="B2265" s="26" t="str">
        <f t="shared" si="140"/>
        <v/>
      </c>
      <c r="C2265" s="26" t="str">
        <f t="shared" si="141"/>
        <v/>
      </c>
      <c r="D2265" s="26" t="str">
        <f t="shared" si="142"/>
        <v/>
      </c>
      <c r="E2265" s="29"/>
      <c r="F2265" s="22"/>
      <c r="G2265" s="22"/>
      <c r="H2265" s="22"/>
      <c r="I2265" s="24"/>
      <c r="J2265" s="24"/>
      <c r="K2265" s="24"/>
      <c r="L2265" s="24"/>
      <c r="M2265" s="27" t="str">
        <f t="shared" si="143"/>
        <v/>
      </c>
      <c r="N2265" s="25"/>
      <c r="O2265" s="22"/>
      <c r="P2265" s="24"/>
      <c r="Q2265" s="26"/>
    </row>
    <row r="2266" spans="1:17" ht="15" x14ac:dyDescent="0.15">
      <c r="A2266" s="22"/>
      <c r="B2266" s="26" t="str">
        <f t="shared" si="140"/>
        <v/>
      </c>
      <c r="C2266" s="26" t="str">
        <f t="shared" si="141"/>
        <v/>
      </c>
      <c r="D2266" s="26" t="str">
        <f t="shared" si="142"/>
        <v/>
      </c>
      <c r="E2266" s="29"/>
      <c r="F2266" s="22"/>
      <c r="G2266" s="22"/>
      <c r="H2266" s="22"/>
      <c r="I2266" s="24"/>
      <c r="J2266" s="24"/>
      <c r="K2266" s="24"/>
      <c r="L2266" s="24"/>
      <c r="M2266" s="27" t="str">
        <f t="shared" si="143"/>
        <v/>
      </c>
      <c r="N2266" s="25"/>
      <c r="O2266" s="22"/>
      <c r="P2266" s="24"/>
      <c r="Q2266" s="26"/>
    </row>
    <row r="2267" spans="1:17" ht="15" x14ac:dyDescent="0.15">
      <c r="A2267" s="22"/>
      <c r="B2267" s="26" t="str">
        <f t="shared" si="140"/>
        <v/>
      </c>
      <c r="C2267" s="26" t="str">
        <f t="shared" si="141"/>
        <v/>
      </c>
      <c r="D2267" s="26" t="str">
        <f t="shared" si="142"/>
        <v/>
      </c>
      <c r="E2267" s="29"/>
      <c r="F2267" s="22"/>
      <c r="G2267" s="22"/>
      <c r="H2267" s="22"/>
      <c r="I2267" s="24"/>
      <c r="J2267" s="24"/>
      <c r="K2267" s="24"/>
      <c r="L2267" s="24"/>
      <c r="M2267" s="27" t="str">
        <f t="shared" si="143"/>
        <v/>
      </c>
      <c r="N2267" s="25"/>
      <c r="O2267" s="22"/>
      <c r="P2267" s="24"/>
      <c r="Q2267" s="26"/>
    </row>
    <row r="2268" spans="1:17" ht="15" x14ac:dyDescent="0.15">
      <c r="A2268" s="22"/>
      <c r="B2268" s="26" t="str">
        <f t="shared" si="140"/>
        <v/>
      </c>
      <c r="C2268" s="26" t="str">
        <f t="shared" si="141"/>
        <v/>
      </c>
      <c r="D2268" s="26" t="str">
        <f t="shared" si="142"/>
        <v/>
      </c>
      <c r="E2268" s="29"/>
      <c r="F2268" s="22"/>
      <c r="G2268" s="22"/>
      <c r="H2268" s="22"/>
      <c r="I2268" s="24"/>
      <c r="J2268" s="24"/>
      <c r="K2268" s="24"/>
      <c r="L2268" s="24"/>
      <c r="M2268" s="27" t="str">
        <f t="shared" si="143"/>
        <v/>
      </c>
      <c r="N2268" s="25"/>
      <c r="O2268" s="22"/>
      <c r="P2268" s="24"/>
      <c r="Q2268" s="26"/>
    </row>
    <row r="2269" spans="1:17" ht="15" x14ac:dyDescent="0.15">
      <c r="A2269" s="22"/>
      <c r="B2269" s="26" t="str">
        <f t="shared" si="140"/>
        <v/>
      </c>
      <c r="C2269" s="26" t="str">
        <f t="shared" si="141"/>
        <v/>
      </c>
      <c r="D2269" s="26" t="str">
        <f t="shared" si="142"/>
        <v/>
      </c>
      <c r="E2269" s="29"/>
      <c r="F2269" s="22"/>
      <c r="G2269" s="22"/>
      <c r="H2269" s="22"/>
      <c r="I2269" s="24"/>
      <c r="J2269" s="24"/>
      <c r="K2269" s="24"/>
      <c r="L2269" s="24"/>
      <c r="M2269" s="27" t="str">
        <f t="shared" si="143"/>
        <v/>
      </c>
      <c r="N2269" s="25"/>
      <c r="O2269" s="22"/>
      <c r="P2269" s="24"/>
      <c r="Q2269" s="26"/>
    </row>
    <row r="2270" spans="1:17" ht="15" x14ac:dyDescent="0.15">
      <c r="A2270" s="22"/>
      <c r="B2270" s="26" t="str">
        <f t="shared" si="140"/>
        <v/>
      </c>
      <c r="C2270" s="26" t="str">
        <f t="shared" si="141"/>
        <v/>
      </c>
      <c r="D2270" s="26" t="str">
        <f t="shared" si="142"/>
        <v/>
      </c>
      <c r="E2270" s="29"/>
      <c r="F2270" s="22"/>
      <c r="G2270" s="22"/>
      <c r="H2270" s="22"/>
      <c r="I2270" s="24"/>
      <c r="J2270" s="24"/>
      <c r="K2270" s="24"/>
      <c r="L2270" s="24"/>
      <c r="M2270" s="27" t="str">
        <f t="shared" si="143"/>
        <v/>
      </c>
      <c r="N2270" s="25"/>
      <c r="O2270" s="22"/>
      <c r="P2270" s="24"/>
      <c r="Q2270" s="26"/>
    </row>
    <row r="2271" spans="1:17" ht="15" x14ac:dyDescent="0.15">
      <c r="A2271" s="22"/>
      <c r="B2271" s="26" t="str">
        <f t="shared" si="140"/>
        <v/>
      </c>
      <c r="C2271" s="26" t="str">
        <f t="shared" si="141"/>
        <v/>
      </c>
      <c r="D2271" s="26" t="str">
        <f t="shared" si="142"/>
        <v/>
      </c>
      <c r="E2271" s="29"/>
      <c r="F2271" s="22"/>
      <c r="G2271" s="22"/>
      <c r="H2271" s="22"/>
      <c r="I2271" s="24"/>
      <c r="J2271" s="24"/>
      <c r="K2271" s="24"/>
      <c r="L2271" s="24"/>
      <c r="M2271" s="27" t="str">
        <f t="shared" si="143"/>
        <v/>
      </c>
      <c r="N2271" s="25"/>
      <c r="O2271" s="22"/>
      <c r="P2271" s="24"/>
      <c r="Q2271" s="26"/>
    </row>
    <row r="2272" spans="1:17" ht="15" x14ac:dyDescent="0.15">
      <c r="A2272" s="22"/>
      <c r="B2272" s="26" t="str">
        <f t="shared" si="140"/>
        <v/>
      </c>
      <c r="C2272" s="26" t="str">
        <f t="shared" si="141"/>
        <v/>
      </c>
      <c r="D2272" s="26" t="str">
        <f t="shared" si="142"/>
        <v/>
      </c>
      <c r="E2272" s="29"/>
      <c r="F2272" s="22"/>
      <c r="G2272" s="22"/>
      <c r="H2272" s="22"/>
      <c r="I2272" s="24"/>
      <c r="J2272" s="24"/>
      <c r="K2272" s="24"/>
      <c r="L2272" s="24"/>
      <c r="M2272" s="27" t="str">
        <f t="shared" si="143"/>
        <v/>
      </c>
      <c r="N2272" s="25"/>
      <c r="O2272" s="22"/>
      <c r="P2272" s="24"/>
      <c r="Q2272" s="26"/>
    </row>
    <row r="2273" spans="1:17" ht="15" x14ac:dyDescent="0.15">
      <c r="A2273" s="22"/>
      <c r="B2273" s="26" t="str">
        <f t="shared" si="140"/>
        <v/>
      </c>
      <c r="C2273" s="26" t="str">
        <f t="shared" si="141"/>
        <v/>
      </c>
      <c r="D2273" s="26" t="str">
        <f t="shared" si="142"/>
        <v/>
      </c>
      <c r="E2273" s="29"/>
      <c r="F2273" s="22"/>
      <c r="G2273" s="22"/>
      <c r="H2273" s="22"/>
      <c r="I2273" s="24"/>
      <c r="J2273" s="24"/>
      <c r="K2273" s="24"/>
      <c r="L2273" s="24"/>
      <c r="M2273" s="27" t="str">
        <f t="shared" si="143"/>
        <v/>
      </c>
      <c r="N2273" s="25"/>
      <c r="O2273" s="22"/>
      <c r="P2273" s="24"/>
      <c r="Q2273" s="26"/>
    </row>
    <row r="2274" spans="1:17" ht="15" x14ac:dyDescent="0.15">
      <c r="A2274" s="22"/>
      <c r="B2274" s="26" t="str">
        <f t="shared" si="140"/>
        <v/>
      </c>
      <c r="C2274" s="26" t="str">
        <f t="shared" si="141"/>
        <v/>
      </c>
      <c r="D2274" s="26" t="str">
        <f t="shared" si="142"/>
        <v/>
      </c>
      <c r="E2274" s="29"/>
      <c r="F2274" s="22"/>
      <c r="G2274" s="22"/>
      <c r="H2274" s="22"/>
      <c r="I2274" s="24"/>
      <c r="J2274" s="24"/>
      <c r="K2274" s="24"/>
      <c r="L2274" s="24"/>
      <c r="M2274" s="27" t="str">
        <f t="shared" si="143"/>
        <v/>
      </c>
      <c r="N2274" s="25"/>
      <c r="O2274" s="22"/>
      <c r="P2274" s="24"/>
      <c r="Q2274" s="26"/>
    </row>
    <row r="2275" spans="1:17" ht="15" x14ac:dyDescent="0.15">
      <c r="A2275" s="22"/>
      <c r="B2275" s="26" t="str">
        <f t="shared" si="140"/>
        <v/>
      </c>
      <c r="C2275" s="26" t="str">
        <f t="shared" si="141"/>
        <v/>
      </c>
      <c r="D2275" s="26" t="str">
        <f t="shared" si="142"/>
        <v/>
      </c>
      <c r="E2275" s="29"/>
      <c r="F2275" s="22"/>
      <c r="G2275" s="22"/>
      <c r="H2275" s="22"/>
      <c r="I2275" s="24"/>
      <c r="J2275" s="24"/>
      <c r="K2275" s="24"/>
      <c r="L2275" s="24"/>
      <c r="M2275" s="27" t="str">
        <f t="shared" si="143"/>
        <v/>
      </c>
      <c r="N2275" s="25"/>
      <c r="O2275" s="22"/>
      <c r="P2275" s="24"/>
      <c r="Q2275" s="26"/>
    </row>
    <row r="2276" spans="1:17" ht="15" x14ac:dyDescent="0.15">
      <c r="A2276" s="22"/>
      <c r="B2276" s="26" t="str">
        <f t="shared" si="140"/>
        <v/>
      </c>
      <c r="C2276" s="26" t="str">
        <f t="shared" si="141"/>
        <v/>
      </c>
      <c r="D2276" s="26" t="str">
        <f t="shared" si="142"/>
        <v/>
      </c>
      <c r="E2276" s="29"/>
      <c r="F2276" s="22"/>
      <c r="G2276" s="22"/>
      <c r="H2276" s="22"/>
      <c r="I2276" s="24"/>
      <c r="J2276" s="24"/>
      <c r="K2276" s="24"/>
      <c r="L2276" s="24"/>
      <c r="M2276" s="27" t="str">
        <f t="shared" si="143"/>
        <v/>
      </c>
      <c r="N2276" s="25"/>
      <c r="O2276" s="22"/>
      <c r="P2276" s="24"/>
      <c r="Q2276" s="26"/>
    </row>
    <row r="2277" spans="1:17" ht="15" x14ac:dyDescent="0.15">
      <c r="A2277" s="22"/>
      <c r="B2277" s="26" t="str">
        <f t="shared" si="140"/>
        <v/>
      </c>
      <c r="C2277" s="26" t="str">
        <f t="shared" si="141"/>
        <v/>
      </c>
      <c r="D2277" s="26" t="str">
        <f t="shared" si="142"/>
        <v/>
      </c>
      <c r="E2277" s="29"/>
      <c r="F2277" s="22"/>
      <c r="G2277" s="22"/>
      <c r="H2277" s="22"/>
      <c r="I2277" s="24"/>
      <c r="J2277" s="24"/>
      <c r="K2277" s="24"/>
      <c r="L2277" s="24"/>
      <c r="M2277" s="27" t="str">
        <f t="shared" si="143"/>
        <v/>
      </c>
      <c r="N2277" s="25"/>
      <c r="O2277" s="22"/>
      <c r="P2277" s="24"/>
      <c r="Q2277" s="26"/>
    </row>
    <row r="2278" spans="1:17" ht="15" x14ac:dyDescent="0.15">
      <c r="A2278" s="22"/>
      <c r="B2278" s="26" t="str">
        <f t="shared" si="140"/>
        <v/>
      </c>
      <c r="C2278" s="26" t="str">
        <f t="shared" si="141"/>
        <v/>
      </c>
      <c r="D2278" s="26" t="str">
        <f t="shared" si="142"/>
        <v/>
      </c>
      <c r="E2278" s="29"/>
      <c r="F2278" s="22"/>
      <c r="G2278" s="22"/>
      <c r="H2278" s="22"/>
      <c r="I2278" s="24"/>
      <c r="J2278" s="24"/>
      <c r="K2278" s="24"/>
      <c r="L2278" s="24"/>
      <c r="M2278" s="27" t="str">
        <f t="shared" si="143"/>
        <v/>
      </c>
      <c r="N2278" s="25"/>
      <c r="O2278" s="22"/>
      <c r="P2278" s="24"/>
      <c r="Q2278" s="26"/>
    </row>
    <row r="2279" spans="1:17" ht="15" x14ac:dyDescent="0.15">
      <c r="A2279" s="22"/>
      <c r="B2279" s="26" t="str">
        <f t="shared" si="140"/>
        <v/>
      </c>
      <c r="C2279" s="26" t="str">
        <f t="shared" si="141"/>
        <v/>
      </c>
      <c r="D2279" s="26" t="str">
        <f t="shared" si="142"/>
        <v/>
      </c>
      <c r="E2279" s="29"/>
      <c r="F2279" s="22"/>
      <c r="G2279" s="22"/>
      <c r="H2279" s="22"/>
      <c r="I2279" s="24"/>
      <c r="J2279" s="24"/>
      <c r="K2279" s="24"/>
      <c r="L2279" s="24"/>
      <c r="M2279" s="27" t="str">
        <f t="shared" si="143"/>
        <v/>
      </c>
      <c r="N2279" s="25"/>
      <c r="O2279" s="22"/>
      <c r="P2279" s="24"/>
      <c r="Q2279" s="26"/>
    </row>
    <row r="2280" spans="1:17" ht="15" x14ac:dyDescent="0.15">
      <c r="A2280" s="22"/>
      <c r="B2280" s="26" t="str">
        <f t="shared" si="140"/>
        <v/>
      </c>
      <c r="C2280" s="26" t="str">
        <f t="shared" si="141"/>
        <v/>
      </c>
      <c r="D2280" s="26" t="str">
        <f t="shared" si="142"/>
        <v/>
      </c>
      <c r="E2280" s="29"/>
      <c r="F2280" s="22"/>
      <c r="G2280" s="22"/>
      <c r="H2280" s="22"/>
      <c r="I2280" s="24"/>
      <c r="J2280" s="24"/>
      <c r="K2280" s="24"/>
      <c r="L2280" s="24"/>
      <c r="M2280" s="27" t="str">
        <f t="shared" si="143"/>
        <v/>
      </c>
      <c r="N2280" s="25"/>
      <c r="O2280" s="22"/>
      <c r="P2280" s="24"/>
      <c r="Q2280" s="26"/>
    </row>
    <row r="2281" spans="1:17" ht="15" x14ac:dyDescent="0.15">
      <c r="A2281" s="22"/>
      <c r="B2281" s="26" t="str">
        <f t="shared" si="140"/>
        <v/>
      </c>
      <c r="C2281" s="26" t="str">
        <f t="shared" si="141"/>
        <v/>
      </c>
      <c r="D2281" s="26" t="str">
        <f t="shared" si="142"/>
        <v/>
      </c>
      <c r="E2281" s="29"/>
      <c r="F2281" s="22"/>
      <c r="G2281" s="22"/>
      <c r="H2281" s="22"/>
      <c r="I2281" s="24"/>
      <c r="J2281" s="24"/>
      <c r="K2281" s="24"/>
      <c r="L2281" s="24"/>
      <c r="M2281" s="27" t="str">
        <f t="shared" si="143"/>
        <v/>
      </c>
      <c r="N2281" s="25"/>
      <c r="O2281" s="22"/>
      <c r="P2281" s="24"/>
      <c r="Q2281" s="26"/>
    </row>
    <row r="2282" spans="1:17" ht="15" x14ac:dyDescent="0.15">
      <c r="A2282" s="22"/>
      <c r="B2282" s="26" t="str">
        <f t="shared" si="140"/>
        <v/>
      </c>
      <c r="C2282" s="26" t="str">
        <f t="shared" si="141"/>
        <v/>
      </c>
      <c r="D2282" s="26" t="str">
        <f t="shared" si="142"/>
        <v/>
      </c>
      <c r="E2282" s="29"/>
      <c r="F2282" s="22"/>
      <c r="G2282" s="22"/>
      <c r="H2282" s="22"/>
      <c r="I2282" s="24"/>
      <c r="J2282" s="24"/>
      <c r="K2282" s="24"/>
      <c r="L2282" s="24"/>
      <c r="M2282" s="27" t="str">
        <f t="shared" si="143"/>
        <v/>
      </c>
      <c r="N2282" s="25"/>
      <c r="O2282" s="22"/>
      <c r="P2282" s="24"/>
      <c r="Q2282" s="26"/>
    </row>
    <row r="2283" spans="1:17" ht="15" x14ac:dyDescent="0.15">
      <c r="A2283" s="22"/>
      <c r="B2283" s="26" t="str">
        <f t="shared" si="140"/>
        <v/>
      </c>
      <c r="C2283" s="26" t="str">
        <f t="shared" si="141"/>
        <v/>
      </c>
      <c r="D2283" s="26" t="str">
        <f t="shared" si="142"/>
        <v/>
      </c>
      <c r="E2283" s="29"/>
      <c r="F2283" s="22"/>
      <c r="G2283" s="22"/>
      <c r="H2283" s="22"/>
      <c r="I2283" s="24"/>
      <c r="J2283" s="24"/>
      <c r="K2283" s="24"/>
      <c r="L2283" s="24"/>
      <c r="M2283" s="27" t="str">
        <f t="shared" si="143"/>
        <v/>
      </c>
      <c r="N2283" s="25"/>
      <c r="O2283" s="22"/>
      <c r="P2283" s="24"/>
      <c r="Q2283" s="26"/>
    </row>
    <row r="2284" spans="1:17" ht="15" x14ac:dyDescent="0.15">
      <c r="A2284" s="22"/>
      <c r="B2284" s="26" t="str">
        <f t="shared" si="140"/>
        <v/>
      </c>
      <c r="C2284" s="26" t="str">
        <f t="shared" si="141"/>
        <v/>
      </c>
      <c r="D2284" s="26" t="str">
        <f t="shared" si="142"/>
        <v/>
      </c>
      <c r="E2284" s="29"/>
      <c r="F2284" s="22"/>
      <c r="G2284" s="22"/>
      <c r="H2284" s="22"/>
      <c r="I2284" s="24"/>
      <c r="J2284" s="24"/>
      <c r="K2284" s="24"/>
      <c r="L2284" s="24"/>
      <c r="M2284" s="27" t="str">
        <f t="shared" si="143"/>
        <v/>
      </c>
      <c r="N2284" s="25"/>
      <c r="O2284" s="22"/>
      <c r="P2284" s="24"/>
      <c r="Q2284" s="26"/>
    </row>
    <row r="2285" spans="1:17" ht="15" x14ac:dyDescent="0.15">
      <c r="A2285" s="22"/>
      <c r="B2285" s="26" t="str">
        <f t="shared" si="140"/>
        <v/>
      </c>
      <c r="C2285" s="26" t="str">
        <f t="shared" si="141"/>
        <v/>
      </c>
      <c r="D2285" s="26" t="str">
        <f t="shared" si="142"/>
        <v/>
      </c>
      <c r="E2285" s="29"/>
      <c r="F2285" s="22"/>
      <c r="G2285" s="22"/>
      <c r="H2285" s="22"/>
      <c r="I2285" s="24"/>
      <c r="J2285" s="24"/>
      <c r="K2285" s="24"/>
      <c r="L2285" s="24"/>
      <c r="M2285" s="27" t="str">
        <f t="shared" si="143"/>
        <v/>
      </c>
      <c r="N2285" s="25"/>
      <c r="O2285" s="22"/>
      <c r="P2285" s="24"/>
      <c r="Q2285" s="26"/>
    </row>
    <row r="2286" spans="1:17" ht="15" x14ac:dyDescent="0.15">
      <c r="A2286" s="22"/>
      <c r="B2286" s="26" t="str">
        <f t="shared" si="140"/>
        <v/>
      </c>
      <c r="C2286" s="26" t="str">
        <f t="shared" si="141"/>
        <v/>
      </c>
      <c r="D2286" s="26" t="str">
        <f t="shared" si="142"/>
        <v/>
      </c>
      <c r="E2286" s="29"/>
      <c r="F2286" s="22"/>
      <c r="G2286" s="22"/>
      <c r="H2286" s="22"/>
      <c r="I2286" s="24"/>
      <c r="J2286" s="24"/>
      <c r="K2286" s="24"/>
      <c r="L2286" s="24"/>
      <c r="M2286" s="27" t="str">
        <f t="shared" si="143"/>
        <v/>
      </c>
      <c r="N2286" s="25"/>
      <c r="O2286" s="22"/>
      <c r="P2286" s="24"/>
      <c r="Q2286" s="26"/>
    </row>
    <row r="2287" spans="1:17" ht="15" x14ac:dyDescent="0.15">
      <c r="A2287" s="22"/>
      <c r="B2287" s="26" t="str">
        <f t="shared" si="140"/>
        <v/>
      </c>
      <c r="C2287" s="26" t="str">
        <f t="shared" si="141"/>
        <v/>
      </c>
      <c r="D2287" s="26" t="str">
        <f t="shared" si="142"/>
        <v/>
      </c>
      <c r="E2287" s="29"/>
      <c r="F2287" s="22"/>
      <c r="G2287" s="22"/>
      <c r="H2287" s="22"/>
      <c r="I2287" s="24"/>
      <c r="J2287" s="24"/>
      <c r="K2287" s="24"/>
      <c r="L2287" s="24"/>
      <c r="M2287" s="27" t="str">
        <f t="shared" si="143"/>
        <v/>
      </c>
      <c r="N2287" s="25"/>
      <c r="O2287" s="22"/>
      <c r="P2287" s="24"/>
      <c r="Q2287" s="26"/>
    </row>
    <row r="2288" spans="1:17" ht="15" x14ac:dyDescent="0.15">
      <c r="A2288" s="22"/>
      <c r="B2288" s="26" t="str">
        <f t="shared" si="140"/>
        <v/>
      </c>
      <c r="C2288" s="26" t="str">
        <f t="shared" si="141"/>
        <v/>
      </c>
      <c r="D2288" s="26" t="str">
        <f t="shared" si="142"/>
        <v/>
      </c>
      <c r="E2288" s="29"/>
      <c r="F2288" s="22"/>
      <c r="G2288" s="22"/>
      <c r="H2288" s="22"/>
      <c r="I2288" s="24"/>
      <c r="J2288" s="24"/>
      <c r="K2288" s="24"/>
      <c r="L2288" s="24"/>
      <c r="M2288" s="27" t="str">
        <f t="shared" si="143"/>
        <v/>
      </c>
      <c r="N2288" s="25"/>
      <c r="O2288" s="22"/>
      <c r="P2288" s="24"/>
      <c r="Q2288" s="26"/>
    </row>
    <row r="2289" spans="1:17" ht="15" x14ac:dyDescent="0.15">
      <c r="A2289" s="22"/>
      <c r="B2289" s="26" t="str">
        <f t="shared" si="140"/>
        <v/>
      </c>
      <c r="C2289" s="26" t="str">
        <f t="shared" si="141"/>
        <v/>
      </c>
      <c r="D2289" s="26" t="str">
        <f t="shared" si="142"/>
        <v/>
      </c>
      <c r="E2289" s="29"/>
      <c r="F2289" s="22"/>
      <c r="G2289" s="22"/>
      <c r="H2289" s="22"/>
      <c r="I2289" s="24"/>
      <c r="J2289" s="24"/>
      <c r="K2289" s="24"/>
      <c r="L2289" s="24"/>
      <c r="M2289" s="27" t="str">
        <f t="shared" si="143"/>
        <v/>
      </c>
      <c r="N2289" s="25"/>
      <c r="O2289" s="22"/>
      <c r="P2289" s="24"/>
      <c r="Q2289" s="26"/>
    </row>
    <row r="2290" spans="1:17" ht="15" x14ac:dyDescent="0.15">
      <c r="A2290" s="22"/>
      <c r="B2290" s="26" t="str">
        <f t="shared" si="140"/>
        <v/>
      </c>
      <c r="C2290" s="26" t="str">
        <f t="shared" si="141"/>
        <v/>
      </c>
      <c r="D2290" s="26" t="str">
        <f t="shared" si="142"/>
        <v/>
      </c>
      <c r="E2290" s="29"/>
      <c r="F2290" s="22"/>
      <c r="G2290" s="22"/>
      <c r="H2290" s="22"/>
      <c r="I2290" s="24"/>
      <c r="J2290" s="24"/>
      <c r="K2290" s="24"/>
      <c r="L2290" s="24"/>
      <c r="M2290" s="27" t="str">
        <f t="shared" si="143"/>
        <v/>
      </c>
      <c r="N2290" s="25"/>
      <c r="O2290" s="22"/>
      <c r="P2290" s="24"/>
      <c r="Q2290" s="26"/>
    </row>
    <row r="2291" spans="1:17" ht="15" x14ac:dyDescent="0.15">
      <c r="A2291" s="22"/>
      <c r="B2291" s="26" t="str">
        <f t="shared" si="140"/>
        <v/>
      </c>
      <c r="C2291" s="26" t="str">
        <f t="shared" si="141"/>
        <v/>
      </c>
      <c r="D2291" s="26" t="str">
        <f t="shared" si="142"/>
        <v/>
      </c>
      <c r="E2291" s="29"/>
      <c r="F2291" s="22"/>
      <c r="G2291" s="22"/>
      <c r="H2291" s="22"/>
      <c r="I2291" s="24"/>
      <c r="J2291" s="24"/>
      <c r="K2291" s="24"/>
      <c r="L2291" s="24"/>
      <c r="M2291" s="27" t="str">
        <f t="shared" si="143"/>
        <v/>
      </c>
      <c r="N2291" s="25"/>
      <c r="O2291" s="22"/>
      <c r="P2291" s="24"/>
      <c r="Q2291" s="26"/>
    </row>
    <row r="2292" spans="1:17" ht="15" x14ac:dyDescent="0.15">
      <c r="A2292" s="22"/>
      <c r="B2292" s="26" t="str">
        <f t="shared" si="140"/>
        <v/>
      </c>
      <c r="C2292" s="26" t="str">
        <f t="shared" si="141"/>
        <v/>
      </c>
      <c r="D2292" s="26" t="str">
        <f t="shared" si="142"/>
        <v/>
      </c>
      <c r="E2292" s="29"/>
      <c r="F2292" s="22"/>
      <c r="G2292" s="22"/>
      <c r="H2292" s="22"/>
      <c r="I2292" s="24"/>
      <c r="J2292" s="24"/>
      <c r="K2292" s="24"/>
      <c r="L2292" s="24"/>
      <c r="M2292" s="27" t="str">
        <f t="shared" si="143"/>
        <v/>
      </c>
      <c r="N2292" s="25"/>
      <c r="O2292" s="22"/>
      <c r="P2292" s="24"/>
      <c r="Q2292" s="26"/>
    </row>
    <row r="2293" spans="1:17" ht="15" x14ac:dyDescent="0.15">
      <c r="A2293" s="22"/>
      <c r="B2293" s="26" t="str">
        <f t="shared" si="140"/>
        <v/>
      </c>
      <c r="C2293" s="26" t="str">
        <f t="shared" si="141"/>
        <v/>
      </c>
      <c r="D2293" s="26" t="str">
        <f t="shared" si="142"/>
        <v/>
      </c>
      <c r="E2293" s="29"/>
      <c r="F2293" s="22"/>
      <c r="G2293" s="22"/>
      <c r="H2293" s="22"/>
      <c r="I2293" s="24"/>
      <c r="J2293" s="24"/>
      <c r="K2293" s="24"/>
      <c r="L2293" s="24"/>
      <c r="M2293" s="27" t="str">
        <f t="shared" si="143"/>
        <v/>
      </c>
      <c r="N2293" s="25"/>
      <c r="O2293" s="22"/>
      <c r="P2293" s="24"/>
      <c r="Q2293" s="26"/>
    </row>
    <row r="2294" spans="1:17" ht="15" x14ac:dyDescent="0.15">
      <c r="A2294" s="22"/>
      <c r="B2294" s="26" t="str">
        <f t="shared" si="140"/>
        <v/>
      </c>
      <c r="C2294" s="26" t="str">
        <f t="shared" si="141"/>
        <v/>
      </c>
      <c r="D2294" s="26" t="str">
        <f t="shared" si="142"/>
        <v/>
      </c>
      <c r="E2294" s="29"/>
      <c r="F2294" s="22"/>
      <c r="G2294" s="22"/>
      <c r="H2294" s="22"/>
      <c r="I2294" s="24"/>
      <c r="J2294" s="24"/>
      <c r="K2294" s="24"/>
      <c r="L2294" s="24"/>
      <c r="M2294" s="27" t="str">
        <f t="shared" si="143"/>
        <v/>
      </c>
      <c r="N2294" s="25"/>
      <c r="O2294" s="22"/>
      <c r="P2294" s="24"/>
      <c r="Q2294" s="26"/>
    </row>
    <row r="2295" spans="1:17" ht="15" x14ac:dyDescent="0.15">
      <c r="A2295" s="22"/>
      <c r="B2295" s="26" t="str">
        <f t="shared" si="140"/>
        <v/>
      </c>
      <c r="C2295" s="26" t="str">
        <f t="shared" si="141"/>
        <v/>
      </c>
      <c r="D2295" s="26" t="str">
        <f t="shared" si="142"/>
        <v/>
      </c>
      <c r="E2295" s="29"/>
      <c r="F2295" s="22"/>
      <c r="G2295" s="22"/>
      <c r="H2295" s="22"/>
      <c r="I2295" s="24"/>
      <c r="J2295" s="24"/>
      <c r="K2295" s="24"/>
      <c r="L2295" s="24"/>
      <c r="M2295" s="27" t="str">
        <f t="shared" si="143"/>
        <v/>
      </c>
      <c r="N2295" s="25"/>
      <c r="O2295" s="22"/>
      <c r="P2295" s="24"/>
      <c r="Q2295" s="26"/>
    </row>
    <row r="2296" spans="1:17" ht="15" x14ac:dyDescent="0.15">
      <c r="A2296" s="22"/>
      <c r="B2296" s="26" t="str">
        <f t="shared" si="140"/>
        <v/>
      </c>
      <c r="C2296" s="26" t="str">
        <f t="shared" si="141"/>
        <v/>
      </c>
      <c r="D2296" s="26" t="str">
        <f t="shared" si="142"/>
        <v/>
      </c>
      <c r="E2296" s="29"/>
      <c r="F2296" s="22"/>
      <c r="G2296" s="22"/>
      <c r="H2296" s="22"/>
      <c r="I2296" s="24"/>
      <c r="J2296" s="24"/>
      <c r="K2296" s="24"/>
      <c r="L2296" s="24"/>
      <c r="M2296" s="27" t="str">
        <f t="shared" si="143"/>
        <v/>
      </c>
      <c r="N2296" s="25"/>
      <c r="O2296" s="22"/>
      <c r="P2296" s="24"/>
      <c r="Q2296" s="26"/>
    </row>
    <row r="2297" spans="1:17" ht="15" x14ac:dyDescent="0.15">
      <c r="A2297" s="22"/>
      <c r="B2297" s="26" t="str">
        <f t="shared" si="140"/>
        <v/>
      </c>
      <c r="C2297" s="26" t="str">
        <f t="shared" si="141"/>
        <v/>
      </c>
      <c r="D2297" s="26" t="str">
        <f t="shared" si="142"/>
        <v/>
      </c>
      <c r="E2297" s="29"/>
      <c r="F2297" s="22"/>
      <c r="G2297" s="22"/>
      <c r="H2297" s="22"/>
      <c r="I2297" s="24"/>
      <c r="J2297" s="24"/>
      <c r="K2297" s="24"/>
      <c r="L2297" s="24"/>
      <c r="M2297" s="27" t="str">
        <f t="shared" si="143"/>
        <v/>
      </c>
      <c r="N2297" s="25"/>
      <c r="O2297" s="22"/>
      <c r="P2297" s="24"/>
      <c r="Q2297" s="26"/>
    </row>
    <row r="2298" spans="1:17" ht="15" x14ac:dyDescent="0.15">
      <c r="A2298" s="22"/>
      <c r="B2298" s="26" t="str">
        <f t="shared" si="140"/>
        <v/>
      </c>
      <c r="C2298" s="26" t="str">
        <f t="shared" si="141"/>
        <v/>
      </c>
      <c r="D2298" s="26" t="str">
        <f t="shared" si="142"/>
        <v/>
      </c>
      <c r="E2298" s="29"/>
      <c r="F2298" s="22"/>
      <c r="G2298" s="22"/>
      <c r="H2298" s="22"/>
      <c r="I2298" s="24"/>
      <c r="J2298" s="24"/>
      <c r="K2298" s="24"/>
      <c r="L2298" s="24"/>
      <c r="M2298" s="27" t="str">
        <f t="shared" si="143"/>
        <v/>
      </c>
      <c r="N2298" s="25"/>
      <c r="O2298" s="22"/>
      <c r="P2298" s="24"/>
      <c r="Q2298" s="26"/>
    </row>
    <row r="2299" spans="1:17" ht="15" x14ac:dyDescent="0.15">
      <c r="A2299" s="22"/>
      <c r="B2299" s="26" t="str">
        <f t="shared" si="140"/>
        <v/>
      </c>
      <c r="C2299" s="26" t="str">
        <f t="shared" si="141"/>
        <v/>
      </c>
      <c r="D2299" s="26" t="str">
        <f t="shared" si="142"/>
        <v/>
      </c>
      <c r="E2299" s="29"/>
      <c r="F2299" s="22"/>
      <c r="G2299" s="22"/>
      <c r="H2299" s="22"/>
      <c r="I2299" s="24"/>
      <c r="J2299" s="24"/>
      <c r="K2299" s="24"/>
      <c r="L2299" s="24"/>
      <c r="M2299" s="27" t="str">
        <f t="shared" si="143"/>
        <v/>
      </c>
      <c r="N2299" s="25"/>
      <c r="O2299" s="22"/>
      <c r="P2299" s="24"/>
      <c r="Q2299" s="26"/>
    </row>
    <row r="2300" spans="1:17" ht="15" x14ac:dyDescent="0.15">
      <c r="A2300" s="22"/>
      <c r="B2300" s="26" t="str">
        <f t="shared" si="140"/>
        <v/>
      </c>
      <c r="C2300" s="26" t="str">
        <f t="shared" si="141"/>
        <v/>
      </c>
      <c r="D2300" s="26" t="str">
        <f t="shared" si="142"/>
        <v/>
      </c>
      <c r="E2300" s="29"/>
      <c r="F2300" s="22"/>
      <c r="G2300" s="22"/>
      <c r="H2300" s="22"/>
      <c r="I2300" s="24"/>
      <c r="J2300" s="24"/>
      <c r="K2300" s="24"/>
      <c r="L2300" s="24"/>
      <c r="M2300" s="27" t="str">
        <f t="shared" si="143"/>
        <v/>
      </c>
      <c r="N2300" s="25"/>
      <c r="O2300" s="22"/>
      <c r="P2300" s="24"/>
      <c r="Q2300" s="26"/>
    </row>
    <row r="2301" spans="1:17" ht="15" x14ac:dyDescent="0.15">
      <c r="A2301" s="22"/>
      <c r="B2301" s="26" t="str">
        <f t="shared" si="140"/>
        <v/>
      </c>
      <c r="C2301" s="26" t="str">
        <f t="shared" si="141"/>
        <v/>
      </c>
      <c r="D2301" s="26" t="str">
        <f t="shared" si="142"/>
        <v/>
      </c>
      <c r="E2301" s="29"/>
      <c r="F2301" s="22"/>
      <c r="G2301" s="22"/>
      <c r="H2301" s="22"/>
      <c r="I2301" s="24"/>
      <c r="J2301" s="24"/>
      <c r="K2301" s="24"/>
      <c r="L2301" s="24"/>
      <c r="M2301" s="27" t="str">
        <f t="shared" si="143"/>
        <v/>
      </c>
      <c r="N2301" s="25"/>
      <c r="O2301" s="22"/>
      <c r="P2301" s="24"/>
      <c r="Q2301" s="26"/>
    </row>
    <row r="2302" spans="1:17" ht="15" x14ac:dyDescent="0.15">
      <c r="A2302" s="22"/>
      <c r="B2302" s="26" t="str">
        <f t="shared" si="140"/>
        <v/>
      </c>
      <c r="C2302" s="26" t="str">
        <f t="shared" si="141"/>
        <v/>
      </c>
      <c r="D2302" s="26" t="str">
        <f t="shared" si="142"/>
        <v/>
      </c>
      <c r="E2302" s="29"/>
      <c r="F2302" s="22"/>
      <c r="G2302" s="22"/>
      <c r="H2302" s="22"/>
      <c r="I2302" s="24"/>
      <c r="J2302" s="24"/>
      <c r="K2302" s="24"/>
      <c r="L2302" s="24"/>
      <c r="M2302" s="27" t="str">
        <f t="shared" si="143"/>
        <v/>
      </c>
      <c r="N2302" s="25"/>
      <c r="O2302" s="22"/>
      <c r="P2302" s="24"/>
      <c r="Q2302" s="26"/>
    </row>
    <row r="2303" spans="1:17" ht="15" x14ac:dyDescent="0.15">
      <c r="A2303" s="22"/>
      <c r="B2303" s="26" t="str">
        <f t="shared" si="140"/>
        <v/>
      </c>
      <c r="C2303" s="26" t="str">
        <f t="shared" si="141"/>
        <v/>
      </c>
      <c r="D2303" s="26" t="str">
        <f t="shared" si="142"/>
        <v/>
      </c>
      <c r="E2303" s="29"/>
      <c r="F2303" s="22"/>
      <c r="G2303" s="22"/>
      <c r="H2303" s="22"/>
      <c r="I2303" s="24"/>
      <c r="J2303" s="24"/>
      <c r="K2303" s="24"/>
      <c r="L2303" s="24"/>
      <c r="M2303" s="27" t="str">
        <f t="shared" si="143"/>
        <v/>
      </c>
      <c r="N2303" s="25"/>
      <c r="O2303" s="22"/>
      <c r="P2303" s="24"/>
      <c r="Q2303" s="26"/>
    </row>
    <row r="2304" spans="1:17" ht="15" x14ac:dyDescent="0.15">
      <c r="A2304" s="22"/>
      <c r="B2304" s="26" t="str">
        <f t="shared" si="140"/>
        <v/>
      </c>
      <c r="C2304" s="26" t="str">
        <f t="shared" si="141"/>
        <v/>
      </c>
      <c r="D2304" s="26" t="str">
        <f t="shared" si="142"/>
        <v/>
      </c>
      <c r="E2304" s="29"/>
      <c r="F2304" s="22"/>
      <c r="G2304" s="22"/>
      <c r="H2304" s="22"/>
      <c r="I2304" s="24"/>
      <c r="J2304" s="24"/>
      <c r="K2304" s="24"/>
      <c r="L2304" s="24"/>
      <c r="M2304" s="27" t="str">
        <f t="shared" si="143"/>
        <v/>
      </c>
      <c r="N2304" s="25"/>
      <c r="O2304" s="22"/>
      <c r="P2304" s="24"/>
      <c r="Q2304" s="26"/>
    </row>
    <row r="2305" spans="1:17" ht="15" x14ac:dyDescent="0.15">
      <c r="A2305" s="22"/>
      <c r="B2305" s="26" t="str">
        <f t="shared" si="140"/>
        <v/>
      </c>
      <c r="C2305" s="26" t="str">
        <f t="shared" si="141"/>
        <v/>
      </c>
      <c r="D2305" s="26" t="str">
        <f t="shared" si="142"/>
        <v/>
      </c>
      <c r="E2305" s="29"/>
      <c r="F2305" s="22"/>
      <c r="G2305" s="22"/>
      <c r="H2305" s="22"/>
      <c r="I2305" s="24"/>
      <c r="J2305" s="24"/>
      <c r="K2305" s="24"/>
      <c r="L2305" s="24"/>
      <c r="M2305" s="27" t="str">
        <f t="shared" si="143"/>
        <v/>
      </c>
      <c r="N2305" s="25"/>
      <c r="O2305" s="22"/>
      <c r="P2305" s="24"/>
      <c r="Q2305" s="26"/>
    </row>
    <row r="2306" spans="1:17" ht="15" x14ac:dyDescent="0.15">
      <c r="A2306" s="22"/>
      <c r="B2306" s="26" t="str">
        <f t="shared" si="140"/>
        <v/>
      </c>
      <c r="C2306" s="26" t="str">
        <f t="shared" si="141"/>
        <v/>
      </c>
      <c r="D2306" s="26" t="str">
        <f t="shared" si="142"/>
        <v/>
      </c>
      <c r="E2306" s="29"/>
      <c r="F2306" s="22"/>
      <c r="G2306" s="22"/>
      <c r="H2306" s="22"/>
      <c r="I2306" s="24"/>
      <c r="J2306" s="24"/>
      <c r="K2306" s="24"/>
      <c r="L2306" s="24"/>
      <c r="M2306" s="27" t="str">
        <f t="shared" si="143"/>
        <v/>
      </c>
      <c r="N2306" s="25"/>
      <c r="O2306" s="22"/>
      <c r="P2306" s="24"/>
      <c r="Q2306" s="26"/>
    </row>
    <row r="2307" spans="1:17" ht="15" x14ac:dyDescent="0.15">
      <c r="A2307" s="22"/>
      <c r="B2307" s="26" t="str">
        <f t="shared" si="140"/>
        <v/>
      </c>
      <c r="C2307" s="26" t="str">
        <f t="shared" si="141"/>
        <v/>
      </c>
      <c r="D2307" s="26" t="str">
        <f t="shared" si="142"/>
        <v/>
      </c>
      <c r="E2307" s="29"/>
      <c r="F2307" s="22"/>
      <c r="G2307" s="22"/>
      <c r="H2307" s="22"/>
      <c r="I2307" s="24"/>
      <c r="J2307" s="24"/>
      <c r="K2307" s="24"/>
      <c r="L2307" s="24"/>
      <c r="M2307" s="27" t="str">
        <f t="shared" si="143"/>
        <v/>
      </c>
      <c r="N2307" s="25"/>
      <c r="O2307" s="22"/>
      <c r="P2307" s="24"/>
      <c r="Q2307" s="26"/>
    </row>
    <row r="2308" spans="1:17" ht="15" x14ac:dyDescent="0.15">
      <c r="A2308" s="22"/>
      <c r="B2308" s="26" t="str">
        <f t="shared" si="140"/>
        <v/>
      </c>
      <c r="C2308" s="26" t="str">
        <f t="shared" si="141"/>
        <v/>
      </c>
      <c r="D2308" s="26" t="str">
        <f t="shared" si="142"/>
        <v/>
      </c>
      <c r="E2308" s="29"/>
      <c r="F2308" s="22"/>
      <c r="G2308" s="22"/>
      <c r="H2308" s="22"/>
      <c r="I2308" s="24"/>
      <c r="J2308" s="24"/>
      <c r="K2308" s="24"/>
      <c r="L2308" s="24"/>
      <c r="M2308" s="27" t="str">
        <f t="shared" si="143"/>
        <v/>
      </c>
      <c r="N2308" s="25"/>
      <c r="O2308" s="22"/>
      <c r="P2308" s="24"/>
      <c r="Q2308" s="26"/>
    </row>
    <row r="2309" spans="1:17" ht="15" x14ac:dyDescent="0.15">
      <c r="A2309" s="22"/>
      <c r="B2309" s="26" t="str">
        <f t="shared" si="140"/>
        <v/>
      </c>
      <c r="C2309" s="26" t="str">
        <f t="shared" si="141"/>
        <v/>
      </c>
      <c r="D2309" s="26" t="str">
        <f t="shared" si="142"/>
        <v/>
      </c>
      <c r="E2309" s="29"/>
      <c r="F2309" s="22"/>
      <c r="G2309" s="22"/>
      <c r="H2309" s="22"/>
      <c r="I2309" s="24"/>
      <c r="J2309" s="24"/>
      <c r="K2309" s="24"/>
      <c r="L2309" s="24"/>
      <c r="M2309" s="27" t="str">
        <f t="shared" si="143"/>
        <v/>
      </c>
      <c r="N2309" s="25"/>
      <c r="O2309" s="22"/>
      <c r="P2309" s="24"/>
      <c r="Q2309" s="26"/>
    </row>
    <row r="2310" spans="1:17" ht="15" x14ac:dyDescent="0.15">
      <c r="A2310" s="22"/>
      <c r="B2310" s="26" t="str">
        <f t="shared" si="140"/>
        <v/>
      </c>
      <c r="C2310" s="26" t="str">
        <f t="shared" si="141"/>
        <v/>
      </c>
      <c r="D2310" s="26" t="str">
        <f t="shared" si="142"/>
        <v/>
      </c>
      <c r="E2310" s="29"/>
      <c r="F2310" s="22"/>
      <c r="G2310" s="22"/>
      <c r="H2310" s="22"/>
      <c r="I2310" s="24"/>
      <c r="J2310" s="24"/>
      <c r="K2310" s="24"/>
      <c r="L2310" s="24"/>
      <c r="M2310" s="27" t="str">
        <f t="shared" si="143"/>
        <v/>
      </c>
      <c r="N2310" s="25"/>
      <c r="O2310" s="22"/>
      <c r="P2310" s="24"/>
      <c r="Q2310" s="26"/>
    </row>
    <row r="2311" spans="1:17" ht="15" x14ac:dyDescent="0.15">
      <c r="A2311" s="22"/>
      <c r="B2311" s="26" t="str">
        <f t="shared" ref="B2311:B2374" si="144">IFERROR(IF($A2311="","",LEFT($A2311,FIND(" | ",$A2311)-1)),"")</f>
        <v/>
      </c>
      <c r="C2311" s="26" t="str">
        <f t="shared" ref="C2311:C2374" si="145">IFERROR(IF($A2311="","",MID($A2311,FIND(" | ",$A2311)+3,FIND(" | ",$A2311,FIND(" | ",$A2311)+3)-FIND(" | ",$A2311)-3)),"")</f>
        <v/>
      </c>
      <c r="D2311" s="26" t="str">
        <f t="shared" ref="D2311:D2374" si="146">IFERROR(IF($A2311="","",RIGHT($A2311,LEN($A2311)-FIND(" | ",$A2311,FIND(" | ",$A2311)+3)-2)),"")</f>
        <v/>
      </c>
      <c r="E2311" s="29"/>
      <c r="F2311" s="22"/>
      <c r="G2311" s="22"/>
      <c r="H2311" s="22"/>
      <c r="I2311" s="24"/>
      <c r="J2311" s="24"/>
      <c r="K2311" s="24"/>
      <c r="L2311" s="24"/>
      <c r="M2311" s="27" t="str">
        <f t="shared" ref="M2311:M2374" si="147">IF($B2311="","",SUM($J2311,-$K2311,$L2311))</f>
        <v/>
      </c>
      <c r="N2311" s="25"/>
      <c r="O2311" s="22"/>
      <c r="P2311" s="24"/>
      <c r="Q2311" s="26"/>
    </row>
    <row r="2312" spans="1:17" ht="15" x14ac:dyDescent="0.15">
      <c r="A2312" s="22"/>
      <c r="B2312" s="26" t="str">
        <f t="shared" si="144"/>
        <v/>
      </c>
      <c r="C2312" s="26" t="str">
        <f t="shared" si="145"/>
        <v/>
      </c>
      <c r="D2312" s="26" t="str">
        <f t="shared" si="146"/>
        <v/>
      </c>
      <c r="E2312" s="29"/>
      <c r="F2312" s="22"/>
      <c r="G2312" s="22"/>
      <c r="H2312" s="22"/>
      <c r="I2312" s="24"/>
      <c r="J2312" s="24"/>
      <c r="K2312" s="24"/>
      <c r="L2312" s="24"/>
      <c r="M2312" s="27" t="str">
        <f t="shared" si="147"/>
        <v/>
      </c>
      <c r="N2312" s="25"/>
      <c r="O2312" s="22"/>
      <c r="P2312" s="24"/>
      <c r="Q2312" s="26"/>
    </row>
    <row r="2313" spans="1:17" ht="15" x14ac:dyDescent="0.15">
      <c r="A2313" s="22"/>
      <c r="B2313" s="26" t="str">
        <f t="shared" si="144"/>
        <v/>
      </c>
      <c r="C2313" s="26" t="str">
        <f t="shared" si="145"/>
        <v/>
      </c>
      <c r="D2313" s="26" t="str">
        <f t="shared" si="146"/>
        <v/>
      </c>
      <c r="E2313" s="29"/>
      <c r="F2313" s="22"/>
      <c r="G2313" s="22"/>
      <c r="H2313" s="22"/>
      <c r="I2313" s="24"/>
      <c r="J2313" s="24"/>
      <c r="K2313" s="24"/>
      <c r="L2313" s="24"/>
      <c r="M2313" s="27" t="str">
        <f t="shared" si="147"/>
        <v/>
      </c>
      <c r="N2313" s="25"/>
      <c r="O2313" s="22"/>
      <c r="P2313" s="24"/>
      <c r="Q2313" s="26"/>
    </row>
    <row r="2314" spans="1:17" ht="15" x14ac:dyDescent="0.15">
      <c r="A2314" s="22"/>
      <c r="B2314" s="26" t="str">
        <f t="shared" si="144"/>
        <v/>
      </c>
      <c r="C2314" s="26" t="str">
        <f t="shared" si="145"/>
        <v/>
      </c>
      <c r="D2314" s="26" t="str">
        <f t="shared" si="146"/>
        <v/>
      </c>
      <c r="E2314" s="29"/>
      <c r="F2314" s="22"/>
      <c r="G2314" s="22"/>
      <c r="H2314" s="22"/>
      <c r="I2314" s="24"/>
      <c r="J2314" s="24"/>
      <c r="K2314" s="24"/>
      <c r="L2314" s="24"/>
      <c r="M2314" s="27" t="str">
        <f t="shared" si="147"/>
        <v/>
      </c>
      <c r="N2314" s="25"/>
      <c r="O2314" s="22"/>
      <c r="P2314" s="24"/>
      <c r="Q2314" s="26"/>
    </row>
    <row r="2315" spans="1:17" ht="15" x14ac:dyDescent="0.15">
      <c r="A2315" s="22"/>
      <c r="B2315" s="26" t="str">
        <f t="shared" si="144"/>
        <v/>
      </c>
      <c r="C2315" s="26" t="str">
        <f t="shared" si="145"/>
        <v/>
      </c>
      <c r="D2315" s="26" t="str">
        <f t="shared" si="146"/>
        <v/>
      </c>
      <c r="E2315" s="29"/>
      <c r="F2315" s="22"/>
      <c r="G2315" s="22"/>
      <c r="H2315" s="22"/>
      <c r="I2315" s="24"/>
      <c r="J2315" s="24"/>
      <c r="K2315" s="24"/>
      <c r="L2315" s="24"/>
      <c r="M2315" s="27" t="str">
        <f t="shared" si="147"/>
        <v/>
      </c>
      <c r="N2315" s="25"/>
      <c r="O2315" s="22"/>
      <c r="P2315" s="24"/>
      <c r="Q2315" s="26"/>
    </row>
    <row r="2316" spans="1:17" ht="15" x14ac:dyDescent="0.15">
      <c r="A2316" s="22"/>
      <c r="B2316" s="26" t="str">
        <f t="shared" si="144"/>
        <v/>
      </c>
      <c r="C2316" s="26" t="str">
        <f t="shared" si="145"/>
        <v/>
      </c>
      <c r="D2316" s="26" t="str">
        <f t="shared" si="146"/>
        <v/>
      </c>
      <c r="E2316" s="29"/>
      <c r="F2316" s="22"/>
      <c r="G2316" s="22"/>
      <c r="H2316" s="22"/>
      <c r="I2316" s="24"/>
      <c r="J2316" s="24"/>
      <c r="K2316" s="24"/>
      <c r="L2316" s="24"/>
      <c r="M2316" s="27" t="str">
        <f t="shared" si="147"/>
        <v/>
      </c>
      <c r="N2316" s="25"/>
      <c r="O2316" s="22"/>
      <c r="P2316" s="24"/>
      <c r="Q2316" s="26"/>
    </row>
    <row r="2317" spans="1:17" ht="15" x14ac:dyDescent="0.15">
      <c r="A2317" s="22"/>
      <c r="B2317" s="26" t="str">
        <f t="shared" si="144"/>
        <v/>
      </c>
      <c r="C2317" s="26" t="str">
        <f t="shared" si="145"/>
        <v/>
      </c>
      <c r="D2317" s="26" t="str">
        <f t="shared" si="146"/>
        <v/>
      </c>
      <c r="E2317" s="29"/>
      <c r="F2317" s="22"/>
      <c r="G2317" s="22"/>
      <c r="H2317" s="22"/>
      <c r="I2317" s="24"/>
      <c r="J2317" s="24"/>
      <c r="K2317" s="24"/>
      <c r="L2317" s="24"/>
      <c r="M2317" s="27" t="str">
        <f t="shared" si="147"/>
        <v/>
      </c>
      <c r="N2317" s="25"/>
      <c r="O2317" s="22"/>
      <c r="P2317" s="24"/>
      <c r="Q2317" s="26"/>
    </row>
    <row r="2318" spans="1:17" ht="15" x14ac:dyDescent="0.15">
      <c r="A2318" s="22"/>
      <c r="B2318" s="26" t="str">
        <f t="shared" si="144"/>
        <v/>
      </c>
      <c r="C2318" s="26" t="str">
        <f t="shared" si="145"/>
        <v/>
      </c>
      <c r="D2318" s="26" t="str">
        <f t="shared" si="146"/>
        <v/>
      </c>
      <c r="E2318" s="29"/>
      <c r="F2318" s="22"/>
      <c r="G2318" s="22"/>
      <c r="H2318" s="22"/>
      <c r="I2318" s="24"/>
      <c r="J2318" s="24"/>
      <c r="K2318" s="24"/>
      <c r="L2318" s="24"/>
      <c r="M2318" s="27" t="str">
        <f t="shared" si="147"/>
        <v/>
      </c>
      <c r="N2318" s="25"/>
      <c r="O2318" s="22"/>
      <c r="P2318" s="24"/>
      <c r="Q2318" s="26"/>
    </row>
    <row r="2319" spans="1:17" ht="15" x14ac:dyDescent="0.15">
      <c r="A2319" s="22"/>
      <c r="B2319" s="26" t="str">
        <f t="shared" si="144"/>
        <v/>
      </c>
      <c r="C2319" s="26" t="str">
        <f t="shared" si="145"/>
        <v/>
      </c>
      <c r="D2319" s="26" t="str">
        <f t="shared" si="146"/>
        <v/>
      </c>
      <c r="E2319" s="29"/>
      <c r="F2319" s="22"/>
      <c r="G2319" s="22"/>
      <c r="H2319" s="22"/>
      <c r="I2319" s="24"/>
      <c r="J2319" s="24"/>
      <c r="K2319" s="24"/>
      <c r="L2319" s="24"/>
      <c r="M2319" s="27" t="str">
        <f t="shared" si="147"/>
        <v/>
      </c>
      <c r="N2319" s="25"/>
      <c r="O2319" s="22"/>
      <c r="P2319" s="24"/>
      <c r="Q2319" s="26"/>
    </row>
    <row r="2320" spans="1:17" ht="15" x14ac:dyDescent="0.15">
      <c r="A2320" s="22"/>
      <c r="B2320" s="26" t="str">
        <f t="shared" si="144"/>
        <v/>
      </c>
      <c r="C2320" s="26" t="str">
        <f t="shared" si="145"/>
        <v/>
      </c>
      <c r="D2320" s="26" t="str">
        <f t="shared" si="146"/>
        <v/>
      </c>
      <c r="E2320" s="29"/>
      <c r="F2320" s="22"/>
      <c r="G2320" s="22"/>
      <c r="H2320" s="22"/>
      <c r="I2320" s="24"/>
      <c r="J2320" s="24"/>
      <c r="K2320" s="24"/>
      <c r="L2320" s="24"/>
      <c r="M2320" s="27" t="str">
        <f t="shared" si="147"/>
        <v/>
      </c>
      <c r="N2320" s="25"/>
      <c r="O2320" s="22"/>
      <c r="P2320" s="24"/>
      <c r="Q2320" s="26"/>
    </row>
    <row r="2321" spans="1:17" ht="15" x14ac:dyDescent="0.15">
      <c r="A2321" s="22"/>
      <c r="B2321" s="26" t="str">
        <f t="shared" si="144"/>
        <v/>
      </c>
      <c r="C2321" s="26" t="str">
        <f t="shared" si="145"/>
        <v/>
      </c>
      <c r="D2321" s="26" t="str">
        <f t="shared" si="146"/>
        <v/>
      </c>
      <c r="E2321" s="29"/>
      <c r="F2321" s="22"/>
      <c r="G2321" s="22"/>
      <c r="H2321" s="22"/>
      <c r="I2321" s="24"/>
      <c r="J2321" s="24"/>
      <c r="K2321" s="24"/>
      <c r="L2321" s="24"/>
      <c r="M2321" s="27" t="str">
        <f t="shared" si="147"/>
        <v/>
      </c>
      <c r="N2321" s="25"/>
      <c r="O2321" s="22"/>
      <c r="P2321" s="24"/>
      <c r="Q2321" s="26"/>
    </row>
    <row r="2322" spans="1:17" ht="15" x14ac:dyDescent="0.15">
      <c r="A2322" s="22"/>
      <c r="B2322" s="26" t="str">
        <f t="shared" si="144"/>
        <v/>
      </c>
      <c r="C2322" s="26" t="str">
        <f t="shared" si="145"/>
        <v/>
      </c>
      <c r="D2322" s="26" t="str">
        <f t="shared" si="146"/>
        <v/>
      </c>
      <c r="E2322" s="29"/>
      <c r="F2322" s="22"/>
      <c r="G2322" s="22"/>
      <c r="H2322" s="22"/>
      <c r="I2322" s="24"/>
      <c r="J2322" s="24"/>
      <c r="K2322" s="24"/>
      <c r="L2322" s="24"/>
      <c r="M2322" s="27" t="str">
        <f t="shared" si="147"/>
        <v/>
      </c>
      <c r="N2322" s="25"/>
      <c r="O2322" s="22"/>
      <c r="P2322" s="24"/>
      <c r="Q2322" s="26"/>
    </row>
    <row r="2323" spans="1:17" ht="15" x14ac:dyDescent="0.15">
      <c r="A2323" s="22"/>
      <c r="B2323" s="26" t="str">
        <f t="shared" si="144"/>
        <v/>
      </c>
      <c r="C2323" s="26" t="str">
        <f t="shared" si="145"/>
        <v/>
      </c>
      <c r="D2323" s="26" t="str">
        <f t="shared" si="146"/>
        <v/>
      </c>
      <c r="E2323" s="29"/>
      <c r="F2323" s="22"/>
      <c r="G2323" s="22"/>
      <c r="H2323" s="22"/>
      <c r="I2323" s="24"/>
      <c r="J2323" s="24"/>
      <c r="K2323" s="24"/>
      <c r="L2323" s="24"/>
      <c r="M2323" s="27" t="str">
        <f t="shared" si="147"/>
        <v/>
      </c>
      <c r="N2323" s="25"/>
      <c r="O2323" s="22"/>
      <c r="P2323" s="24"/>
      <c r="Q2323" s="26"/>
    </row>
    <row r="2324" spans="1:17" ht="15" x14ac:dyDescent="0.15">
      <c r="A2324" s="22"/>
      <c r="B2324" s="26" t="str">
        <f t="shared" si="144"/>
        <v/>
      </c>
      <c r="C2324" s="26" t="str">
        <f t="shared" si="145"/>
        <v/>
      </c>
      <c r="D2324" s="26" t="str">
        <f t="shared" si="146"/>
        <v/>
      </c>
      <c r="E2324" s="29"/>
      <c r="F2324" s="22"/>
      <c r="G2324" s="22"/>
      <c r="H2324" s="22"/>
      <c r="I2324" s="24"/>
      <c r="J2324" s="24"/>
      <c r="K2324" s="24"/>
      <c r="L2324" s="24"/>
      <c r="M2324" s="27" t="str">
        <f t="shared" si="147"/>
        <v/>
      </c>
      <c r="N2324" s="25"/>
      <c r="O2324" s="22"/>
      <c r="P2324" s="24"/>
      <c r="Q2324" s="26"/>
    </row>
    <row r="2325" spans="1:17" ht="15" x14ac:dyDescent="0.15">
      <c r="A2325" s="22"/>
      <c r="B2325" s="26" t="str">
        <f t="shared" si="144"/>
        <v/>
      </c>
      <c r="C2325" s="26" t="str">
        <f t="shared" si="145"/>
        <v/>
      </c>
      <c r="D2325" s="26" t="str">
        <f t="shared" si="146"/>
        <v/>
      </c>
      <c r="E2325" s="29"/>
      <c r="F2325" s="22"/>
      <c r="G2325" s="22"/>
      <c r="H2325" s="22"/>
      <c r="I2325" s="24"/>
      <c r="J2325" s="24"/>
      <c r="K2325" s="24"/>
      <c r="L2325" s="24"/>
      <c r="M2325" s="27" t="str">
        <f t="shared" si="147"/>
        <v/>
      </c>
      <c r="N2325" s="25"/>
      <c r="O2325" s="22"/>
      <c r="P2325" s="24"/>
      <c r="Q2325" s="26"/>
    </row>
    <row r="2326" spans="1:17" ht="15" x14ac:dyDescent="0.15">
      <c r="A2326" s="22"/>
      <c r="B2326" s="26" t="str">
        <f t="shared" si="144"/>
        <v/>
      </c>
      <c r="C2326" s="26" t="str">
        <f t="shared" si="145"/>
        <v/>
      </c>
      <c r="D2326" s="26" t="str">
        <f t="shared" si="146"/>
        <v/>
      </c>
      <c r="E2326" s="29"/>
      <c r="F2326" s="22"/>
      <c r="G2326" s="22"/>
      <c r="H2326" s="22"/>
      <c r="I2326" s="24"/>
      <c r="J2326" s="24"/>
      <c r="K2326" s="24"/>
      <c r="L2326" s="24"/>
      <c r="M2326" s="27" t="str">
        <f t="shared" si="147"/>
        <v/>
      </c>
      <c r="N2326" s="25"/>
      <c r="O2326" s="22"/>
      <c r="P2326" s="24"/>
      <c r="Q2326" s="26"/>
    </row>
    <row r="2327" spans="1:17" ht="15" x14ac:dyDescent="0.15">
      <c r="A2327" s="22"/>
      <c r="B2327" s="26" t="str">
        <f t="shared" si="144"/>
        <v/>
      </c>
      <c r="C2327" s="26" t="str">
        <f t="shared" si="145"/>
        <v/>
      </c>
      <c r="D2327" s="26" t="str">
        <f t="shared" si="146"/>
        <v/>
      </c>
      <c r="E2327" s="29"/>
      <c r="F2327" s="22"/>
      <c r="G2327" s="22"/>
      <c r="H2327" s="22"/>
      <c r="I2327" s="24"/>
      <c r="J2327" s="24"/>
      <c r="K2327" s="24"/>
      <c r="L2327" s="24"/>
      <c r="M2327" s="27" t="str">
        <f t="shared" si="147"/>
        <v/>
      </c>
      <c r="N2327" s="25"/>
      <c r="O2327" s="22"/>
      <c r="P2327" s="24"/>
      <c r="Q2327" s="26"/>
    </row>
    <row r="2328" spans="1:17" ht="15" x14ac:dyDescent="0.15">
      <c r="A2328" s="22"/>
      <c r="B2328" s="26" t="str">
        <f t="shared" si="144"/>
        <v/>
      </c>
      <c r="C2328" s="26" t="str">
        <f t="shared" si="145"/>
        <v/>
      </c>
      <c r="D2328" s="26" t="str">
        <f t="shared" si="146"/>
        <v/>
      </c>
      <c r="E2328" s="29"/>
      <c r="F2328" s="22"/>
      <c r="G2328" s="22"/>
      <c r="H2328" s="22"/>
      <c r="I2328" s="24"/>
      <c r="J2328" s="24"/>
      <c r="K2328" s="24"/>
      <c r="L2328" s="24"/>
      <c r="M2328" s="27" t="str">
        <f t="shared" si="147"/>
        <v/>
      </c>
      <c r="N2328" s="25"/>
      <c r="O2328" s="22"/>
      <c r="P2328" s="24"/>
      <c r="Q2328" s="26"/>
    </row>
    <row r="2329" spans="1:17" ht="15" x14ac:dyDescent="0.15">
      <c r="A2329" s="22"/>
      <c r="B2329" s="26" t="str">
        <f t="shared" si="144"/>
        <v/>
      </c>
      <c r="C2329" s="26" t="str">
        <f t="shared" si="145"/>
        <v/>
      </c>
      <c r="D2329" s="26" t="str">
        <f t="shared" si="146"/>
        <v/>
      </c>
      <c r="E2329" s="29"/>
      <c r="F2329" s="22"/>
      <c r="G2329" s="22"/>
      <c r="H2329" s="22"/>
      <c r="I2329" s="24"/>
      <c r="J2329" s="24"/>
      <c r="K2329" s="24"/>
      <c r="L2329" s="24"/>
      <c r="M2329" s="27" t="str">
        <f t="shared" si="147"/>
        <v/>
      </c>
      <c r="N2329" s="25"/>
      <c r="O2329" s="22"/>
      <c r="P2329" s="24"/>
      <c r="Q2329" s="26"/>
    </row>
    <row r="2330" spans="1:17" ht="15" x14ac:dyDescent="0.15">
      <c r="A2330" s="22"/>
      <c r="B2330" s="26" t="str">
        <f t="shared" si="144"/>
        <v/>
      </c>
      <c r="C2330" s="26" t="str">
        <f t="shared" si="145"/>
        <v/>
      </c>
      <c r="D2330" s="26" t="str">
        <f t="shared" si="146"/>
        <v/>
      </c>
      <c r="E2330" s="29"/>
      <c r="F2330" s="22"/>
      <c r="G2330" s="22"/>
      <c r="H2330" s="22"/>
      <c r="I2330" s="24"/>
      <c r="J2330" s="24"/>
      <c r="K2330" s="24"/>
      <c r="L2330" s="24"/>
      <c r="M2330" s="27" t="str">
        <f t="shared" si="147"/>
        <v/>
      </c>
      <c r="N2330" s="25"/>
      <c r="O2330" s="22"/>
      <c r="P2330" s="24"/>
      <c r="Q2330" s="26"/>
    </row>
    <row r="2331" spans="1:17" ht="15" x14ac:dyDescent="0.15">
      <c r="A2331" s="22"/>
      <c r="B2331" s="26" t="str">
        <f t="shared" si="144"/>
        <v/>
      </c>
      <c r="C2331" s="26" t="str">
        <f t="shared" si="145"/>
        <v/>
      </c>
      <c r="D2331" s="26" t="str">
        <f t="shared" si="146"/>
        <v/>
      </c>
      <c r="E2331" s="29"/>
      <c r="F2331" s="22"/>
      <c r="G2331" s="22"/>
      <c r="H2331" s="22"/>
      <c r="I2331" s="24"/>
      <c r="J2331" s="24"/>
      <c r="K2331" s="24"/>
      <c r="L2331" s="24"/>
      <c r="M2331" s="27" t="str">
        <f t="shared" si="147"/>
        <v/>
      </c>
      <c r="N2331" s="25"/>
      <c r="O2331" s="22"/>
      <c r="P2331" s="24"/>
      <c r="Q2331" s="26"/>
    </row>
    <row r="2332" spans="1:17" ht="15" x14ac:dyDescent="0.15">
      <c r="A2332" s="22"/>
      <c r="B2332" s="26" t="str">
        <f t="shared" si="144"/>
        <v/>
      </c>
      <c r="C2332" s="26" t="str">
        <f t="shared" si="145"/>
        <v/>
      </c>
      <c r="D2332" s="26" t="str">
        <f t="shared" si="146"/>
        <v/>
      </c>
      <c r="E2332" s="29"/>
      <c r="F2332" s="22"/>
      <c r="G2332" s="22"/>
      <c r="H2332" s="22"/>
      <c r="I2332" s="24"/>
      <c r="J2332" s="24"/>
      <c r="K2332" s="24"/>
      <c r="L2332" s="24"/>
      <c r="M2332" s="27" t="str">
        <f t="shared" si="147"/>
        <v/>
      </c>
      <c r="N2332" s="25"/>
      <c r="O2332" s="22"/>
      <c r="P2332" s="24"/>
      <c r="Q2332" s="26"/>
    </row>
    <row r="2333" spans="1:17" ht="15" x14ac:dyDescent="0.15">
      <c r="A2333" s="22"/>
      <c r="B2333" s="26" t="str">
        <f t="shared" si="144"/>
        <v/>
      </c>
      <c r="C2333" s="26" t="str">
        <f t="shared" si="145"/>
        <v/>
      </c>
      <c r="D2333" s="26" t="str">
        <f t="shared" si="146"/>
        <v/>
      </c>
      <c r="E2333" s="29"/>
      <c r="F2333" s="22"/>
      <c r="G2333" s="22"/>
      <c r="H2333" s="22"/>
      <c r="I2333" s="24"/>
      <c r="J2333" s="24"/>
      <c r="K2333" s="24"/>
      <c r="L2333" s="24"/>
      <c r="M2333" s="27" t="str">
        <f t="shared" si="147"/>
        <v/>
      </c>
      <c r="N2333" s="25"/>
      <c r="O2333" s="22"/>
      <c r="P2333" s="24"/>
      <c r="Q2333" s="26"/>
    </row>
    <row r="2334" spans="1:17" ht="15" x14ac:dyDescent="0.15">
      <c r="A2334" s="22"/>
      <c r="B2334" s="26" t="str">
        <f t="shared" si="144"/>
        <v/>
      </c>
      <c r="C2334" s="26" t="str">
        <f t="shared" si="145"/>
        <v/>
      </c>
      <c r="D2334" s="26" t="str">
        <f t="shared" si="146"/>
        <v/>
      </c>
      <c r="E2334" s="29"/>
      <c r="F2334" s="22"/>
      <c r="G2334" s="22"/>
      <c r="H2334" s="22"/>
      <c r="I2334" s="24"/>
      <c r="J2334" s="24"/>
      <c r="K2334" s="24"/>
      <c r="L2334" s="24"/>
      <c r="M2334" s="27" t="str">
        <f t="shared" si="147"/>
        <v/>
      </c>
      <c r="N2334" s="25"/>
      <c r="O2334" s="22"/>
      <c r="P2334" s="24"/>
      <c r="Q2334" s="26"/>
    </row>
    <row r="2335" spans="1:17" ht="15" x14ac:dyDescent="0.15">
      <c r="A2335" s="22"/>
      <c r="B2335" s="26" t="str">
        <f t="shared" si="144"/>
        <v/>
      </c>
      <c r="C2335" s="26" t="str">
        <f t="shared" si="145"/>
        <v/>
      </c>
      <c r="D2335" s="26" t="str">
        <f t="shared" si="146"/>
        <v/>
      </c>
      <c r="E2335" s="29"/>
      <c r="F2335" s="22"/>
      <c r="G2335" s="22"/>
      <c r="H2335" s="22"/>
      <c r="I2335" s="24"/>
      <c r="J2335" s="24"/>
      <c r="K2335" s="24"/>
      <c r="L2335" s="24"/>
      <c r="M2335" s="27" t="str">
        <f t="shared" si="147"/>
        <v/>
      </c>
      <c r="N2335" s="25"/>
      <c r="O2335" s="22"/>
      <c r="P2335" s="24"/>
      <c r="Q2335" s="26"/>
    </row>
    <row r="2336" spans="1:17" ht="15" x14ac:dyDescent="0.15">
      <c r="A2336" s="22"/>
      <c r="B2336" s="26" t="str">
        <f t="shared" si="144"/>
        <v/>
      </c>
      <c r="C2336" s="26" t="str">
        <f t="shared" si="145"/>
        <v/>
      </c>
      <c r="D2336" s="26" t="str">
        <f t="shared" si="146"/>
        <v/>
      </c>
      <c r="E2336" s="29"/>
      <c r="F2336" s="22"/>
      <c r="G2336" s="22"/>
      <c r="H2336" s="22"/>
      <c r="I2336" s="24"/>
      <c r="J2336" s="24"/>
      <c r="K2336" s="24"/>
      <c r="L2336" s="24"/>
      <c r="M2336" s="27" t="str">
        <f t="shared" si="147"/>
        <v/>
      </c>
      <c r="N2336" s="25"/>
      <c r="O2336" s="22"/>
      <c r="P2336" s="24"/>
      <c r="Q2336" s="26"/>
    </row>
    <row r="2337" spans="1:17" ht="15" x14ac:dyDescent="0.15">
      <c r="A2337" s="22"/>
      <c r="B2337" s="26" t="str">
        <f t="shared" si="144"/>
        <v/>
      </c>
      <c r="C2337" s="26" t="str">
        <f t="shared" si="145"/>
        <v/>
      </c>
      <c r="D2337" s="26" t="str">
        <f t="shared" si="146"/>
        <v/>
      </c>
      <c r="E2337" s="29"/>
      <c r="F2337" s="22"/>
      <c r="G2337" s="22"/>
      <c r="H2337" s="22"/>
      <c r="I2337" s="24"/>
      <c r="J2337" s="24"/>
      <c r="K2337" s="24"/>
      <c r="L2337" s="24"/>
      <c r="M2337" s="27" t="str">
        <f t="shared" si="147"/>
        <v/>
      </c>
      <c r="N2337" s="25"/>
      <c r="O2337" s="22"/>
      <c r="P2337" s="24"/>
      <c r="Q2337" s="26"/>
    </row>
    <row r="2338" spans="1:17" ht="15" x14ac:dyDescent="0.15">
      <c r="A2338" s="22"/>
      <c r="B2338" s="26" t="str">
        <f t="shared" si="144"/>
        <v/>
      </c>
      <c r="C2338" s="26" t="str">
        <f t="shared" si="145"/>
        <v/>
      </c>
      <c r="D2338" s="26" t="str">
        <f t="shared" si="146"/>
        <v/>
      </c>
      <c r="E2338" s="29"/>
      <c r="F2338" s="22"/>
      <c r="G2338" s="22"/>
      <c r="H2338" s="22"/>
      <c r="I2338" s="24"/>
      <c r="J2338" s="24"/>
      <c r="K2338" s="24"/>
      <c r="L2338" s="24"/>
      <c r="M2338" s="27" t="str">
        <f t="shared" si="147"/>
        <v/>
      </c>
      <c r="N2338" s="25"/>
      <c r="O2338" s="22"/>
      <c r="P2338" s="24"/>
      <c r="Q2338" s="26"/>
    </row>
    <row r="2339" spans="1:17" ht="15" x14ac:dyDescent="0.15">
      <c r="A2339" s="22"/>
      <c r="B2339" s="26" t="str">
        <f t="shared" si="144"/>
        <v/>
      </c>
      <c r="C2339" s="26" t="str">
        <f t="shared" si="145"/>
        <v/>
      </c>
      <c r="D2339" s="26" t="str">
        <f t="shared" si="146"/>
        <v/>
      </c>
      <c r="E2339" s="29"/>
      <c r="F2339" s="22"/>
      <c r="G2339" s="22"/>
      <c r="H2339" s="22"/>
      <c r="I2339" s="24"/>
      <c r="J2339" s="24"/>
      <c r="K2339" s="24"/>
      <c r="L2339" s="24"/>
      <c r="M2339" s="27" t="str">
        <f t="shared" si="147"/>
        <v/>
      </c>
      <c r="N2339" s="25"/>
      <c r="O2339" s="22"/>
      <c r="P2339" s="24"/>
      <c r="Q2339" s="26"/>
    </row>
    <row r="2340" spans="1:17" ht="15" x14ac:dyDescent="0.15">
      <c r="A2340" s="22"/>
      <c r="B2340" s="26" t="str">
        <f t="shared" si="144"/>
        <v/>
      </c>
      <c r="C2340" s="26" t="str">
        <f t="shared" si="145"/>
        <v/>
      </c>
      <c r="D2340" s="26" t="str">
        <f t="shared" si="146"/>
        <v/>
      </c>
      <c r="E2340" s="29"/>
      <c r="F2340" s="22"/>
      <c r="G2340" s="22"/>
      <c r="H2340" s="22"/>
      <c r="I2340" s="24"/>
      <c r="J2340" s="24"/>
      <c r="K2340" s="24"/>
      <c r="L2340" s="24"/>
      <c r="M2340" s="27" t="str">
        <f t="shared" si="147"/>
        <v/>
      </c>
      <c r="N2340" s="25"/>
      <c r="O2340" s="22"/>
      <c r="P2340" s="24"/>
      <c r="Q2340" s="26"/>
    </row>
    <row r="2341" spans="1:17" ht="15" x14ac:dyDescent="0.15">
      <c r="A2341" s="22"/>
      <c r="B2341" s="26" t="str">
        <f t="shared" si="144"/>
        <v/>
      </c>
      <c r="C2341" s="26" t="str">
        <f t="shared" si="145"/>
        <v/>
      </c>
      <c r="D2341" s="26" t="str">
        <f t="shared" si="146"/>
        <v/>
      </c>
      <c r="E2341" s="29"/>
      <c r="F2341" s="22"/>
      <c r="G2341" s="22"/>
      <c r="H2341" s="22"/>
      <c r="I2341" s="24"/>
      <c r="J2341" s="24"/>
      <c r="K2341" s="24"/>
      <c r="L2341" s="24"/>
      <c r="M2341" s="27" t="str">
        <f t="shared" si="147"/>
        <v/>
      </c>
      <c r="N2341" s="25"/>
      <c r="O2341" s="22"/>
      <c r="P2341" s="24"/>
      <c r="Q2341" s="26"/>
    </row>
    <row r="2342" spans="1:17" ht="15" x14ac:dyDescent="0.15">
      <c r="A2342" s="22"/>
      <c r="B2342" s="26" t="str">
        <f t="shared" si="144"/>
        <v/>
      </c>
      <c r="C2342" s="26" t="str">
        <f t="shared" si="145"/>
        <v/>
      </c>
      <c r="D2342" s="26" t="str">
        <f t="shared" si="146"/>
        <v/>
      </c>
      <c r="E2342" s="29"/>
      <c r="F2342" s="22"/>
      <c r="G2342" s="22"/>
      <c r="H2342" s="22"/>
      <c r="I2342" s="24"/>
      <c r="J2342" s="24"/>
      <c r="K2342" s="24"/>
      <c r="L2342" s="24"/>
      <c r="M2342" s="27" t="str">
        <f t="shared" si="147"/>
        <v/>
      </c>
      <c r="N2342" s="25"/>
      <c r="O2342" s="22"/>
      <c r="P2342" s="24"/>
      <c r="Q2342" s="26"/>
    </row>
    <row r="2343" spans="1:17" ht="15" x14ac:dyDescent="0.15">
      <c r="A2343" s="22"/>
      <c r="B2343" s="26" t="str">
        <f t="shared" si="144"/>
        <v/>
      </c>
      <c r="C2343" s="26" t="str">
        <f t="shared" si="145"/>
        <v/>
      </c>
      <c r="D2343" s="26" t="str">
        <f t="shared" si="146"/>
        <v/>
      </c>
      <c r="E2343" s="29"/>
      <c r="F2343" s="22"/>
      <c r="G2343" s="22"/>
      <c r="H2343" s="22"/>
      <c r="I2343" s="24"/>
      <c r="J2343" s="24"/>
      <c r="K2343" s="24"/>
      <c r="L2343" s="24"/>
      <c r="M2343" s="27" t="str">
        <f t="shared" si="147"/>
        <v/>
      </c>
      <c r="N2343" s="25"/>
      <c r="O2343" s="22"/>
      <c r="P2343" s="24"/>
      <c r="Q2343" s="26"/>
    </row>
    <row r="2344" spans="1:17" ht="15" x14ac:dyDescent="0.15">
      <c r="A2344" s="22"/>
      <c r="B2344" s="26" t="str">
        <f t="shared" si="144"/>
        <v/>
      </c>
      <c r="C2344" s="26" t="str">
        <f t="shared" si="145"/>
        <v/>
      </c>
      <c r="D2344" s="26" t="str">
        <f t="shared" si="146"/>
        <v/>
      </c>
      <c r="E2344" s="29"/>
      <c r="F2344" s="22"/>
      <c r="G2344" s="22"/>
      <c r="H2344" s="22"/>
      <c r="I2344" s="24"/>
      <c r="J2344" s="24"/>
      <c r="K2344" s="24"/>
      <c r="L2344" s="24"/>
      <c r="M2344" s="27" t="str">
        <f t="shared" si="147"/>
        <v/>
      </c>
      <c r="N2344" s="25"/>
      <c r="O2344" s="22"/>
      <c r="P2344" s="24"/>
      <c r="Q2344" s="26"/>
    </row>
    <row r="2345" spans="1:17" ht="15" x14ac:dyDescent="0.15">
      <c r="A2345" s="22"/>
      <c r="B2345" s="26" t="str">
        <f t="shared" si="144"/>
        <v/>
      </c>
      <c r="C2345" s="26" t="str">
        <f t="shared" si="145"/>
        <v/>
      </c>
      <c r="D2345" s="26" t="str">
        <f t="shared" si="146"/>
        <v/>
      </c>
      <c r="E2345" s="29"/>
      <c r="F2345" s="22"/>
      <c r="G2345" s="22"/>
      <c r="H2345" s="22"/>
      <c r="I2345" s="24"/>
      <c r="J2345" s="24"/>
      <c r="K2345" s="24"/>
      <c r="L2345" s="24"/>
      <c r="M2345" s="27" t="str">
        <f t="shared" si="147"/>
        <v/>
      </c>
      <c r="N2345" s="25"/>
      <c r="O2345" s="22"/>
      <c r="P2345" s="24"/>
      <c r="Q2345" s="26"/>
    </row>
    <row r="2346" spans="1:17" ht="15" x14ac:dyDescent="0.15">
      <c r="A2346" s="22"/>
      <c r="B2346" s="26" t="str">
        <f t="shared" si="144"/>
        <v/>
      </c>
      <c r="C2346" s="26" t="str">
        <f t="shared" si="145"/>
        <v/>
      </c>
      <c r="D2346" s="26" t="str">
        <f t="shared" si="146"/>
        <v/>
      </c>
      <c r="E2346" s="29"/>
      <c r="F2346" s="22"/>
      <c r="G2346" s="22"/>
      <c r="H2346" s="22"/>
      <c r="I2346" s="24"/>
      <c r="J2346" s="24"/>
      <c r="K2346" s="24"/>
      <c r="L2346" s="24"/>
      <c r="M2346" s="27" t="str">
        <f t="shared" si="147"/>
        <v/>
      </c>
      <c r="N2346" s="25"/>
      <c r="O2346" s="22"/>
      <c r="P2346" s="24"/>
      <c r="Q2346" s="26"/>
    </row>
    <row r="2347" spans="1:17" ht="15" x14ac:dyDescent="0.15">
      <c r="A2347" s="22"/>
      <c r="B2347" s="26" t="str">
        <f t="shared" si="144"/>
        <v/>
      </c>
      <c r="C2347" s="26" t="str">
        <f t="shared" si="145"/>
        <v/>
      </c>
      <c r="D2347" s="26" t="str">
        <f t="shared" si="146"/>
        <v/>
      </c>
      <c r="E2347" s="29"/>
      <c r="F2347" s="22"/>
      <c r="G2347" s="22"/>
      <c r="H2347" s="22"/>
      <c r="I2347" s="24"/>
      <c r="J2347" s="24"/>
      <c r="K2347" s="24"/>
      <c r="L2347" s="24"/>
      <c r="M2347" s="27" t="str">
        <f t="shared" si="147"/>
        <v/>
      </c>
      <c r="N2347" s="25"/>
      <c r="O2347" s="22"/>
      <c r="P2347" s="24"/>
      <c r="Q2347" s="26"/>
    </row>
    <row r="2348" spans="1:17" ht="15" x14ac:dyDescent="0.15">
      <c r="A2348" s="22"/>
      <c r="B2348" s="26" t="str">
        <f t="shared" si="144"/>
        <v/>
      </c>
      <c r="C2348" s="26" t="str">
        <f t="shared" si="145"/>
        <v/>
      </c>
      <c r="D2348" s="26" t="str">
        <f t="shared" si="146"/>
        <v/>
      </c>
      <c r="E2348" s="29"/>
      <c r="F2348" s="22"/>
      <c r="G2348" s="22"/>
      <c r="H2348" s="22"/>
      <c r="I2348" s="24"/>
      <c r="J2348" s="24"/>
      <c r="K2348" s="24"/>
      <c r="L2348" s="24"/>
      <c r="M2348" s="27" t="str">
        <f t="shared" si="147"/>
        <v/>
      </c>
      <c r="N2348" s="25"/>
      <c r="O2348" s="22"/>
      <c r="P2348" s="24"/>
      <c r="Q2348" s="26"/>
    </row>
    <row r="2349" spans="1:17" ht="15" x14ac:dyDescent="0.15">
      <c r="A2349" s="22"/>
      <c r="B2349" s="26" t="str">
        <f t="shared" si="144"/>
        <v/>
      </c>
      <c r="C2349" s="26" t="str">
        <f t="shared" si="145"/>
        <v/>
      </c>
      <c r="D2349" s="26" t="str">
        <f t="shared" si="146"/>
        <v/>
      </c>
      <c r="E2349" s="29"/>
      <c r="F2349" s="22"/>
      <c r="G2349" s="22"/>
      <c r="H2349" s="22"/>
      <c r="I2349" s="24"/>
      <c r="J2349" s="24"/>
      <c r="K2349" s="24"/>
      <c r="L2349" s="24"/>
      <c r="M2349" s="27" t="str">
        <f t="shared" si="147"/>
        <v/>
      </c>
      <c r="N2349" s="25"/>
      <c r="O2349" s="22"/>
      <c r="P2349" s="24"/>
      <c r="Q2349" s="26"/>
    </row>
    <row r="2350" spans="1:17" ht="15" x14ac:dyDescent="0.15">
      <c r="A2350" s="22"/>
      <c r="B2350" s="26" t="str">
        <f t="shared" si="144"/>
        <v/>
      </c>
      <c r="C2350" s="26" t="str">
        <f t="shared" si="145"/>
        <v/>
      </c>
      <c r="D2350" s="26" t="str">
        <f t="shared" si="146"/>
        <v/>
      </c>
      <c r="E2350" s="29"/>
      <c r="F2350" s="22"/>
      <c r="G2350" s="22"/>
      <c r="H2350" s="22"/>
      <c r="I2350" s="24"/>
      <c r="J2350" s="24"/>
      <c r="K2350" s="24"/>
      <c r="L2350" s="24"/>
      <c r="M2350" s="27" t="str">
        <f t="shared" si="147"/>
        <v/>
      </c>
      <c r="N2350" s="25"/>
      <c r="O2350" s="22"/>
      <c r="P2350" s="24"/>
      <c r="Q2350" s="26"/>
    </row>
    <row r="2351" spans="1:17" ht="15" x14ac:dyDescent="0.15">
      <c r="A2351" s="22"/>
      <c r="B2351" s="26" t="str">
        <f t="shared" si="144"/>
        <v/>
      </c>
      <c r="C2351" s="26" t="str">
        <f t="shared" si="145"/>
        <v/>
      </c>
      <c r="D2351" s="26" t="str">
        <f t="shared" si="146"/>
        <v/>
      </c>
      <c r="E2351" s="29"/>
      <c r="F2351" s="22"/>
      <c r="G2351" s="22"/>
      <c r="H2351" s="22"/>
      <c r="I2351" s="24"/>
      <c r="J2351" s="24"/>
      <c r="K2351" s="24"/>
      <c r="L2351" s="24"/>
      <c r="M2351" s="27" t="str">
        <f t="shared" si="147"/>
        <v/>
      </c>
      <c r="N2351" s="25"/>
      <c r="O2351" s="22"/>
      <c r="P2351" s="24"/>
      <c r="Q2351" s="26"/>
    </row>
    <row r="2352" spans="1:17" ht="15" x14ac:dyDescent="0.15">
      <c r="A2352" s="22"/>
      <c r="B2352" s="26" t="str">
        <f t="shared" si="144"/>
        <v/>
      </c>
      <c r="C2352" s="26" t="str">
        <f t="shared" si="145"/>
        <v/>
      </c>
      <c r="D2352" s="26" t="str">
        <f t="shared" si="146"/>
        <v/>
      </c>
      <c r="E2352" s="29"/>
      <c r="F2352" s="22"/>
      <c r="G2352" s="22"/>
      <c r="H2352" s="22"/>
      <c r="I2352" s="24"/>
      <c r="J2352" s="24"/>
      <c r="K2352" s="24"/>
      <c r="L2352" s="24"/>
      <c r="M2352" s="27" t="str">
        <f t="shared" si="147"/>
        <v/>
      </c>
      <c r="N2352" s="25"/>
      <c r="O2352" s="22"/>
      <c r="P2352" s="24"/>
      <c r="Q2352" s="26"/>
    </row>
    <row r="2353" spans="1:17" ht="15" x14ac:dyDescent="0.15">
      <c r="A2353" s="22"/>
      <c r="B2353" s="26" t="str">
        <f t="shared" si="144"/>
        <v/>
      </c>
      <c r="C2353" s="26" t="str">
        <f t="shared" si="145"/>
        <v/>
      </c>
      <c r="D2353" s="26" t="str">
        <f t="shared" si="146"/>
        <v/>
      </c>
      <c r="E2353" s="29"/>
      <c r="F2353" s="22"/>
      <c r="G2353" s="22"/>
      <c r="H2353" s="22"/>
      <c r="I2353" s="24"/>
      <c r="J2353" s="24"/>
      <c r="K2353" s="24"/>
      <c r="L2353" s="24"/>
      <c r="M2353" s="27" t="str">
        <f t="shared" si="147"/>
        <v/>
      </c>
      <c r="N2353" s="25"/>
      <c r="O2353" s="22"/>
      <c r="P2353" s="24"/>
      <c r="Q2353" s="26"/>
    </row>
    <row r="2354" spans="1:17" ht="15" x14ac:dyDescent="0.15">
      <c r="A2354" s="22"/>
      <c r="B2354" s="26" t="str">
        <f t="shared" si="144"/>
        <v/>
      </c>
      <c r="C2354" s="26" t="str">
        <f t="shared" si="145"/>
        <v/>
      </c>
      <c r="D2354" s="26" t="str">
        <f t="shared" si="146"/>
        <v/>
      </c>
      <c r="E2354" s="29"/>
      <c r="F2354" s="22"/>
      <c r="G2354" s="22"/>
      <c r="H2354" s="22"/>
      <c r="I2354" s="24"/>
      <c r="J2354" s="24"/>
      <c r="K2354" s="24"/>
      <c r="L2354" s="24"/>
      <c r="M2354" s="27" t="str">
        <f t="shared" si="147"/>
        <v/>
      </c>
      <c r="N2354" s="25"/>
      <c r="O2354" s="22"/>
      <c r="P2354" s="24"/>
      <c r="Q2354" s="26"/>
    </row>
    <row r="2355" spans="1:17" ht="15" x14ac:dyDescent="0.15">
      <c r="A2355" s="22"/>
      <c r="B2355" s="26" t="str">
        <f t="shared" si="144"/>
        <v/>
      </c>
      <c r="C2355" s="26" t="str">
        <f t="shared" si="145"/>
        <v/>
      </c>
      <c r="D2355" s="26" t="str">
        <f t="shared" si="146"/>
        <v/>
      </c>
      <c r="E2355" s="29"/>
      <c r="F2355" s="22"/>
      <c r="G2355" s="22"/>
      <c r="H2355" s="22"/>
      <c r="I2355" s="24"/>
      <c r="J2355" s="24"/>
      <c r="K2355" s="24"/>
      <c r="L2355" s="24"/>
      <c r="M2355" s="27" t="str">
        <f t="shared" si="147"/>
        <v/>
      </c>
      <c r="N2355" s="25"/>
      <c r="O2355" s="22"/>
      <c r="P2355" s="24"/>
      <c r="Q2355" s="26"/>
    </row>
    <row r="2356" spans="1:17" ht="15" x14ac:dyDescent="0.15">
      <c r="A2356" s="22"/>
      <c r="B2356" s="26" t="str">
        <f t="shared" si="144"/>
        <v/>
      </c>
      <c r="C2356" s="26" t="str">
        <f t="shared" si="145"/>
        <v/>
      </c>
      <c r="D2356" s="26" t="str">
        <f t="shared" si="146"/>
        <v/>
      </c>
      <c r="E2356" s="29"/>
      <c r="F2356" s="22"/>
      <c r="G2356" s="22"/>
      <c r="H2356" s="22"/>
      <c r="I2356" s="24"/>
      <c r="J2356" s="24"/>
      <c r="K2356" s="24"/>
      <c r="L2356" s="24"/>
      <c r="M2356" s="27" t="str">
        <f t="shared" si="147"/>
        <v/>
      </c>
      <c r="N2356" s="25"/>
      <c r="O2356" s="22"/>
      <c r="P2356" s="24"/>
      <c r="Q2356" s="26"/>
    </row>
    <row r="2357" spans="1:17" ht="15" x14ac:dyDescent="0.15">
      <c r="A2357" s="22"/>
      <c r="B2357" s="26" t="str">
        <f t="shared" si="144"/>
        <v/>
      </c>
      <c r="C2357" s="26" t="str">
        <f t="shared" si="145"/>
        <v/>
      </c>
      <c r="D2357" s="26" t="str">
        <f t="shared" si="146"/>
        <v/>
      </c>
      <c r="E2357" s="29"/>
      <c r="F2357" s="22"/>
      <c r="G2357" s="22"/>
      <c r="H2357" s="22"/>
      <c r="I2357" s="24"/>
      <c r="J2357" s="24"/>
      <c r="K2357" s="24"/>
      <c r="L2357" s="24"/>
      <c r="M2357" s="27" t="str">
        <f t="shared" si="147"/>
        <v/>
      </c>
      <c r="N2357" s="25"/>
      <c r="O2357" s="22"/>
      <c r="P2357" s="24"/>
      <c r="Q2357" s="26"/>
    </row>
    <row r="2358" spans="1:17" ht="15" x14ac:dyDescent="0.15">
      <c r="A2358" s="22"/>
      <c r="B2358" s="26" t="str">
        <f t="shared" si="144"/>
        <v/>
      </c>
      <c r="C2358" s="26" t="str">
        <f t="shared" si="145"/>
        <v/>
      </c>
      <c r="D2358" s="26" t="str">
        <f t="shared" si="146"/>
        <v/>
      </c>
      <c r="E2358" s="29"/>
      <c r="F2358" s="22"/>
      <c r="G2358" s="22"/>
      <c r="H2358" s="22"/>
      <c r="I2358" s="24"/>
      <c r="J2358" s="24"/>
      <c r="K2358" s="24"/>
      <c r="L2358" s="24"/>
      <c r="M2358" s="27" t="str">
        <f t="shared" si="147"/>
        <v/>
      </c>
      <c r="N2358" s="25"/>
      <c r="O2358" s="22"/>
      <c r="P2358" s="24"/>
      <c r="Q2358" s="26"/>
    </row>
    <row r="2359" spans="1:17" ht="15" x14ac:dyDescent="0.15">
      <c r="A2359" s="22"/>
      <c r="B2359" s="26" t="str">
        <f t="shared" si="144"/>
        <v/>
      </c>
      <c r="C2359" s="26" t="str">
        <f t="shared" si="145"/>
        <v/>
      </c>
      <c r="D2359" s="26" t="str">
        <f t="shared" si="146"/>
        <v/>
      </c>
      <c r="E2359" s="29"/>
      <c r="F2359" s="22"/>
      <c r="G2359" s="22"/>
      <c r="H2359" s="22"/>
      <c r="I2359" s="24"/>
      <c r="J2359" s="24"/>
      <c r="K2359" s="24"/>
      <c r="L2359" s="24"/>
      <c r="M2359" s="27" t="str">
        <f t="shared" si="147"/>
        <v/>
      </c>
      <c r="N2359" s="25"/>
      <c r="O2359" s="22"/>
      <c r="P2359" s="24"/>
      <c r="Q2359" s="26"/>
    </row>
    <row r="2360" spans="1:17" ht="15" x14ac:dyDescent="0.15">
      <c r="A2360" s="22"/>
      <c r="B2360" s="26" t="str">
        <f t="shared" si="144"/>
        <v/>
      </c>
      <c r="C2360" s="26" t="str">
        <f t="shared" si="145"/>
        <v/>
      </c>
      <c r="D2360" s="26" t="str">
        <f t="shared" si="146"/>
        <v/>
      </c>
      <c r="E2360" s="29"/>
      <c r="F2360" s="22"/>
      <c r="G2360" s="22"/>
      <c r="H2360" s="22"/>
      <c r="I2360" s="24"/>
      <c r="J2360" s="24"/>
      <c r="K2360" s="24"/>
      <c r="L2360" s="24"/>
      <c r="M2360" s="27" t="str">
        <f t="shared" si="147"/>
        <v/>
      </c>
      <c r="N2360" s="25"/>
      <c r="O2360" s="22"/>
      <c r="P2360" s="24"/>
      <c r="Q2360" s="26"/>
    </row>
    <row r="2361" spans="1:17" ht="15" x14ac:dyDescent="0.15">
      <c r="A2361" s="22"/>
      <c r="B2361" s="26" t="str">
        <f t="shared" si="144"/>
        <v/>
      </c>
      <c r="C2361" s="26" t="str">
        <f t="shared" si="145"/>
        <v/>
      </c>
      <c r="D2361" s="26" t="str">
        <f t="shared" si="146"/>
        <v/>
      </c>
      <c r="E2361" s="29"/>
      <c r="F2361" s="22"/>
      <c r="G2361" s="22"/>
      <c r="H2361" s="22"/>
      <c r="I2361" s="24"/>
      <c r="J2361" s="24"/>
      <c r="K2361" s="24"/>
      <c r="L2361" s="24"/>
      <c r="M2361" s="27" t="str">
        <f t="shared" si="147"/>
        <v/>
      </c>
      <c r="N2361" s="25"/>
      <c r="O2361" s="22"/>
      <c r="P2361" s="24"/>
      <c r="Q2361" s="26"/>
    </row>
    <row r="2362" spans="1:17" ht="15" x14ac:dyDescent="0.15">
      <c r="A2362" s="22"/>
      <c r="B2362" s="26" t="str">
        <f t="shared" si="144"/>
        <v/>
      </c>
      <c r="C2362" s="26" t="str">
        <f t="shared" si="145"/>
        <v/>
      </c>
      <c r="D2362" s="26" t="str">
        <f t="shared" si="146"/>
        <v/>
      </c>
      <c r="E2362" s="29"/>
      <c r="F2362" s="22"/>
      <c r="G2362" s="22"/>
      <c r="H2362" s="22"/>
      <c r="I2362" s="24"/>
      <c r="J2362" s="24"/>
      <c r="K2362" s="24"/>
      <c r="L2362" s="24"/>
      <c r="M2362" s="27" t="str">
        <f t="shared" si="147"/>
        <v/>
      </c>
      <c r="N2362" s="25"/>
      <c r="O2362" s="22"/>
      <c r="P2362" s="24"/>
      <c r="Q2362" s="26"/>
    </row>
    <row r="2363" spans="1:17" ht="15" x14ac:dyDescent="0.15">
      <c r="A2363" s="22"/>
      <c r="B2363" s="26" t="str">
        <f t="shared" si="144"/>
        <v/>
      </c>
      <c r="C2363" s="26" t="str">
        <f t="shared" si="145"/>
        <v/>
      </c>
      <c r="D2363" s="26" t="str">
        <f t="shared" si="146"/>
        <v/>
      </c>
      <c r="E2363" s="29"/>
      <c r="F2363" s="22"/>
      <c r="G2363" s="22"/>
      <c r="H2363" s="22"/>
      <c r="I2363" s="24"/>
      <c r="J2363" s="24"/>
      <c r="K2363" s="24"/>
      <c r="L2363" s="24"/>
      <c r="M2363" s="27" t="str">
        <f t="shared" si="147"/>
        <v/>
      </c>
      <c r="N2363" s="25"/>
      <c r="O2363" s="22"/>
      <c r="P2363" s="24"/>
      <c r="Q2363" s="26"/>
    </row>
    <row r="2364" spans="1:17" ht="15" x14ac:dyDescent="0.15">
      <c r="A2364" s="22"/>
      <c r="B2364" s="26" t="str">
        <f t="shared" si="144"/>
        <v/>
      </c>
      <c r="C2364" s="26" t="str">
        <f t="shared" si="145"/>
        <v/>
      </c>
      <c r="D2364" s="26" t="str">
        <f t="shared" si="146"/>
        <v/>
      </c>
      <c r="E2364" s="29"/>
      <c r="F2364" s="22"/>
      <c r="G2364" s="22"/>
      <c r="H2364" s="22"/>
      <c r="I2364" s="24"/>
      <c r="J2364" s="24"/>
      <c r="K2364" s="24"/>
      <c r="L2364" s="24"/>
      <c r="M2364" s="27" t="str">
        <f t="shared" si="147"/>
        <v/>
      </c>
      <c r="N2364" s="25"/>
      <c r="O2364" s="22"/>
      <c r="P2364" s="24"/>
      <c r="Q2364" s="26"/>
    </row>
    <row r="2365" spans="1:17" ht="15" x14ac:dyDescent="0.15">
      <c r="A2365" s="22"/>
      <c r="B2365" s="26" t="str">
        <f t="shared" si="144"/>
        <v/>
      </c>
      <c r="C2365" s="26" t="str">
        <f t="shared" si="145"/>
        <v/>
      </c>
      <c r="D2365" s="26" t="str">
        <f t="shared" si="146"/>
        <v/>
      </c>
      <c r="E2365" s="29"/>
      <c r="F2365" s="22"/>
      <c r="G2365" s="22"/>
      <c r="H2365" s="22"/>
      <c r="I2365" s="24"/>
      <c r="J2365" s="24"/>
      <c r="K2365" s="24"/>
      <c r="L2365" s="24"/>
      <c r="M2365" s="27" t="str">
        <f t="shared" si="147"/>
        <v/>
      </c>
      <c r="N2365" s="25"/>
      <c r="O2365" s="22"/>
      <c r="P2365" s="24"/>
      <c r="Q2365" s="26"/>
    </row>
    <row r="2366" spans="1:17" ht="15" x14ac:dyDescent="0.15">
      <c r="A2366" s="22"/>
      <c r="B2366" s="26" t="str">
        <f t="shared" si="144"/>
        <v/>
      </c>
      <c r="C2366" s="26" t="str">
        <f t="shared" si="145"/>
        <v/>
      </c>
      <c r="D2366" s="26" t="str">
        <f t="shared" si="146"/>
        <v/>
      </c>
      <c r="E2366" s="29"/>
      <c r="F2366" s="22"/>
      <c r="G2366" s="22"/>
      <c r="H2366" s="22"/>
      <c r="I2366" s="24"/>
      <c r="J2366" s="24"/>
      <c r="K2366" s="24"/>
      <c r="L2366" s="24"/>
      <c r="M2366" s="27" t="str">
        <f t="shared" si="147"/>
        <v/>
      </c>
      <c r="N2366" s="25"/>
      <c r="O2366" s="22"/>
      <c r="P2366" s="24"/>
      <c r="Q2366" s="26"/>
    </row>
    <row r="2367" spans="1:17" ht="15" x14ac:dyDescent="0.15">
      <c r="A2367" s="22"/>
      <c r="B2367" s="26" t="str">
        <f t="shared" si="144"/>
        <v/>
      </c>
      <c r="C2367" s="26" t="str">
        <f t="shared" si="145"/>
        <v/>
      </c>
      <c r="D2367" s="26" t="str">
        <f t="shared" si="146"/>
        <v/>
      </c>
      <c r="E2367" s="29"/>
      <c r="F2367" s="22"/>
      <c r="G2367" s="22"/>
      <c r="H2367" s="22"/>
      <c r="I2367" s="24"/>
      <c r="J2367" s="24"/>
      <c r="K2367" s="24"/>
      <c r="L2367" s="24"/>
      <c r="M2367" s="27" t="str">
        <f t="shared" si="147"/>
        <v/>
      </c>
      <c r="N2367" s="25"/>
      <c r="O2367" s="22"/>
      <c r="P2367" s="24"/>
      <c r="Q2367" s="26"/>
    </row>
    <row r="2368" spans="1:17" ht="15" x14ac:dyDescent="0.15">
      <c r="A2368" s="22"/>
      <c r="B2368" s="26" t="str">
        <f t="shared" si="144"/>
        <v/>
      </c>
      <c r="C2368" s="26" t="str">
        <f t="shared" si="145"/>
        <v/>
      </c>
      <c r="D2368" s="26" t="str">
        <f t="shared" si="146"/>
        <v/>
      </c>
      <c r="E2368" s="29"/>
      <c r="F2368" s="22"/>
      <c r="G2368" s="22"/>
      <c r="H2368" s="22"/>
      <c r="I2368" s="24"/>
      <c r="J2368" s="24"/>
      <c r="K2368" s="24"/>
      <c r="L2368" s="24"/>
      <c r="M2368" s="27" t="str">
        <f t="shared" si="147"/>
        <v/>
      </c>
      <c r="N2368" s="25"/>
      <c r="O2368" s="22"/>
      <c r="P2368" s="24"/>
      <c r="Q2368" s="26"/>
    </row>
    <row r="2369" spans="1:17" ht="15" x14ac:dyDescent="0.15">
      <c r="A2369" s="22"/>
      <c r="B2369" s="26" t="str">
        <f t="shared" si="144"/>
        <v/>
      </c>
      <c r="C2369" s="26" t="str">
        <f t="shared" si="145"/>
        <v/>
      </c>
      <c r="D2369" s="26" t="str">
        <f t="shared" si="146"/>
        <v/>
      </c>
      <c r="E2369" s="29"/>
      <c r="F2369" s="22"/>
      <c r="G2369" s="22"/>
      <c r="H2369" s="22"/>
      <c r="I2369" s="24"/>
      <c r="J2369" s="24"/>
      <c r="K2369" s="24"/>
      <c r="L2369" s="24"/>
      <c r="M2369" s="27" t="str">
        <f t="shared" si="147"/>
        <v/>
      </c>
      <c r="N2369" s="25"/>
      <c r="O2369" s="22"/>
      <c r="P2369" s="24"/>
      <c r="Q2369" s="26"/>
    </row>
    <row r="2370" spans="1:17" ht="15" x14ac:dyDescent="0.15">
      <c r="A2370" s="22"/>
      <c r="B2370" s="26" t="str">
        <f t="shared" si="144"/>
        <v/>
      </c>
      <c r="C2370" s="26" t="str">
        <f t="shared" si="145"/>
        <v/>
      </c>
      <c r="D2370" s="26" t="str">
        <f t="shared" si="146"/>
        <v/>
      </c>
      <c r="E2370" s="29"/>
      <c r="F2370" s="22"/>
      <c r="G2370" s="22"/>
      <c r="H2370" s="22"/>
      <c r="I2370" s="24"/>
      <c r="J2370" s="24"/>
      <c r="K2370" s="24"/>
      <c r="L2370" s="24"/>
      <c r="M2370" s="27" t="str">
        <f t="shared" si="147"/>
        <v/>
      </c>
      <c r="N2370" s="25"/>
      <c r="O2370" s="22"/>
      <c r="P2370" s="24"/>
      <c r="Q2370" s="26"/>
    </row>
    <row r="2371" spans="1:17" ht="15" x14ac:dyDescent="0.15">
      <c r="A2371" s="22"/>
      <c r="B2371" s="26" t="str">
        <f t="shared" si="144"/>
        <v/>
      </c>
      <c r="C2371" s="26" t="str">
        <f t="shared" si="145"/>
        <v/>
      </c>
      <c r="D2371" s="26" t="str">
        <f t="shared" si="146"/>
        <v/>
      </c>
      <c r="E2371" s="29"/>
      <c r="F2371" s="22"/>
      <c r="G2371" s="22"/>
      <c r="H2371" s="22"/>
      <c r="I2371" s="24"/>
      <c r="J2371" s="24"/>
      <c r="K2371" s="24"/>
      <c r="L2371" s="24"/>
      <c r="M2371" s="27" t="str">
        <f t="shared" si="147"/>
        <v/>
      </c>
      <c r="N2371" s="25"/>
      <c r="O2371" s="22"/>
      <c r="P2371" s="24"/>
      <c r="Q2371" s="26"/>
    </row>
    <row r="2372" spans="1:17" ht="15" x14ac:dyDescent="0.15">
      <c r="A2372" s="22"/>
      <c r="B2372" s="26" t="str">
        <f t="shared" si="144"/>
        <v/>
      </c>
      <c r="C2372" s="26" t="str">
        <f t="shared" si="145"/>
        <v/>
      </c>
      <c r="D2372" s="26" t="str">
        <f t="shared" si="146"/>
        <v/>
      </c>
      <c r="E2372" s="29"/>
      <c r="F2372" s="22"/>
      <c r="G2372" s="22"/>
      <c r="H2372" s="22"/>
      <c r="I2372" s="24"/>
      <c r="J2372" s="24"/>
      <c r="K2372" s="24"/>
      <c r="L2372" s="24"/>
      <c r="M2372" s="27" t="str">
        <f t="shared" si="147"/>
        <v/>
      </c>
      <c r="N2372" s="25"/>
      <c r="O2372" s="22"/>
      <c r="P2372" s="24"/>
      <c r="Q2372" s="26"/>
    </row>
    <row r="2373" spans="1:17" ht="15" x14ac:dyDescent="0.15">
      <c r="A2373" s="22"/>
      <c r="B2373" s="26" t="str">
        <f t="shared" si="144"/>
        <v/>
      </c>
      <c r="C2373" s="26" t="str">
        <f t="shared" si="145"/>
        <v/>
      </c>
      <c r="D2373" s="26" t="str">
        <f t="shared" si="146"/>
        <v/>
      </c>
      <c r="E2373" s="29"/>
      <c r="F2373" s="22"/>
      <c r="G2373" s="22"/>
      <c r="H2373" s="22"/>
      <c r="I2373" s="24"/>
      <c r="J2373" s="24"/>
      <c r="K2373" s="24"/>
      <c r="L2373" s="24"/>
      <c r="M2373" s="27" t="str">
        <f t="shared" si="147"/>
        <v/>
      </c>
      <c r="N2373" s="25"/>
      <c r="O2373" s="22"/>
      <c r="P2373" s="24"/>
      <c r="Q2373" s="26"/>
    </row>
    <row r="2374" spans="1:17" ht="15" x14ac:dyDescent="0.15">
      <c r="A2374" s="22"/>
      <c r="B2374" s="26" t="str">
        <f t="shared" si="144"/>
        <v/>
      </c>
      <c r="C2374" s="26" t="str">
        <f t="shared" si="145"/>
        <v/>
      </c>
      <c r="D2374" s="26" t="str">
        <f t="shared" si="146"/>
        <v/>
      </c>
      <c r="E2374" s="29"/>
      <c r="F2374" s="22"/>
      <c r="G2374" s="22"/>
      <c r="H2374" s="22"/>
      <c r="I2374" s="24"/>
      <c r="J2374" s="24"/>
      <c r="K2374" s="24"/>
      <c r="L2374" s="24"/>
      <c r="M2374" s="27" t="str">
        <f t="shared" si="147"/>
        <v/>
      </c>
      <c r="N2374" s="25"/>
      <c r="O2374" s="22"/>
      <c r="P2374" s="24"/>
      <c r="Q2374" s="26"/>
    </row>
    <row r="2375" spans="1:17" ht="15" x14ac:dyDescent="0.15">
      <c r="A2375" s="22"/>
      <c r="B2375" s="26" t="str">
        <f t="shared" ref="B2375:B2438" si="148">IFERROR(IF($A2375="","",LEFT($A2375,FIND(" | ",$A2375)-1)),"")</f>
        <v/>
      </c>
      <c r="C2375" s="26" t="str">
        <f t="shared" ref="C2375:C2438" si="149">IFERROR(IF($A2375="","",MID($A2375,FIND(" | ",$A2375)+3,FIND(" | ",$A2375,FIND(" | ",$A2375)+3)-FIND(" | ",$A2375)-3)),"")</f>
        <v/>
      </c>
      <c r="D2375" s="26" t="str">
        <f t="shared" ref="D2375:D2438" si="150">IFERROR(IF($A2375="","",RIGHT($A2375,LEN($A2375)-FIND(" | ",$A2375,FIND(" | ",$A2375)+3)-2)),"")</f>
        <v/>
      </c>
      <c r="E2375" s="29"/>
      <c r="F2375" s="22"/>
      <c r="G2375" s="22"/>
      <c r="H2375" s="22"/>
      <c r="I2375" s="24"/>
      <c r="J2375" s="24"/>
      <c r="K2375" s="24"/>
      <c r="L2375" s="24"/>
      <c r="M2375" s="27" t="str">
        <f t="shared" ref="M2375:M2438" si="151">IF($B2375="","",SUM($J2375,-$K2375,$L2375))</f>
        <v/>
      </c>
      <c r="N2375" s="25"/>
      <c r="O2375" s="22"/>
      <c r="P2375" s="24"/>
      <c r="Q2375" s="26"/>
    </row>
    <row r="2376" spans="1:17" ht="15" x14ac:dyDescent="0.15">
      <c r="A2376" s="22"/>
      <c r="B2376" s="26" t="str">
        <f t="shared" si="148"/>
        <v/>
      </c>
      <c r="C2376" s="26" t="str">
        <f t="shared" si="149"/>
        <v/>
      </c>
      <c r="D2376" s="26" t="str">
        <f t="shared" si="150"/>
        <v/>
      </c>
      <c r="E2376" s="29"/>
      <c r="F2376" s="22"/>
      <c r="G2376" s="22"/>
      <c r="H2376" s="22"/>
      <c r="I2376" s="24"/>
      <c r="J2376" s="24"/>
      <c r="K2376" s="24"/>
      <c r="L2376" s="24"/>
      <c r="M2376" s="27" t="str">
        <f t="shared" si="151"/>
        <v/>
      </c>
      <c r="N2376" s="25"/>
      <c r="O2376" s="22"/>
      <c r="P2376" s="24"/>
      <c r="Q2376" s="26"/>
    </row>
    <row r="2377" spans="1:17" ht="15" x14ac:dyDescent="0.15">
      <c r="A2377" s="22"/>
      <c r="B2377" s="26" t="str">
        <f t="shared" si="148"/>
        <v/>
      </c>
      <c r="C2377" s="26" t="str">
        <f t="shared" si="149"/>
        <v/>
      </c>
      <c r="D2377" s="26" t="str">
        <f t="shared" si="150"/>
        <v/>
      </c>
      <c r="E2377" s="29"/>
      <c r="F2377" s="22"/>
      <c r="G2377" s="22"/>
      <c r="H2377" s="22"/>
      <c r="I2377" s="24"/>
      <c r="J2377" s="24"/>
      <c r="K2377" s="24"/>
      <c r="L2377" s="24"/>
      <c r="M2377" s="27" t="str">
        <f t="shared" si="151"/>
        <v/>
      </c>
      <c r="N2377" s="25"/>
      <c r="O2377" s="22"/>
      <c r="P2377" s="24"/>
      <c r="Q2377" s="26"/>
    </row>
    <row r="2378" spans="1:17" ht="15" x14ac:dyDescent="0.15">
      <c r="A2378" s="22"/>
      <c r="B2378" s="26" t="str">
        <f t="shared" si="148"/>
        <v/>
      </c>
      <c r="C2378" s="26" t="str">
        <f t="shared" si="149"/>
        <v/>
      </c>
      <c r="D2378" s="26" t="str">
        <f t="shared" si="150"/>
        <v/>
      </c>
      <c r="E2378" s="29"/>
      <c r="F2378" s="22"/>
      <c r="G2378" s="22"/>
      <c r="H2378" s="22"/>
      <c r="I2378" s="24"/>
      <c r="J2378" s="24"/>
      <c r="K2378" s="24"/>
      <c r="L2378" s="24"/>
      <c r="M2378" s="27" t="str">
        <f t="shared" si="151"/>
        <v/>
      </c>
      <c r="N2378" s="25"/>
      <c r="O2378" s="22"/>
      <c r="P2378" s="24"/>
      <c r="Q2378" s="26"/>
    </row>
    <row r="2379" spans="1:17" ht="15" x14ac:dyDescent="0.15">
      <c r="A2379" s="22"/>
      <c r="B2379" s="26" t="str">
        <f t="shared" si="148"/>
        <v/>
      </c>
      <c r="C2379" s="26" t="str">
        <f t="shared" si="149"/>
        <v/>
      </c>
      <c r="D2379" s="26" t="str">
        <f t="shared" si="150"/>
        <v/>
      </c>
      <c r="E2379" s="29"/>
      <c r="F2379" s="22"/>
      <c r="G2379" s="22"/>
      <c r="H2379" s="22"/>
      <c r="I2379" s="24"/>
      <c r="J2379" s="24"/>
      <c r="K2379" s="24"/>
      <c r="L2379" s="24"/>
      <c r="M2379" s="27" t="str">
        <f t="shared" si="151"/>
        <v/>
      </c>
      <c r="N2379" s="25"/>
      <c r="O2379" s="22"/>
      <c r="P2379" s="24"/>
      <c r="Q2379" s="26"/>
    </row>
    <row r="2380" spans="1:17" ht="15" x14ac:dyDescent="0.15">
      <c r="A2380" s="22"/>
      <c r="B2380" s="26" t="str">
        <f t="shared" si="148"/>
        <v/>
      </c>
      <c r="C2380" s="26" t="str">
        <f t="shared" si="149"/>
        <v/>
      </c>
      <c r="D2380" s="26" t="str">
        <f t="shared" si="150"/>
        <v/>
      </c>
      <c r="E2380" s="29"/>
      <c r="F2380" s="22"/>
      <c r="G2380" s="22"/>
      <c r="H2380" s="22"/>
      <c r="I2380" s="24"/>
      <c r="J2380" s="24"/>
      <c r="K2380" s="24"/>
      <c r="L2380" s="24"/>
      <c r="M2380" s="27" t="str">
        <f t="shared" si="151"/>
        <v/>
      </c>
      <c r="N2380" s="25"/>
      <c r="O2380" s="22"/>
      <c r="P2380" s="24"/>
      <c r="Q2380" s="26"/>
    </row>
    <row r="2381" spans="1:17" ht="15" x14ac:dyDescent="0.15">
      <c r="A2381" s="22"/>
      <c r="B2381" s="26" t="str">
        <f t="shared" si="148"/>
        <v/>
      </c>
      <c r="C2381" s="26" t="str">
        <f t="shared" si="149"/>
        <v/>
      </c>
      <c r="D2381" s="26" t="str">
        <f t="shared" si="150"/>
        <v/>
      </c>
      <c r="E2381" s="29"/>
      <c r="F2381" s="22"/>
      <c r="G2381" s="22"/>
      <c r="H2381" s="22"/>
      <c r="I2381" s="24"/>
      <c r="J2381" s="24"/>
      <c r="K2381" s="24"/>
      <c r="L2381" s="24"/>
      <c r="M2381" s="27" t="str">
        <f t="shared" si="151"/>
        <v/>
      </c>
      <c r="N2381" s="25"/>
      <c r="O2381" s="22"/>
      <c r="P2381" s="24"/>
      <c r="Q2381" s="26"/>
    </row>
    <row r="2382" spans="1:17" ht="15" x14ac:dyDescent="0.15">
      <c r="A2382" s="22"/>
      <c r="B2382" s="26" t="str">
        <f t="shared" si="148"/>
        <v/>
      </c>
      <c r="C2382" s="26" t="str">
        <f t="shared" si="149"/>
        <v/>
      </c>
      <c r="D2382" s="26" t="str">
        <f t="shared" si="150"/>
        <v/>
      </c>
      <c r="E2382" s="29"/>
      <c r="F2382" s="22"/>
      <c r="G2382" s="22"/>
      <c r="H2382" s="22"/>
      <c r="I2382" s="24"/>
      <c r="J2382" s="24"/>
      <c r="K2382" s="24"/>
      <c r="L2382" s="24"/>
      <c r="M2382" s="27" t="str">
        <f t="shared" si="151"/>
        <v/>
      </c>
      <c r="N2382" s="25"/>
      <c r="O2382" s="22"/>
      <c r="P2382" s="24"/>
      <c r="Q2382" s="26"/>
    </row>
    <row r="2383" spans="1:17" ht="15" x14ac:dyDescent="0.15">
      <c r="A2383" s="22"/>
      <c r="B2383" s="26" t="str">
        <f t="shared" si="148"/>
        <v/>
      </c>
      <c r="C2383" s="26" t="str">
        <f t="shared" si="149"/>
        <v/>
      </c>
      <c r="D2383" s="26" t="str">
        <f t="shared" si="150"/>
        <v/>
      </c>
      <c r="E2383" s="29"/>
      <c r="F2383" s="22"/>
      <c r="G2383" s="22"/>
      <c r="H2383" s="22"/>
      <c r="I2383" s="24"/>
      <c r="J2383" s="24"/>
      <c r="K2383" s="24"/>
      <c r="L2383" s="24"/>
      <c r="M2383" s="27" t="str">
        <f t="shared" si="151"/>
        <v/>
      </c>
      <c r="N2383" s="25"/>
      <c r="O2383" s="22"/>
      <c r="P2383" s="24"/>
      <c r="Q2383" s="26"/>
    </row>
    <row r="2384" spans="1:17" ht="15" x14ac:dyDescent="0.15">
      <c r="A2384" s="22"/>
      <c r="B2384" s="26" t="str">
        <f t="shared" si="148"/>
        <v/>
      </c>
      <c r="C2384" s="26" t="str">
        <f t="shared" si="149"/>
        <v/>
      </c>
      <c r="D2384" s="26" t="str">
        <f t="shared" si="150"/>
        <v/>
      </c>
      <c r="E2384" s="29"/>
      <c r="F2384" s="22"/>
      <c r="G2384" s="22"/>
      <c r="H2384" s="22"/>
      <c r="I2384" s="24"/>
      <c r="J2384" s="24"/>
      <c r="K2384" s="24"/>
      <c r="L2384" s="24"/>
      <c r="M2384" s="27" t="str">
        <f t="shared" si="151"/>
        <v/>
      </c>
      <c r="N2384" s="25"/>
      <c r="O2384" s="22"/>
      <c r="P2384" s="24"/>
      <c r="Q2384" s="26"/>
    </row>
    <row r="2385" spans="1:17" ht="15" x14ac:dyDescent="0.15">
      <c r="A2385" s="22"/>
      <c r="B2385" s="26" t="str">
        <f t="shared" si="148"/>
        <v/>
      </c>
      <c r="C2385" s="26" t="str">
        <f t="shared" si="149"/>
        <v/>
      </c>
      <c r="D2385" s="26" t="str">
        <f t="shared" si="150"/>
        <v/>
      </c>
      <c r="E2385" s="29"/>
      <c r="F2385" s="22"/>
      <c r="G2385" s="22"/>
      <c r="H2385" s="22"/>
      <c r="I2385" s="24"/>
      <c r="J2385" s="24"/>
      <c r="K2385" s="24"/>
      <c r="L2385" s="24"/>
      <c r="M2385" s="27" t="str">
        <f t="shared" si="151"/>
        <v/>
      </c>
      <c r="N2385" s="25"/>
      <c r="O2385" s="22"/>
      <c r="P2385" s="24"/>
      <c r="Q2385" s="26"/>
    </row>
    <row r="2386" spans="1:17" ht="15" x14ac:dyDescent="0.15">
      <c r="A2386" s="22"/>
      <c r="B2386" s="26" t="str">
        <f t="shared" si="148"/>
        <v/>
      </c>
      <c r="C2386" s="26" t="str">
        <f t="shared" si="149"/>
        <v/>
      </c>
      <c r="D2386" s="26" t="str">
        <f t="shared" si="150"/>
        <v/>
      </c>
      <c r="E2386" s="29"/>
      <c r="F2386" s="22"/>
      <c r="G2386" s="22"/>
      <c r="H2386" s="22"/>
      <c r="I2386" s="24"/>
      <c r="J2386" s="24"/>
      <c r="K2386" s="24"/>
      <c r="L2386" s="24"/>
      <c r="M2386" s="27" t="str">
        <f t="shared" si="151"/>
        <v/>
      </c>
      <c r="N2386" s="25"/>
      <c r="O2386" s="22"/>
      <c r="P2386" s="24"/>
      <c r="Q2386" s="26"/>
    </row>
    <row r="2387" spans="1:17" ht="15" x14ac:dyDescent="0.15">
      <c r="A2387" s="22"/>
      <c r="B2387" s="26" t="str">
        <f t="shared" si="148"/>
        <v/>
      </c>
      <c r="C2387" s="26" t="str">
        <f t="shared" si="149"/>
        <v/>
      </c>
      <c r="D2387" s="26" t="str">
        <f t="shared" si="150"/>
        <v/>
      </c>
      <c r="E2387" s="29"/>
      <c r="F2387" s="22"/>
      <c r="G2387" s="22"/>
      <c r="H2387" s="22"/>
      <c r="I2387" s="24"/>
      <c r="J2387" s="24"/>
      <c r="K2387" s="24"/>
      <c r="L2387" s="24"/>
      <c r="M2387" s="27" t="str">
        <f t="shared" si="151"/>
        <v/>
      </c>
      <c r="N2387" s="25"/>
      <c r="O2387" s="22"/>
      <c r="P2387" s="24"/>
      <c r="Q2387" s="26"/>
    </row>
    <row r="2388" spans="1:17" ht="15" x14ac:dyDescent="0.15">
      <c r="A2388" s="22"/>
      <c r="B2388" s="26" t="str">
        <f t="shared" si="148"/>
        <v/>
      </c>
      <c r="C2388" s="26" t="str">
        <f t="shared" si="149"/>
        <v/>
      </c>
      <c r="D2388" s="26" t="str">
        <f t="shared" si="150"/>
        <v/>
      </c>
      <c r="E2388" s="29"/>
      <c r="F2388" s="22"/>
      <c r="G2388" s="22"/>
      <c r="H2388" s="22"/>
      <c r="I2388" s="24"/>
      <c r="J2388" s="24"/>
      <c r="K2388" s="24"/>
      <c r="L2388" s="24"/>
      <c r="M2388" s="27" t="str">
        <f t="shared" si="151"/>
        <v/>
      </c>
      <c r="N2388" s="25"/>
      <c r="O2388" s="22"/>
      <c r="P2388" s="24"/>
      <c r="Q2388" s="26"/>
    </row>
    <row r="2389" spans="1:17" ht="15" x14ac:dyDescent="0.15">
      <c r="A2389" s="22"/>
      <c r="B2389" s="26" t="str">
        <f t="shared" si="148"/>
        <v/>
      </c>
      <c r="C2389" s="26" t="str">
        <f t="shared" si="149"/>
        <v/>
      </c>
      <c r="D2389" s="26" t="str">
        <f t="shared" si="150"/>
        <v/>
      </c>
      <c r="E2389" s="29"/>
      <c r="F2389" s="22"/>
      <c r="G2389" s="22"/>
      <c r="H2389" s="22"/>
      <c r="I2389" s="24"/>
      <c r="J2389" s="24"/>
      <c r="K2389" s="24"/>
      <c r="L2389" s="24"/>
      <c r="M2389" s="27" t="str">
        <f t="shared" si="151"/>
        <v/>
      </c>
      <c r="N2389" s="25"/>
      <c r="O2389" s="22"/>
      <c r="P2389" s="24"/>
      <c r="Q2389" s="26"/>
    </row>
    <row r="2390" spans="1:17" ht="15" x14ac:dyDescent="0.15">
      <c r="A2390" s="22"/>
      <c r="B2390" s="26" t="str">
        <f t="shared" si="148"/>
        <v/>
      </c>
      <c r="C2390" s="26" t="str">
        <f t="shared" si="149"/>
        <v/>
      </c>
      <c r="D2390" s="26" t="str">
        <f t="shared" si="150"/>
        <v/>
      </c>
      <c r="E2390" s="29"/>
      <c r="F2390" s="22"/>
      <c r="G2390" s="22"/>
      <c r="H2390" s="22"/>
      <c r="I2390" s="24"/>
      <c r="J2390" s="24"/>
      <c r="K2390" s="24"/>
      <c r="L2390" s="24"/>
      <c r="M2390" s="27" t="str">
        <f t="shared" si="151"/>
        <v/>
      </c>
      <c r="N2390" s="25"/>
      <c r="O2390" s="22"/>
      <c r="P2390" s="24"/>
      <c r="Q2390" s="26"/>
    </row>
    <row r="2391" spans="1:17" ht="15" x14ac:dyDescent="0.15">
      <c r="A2391" s="22"/>
      <c r="B2391" s="26" t="str">
        <f t="shared" si="148"/>
        <v/>
      </c>
      <c r="C2391" s="26" t="str">
        <f t="shared" si="149"/>
        <v/>
      </c>
      <c r="D2391" s="26" t="str">
        <f t="shared" si="150"/>
        <v/>
      </c>
      <c r="E2391" s="29"/>
      <c r="F2391" s="22"/>
      <c r="G2391" s="22"/>
      <c r="H2391" s="22"/>
      <c r="I2391" s="24"/>
      <c r="J2391" s="24"/>
      <c r="K2391" s="24"/>
      <c r="L2391" s="24"/>
      <c r="M2391" s="27" t="str">
        <f t="shared" si="151"/>
        <v/>
      </c>
      <c r="N2391" s="25"/>
      <c r="O2391" s="22"/>
      <c r="P2391" s="24"/>
      <c r="Q2391" s="26"/>
    </row>
    <row r="2392" spans="1:17" ht="15" x14ac:dyDescent="0.15">
      <c r="A2392" s="22"/>
      <c r="B2392" s="26" t="str">
        <f t="shared" si="148"/>
        <v/>
      </c>
      <c r="C2392" s="26" t="str">
        <f t="shared" si="149"/>
        <v/>
      </c>
      <c r="D2392" s="26" t="str">
        <f t="shared" si="150"/>
        <v/>
      </c>
      <c r="E2392" s="29"/>
      <c r="F2392" s="22"/>
      <c r="G2392" s="22"/>
      <c r="H2392" s="22"/>
      <c r="I2392" s="24"/>
      <c r="J2392" s="24"/>
      <c r="K2392" s="24"/>
      <c r="L2392" s="24"/>
      <c r="M2392" s="27" t="str">
        <f t="shared" si="151"/>
        <v/>
      </c>
      <c r="N2392" s="25"/>
      <c r="O2392" s="22"/>
      <c r="P2392" s="24"/>
      <c r="Q2392" s="26"/>
    </row>
    <row r="2393" spans="1:17" ht="15" x14ac:dyDescent="0.15">
      <c r="A2393" s="22"/>
      <c r="B2393" s="26" t="str">
        <f t="shared" si="148"/>
        <v/>
      </c>
      <c r="C2393" s="26" t="str">
        <f t="shared" si="149"/>
        <v/>
      </c>
      <c r="D2393" s="26" t="str">
        <f t="shared" si="150"/>
        <v/>
      </c>
      <c r="E2393" s="29"/>
      <c r="F2393" s="22"/>
      <c r="G2393" s="22"/>
      <c r="H2393" s="22"/>
      <c r="I2393" s="24"/>
      <c r="J2393" s="24"/>
      <c r="K2393" s="24"/>
      <c r="L2393" s="24"/>
      <c r="M2393" s="27" t="str">
        <f t="shared" si="151"/>
        <v/>
      </c>
      <c r="N2393" s="25"/>
      <c r="O2393" s="22"/>
      <c r="P2393" s="24"/>
      <c r="Q2393" s="26"/>
    </row>
    <row r="2394" spans="1:17" ht="15" x14ac:dyDescent="0.15">
      <c r="A2394" s="22"/>
      <c r="B2394" s="26" t="str">
        <f t="shared" si="148"/>
        <v/>
      </c>
      <c r="C2394" s="26" t="str">
        <f t="shared" si="149"/>
        <v/>
      </c>
      <c r="D2394" s="26" t="str">
        <f t="shared" si="150"/>
        <v/>
      </c>
      <c r="E2394" s="29"/>
      <c r="F2394" s="22"/>
      <c r="G2394" s="22"/>
      <c r="H2394" s="22"/>
      <c r="I2394" s="24"/>
      <c r="J2394" s="24"/>
      <c r="K2394" s="24"/>
      <c r="L2394" s="24"/>
      <c r="M2394" s="27" t="str">
        <f t="shared" si="151"/>
        <v/>
      </c>
      <c r="N2394" s="25"/>
      <c r="O2394" s="22"/>
      <c r="P2394" s="24"/>
      <c r="Q2394" s="26"/>
    </row>
    <row r="2395" spans="1:17" ht="15" x14ac:dyDescent="0.15">
      <c r="A2395" s="22"/>
      <c r="B2395" s="26" t="str">
        <f t="shared" si="148"/>
        <v/>
      </c>
      <c r="C2395" s="26" t="str">
        <f t="shared" si="149"/>
        <v/>
      </c>
      <c r="D2395" s="26" t="str">
        <f t="shared" si="150"/>
        <v/>
      </c>
      <c r="E2395" s="29"/>
      <c r="F2395" s="22"/>
      <c r="G2395" s="22"/>
      <c r="H2395" s="22"/>
      <c r="I2395" s="24"/>
      <c r="J2395" s="24"/>
      <c r="K2395" s="24"/>
      <c r="L2395" s="24"/>
      <c r="M2395" s="27" t="str">
        <f t="shared" si="151"/>
        <v/>
      </c>
      <c r="N2395" s="25"/>
      <c r="O2395" s="22"/>
      <c r="P2395" s="24"/>
      <c r="Q2395" s="26"/>
    </row>
    <row r="2396" spans="1:17" ht="15" x14ac:dyDescent="0.15">
      <c r="A2396" s="22"/>
      <c r="B2396" s="26" t="str">
        <f t="shared" si="148"/>
        <v/>
      </c>
      <c r="C2396" s="26" t="str">
        <f t="shared" si="149"/>
        <v/>
      </c>
      <c r="D2396" s="26" t="str">
        <f t="shared" si="150"/>
        <v/>
      </c>
      <c r="E2396" s="29"/>
      <c r="F2396" s="22"/>
      <c r="G2396" s="22"/>
      <c r="H2396" s="22"/>
      <c r="I2396" s="24"/>
      <c r="J2396" s="24"/>
      <c r="K2396" s="24"/>
      <c r="L2396" s="24"/>
      <c r="M2396" s="27" t="str">
        <f t="shared" si="151"/>
        <v/>
      </c>
      <c r="N2396" s="25"/>
      <c r="O2396" s="22"/>
      <c r="P2396" s="24"/>
      <c r="Q2396" s="26"/>
    </row>
    <row r="2397" spans="1:17" ht="15" x14ac:dyDescent="0.15">
      <c r="A2397" s="22"/>
      <c r="B2397" s="26" t="str">
        <f t="shared" si="148"/>
        <v/>
      </c>
      <c r="C2397" s="26" t="str">
        <f t="shared" si="149"/>
        <v/>
      </c>
      <c r="D2397" s="26" t="str">
        <f t="shared" si="150"/>
        <v/>
      </c>
      <c r="E2397" s="29"/>
      <c r="F2397" s="22"/>
      <c r="G2397" s="22"/>
      <c r="H2397" s="22"/>
      <c r="I2397" s="24"/>
      <c r="J2397" s="24"/>
      <c r="K2397" s="24"/>
      <c r="L2397" s="24"/>
      <c r="M2397" s="27" t="str">
        <f t="shared" si="151"/>
        <v/>
      </c>
      <c r="N2397" s="25"/>
      <c r="O2397" s="22"/>
      <c r="P2397" s="24"/>
      <c r="Q2397" s="26"/>
    </row>
    <row r="2398" spans="1:17" ht="15" x14ac:dyDescent="0.15">
      <c r="A2398" s="22"/>
      <c r="B2398" s="26" t="str">
        <f t="shared" si="148"/>
        <v/>
      </c>
      <c r="C2398" s="26" t="str">
        <f t="shared" si="149"/>
        <v/>
      </c>
      <c r="D2398" s="26" t="str">
        <f t="shared" si="150"/>
        <v/>
      </c>
      <c r="E2398" s="29"/>
      <c r="F2398" s="22"/>
      <c r="G2398" s="22"/>
      <c r="H2398" s="22"/>
      <c r="I2398" s="24"/>
      <c r="J2398" s="24"/>
      <c r="K2398" s="24"/>
      <c r="L2398" s="24"/>
      <c r="M2398" s="27" t="str">
        <f t="shared" si="151"/>
        <v/>
      </c>
      <c r="N2398" s="25"/>
      <c r="O2398" s="22"/>
      <c r="P2398" s="24"/>
      <c r="Q2398" s="26"/>
    </row>
    <row r="2399" spans="1:17" ht="15" x14ac:dyDescent="0.15">
      <c r="A2399" s="22"/>
      <c r="B2399" s="26" t="str">
        <f t="shared" si="148"/>
        <v/>
      </c>
      <c r="C2399" s="26" t="str">
        <f t="shared" si="149"/>
        <v/>
      </c>
      <c r="D2399" s="26" t="str">
        <f t="shared" si="150"/>
        <v/>
      </c>
      <c r="E2399" s="29"/>
      <c r="F2399" s="22"/>
      <c r="G2399" s="22"/>
      <c r="H2399" s="22"/>
      <c r="I2399" s="24"/>
      <c r="J2399" s="24"/>
      <c r="K2399" s="24"/>
      <c r="L2399" s="24"/>
      <c r="M2399" s="27" t="str">
        <f t="shared" si="151"/>
        <v/>
      </c>
      <c r="N2399" s="25"/>
      <c r="O2399" s="22"/>
      <c r="P2399" s="24"/>
      <c r="Q2399" s="26"/>
    </row>
    <row r="2400" spans="1:17" ht="15" x14ac:dyDescent="0.15">
      <c r="A2400" s="22"/>
      <c r="B2400" s="26" t="str">
        <f t="shared" si="148"/>
        <v/>
      </c>
      <c r="C2400" s="26" t="str">
        <f t="shared" si="149"/>
        <v/>
      </c>
      <c r="D2400" s="26" t="str">
        <f t="shared" si="150"/>
        <v/>
      </c>
      <c r="E2400" s="29"/>
      <c r="F2400" s="22"/>
      <c r="G2400" s="22"/>
      <c r="H2400" s="22"/>
      <c r="I2400" s="24"/>
      <c r="J2400" s="24"/>
      <c r="K2400" s="24"/>
      <c r="L2400" s="24"/>
      <c r="M2400" s="27" t="str">
        <f t="shared" si="151"/>
        <v/>
      </c>
      <c r="N2400" s="25"/>
      <c r="O2400" s="22"/>
      <c r="P2400" s="24"/>
      <c r="Q2400" s="26"/>
    </row>
    <row r="2401" spans="1:17" ht="15" x14ac:dyDescent="0.15">
      <c r="A2401" s="22"/>
      <c r="B2401" s="26" t="str">
        <f t="shared" si="148"/>
        <v/>
      </c>
      <c r="C2401" s="26" t="str">
        <f t="shared" si="149"/>
        <v/>
      </c>
      <c r="D2401" s="26" t="str">
        <f t="shared" si="150"/>
        <v/>
      </c>
      <c r="E2401" s="29"/>
      <c r="F2401" s="22"/>
      <c r="G2401" s="22"/>
      <c r="H2401" s="22"/>
      <c r="I2401" s="24"/>
      <c r="J2401" s="24"/>
      <c r="K2401" s="24"/>
      <c r="L2401" s="24"/>
      <c r="M2401" s="27" t="str">
        <f t="shared" si="151"/>
        <v/>
      </c>
      <c r="N2401" s="25"/>
      <c r="O2401" s="22"/>
      <c r="P2401" s="24"/>
      <c r="Q2401" s="26"/>
    </row>
    <row r="2402" spans="1:17" ht="15" x14ac:dyDescent="0.15">
      <c r="A2402" s="22"/>
      <c r="B2402" s="26" t="str">
        <f t="shared" si="148"/>
        <v/>
      </c>
      <c r="C2402" s="26" t="str">
        <f t="shared" si="149"/>
        <v/>
      </c>
      <c r="D2402" s="26" t="str">
        <f t="shared" si="150"/>
        <v/>
      </c>
      <c r="E2402" s="29"/>
      <c r="F2402" s="22"/>
      <c r="G2402" s="22"/>
      <c r="H2402" s="22"/>
      <c r="I2402" s="24"/>
      <c r="J2402" s="24"/>
      <c r="K2402" s="24"/>
      <c r="L2402" s="24"/>
      <c r="M2402" s="27" t="str">
        <f t="shared" si="151"/>
        <v/>
      </c>
      <c r="N2402" s="25"/>
      <c r="O2402" s="22"/>
      <c r="P2402" s="24"/>
      <c r="Q2402" s="26"/>
    </row>
    <row r="2403" spans="1:17" ht="15" x14ac:dyDescent="0.15">
      <c r="A2403" s="22"/>
      <c r="B2403" s="26" t="str">
        <f t="shared" si="148"/>
        <v/>
      </c>
      <c r="C2403" s="26" t="str">
        <f t="shared" si="149"/>
        <v/>
      </c>
      <c r="D2403" s="26" t="str">
        <f t="shared" si="150"/>
        <v/>
      </c>
      <c r="E2403" s="29"/>
      <c r="F2403" s="22"/>
      <c r="G2403" s="22"/>
      <c r="H2403" s="22"/>
      <c r="I2403" s="24"/>
      <c r="J2403" s="24"/>
      <c r="K2403" s="24"/>
      <c r="L2403" s="24"/>
      <c r="M2403" s="27" t="str">
        <f t="shared" si="151"/>
        <v/>
      </c>
      <c r="N2403" s="25"/>
      <c r="O2403" s="22"/>
      <c r="P2403" s="24"/>
      <c r="Q2403" s="26"/>
    </row>
    <row r="2404" spans="1:17" ht="15" x14ac:dyDescent="0.15">
      <c r="A2404" s="22"/>
      <c r="B2404" s="26" t="str">
        <f t="shared" si="148"/>
        <v/>
      </c>
      <c r="C2404" s="26" t="str">
        <f t="shared" si="149"/>
        <v/>
      </c>
      <c r="D2404" s="26" t="str">
        <f t="shared" si="150"/>
        <v/>
      </c>
      <c r="E2404" s="29"/>
      <c r="F2404" s="22"/>
      <c r="G2404" s="22"/>
      <c r="H2404" s="22"/>
      <c r="I2404" s="24"/>
      <c r="J2404" s="24"/>
      <c r="K2404" s="24"/>
      <c r="L2404" s="24"/>
      <c r="M2404" s="27" t="str">
        <f t="shared" si="151"/>
        <v/>
      </c>
      <c r="N2404" s="25"/>
      <c r="O2404" s="22"/>
      <c r="P2404" s="24"/>
      <c r="Q2404" s="26"/>
    </row>
    <row r="2405" spans="1:17" ht="15" x14ac:dyDescent="0.15">
      <c r="A2405" s="22"/>
      <c r="B2405" s="26" t="str">
        <f t="shared" si="148"/>
        <v/>
      </c>
      <c r="C2405" s="26" t="str">
        <f t="shared" si="149"/>
        <v/>
      </c>
      <c r="D2405" s="26" t="str">
        <f t="shared" si="150"/>
        <v/>
      </c>
      <c r="E2405" s="29"/>
      <c r="F2405" s="22"/>
      <c r="G2405" s="22"/>
      <c r="H2405" s="22"/>
      <c r="I2405" s="24"/>
      <c r="J2405" s="24"/>
      <c r="K2405" s="24"/>
      <c r="L2405" s="24"/>
      <c r="M2405" s="27" t="str">
        <f t="shared" si="151"/>
        <v/>
      </c>
      <c r="N2405" s="25"/>
      <c r="O2405" s="22"/>
      <c r="P2405" s="24"/>
      <c r="Q2405" s="26"/>
    </row>
    <row r="2406" spans="1:17" ht="15" x14ac:dyDescent="0.15">
      <c r="A2406" s="22"/>
      <c r="B2406" s="26" t="str">
        <f t="shared" si="148"/>
        <v/>
      </c>
      <c r="C2406" s="26" t="str">
        <f t="shared" si="149"/>
        <v/>
      </c>
      <c r="D2406" s="26" t="str">
        <f t="shared" si="150"/>
        <v/>
      </c>
      <c r="E2406" s="29"/>
      <c r="F2406" s="22"/>
      <c r="G2406" s="22"/>
      <c r="H2406" s="22"/>
      <c r="I2406" s="24"/>
      <c r="J2406" s="24"/>
      <c r="K2406" s="24"/>
      <c r="L2406" s="24"/>
      <c r="M2406" s="27" t="str">
        <f t="shared" si="151"/>
        <v/>
      </c>
      <c r="N2406" s="25"/>
      <c r="O2406" s="22"/>
      <c r="P2406" s="24"/>
      <c r="Q2406" s="26"/>
    </row>
    <row r="2407" spans="1:17" ht="15" x14ac:dyDescent="0.15">
      <c r="A2407" s="22"/>
      <c r="B2407" s="26" t="str">
        <f t="shared" si="148"/>
        <v/>
      </c>
      <c r="C2407" s="26" t="str">
        <f t="shared" si="149"/>
        <v/>
      </c>
      <c r="D2407" s="26" t="str">
        <f t="shared" si="150"/>
        <v/>
      </c>
      <c r="E2407" s="29"/>
      <c r="F2407" s="22"/>
      <c r="G2407" s="22"/>
      <c r="H2407" s="22"/>
      <c r="I2407" s="24"/>
      <c r="J2407" s="24"/>
      <c r="K2407" s="24"/>
      <c r="L2407" s="24"/>
      <c r="M2407" s="27" t="str">
        <f t="shared" si="151"/>
        <v/>
      </c>
      <c r="N2407" s="25"/>
      <c r="O2407" s="22"/>
      <c r="P2407" s="24"/>
      <c r="Q2407" s="26"/>
    </row>
    <row r="2408" spans="1:17" ht="15" x14ac:dyDescent="0.15">
      <c r="A2408" s="22"/>
      <c r="B2408" s="26" t="str">
        <f t="shared" si="148"/>
        <v/>
      </c>
      <c r="C2408" s="26" t="str">
        <f t="shared" si="149"/>
        <v/>
      </c>
      <c r="D2408" s="26" t="str">
        <f t="shared" si="150"/>
        <v/>
      </c>
      <c r="E2408" s="29"/>
      <c r="F2408" s="22"/>
      <c r="G2408" s="22"/>
      <c r="H2408" s="22"/>
      <c r="I2408" s="24"/>
      <c r="J2408" s="24"/>
      <c r="K2408" s="24"/>
      <c r="L2408" s="24"/>
      <c r="M2408" s="27" t="str">
        <f t="shared" si="151"/>
        <v/>
      </c>
      <c r="N2408" s="25"/>
      <c r="O2408" s="22"/>
      <c r="P2408" s="24"/>
      <c r="Q2408" s="26"/>
    </row>
    <row r="2409" spans="1:17" ht="15" x14ac:dyDescent="0.15">
      <c r="A2409" s="22"/>
      <c r="B2409" s="26" t="str">
        <f t="shared" si="148"/>
        <v/>
      </c>
      <c r="C2409" s="26" t="str">
        <f t="shared" si="149"/>
        <v/>
      </c>
      <c r="D2409" s="26" t="str">
        <f t="shared" si="150"/>
        <v/>
      </c>
      <c r="E2409" s="29"/>
      <c r="F2409" s="22"/>
      <c r="G2409" s="22"/>
      <c r="H2409" s="22"/>
      <c r="I2409" s="24"/>
      <c r="J2409" s="24"/>
      <c r="K2409" s="24"/>
      <c r="L2409" s="24"/>
      <c r="M2409" s="27" t="str">
        <f t="shared" si="151"/>
        <v/>
      </c>
      <c r="N2409" s="25"/>
      <c r="O2409" s="22"/>
      <c r="P2409" s="24"/>
      <c r="Q2409" s="26"/>
    </row>
    <row r="2410" spans="1:17" ht="15" x14ac:dyDescent="0.15">
      <c r="A2410" s="22"/>
      <c r="B2410" s="26" t="str">
        <f t="shared" si="148"/>
        <v/>
      </c>
      <c r="C2410" s="26" t="str">
        <f t="shared" si="149"/>
        <v/>
      </c>
      <c r="D2410" s="26" t="str">
        <f t="shared" si="150"/>
        <v/>
      </c>
      <c r="E2410" s="29"/>
      <c r="F2410" s="22"/>
      <c r="G2410" s="22"/>
      <c r="H2410" s="22"/>
      <c r="I2410" s="24"/>
      <c r="J2410" s="24"/>
      <c r="K2410" s="24"/>
      <c r="L2410" s="24"/>
      <c r="M2410" s="27" t="str">
        <f t="shared" si="151"/>
        <v/>
      </c>
      <c r="N2410" s="25"/>
      <c r="O2410" s="22"/>
      <c r="P2410" s="24"/>
      <c r="Q2410" s="26"/>
    </row>
    <row r="2411" spans="1:17" ht="15" x14ac:dyDescent="0.15">
      <c r="A2411" s="22"/>
      <c r="B2411" s="26" t="str">
        <f t="shared" si="148"/>
        <v/>
      </c>
      <c r="C2411" s="26" t="str">
        <f t="shared" si="149"/>
        <v/>
      </c>
      <c r="D2411" s="26" t="str">
        <f t="shared" si="150"/>
        <v/>
      </c>
      <c r="E2411" s="29"/>
      <c r="F2411" s="22"/>
      <c r="G2411" s="22"/>
      <c r="H2411" s="22"/>
      <c r="I2411" s="24"/>
      <c r="J2411" s="24"/>
      <c r="K2411" s="24"/>
      <c r="L2411" s="24"/>
      <c r="M2411" s="27" t="str">
        <f t="shared" si="151"/>
        <v/>
      </c>
      <c r="N2411" s="25"/>
      <c r="O2411" s="22"/>
      <c r="P2411" s="24"/>
      <c r="Q2411" s="26"/>
    </row>
    <row r="2412" spans="1:17" ht="15" x14ac:dyDescent="0.15">
      <c r="A2412" s="22"/>
      <c r="B2412" s="26" t="str">
        <f t="shared" si="148"/>
        <v/>
      </c>
      <c r="C2412" s="26" t="str">
        <f t="shared" si="149"/>
        <v/>
      </c>
      <c r="D2412" s="26" t="str">
        <f t="shared" si="150"/>
        <v/>
      </c>
      <c r="E2412" s="29"/>
      <c r="F2412" s="22"/>
      <c r="G2412" s="22"/>
      <c r="H2412" s="22"/>
      <c r="I2412" s="24"/>
      <c r="J2412" s="24"/>
      <c r="K2412" s="24"/>
      <c r="L2412" s="24"/>
      <c r="M2412" s="27" t="str">
        <f t="shared" si="151"/>
        <v/>
      </c>
      <c r="N2412" s="25"/>
      <c r="O2412" s="22"/>
      <c r="P2412" s="24"/>
      <c r="Q2412" s="26"/>
    </row>
    <row r="2413" spans="1:17" ht="15" x14ac:dyDescent="0.15">
      <c r="A2413" s="22"/>
      <c r="B2413" s="26" t="str">
        <f t="shared" si="148"/>
        <v/>
      </c>
      <c r="C2413" s="26" t="str">
        <f t="shared" si="149"/>
        <v/>
      </c>
      <c r="D2413" s="26" t="str">
        <f t="shared" si="150"/>
        <v/>
      </c>
      <c r="E2413" s="29"/>
      <c r="F2413" s="22"/>
      <c r="G2413" s="22"/>
      <c r="H2413" s="22"/>
      <c r="I2413" s="24"/>
      <c r="J2413" s="24"/>
      <c r="K2413" s="24"/>
      <c r="L2413" s="24"/>
      <c r="M2413" s="27" t="str">
        <f t="shared" si="151"/>
        <v/>
      </c>
      <c r="N2413" s="25"/>
      <c r="O2413" s="22"/>
      <c r="P2413" s="24"/>
      <c r="Q2413" s="26"/>
    </row>
    <row r="2414" spans="1:17" ht="15" x14ac:dyDescent="0.15">
      <c r="A2414" s="22"/>
      <c r="B2414" s="26" t="str">
        <f t="shared" si="148"/>
        <v/>
      </c>
      <c r="C2414" s="26" t="str">
        <f t="shared" si="149"/>
        <v/>
      </c>
      <c r="D2414" s="26" t="str">
        <f t="shared" si="150"/>
        <v/>
      </c>
      <c r="E2414" s="29"/>
      <c r="F2414" s="22"/>
      <c r="G2414" s="22"/>
      <c r="H2414" s="22"/>
      <c r="I2414" s="24"/>
      <c r="J2414" s="24"/>
      <c r="K2414" s="24"/>
      <c r="L2414" s="24"/>
      <c r="M2414" s="27" t="str">
        <f t="shared" si="151"/>
        <v/>
      </c>
      <c r="N2414" s="25"/>
      <c r="O2414" s="22"/>
      <c r="P2414" s="24"/>
      <c r="Q2414" s="26"/>
    </row>
    <row r="2415" spans="1:17" ht="15" x14ac:dyDescent="0.15">
      <c r="A2415" s="22"/>
      <c r="B2415" s="26" t="str">
        <f t="shared" si="148"/>
        <v/>
      </c>
      <c r="C2415" s="26" t="str">
        <f t="shared" si="149"/>
        <v/>
      </c>
      <c r="D2415" s="26" t="str">
        <f t="shared" si="150"/>
        <v/>
      </c>
      <c r="E2415" s="29"/>
      <c r="F2415" s="22"/>
      <c r="G2415" s="22"/>
      <c r="H2415" s="22"/>
      <c r="I2415" s="24"/>
      <c r="J2415" s="24"/>
      <c r="K2415" s="24"/>
      <c r="L2415" s="24"/>
      <c r="M2415" s="27" t="str">
        <f t="shared" si="151"/>
        <v/>
      </c>
      <c r="N2415" s="25"/>
      <c r="O2415" s="22"/>
      <c r="P2415" s="24"/>
      <c r="Q2415" s="26"/>
    </row>
    <row r="2416" spans="1:17" ht="15" x14ac:dyDescent="0.15">
      <c r="A2416" s="22"/>
      <c r="B2416" s="26" t="str">
        <f t="shared" si="148"/>
        <v/>
      </c>
      <c r="C2416" s="26" t="str">
        <f t="shared" si="149"/>
        <v/>
      </c>
      <c r="D2416" s="26" t="str">
        <f t="shared" si="150"/>
        <v/>
      </c>
      <c r="E2416" s="29"/>
      <c r="F2416" s="22"/>
      <c r="G2416" s="22"/>
      <c r="H2416" s="22"/>
      <c r="I2416" s="24"/>
      <c r="J2416" s="24"/>
      <c r="K2416" s="24"/>
      <c r="L2416" s="24"/>
      <c r="M2416" s="27" t="str">
        <f t="shared" si="151"/>
        <v/>
      </c>
      <c r="N2416" s="25"/>
      <c r="O2416" s="22"/>
      <c r="P2416" s="24"/>
      <c r="Q2416" s="26"/>
    </row>
    <row r="2417" spans="1:17" ht="15" x14ac:dyDescent="0.15">
      <c r="A2417" s="22"/>
      <c r="B2417" s="26" t="str">
        <f t="shared" si="148"/>
        <v/>
      </c>
      <c r="C2417" s="26" t="str">
        <f t="shared" si="149"/>
        <v/>
      </c>
      <c r="D2417" s="26" t="str">
        <f t="shared" si="150"/>
        <v/>
      </c>
      <c r="E2417" s="29"/>
      <c r="F2417" s="22"/>
      <c r="G2417" s="22"/>
      <c r="H2417" s="22"/>
      <c r="I2417" s="24"/>
      <c r="J2417" s="24"/>
      <c r="K2417" s="24"/>
      <c r="L2417" s="24"/>
      <c r="M2417" s="27" t="str">
        <f t="shared" si="151"/>
        <v/>
      </c>
      <c r="N2417" s="25"/>
      <c r="O2417" s="22"/>
      <c r="P2417" s="24"/>
      <c r="Q2417" s="26"/>
    </row>
    <row r="2418" spans="1:17" ht="15" x14ac:dyDescent="0.15">
      <c r="A2418" s="22"/>
      <c r="B2418" s="26" t="str">
        <f t="shared" si="148"/>
        <v/>
      </c>
      <c r="C2418" s="26" t="str">
        <f t="shared" si="149"/>
        <v/>
      </c>
      <c r="D2418" s="26" t="str">
        <f t="shared" si="150"/>
        <v/>
      </c>
      <c r="E2418" s="29"/>
      <c r="F2418" s="22"/>
      <c r="G2418" s="22"/>
      <c r="H2418" s="22"/>
      <c r="I2418" s="24"/>
      <c r="J2418" s="24"/>
      <c r="K2418" s="24"/>
      <c r="L2418" s="24"/>
      <c r="M2418" s="27" t="str">
        <f t="shared" si="151"/>
        <v/>
      </c>
      <c r="N2418" s="25"/>
      <c r="O2418" s="22"/>
      <c r="P2418" s="24"/>
      <c r="Q2418" s="26"/>
    </row>
    <row r="2419" spans="1:17" ht="15" x14ac:dyDescent="0.15">
      <c r="A2419" s="22"/>
      <c r="B2419" s="26" t="str">
        <f t="shared" si="148"/>
        <v/>
      </c>
      <c r="C2419" s="26" t="str">
        <f t="shared" si="149"/>
        <v/>
      </c>
      <c r="D2419" s="26" t="str">
        <f t="shared" si="150"/>
        <v/>
      </c>
      <c r="E2419" s="29"/>
      <c r="F2419" s="22"/>
      <c r="G2419" s="22"/>
      <c r="H2419" s="22"/>
      <c r="I2419" s="24"/>
      <c r="J2419" s="24"/>
      <c r="K2419" s="24"/>
      <c r="L2419" s="24"/>
      <c r="M2419" s="27" t="str">
        <f t="shared" si="151"/>
        <v/>
      </c>
      <c r="N2419" s="25"/>
      <c r="O2419" s="22"/>
      <c r="P2419" s="24"/>
      <c r="Q2419" s="26"/>
    </row>
    <row r="2420" spans="1:17" ht="15" x14ac:dyDescent="0.15">
      <c r="A2420" s="22"/>
      <c r="B2420" s="26" t="str">
        <f t="shared" si="148"/>
        <v/>
      </c>
      <c r="C2420" s="26" t="str">
        <f t="shared" si="149"/>
        <v/>
      </c>
      <c r="D2420" s="26" t="str">
        <f t="shared" si="150"/>
        <v/>
      </c>
      <c r="E2420" s="29"/>
      <c r="F2420" s="22"/>
      <c r="G2420" s="22"/>
      <c r="H2420" s="22"/>
      <c r="I2420" s="24"/>
      <c r="J2420" s="24"/>
      <c r="K2420" s="24"/>
      <c r="L2420" s="24"/>
      <c r="M2420" s="27" t="str">
        <f t="shared" si="151"/>
        <v/>
      </c>
      <c r="N2420" s="25"/>
      <c r="O2420" s="22"/>
      <c r="P2420" s="24"/>
      <c r="Q2420" s="26"/>
    </row>
    <row r="2421" spans="1:17" ht="15" x14ac:dyDescent="0.15">
      <c r="A2421" s="22"/>
      <c r="B2421" s="26" t="str">
        <f t="shared" si="148"/>
        <v/>
      </c>
      <c r="C2421" s="26" t="str">
        <f t="shared" si="149"/>
        <v/>
      </c>
      <c r="D2421" s="26" t="str">
        <f t="shared" si="150"/>
        <v/>
      </c>
      <c r="E2421" s="29"/>
      <c r="F2421" s="22"/>
      <c r="G2421" s="22"/>
      <c r="H2421" s="22"/>
      <c r="I2421" s="24"/>
      <c r="J2421" s="24"/>
      <c r="K2421" s="24"/>
      <c r="L2421" s="24"/>
      <c r="M2421" s="27" t="str">
        <f t="shared" si="151"/>
        <v/>
      </c>
      <c r="N2421" s="25"/>
      <c r="O2421" s="22"/>
      <c r="P2421" s="24"/>
      <c r="Q2421" s="26"/>
    </row>
    <row r="2422" spans="1:17" ht="15" x14ac:dyDescent="0.15">
      <c r="A2422" s="22"/>
      <c r="B2422" s="26" t="str">
        <f t="shared" si="148"/>
        <v/>
      </c>
      <c r="C2422" s="26" t="str">
        <f t="shared" si="149"/>
        <v/>
      </c>
      <c r="D2422" s="26" t="str">
        <f t="shared" si="150"/>
        <v/>
      </c>
      <c r="E2422" s="29"/>
      <c r="F2422" s="22"/>
      <c r="G2422" s="22"/>
      <c r="H2422" s="22"/>
      <c r="I2422" s="24"/>
      <c r="J2422" s="24"/>
      <c r="K2422" s="24"/>
      <c r="L2422" s="24"/>
      <c r="M2422" s="27" t="str">
        <f t="shared" si="151"/>
        <v/>
      </c>
      <c r="N2422" s="25"/>
      <c r="O2422" s="22"/>
      <c r="P2422" s="24"/>
      <c r="Q2422" s="26"/>
    </row>
    <row r="2423" spans="1:17" ht="15" x14ac:dyDescent="0.15">
      <c r="A2423" s="22"/>
      <c r="B2423" s="26" t="str">
        <f t="shared" si="148"/>
        <v/>
      </c>
      <c r="C2423" s="26" t="str">
        <f t="shared" si="149"/>
        <v/>
      </c>
      <c r="D2423" s="26" t="str">
        <f t="shared" si="150"/>
        <v/>
      </c>
      <c r="E2423" s="29"/>
      <c r="F2423" s="22"/>
      <c r="G2423" s="22"/>
      <c r="H2423" s="22"/>
      <c r="I2423" s="24"/>
      <c r="J2423" s="24"/>
      <c r="K2423" s="24"/>
      <c r="L2423" s="24"/>
      <c r="M2423" s="27" t="str">
        <f t="shared" si="151"/>
        <v/>
      </c>
      <c r="N2423" s="25"/>
      <c r="O2423" s="22"/>
      <c r="P2423" s="24"/>
      <c r="Q2423" s="26"/>
    </row>
    <row r="2424" spans="1:17" ht="15" x14ac:dyDescent="0.15">
      <c r="A2424" s="22"/>
      <c r="B2424" s="26" t="str">
        <f t="shared" si="148"/>
        <v/>
      </c>
      <c r="C2424" s="26" t="str">
        <f t="shared" si="149"/>
        <v/>
      </c>
      <c r="D2424" s="26" t="str">
        <f t="shared" si="150"/>
        <v/>
      </c>
      <c r="E2424" s="29"/>
      <c r="F2424" s="22"/>
      <c r="G2424" s="22"/>
      <c r="H2424" s="22"/>
      <c r="I2424" s="24"/>
      <c r="J2424" s="24"/>
      <c r="K2424" s="24"/>
      <c r="L2424" s="24"/>
      <c r="M2424" s="27" t="str">
        <f t="shared" si="151"/>
        <v/>
      </c>
      <c r="N2424" s="25"/>
      <c r="O2424" s="22"/>
      <c r="P2424" s="24"/>
      <c r="Q2424" s="26"/>
    </row>
    <row r="2425" spans="1:17" ht="15" x14ac:dyDescent="0.15">
      <c r="A2425" s="22"/>
      <c r="B2425" s="26" t="str">
        <f t="shared" si="148"/>
        <v/>
      </c>
      <c r="C2425" s="26" t="str">
        <f t="shared" si="149"/>
        <v/>
      </c>
      <c r="D2425" s="26" t="str">
        <f t="shared" si="150"/>
        <v/>
      </c>
      <c r="E2425" s="29"/>
      <c r="F2425" s="22"/>
      <c r="G2425" s="22"/>
      <c r="H2425" s="22"/>
      <c r="I2425" s="24"/>
      <c r="J2425" s="24"/>
      <c r="K2425" s="24"/>
      <c r="L2425" s="24"/>
      <c r="M2425" s="27" t="str">
        <f t="shared" si="151"/>
        <v/>
      </c>
      <c r="N2425" s="25"/>
      <c r="O2425" s="22"/>
      <c r="P2425" s="24"/>
      <c r="Q2425" s="26"/>
    </row>
    <row r="2426" spans="1:17" ht="15" x14ac:dyDescent="0.15">
      <c r="A2426" s="22"/>
      <c r="B2426" s="26" t="str">
        <f t="shared" si="148"/>
        <v/>
      </c>
      <c r="C2426" s="26" t="str">
        <f t="shared" si="149"/>
        <v/>
      </c>
      <c r="D2426" s="26" t="str">
        <f t="shared" si="150"/>
        <v/>
      </c>
      <c r="E2426" s="29"/>
      <c r="F2426" s="22"/>
      <c r="G2426" s="22"/>
      <c r="H2426" s="22"/>
      <c r="I2426" s="24"/>
      <c r="J2426" s="24"/>
      <c r="K2426" s="24"/>
      <c r="L2426" s="24"/>
      <c r="M2426" s="27" t="str">
        <f t="shared" si="151"/>
        <v/>
      </c>
      <c r="N2426" s="25"/>
      <c r="O2426" s="22"/>
      <c r="P2426" s="24"/>
      <c r="Q2426" s="26"/>
    </row>
    <row r="2427" spans="1:17" ht="15" x14ac:dyDescent="0.15">
      <c r="A2427" s="22"/>
      <c r="B2427" s="26" t="str">
        <f t="shared" si="148"/>
        <v/>
      </c>
      <c r="C2427" s="26" t="str">
        <f t="shared" si="149"/>
        <v/>
      </c>
      <c r="D2427" s="26" t="str">
        <f t="shared" si="150"/>
        <v/>
      </c>
      <c r="E2427" s="29"/>
      <c r="F2427" s="22"/>
      <c r="G2427" s="22"/>
      <c r="H2427" s="22"/>
      <c r="I2427" s="24"/>
      <c r="J2427" s="24"/>
      <c r="K2427" s="24"/>
      <c r="L2427" s="24"/>
      <c r="M2427" s="27" t="str">
        <f t="shared" si="151"/>
        <v/>
      </c>
      <c r="N2427" s="25"/>
      <c r="O2427" s="22"/>
      <c r="P2427" s="24"/>
      <c r="Q2427" s="26"/>
    </row>
    <row r="2428" spans="1:17" ht="15" x14ac:dyDescent="0.15">
      <c r="A2428" s="22"/>
      <c r="B2428" s="26" t="str">
        <f t="shared" si="148"/>
        <v/>
      </c>
      <c r="C2428" s="26" t="str">
        <f t="shared" si="149"/>
        <v/>
      </c>
      <c r="D2428" s="26" t="str">
        <f t="shared" si="150"/>
        <v/>
      </c>
      <c r="E2428" s="29"/>
      <c r="F2428" s="22"/>
      <c r="G2428" s="22"/>
      <c r="H2428" s="22"/>
      <c r="I2428" s="24"/>
      <c r="J2428" s="24"/>
      <c r="K2428" s="24"/>
      <c r="L2428" s="24"/>
      <c r="M2428" s="27" t="str">
        <f t="shared" si="151"/>
        <v/>
      </c>
      <c r="N2428" s="25"/>
      <c r="O2428" s="22"/>
      <c r="P2428" s="24"/>
      <c r="Q2428" s="26"/>
    </row>
    <row r="2429" spans="1:17" ht="15" x14ac:dyDescent="0.15">
      <c r="A2429" s="22"/>
      <c r="B2429" s="26" t="str">
        <f t="shared" si="148"/>
        <v/>
      </c>
      <c r="C2429" s="26" t="str">
        <f t="shared" si="149"/>
        <v/>
      </c>
      <c r="D2429" s="26" t="str">
        <f t="shared" si="150"/>
        <v/>
      </c>
      <c r="E2429" s="29"/>
      <c r="F2429" s="22"/>
      <c r="G2429" s="22"/>
      <c r="H2429" s="22"/>
      <c r="I2429" s="24"/>
      <c r="J2429" s="24"/>
      <c r="K2429" s="24"/>
      <c r="L2429" s="24"/>
      <c r="M2429" s="27" t="str">
        <f t="shared" si="151"/>
        <v/>
      </c>
      <c r="N2429" s="25"/>
      <c r="O2429" s="22"/>
      <c r="P2429" s="24"/>
      <c r="Q2429" s="26"/>
    </row>
    <row r="2430" spans="1:17" ht="15" x14ac:dyDescent="0.15">
      <c r="A2430" s="22"/>
      <c r="B2430" s="26" t="str">
        <f t="shared" si="148"/>
        <v/>
      </c>
      <c r="C2430" s="26" t="str">
        <f t="shared" si="149"/>
        <v/>
      </c>
      <c r="D2430" s="26" t="str">
        <f t="shared" si="150"/>
        <v/>
      </c>
      <c r="E2430" s="29"/>
      <c r="F2430" s="22"/>
      <c r="G2430" s="22"/>
      <c r="H2430" s="22"/>
      <c r="I2430" s="24"/>
      <c r="J2430" s="24"/>
      <c r="K2430" s="24"/>
      <c r="L2430" s="24"/>
      <c r="M2430" s="27" t="str">
        <f t="shared" si="151"/>
        <v/>
      </c>
      <c r="N2430" s="25"/>
      <c r="O2430" s="22"/>
      <c r="P2430" s="24"/>
      <c r="Q2430" s="26"/>
    </row>
    <row r="2431" spans="1:17" ht="15" x14ac:dyDescent="0.15">
      <c r="A2431" s="22"/>
      <c r="B2431" s="26" t="str">
        <f t="shared" si="148"/>
        <v/>
      </c>
      <c r="C2431" s="26" t="str">
        <f t="shared" si="149"/>
        <v/>
      </c>
      <c r="D2431" s="26" t="str">
        <f t="shared" si="150"/>
        <v/>
      </c>
      <c r="E2431" s="29"/>
      <c r="F2431" s="22"/>
      <c r="G2431" s="22"/>
      <c r="H2431" s="22"/>
      <c r="I2431" s="24"/>
      <c r="J2431" s="24"/>
      <c r="K2431" s="24"/>
      <c r="L2431" s="24"/>
      <c r="M2431" s="27" t="str">
        <f t="shared" si="151"/>
        <v/>
      </c>
      <c r="N2431" s="25"/>
      <c r="O2431" s="22"/>
      <c r="P2431" s="24"/>
      <c r="Q2431" s="26"/>
    </row>
    <row r="2432" spans="1:17" ht="15" x14ac:dyDescent="0.15">
      <c r="A2432" s="22"/>
      <c r="B2432" s="26" t="str">
        <f t="shared" si="148"/>
        <v/>
      </c>
      <c r="C2432" s="26" t="str">
        <f t="shared" si="149"/>
        <v/>
      </c>
      <c r="D2432" s="26" t="str">
        <f t="shared" si="150"/>
        <v/>
      </c>
      <c r="E2432" s="29"/>
      <c r="F2432" s="22"/>
      <c r="G2432" s="22"/>
      <c r="H2432" s="22"/>
      <c r="I2432" s="24"/>
      <c r="J2432" s="24"/>
      <c r="K2432" s="24"/>
      <c r="L2432" s="24"/>
      <c r="M2432" s="27" t="str">
        <f t="shared" si="151"/>
        <v/>
      </c>
      <c r="N2432" s="25"/>
      <c r="O2432" s="22"/>
      <c r="P2432" s="24"/>
      <c r="Q2432" s="26"/>
    </row>
    <row r="2433" spans="1:17" ht="15" x14ac:dyDescent="0.15">
      <c r="A2433" s="22"/>
      <c r="B2433" s="26" t="str">
        <f t="shared" si="148"/>
        <v/>
      </c>
      <c r="C2433" s="26" t="str">
        <f t="shared" si="149"/>
        <v/>
      </c>
      <c r="D2433" s="26" t="str">
        <f t="shared" si="150"/>
        <v/>
      </c>
      <c r="E2433" s="29"/>
      <c r="F2433" s="22"/>
      <c r="G2433" s="22"/>
      <c r="H2433" s="22"/>
      <c r="I2433" s="24"/>
      <c r="J2433" s="24"/>
      <c r="K2433" s="24"/>
      <c r="L2433" s="24"/>
      <c r="M2433" s="27" t="str">
        <f t="shared" si="151"/>
        <v/>
      </c>
      <c r="N2433" s="25"/>
      <c r="O2433" s="22"/>
      <c r="P2433" s="24"/>
      <c r="Q2433" s="26"/>
    </row>
    <row r="2434" spans="1:17" ht="15" x14ac:dyDescent="0.15">
      <c r="A2434" s="22"/>
      <c r="B2434" s="26" t="str">
        <f t="shared" si="148"/>
        <v/>
      </c>
      <c r="C2434" s="26" t="str">
        <f t="shared" si="149"/>
        <v/>
      </c>
      <c r="D2434" s="26" t="str">
        <f t="shared" si="150"/>
        <v/>
      </c>
      <c r="E2434" s="29"/>
      <c r="F2434" s="22"/>
      <c r="G2434" s="22"/>
      <c r="H2434" s="22"/>
      <c r="I2434" s="24"/>
      <c r="J2434" s="24"/>
      <c r="K2434" s="24"/>
      <c r="L2434" s="24"/>
      <c r="M2434" s="27" t="str">
        <f t="shared" si="151"/>
        <v/>
      </c>
      <c r="N2434" s="25"/>
      <c r="O2434" s="22"/>
      <c r="P2434" s="24"/>
      <c r="Q2434" s="26"/>
    </row>
    <row r="2435" spans="1:17" ht="15" x14ac:dyDescent="0.15">
      <c r="A2435" s="22"/>
      <c r="B2435" s="26" t="str">
        <f t="shared" si="148"/>
        <v/>
      </c>
      <c r="C2435" s="26" t="str">
        <f t="shared" si="149"/>
        <v/>
      </c>
      <c r="D2435" s="26" t="str">
        <f t="shared" si="150"/>
        <v/>
      </c>
      <c r="E2435" s="29"/>
      <c r="F2435" s="22"/>
      <c r="G2435" s="22"/>
      <c r="H2435" s="22"/>
      <c r="I2435" s="24"/>
      <c r="J2435" s="24"/>
      <c r="K2435" s="24"/>
      <c r="L2435" s="24"/>
      <c r="M2435" s="27" t="str">
        <f t="shared" si="151"/>
        <v/>
      </c>
      <c r="N2435" s="25"/>
      <c r="O2435" s="22"/>
      <c r="P2435" s="24"/>
      <c r="Q2435" s="26"/>
    </row>
    <row r="2436" spans="1:17" ht="15" x14ac:dyDescent="0.15">
      <c r="A2436" s="22"/>
      <c r="B2436" s="26" t="str">
        <f t="shared" si="148"/>
        <v/>
      </c>
      <c r="C2436" s="26" t="str">
        <f t="shared" si="149"/>
        <v/>
      </c>
      <c r="D2436" s="26" t="str">
        <f t="shared" si="150"/>
        <v/>
      </c>
      <c r="E2436" s="29"/>
      <c r="F2436" s="22"/>
      <c r="G2436" s="22"/>
      <c r="H2436" s="22"/>
      <c r="I2436" s="24"/>
      <c r="J2436" s="24"/>
      <c r="K2436" s="24"/>
      <c r="L2436" s="24"/>
      <c r="M2436" s="27" t="str">
        <f t="shared" si="151"/>
        <v/>
      </c>
      <c r="N2436" s="25"/>
      <c r="O2436" s="22"/>
      <c r="P2436" s="24"/>
      <c r="Q2436" s="26"/>
    </row>
    <row r="2437" spans="1:17" ht="15" x14ac:dyDescent="0.15">
      <c r="A2437" s="22"/>
      <c r="B2437" s="26" t="str">
        <f t="shared" si="148"/>
        <v/>
      </c>
      <c r="C2437" s="26" t="str">
        <f t="shared" si="149"/>
        <v/>
      </c>
      <c r="D2437" s="26" t="str">
        <f t="shared" si="150"/>
        <v/>
      </c>
      <c r="E2437" s="29"/>
      <c r="F2437" s="22"/>
      <c r="G2437" s="22"/>
      <c r="H2437" s="22"/>
      <c r="I2437" s="24"/>
      <c r="J2437" s="24"/>
      <c r="K2437" s="24"/>
      <c r="L2437" s="24"/>
      <c r="M2437" s="27" t="str">
        <f t="shared" si="151"/>
        <v/>
      </c>
      <c r="N2437" s="25"/>
      <c r="O2437" s="22"/>
      <c r="P2437" s="24"/>
      <c r="Q2437" s="26"/>
    </row>
    <row r="2438" spans="1:17" ht="15" x14ac:dyDescent="0.15">
      <c r="A2438" s="22"/>
      <c r="B2438" s="26" t="str">
        <f t="shared" si="148"/>
        <v/>
      </c>
      <c r="C2438" s="26" t="str">
        <f t="shared" si="149"/>
        <v/>
      </c>
      <c r="D2438" s="26" t="str">
        <f t="shared" si="150"/>
        <v/>
      </c>
      <c r="E2438" s="29"/>
      <c r="F2438" s="22"/>
      <c r="G2438" s="22"/>
      <c r="H2438" s="22"/>
      <c r="I2438" s="24"/>
      <c r="J2438" s="24"/>
      <c r="K2438" s="24"/>
      <c r="L2438" s="24"/>
      <c r="M2438" s="27" t="str">
        <f t="shared" si="151"/>
        <v/>
      </c>
      <c r="N2438" s="25"/>
      <c r="O2438" s="22"/>
      <c r="P2438" s="24"/>
      <c r="Q2438" s="26"/>
    </row>
    <row r="2439" spans="1:17" ht="15" x14ac:dyDescent="0.15">
      <c r="A2439" s="22"/>
      <c r="B2439" s="26" t="str">
        <f t="shared" ref="B2439:B2502" si="152">IFERROR(IF($A2439="","",LEFT($A2439,FIND(" | ",$A2439)-1)),"")</f>
        <v/>
      </c>
      <c r="C2439" s="26" t="str">
        <f t="shared" ref="C2439:C2502" si="153">IFERROR(IF($A2439="","",MID($A2439,FIND(" | ",$A2439)+3,FIND(" | ",$A2439,FIND(" | ",$A2439)+3)-FIND(" | ",$A2439)-3)),"")</f>
        <v/>
      </c>
      <c r="D2439" s="26" t="str">
        <f t="shared" ref="D2439:D2502" si="154">IFERROR(IF($A2439="","",RIGHT($A2439,LEN($A2439)-FIND(" | ",$A2439,FIND(" | ",$A2439)+3)-2)),"")</f>
        <v/>
      </c>
      <c r="E2439" s="29"/>
      <c r="F2439" s="22"/>
      <c r="G2439" s="22"/>
      <c r="H2439" s="22"/>
      <c r="I2439" s="24"/>
      <c r="J2439" s="24"/>
      <c r="K2439" s="24"/>
      <c r="L2439" s="24"/>
      <c r="M2439" s="27" t="str">
        <f t="shared" ref="M2439:M2502" si="155">IF($B2439="","",SUM($J2439,-$K2439,$L2439))</f>
        <v/>
      </c>
      <c r="N2439" s="25"/>
      <c r="O2439" s="22"/>
      <c r="P2439" s="24"/>
      <c r="Q2439" s="26"/>
    </row>
    <row r="2440" spans="1:17" ht="15" x14ac:dyDescent="0.15">
      <c r="A2440" s="22"/>
      <c r="B2440" s="26" t="str">
        <f t="shared" si="152"/>
        <v/>
      </c>
      <c r="C2440" s="26" t="str">
        <f t="shared" si="153"/>
        <v/>
      </c>
      <c r="D2440" s="26" t="str">
        <f t="shared" si="154"/>
        <v/>
      </c>
      <c r="E2440" s="29"/>
      <c r="F2440" s="22"/>
      <c r="G2440" s="22"/>
      <c r="H2440" s="22"/>
      <c r="I2440" s="24"/>
      <c r="J2440" s="24"/>
      <c r="K2440" s="24"/>
      <c r="L2440" s="24"/>
      <c r="M2440" s="27" t="str">
        <f t="shared" si="155"/>
        <v/>
      </c>
      <c r="N2440" s="25"/>
      <c r="O2440" s="22"/>
      <c r="P2440" s="24"/>
      <c r="Q2440" s="26"/>
    </row>
    <row r="2441" spans="1:17" ht="15" x14ac:dyDescent="0.15">
      <c r="A2441" s="22"/>
      <c r="B2441" s="26" t="str">
        <f t="shared" si="152"/>
        <v/>
      </c>
      <c r="C2441" s="26" t="str">
        <f t="shared" si="153"/>
        <v/>
      </c>
      <c r="D2441" s="26" t="str">
        <f t="shared" si="154"/>
        <v/>
      </c>
      <c r="E2441" s="29"/>
      <c r="F2441" s="22"/>
      <c r="G2441" s="22"/>
      <c r="H2441" s="22"/>
      <c r="I2441" s="24"/>
      <c r="J2441" s="24"/>
      <c r="K2441" s="24"/>
      <c r="L2441" s="24"/>
      <c r="M2441" s="27" t="str">
        <f t="shared" si="155"/>
        <v/>
      </c>
      <c r="N2441" s="25"/>
      <c r="O2441" s="22"/>
      <c r="P2441" s="24"/>
      <c r="Q2441" s="26"/>
    </row>
    <row r="2442" spans="1:17" ht="15" x14ac:dyDescent="0.15">
      <c r="A2442" s="22"/>
      <c r="B2442" s="26" t="str">
        <f t="shared" si="152"/>
        <v/>
      </c>
      <c r="C2442" s="26" t="str">
        <f t="shared" si="153"/>
        <v/>
      </c>
      <c r="D2442" s="26" t="str">
        <f t="shared" si="154"/>
        <v/>
      </c>
      <c r="E2442" s="29"/>
      <c r="F2442" s="22"/>
      <c r="G2442" s="22"/>
      <c r="H2442" s="22"/>
      <c r="I2442" s="24"/>
      <c r="J2442" s="24"/>
      <c r="K2442" s="24"/>
      <c r="L2442" s="24"/>
      <c r="M2442" s="27" t="str">
        <f t="shared" si="155"/>
        <v/>
      </c>
      <c r="N2442" s="25"/>
      <c r="O2442" s="22"/>
      <c r="P2442" s="24"/>
      <c r="Q2442" s="26"/>
    </row>
    <row r="2443" spans="1:17" ht="15" x14ac:dyDescent="0.15">
      <c r="A2443" s="22"/>
      <c r="B2443" s="26" t="str">
        <f t="shared" si="152"/>
        <v/>
      </c>
      <c r="C2443" s="26" t="str">
        <f t="shared" si="153"/>
        <v/>
      </c>
      <c r="D2443" s="26" t="str">
        <f t="shared" si="154"/>
        <v/>
      </c>
      <c r="E2443" s="29"/>
      <c r="F2443" s="22"/>
      <c r="G2443" s="22"/>
      <c r="H2443" s="22"/>
      <c r="I2443" s="24"/>
      <c r="J2443" s="24"/>
      <c r="K2443" s="24"/>
      <c r="L2443" s="24"/>
      <c r="M2443" s="27" t="str">
        <f t="shared" si="155"/>
        <v/>
      </c>
      <c r="N2443" s="25"/>
      <c r="O2443" s="22"/>
      <c r="P2443" s="24"/>
      <c r="Q2443" s="26"/>
    </row>
    <row r="2444" spans="1:17" ht="15" x14ac:dyDescent="0.15">
      <c r="A2444" s="22"/>
      <c r="B2444" s="26" t="str">
        <f t="shared" si="152"/>
        <v/>
      </c>
      <c r="C2444" s="26" t="str">
        <f t="shared" si="153"/>
        <v/>
      </c>
      <c r="D2444" s="26" t="str">
        <f t="shared" si="154"/>
        <v/>
      </c>
      <c r="E2444" s="29"/>
      <c r="F2444" s="22"/>
      <c r="G2444" s="22"/>
      <c r="H2444" s="22"/>
      <c r="I2444" s="24"/>
      <c r="J2444" s="24"/>
      <c r="K2444" s="24"/>
      <c r="L2444" s="24"/>
      <c r="M2444" s="27" t="str">
        <f t="shared" si="155"/>
        <v/>
      </c>
      <c r="N2444" s="25"/>
      <c r="O2444" s="22"/>
      <c r="P2444" s="24"/>
      <c r="Q2444" s="26"/>
    </row>
    <row r="2445" spans="1:17" ht="15" x14ac:dyDescent="0.15">
      <c r="A2445" s="22"/>
      <c r="B2445" s="26" t="str">
        <f t="shared" si="152"/>
        <v/>
      </c>
      <c r="C2445" s="26" t="str">
        <f t="shared" si="153"/>
        <v/>
      </c>
      <c r="D2445" s="26" t="str">
        <f t="shared" si="154"/>
        <v/>
      </c>
      <c r="E2445" s="29"/>
      <c r="F2445" s="22"/>
      <c r="G2445" s="22"/>
      <c r="H2445" s="22"/>
      <c r="I2445" s="24"/>
      <c r="J2445" s="24"/>
      <c r="K2445" s="24"/>
      <c r="L2445" s="24"/>
      <c r="M2445" s="27" t="str">
        <f t="shared" si="155"/>
        <v/>
      </c>
      <c r="N2445" s="25"/>
      <c r="O2445" s="22"/>
      <c r="P2445" s="24"/>
      <c r="Q2445" s="26"/>
    </row>
    <row r="2446" spans="1:17" ht="15" x14ac:dyDescent="0.15">
      <c r="A2446" s="22"/>
      <c r="B2446" s="26" t="str">
        <f t="shared" si="152"/>
        <v/>
      </c>
      <c r="C2446" s="26" t="str">
        <f t="shared" si="153"/>
        <v/>
      </c>
      <c r="D2446" s="26" t="str">
        <f t="shared" si="154"/>
        <v/>
      </c>
      <c r="E2446" s="29"/>
      <c r="F2446" s="22"/>
      <c r="G2446" s="22"/>
      <c r="H2446" s="22"/>
      <c r="I2446" s="24"/>
      <c r="J2446" s="24"/>
      <c r="K2446" s="24"/>
      <c r="L2446" s="24"/>
      <c r="M2446" s="27" t="str">
        <f t="shared" si="155"/>
        <v/>
      </c>
      <c r="N2446" s="25"/>
      <c r="O2446" s="22"/>
      <c r="P2446" s="24"/>
      <c r="Q2446" s="26"/>
    </row>
    <row r="2447" spans="1:17" ht="15" x14ac:dyDescent="0.15">
      <c r="A2447" s="22"/>
      <c r="B2447" s="26" t="str">
        <f t="shared" si="152"/>
        <v/>
      </c>
      <c r="C2447" s="26" t="str">
        <f t="shared" si="153"/>
        <v/>
      </c>
      <c r="D2447" s="26" t="str">
        <f t="shared" si="154"/>
        <v/>
      </c>
      <c r="E2447" s="29"/>
      <c r="F2447" s="22"/>
      <c r="G2447" s="22"/>
      <c r="H2447" s="22"/>
      <c r="I2447" s="24"/>
      <c r="J2447" s="24"/>
      <c r="K2447" s="24"/>
      <c r="L2447" s="24"/>
      <c r="M2447" s="27" t="str">
        <f t="shared" si="155"/>
        <v/>
      </c>
      <c r="N2447" s="25"/>
      <c r="O2447" s="22"/>
      <c r="P2447" s="24"/>
      <c r="Q2447" s="26"/>
    </row>
    <row r="2448" spans="1:17" ht="15" x14ac:dyDescent="0.15">
      <c r="A2448" s="22"/>
      <c r="B2448" s="26" t="str">
        <f t="shared" si="152"/>
        <v/>
      </c>
      <c r="C2448" s="26" t="str">
        <f t="shared" si="153"/>
        <v/>
      </c>
      <c r="D2448" s="26" t="str">
        <f t="shared" si="154"/>
        <v/>
      </c>
      <c r="E2448" s="29"/>
      <c r="F2448" s="22"/>
      <c r="G2448" s="22"/>
      <c r="H2448" s="22"/>
      <c r="I2448" s="24"/>
      <c r="J2448" s="24"/>
      <c r="K2448" s="24"/>
      <c r="L2448" s="24"/>
      <c r="M2448" s="27" t="str">
        <f t="shared" si="155"/>
        <v/>
      </c>
      <c r="N2448" s="25"/>
      <c r="O2448" s="22"/>
      <c r="P2448" s="24"/>
      <c r="Q2448" s="26"/>
    </row>
    <row r="2449" spans="1:17" ht="15" x14ac:dyDescent="0.15">
      <c r="A2449" s="22"/>
      <c r="B2449" s="26" t="str">
        <f t="shared" si="152"/>
        <v/>
      </c>
      <c r="C2449" s="26" t="str">
        <f t="shared" si="153"/>
        <v/>
      </c>
      <c r="D2449" s="26" t="str">
        <f t="shared" si="154"/>
        <v/>
      </c>
      <c r="E2449" s="29"/>
      <c r="F2449" s="22"/>
      <c r="G2449" s="22"/>
      <c r="H2449" s="22"/>
      <c r="I2449" s="24"/>
      <c r="J2449" s="24"/>
      <c r="K2449" s="24"/>
      <c r="L2449" s="24"/>
      <c r="M2449" s="27" t="str">
        <f t="shared" si="155"/>
        <v/>
      </c>
      <c r="N2449" s="25"/>
      <c r="O2449" s="22"/>
      <c r="P2449" s="24"/>
      <c r="Q2449" s="26"/>
    </row>
    <row r="2450" spans="1:17" ht="15" x14ac:dyDescent="0.15">
      <c r="A2450" s="22"/>
      <c r="B2450" s="26" t="str">
        <f t="shared" si="152"/>
        <v/>
      </c>
      <c r="C2450" s="26" t="str">
        <f t="shared" si="153"/>
        <v/>
      </c>
      <c r="D2450" s="26" t="str">
        <f t="shared" si="154"/>
        <v/>
      </c>
      <c r="E2450" s="29"/>
      <c r="F2450" s="22"/>
      <c r="G2450" s="22"/>
      <c r="H2450" s="22"/>
      <c r="I2450" s="24"/>
      <c r="J2450" s="24"/>
      <c r="K2450" s="24"/>
      <c r="L2450" s="24"/>
      <c r="M2450" s="27" t="str">
        <f t="shared" si="155"/>
        <v/>
      </c>
      <c r="N2450" s="25"/>
      <c r="O2450" s="22"/>
      <c r="P2450" s="24"/>
      <c r="Q2450" s="26"/>
    </row>
    <row r="2451" spans="1:17" ht="15" x14ac:dyDescent="0.15">
      <c r="A2451" s="22"/>
      <c r="B2451" s="26" t="str">
        <f t="shared" si="152"/>
        <v/>
      </c>
      <c r="C2451" s="26" t="str">
        <f t="shared" si="153"/>
        <v/>
      </c>
      <c r="D2451" s="26" t="str">
        <f t="shared" si="154"/>
        <v/>
      </c>
      <c r="E2451" s="29"/>
      <c r="F2451" s="22"/>
      <c r="G2451" s="22"/>
      <c r="H2451" s="22"/>
      <c r="I2451" s="24"/>
      <c r="J2451" s="24"/>
      <c r="K2451" s="24"/>
      <c r="L2451" s="24"/>
      <c r="M2451" s="27" t="str">
        <f t="shared" si="155"/>
        <v/>
      </c>
      <c r="N2451" s="25"/>
      <c r="O2451" s="22"/>
      <c r="P2451" s="24"/>
      <c r="Q2451" s="26"/>
    </row>
    <row r="2452" spans="1:17" ht="15" x14ac:dyDescent="0.15">
      <c r="A2452" s="22"/>
      <c r="B2452" s="26" t="str">
        <f t="shared" si="152"/>
        <v/>
      </c>
      <c r="C2452" s="26" t="str">
        <f t="shared" si="153"/>
        <v/>
      </c>
      <c r="D2452" s="26" t="str">
        <f t="shared" si="154"/>
        <v/>
      </c>
      <c r="E2452" s="29"/>
      <c r="F2452" s="22"/>
      <c r="G2452" s="22"/>
      <c r="H2452" s="22"/>
      <c r="I2452" s="24"/>
      <c r="J2452" s="24"/>
      <c r="K2452" s="24"/>
      <c r="L2452" s="24"/>
      <c r="M2452" s="27" t="str">
        <f t="shared" si="155"/>
        <v/>
      </c>
      <c r="N2452" s="25"/>
      <c r="O2452" s="22"/>
      <c r="P2452" s="24"/>
      <c r="Q2452" s="26"/>
    </row>
    <row r="2453" spans="1:17" ht="15" x14ac:dyDescent="0.15">
      <c r="A2453" s="22"/>
      <c r="B2453" s="26" t="str">
        <f t="shared" si="152"/>
        <v/>
      </c>
      <c r="C2453" s="26" t="str">
        <f t="shared" si="153"/>
        <v/>
      </c>
      <c r="D2453" s="26" t="str">
        <f t="shared" si="154"/>
        <v/>
      </c>
      <c r="E2453" s="29"/>
      <c r="F2453" s="22"/>
      <c r="G2453" s="22"/>
      <c r="H2453" s="22"/>
      <c r="I2453" s="24"/>
      <c r="J2453" s="24"/>
      <c r="K2453" s="24"/>
      <c r="L2453" s="24"/>
      <c r="M2453" s="27" t="str">
        <f t="shared" si="155"/>
        <v/>
      </c>
      <c r="N2453" s="25"/>
      <c r="O2453" s="22"/>
      <c r="P2453" s="24"/>
      <c r="Q2453" s="26"/>
    </row>
    <row r="2454" spans="1:17" ht="15" x14ac:dyDescent="0.15">
      <c r="A2454" s="22"/>
      <c r="B2454" s="26" t="str">
        <f t="shared" si="152"/>
        <v/>
      </c>
      <c r="C2454" s="26" t="str">
        <f t="shared" si="153"/>
        <v/>
      </c>
      <c r="D2454" s="26" t="str">
        <f t="shared" si="154"/>
        <v/>
      </c>
      <c r="E2454" s="29"/>
      <c r="F2454" s="22"/>
      <c r="G2454" s="22"/>
      <c r="H2454" s="22"/>
      <c r="I2454" s="24"/>
      <c r="J2454" s="24"/>
      <c r="K2454" s="24"/>
      <c r="L2454" s="24"/>
      <c r="M2454" s="27" t="str">
        <f t="shared" si="155"/>
        <v/>
      </c>
      <c r="N2454" s="25"/>
      <c r="O2454" s="22"/>
      <c r="P2454" s="24"/>
      <c r="Q2454" s="26"/>
    </row>
    <row r="2455" spans="1:17" ht="15" x14ac:dyDescent="0.15">
      <c r="A2455" s="22"/>
      <c r="B2455" s="26" t="str">
        <f t="shared" si="152"/>
        <v/>
      </c>
      <c r="C2455" s="26" t="str">
        <f t="shared" si="153"/>
        <v/>
      </c>
      <c r="D2455" s="26" t="str">
        <f t="shared" si="154"/>
        <v/>
      </c>
      <c r="E2455" s="29"/>
      <c r="F2455" s="22"/>
      <c r="G2455" s="22"/>
      <c r="H2455" s="22"/>
      <c r="I2455" s="24"/>
      <c r="J2455" s="24"/>
      <c r="K2455" s="24"/>
      <c r="L2455" s="24"/>
      <c r="M2455" s="27" t="str">
        <f t="shared" si="155"/>
        <v/>
      </c>
      <c r="N2455" s="25"/>
      <c r="O2455" s="22"/>
      <c r="P2455" s="24"/>
      <c r="Q2455" s="26"/>
    </row>
    <row r="2456" spans="1:17" ht="15" x14ac:dyDescent="0.15">
      <c r="A2456" s="22"/>
      <c r="B2456" s="26" t="str">
        <f t="shared" si="152"/>
        <v/>
      </c>
      <c r="C2456" s="26" t="str">
        <f t="shared" si="153"/>
        <v/>
      </c>
      <c r="D2456" s="26" t="str">
        <f t="shared" si="154"/>
        <v/>
      </c>
      <c r="E2456" s="29"/>
      <c r="F2456" s="22"/>
      <c r="G2456" s="22"/>
      <c r="H2456" s="22"/>
      <c r="I2456" s="24"/>
      <c r="J2456" s="24"/>
      <c r="K2456" s="24"/>
      <c r="L2456" s="24"/>
      <c r="M2456" s="27" t="str">
        <f t="shared" si="155"/>
        <v/>
      </c>
      <c r="N2456" s="25"/>
      <c r="O2456" s="22"/>
      <c r="P2456" s="24"/>
      <c r="Q2456" s="26"/>
    </row>
    <row r="2457" spans="1:17" ht="15" x14ac:dyDescent="0.15">
      <c r="A2457" s="22"/>
      <c r="B2457" s="26" t="str">
        <f t="shared" si="152"/>
        <v/>
      </c>
      <c r="C2457" s="26" t="str">
        <f t="shared" si="153"/>
        <v/>
      </c>
      <c r="D2457" s="26" t="str">
        <f t="shared" si="154"/>
        <v/>
      </c>
      <c r="E2457" s="29"/>
      <c r="F2457" s="22"/>
      <c r="G2457" s="22"/>
      <c r="H2457" s="22"/>
      <c r="I2457" s="24"/>
      <c r="J2457" s="24"/>
      <c r="K2457" s="24"/>
      <c r="L2457" s="24"/>
      <c r="M2457" s="27" t="str">
        <f t="shared" si="155"/>
        <v/>
      </c>
      <c r="N2457" s="25"/>
      <c r="O2457" s="22"/>
      <c r="P2457" s="24"/>
      <c r="Q2457" s="26"/>
    </row>
    <row r="2458" spans="1:17" ht="15" x14ac:dyDescent="0.15">
      <c r="A2458" s="22"/>
      <c r="B2458" s="26" t="str">
        <f t="shared" si="152"/>
        <v/>
      </c>
      <c r="C2458" s="26" t="str">
        <f t="shared" si="153"/>
        <v/>
      </c>
      <c r="D2458" s="26" t="str">
        <f t="shared" si="154"/>
        <v/>
      </c>
      <c r="E2458" s="29"/>
      <c r="F2458" s="22"/>
      <c r="G2458" s="22"/>
      <c r="H2458" s="22"/>
      <c r="I2458" s="24"/>
      <c r="J2458" s="24"/>
      <c r="K2458" s="24"/>
      <c r="L2458" s="24"/>
      <c r="M2458" s="27" t="str">
        <f t="shared" si="155"/>
        <v/>
      </c>
      <c r="N2458" s="25"/>
      <c r="O2458" s="22"/>
      <c r="P2458" s="24"/>
      <c r="Q2458" s="26"/>
    </row>
    <row r="2459" spans="1:17" ht="15" x14ac:dyDescent="0.15">
      <c r="A2459" s="22"/>
      <c r="B2459" s="26" t="str">
        <f t="shared" si="152"/>
        <v/>
      </c>
      <c r="C2459" s="26" t="str">
        <f t="shared" si="153"/>
        <v/>
      </c>
      <c r="D2459" s="26" t="str">
        <f t="shared" si="154"/>
        <v/>
      </c>
      <c r="E2459" s="29"/>
      <c r="F2459" s="22"/>
      <c r="G2459" s="22"/>
      <c r="H2459" s="22"/>
      <c r="I2459" s="24"/>
      <c r="J2459" s="24"/>
      <c r="K2459" s="24"/>
      <c r="L2459" s="24"/>
      <c r="M2459" s="27" t="str">
        <f t="shared" si="155"/>
        <v/>
      </c>
      <c r="N2459" s="25"/>
      <c r="O2459" s="22"/>
      <c r="P2459" s="24"/>
      <c r="Q2459" s="26"/>
    </row>
    <row r="2460" spans="1:17" ht="15" x14ac:dyDescent="0.15">
      <c r="A2460" s="22"/>
      <c r="B2460" s="26" t="str">
        <f t="shared" si="152"/>
        <v/>
      </c>
      <c r="C2460" s="26" t="str">
        <f t="shared" si="153"/>
        <v/>
      </c>
      <c r="D2460" s="26" t="str">
        <f t="shared" si="154"/>
        <v/>
      </c>
      <c r="E2460" s="29"/>
      <c r="F2460" s="22"/>
      <c r="G2460" s="22"/>
      <c r="H2460" s="22"/>
      <c r="I2460" s="24"/>
      <c r="J2460" s="24"/>
      <c r="K2460" s="24"/>
      <c r="L2460" s="24"/>
      <c r="M2460" s="27" t="str">
        <f t="shared" si="155"/>
        <v/>
      </c>
      <c r="N2460" s="25"/>
      <c r="O2460" s="22"/>
      <c r="P2460" s="24"/>
      <c r="Q2460" s="26"/>
    </row>
    <row r="2461" spans="1:17" ht="15" x14ac:dyDescent="0.15">
      <c r="A2461" s="22"/>
      <c r="B2461" s="26" t="str">
        <f t="shared" si="152"/>
        <v/>
      </c>
      <c r="C2461" s="26" t="str">
        <f t="shared" si="153"/>
        <v/>
      </c>
      <c r="D2461" s="26" t="str">
        <f t="shared" si="154"/>
        <v/>
      </c>
      <c r="E2461" s="29"/>
      <c r="F2461" s="22"/>
      <c r="G2461" s="22"/>
      <c r="H2461" s="22"/>
      <c r="I2461" s="24"/>
      <c r="J2461" s="24"/>
      <c r="K2461" s="24"/>
      <c r="L2461" s="24"/>
      <c r="M2461" s="27" t="str">
        <f t="shared" si="155"/>
        <v/>
      </c>
      <c r="N2461" s="25"/>
      <c r="O2461" s="22"/>
      <c r="P2461" s="24"/>
      <c r="Q2461" s="26"/>
    </row>
    <row r="2462" spans="1:17" ht="15" x14ac:dyDescent="0.15">
      <c r="A2462" s="22"/>
      <c r="B2462" s="26" t="str">
        <f t="shared" si="152"/>
        <v/>
      </c>
      <c r="C2462" s="26" t="str">
        <f t="shared" si="153"/>
        <v/>
      </c>
      <c r="D2462" s="26" t="str">
        <f t="shared" si="154"/>
        <v/>
      </c>
      <c r="E2462" s="29"/>
      <c r="F2462" s="22"/>
      <c r="G2462" s="22"/>
      <c r="H2462" s="22"/>
      <c r="I2462" s="24"/>
      <c r="J2462" s="24"/>
      <c r="K2462" s="24"/>
      <c r="L2462" s="24"/>
      <c r="M2462" s="27" t="str">
        <f t="shared" si="155"/>
        <v/>
      </c>
      <c r="N2462" s="25"/>
      <c r="O2462" s="22"/>
      <c r="P2462" s="24"/>
      <c r="Q2462" s="26"/>
    </row>
    <row r="2463" spans="1:17" ht="15" x14ac:dyDescent="0.15">
      <c r="A2463" s="22"/>
      <c r="B2463" s="26" t="str">
        <f t="shared" si="152"/>
        <v/>
      </c>
      <c r="C2463" s="26" t="str">
        <f t="shared" si="153"/>
        <v/>
      </c>
      <c r="D2463" s="26" t="str">
        <f t="shared" si="154"/>
        <v/>
      </c>
      <c r="E2463" s="29"/>
      <c r="F2463" s="22"/>
      <c r="G2463" s="22"/>
      <c r="H2463" s="22"/>
      <c r="I2463" s="24"/>
      <c r="J2463" s="24"/>
      <c r="K2463" s="24"/>
      <c r="L2463" s="24"/>
      <c r="M2463" s="27" t="str">
        <f t="shared" si="155"/>
        <v/>
      </c>
      <c r="N2463" s="25"/>
      <c r="O2463" s="22"/>
      <c r="P2463" s="24"/>
      <c r="Q2463" s="26"/>
    </row>
    <row r="2464" spans="1:17" ht="15" x14ac:dyDescent="0.15">
      <c r="A2464" s="22"/>
      <c r="B2464" s="26" t="str">
        <f t="shared" si="152"/>
        <v/>
      </c>
      <c r="C2464" s="26" t="str">
        <f t="shared" si="153"/>
        <v/>
      </c>
      <c r="D2464" s="26" t="str">
        <f t="shared" si="154"/>
        <v/>
      </c>
      <c r="E2464" s="29"/>
      <c r="F2464" s="22"/>
      <c r="G2464" s="22"/>
      <c r="H2464" s="22"/>
      <c r="I2464" s="24"/>
      <c r="J2464" s="24"/>
      <c r="K2464" s="24"/>
      <c r="L2464" s="24"/>
      <c r="M2464" s="27" t="str">
        <f t="shared" si="155"/>
        <v/>
      </c>
      <c r="N2464" s="25"/>
      <c r="O2464" s="22"/>
      <c r="P2464" s="24"/>
      <c r="Q2464" s="26"/>
    </row>
    <row r="2465" spans="1:17" ht="15" x14ac:dyDescent="0.15">
      <c r="A2465" s="22"/>
      <c r="B2465" s="26" t="str">
        <f t="shared" si="152"/>
        <v/>
      </c>
      <c r="C2465" s="26" t="str">
        <f t="shared" si="153"/>
        <v/>
      </c>
      <c r="D2465" s="26" t="str">
        <f t="shared" si="154"/>
        <v/>
      </c>
      <c r="E2465" s="29"/>
      <c r="F2465" s="22"/>
      <c r="G2465" s="22"/>
      <c r="H2465" s="22"/>
      <c r="I2465" s="24"/>
      <c r="J2465" s="24"/>
      <c r="K2465" s="24"/>
      <c r="L2465" s="24"/>
      <c r="M2465" s="27" t="str">
        <f t="shared" si="155"/>
        <v/>
      </c>
      <c r="N2465" s="25"/>
      <c r="O2465" s="22"/>
      <c r="P2465" s="24"/>
      <c r="Q2465" s="26"/>
    </row>
    <row r="2466" spans="1:17" ht="15" x14ac:dyDescent="0.15">
      <c r="A2466" s="22"/>
      <c r="B2466" s="26" t="str">
        <f t="shared" si="152"/>
        <v/>
      </c>
      <c r="C2466" s="26" t="str">
        <f t="shared" si="153"/>
        <v/>
      </c>
      <c r="D2466" s="26" t="str">
        <f t="shared" si="154"/>
        <v/>
      </c>
      <c r="E2466" s="29"/>
      <c r="F2466" s="22"/>
      <c r="G2466" s="22"/>
      <c r="H2466" s="22"/>
      <c r="I2466" s="24"/>
      <c r="J2466" s="24"/>
      <c r="K2466" s="24"/>
      <c r="L2466" s="24"/>
      <c r="M2466" s="27" t="str">
        <f t="shared" si="155"/>
        <v/>
      </c>
      <c r="N2466" s="25"/>
      <c r="O2466" s="22"/>
      <c r="P2466" s="24"/>
      <c r="Q2466" s="26"/>
    </row>
    <row r="2467" spans="1:17" ht="15" x14ac:dyDescent="0.15">
      <c r="A2467" s="22"/>
      <c r="B2467" s="26" t="str">
        <f t="shared" si="152"/>
        <v/>
      </c>
      <c r="C2467" s="26" t="str">
        <f t="shared" si="153"/>
        <v/>
      </c>
      <c r="D2467" s="26" t="str">
        <f t="shared" si="154"/>
        <v/>
      </c>
      <c r="E2467" s="29"/>
      <c r="F2467" s="22"/>
      <c r="G2467" s="22"/>
      <c r="H2467" s="22"/>
      <c r="I2467" s="24"/>
      <c r="J2467" s="24"/>
      <c r="K2467" s="24"/>
      <c r="L2467" s="24"/>
      <c r="M2467" s="27" t="str">
        <f t="shared" si="155"/>
        <v/>
      </c>
      <c r="N2467" s="25"/>
      <c r="O2467" s="22"/>
      <c r="P2467" s="24"/>
      <c r="Q2467" s="26"/>
    </row>
    <row r="2468" spans="1:17" ht="15" x14ac:dyDescent="0.15">
      <c r="A2468" s="22"/>
      <c r="B2468" s="26" t="str">
        <f t="shared" si="152"/>
        <v/>
      </c>
      <c r="C2468" s="26" t="str">
        <f t="shared" si="153"/>
        <v/>
      </c>
      <c r="D2468" s="26" t="str">
        <f t="shared" si="154"/>
        <v/>
      </c>
      <c r="E2468" s="29"/>
      <c r="F2468" s="22"/>
      <c r="G2468" s="22"/>
      <c r="H2468" s="22"/>
      <c r="I2468" s="24"/>
      <c r="J2468" s="24"/>
      <c r="K2468" s="24"/>
      <c r="L2468" s="24"/>
      <c r="M2468" s="27" t="str">
        <f t="shared" si="155"/>
        <v/>
      </c>
      <c r="N2468" s="25"/>
      <c r="O2468" s="22"/>
      <c r="P2468" s="24"/>
      <c r="Q2468" s="26"/>
    </row>
    <row r="2469" spans="1:17" ht="15" x14ac:dyDescent="0.15">
      <c r="A2469" s="22"/>
      <c r="B2469" s="26" t="str">
        <f t="shared" si="152"/>
        <v/>
      </c>
      <c r="C2469" s="26" t="str">
        <f t="shared" si="153"/>
        <v/>
      </c>
      <c r="D2469" s="26" t="str">
        <f t="shared" si="154"/>
        <v/>
      </c>
      <c r="E2469" s="29"/>
      <c r="F2469" s="22"/>
      <c r="G2469" s="22"/>
      <c r="H2469" s="22"/>
      <c r="I2469" s="24"/>
      <c r="J2469" s="24"/>
      <c r="K2469" s="24"/>
      <c r="L2469" s="24"/>
      <c r="M2469" s="27" t="str">
        <f t="shared" si="155"/>
        <v/>
      </c>
      <c r="N2469" s="25"/>
      <c r="O2469" s="22"/>
      <c r="P2469" s="24"/>
      <c r="Q2469" s="26"/>
    </row>
    <row r="2470" spans="1:17" ht="15" x14ac:dyDescent="0.15">
      <c r="A2470" s="22"/>
      <c r="B2470" s="26" t="str">
        <f t="shared" si="152"/>
        <v/>
      </c>
      <c r="C2470" s="26" t="str">
        <f t="shared" si="153"/>
        <v/>
      </c>
      <c r="D2470" s="26" t="str">
        <f t="shared" si="154"/>
        <v/>
      </c>
      <c r="E2470" s="29"/>
      <c r="F2470" s="22"/>
      <c r="G2470" s="22"/>
      <c r="H2470" s="22"/>
      <c r="I2470" s="24"/>
      <c r="J2470" s="24"/>
      <c r="K2470" s="24"/>
      <c r="L2470" s="24"/>
      <c r="M2470" s="27" t="str">
        <f t="shared" si="155"/>
        <v/>
      </c>
      <c r="N2470" s="25"/>
      <c r="O2470" s="22"/>
      <c r="P2470" s="24"/>
      <c r="Q2470" s="26"/>
    </row>
    <row r="2471" spans="1:17" ht="15" x14ac:dyDescent="0.15">
      <c r="A2471" s="22"/>
      <c r="B2471" s="26" t="str">
        <f t="shared" si="152"/>
        <v/>
      </c>
      <c r="C2471" s="26" t="str">
        <f t="shared" si="153"/>
        <v/>
      </c>
      <c r="D2471" s="26" t="str">
        <f t="shared" si="154"/>
        <v/>
      </c>
      <c r="E2471" s="29"/>
      <c r="F2471" s="22"/>
      <c r="G2471" s="22"/>
      <c r="H2471" s="22"/>
      <c r="I2471" s="24"/>
      <c r="J2471" s="24"/>
      <c r="K2471" s="24"/>
      <c r="L2471" s="24"/>
      <c r="M2471" s="27" t="str">
        <f t="shared" si="155"/>
        <v/>
      </c>
      <c r="N2471" s="25"/>
      <c r="O2471" s="22"/>
      <c r="P2471" s="24"/>
      <c r="Q2471" s="26"/>
    </row>
    <row r="2472" spans="1:17" ht="15" x14ac:dyDescent="0.15">
      <c r="A2472" s="22"/>
      <c r="B2472" s="26" t="str">
        <f t="shared" si="152"/>
        <v/>
      </c>
      <c r="C2472" s="26" t="str">
        <f t="shared" si="153"/>
        <v/>
      </c>
      <c r="D2472" s="26" t="str">
        <f t="shared" si="154"/>
        <v/>
      </c>
      <c r="E2472" s="29"/>
      <c r="F2472" s="22"/>
      <c r="G2472" s="22"/>
      <c r="H2472" s="22"/>
      <c r="I2472" s="24"/>
      <c r="J2472" s="24"/>
      <c r="K2472" s="24"/>
      <c r="L2472" s="24"/>
      <c r="M2472" s="27" t="str">
        <f t="shared" si="155"/>
        <v/>
      </c>
      <c r="N2472" s="25"/>
      <c r="O2472" s="22"/>
      <c r="P2472" s="24"/>
      <c r="Q2472" s="26"/>
    </row>
    <row r="2473" spans="1:17" ht="15" x14ac:dyDescent="0.15">
      <c r="A2473" s="22"/>
      <c r="B2473" s="26" t="str">
        <f t="shared" si="152"/>
        <v/>
      </c>
      <c r="C2473" s="26" t="str">
        <f t="shared" si="153"/>
        <v/>
      </c>
      <c r="D2473" s="26" t="str">
        <f t="shared" si="154"/>
        <v/>
      </c>
      <c r="E2473" s="29"/>
      <c r="F2473" s="22"/>
      <c r="G2473" s="22"/>
      <c r="H2473" s="22"/>
      <c r="I2473" s="24"/>
      <c r="J2473" s="24"/>
      <c r="K2473" s="24"/>
      <c r="L2473" s="24"/>
      <c r="M2473" s="27" t="str">
        <f t="shared" si="155"/>
        <v/>
      </c>
      <c r="N2473" s="25"/>
      <c r="O2473" s="22"/>
      <c r="P2473" s="24"/>
      <c r="Q2473" s="26"/>
    </row>
    <row r="2474" spans="1:17" ht="15" x14ac:dyDescent="0.15">
      <c r="A2474" s="22"/>
      <c r="B2474" s="26" t="str">
        <f t="shared" si="152"/>
        <v/>
      </c>
      <c r="C2474" s="26" t="str">
        <f t="shared" si="153"/>
        <v/>
      </c>
      <c r="D2474" s="26" t="str">
        <f t="shared" si="154"/>
        <v/>
      </c>
      <c r="E2474" s="29"/>
      <c r="F2474" s="22"/>
      <c r="G2474" s="22"/>
      <c r="H2474" s="22"/>
      <c r="I2474" s="24"/>
      <c r="J2474" s="24"/>
      <c r="K2474" s="24"/>
      <c r="L2474" s="24"/>
      <c r="M2474" s="27" t="str">
        <f t="shared" si="155"/>
        <v/>
      </c>
      <c r="N2474" s="25"/>
      <c r="O2474" s="22"/>
      <c r="P2474" s="24"/>
      <c r="Q2474" s="26"/>
    </row>
    <row r="2475" spans="1:17" ht="15" x14ac:dyDescent="0.15">
      <c r="A2475" s="22"/>
      <c r="B2475" s="26" t="str">
        <f t="shared" si="152"/>
        <v/>
      </c>
      <c r="C2475" s="26" t="str">
        <f t="shared" si="153"/>
        <v/>
      </c>
      <c r="D2475" s="26" t="str">
        <f t="shared" si="154"/>
        <v/>
      </c>
      <c r="E2475" s="29"/>
      <c r="F2475" s="22"/>
      <c r="G2475" s="22"/>
      <c r="H2475" s="22"/>
      <c r="I2475" s="24"/>
      <c r="J2475" s="24"/>
      <c r="K2475" s="24"/>
      <c r="L2475" s="24"/>
      <c r="M2475" s="27" t="str">
        <f t="shared" si="155"/>
        <v/>
      </c>
      <c r="N2475" s="25"/>
      <c r="O2475" s="22"/>
      <c r="P2475" s="24"/>
      <c r="Q2475" s="26"/>
    </row>
    <row r="2476" spans="1:17" ht="15" x14ac:dyDescent="0.15">
      <c r="A2476" s="22"/>
      <c r="B2476" s="26" t="str">
        <f t="shared" si="152"/>
        <v/>
      </c>
      <c r="C2476" s="26" t="str">
        <f t="shared" si="153"/>
        <v/>
      </c>
      <c r="D2476" s="26" t="str">
        <f t="shared" si="154"/>
        <v/>
      </c>
      <c r="E2476" s="29"/>
      <c r="F2476" s="22"/>
      <c r="G2476" s="22"/>
      <c r="H2476" s="22"/>
      <c r="I2476" s="24"/>
      <c r="J2476" s="24"/>
      <c r="K2476" s="24"/>
      <c r="L2476" s="24"/>
      <c r="M2476" s="27" t="str">
        <f t="shared" si="155"/>
        <v/>
      </c>
      <c r="N2476" s="25"/>
      <c r="O2476" s="22"/>
      <c r="P2476" s="24"/>
      <c r="Q2476" s="26"/>
    </row>
    <row r="2477" spans="1:17" ht="15" x14ac:dyDescent="0.15">
      <c r="A2477" s="22"/>
      <c r="B2477" s="26" t="str">
        <f t="shared" si="152"/>
        <v/>
      </c>
      <c r="C2477" s="26" t="str">
        <f t="shared" si="153"/>
        <v/>
      </c>
      <c r="D2477" s="26" t="str">
        <f t="shared" si="154"/>
        <v/>
      </c>
      <c r="E2477" s="29"/>
      <c r="F2477" s="22"/>
      <c r="G2477" s="22"/>
      <c r="H2477" s="22"/>
      <c r="I2477" s="24"/>
      <c r="J2477" s="24"/>
      <c r="K2477" s="24"/>
      <c r="L2477" s="24"/>
      <c r="M2477" s="27" t="str">
        <f t="shared" si="155"/>
        <v/>
      </c>
      <c r="N2477" s="25"/>
      <c r="O2477" s="22"/>
      <c r="P2477" s="24"/>
      <c r="Q2477" s="26"/>
    </row>
    <row r="2478" spans="1:17" ht="15" x14ac:dyDescent="0.15">
      <c r="A2478" s="22"/>
      <c r="B2478" s="26" t="str">
        <f t="shared" si="152"/>
        <v/>
      </c>
      <c r="C2478" s="26" t="str">
        <f t="shared" si="153"/>
        <v/>
      </c>
      <c r="D2478" s="26" t="str">
        <f t="shared" si="154"/>
        <v/>
      </c>
      <c r="E2478" s="29"/>
      <c r="F2478" s="22"/>
      <c r="G2478" s="22"/>
      <c r="H2478" s="22"/>
      <c r="I2478" s="24"/>
      <c r="J2478" s="24"/>
      <c r="K2478" s="24"/>
      <c r="L2478" s="24"/>
      <c r="M2478" s="27" t="str">
        <f t="shared" si="155"/>
        <v/>
      </c>
      <c r="N2478" s="25"/>
      <c r="O2478" s="22"/>
      <c r="P2478" s="24"/>
      <c r="Q2478" s="26"/>
    </row>
    <row r="2479" spans="1:17" ht="15" x14ac:dyDescent="0.15">
      <c r="A2479" s="22"/>
      <c r="B2479" s="26" t="str">
        <f t="shared" si="152"/>
        <v/>
      </c>
      <c r="C2479" s="26" t="str">
        <f t="shared" si="153"/>
        <v/>
      </c>
      <c r="D2479" s="26" t="str">
        <f t="shared" si="154"/>
        <v/>
      </c>
      <c r="E2479" s="29"/>
      <c r="F2479" s="22"/>
      <c r="G2479" s="22"/>
      <c r="H2479" s="22"/>
      <c r="I2479" s="24"/>
      <c r="J2479" s="24"/>
      <c r="K2479" s="24"/>
      <c r="L2479" s="24"/>
      <c r="M2479" s="27" t="str">
        <f t="shared" si="155"/>
        <v/>
      </c>
      <c r="N2479" s="25"/>
      <c r="O2479" s="22"/>
      <c r="P2479" s="24"/>
      <c r="Q2479" s="26"/>
    </row>
    <row r="2480" spans="1:17" ht="15" x14ac:dyDescent="0.15">
      <c r="A2480" s="22"/>
      <c r="B2480" s="26" t="str">
        <f t="shared" si="152"/>
        <v/>
      </c>
      <c r="C2480" s="26" t="str">
        <f t="shared" si="153"/>
        <v/>
      </c>
      <c r="D2480" s="26" t="str">
        <f t="shared" si="154"/>
        <v/>
      </c>
      <c r="E2480" s="29"/>
      <c r="F2480" s="22"/>
      <c r="G2480" s="22"/>
      <c r="H2480" s="22"/>
      <c r="I2480" s="24"/>
      <c r="J2480" s="24"/>
      <c r="K2480" s="24"/>
      <c r="L2480" s="24"/>
      <c r="M2480" s="27" t="str">
        <f t="shared" si="155"/>
        <v/>
      </c>
      <c r="N2480" s="25"/>
      <c r="O2480" s="22"/>
      <c r="P2480" s="24"/>
      <c r="Q2480" s="26"/>
    </row>
    <row r="2481" spans="1:17" ht="15" x14ac:dyDescent="0.15">
      <c r="A2481" s="22"/>
      <c r="B2481" s="26" t="str">
        <f t="shared" si="152"/>
        <v/>
      </c>
      <c r="C2481" s="26" t="str">
        <f t="shared" si="153"/>
        <v/>
      </c>
      <c r="D2481" s="26" t="str">
        <f t="shared" si="154"/>
        <v/>
      </c>
      <c r="E2481" s="29"/>
      <c r="F2481" s="22"/>
      <c r="G2481" s="22"/>
      <c r="H2481" s="22"/>
      <c r="I2481" s="24"/>
      <c r="J2481" s="24"/>
      <c r="K2481" s="24"/>
      <c r="L2481" s="24"/>
      <c r="M2481" s="27" t="str">
        <f t="shared" si="155"/>
        <v/>
      </c>
      <c r="N2481" s="25"/>
      <c r="O2481" s="22"/>
      <c r="P2481" s="24"/>
      <c r="Q2481" s="26"/>
    </row>
    <row r="2482" spans="1:17" ht="15" x14ac:dyDescent="0.15">
      <c r="A2482" s="22"/>
      <c r="B2482" s="26" t="str">
        <f t="shared" si="152"/>
        <v/>
      </c>
      <c r="C2482" s="26" t="str">
        <f t="shared" si="153"/>
        <v/>
      </c>
      <c r="D2482" s="26" t="str">
        <f t="shared" si="154"/>
        <v/>
      </c>
      <c r="E2482" s="29"/>
      <c r="F2482" s="22"/>
      <c r="G2482" s="22"/>
      <c r="H2482" s="22"/>
      <c r="I2482" s="24"/>
      <c r="J2482" s="24"/>
      <c r="K2482" s="24"/>
      <c r="L2482" s="24"/>
      <c r="M2482" s="27" t="str">
        <f t="shared" si="155"/>
        <v/>
      </c>
      <c r="N2482" s="25"/>
      <c r="O2482" s="22"/>
      <c r="P2482" s="24"/>
      <c r="Q2482" s="26"/>
    </row>
    <row r="2483" spans="1:17" ht="15" x14ac:dyDescent="0.15">
      <c r="A2483" s="22"/>
      <c r="B2483" s="26" t="str">
        <f t="shared" si="152"/>
        <v/>
      </c>
      <c r="C2483" s="26" t="str">
        <f t="shared" si="153"/>
        <v/>
      </c>
      <c r="D2483" s="26" t="str">
        <f t="shared" si="154"/>
        <v/>
      </c>
      <c r="E2483" s="29"/>
      <c r="F2483" s="22"/>
      <c r="G2483" s="22"/>
      <c r="H2483" s="22"/>
      <c r="I2483" s="24"/>
      <c r="J2483" s="24"/>
      <c r="K2483" s="24"/>
      <c r="L2483" s="24"/>
      <c r="M2483" s="27" t="str">
        <f t="shared" si="155"/>
        <v/>
      </c>
      <c r="N2483" s="25"/>
      <c r="O2483" s="22"/>
      <c r="P2483" s="24"/>
      <c r="Q2483" s="26"/>
    </row>
    <row r="2484" spans="1:17" ht="15" x14ac:dyDescent="0.15">
      <c r="A2484" s="22"/>
      <c r="B2484" s="26" t="str">
        <f t="shared" si="152"/>
        <v/>
      </c>
      <c r="C2484" s="26" t="str">
        <f t="shared" si="153"/>
        <v/>
      </c>
      <c r="D2484" s="26" t="str">
        <f t="shared" si="154"/>
        <v/>
      </c>
      <c r="E2484" s="29"/>
      <c r="F2484" s="22"/>
      <c r="G2484" s="22"/>
      <c r="H2484" s="22"/>
      <c r="I2484" s="24"/>
      <c r="J2484" s="24"/>
      <c r="K2484" s="24"/>
      <c r="L2484" s="24"/>
      <c r="M2484" s="27" t="str">
        <f t="shared" si="155"/>
        <v/>
      </c>
      <c r="N2484" s="25"/>
      <c r="O2484" s="22"/>
      <c r="P2484" s="24"/>
      <c r="Q2484" s="26"/>
    </row>
    <row r="2485" spans="1:17" ht="15" x14ac:dyDescent="0.15">
      <c r="A2485" s="22"/>
      <c r="B2485" s="26" t="str">
        <f t="shared" si="152"/>
        <v/>
      </c>
      <c r="C2485" s="26" t="str">
        <f t="shared" si="153"/>
        <v/>
      </c>
      <c r="D2485" s="26" t="str">
        <f t="shared" si="154"/>
        <v/>
      </c>
      <c r="E2485" s="29"/>
      <c r="F2485" s="22"/>
      <c r="G2485" s="22"/>
      <c r="H2485" s="22"/>
      <c r="I2485" s="24"/>
      <c r="J2485" s="24"/>
      <c r="K2485" s="24"/>
      <c r="L2485" s="24"/>
      <c r="M2485" s="27" t="str">
        <f t="shared" si="155"/>
        <v/>
      </c>
      <c r="N2485" s="25"/>
      <c r="O2485" s="22"/>
      <c r="P2485" s="24"/>
      <c r="Q2485" s="26"/>
    </row>
    <row r="2486" spans="1:17" ht="15" x14ac:dyDescent="0.15">
      <c r="A2486" s="22"/>
      <c r="B2486" s="26" t="str">
        <f t="shared" si="152"/>
        <v/>
      </c>
      <c r="C2486" s="26" t="str">
        <f t="shared" si="153"/>
        <v/>
      </c>
      <c r="D2486" s="26" t="str">
        <f t="shared" si="154"/>
        <v/>
      </c>
      <c r="E2486" s="29"/>
      <c r="F2486" s="22"/>
      <c r="G2486" s="22"/>
      <c r="H2486" s="22"/>
      <c r="I2486" s="24"/>
      <c r="J2486" s="24"/>
      <c r="K2486" s="24"/>
      <c r="L2486" s="24"/>
      <c r="M2486" s="27" t="str">
        <f t="shared" si="155"/>
        <v/>
      </c>
      <c r="N2486" s="25"/>
      <c r="O2486" s="22"/>
      <c r="P2486" s="24"/>
      <c r="Q2486" s="26"/>
    </row>
    <row r="2487" spans="1:17" ht="15" x14ac:dyDescent="0.15">
      <c r="A2487" s="22"/>
      <c r="B2487" s="26" t="str">
        <f t="shared" si="152"/>
        <v/>
      </c>
      <c r="C2487" s="26" t="str">
        <f t="shared" si="153"/>
        <v/>
      </c>
      <c r="D2487" s="26" t="str">
        <f t="shared" si="154"/>
        <v/>
      </c>
      <c r="E2487" s="29"/>
      <c r="F2487" s="22"/>
      <c r="G2487" s="22"/>
      <c r="H2487" s="22"/>
      <c r="I2487" s="24"/>
      <c r="J2487" s="24"/>
      <c r="K2487" s="24"/>
      <c r="L2487" s="24"/>
      <c r="M2487" s="27" t="str">
        <f t="shared" si="155"/>
        <v/>
      </c>
      <c r="N2487" s="25"/>
      <c r="O2487" s="22"/>
      <c r="P2487" s="24"/>
      <c r="Q2487" s="26"/>
    </row>
    <row r="2488" spans="1:17" ht="15" x14ac:dyDescent="0.15">
      <c r="A2488" s="22"/>
      <c r="B2488" s="26" t="str">
        <f t="shared" si="152"/>
        <v/>
      </c>
      <c r="C2488" s="26" t="str">
        <f t="shared" si="153"/>
        <v/>
      </c>
      <c r="D2488" s="26" t="str">
        <f t="shared" si="154"/>
        <v/>
      </c>
      <c r="E2488" s="29"/>
      <c r="F2488" s="22"/>
      <c r="G2488" s="22"/>
      <c r="H2488" s="22"/>
      <c r="I2488" s="24"/>
      <c r="J2488" s="24"/>
      <c r="K2488" s="24"/>
      <c r="L2488" s="24"/>
      <c r="M2488" s="27" t="str">
        <f t="shared" si="155"/>
        <v/>
      </c>
      <c r="N2488" s="25"/>
      <c r="O2488" s="22"/>
      <c r="P2488" s="24"/>
      <c r="Q2488" s="26"/>
    </row>
    <row r="2489" spans="1:17" ht="15" x14ac:dyDescent="0.15">
      <c r="A2489" s="22"/>
      <c r="B2489" s="26" t="str">
        <f t="shared" si="152"/>
        <v/>
      </c>
      <c r="C2489" s="26" t="str">
        <f t="shared" si="153"/>
        <v/>
      </c>
      <c r="D2489" s="26" t="str">
        <f t="shared" si="154"/>
        <v/>
      </c>
      <c r="E2489" s="29"/>
      <c r="F2489" s="22"/>
      <c r="G2489" s="22"/>
      <c r="H2489" s="22"/>
      <c r="I2489" s="24"/>
      <c r="J2489" s="24"/>
      <c r="K2489" s="24"/>
      <c r="L2489" s="24"/>
      <c r="M2489" s="27" t="str">
        <f t="shared" si="155"/>
        <v/>
      </c>
      <c r="N2489" s="25"/>
      <c r="O2489" s="22"/>
      <c r="P2489" s="24"/>
      <c r="Q2489" s="26"/>
    </row>
    <row r="2490" spans="1:17" ht="15" x14ac:dyDescent="0.15">
      <c r="A2490" s="22"/>
      <c r="B2490" s="26" t="str">
        <f t="shared" si="152"/>
        <v/>
      </c>
      <c r="C2490" s="26" t="str">
        <f t="shared" si="153"/>
        <v/>
      </c>
      <c r="D2490" s="26" t="str">
        <f t="shared" si="154"/>
        <v/>
      </c>
      <c r="E2490" s="29"/>
      <c r="F2490" s="22"/>
      <c r="G2490" s="22"/>
      <c r="H2490" s="22"/>
      <c r="I2490" s="24"/>
      <c r="J2490" s="24"/>
      <c r="K2490" s="24"/>
      <c r="L2490" s="24"/>
      <c r="M2490" s="27" t="str">
        <f t="shared" si="155"/>
        <v/>
      </c>
      <c r="N2490" s="25"/>
      <c r="O2490" s="22"/>
      <c r="P2490" s="24"/>
      <c r="Q2490" s="26"/>
    </row>
    <row r="2491" spans="1:17" ht="15" x14ac:dyDescent="0.15">
      <c r="A2491" s="22"/>
      <c r="B2491" s="26" t="str">
        <f t="shared" si="152"/>
        <v/>
      </c>
      <c r="C2491" s="26" t="str">
        <f t="shared" si="153"/>
        <v/>
      </c>
      <c r="D2491" s="26" t="str">
        <f t="shared" si="154"/>
        <v/>
      </c>
      <c r="E2491" s="29"/>
      <c r="F2491" s="22"/>
      <c r="G2491" s="22"/>
      <c r="H2491" s="22"/>
      <c r="I2491" s="24"/>
      <c r="J2491" s="24"/>
      <c r="K2491" s="24"/>
      <c r="L2491" s="24"/>
      <c r="M2491" s="27" t="str">
        <f t="shared" si="155"/>
        <v/>
      </c>
      <c r="N2491" s="25"/>
      <c r="O2491" s="22"/>
      <c r="P2491" s="24"/>
      <c r="Q2491" s="26"/>
    </row>
    <row r="2492" spans="1:17" ht="15" x14ac:dyDescent="0.15">
      <c r="A2492" s="22"/>
      <c r="B2492" s="26" t="str">
        <f t="shared" si="152"/>
        <v/>
      </c>
      <c r="C2492" s="26" t="str">
        <f t="shared" si="153"/>
        <v/>
      </c>
      <c r="D2492" s="26" t="str">
        <f t="shared" si="154"/>
        <v/>
      </c>
      <c r="E2492" s="29"/>
      <c r="F2492" s="22"/>
      <c r="G2492" s="22"/>
      <c r="H2492" s="22"/>
      <c r="I2492" s="24"/>
      <c r="J2492" s="24"/>
      <c r="K2492" s="24"/>
      <c r="L2492" s="24"/>
      <c r="M2492" s="27" t="str">
        <f t="shared" si="155"/>
        <v/>
      </c>
      <c r="N2492" s="25"/>
      <c r="O2492" s="22"/>
      <c r="P2492" s="24"/>
      <c r="Q2492" s="26"/>
    </row>
    <row r="2493" spans="1:17" ht="15" x14ac:dyDescent="0.15">
      <c r="A2493" s="22"/>
      <c r="B2493" s="26" t="str">
        <f t="shared" si="152"/>
        <v/>
      </c>
      <c r="C2493" s="26" t="str">
        <f t="shared" si="153"/>
        <v/>
      </c>
      <c r="D2493" s="26" t="str">
        <f t="shared" si="154"/>
        <v/>
      </c>
      <c r="E2493" s="29"/>
      <c r="F2493" s="22"/>
      <c r="G2493" s="22"/>
      <c r="H2493" s="22"/>
      <c r="I2493" s="24"/>
      <c r="J2493" s="24"/>
      <c r="K2493" s="24"/>
      <c r="L2493" s="24"/>
      <c r="M2493" s="27" t="str">
        <f t="shared" si="155"/>
        <v/>
      </c>
      <c r="N2493" s="25"/>
      <c r="O2493" s="22"/>
      <c r="P2493" s="24"/>
      <c r="Q2493" s="26"/>
    </row>
    <row r="2494" spans="1:17" ht="15" x14ac:dyDescent="0.15">
      <c r="A2494" s="22"/>
      <c r="B2494" s="26" t="str">
        <f t="shared" si="152"/>
        <v/>
      </c>
      <c r="C2494" s="26" t="str">
        <f t="shared" si="153"/>
        <v/>
      </c>
      <c r="D2494" s="26" t="str">
        <f t="shared" si="154"/>
        <v/>
      </c>
      <c r="E2494" s="29"/>
      <c r="F2494" s="22"/>
      <c r="G2494" s="22"/>
      <c r="H2494" s="22"/>
      <c r="I2494" s="24"/>
      <c r="J2494" s="24"/>
      <c r="K2494" s="24"/>
      <c r="L2494" s="24"/>
      <c r="M2494" s="27" t="str">
        <f t="shared" si="155"/>
        <v/>
      </c>
      <c r="N2494" s="25"/>
      <c r="O2494" s="22"/>
      <c r="P2494" s="24"/>
      <c r="Q2494" s="26"/>
    </row>
    <row r="2495" spans="1:17" ht="15" x14ac:dyDescent="0.15">
      <c r="A2495" s="22"/>
      <c r="B2495" s="26" t="str">
        <f t="shared" si="152"/>
        <v/>
      </c>
      <c r="C2495" s="26" t="str">
        <f t="shared" si="153"/>
        <v/>
      </c>
      <c r="D2495" s="26" t="str">
        <f t="shared" si="154"/>
        <v/>
      </c>
      <c r="E2495" s="29"/>
      <c r="F2495" s="22"/>
      <c r="G2495" s="22"/>
      <c r="H2495" s="22"/>
      <c r="I2495" s="24"/>
      <c r="J2495" s="24"/>
      <c r="K2495" s="24"/>
      <c r="L2495" s="24"/>
      <c r="M2495" s="27" t="str">
        <f t="shared" si="155"/>
        <v/>
      </c>
      <c r="N2495" s="25"/>
      <c r="O2495" s="22"/>
      <c r="P2495" s="24"/>
      <c r="Q2495" s="26"/>
    </row>
    <row r="2496" spans="1:17" ht="15" x14ac:dyDescent="0.15">
      <c r="A2496" s="22"/>
      <c r="B2496" s="26" t="str">
        <f t="shared" si="152"/>
        <v/>
      </c>
      <c r="C2496" s="26" t="str">
        <f t="shared" si="153"/>
        <v/>
      </c>
      <c r="D2496" s="26" t="str">
        <f t="shared" si="154"/>
        <v/>
      </c>
      <c r="E2496" s="29"/>
      <c r="F2496" s="22"/>
      <c r="G2496" s="22"/>
      <c r="H2496" s="22"/>
      <c r="I2496" s="24"/>
      <c r="J2496" s="24"/>
      <c r="K2496" s="24"/>
      <c r="L2496" s="24"/>
      <c r="M2496" s="27" t="str">
        <f t="shared" si="155"/>
        <v/>
      </c>
      <c r="N2496" s="25"/>
      <c r="O2496" s="22"/>
      <c r="P2496" s="24"/>
      <c r="Q2496" s="26"/>
    </row>
    <row r="2497" spans="1:17" ht="15" x14ac:dyDescent="0.15">
      <c r="A2497" s="22"/>
      <c r="B2497" s="26" t="str">
        <f t="shared" si="152"/>
        <v/>
      </c>
      <c r="C2497" s="26" t="str">
        <f t="shared" si="153"/>
        <v/>
      </c>
      <c r="D2497" s="26" t="str">
        <f t="shared" si="154"/>
        <v/>
      </c>
      <c r="E2497" s="29"/>
      <c r="F2497" s="22"/>
      <c r="G2497" s="22"/>
      <c r="H2497" s="22"/>
      <c r="I2497" s="24"/>
      <c r="J2497" s="24"/>
      <c r="K2497" s="24"/>
      <c r="L2497" s="24"/>
      <c r="M2497" s="27" t="str">
        <f t="shared" si="155"/>
        <v/>
      </c>
      <c r="N2497" s="25"/>
      <c r="O2497" s="22"/>
      <c r="P2497" s="24"/>
      <c r="Q2497" s="26"/>
    </row>
    <row r="2498" spans="1:17" ht="15" x14ac:dyDescent="0.15">
      <c r="A2498" s="22"/>
      <c r="B2498" s="26" t="str">
        <f t="shared" si="152"/>
        <v/>
      </c>
      <c r="C2498" s="26" t="str">
        <f t="shared" si="153"/>
        <v/>
      </c>
      <c r="D2498" s="26" t="str">
        <f t="shared" si="154"/>
        <v/>
      </c>
      <c r="E2498" s="29"/>
      <c r="F2498" s="22"/>
      <c r="G2498" s="22"/>
      <c r="H2498" s="22"/>
      <c r="I2498" s="24"/>
      <c r="J2498" s="24"/>
      <c r="K2498" s="24"/>
      <c r="L2498" s="24"/>
      <c r="M2498" s="27" t="str">
        <f t="shared" si="155"/>
        <v/>
      </c>
      <c r="N2498" s="25"/>
      <c r="O2498" s="22"/>
      <c r="P2498" s="24"/>
      <c r="Q2498" s="26"/>
    </row>
    <row r="2499" spans="1:17" ht="15" x14ac:dyDescent="0.15">
      <c r="A2499" s="22"/>
      <c r="B2499" s="26" t="str">
        <f t="shared" si="152"/>
        <v/>
      </c>
      <c r="C2499" s="26" t="str">
        <f t="shared" si="153"/>
        <v/>
      </c>
      <c r="D2499" s="26" t="str">
        <f t="shared" si="154"/>
        <v/>
      </c>
      <c r="E2499" s="29"/>
      <c r="F2499" s="22"/>
      <c r="G2499" s="22"/>
      <c r="H2499" s="22"/>
      <c r="I2499" s="24"/>
      <c r="J2499" s="24"/>
      <c r="K2499" s="24"/>
      <c r="L2499" s="24"/>
      <c r="M2499" s="27" t="str">
        <f t="shared" si="155"/>
        <v/>
      </c>
      <c r="N2499" s="25"/>
      <c r="O2499" s="22"/>
      <c r="P2499" s="24"/>
      <c r="Q2499" s="26"/>
    </row>
    <row r="2500" spans="1:17" ht="15" x14ac:dyDescent="0.15">
      <c r="A2500" s="22"/>
      <c r="B2500" s="26" t="str">
        <f t="shared" si="152"/>
        <v/>
      </c>
      <c r="C2500" s="26" t="str">
        <f t="shared" si="153"/>
        <v/>
      </c>
      <c r="D2500" s="26" t="str">
        <f t="shared" si="154"/>
        <v/>
      </c>
      <c r="E2500" s="29"/>
      <c r="F2500" s="22"/>
      <c r="G2500" s="22"/>
      <c r="H2500" s="22"/>
      <c r="I2500" s="24"/>
      <c r="J2500" s="24"/>
      <c r="K2500" s="24"/>
      <c r="L2500" s="24"/>
      <c r="M2500" s="27" t="str">
        <f t="shared" si="155"/>
        <v/>
      </c>
      <c r="N2500" s="25"/>
      <c r="O2500" s="22"/>
      <c r="P2500" s="24"/>
      <c r="Q2500" s="26"/>
    </row>
    <row r="2501" spans="1:17" ht="15" x14ac:dyDescent="0.15">
      <c r="A2501" s="22"/>
      <c r="B2501" s="26" t="str">
        <f t="shared" si="152"/>
        <v/>
      </c>
      <c r="C2501" s="26" t="str">
        <f t="shared" si="153"/>
        <v/>
      </c>
      <c r="D2501" s="26" t="str">
        <f t="shared" si="154"/>
        <v/>
      </c>
      <c r="E2501" s="29"/>
      <c r="F2501" s="22"/>
      <c r="G2501" s="22"/>
      <c r="H2501" s="22"/>
      <c r="I2501" s="24"/>
      <c r="J2501" s="24"/>
      <c r="K2501" s="24"/>
      <c r="L2501" s="24"/>
      <c r="M2501" s="27" t="str">
        <f t="shared" si="155"/>
        <v/>
      </c>
      <c r="N2501" s="25"/>
      <c r="O2501" s="22"/>
      <c r="P2501" s="24"/>
      <c r="Q2501" s="26"/>
    </row>
    <row r="2502" spans="1:17" ht="15" x14ac:dyDescent="0.15">
      <c r="A2502" s="22"/>
      <c r="B2502" s="26" t="str">
        <f t="shared" si="152"/>
        <v/>
      </c>
      <c r="C2502" s="26" t="str">
        <f t="shared" si="153"/>
        <v/>
      </c>
      <c r="D2502" s="26" t="str">
        <f t="shared" si="154"/>
        <v/>
      </c>
      <c r="E2502" s="29"/>
      <c r="F2502" s="22"/>
      <c r="G2502" s="22"/>
      <c r="H2502" s="22"/>
      <c r="I2502" s="24"/>
      <c r="J2502" s="24"/>
      <c r="K2502" s="24"/>
      <c r="L2502" s="24"/>
      <c r="M2502" s="27" t="str">
        <f t="shared" si="155"/>
        <v/>
      </c>
      <c r="N2502" s="25"/>
      <c r="O2502" s="22"/>
      <c r="P2502" s="24"/>
      <c r="Q2502" s="26"/>
    </row>
    <row r="2503" spans="1:17" ht="15" x14ac:dyDescent="0.15">
      <c r="A2503" s="22"/>
      <c r="B2503" s="26" t="str">
        <f t="shared" ref="B2503:B2566" si="156">IFERROR(IF($A2503="","",LEFT($A2503,FIND(" | ",$A2503)-1)),"")</f>
        <v/>
      </c>
      <c r="C2503" s="26" t="str">
        <f t="shared" ref="C2503:C2566" si="157">IFERROR(IF($A2503="","",MID($A2503,FIND(" | ",$A2503)+3,FIND(" | ",$A2503,FIND(" | ",$A2503)+3)-FIND(" | ",$A2503)-3)),"")</f>
        <v/>
      </c>
      <c r="D2503" s="26" t="str">
        <f t="shared" ref="D2503:D2566" si="158">IFERROR(IF($A2503="","",RIGHT($A2503,LEN($A2503)-FIND(" | ",$A2503,FIND(" | ",$A2503)+3)-2)),"")</f>
        <v/>
      </c>
      <c r="E2503" s="29"/>
      <c r="F2503" s="22"/>
      <c r="G2503" s="22"/>
      <c r="H2503" s="22"/>
      <c r="I2503" s="24"/>
      <c r="J2503" s="24"/>
      <c r="K2503" s="24"/>
      <c r="L2503" s="24"/>
      <c r="M2503" s="27" t="str">
        <f t="shared" ref="M2503:M2566" si="159">IF($B2503="","",SUM($J2503,-$K2503,$L2503))</f>
        <v/>
      </c>
      <c r="N2503" s="25"/>
      <c r="O2503" s="22"/>
      <c r="P2503" s="24"/>
      <c r="Q2503" s="26"/>
    </row>
    <row r="2504" spans="1:17" ht="15" x14ac:dyDescent="0.15">
      <c r="A2504" s="22"/>
      <c r="B2504" s="26" t="str">
        <f t="shared" si="156"/>
        <v/>
      </c>
      <c r="C2504" s="26" t="str">
        <f t="shared" si="157"/>
        <v/>
      </c>
      <c r="D2504" s="26" t="str">
        <f t="shared" si="158"/>
        <v/>
      </c>
      <c r="E2504" s="29"/>
      <c r="F2504" s="22"/>
      <c r="G2504" s="22"/>
      <c r="H2504" s="22"/>
      <c r="I2504" s="24"/>
      <c r="J2504" s="24"/>
      <c r="K2504" s="24"/>
      <c r="L2504" s="24"/>
      <c r="M2504" s="27" t="str">
        <f t="shared" si="159"/>
        <v/>
      </c>
      <c r="N2504" s="25"/>
      <c r="O2504" s="22"/>
      <c r="P2504" s="24"/>
      <c r="Q2504" s="26"/>
    </row>
    <row r="2505" spans="1:17" ht="15" x14ac:dyDescent="0.15">
      <c r="A2505" s="22"/>
      <c r="B2505" s="26" t="str">
        <f t="shared" si="156"/>
        <v/>
      </c>
      <c r="C2505" s="26" t="str">
        <f t="shared" si="157"/>
        <v/>
      </c>
      <c r="D2505" s="26" t="str">
        <f t="shared" si="158"/>
        <v/>
      </c>
      <c r="E2505" s="29"/>
      <c r="F2505" s="22"/>
      <c r="G2505" s="22"/>
      <c r="H2505" s="22"/>
      <c r="I2505" s="24"/>
      <c r="J2505" s="24"/>
      <c r="K2505" s="24"/>
      <c r="L2505" s="24"/>
      <c r="M2505" s="27" t="str">
        <f t="shared" si="159"/>
        <v/>
      </c>
      <c r="N2505" s="25"/>
      <c r="O2505" s="22"/>
      <c r="P2505" s="24"/>
      <c r="Q2505" s="26"/>
    </row>
    <row r="2506" spans="1:17" ht="15" x14ac:dyDescent="0.15">
      <c r="A2506" s="22"/>
      <c r="B2506" s="26" t="str">
        <f t="shared" si="156"/>
        <v/>
      </c>
      <c r="C2506" s="26" t="str">
        <f t="shared" si="157"/>
        <v/>
      </c>
      <c r="D2506" s="26" t="str">
        <f t="shared" si="158"/>
        <v/>
      </c>
      <c r="E2506" s="29"/>
      <c r="F2506" s="22"/>
      <c r="G2506" s="22"/>
      <c r="H2506" s="22"/>
      <c r="I2506" s="24"/>
      <c r="J2506" s="24"/>
      <c r="K2506" s="24"/>
      <c r="L2506" s="24"/>
      <c r="M2506" s="27" t="str">
        <f t="shared" si="159"/>
        <v/>
      </c>
      <c r="N2506" s="25"/>
      <c r="O2506" s="22"/>
      <c r="P2506" s="24"/>
      <c r="Q2506" s="26"/>
    </row>
    <row r="2507" spans="1:17" ht="15" x14ac:dyDescent="0.15">
      <c r="A2507" s="22"/>
      <c r="B2507" s="26" t="str">
        <f t="shared" si="156"/>
        <v/>
      </c>
      <c r="C2507" s="26" t="str">
        <f t="shared" si="157"/>
        <v/>
      </c>
      <c r="D2507" s="26" t="str">
        <f t="shared" si="158"/>
        <v/>
      </c>
      <c r="E2507" s="29"/>
      <c r="F2507" s="22"/>
      <c r="G2507" s="22"/>
      <c r="H2507" s="22"/>
      <c r="I2507" s="24"/>
      <c r="J2507" s="24"/>
      <c r="K2507" s="24"/>
      <c r="L2507" s="24"/>
      <c r="M2507" s="27" t="str">
        <f t="shared" si="159"/>
        <v/>
      </c>
      <c r="N2507" s="25"/>
      <c r="O2507" s="22"/>
      <c r="P2507" s="24"/>
      <c r="Q2507" s="26"/>
    </row>
    <row r="2508" spans="1:17" ht="15" x14ac:dyDescent="0.15">
      <c r="A2508" s="22"/>
      <c r="B2508" s="26" t="str">
        <f t="shared" si="156"/>
        <v/>
      </c>
      <c r="C2508" s="26" t="str">
        <f t="shared" si="157"/>
        <v/>
      </c>
      <c r="D2508" s="26" t="str">
        <f t="shared" si="158"/>
        <v/>
      </c>
      <c r="E2508" s="29"/>
      <c r="F2508" s="22"/>
      <c r="G2508" s="22"/>
      <c r="H2508" s="22"/>
      <c r="I2508" s="24"/>
      <c r="J2508" s="24"/>
      <c r="K2508" s="24"/>
      <c r="L2508" s="24"/>
      <c r="M2508" s="27" t="str">
        <f t="shared" si="159"/>
        <v/>
      </c>
      <c r="N2508" s="25"/>
      <c r="O2508" s="22"/>
      <c r="P2508" s="24"/>
      <c r="Q2508" s="26"/>
    </row>
    <row r="2509" spans="1:17" ht="15" x14ac:dyDescent="0.15">
      <c r="A2509" s="22"/>
      <c r="B2509" s="26" t="str">
        <f t="shared" si="156"/>
        <v/>
      </c>
      <c r="C2509" s="26" t="str">
        <f t="shared" si="157"/>
        <v/>
      </c>
      <c r="D2509" s="26" t="str">
        <f t="shared" si="158"/>
        <v/>
      </c>
      <c r="E2509" s="29"/>
      <c r="F2509" s="22"/>
      <c r="G2509" s="22"/>
      <c r="H2509" s="22"/>
      <c r="I2509" s="24"/>
      <c r="J2509" s="24"/>
      <c r="K2509" s="24"/>
      <c r="L2509" s="24"/>
      <c r="M2509" s="27" t="str">
        <f t="shared" si="159"/>
        <v/>
      </c>
      <c r="N2509" s="25"/>
      <c r="O2509" s="22"/>
      <c r="P2509" s="24"/>
      <c r="Q2509" s="26"/>
    </row>
    <row r="2510" spans="1:17" ht="15" x14ac:dyDescent="0.15">
      <c r="A2510" s="22"/>
      <c r="B2510" s="26" t="str">
        <f t="shared" si="156"/>
        <v/>
      </c>
      <c r="C2510" s="26" t="str">
        <f t="shared" si="157"/>
        <v/>
      </c>
      <c r="D2510" s="26" t="str">
        <f t="shared" si="158"/>
        <v/>
      </c>
      <c r="E2510" s="29"/>
      <c r="F2510" s="22"/>
      <c r="G2510" s="22"/>
      <c r="H2510" s="22"/>
      <c r="I2510" s="24"/>
      <c r="J2510" s="24"/>
      <c r="K2510" s="24"/>
      <c r="L2510" s="24"/>
      <c r="M2510" s="27" t="str">
        <f t="shared" si="159"/>
        <v/>
      </c>
      <c r="N2510" s="25"/>
      <c r="O2510" s="22"/>
      <c r="P2510" s="24"/>
      <c r="Q2510" s="26"/>
    </row>
    <row r="2511" spans="1:17" ht="15" x14ac:dyDescent="0.15">
      <c r="A2511" s="22"/>
      <c r="B2511" s="26" t="str">
        <f t="shared" si="156"/>
        <v/>
      </c>
      <c r="C2511" s="26" t="str">
        <f t="shared" si="157"/>
        <v/>
      </c>
      <c r="D2511" s="26" t="str">
        <f t="shared" si="158"/>
        <v/>
      </c>
      <c r="E2511" s="29"/>
      <c r="F2511" s="22"/>
      <c r="G2511" s="22"/>
      <c r="H2511" s="22"/>
      <c r="I2511" s="24"/>
      <c r="J2511" s="24"/>
      <c r="K2511" s="24"/>
      <c r="L2511" s="24"/>
      <c r="M2511" s="27" t="str">
        <f t="shared" si="159"/>
        <v/>
      </c>
      <c r="N2511" s="25"/>
      <c r="O2511" s="22"/>
      <c r="P2511" s="24"/>
      <c r="Q2511" s="26"/>
    </row>
    <row r="2512" spans="1:17" ht="15" x14ac:dyDescent="0.15">
      <c r="A2512" s="22"/>
      <c r="B2512" s="26" t="str">
        <f t="shared" si="156"/>
        <v/>
      </c>
      <c r="C2512" s="26" t="str">
        <f t="shared" si="157"/>
        <v/>
      </c>
      <c r="D2512" s="26" t="str">
        <f t="shared" si="158"/>
        <v/>
      </c>
      <c r="E2512" s="29"/>
      <c r="F2512" s="22"/>
      <c r="G2512" s="22"/>
      <c r="H2512" s="22"/>
      <c r="I2512" s="24"/>
      <c r="J2512" s="24"/>
      <c r="K2512" s="24"/>
      <c r="L2512" s="24"/>
      <c r="M2512" s="27" t="str">
        <f t="shared" si="159"/>
        <v/>
      </c>
      <c r="N2512" s="25"/>
      <c r="O2512" s="22"/>
      <c r="P2512" s="24"/>
      <c r="Q2512" s="26"/>
    </row>
    <row r="2513" spans="1:17" ht="15" x14ac:dyDescent="0.15">
      <c r="A2513" s="22"/>
      <c r="B2513" s="26" t="str">
        <f t="shared" si="156"/>
        <v/>
      </c>
      <c r="C2513" s="26" t="str">
        <f t="shared" si="157"/>
        <v/>
      </c>
      <c r="D2513" s="26" t="str">
        <f t="shared" si="158"/>
        <v/>
      </c>
      <c r="E2513" s="29"/>
      <c r="F2513" s="22"/>
      <c r="G2513" s="22"/>
      <c r="H2513" s="22"/>
      <c r="I2513" s="24"/>
      <c r="J2513" s="24"/>
      <c r="K2513" s="24"/>
      <c r="L2513" s="24"/>
      <c r="M2513" s="27" t="str">
        <f t="shared" si="159"/>
        <v/>
      </c>
      <c r="N2513" s="25"/>
      <c r="O2513" s="22"/>
      <c r="P2513" s="24"/>
      <c r="Q2513" s="26"/>
    </row>
    <row r="2514" spans="1:17" ht="15" x14ac:dyDescent="0.15">
      <c r="A2514" s="22"/>
      <c r="B2514" s="26" t="str">
        <f t="shared" si="156"/>
        <v/>
      </c>
      <c r="C2514" s="26" t="str">
        <f t="shared" si="157"/>
        <v/>
      </c>
      <c r="D2514" s="26" t="str">
        <f t="shared" si="158"/>
        <v/>
      </c>
      <c r="E2514" s="29"/>
      <c r="F2514" s="22"/>
      <c r="G2514" s="22"/>
      <c r="H2514" s="22"/>
      <c r="I2514" s="24"/>
      <c r="J2514" s="24"/>
      <c r="K2514" s="24"/>
      <c r="L2514" s="24"/>
      <c r="M2514" s="27" t="str">
        <f t="shared" si="159"/>
        <v/>
      </c>
      <c r="N2514" s="25"/>
      <c r="O2514" s="22"/>
      <c r="P2514" s="24"/>
      <c r="Q2514" s="26"/>
    </row>
    <row r="2515" spans="1:17" ht="15" x14ac:dyDescent="0.15">
      <c r="A2515" s="22"/>
      <c r="B2515" s="26" t="str">
        <f t="shared" si="156"/>
        <v/>
      </c>
      <c r="C2515" s="26" t="str">
        <f t="shared" si="157"/>
        <v/>
      </c>
      <c r="D2515" s="26" t="str">
        <f t="shared" si="158"/>
        <v/>
      </c>
      <c r="E2515" s="29"/>
      <c r="F2515" s="22"/>
      <c r="G2515" s="22"/>
      <c r="H2515" s="22"/>
      <c r="I2515" s="24"/>
      <c r="J2515" s="24"/>
      <c r="K2515" s="24"/>
      <c r="L2515" s="24"/>
      <c r="M2515" s="27" t="str">
        <f t="shared" si="159"/>
        <v/>
      </c>
      <c r="N2515" s="25"/>
      <c r="O2515" s="22"/>
      <c r="P2515" s="24"/>
      <c r="Q2515" s="26"/>
    </row>
    <row r="2516" spans="1:17" ht="15" x14ac:dyDescent="0.15">
      <c r="A2516" s="22"/>
      <c r="B2516" s="26" t="str">
        <f t="shared" si="156"/>
        <v/>
      </c>
      <c r="C2516" s="26" t="str">
        <f t="shared" si="157"/>
        <v/>
      </c>
      <c r="D2516" s="26" t="str">
        <f t="shared" si="158"/>
        <v/>
      </c>
      <c r="E2516" s="29"/>
      <c r="F2516" s="22"/>
      <c r="G2516" s="22"/>
      <c r="H2516" s="22"/>
      <c r="I2516" s="24"/>
      <c r="J2516" s="24"/>
      <c r="K2516" s="24"/>
      <c r="L2516" s="24"/>
      <c r="M2516" s="27" t="str">
        <f t="shared" si="159"/>
        <v/>
      </c>
      <c r="N2516" s="25"/>
      <c r="O2516" s="22"/>
      <c r="P2516" s="24"/>
      <c r="Q2516" s="26"/>
    </row>
    <row r="2517" spans="1:17" ht="15" x14ac:dyDescent="0.15">
      <c r="A2517" s="22"/>
      <c r="B2517" s="26" t="str">
        <f t="shared" si="156"/>
        <v/>
      </c>
      <c r="C2517" s="26" t="str">
        <f t="shared" si="157"/>
        <v/>
      </c>
      <c r="D2517" s="26" t="str">
        <f t="shared" si="158"/>
        <v/>
      </c>
      <c r="E2517" s="29"/>
      <c r="F2517" s="22"/>
      <c r="G2517" s="22"/>
      <c r="H2517" s="22"/>
      <c r="I2517" s="24"/>
      <c r="J2517" s="24"/>
      <c r="K2517" s="24"/>
      <c r="L2517" s="24"/>
      <c r="M2517" s="27" t="str">
        <f t="shared" si="159"/>
        <v/>
      </c>
      <c r="N2517" s="25"/>
      <c r="O2517" s="22"/>
      <c r="P2517" s="24"/>
      <c r="Q2517" s="26"/>
    </row>
    <row r="2518" spans="1:17" ht="15" x14ac:dyDescent="0.15">
      <c r="A2518" s="22"/>
      <c r="B2518" s="26" t="str">
        <f t="shared" si="156"/>
        <v/>
      </c>
      <c r="C2518" s="26" t="str">
        <f t="shared" si="157"/>
        <v/>
      </c>
      <c r="D2518" s="26" t="str">
        <f t="shared" si="158"/>
        <v/>
      </c>
      <c r="E2518" s="29"/>
      <c r="F2518" s="22"/>
      <c r="G2518" s="22"/>
      <c r="H2518" s="22"/>
      <c r="I2518" s="24"/>
      <c r="J2518" s="24"/>
      <c r="K2518" s="24"/>
      <c r="L2518" s="24"/>
      <c r="M2518" s="27" t="str">
        <f t="shared" si="159"/>
        <v/>
      </c>
      <c r="N2518" s="25"/>
      <c r="O2518" s="22"/>
      <c r="P2518" s="24"/>
      <c r="Q2518" s="26"/>
    </row>
    <row r="2519" spans="1:17" ht="15" x14ac:dyDescent="0.15">
      <c r="A2519" s="22"/>
      <c r="B2519" s="26" t="str">
        <f t="shared" si="156"/>
        <v/>
      </c>
      <c r="C2519" s="26" t="str">
        <f t="shared" si="157"/>
        <v/>
      </c>
      <c r="D2519" s="26" t="str">
        <f t="shared" si="158"/>
        <v/>
      </c>
      <c r="E2519" s="29"/>
      <c r="F2519" s="22"/>
      <c r="G2519" s="22"/>
      <c r="H2519" s="22"/>
      <c r="I2519" s="24"/>
      <c r="J2519" s="24"/>
      <c r="K2519" s="24"/>
      <c r="L2519" s="24"/>
      <c r="M2519" s="27" t="str">
        <f t="shared" si="159"/>
        <v/>
      </c>
      <c r="N2519" s="25"/>
      <c r="O2519" s="22"/>
      <c r="P2519" s="24"/>
      <c r="Q2519" s="26"/>
    </row>
    <row r="2520" spans="1:17" ht="15" x14ac:dyDescent="0.15">
      <c r="A2520" s="22"/>
      <c r="B2520" s="26" t="str">
        <f t="shared" si="156"/>
        <v/>
      </c>
      <c r="C2520" s="26" t="str">
        <f t="shared" si="157"/>
        <v/>
      </c>
      <c r="D2520" s="26" t="str">
        <f t="shared" si="158"/>
        <v/>
      </c>
      <c r="E2520" s="29"/>
      <c r="F2520" s="22"/>
      <c r="G2520" s="22"/>
      <c r="H2520" s="22"/>
      <c r="I2520" s="24"/>
      <c r="J2520" s="24"/>
      <c r="K2520" s="24"/>
      <c r="L2520" s="24"/>
      <c r="M2520" s="27" t="str">
        <f t="shared" si="159"/>
        <v/>
      </c>
      <c r="N2520" s="25"/>
      <c r="O2520" s="22"/>
      <c r="P2520" s="24"/>
      <c r="Q2520" s="26"/>
    </row>
    <row r="2521" spans="1:17" ht="15" x14ac:dyDescent="0.15">
      <c r="A2521" s="22"/>
      <c r="B2521" s="26" t="str">
        <f t="shared" si="156"/>
        <v/>
      </c>
      <c r="C2521" s="26" t="str">
        <f t="shared" si="157"/>
        <v/>
      </c>
      <c r="D2521" s="26" t="str">
        <f t="shared" si="158"/>
        <v/>
      </c>
      <c r="E2521" s="29"/>
      <c r="F2521" s="22"/>
      <c r="G2521" s="22"/>
      <c r="H2521" s="22"/>
      <c r="I2521" s="24"/>
      <c r="J2521" s="24"/>
      <c r="K2521" s="24"/>
      <c r="L2521" s="24"/>
      <c r="M2521" s="27" t="str">
        <f t="shared" si="159"/>
        <v/>
      </c>
      <c r="N2521" s="25"/>
      <c r="O2521" s="22"/>
      <c r="P2521" s="24"/>
      <c r="Q2521" s="26"/>
    </row>
    <row r="2522" spans="1:17" ht="15" x14ac:dyDescent="0.15">
      <c r="A2522" s="22"/>
      <c r="B2522" s="26" t="str">
        <f t="shared" si="156"/>
        <v/>
      </c>
      <c r="C2522" s="26" t="str">
        <f t="shared" si="157"/>
        <v/>
      </c>
      <c r="D2522" s="26" t="str">
        <f t="shared" si="158"/>
        <v/>
      </c>
      <c r="E2522" s="29"/>
      <c r="F2522" s="22"/>
      <c r="G2522" s="22"/>
      <c r="H2522" s="22"/>
      <c r="I2522" s="24"/>
      <c r="J2522" s="24"/>
      <c r="K2522" s="24"/>
      <c r="L2522" s="24"/>
      <c r="M2522" s="27" t="str">
        <f t="shared" si="159"/>
        <v/>
      </c>
      <c r="N2522" s="25"/>
      <c r="O2522" s="22"/>
      <c r="P2522" s="24"/>
      <c r="Q2522" s="26"/>
    </row>
    <row r="2523" spans="1:17" ht="15" x14ac:dyDescent="0.15">
      <c r="A2523" s="22"/>
      <c r="B2523" s="26" t="str">
        <f t="shared" si="156"/>
        <v/>
      </c>
      <c r="C2523" s="26" t="str">
        <f t="shared" si="157"/>
        <v/>
      </c>
      <c r="D2523" s="26" t="str">
        <f t="shared" si="158"/>
        <v/>
      </c>
      <c r="E2523" s="29"/>
      <c r="F2523" s="22"/>
      <c r="G2523" s="22"/>
      <c r="H2523" s="22"/>
      <c r="I2523" s="24"/>
      <c r="J2523" s="24"/>
      <c r="K2523" s="24"/>
      <c r="L2523" s="24"/>
      <c r="M2523" s="27" t="str">
        <f t="shared" si="159"/>
        <v/>
      </c>
      <c r="N2523" s="25"/>
      <c r="O2523" s="22"/>
      <c r="P2523" s="24"/>
      <c r="Q2523" s="26"/>
    </row>
    <row r="2524" spans="1:17" ht="15" x14ac:dyDescent="0.15">
      <c r="A2524" s="22"/>
      <c r="B2524" s="26" t="str">
        <f t="shared" si="156"/>
        <v/>
      </c>
      <c r="C2524" s="26" t="str">
        <f t="shared" si="157"/>
        <v/>
      </c>
      <c r="D2524" s="26" t="str">
        <f t="shared" si="158"/>
        <v/>
      </c>
      <c r="E2524" s="29"/>
      <c r="F2524" s="22"/>
      <c r="G2524" s="22"/>
      <c r="H2524" s="22"/>
      <c r="I2524" s="24"/>
      <c r="J2524" s="24"/>
      <c r="K2524" s="24"/>
      <c r="L2524" s="24"/>
      <c r="M2524" s="27" t="str">
        <f t="shared" si="159"/>
        <v/>
      </c>
      <c r="N2524" s="25"/>
      <c r="O2524" s="22"/>
      <c r="P2524" s="24"/>
      <c r="Q2524" s="26"/>
    </row>
    <row r="2525" spans="1:17" ht="15" x14ac:dyDescent="0.15">
      <c r="A2525" s="22"/>
      <c r="B2525" s="26" t="str">
        <f t="shared" si="156"/>
        <v/>
      </c>
      <c r="C2525" s="26" t="str">
        <f t="shared" si="157"/>
        <v/>
      </c>
      <c r="D2525" s="26" t="str">
        <f t="shared" si="158"/>
        <v/>
      </c>
      <c r="E2525" s="29"/>
      <c r="F2525" s="22"/>
      <c r="G2525" s="22"/>
      <c r="H2525" s="22"/>
      <c r="I2525" s="24"/>
      <c r="J2525" s="24"/>
      <c r="K2525" s="24"/>
      <c r="L2525" s="24"/>
      <c r="M2525" s="27" t="str">
        <f t="shared" si="159"/>
        <v/>
      </c>
      <c r="N2525" s="25"/>
      <c r="O2525" s="22"/>
      <c r="P2525" s="24"/>
      <c r="Q2525" s="26"/>
    </row>
    <row r="2526" spans="1:17" ht="15" x14ac:dyDescent="0.15">
      <c r="A2526" s="22"/>
      <c r="B2526" s="26" t="str">
        <f t="shared" si="156"/>
        <v/>
      </c>
      <c r="C2526" s="26" t="str">
        <f t="shared" si="157"/>
        <v/>
      </c>
      <c r="D2526" s="26" t="str">
        <f t="shared" si="158"/>
        <v/>
      </c>
      <c r="E2526" s="29"/>
      <c r="F2526" s="22"/>
      <c r="G2526" s="22"/>
      <c r="H2526" s="22"/>
      <c r="I2526" s="24"/>
      <c r="J2526" s="24"/>
      <c r="K2526" s="24"/>
      <c r="L2526" s="24"/>
      <c r="M2526" s="27" t="str">
        <f t="shared" si="159"/>
        <v/>
      </c>
      <c r="N2526" s="25"/>
      <c r="O2526" s="22"/>
      <c r="P2526" s="24"/>
      <c r="Q2526" s="26"/>
    </row>
    <row r="2527" spans="1:17" ht="15" x14ac:dyDescent="0.15">
      <c r="A2527" s="22"/>
      <c r="B2527" s="26" t="str">
        <f t="shared" si="156"/>
        <v/>
      </c>
      <c r="C2527" s="26" t="str">
        <f t="shared" si="157"/>
        <v/>
      </c>
      <c r="D2527" s="26" t="str">
        <f t="shared" si="158"/>
        <v/>
      </c>
      <c r="E2527" s="29"/>
      <c r="F2527" s="22"/>
      <c r="G2527" s="22"/>
      <c r="H2527" s="22"/>
      <c r="I2527" s="24"/>
      <c r="J2527" s="24"/>
      <c r="K2527" s="24"/>
      <c r="L2527" s="24"/>
      <c r="M2527" s="27" t="str">
        <f t="shared" si="159"/>
        <v/>
      </c>
      <c r="N2527" s="25"/>
      <c r="O2527" s="22"/>
      <c r="P2527" s="24"/>
      <c r="Q2527" s="26"/>
    </row>
    <row r="2528" spans="1:17" ht="15" x14ac:dyDescent="0.15">
      <c r="A2528" s="22"/>
      <c r="B2528" s="26" t="str">
        <f t="shared" si="156"/>
        <v/>
      </c>
      <c r="C2528" s="26" t="str">
        <f t="shared" si="157"/>
        <v/>
      </c>
      <c r="D2528" s="26" t="str">
        <f t="shared" si="158"/>
        <v/>
      </c>
      <c r="E2528" s="29"/>
      <c r="F2528" s="22"/>
      <c r="G2528" s="22"/>
      <c r="H2528" s="22"/>
      <c r="I2528" s="24"/>
      <c r="J2528" s="24"/>
      <c r="K2528" s="24"/>
      <c r="L2528" s="24"/>
      <c r="M2528" s="27" t="str">
        <f t="shared" si="159"/>
        <v/>
      </c>
      <c r="N2528" s="25"/>
      <c r="O2528" s="22"/>
      <c r="P2528" s="24"/>
      <c r="Q2528" s="26"/>
    </row>
    <row r="2529" spans="1:17" ht="15" x14ac:dyDescent="0.15">
      <c r="A2529" s="22"/>
      <c r="B2529" s="26" t="str">
        <f t="shared" si="156"/>
        <v/>
      </c>
      <c r="C2529" s="26" t="str">
        <f t="shared" si="157"/>
        <v/>
      </c>
      <c r="D2529" s="26" t="str">
        <f t="shared" si="158"/>
        <v/>
      </c>
      <c r="E2529" s="29"/>
      <c r="F2529" s="22"/>
      <c r="G2529" s="22"/>
      <c r="H2529" s="22"/>
      <c r="I2529" s="24"/>
      <c r="J2529" s="24"/>
      <c r="K2529" s="24"/>
      <c r="L2529" s="24"/>
      <c r="M2529" s="27" t="str">
        <f t="shared" si="159"/>
        <v/>
      </c>
      <c r="N2529" s="25"/>
      <c r="O2529" s="22"/>
      <c r="P2529" s="24"/>
      <c r="Q2529" s="26"/>
    </row>
    <row r="2530" spans="1:17" ht="15" x14ac:dyDescent="0.15">
      <c r="A2530" s="22"/>
      <c r="B2530" s="26" t="str">
        <f t="shared" si="156"/>
        <v/>
      </c>
      <c r="C2530" s="26" t="str">
        <f t="shared" si="157"/>
        <v/>
      </c>
      <c r="D2530" s="26" t="str">
        <f t="shared" si="158"/>
        <v/>
      </c>
      <c r="E2530" s="29"/>
      <c r="F2530" s="22"/>
      <c r="G2530" s="22"/>
      <c r="H2530" s="22"/>
      <c r="I2530" s="24"/>
      <c r="J2530" s="24"/>
      <c r="K2530" s="24"/>
      <c r="L2530" s="24"/>
      <c r="M2530" s="27" t="str">
        <f t="shared" si="159"/>
        <v/>
      </c>
      <c r="N2530" s="25"/>
      <c r="O2530" s="22"/>
      <c r="P2530" s="24"/>
      <c r="Q2530" s="26"/>
    </row>
    <row r="2531" spans="1:17" ht="15" x14ac:dyDescent="0.15">
      <c r="A2531" s="22"/>
      <c r="B2531" s="26" t="str">
        <f t="shared" si="156"/>
        <v/>
      </c>
      <c r="C2531" s="26" t="str">
        <f t="shared" si="157"/>
        <v/>
      </c>
      <c r="D2531" s="26" t="str">
        <f t="shared" si="158"/>
        <v/>
      </c>
      <c r="E2531" s="29"/>
      <c r="F2531" s="22"/>
      <c r="G2531" s="22"/>
      <c r="H2531" s="22"/>
      <c r="I2531" s="24"/>
      <c r="J2531" s="24"/>
      <c r="K2531" s="24"/>
      <c r="L2531" s="24"/>
      <c r="M2531" s="27" t="str">
        <f t="shared" si="159"/>
        <v/>
      </c>
      <c r="N2531" s="25"/>
      <c r="O2531" s="22"/>
      <c r="P2531" s="24"/>
      <c r="Q2531" s="26"/>
    </row>
    <row r="2532" spans="1:17" ht="15" x14ac:dyDescent="0.15">
      <c r="A2532" s="22"/>
      <c r="B2532" s="26" t="str">
        <f t="shared" si="156"/>
        <v/>
      </c>
      <c r="C2532" s="26" t="str">
        <f t="shared" si="157"/>
        <v/>
      </c>
      <c r="D2532" s="26" t="str">
        <f t="shared" si="158"/>
        <v/>
      </c>
      <c r="E2532" s="29"/>
      <c r="F2532" s="22"/>
      <c r="G2532" s="22"/>
      <c r="H2532" s="22"/>
      <c r="I2532" s="24"/>
      <c r="J2532" s="24"/>
      <c r="K2532" s="24"/>
      <c r="L2532" s="24"/>
      <c r="M2532" s="27" t="str">
        <f t="shared" si="159"/>
        <v/>
      </c>
      <c r="N2532" s="25"/>
      <c r="O2532" s="22"/>
      <c r="P2532" s="24"/>
      <c r="Q2532" s="26"/>
    </row>
    <row r="2533" spans="1:17" ht="15" x14ac:dyDescent="0.15">
      <c r="A2533" s="22"/>
      <c r="B2533" s="26" t="str">
        <f t="shared" si="156"/>
        <v/>
      </c>
      <c r="C2533" s="26" t="str">
        <f t="shared" si="157"/>
        <v/>
      </c>
      <c r="D2533" s="26" t="str">
        <f t="shared" si="158"/>
        <v/>
      </c>
      <c r="E2533" s="29"/>
      <c r="F2533" s="22"/>
      <c r="G2533" s="22"/>
      <c r="H2533" s="22"/>
      <c r="I2533" s="24"/>
      <c r="J2533" s="24"/>
      <c r="K2533" s="24"/>
      <c r="L2533" s="24"/>
      <c r="M2533" s="27" t="str">
        <f t="shared" si="159"/>
        <v/>
      </c>
      <c r="N2533" s="25"/>
      <c r="O2533" s="22"/>
      <c r="P2533" s="24"/>
      <c r="Q2533" s="26"/>
    </row>
    <row r="2534" spans="1:17" ht="15" x14ac:dyDescent="0.15">
      <c r="A2534" s="22"/>
      <c r="B2534" s="26" t="str">
        <f t="shared" si="156"/>
        <v/>
      </c>
      <c r="C2534" s="26" t="str">
        <f t="shared" si="157"/>
        <v/>
      </c>
      <c r="D2534" s="26" t="str">
        <f t="shared" si="158"/>
        <v/>
      </c>
      <c r="E2534" s="29"/>
      <c r="F2534" s="22"/>
      <c r="G2534" s="22"/>
      <c r="H2534" s="22"/>
      <c r="I2534" s="24"/>
      <c r="J2534" s="24"/>
      <c r="K2534" s="24"/>
      <c r="L2534" s="24"/>
      <c r="M2534" s="27" t="str">
        <f t="shared" si="159"/>
        <v/>
      </c>
      <c r="N2534" s="25"/>
      <c r="O2534" s="22"/>
      <c r="P2534" s="24"/>
      <c r="Q2534" s="26"/>
    </row>
    <row r="2535" spans="1:17" ht="15" x14ac:dyDescent="0.15">
      <c r="A2535" s="22"/>
      <c r="B2535" s="26" t="str">
        <f t="shared" si="156"/>
        <v/>
      </c>
      <c r="C2535" s="26" t="str">
        <f t="shared" si="157"/>
        <v/>
      </c>
      <c r="D2535" s="26" t="str">
        <f t="shared" si="158"/>
        <v/>
      </c>
      <c r="E2535" s="29"/>
      <c r="F2535" s="22"/>
      <c r="G2535" s="22"/>
      <c r="H2535" s="22"/>
      <c r="I2535" s="24"/>
      <c r="J2535" s="24"/>
      <c r="K2535" s="24"/>
      <c r="L2535" s="24"/>
      <c r="M2535" s="27" t="str">
        <f t="shared" si="159"/>
        <v/>
      </c>
      <c r="N2535" s="25"/>
      <c r="O2535" s="22"/>
      <c r="P2535" s="24"/>
      <c r="Q2535" s="26"/>
    </row>
    <row r="2536" spans="1:17" ht="15" x14ac:dyDescent="0.15">
      <c r="A2536" s="22"/>
      <c r="B2536" s="26" t="str">
        <f t="shared" si="156"/>
        <v/>
      </c>
      <c r="C2536" s="26" t="str">
        <f t="shared" si="157"/>
        <v/>
      </c>
      <c r="D2536" s="26" t="str">
        <f t="shared" si="158"/>
        <v/>
      </c>
      <c r="E2536" s="29"/>
      <c r="F2536" s="22"/>
      <c r="G2536" s="22"/>
      <c r="H2536" s="22"/>
      <c r="I2536" s="24"/>
      <c r="J2536" s="24"/>
      <c r="K2536" s="24"/>
      <c r="L2536" s="24"/>
      <c r="M2536" s="27" t="str">
        <f t="shared" si="159"/>
        <v/>
      </c>
      <c r="N2536" s="25"/>
      <c r="O2536" s="22"/>
      <c r="P2536" s="24"/>
      <c r="Q2536" s="26"/>
    </row>
    <row r="2537" spans="1:17" ht="15" x14ac:dyDescent="0.15">
      <c r="A2537" s="22"/>
      <c r="B2537" s="26" t="str">
        <f t="shared" si="156"/>
        <v/>
      </c>
      <c r="C2537" s="26" t="str">
        <f t="shared" si="157"/>
        <v/>
      </c>
      <c r="D2537" s="26" t="str">
        <f t="shared" si="158"/>
        <v/>
      </c>
      <c r="E2537" s="29"/>
      <c r="F2537" s="22"/>
      <c r="G2537" s="22"/>
      <c r="H2537" s="22"/>
      <c r="I2537" s="24"/>
      <c r="J2537" s="24"/>
      <c r="K2537" s="24"/>
      <c r="L2537" s="24"/>
      <c r="M2537" s="27" t="str">
        <f t="shared" si="159"/>
        <v/>
      </c>
      <c r="N2537" s="25"/>
      <c r="O2537" s="22"/>
      <c r="P2537" s="24"/>
      <c r="Q2537" s="26"/>
    </row>
    <row r="2538" spans="1:17" ht="15" x14ac:dyDescent="0.15">
      <c r="A2538" s="22"/>
      <c r="B2538" s="26" t="str">
        <f t="shared" si="156"/>
        <v/>
      </c>
      <c r="C2538" s="26" t="str">
        <f t="shared" si="157"/>
        <v/>
      </c>
      <c r="D2538" s="26" t="str">
        <f t="shared" si="158"/>
        <v/>
      </c>
      <c r="E2538" s="29"/>
      <c r="F2538" s="22"/>
      <c r="G2538" s="22"/>
      <c r="H2538" s="22"/>
      <c r="I2538" s="24"/>
      <c r="J2538" s="24"/>
      <c r="K2538" s="24"/>
      <c r="L2538" s="24"/>
      <c r="M2538" s="27" t="str">
        <f t="shared" si="159"/>
        <v/>
      </c>
      <c r="N2538" s="25"/>
      <c r="O2538" s="22"/>
      <c r="P2538" s="24"/>
      <c r="Q2538" s="26"/>
    </row>
    <row r="2539" spans="1:17" ht="15" x14ac:dyDescent="0.15">
      <c r="A2539" s="22"/>
      <c r="B2539" s="26" t="str">
        <f t="shared" si="156"/>
        <v/>
      </c>
      <c r="C2539" s="26" t="str">
        <f t="shared" si="157"/>
        <v/>
      </c>
      <c r="D2539" s="26" t="str">
        <f t="shared" si="158"/>
        <v/>
      </c>
      <c r="E2539" s="29"/>
      <c r="F2539" s="22"/>
      <c r="G2539" s="22"/>
      <c r="H2539" s="22"/>
      <c r="I2539" s="24"/>
      <c r="J2539" s="24"/>
      <c r="K2539" s="24"/>
      <c r="L2539" s="24"/>
      <c r="M2539" s="27" t="str">
        <f t="shared" si="159"/>
        <v/>
      </c>
      <c r="N2539" s="25"/>
      <c r="O2539" s="22"/>
      <c r="P2539" s="24"/>
      <c r="Q2539" s="26"/>
    </row>
    <row r="2540" spans="1:17" ht="15" x14ac:dyDescent="0.15">
      <c r="A2540" s="22"/>
      <c r="B2540" s="26" t="str">
        <f t="shared" si="156"/>
        <v/>
      </c>
      <c r="C2540" s="26" t="str">
        <f t="shared" si="157"/>
        <v/>
      </c>
      <c r="D2540" s="26" t="str">
        <f t="shared" si="158"/>
        <v/>
      </c>
      <c r="E2540" s="29"/>
      <c r="F2540" s="22"/>
      <c r="G2540" s="22"/>
      <c r="H2540" s="22"/>
      <c r="I2540" s="24"/>
      <c r="J2540" s="24"/>
      <c r="K2540" s="24"/>
      <c r="L2540" s="24"/>
      <c r="M2540" s="27" t="str">
        <f t="shared" si="159"/>
        <v/>
      </c>
      <c r="N2540" s="25"/>
      <c r="O2540" s="22"/>
      <c r="P2540" s="24"/>
      <c r="Q2540" s="26"/>
    </row>
    <row r="2541" spans="1:17" ht="15" x14ac:dyDescent="0.15">
      <c r="A2541" s="22"/>
      <c r="B2541" s="26" t="str">
        <f t="shared" si="156"/>
        <v/>
      </c>
      <c r="C2541" s="26" t="str">
        <f t="shared" si="157"/>
        <v/>
      </c>
      <c r="D2541" s="26" t="str">
        <f t="shared" si="158"/>
        <v/>
      </c>
      <c r="E2541" s="29"/>
      <c r="F2541" s="22"/>
      <c r="G2541" s="22"/>
      <c r="H2541" s="22"/>
      <c r="I2541" s="24"/>
      <c r="J2541" s="24"/>
      <c r="K2541" s="24"/>
      <c r="L2541" s="24"/>
      <c r="M2541" s="27" t="str">
        <f t="shared" si="159"/>
        <v/>
      </c>
      <c r="N2541" s="25"/>
      <c r="O2541" s="22"/>
      <c r="P2541" s="24"/>
      <c r="Q2541" s="26"/>
    </row>
    <row r="2542" spans="1:17" ht="15" x14ac:dyDescent="0.15">
      <c r="A2542" s="22"/>
      <c r="B2542" s="26" t="str">
        <f t="shared" si="156"/>
        <v/>
      </c>
      <c r="C2542" s="26" t="str">
        <f t="shared" si="157"/>
        <v/>
      </c>
      <c r="D2542" s="26" t="str">
        <f t="shared" si="158"/>
        <v/>
      </c>
      <c r="E2542" s="29"/>
      <c r="F2542" s="22"/>
      <c r="G2542" s="22"/>
      <c r="H2542" s="22"/>
      <c r="I2542" s="24"/>
      <c r="J2542" s="24"/>
      <c r="K2542" s="24"/>
      <c r="L2542" s="24"/>
      <c r="M2542" s="27" t="str">
        <f t="shared" si="159"/>
        <v/>
      </c>
      <c r="N2542" s="25"/>
      <c r="O2542" s="22"/>
      <c r="P2542" s="24"/>
      <c r="Q2542" s="26"/>
    </row>
    <row r="2543" spans="1:17" ht="15" x14ac:dyDescent="0.15">
      <c r="A2543" s="22"/>
      <c r="B2543" s="26" t="str">
        <f t="shared" si="156"/>
        <v/>
      </c>
      <c r="C2543" s="26" t="str">
        <f t="shared" si="157"/>
        <v/>
      </c>
      <c r="D2543" s="26" t="str">
        <f t="shared" si="158"/>
        <v/>
      </c>
      <c r="E2543" s="29"/>
      <c r="F2543" s="22"/>
      <c r="G2543" s="22"/>
      <c r="H2543" s="22"/>
      <c r="I2543" s="24"/>
      <c r="J2543" s="24"/>
      <c r="K2543" s="24"/>
      <c r="L2543" s="24"/>
      <c r="M2543" s="27" t="str">
        <f t="shared" si="159"/>
        <v/>
      </c>
      <c r="N2543" s="25"/>
      <c r="O2543" s="22"/>
      <c r="P2543" s="24"/>
      <c r="Q2543" s="26"/>
    </row>
    <row r="2544" spans="1:17" ht="15" x14ac:dyDescent="0.15">
      <c r="A2544" s="22"/>
      <c r="B2544" s="26" t="str">
        <f t="shared" si="156"/>
        <v/>
      </c>
      <c r="C2544" s="26" t="str">
        <f t="shared" si="157"/>
        <v/>
      </c>
      <c r="D2544" s="26" t="str">
        <f t="shared" si="158"/>
        <v/>
      </c>
      <c r="E2544" s="29"/>
      <c r="F2544" s="22"/>
      <c r="G2544" s="22"/>
      <c r="H2544" s="22"/>
      <c r="I2544" s="24"/>
      <c r="J2544" s="24"/>
      <c r="K2544" s="24"/>
      <c r="L2544" s="24"/>
      <c r="M2544" s="27" t="str">
        <f t="shared" si="159"/>
        <v/>
      </c>
      <c r="N2544" s="25"/>
      <c r="O2544" s="22"/>
      <c r="P2544" s="24"/>
      <c r="Q2544" s="26"/>
    </row>
    <row r="2545" spans="1:17" ht="15" x14ac:dyDescent="0.15">
      <c r="A2545" s="22"/>
      <c r="B2545" s="26" t="str">
        <f t="shared" si="156"/>
        <v/>
      </c>
      <c r="C2545" s="26" t="str">
        <f t="shared" si="157"/>
        <v/>
      </c>
      <c r="D2545" s="26" t="str">
        <f t="shared" si="158"/>
        <v/>
      </c>
      <c r="E2545" s="29"/>
      <c r="F2545" s="22"/>
      <c r="G2545" s="22"/>
      <c r="H2545" s="22"/>
      <c r="I2545" s="24"/>
      <c r="J2545" s="24"/>
      <c r="K2545" s="24"/>
      <c r="L2545" s="24"/>
      <c r="M2545" s="27" t="str">
        <f t="shared" si="159"/>
        <v/>
      </c>
      <c r="N2545" s="25"/>
      <c r="O2545" s="22"/>
      <c r="P2545" s="24"/>
      <c r="Q2545" s="26"/>
    </row>
    <row r="2546" spans="1:17" ht="15" x14ac:dyDescent="0.15">
      <c r="A2546" s="22"/>
      <c r="B2546" s="26" t="str">
        <f t="shared" si="156"/>
        <v/>
      </c>
      <c r="C2546" s="26" t="str">
        <f t="shared" si="157"/>
        <v/>
      </c>
      <c r="D2546" s="26" t="str">
        <f t="shared" si="158"/>
        <v/>
      </c>
      <c r="E2546" s="29"/>
      <c r="F2546" s="22"/>
      <c r="G2546" s="22"/>
      <c r="H2546" s="22"/>
      <c r="I2546" s="24"/>
      <c r="J2546" s="24"/>
      <c r="K2546" s="24"/>
      <c r="L2546" s="24"/>
      <c r="M2546" s="27" t="str">
        <f t="shared" si="159"/>
        <v/>
      </c>
      <c r="N2546" s="25"/>
      <c r="O2546" s="22"/>
      <c r="P2546" s="24"/>
      <c r="Q2546" s="26"/>
    </row>
    <row r="2547" spans="1:17" ht="15" x14ac:dyDescent="0.15">
      <c r="A2547" s="22"/>
      <c r="B2547" s="26" t="str">
        <f t="shared" si="156"/>
        <v/>
      </c>
      <c r="C2547" s="26" t="str">
        <f t="shared" si="157"/>
        <v/>
      </c>
      <c r="D2547" s="26" t="str">
        <f t="shared" si="158"/>
        <v/>
      </c>
      <c r="E2547" s="29"/>
      <c r="F2547" s="22"/>
      <c r="G2547" s="22"/>
      <c r="H2547" s="22"/>
      <c r="I2547" s="24"/>
      <c r="J2547" s="24"/>
      <c r="K2547" s="24"/>
      <c r="L2547" s="24"/>
      <c r="M2547" s="27" t="str">
        <f t="shared" si="159"/>
        <v/>
      </c>
      <c r="N2547" s="25"/>
      <c r="O2547" s="22"/>
      <c r="P2547" s="24"/>
      <c r="Q2547" s="26"/>
    </row>
    <row r="2548" spans="1:17" ht="15" x14ac:dyDescent="0.15">
      <c r="A2548" s="22"/>
      <c r="B2548" s="26" t="str">
        <f t="shared" si="156"/>
        <v/>
      </c>
      <c r="C2548" s="26" t="str">
        <f t="shared" si="157"/>
        <v/>
      </c>
      <c r="D2548" s="26" t="str">
        <f t="shared" si="158"/>
        <v/>
      </c>
      <c r="E2548" s="29"/>
      <c r="F2548" s="22"/>
      <c r="G2548" s="22"/>
      <c r="H2548" s="22"/>
      <c r="I2548" s="24"/>
      <c r="J2548" s="24"/>
      <c r="K2548" s="24"/>
      <c r="L2548" s="24"/>
      <c r="M2548" s="27" t="str">
        <f t="shared" si="159"/>
        <v/>
      </c>
      <c r="N2548" s="25"/>
      <c r="O2548" s="22"/>
      <c r="P2548" s="24"/>
      <c r="Q2548" s="26"/>
    </row>
    <row r="2549" spans="1:17" ht="15" x14ac:dyDescent="0.15">
      <c r="A2549" s="22"/>
      <c r="B2549" s="26" t="str">
        <f t="shared" si="156"/>
        <v/>
      </c>
      <c r="C2549" s="26" t="str">
        <f t="shared" si="157"/>
        <v/>
      </c>
      <c r="D2549" s="26" t="str">
        <f t="shared" si="158"/>
        <v/>
      </c>
      <c r="E2549" s="29"/>
      <c r="F2549" s="22"/>
      <c r="G2549" s="22"/>
      <c r="H2549" s="22"/>
      <c r="I2549" s="24"/>
      <c r="J2549" s="24"/>
      <c r="K2549" s="24"/>
      <c r="L2549" s="24"/>
      <c r="M2549" s="27" t="str">
        <f t="shared" si="159"/>
        <v/>
      </c>
      <c r="N2549" s="25"/>
      <c r="O2549" s="22"/>
      <c r="P2549" s="24"/>
      <c r="Q2549" s="26"/>
    </row>
    <row r="2550" spans="1:17" ht="15" x14ac:dyDescent="0.15">
      <c r="A2550" s="22"/>
      <c r="B2550" s="26" t="str">
        <f t="shared" si="156"/>
        <v/>
      </c>
      <c r="C2550" s="26" t="str">
        <f t="shared" si="157"/>
        <v/>
      </c>
      <c r="D2550" s="26" t="str">
        <f t="shared" si="158"/>
        <v/>
      </c>
      <c r="E2550" s="29"/>
      <c r="F2550" s="22"/>
      <c r="G2550" s="22"/>
      <c r="H2550" s="22"/>
      <c r="I2550" s="24"/>
      <c r="J2550" s="24"/>
      <c r="K2550" s="24"/>
      <c r="L2550" s="24"/>
      <c r="M2550" s="27" t="str">
        <f t="shared" si="159"/>
        <v/>
      </c>
      <c r="N2550" s="25"/>
      <c r="O2550" s="22"/>
      <c r="P2550" s="24"/>
      <c r="Q2550" s="26"/>
    </row>
    <row r="2551" spans="1:17" ht="15" x14ac:dyDescent="0.15">
      <c r="A2551" s="22"/>
      <c r="B2551" s="26" t="str">
        <f t="shared" si="156"/>
        <v/>
      </c>
      <c r="C2551" s="26" t="str">
        <f t="shared" si="157"/>
        <v/>
      </c>
      <c r="D2551" s="26" t="str">
        <f t="shared" si="158"/>
        <v/>
      </c>
      <c r="E2551" s="29"/>
      <c r="F2551" s="22"/>
      <c r="G2551" s="22"/>
      <c r="H2551" s="22"/>
      <c r="I2551" s="24"/>
      <c r="J2551" s="24"/>
      <c r="K2551" s="24"/>
      <c r="L2551" s="24"/>
      <c r="M2551" s="27" t="str">
        <f t="shared" si="159"/>
        <v/>
      </c>
      <c r="N2551" s="25"/>
      <c r="O2551" s="22"/>
      <c r="P2551" s="24"/>
      <c r="Q2551" s="26"/>
    </row>
    <row r="2552" spans="1:17" ht="15" x14ac:dyDescent="0.15">
      <c r="A2552" s="22"/>
      <c r="B2552" s="26" t="str">
        <f t="shared" si="156"/>
        <v/>
      </c>
      <c r="C2552" s="26" t="str">
        <f t="shared" si="157"/>
        <v/>
      </c>
      <c r="D2552" s="26" t="str">
        <f t="shared" si="158"/>
        <v/>
      </c>
      <c r="E2552" s="29"/>
      <c r="F2552" s="22"/>
      <c r="G2552" s="22"/>
      <c r="H2552" s="22"/>
      <c r="I2552" s="24"/>
      <c r="J2552" s="24"/>
      <c r="K2552" s="24"/>
      <c r="L2552" s="24"/>
      <c r="M2552" s="27" t="str">
        <f t="shared" si="159"/>
        <v/>
      </c>
      <c r="N2552" s="25"/>
      <c r="O2552" s="22"/>
      <c r="P2552" s="24"/>
      <c r="Q2552" s="26"/>
    </row>
    <row r="2553" spans="1:17" ht="15" x14ac:dyDescent="0.15">
      <c r="A2553" s="22"/>
      <c r="B2553" s="26" t="str">
        <f t="shared" si="156"/>
        <v/>
      </c>
      <c r="C2553" s="26" t="str">
        <f t="shared" si="157"/>
        <v/>
      </c>
      <c r="D2553" s="26" t="str">
        <f t="shared" si="158"/>
        <v/>
      </c>
      <c r="E2553" s="29"/>
      <c r="F2553" s="22"/>
      <c r="G2553" s="22"/>
      <c r="H2553" s="22"/>
      <c r="I2553" s="24"/>
      <c r="J2553" s="24"/>
      <c r="K2553" s="24"/>
      <c r="L2553" s="24"/>
      <c r="M2553" s="27" t="str">
        <f t="shared" si="159"/>
        <v/>
      </c>
      <c r="N2553" s="25"/>
      <c r="O2553" s="22"/>
      <c r="P2553" s="24"/>
      <c r="Q2553" s="26"/>
    </row>
    <row r="2554" spans="1:17" ht="15" x14ac:dyDescent="0.15">
      <c r="A2554" s="22"/>
      <c r="B2554" s="26" t="str">
        <f t="shared" si="156"/>
        <v/>
      </c>
      <c r="C2554" s="26" t="str">
        <f t="shared" si="157"/>
        <v/>
      </c>
      <c r="D2554" s="26" t="str">
        <f t="shared" si="158"/>
        <v/>
      </c>
      <c r="E2554" s="29"/>
      <c r="F2554" s="22"/>
      <c r="G2554" s="22"/>
      <c r="H2554" s="22"/>
      <c r="I2554" s="24"/>
      <c r="J2554" s="24"/>
      <c r="K2554" s="24"/>
      <c r="L2554" s="24"/>
      <c r="M2554" s="27" t="str">
        <f t="shared" si="159"/>
        <v/>
      </c>
      <c r="N2554" s="25"/>
      <c r="O2554" s="22"/>
      <c r="P2554" s="24"/>
      <c r="Q2554" s="26"/>
    </row>
    <row r="2555" spans="1:17" ht="15" x14ac:dyDescent="0.15">
      <c r="A2555" s="22"/>
      <c r="B2555" s="26" t="str">
        <f t="shared" si="156"/>
        <v/>
      </c>
      <c r="C2555" s="26" t="str">
        <f t="shared" si="157"/>
        <v/>
      </c>
      <c r="D2555" s="26" t="str">
        <f t="shared" si="158"/>
        <v/>
      </c>
      <c r="E2555" s="29"/>
      <c r="F2555" s="22"/>
      <c r="G2555" s="22"/>
      <c r="H2555" s="22"/>
      <c r="I2555" s="24"/>
      <c r="J2555" s="24"/>
      <c r="K2555" s="24"/>
      <c r="L2555" s="24"/>
      <c r="M2555" s="27" t="str">
        <f t="shared" si="159"/>
        <v/>
      </c>
      <c r="N2555" s="25"/>
      <c r="O2555" s="22"/>
      <c r="P2555" s="24"/>
      <c r="Q2555" s="26"/>
    </row>
    <row r="2556" spans="1:17" ht="15" x14ac:dyDescent="0.15">
      <c r="A2556" s="22"/>
      <c r="B2556" s="26" t="str">
        <f t="shared" si="156"/>
        <v/>
      </c>
      <c r="C2556" s="26" t="str">
        <f t="shared" si="157"/>
        <v/>
      </c>
      <c r="D2556" s="26" t="str">
        <f t="shared" si="158"/>
        <v/>
      </c>
      <c r="E2556" s="29"/>
      <c r="F2556" s="22"/>
      <c r="G2556" s="22"/>
      <c r="H2556" s="22"/>
      <c r="I2556" s="24"/>
      <c r="J2556" s="24"/>
      <c r="K2556" s="24"/>
      <c r="L2556" s="24"/>
      <c r="M2556" s="27" t="str">
        <f t="shared" si="159"/>
        <v/>
      </c>
      <c r="N2556" s="25"/>
      <c r="O2556" s="22"/>
      <c r="P2556" s="24"/>
      <c r="Q2556" s="26"/>
    </row>
    <row r="2557" spans="1:17" ht="15" x14ac:dyDescent="0.15">
      <c r="A2557" s="22"/>
      <c r="B2557" s="26" t="str">
        <f t="shared" si="156"/>
        <v/>
      </c>
      <c r="C2557" s="26" t="str">
        <f t="shared" si="157"/>
        <v/>
      </c>
      <c r="D2557" s="26" t="str">
        <f t="shared" si="158"/>
        <v/>
      </c>
      <c r="E2557" s="29"/>
      <c r="F2557" s="22"/>
      <c r="G2557" s="22"/>
      <c r="H2557" s="22"/>
      <c r="I2557" s="24"/>
      <c r="J2557" s="24"/>
      <c r="K2557" s="24"/>
      <c r="L2557" s="24"/>
      <c r="M2557" s="27" t="str">
        <f t="shared" si="159"/>
        <v/>
      </c>
      <c r="N2557" s="25"/>
      <c r="O2557" s="22"/>
      <c r="P2557" s="24"/>
      <c r="Q2557" s="26"/>
    </row>
    <row r="2558" spans="1:17" ht="15" x14ac:dyDescent="0.15">
      <c r="A2558" s="22"/>
      <c r="B2558" s="26" t="str">
        <f t="shared" si="156"/>
        <v/>
      </c>
      <c r="C2558" s="26" t="str">
        <f t="shared" si="157"/>
        <v/>
      </c>
      <c r="D2558" s="26" t="str">
        <f t="shared" si="158"/>
        <v/>
      </c>
      <c r="E2558" s="29"/>
      <c r="F2558" s="22"/>
      <c r="G2558" s="22"/>
      <c r="H2558" s="22"/>
      <c r="I2558" s="24"/>
      <c r="J2558" s="24"/>
      <c r="K2558" s="24"/>
      <c r="L2558" s="24"/>
      <c r="M2558" s="27" t="str">
        <f t="shared" si="159"/>
        <v/>
      </c>
      <c r="N2558" s="25"/>
      <c r="O2558" s="22"/>
      <c r="P2558" s="24"/>
      <c r="Q2558" s="26"/>
    </row>
    <row r="2559" spans="1:17" ht="15" x14ac:dyDescent="0.15">
      <c r="A2559" s="22"/>
      <c r="B2559" s="26" t="str">
        <f t="shared" si="156"/>
        <v/>
      </c>
      <c r="C2559" s="26" t="str">
        <f t="shared" si="157"/>
        <v/>
      </c>
      <c r="D2559" s="26" t="str">
        <f t="shared" si="158"/>
        <v/>
      </c>
      <c r="E2559" s="29"/>
      <c r="F2559" s="22"/>
      <c r="G2559" s="22"/>
      <c r="H2559" s="22"/>
      <c r="I2559" s="24"/>
      <c r="J2559" s="24"/>
      <c r="K2559" s="24"/>
      <c r="L2559" s="24"/>
      <c r="M2559" s="27" t="str">
        <f t="shared" si="159"/>
        <v/>
      </c>
      <c r="N2559" s="25"/>
      <c r="O2559" s="22"/>
      <c r="P2559" s="24"/>
      <c r="Q2559" s="26"/>
    </row>
    <row r="2560" spans="1:17" ht="15" x14ac:dyDescent="0.15">
      <c r="A2560" s="22"/>
      <c r="B2560" s="26" t="str">
        <f t="shared" si="156"/>
        <v/>
      </c>
      <c r="C2560" s="26" t="str">
        <f t="shared" si="157"/>
        <v/>
      </c>
      <c r="D2560" s="26" t="str">
        <f t="shared" si="158"/>
        <v/>
      </c>
      <c r="E2560" s="29"/>
      <c r="F2560" s="22"/>
      <c r="G2560" s="22"/>
      <c r="H2560" s="22"/>
      <c r="I2560" s="24"/>
      <c r="J2560" s="24"/>
      <c r="K2560" s="24"/>
      <c r="L2560" s="24"/>
      <c r="M2560" s="27" t="str">
        <f t="shared" si="159"/>
        <v/>
      </c>
      <c r="N2560" s="25"/>
      <c r="O2560" s="22"/>
      <c r="P2560" s="24"/>
      <c r="Q2560" s="26"/>
    </row>
    <row r="2561" spans="1:17" ht="15" x14ac:dyDescent="0.15">
      <c r="A2561" s="22"/>
      <c r="B2561" s="26" t="str">
        <f t="shared" si="156"/>
        <v/>
      </c>
      <c r="C2561" s="26" t="str">
        <f t="shared" si="157"/>
        <v/>
      </c>
      <c r="D2561" s="26" t="str">
        <f t="shared" si="158"/>
        <v/>
      </c>
      <c r="E2561" s="29"/>
      <c r="F2561" s="22"/>
      <c r="G2561" s="22"/>
      <c r="H2561" s="22"/>
      <c r="I2561" s="24"/>
      <c r="J2561" s="24"/>
      <c r="K2561" s="24"/>
      <c r="L2561" s="24"/>
      <c r="M2561" s="27" t="str">
        <f t="shared" si="159"/>
        <v/>
      </c>
      <c r="N2561" s="25"/>
      <c r="O2561" s="22"/>
      <c r="P2561" s="24"/>
      <c r="Q2561" s="26"/>
    </row>
    <row r="2562" spans="1:17" ht="15" x14ac:dyDescent="0.15">
      <c r="A2562" s="22"/>
      <c r="B2562" s="26" t="str">
        <f t="shared" si="156"/>
        <v/>
      </c>
      <c r="C2562" s="26" t="str">
        <f t="shared" si="157"/>
        <v/>
      </c>
      <c r="D2562" s="26" t="str">
        <f t="shared" si="158"/>
        <v/>
      </c>
      <c r="E2562" s="29"/>
      <c r="F2562" s="22"/>
      <c r="G2562" s="22"/>
      <c r="H2562" s="22"/>
      <c r="I2562" s="24"/>
      <c r="J2562" s="24"/>
      <c r="K2562" s="24"/>
      <c r="L2562" s="24"/>
      <c r="M2562" s="27" t="str">
        <f t="shared" si="159"/>
        <v/>
      </c>
      <c r="N2562" s="25"/>
      <c r="O2562" s="22"/>
      <c r="P2562" s="24"/>
      <c r="Q2562" s="26"/>
    </row>
    <row r="2563" spans="1:17" ht="15" x14ac:dyDescent="0.15">
      <c r="A2563" s="22"/>
      <c r="B2563" s="26" t="str">
        <f t="shared" si="156"/>
        <v/>
      </c>
      <c r="C2563" s="26" t="str">
        <f t="shared" si="157"/>
        <v/>
      </c>
      <c r="D2563" s="26" t="str">
        <f t="shared" si="158"/>
        <v/>
      </c>
      <c r="E2563" s="29"/>
      <c r="F2563" s="22"/>
      <c r="G2563" s="22"/>
      <c r="H2563" s="22"/>
      <c r="I2563" s="24"/>
      <c r="J2563" s="24"/>
      <c r="K2563" s="24"/>
      <c r="L2563" s="24"/>
      <c r="M2563" s="27" t="str">
        <f t="shared" si="159"/>
        <v/>
      </c>
      <c r="N2563" s="25"/>
      <c r="O2563" s="22"/>
      <c r="P2563" s="24"/>
      <c r="Q2563" s="26"/>
    </row>
    <row r="2564" spans="1:17" ht="15" x14ac:dyDescent="0.15">
      <c r="A2564" s="22"/>
      <c r="B2564" s="26" t="str">
        <f t="shared" si="156"/>
        <v/>
      </c>
      <c r="C2564" s="26" t="str">
        <f t="shared" si="157"/>
        <v/>
      </c>
      <c r="D2564" s="26" t="str">
        <f t="shared" si="158"/>
        <v/>
      </c>
      <c r="E2564" s="29"/>
      <c r="F2564" s="22"/>
      <c r="G2564" s="22"/>
      <c r="H2564" s="22"/>
      <c r="I2564" s="24"/>
      <c r="J2564" s="24"/>
      <c r="K2564" s="24"/>
      <c r="L2564" s="24"/>
      <c r="M2564" s="27" t="str">
        <f t="shared" si="159"/>
        <v/>
      </c>
      <c r="N2564" s="25"/>
      <c r="O2564" s="22"/>
      <c r="P2564" s="24"/>
      <c r="Q2564" s="26"/>
    </row>
    <row r="2565" spans="1:17" ht="15" x14ac:dyDescent="0.15">
      <c r="A2565" s="22"/>
      <c r="B2565" s="26" t="str">
        <f t="shared" si="156"/>
        <v/>
      </c>
      <c r="C2565" s="26" t="str">
        <f t="shared" si="157"/>
        <v/>
      </c>
      <c r="D2565" s="26" t="str">
        <f t="shared" si="158"/>
        <v/>
      </c>
      <c r="E2565" s="29"/>
      <c r="F2565" s="22"/>
      <c r="G2565" s="22"/>
      <c r="H2565" s="22"/>
      <c r="I2565" s="24"/>
      <c r="J2565" s="24"/>
      <c r="K2565" s="24"/>
      <c r="L2565" s="24"/>
      <c r="M2565" s="27" t="str">
        <f t="shared" si="159"/>
        <v/>
      </c>
      <c r="N2565" s="25"/>
      <c r="O2565" s="22"/>
      <c r="P2565" s="24"/>
      <c r="Q2565" s="26"/>
    </row>
    <row r="2566" spans="1:17" ht="15" x14ac:dyDescent="0.15">
      <c r="A2566" s="22"/>
      <c r="B2566" s="26" t="str">
        <f t="shared" si="156"/>
        <v/>
      </c>
      <c r="C2566" s="26" t="str">
        <f t="shared" si="157"/>
        <v/>
      </c>
      <c r="D2566" s="26" t="str">
        <f t="shared" si="158"/>
        <v/>
      </c>
      <c r="E2566" s="29"/>
      <c r="F2566" s="22"/>
      <c r="G2566" s="22"/>
      <c r="H2566" s="22"/>
      <c r="I2566" s="24"/>
      <c r="J2566" s="24"/>
      <c r="K2566" s="24"/>
      <c r="L2566" s="24"/>
      <c r="M2566" s="27" t="str">
        <f t="shared" si="159"/>
        <v/>
      </c>
      <c r="N2566" s="25"/>
      <c r="O2566" s="22"/>
      <c r="P2566" s="24"/>
      <c r="Q2566" s="26"/>
    </row>
    <row r="2567" spans="1:17" ht="15" x14ac:dyDescent="0.15">
      <c r="A2567" s="22"/>
      <c r="B2567" s="26" t="str">
        <f t="shared" ref="B2567:B2630" si="160">IFERROR(IF($A2567="","",LEFT($A2567,FIND(" | ",$A2567)-1)),"")</f>
        <v/>
      </c>
      <c r="C2567" s="26" t="str">
        <f t="shared" ref="C2567:C2630" si="161">IFERROR(IF($A2567="","",MID($A2567,FIND(" | ",$A2567)+3,FIND(" | ",$A2567,FIND(" | ",$A2567)+3)-FIND(" | ",$A2567)-3)),"")</f>
        <v/>
      </c>
      <c r="D2567" s="26" t="str">
        <f t="shared" ref="D2567:D2630" si="162">IFERROR(IF($A2567="","",RIGHT($A2567,LEN($A2567)-FIND(" | ",$A2567,FIND(" | ",$A2567)+3)-2)),"")</f>
        <v/>
      </c>
      <c r="E2567" s="29"/>
      <c r="F2567" s="22"/>
      <c r="G2567" s="22"/>
      <c r="H2567" s="22"/>
      <c r="I2567" s="24"/>
      <c r="J2567" s="24"/>
      <c r="K2567" s="24"/>
      <c r="L2567" s="24"/>
      <c r="M2567" s="27" t="str">
        <f t="shared" ref="M2567:M2630" si="163">IF($B2567="","",SUM($J2567,-$K2567,$L2567))</f>
        <v/>
      </c>
      <c r="N2567" s="25"/>
      <c r="O2567" s="22"/>
      <c r="P2567" s="24"/>
      <c r="Q2567" s="26"/>
    </row>
    <row r="2568" spans="1:17" ht="15" x14ac:dyDescent="0.15">
      <c r="A2568" s="22"/>
      <c r="B2568" s="26" t="str">
        <f t="shared" si="160"/>
        <v/>
      </c>
      <c r="C2568" s="26" t="str">
        <f t="shared" si="161"/>
        <v/>
      </c>
      <c r="D2568" s="26" t="str">
        <f t="shared" si="162"/>
        <v/>
      </c>
      <c r="E2568" s="29"/>
      <c r="F2568" s="22"/>
      <c r="G2568" s="22"/>
      <c r="H2568" s="22"/>
      <c r="I2568" s="24"/>
      <c r="J2568" s="24"/>
      <c r="K2568" s="24"/>
      <c r="L2568" s="24"/>
      <c r="M2568" s="27" t="str">
        <f t="shared" si="163"/>
        <v/>
      </c>
      <c r="N2568" s="25"/>
      <c r="O2568" s="22"/>
      <c r="P2568" s="24"/>
      <c r="Q2568" s="26"/>
    </row>
    <row r="2569" spans="1:17" ht="15" x14ac:dyDescent="0.15">
      <c r="A2569" s="22"/>
      <c r="B2569" s="26" t="str">
        <f t="shared" si="160"/>
        <v/>
      </c>
      <c r="C2569" s="26" t="str">
        <f t="shared" si="161"/>
        <v/>
      </c>
      <c r="D2569" s="26" t="str">
        <f t="shared" si="162"/>
        <v/>
      </c>
      <c r="E2569" s="29"/>
      <c r="F2569" s="22"/>
      <c r="G2569" s="22"/>
      <c r="H2569" s="22"/>
      <c r="I2569" s="24"/>
      <c r="J2569" s="24"/>
      <c r="K2569" s="24"/>
      <c r="L2569" s="24"/>
      <c r="M2569" s="27" t="str">
        <f t="shared" si="163"/>
        <v/>
      </c>
      <c r="N2569" s="25"/>
      <c r="O2569" s="22"/>
      <c r="P2569" s="24"/>
      <c r="Q2569" s="26"/>
    </row>
    <row r="2570" spans="1:17" ht="15" x14ac:dyDescent="0.15">
      <c r="A2570" s="22"/>
      <c r="B2570" s="26" t="str">
        <f t="shared" si="160"/>
        <v/>
      </c>
      <c r="C2570" s="26" t="str">
        <f t="shared" si="161"/>
        <v/>
      </c>
      <c r="D2570" s="26" t="str">
        <f t="shared" si="162"/>
        <v/>
      </c>
      <c r="E2570" s="29"/>
      <c r="F2570" s="22"/>
      <c r="G2570" s="22"/>
      <c r="H2570" s="22"/>
      <c r="I2570" s="24"/>
      <c r="J2570" s="24"/>
      <c r="K2570" s="24"/>
      <c r="L2570" s="24"/>
      <c r="M2570" s="27" t="str">
        <f t="shared" si="163"/>
        <v/>
      </c>
      <c r="N2570" s="25"/>
      <c r="O2570" s="22"/>
      <c r="P2570" s="24"/>
      <c r="Q2570" s="26"/>
    </row>
    <row r="2571" spans="1:17" ht="15" x14ac:dyDescent="0.15">
      <c r="A2571" s="22"/>
      <c r="B2571" s="26" t="str">
        <f t="shared" si="160"/>
        <v/>
      </c>
      <c r="C2571" s="26" t="str">
        <f t="shared" si="161"/>
        <v/>
      </c>
      <c r="D2571" s="26" t="str">
        <f t="shared" si="162"/>
        <v/>
      </c>
      <c r="E2571" s="29"/>
      <c r="F2571" s="22"/>
      <c r="G2571" s="22"/>
      <c r="H2571" s="22"/>
      <c r="I2571" s="24"/>
      <c r="J2571" s="24"/>
      <c r="K2571" s="24"/>
      <c r="L2571" s="24"/>
      <c r="M2571" s="27" t="str">
        <f t="shared" si="163"/>
        <v/>
      </c>
      <c r="N2571" s="25"/>
      <c r="O2571" s="22"/>
      <c r="P2571" s="24"/>
      <c r="Q2571" s="26"/>
    </row>
    <row r="2572" spans="1:17" ht="15" x14ac:dyDescent="0.15">
      <c r="A2572" s="22"/>
      <c r="B2572" s="26" t="str">
        <f t="shared" si="160"/>
        <v/>
      </c>
      <c r="C2572" s="26" t="str">
        <f t="shared" si="161"/>
        <v/>
      </c>
      <c r="D2572" s="26" t="str">
        <f t="shared" si="162"/>
        <v/>
      </c>
      <c r="E2572" s="29"/>
      <c r="F2572" s="22"/>
      <c r="G2572" s="22"/>
      <c r="H2572" s="22"/>
      <c r="I2572" s="24"/>
      <c r="J2572" s="24"/>
      <c r="K2572" s="24"/>
      <c r="L2572" s="24"/>
      <c r="M2572" s="27" t="str">
        <f t="shared" si="163"/>
        <v/>
      </c>
      <c r="N2572" s="25"/>
      <c r="O2572" s="22"/>
      <c r="P2572" s="24"/>
      <c r="Q2572" s="26"/>
    </row>
    <row r="2573" spans="1:17" ht="15" x14ac:dyDescent="0.15">
      <c r="A2573" s="22"/>
      <c r="B2573" s="26" t="str">
        <f t="shared" si="160"/>
        <v/>
      </c>
      <c r="C2573" s="26" t="str">
        <f t="shared" si="161"/>
        <v/>
      </c>
      <c r="D2573" s="26" t="str">
        <f t="shared" si="162"/>
        <v/>
      </c>
      <c r="E2573" s="29"/>
      <c r="F2573" s="22"/>
      <c r="G2573" s="22"/>
      <c r="H2573" s="22"/>
      <c r="I2573" s="24"/>
      <c r="J2573" s="24"/>
      <c r="K2573" s="24"/>
      <c r="L2573" s="24"/>
      <c r="M2573" s="27" t="str">
        <f t="shared" si="163"/>
        <v/>
      </c>
      <c r="N2573" s="25"/>
      <c r="O2573" s="22"/>
      <c r="P2573" s="24"/>
      <c r="Q2573" s="26"/>
    </row>
    <row r="2574" spans="1:17" ht="15" x14ac:dyDescent="0.15">
      <c r="A2574" s="22"/>
      <c r="B2574" s="26" t="str">
        <f t="shared" si="160"/>
        <v/>
      </c>
      <c r="C2574" s="26" t="str">
        <f t="shared" si="161"/>
        <v/>
      </c>
      <c r="D2574" s="26" t="str">
        <f t="shared" si="162"/>
        <v/>
      </c>
      <c r="E2574" s="29"/>
      <c r="F2574" s="22"/>
      <c r="G2574" s="22"/>
      <c r="H2574" s="22"/>
      <c r="I2574" s="24"/>
      <c r="J2574" s="24"/>
      <c r="K2574" s="24"/>
      <c r="L2574" s="24"/>
      <c r="M2574" s="27" t="str">
        <f t="shared" si="163"/>
        <v/>
      </c>
      <c r="N2574" s="25"/>
      <c r="O2574" s="22"/>
      <c r="P2574" s="24"/>
      <c r="Q2574" s="26"/>
    </row>
    <row r="2575" spans="1:17" ht="15" x14ac:dyDescent="0.15">
      <c r="A2575" s="22"/>
      <c r="B2575" s="26" t="str">
        <f t="shared" si="160"/>
        <v/>
      </c>
      <c r="C2575" s="26" t="str">
        <f t="shared" si="161"/>
        <v/>
      </c>
      <c r="D2575" s="26" t="str">
        <f t="shared" si="162"/>
        <v/>
      </c>
      <c r="E2575" s="29"/>
      <c r="F2575" s="22"/>
      <c r="G2575" s="22"/>
      <c r="H2575" s="22"/>
      <c r="I2575" s="24"/>
      <c r="J2575" s="24"/>
      <c r="K2575" s="24"/>
      <c r="L2575" s="24"/>
      <c r="M2575" s="27" t="str">
        <f t="shared" si="163"/>
        <v/>
      </c>
      <c r="N2575" s="25"/>
      <c r="O2575" s="22"/>
      <c r="P2575" s="24"/>
      <c r="Q2575" s="26"/>
    </row>
    <row r="2576" spans="1:17" ht="15" x14ac:dyDescent="0.15">
      <c r="A2576" s="22"/>
      <c r="B2576" s="26" t="str">
        <f t="shared" si="160"/>
        <v/>
      </c>
      <c r="C2576" s="26" t="str">
        <f t="shared" si="161"/>
        <v/>
      </c>
      <c r="D2576" s="26" t="str">
        <f t="shared" si="162"/>
        <v/>
      </c>
      <c r="E2576" s="29"/>
      <c r="F2576" s="22"/>
      <c r="G2576" s="22"/>
      <c r="H2576" s="22"/>
      <c r="I2576" s="24"/>
      <c r="J2576" s="24"/>
      <c r="K2576" s="24"/>
      <c r="L2576" s="24"/>
      <c r="M2576" s="27" t="str">
        <f t="shared" si="163"/>
        <v/>
      </c>
      <c r="N2576" s="25"/>
      <c r="O2576" s="22"/>
      <c r="P2576" s="24"/>
      <c r="Q2576" s="26"/>
    </row>
    <row r="2577" spans="1:17" ht="15" x14ac:dyDescent="0.15">
      <c r="A2577" s="22"/>
      <c r="B2577" s="26" t="str">
        <f t="shared" si="160"/>
        <v/>
      </c>
      <c r="C2577" s="26" t="str">
        <f t="shared" si="161"/>
        <v/>
      </c>
      <c r="D2577" s="26" t="str">
        <f t="shared" si="162"/>
        <v/>
      </c>
      <c r="E2577" s="29"/>
      <c r="F2577" s="22"/>
      <c r="G2577" s="22"/>
      <c r="H2577" s="22"/>
      <c r="I2577" s="24"/>
      <c r="J2577" s="24"/>
      <c r="K2577" s="24"/>
      <c r="L2577" s="24"/>
      <c r="M2577" s="27" t="str">
        <f t="shared" si="163"/>
        <v/>
      </c>
      <c r="N2577" s="25"/>
      <c r="O2577" s="22"/>
      <c r="P2577" s="24"/>
      <c r="Q2577" s="26"/>
    </row>
    <row r="2578" spans="1:17" ht="15" x14ac:dyDescent="0.15">
      <c r="A2578" s="22"/>
      <c r="B2578" s="26" t="str">
        <f t="shared" si="160"/>
        <v/>
      </c>
      <c r="C2578" s="26" t="str">
        <f t="shared" si="161"/>
        <v/>
      </c>
      <c r="D2578" s="26" t="str">
        <f t="shared" si="162"/>
        <v/>
      </c>
      <c r="E2578" s="29"/>
      <c r="F2578" s="22"/>
      <c r="G2578" s="22"/>
      <c r="H2578" s="22"/>
      <c r="I2578" s="24"/>
      <c r="J2578" s="24"/>
      <c r="K2578" s="24"/>
      <c r="L2578" s="24"/>
      <c r="M2578" s="27" t="str">
        <f t="shared" si="163"/>
        <v/>
      </c>
      <c r="N2578" s="25"/>
      <c r="O2578" s="22"/>
      <c r="P2578" s="24"/>
      <c r="Q2578" s="26"/>
    </row>
    <row r="2579" spans="1:17" ht="15" x14ac:dyDescent="0.15">
      <c r="A2579" s="22"/>
      <c r="B2579" s="26" t="str">
        <f t="shared" si="160"/>
        <v/>
      </c>
      <c r="C2579" s="26" t="str">
        <f t="shared" si="161"/>
        <v/>
      </c>
      <c r="D2579" s="26" t="str">
        <f t="shared" si="162"/>
        <v/>
      </c>
      <c r="E2579" s="29"/>
      <c r="F2579" s="22"/>
      <c r="G2579" s="22"/>
      <c r="H2579" s="22"/>
      <c r="I2579" s="24"/>
      <c r="J2579" s="24"/>
      <c r="K2579" s="24"/>
      <c r="L2579" s="24"/>
      <c r="M2579" s="27" t="str">
        <f t="shared" si="163"/>
        <v/>
      </c>
      <c r="N2579" s="25"/>
      <c r="O2579" s="22"/>
      <c r="P2579" s="24"/>
      <c r="Q2579" s="26"/>
    </row>
    <row r="2580" spans="1:17" ht="15" x14ac:dyDescent="0.15">
      <c r="A2580" s="22"/>
      <c r="B2580" s="26" t="str">
        <f t="shared" si="160"/>
        <v/>
      </c>
      <c r="C2580" s="26" t="str">
        <f t="shared" si="161"/>
        <v/>
      </c>
      <c r="D2580" s="26" t="str">
        <f t="shared" si="162"/>
        <v/>
      </c>
      <c r="E2580" s="29"/>
      <c r="F2580" s="22"/>
      <c r="G2580" s="22"/>
      <c r="H2580" s="22"/>
      <c r="I2580" s="24"/>
      <c r="J2580" s="24"/>
      <c r="K2580" s="24"/>
      <c r="L2580" s="24"/>
      <c r="M2580" s="27" t="str">
        <f t="shared" si="163"/>
        <v/>
      </c>
      <c r="N2580" s="25"/>
      <c r="O2580" s="22"/>
      <c r="P2580" s="24"/>
      <c r="Q2580" s="26"/>
    </row>
    <row r="2581" spans="1:17" ht="15" x14ac:dyDescent="0.15">
      <c r="A2581" s="22"/>
      <c r="B2581" s="26" t="str">
        <f t="shared" si="160"/>
        <v/>
      </c>
      <c r="C2581" s="26" t="str">
        <f t="shared" si="161"/>
        <v/>
      </c>
      <c r="D2581" s="26" t="str">
        <f t="shared" si="162"/>
        <v/>
      </c>
      <c r="E2581" s="29"/>
      <c r="F2581" s="22"/>
      <c r="G2581" s="22"/>
      <c r="H2581" s="22"/>
      <c r="I2581" s="24"/>
      <c r="J2581" s="24"/>
      <c r="K2581" s="24"/>
      <c r="L2581" s="24"/>
      <c r="M2581" s="27" t="str">
        <f t="shared" si="163"/>
        <v/>
      </c>
      <c r="N2581" s="25"/>
      <c r="O2581" s="22"/>
      <c r="P2581" s="24"/>
      <c r="Q2581" s="26"/>
    </row>
    <row r="2582" spans="1:17" ht="15" x14ac:dyDescent="0.15">
      <c r="A2582" s="22"/>
      <c r="B2582" s="26" t="str">
        <f t="shared" si="160"/>
        <v/>
      </c>
      <c r="C2582" s="26" t="str">
        <f t="shared" si="161"/>
        <v/>
      </c>
      <c r="D2582" s="26" t="str">
        <f t="shared" si="162"/>
        <v/>
      </c>
      <c r="E2582" s="29"/>
      <c r="F2582" s="22"/>
      <c r="G2582" s="22"/>
      <c r="H2582" s="22"/>
      <c r="I2582" s="24"/>
      <c r="J2582" s="24"/>
      <c r="K2582" s="24"/>
      <c r="L2582" s="24"/>
      <c r="M2582" s="27" t="str">
        <f t="shared" si="163"/>
        <v/>
      </c>
      <c r="N2582" s="25"/>
      <c r="O2582" s="22"/>
      <c r="P2582" s="24"/>
      <c r="Q2582" s="26"/>
    </row>
    <row r="2583" spans="1:17" ht="15" x14ac:dyDescent="0.15">
      <c r="A2583" s="22"/>
      <c r="B2583" s="26" t="str">
        <f t="shared" si="160"/>
        <v/>
      </c>
      <c r="C2583" s="26" t="str">
        <f t="shared" si="161"/>
        <v/>
      </c>
      <c r="D2583" s="26" t="str">
        <f t="shared" si="162"/>
        <v/>
      </c>
      <c r="E2583" s="29"/>
      <c r="F2583" s="22"/>
      <c r="G2583" s="22"/>
      <c r="H2583" s="22"/>
      <c r="I2583" s="24"/>
      <c r="J2583" s="24"/>
      <c r="K2583" s="24"/>
      <c r="L2583" s="24"/>
      <c r="M2583" s="27" t="str">
        <f t="shared" si="163"/>
        <v/>
      </c>
      <c r="N2583" s="25"/>
      <c r="O2583" s="22"/>
      <c r="P2583" s="24"/>
      <c r="Q2583" s="26"/>
    </row>
    <row r="2584" spans="1:17" ht="15" x14ac:dyDescent="0.15">
      <c r="A2584" s="22"/>
      <c r="B2584" s="26" t="str">
        <f t="shared" si="160"/>
        <v/>
      </c>
      <c r="C2584" s="26" t="str">
        <f t="shared" si="161"/>
        <v/>
      </c>
      <c r="D2584" s="26" t="str">
        <f t="shared" si="162"/>
        <v/>
      </c>
      <c r="E2584" s="29"/>
      <c r="F2584" s="22"/>
      <c r="G2584" s="22"/>
      <c r="H2584" s="22"/>
      <c r="I2584" s="24"/>
      <c r="J2584" s="24"/>
      <c r="K2584" s="24"/>
      <c r="L2584" s="24"/>
      <c r="M2584" s="27" t="str">
        <f t="shared" si="163"/>
        <v/>
      </c>
      <c r="N2584" s="25"/>
      <c r="O2584" s="22"/>
      <c r="P2584" s="24"/>
      <c r="Q2584" s="26"/>
    </row>
    <row r="2585" spans="1:17" ht="15" x14ac:dyDescent="0.15">
      <c r="A2585" s="22"/>
      <c r="B2585" s="26" t="str">
        <f t="shared" si="160"/>
        <v/>
      </c>
      <c r="C2585" s="26" t="str">
        <f t="shared" si="161"/>
        <v/>
      </c>
      <c r="D2585" s="26" t="str">
        <f t="shared" si="162"/>
        <v/>
      </c>
      <c r="E2585" s="29"/>
      <c r="F2585" s="22"/>
      <c r="G2585" s="22"/>
      <c r="H2585" s="22"/>
      <c r="I2585" s="24"/>
      <c r="J2585" s="24"/>
      <c r="K2585" s="24"/>
      <c r="L2585" s="24"/>
      <c r="M2585" s="27" t="str">
        <f t="shared" si="163"/>
        <v/>
      </c>
      <c r="N2585" s="25"/>
      <c r="O2585" s="22"/>
      <c r="P2585" s="24"/>
      <c r="Q2585" s="26"/>
    </row>
    <row r="2586" spans="1:17" ht="15" x14ac:dyDescent="0.15">
      <c r="A2586" s="22"/>
      <c r="B2586" s="26" t="str">
        <f t="shared" si="160"/>
        <v/>
      </c>
      <c r="C2586" s="26" t="str">
        <f t="shared" si="161"/>
        <v/>
      </c>
      <c r="D2586" s="26" t="str">
        <f t="shared" si="162"/>
        <v/>
      </c>
      <c r="E2586" s="29"/>
      <c r="F2586" s="22"/>
      <c r="G2586" s="22"/>
      <c r="H2586" s="22"/>
      <c r="I2586" s="24"/>
      <c r="J2586" s="24"/>
      <c r="K2586" s="24"/>
      <c r="L2586" s="24"/>
      <c r="M2586" s="27" t="str">
        <f t="shared" si="163"/>
        <v/>
      </c>
      <c r="N2586" s="25"/>
      <c r="O2586" s="22"/>
      <c r="P2586" s="24"/>
      <c r="Q2586" s="26"/>
    </row>
    <row r="2587" spans="1:17" ht="15" x14ac:dyDescent="0.15">
      <c r="A2587" s="22"/>
      <c r="B2587" s="26" t="str">
        <f t="shared" si="160"/>
        <v/>
      </c>
      <c r="C2587" s="26" t="str">
        <f t="shared" si="161"/>
        <v/>
      </c>
      <c r="D2587" s="26" t="str">
        <f t="shared" si="162"/>
        <v/>
      </c>
      <c r="E2587" s="29"/>
      <c r="F2587" s="22"/>
      <c r="G2587" s="22"/>
      <c r="H2587" s="22"/>
      <c r="I2587" s="24"/>
      <c r="J2587" s="24"/>
      <c r="K2587" s="24"/>
      <c r="L2587" s="24"/>
      <c r="M2587" s="27" t="str">
        <f t="shared" si="163"/>
        <v/>
      </c>
      <c r="N2587" s="25"/>
      <c r="O2587" s="22"/>
      <c r="P2587" s="24"/>
      <c r="Q2587" s="26"/>
    </row>
    <row r="2588" spans="1:17" ht="15" x14ac:dyDescent="0.15">
      <c r="A2588" s="22"/>
      <c r="B2588" s="26" t="str">
        <f t="shared" si="160"/>
        <v/>
      </c>
      <c r="C2588" s="26" t="str">
        <f t="shared" si="161"/>
        <v/>
      </c>
      <c r="D2588" s="26" t="str">
        <f t="shared" si="162"/>
        <v/>
      </c>
      <c r="E2588" s="29"/>
      <c r="F2588" s="22"/>
      <c r="G2588" s="22"/>
      <c r="H2588" s="22"/>
      <c r="I2588" s="24"/>
      <c r="J2588" s="24"/>
      <c r="K2588" s="24"/>
      <c r="L2588" s="24"/>
      <c r="M2588" s="27" t="str">
        <f t="shared" si="163"/>
        <v/>
      </c>
      <c r="N2588" s="25"/>
      <c r="O2588" s="22"/>
      <c r="P2588" s="24"/>
      <c r="Q2588" s="26"/>
    </row>
    <row r="2589" spans="1:17" ht="15" x14ac:dyDescent="0.15">
      <c r="A2589" s="22"/>
      <c r="B2589" s="26" t="str">
        <f t="shared" si="160"/>
        <v/>
      </c>
      <c r="C2589" s="26" t="str">
        <f t="shared" si="161"/>
        <v/>
      </c>
      <c r="D2589" s="26" t="str">
        <f t="shared" si="162"/>
        <v/>
      </c>
      <c r="E2589" s="29"/>
      <c r="F2589" s="22"/>
      <c r="G2589" s="22"/>
      <c r="H2589" s="22"/>
      <c r="I2589" s="24"/>
      <c r="J2589" s="24"/>
      <c r="K2589" s="24"/>
      <c r="L2589" s="24"/>
      <c r="M2589" s="27" t="str">
        <f t="shared" si="163"/>
        <v/>
      </c>
      <c r="N2589" s="25"/>
      <c r="O2589" s="22"/>
      <c r="P2589" s="24"/>
      <c r="Q2589" s="26"/>
    </row>
    <row r="2590" spans="1:17" ht="15" x14ac:dyDescent="0.15">
      <c r="A2590" s="22"/>
      <c r="B2590" s="26" t="str">
        <f t="shared" si="160"/>
        <v/>
      </c>
      <c r="C2590" s="26" t="str">
        <f t="shared" si="161"/>
        <v/>
      </c>
      <c r="D2590" s="26" t="str">
        <f t="shared" si="162"/>
        <v/>
      </c>
      <c r="E2590" s="29"/>
      <c r="F2590" s="22"/>
      <c r="G2590" s="22"/>
      <c r="H2590" s="22"/>
      <c r="I2590" s="24"/>
      <c r="J2590" s="24"/>
      <c r="K2590" s="24"/>
      <c r="L2590" s="24"/>
      <c r="M2590" s="27" t="str">
        <f t="shared" si="163"/>
        <v/>
      </c>
      <c r="N2590" s="25"/>
      <c r="O2590" s="22"/>
      <c r="P2590" s="24"/>
      <c r="Q2590" s="26"/>
    </row>
    <row r="2591" spans="1:17" ht="15" x14ac:dyDescent="0.15">
      <c r="A2591" s="22"/>
      <c r="B2591" s="26" t="str">
        <f t="shared" si="160"/>
        <v/>
      </c>
      <c r="C2591" s="26" t="str">
        <f t="shared" si="161"/>
        <v/>
      </c>
      <c r="D2591" s="26" t="str">
        <f t="shared" si="162"/>
        <v/>
      </c>
      <c r="E2591" s="29"/>
      <c r="F2591" s="22"/>
      <c r="G2591" s="22"/>
      <c r="H2591" s="22"/>
      <c r="I2591" s="24"/>
      <c r="J2591" s="24"/>
      <c r="K2591" s="24"/>
      <c r="L2591" s="24"/>
      <c r="M2591" s="27" t="str">
        <f t="shared" si="163"/>
        <v/>
      </c>
      <c r="N2591" s="25"/>
      <c r="O2591" s="22"/>
      <c r="P2591" s="24"/>
      <c r="Q2591" s="26"/>
    </row>
    <row r="2592" spans="1:17" ht="15" x14ac:dyDescent="0.15">
      <c r="A2592" s="22"/>
      <c r="B2592" s="26" t="str">
        <f t="shared" si="160"/>
        <v/>
      </c>
      <c r="C2592" s="26" t="str">
        <f t="shared" si="161"/>
        <v/>
      </c>
      <c r="D2592" s="26" t="str">
        <f t="shared" si="162"/>
        <v/>
      </c>
      <c r="E2592" s="29"/>
      <c r="F2592" s="22"/>
      <c r="G2592" s="22"/>
      <c r="H2592" s="22"/>
      <c r="I2592" s="24"/>
      <c r="J2592" s="24"/>
      <c r="K2592" s="24"/>
      <c r="L2592" s="24"/>
      <c r="M2592" s="27" t="str">
        <f t="shared" si="163"/>
        <v/>
      </c>
      <c r="N2592" s="25"/>
      <c r="O2592" s="22"/>
      <c r="P2592" s="24"/>
      <c r="Q2592" s="26"/>
    </row>
    <row r="2593" spans="1:17" ht="15" x14ac:dyDescent="0.15">
      <c r="A2593" s="22"/>
      <c r="B2593" s="26" t="str">
        <f t="shared" si="160"/>
        <v/>
      </c>
      <c r="C2593" s="26" t="str">
        <f t="shared" si="161"/>
        <v/>
      </c>
      <c r="D2593" s="26" t="str">
        <f t="shared" si="162"/>
        <v/>
      </c>
      <c r="E2593" s="29"/>
      <c r="F2593" s="22"/>
      <c r="G2593" s="22"/>
      <c r="H2593" s="22"/>
      <c r="I2593" s="24"/>
      <c r="J2593" s="24"/>
      <c r="K2593" s="24"/>
      <c r="L2593" s="24"/>
      <c r="M2593" s="27" t="str">
        <f t="shared" si="163"/>
        <v/>
      </c>
      <c r="N2593" s="25"/>
      <c r="O2593" s="22"/>
      <c r="P2593" s="24"/>
      <c r="Q2593" s="26"/>
    </row>
    <row r="2594" spans="1:17" ht="15" x14ac:dyDescent="0.15">
      <c r="A2594" s="22"/>
      <c r="B2594" s="26" t="str">
        <f t="shared" si="160"/>
        <v/>
      </c>
      <c r="C2594" s="26" t="str">
        <f t="shared" si="161"/>
        <v/>
      </c>
      <c r="D2594" s="26" t="str">
        <f t="shared" si="162"/>
        <v/>
      </c>
      <c r="E2594" s="29"/>
      <c r="F2594" s="22"/>
      <c r="G2594" s="22"/>
      <c r="H2594" s="22"/>
      <c r="I2594" s="24"/>
      <c r="J2594" s="24"/>
      <c r="K2594" s="24"/>
      <c r="L2594" s="24"/>
      <c r="M2594" s="27" t="str">
        <f t="shared" si="163"/>
        <v/>
      </c>
      <c r="N2594" s="25"/>
      <c r="O2594" s="22"/>
      <c r="P2594" s="24"/>
      <c r="Q2594" s="26"/>
    </row>
    <row r="2595" spans="1:17" ht="15" x14ac:dyDescent="0.15">
      <c r="A2595" s="22"/>
      <c r="B2595" s="26" t="str">
        <f t="shared" si="160"/>
        <v/>
      </c>
      <c r="C2595" s="26" t="str">
        <f t="shared" si="161"/>
        <v/>
      </c>
      <c r="D2595" s="26" t="str">
        <f t="shared" si="162"/>
        <v/>
      </c>
      <c r="E2595" s="29"/>
      <c r="F2595" s="22"/>
      <c r="G2595" s="22"/>
      <c r="H2595" s="22"/>
      <c r="I2595" s="24"/>
      <c r="J2595" s="24"/>
      <c r="K2595" s="24"/>
      <c r="L2595" s="24"/>
      <c r="M2595" s="27" t="str">
        <f t="shared" si="163"/>
        <v/>
      </c>
      <c r="N2595" s="25"/>
      <c r="O2595" s="22"/>
      <c r="P2595" s="24"/>
      <c r="Q2595" s="26"/>
    </row>
    <row r="2596" spans="1:17" ht="15" x14ac:dyDescent="0.15">
      <c r="A2596" s="22"/>
      <c r="B2596" s="26" t="str">
        <f t="shared" si="160"/>
        <v/>
      </c>
      <c r="C2596" s="26" t="str">
        <f t="shared" si="161"/>
        <v/>
      </c>
      <c r="D2596" s="26" t="str">
        <f t="shared" si="162"/>
        <v/>
      </c>
      <c r="E2596" s="29"/>
      <c r="F2596" s="22"/>
      <c r="G2596" s="22"/>
      <c r="H2596" s="22"/>
      <c r="I2596" s="24"/>
      <c r="J2596" s="24"/>
      <c r="K2596" s="24"/>
      <c r="L2596" s="24"/>
      <c r="M2596" s="27" t="str">
        <f t="shared" si="163"/>
        <v/>
      </c>
      <c r="N2596" s="25"/>
      <c r="O2596" s="22"/>
      <c r="P2596" s="24"/>
      <c r="Q2596" s="26"/>
    </row>
    <row r="2597" spans="1:17" ht="15" x14ac:dyDescent="0.15">
      <c r="A2597" s="22"/>
      <c r="B2597" s="26" t="str">
        <f t="shared" si="160"/>
        <v/>
      </c>
      <c r="C2597" s="26" t="str">
        <f t="shared" si="161"/>
        <v/>
      </c>
      <c r="D2597" s="26" t="str">
        <f t="shared" si="162"/>
        <v/>
      </c>
      <c r="E2597" s="29"/>
      <c r="F2597" s="22"/>
      <c r="G2597" s="22"/>
      <c r="H2597" s="22"/>
      <c r="I2597" s="24"/>
      <c r="J2597" s="24"/>
      <c r="K2597" s="24"/>
      <c r="L2597" s="24"/>
      <c r="M2597" s="27" t="str">
        <f t="shared" si="163"/>
        <v/>
      </c>
      <c r="N2597" s="25"/>
      <c r="O2597" s="22"/>
      <c r="P2597" s="24"/>
      <c r="Q2597" s="26"/>
    </row>
    <row r="2598" spans="1:17" ht="15" x14ac:dyDescent="0.15">
      <c r="A2598" s="22"/>
      <c r="B2598" s="26" t="str">
        <f t="shared" si="160"/>
        <v/>
      </c>
      <c r="C2598" s="26" t="str">
        <f t="shared" si="161"/>
        <v/>
      </c>
      <c r="D2598" s="26" t="str">
        <f t="shared" si="162"/>
        <v/>
      </c>
      <c r="E2598" s="29"/>
      <c r="F2598" s="22"/>
      <c r="G2598" s="22"/>
      <c r="H2598" s="22"/>
      <c r="I2598" s="24"/>
      <c r="J2598" s="24"/>
      <c r="K2598" s="24"/>
      <c r="L2598" s="24"/>
      <c r="M2598" s="27" t="str">
        <f t="shared" si="163"/>
        <v/>
      </c>
      <c r="N2598" s="25"/>
      <c r="O2598" s="22"/>
      <c r="P2598" s="24"/>
      <c r="Q2598" s="26"/>
    </row>
    <row r="2599" spans="1:17" ht="15" x14ac:dyDescent="0.15">
      <c r="A2599" s="22"/>
      <c r="B2599" s="26" t="str">
        <f t="shared" si="160"/>
        <v/>
      </c>
      <c r="C2599" s="26" t="str">
        <f t="shared" si="161"/>
        <v/>
      </c>
      <c r="D2599" s="26" t="str">
        <f t="shared" si="162"/>
        <v/>
      </c>
      <c r="E2599" s="29"/>
      <c r="F2599" s="22"/>
      <c r="G2599" s="22"/>
      <c r="H2599" s="22"/>
      <c r="I2599" s="24"/>
      <c r="J2599" s="24"/>
      <c r="K2599" s="24"/>
      <c r="L2599" s="24"/>
      <c r="M2599" s="27" t="str">
        <f t="shared" si="163"/>
        <v/>
      </c>
      <c r="N2599" s="25"/>
      <c r="O2599" s="22"/>
      <c r="P2599" s="24"/>
      <c r="Q2599" s="26"/>
    </row>
    <row r="2600" spans="1:17" ht="15" x14ac:dyDescent="0.15">
      <c r="A2600" s="22"/>
      <c r="B2600" s="26" t="str">
        <f t="shared" si="160"/>
        <v/>
      </c>
      <c r="C2600" s="26" t="str">
        <f t="shared" si="161"/>
        <v/>
      </c>
      <c r="D2600" s="26" t="str">
        <f t="shared" si="162"/>
        <v/>
      </c>
      <c r="E2600" s="29"/>
      <c r="F2600" s="22"/>
      <c r="G2600" s="22"/>
      <c r="H2600" s="22"/>
      <c r="I2600" s="24"/>
      <c r="J2600" s="24"/>
      <c r="K2600" s="24"/>
      <c r="L2600" s="24"/>
      <c r="M2600" s="27" t="str">
        <f t="shared" si="163"/>
        <v/>
      </c>
      <c r="N2600" s="25"/>
      <c r="O2600" s="22"/>
      <c r="P2600" s="24"/>
      <c r="Q2600" s="26"/>
    </row>
    <row r="2601" spans="1:17" ht="15" x14ac:dyDescent="0.15">
      <c r="A2601" s="22"/>
      <c r="B2601" s="26" t="str">
        <f t="shared" si="160"/>
        <v/>
      </c>
      <c r="C2601" s="26" t="str">
        <f t="shared" si="161"/>
        <v/>
      </c>
      <c r="D2601" s="26" t="str">
        <f t="shared" si="162"/>
        <v/>
      </c>
      <c r="E2601" s="29"/>
      <c r="F2601" s="22"/>
      <c r="G2601" s="22"/>
      <c r="H2601" s="22"/>
      <c r="I2601" s="24"/>
      <c r="J2601" s="24"/>
      <c r="K2601" s="24"/>
      <c r="L2601" s="24"/>
      <c r="M2601" s="27" t="str">
        <f t="shared" si="163"/>
        <v/>
      </c>
      <c r="N2601" s="25"/>
      <c r="O2601" s="22"/>
      <c r="P2601" s="24"/>
      <c r="Q2601" s="26"/>
    </row>
    <row r="2602" spans="1:17" ht="15" x14ac:dyDescent="0.15">
      <c r="A2602" s="22"/>
      <c r="B2602" s="26" t="str">
        <f t="shared" si="160"/>
        <v/>
      </c>
      <c r="C2602" s="26" t="str">
        <f t="shared" si="161"/>
        <v/>
      </c>
      <c r="D2602" s="26" t="str">
        <f t="shared" si="162"/>
        <v/>
      </c>
      <c r="E2602" s="29"/>
      <c r="F2602" s="22"/>
      <c r="G2602" s="22"/>
      <c r="H2602" s="22"/>
      <c r="I2602" s="24"/>
      <c r="J2602" s="24"/>
      <c r="K2602" s="24"/>
      <c r="L2602" s="24"/>
      <c r="M2602" s="27" t="str">
        <f t="shared" si="163"/>
        <v/>
      </c>
      <c r="N2602" s="25"/>
      <c r="O2602" s="22"/>
      <c r="P2602" s="24"/>
      <c r="Q2602" s="26"/>
    </row>
    <row r="2603" spans="1:17" ht="15" x14ac:dyDescent="0.15">
      <c r="A2603" s="22"/>
      <c r="B2603" s="26" t="str">
        <f t="shared" si="160"/>
        <v/>
      </c>
      <c r="C2603" s="26" t="str">
        <f t="shared" si="161"/>
        <v/>
      </c>
      <c r="D2603" s="26" t="str">
        <f t="shared" si="162"/>
        <v/>
      </c>
      <c r="E2603" s="29"/>
      <c r="F2603" s="22"/>
      <c r="G2603" s="22"/>
      <c r="H2603" s="22"/>
      <c r="I2603" s="24"/>
      <c r="J2603" s="24"/>
      <c r="K2603" s="24"/>
      <c r="L2603" s="24"/>
      <c r="M2603" s="27" t="str">
        <f t="shared" si="163"/>
        <v/>
      </c>
      <c r="N2603" s="25"/>
      <c r="O2603" s="22"/>
      <c r="P2603" s="24"/>
      <c r="Q2603" s="26"/>
    </row>
    <row r="2604" spans="1:17" ht="15" x14ac:dyDescent="0.15">
      <c r="A2604" s="22"/>
      <c r="B2604" s="26" t="str">
        <f t="shared" si="160"/>
        <v/>
      </c>
      <c r="C2604" s="26" t="str">
        <f t="shared" si="161"/>
        <v/>
      </c>
      <c r="D2604" s="26" t="str">
        <f t="shared" si="162"/>
        <v/>
      </c>
      <c r="E2604" s="29"/>
      <c r="F2604" s="22"/>
      <c r="G2604" s="22"/>
      <c r="H2604" s="22"/>
      <c r="I2604" s="24"/>
      <c r="J2604" s="24"/>
      <c r="K2604" s="24"/>
      <c r="L2604" s="24"/>
      <c r="M2604" s="27" t="str">
        <f t="shared" si="163"/>
        <v/>
      </c>
      <c r="N2604" s="25"/>
      <c r="O2604" s="22"/>
      <c r="P2604" s="24"/>
      <c r="Q2604" s="26"/>
    </row>
    <row r="2605" spans="1:17" ht="15" x14ac:dyDescent="0.15">
      <c r="A2605" s="22"/>
      <c r="B2605" s="26" t="str">
        <f t="shared" si="160"/>
        <v/>
      </c>
      <c r="C2605" s="26" t="str">
        <f t="shared" si="161"/>
        <v/>
      </c>
      <c r="D2605" s="26" t="str">
        <f t="shared" si="162"/>
        <v/>
      </c>
      <c r="E2605" s="29"/>
      <c r="F2605" s="22"/>
      <c r="G2605" s="22"/>
      <c r="H2605" s="22"/>
      <c r="I2605" s="24"/>
      <c r="J2605" s="24"/>
      <c r="K2605" s="24"/>
      <c r="L2605" s="24"/>
      <c r="M2605" s="27" t="str">
        <f t="shared" si="163"/>
        <v/>
      </c>
      <c r="N2605" s="25"/>
      <c r="O2605" s="22"/>
      <c r="P2605" s="24"/>
      <c r="Q2605" s="26"/>
    </row>
    <row r="2606" spans="1:17" ht="15" x14ac:dyDescent="0.15">
      <c r="A2606" s="22"/>
      <c r="B2606" s="26" t="str">
        <f t="shared" si="160"/>
        <v/>
      </c>
      <c r="C2606" s="26" t="str">
        <f t="shared" si="161"/>
        <v/>
      </c>
      <c r="D2606" s="26" t="str">
        <f t="shared" si="162"/>
        <v/>
      </c>
      <c r="E2606" s="29"/>
      <c r="F2606" s="22"/>
      <c r="G2606" s="22"/>
      <c r="H2606" s="22"/>
      <c r="I2606" s="24"/>
      <c r="J2606" s="24"/>
      <c r="K2606" s="24"/>
      <c r="L2606" s="24"/>
      <c r="M2606" s="27" t="str">
        <f t="shared" si="163"/>
        <v/>
      </c>
      <c r="N2606" s="25"/>
      <c r="O2606" s="22"/>
      <c r="P2606" s="24"/>
      <c r="Q2606" s="26"/>
    </row>
    <row r="2607" spans="1:17" ht="15" x14ac:dyDescent="0.15">
      <c r="A2607" s="22"/>
      <c r="B2607" s="26" t="str">
        <f t="shared" si="160"/>
        <v/>
      </c>
      <c r="C2607" s="26" t="str">
        <f t="shared" si="161"/>
        <v/>
      </c>
      <c r="D2607" s="26" t="str">
        <f t="shared" si="162"/>
        <v/>
      </c>
      <c r="E2607" s="29"/>
      <c r="F2607" s="22"/>
      <c r="G2607" s="22"/>
      <c r="H2607" s="22"/>
      <c r="I2607" s="24"/>
      <c r="J2607" s="24"/>
      <c r="K2607" s="24"/>
      <c r="L2607" s="24"/>
      <c r="M2607" s="27" t="str">
        <f t="shared" si="163"/>
        <v/>
      </c>
      <c r="N2607" s="25"/>
      <c r="O2607" s="22"/>
      <c r="P2607" s="24"/>
      <c r="Q2607" s="26"/>
    </row>
    <row r="2608" spans="1:17" ht="15" x14ac:dyDescent="0.15">
      <c r="A2608" s="22"/>
      <c r="B2608" s="26" t="str">
        <f t="shared" si="160"/>
        <v/>
      </c>
      <c r="C2608" s="26" t="str">
        <f t="shared" si="161"/>
        <v/>
      </c>
      <c r="D2608" s="26" t="str">
        <f t="shared" si="162"/>
        <v/>
      </c>
      <c r="E2608" s="29"/>
      <c r="F2608" s="22"/>
      <c r="G2608" s="22"/>
      <c r="H2608" s="22"/>
      <c r="I2608" s="24"/>
      <c r="J2608" s="24"/>
      <c r="K2608" s="24"/>
      <c r="L2608" s="24"/>
      <c r="M2608" s="27" t="str">
        <f t="shared" si="163"/>
        <v/>
      </c>
      <c r="N2608" s="25"/>
      <c r="O2608" s="22"/>
      <c r="P2608" s="24"/>
      <c r="Q2608" s="26"/>
    </row>
    <row r="2609" spans="1:17" ht="15" x14ac:dyDescent="0.15">
      <c r="A2609" s="22"/>
      <c r="B2609" s="26" t="str">
        <f t="shared" si="160"/>
        <v/>
      </c>
      <c r="C2609" s="26" t="str">
        <f t="shared" si="161"/>
        <v/>
      </c>
      <c r="D2609" s="26" t="str">
        <f t="shared" si="162"/>
        <v/>
      </c>
      <c r="E2609" s="29"/>
      <c r="F2609" s="22"/>
      <c r="G2609" s="22"/>
      <c r="H2609" s="22"/>
      <c r="I2609" s="24"/>
      <c r="J2609" s="24"/>
      <c r="K2609" s="24"/>
      <c r="L2609" s="24"/>
      <c r="M2609" s="27" t="str">
        <f t="shared" si="163"/>
        <v/>
      </c>
      <c r="N2609" s="25"/>
      <c r="O2609" s="22"/>
      <c r="P2609" s="24"/>
      <c r="Q2609" s="26"/>
    </row>
    <row r="2610" spans="1:17" ht="15" x14ac:dyDescent="0.15">
      <c r="A2610" s="22"/>
      <c r="B2610" s="26" t="str">
        <f t="shared" si="160"/>
        <v/>
      </c>
      <c r="C2610" s="26" t="str">
        <f t="shared" si="161"/>
        <v/>
      </c>
      <c r="D2610" s="26" t="str">
        <f t="shared" si="162"/>
        <v/>
      </c>
      <c r="E2610" s="29"/>
      <c r="F2610" s="22"/>
      <c r="G2610" s="22"/>
      <c r="H2610" s="22"/>
      <c r="I2610" s="24"/>
      <c r="J2610" s="24"/>
      <c r="K2610" s="24"/>
      <c r="L2610" s="24"/>
      <c r="M2610" s="27" t="str">
        <f t="shared" si="163"/>
        <v/>
      </c>
      <c r="N2610" s="25"/>
      <c r="O2610" s="22"/>
      <c r="P2610" s="24"/>
      <c r="Q2610" s="26"/>
    </row>
    <row r="2611" spans="1:17" ht="15" x14ac:dyDescent="0.15">
      <c r="A2611" s="22"/>
      <c r="B2611" s="26" t="str">
        <f t="shared" si="160"/>
        <v/>
      </c>
      <c r="C2611" s="26" t="str">
        <f t="shared" si="161"/>
        <v/>
      </c>
      <c r="D2611" s="26" t="str">
        <f t="shared" si="162"/>
        <v/>
      </c>
      <c r="E2611" s="29"/>
      <c r="F2611" s="22"/>
      <c r="G2611" s="22"/>
      <c r="H2611" s="22"/>
      <c r="I2611" s="24"/>
      <c r="J2611" s="24"/>
      <c r="K2611" s="24"/>
      <c r="L2611" s="24"/>
      <c r="M2611" s="27" t="str">
        <f t="shared" si="163"/>
        <v/>
      </c>
      <c r="N2611" s="25"/>
      <c r="O2611" s="22"/>
      <c r="P2611" s="24"/>
      <c r="Q2611" s="26"/>
    </row>
    <row r="2612" spans="1:17" ht="15" x14ac:dyDescent="0.15">
      <c r="A2612" s="22"/>
      <c r="B2612" s="26" t="str">
        <f t="shared" si="160"/>
        <v/>
      </c>
      <c r="C2612" s="26" t="str">
        <f t="shared" si="161"/>
        <v/>
      </c>
      <c r="D2612" s="26" t="str">
        <f t="shared" si="162"/>
        <v/>
      </c>
      <c r="E2612" s="29"/>
      <c r="F2612" s="22"/>
      <c r="G2612" s="22"/>
      <c r="H2612" s="22"/>
      <c r="I2612" s="24"/>
      <c r="J2612" s="24"/>
      <c r="K2612" s="24"/>
      <c r="L2612" s="24"/>
      <c r="M2612" s="27" t="str">
        <f t="shared" si="163"/>
        <v/>
      </c>
      <c r="N2612" s="25"/>
      <c r="O2612" s="22"/>
      <c r="P2612" s="24"/>
      <c r="Q2612" s="26"/>
    </row>
    <row r="2613" spans="1:17" ht="15" x14ac:dyDescent="0.15">
      <c r="A2613" s="22"/>
      <c r="B2613" s="26" t="str">
        <f t="shared" si="160"/>
        <v/>
      </c>
      <c r="C2613" s="26" t="str">
        <f t="shared" si="161"/>
        <v/>
      </c>
      <c r="D2613" s="26" t="str">
        <f t="shared" si="162"/>
        <v/>
      </c>
      <c r="E2613" s="29"/>
      <c r="F2613" s="22"/>
      <c r="G2613" s="22"/>
      <c r="H2613" s="22"/>
      <c r="I2613" s="24"/>
      <c r="J2613" s="24"/>
      <c r="K2613" s="24"/>
      <c r="L2613" s="24"/>
      <c r="M2613" s="27" t="str">
        <f t="shared" si="163"/>
        <v/>
      </c>
      <c r="N2613" s="25"/>
      <c r="O2613" s="22"/>
      <c r="P2613" s="24"/>
      <c r="Q2613" s="26"/>
    </row>
    <row r="2614" spans="1:17" ht="15" x14ac:dyDescent="0.15">
      <c r="A2614" s="22"/>
      <c r="B2614" s="26" t="str">
        <f t="shared" si="160"/>
        <v/>
      </c>
      <c r="C2614" s="26" t="str">
        <f t="shared" si="161"/>
        <v/>
      </c>
      <c r="D2614" s="26" t="str">
        <f t="shared" si="162"/>
        <v/>
      </c>
      <c r="E2614" s="29"/>
      <c r="F2614" s="22"/>
      <c r="G2614" s="22"/>
      <c r="H2614" s="22"/>
      <c r="I2614" s="24"/>
      <c r="J2614" s="24"/>
      <c r="K2614" s="24"/>
      <c r="L2614" s="24"/>
      <c r="M2614" s="27" t="str">
        <f t="shared" si="163"/>
        <v/>
      </c>
      <c r="N2614" s="25"/>
      <c r="O2614" s="22"/>
      <c r="P2614" s="24"/>
      <c r="Q2614" s="26"/>
    </row>
    <row r="2615" spans="1:17" ht="15" x14ac:dyDescent="0.15">
      <c r="A2615" s="22"/>
      <c r="B2615" s="26" t="str">
        <f t="shared" si="160"/>
        <v/>
      </c>
      <c r="C2615" s="26" t="str">
        <f t="shared" si="161"/>
        <v/>
      </c>
      <c r="D2615" s="26" t="str">
        <f t="shared" si="162"/>
        <v/>
      </c>
      <c r="E2615" s="29"/>
      <c r="F2615" s="22"/>
      <c r="G2615" s="22"/>
      <c r="H2615" s="22"/>
      <c r="I2615" s="24"/>
      <c r="J2615" s="24"/>
      <c r="K2615" s="24"/>
      <c r="L2615" s="24"/>
      <c r="M2615" s="27" t="str">
        <f t="shared" si="163"/>
        <v/>
      </c>
      <c r="N2615" s="25"/>
      <c r="O2615" s="22"/>
      <c r="P2615" s="24"/>
      <c r="Q2615" s="26"/>
    </row>
    <row r="2616" spans="1:17" ht="15" x14ac:dyDescent="0.15">
      <c r="A2616" s="22"/>
      <c r="B2616" s="26" t="str">
        <f t="shared" si="160"/>
        <v/>
      </c>
      <c r="C2616" s="26" t="str">
        <f t="shared" si="161"/>
        <v/>
      </c>
      <c r="D2616" s="26" t="str">
        <f t="shared" si="162"/>
        <v/>
      </c>
      <c r="E2616" s="29"/>
      <c r="F2616" s="22"/>
      <c r="G2616" s="22"/>
      <c r="H2616" s="22"/>
      <c r="I2616" s="24"/>
      <c r="J2616" s="24"/>
      <c r="K2616" s="24"/>
      <c r="L2616" s="24"/>
      <c r="M2616" s="27" t="str">
        <f t="shared" si="163"/>
        <v/>
      </c>
      <c r="N2616" s="25"/>
      <c r="O2616" s="22"/>
      <c r="P2616" s="24"/>
      <c r="Q2616" s="26"/>
    </row>
    <row r="2617" spans="1:17" ht="15" x14ac:dyDescent="0.15">
      <c r="A2617" s="22"/>
      <c r="B2617" s="26" t="str">
        <f t="shared" si="160"/>
        <v/>
      </c>
      <c r="C2617" s="26" t="str">
        <f t="shared" si="161"/>
        <v/>
      </c>
      <c r="D2617" s="26" t="str">
        <f t="shared" si="162"/>
        <v/>
      </c>
      <c r="E2617" s="29"/>
      <c r="F2617" s="22"/>
      <c r="G2617" s="22"/>
      <c r="H2617" s="22"/>
      <c r="I2617" s="24"/>
      <c r="J2617" s="24"/>
      <c r="K2617" s="24"/>
      <c r="L2617" s="24"/>
      <c r="M2617" s="27" t="str">
        <f t="shared" si="163"/>
        <v/>
      </c>
      <c r="N2617" s="25"/>
      <c r="O2617" s="22"/>
      <c r="P2617" s="24"/>
      <c r="Q2617" s="26"/>
    </row>
    <row r="2618" spans="1:17" ht="15" x14ac:dyDescent="0.15">
      <c r="A2618" s="22"/>
      <c r="B2618" s="26" t="str">
        <f t="shared" si="160"/>
        <v/>
      </c>
      <c r="C2618" s="26" t="str">
        <f t="shared" si="161"/>
        <v/>
      </c>
      <c r="D2618" s="26" t="str">
        <f t="shared" si="162"/>
        <v/>
      </c>
      <c r="E2618" s="29"/>
      <c r="F2618" s="22"/>
      <c r="G2618" s="22"/>
      <c r="H2618" s="22"/>
      <c r="I2618" s="24"/>
      <c r="J2618" s="24"/>
      <c r="K2618" s="24"/>
      <c r="L2618" s="24"/>
      <c r="M2618" s="27" t="str">
        <f t="shared" si="163"/>
        <v/>
      </c>
      <c r="N2618" s="25"/>
      <c r="O2618" s="22"/>
      <c r="P2618" s="24"/>
      <c r="Q2618" s="26"/>
    </row>
    <row r="2619" spans="1:17" ht="15" x14ac:dyDescent="0.15">
      <c r="A2619" s="22"/>
      <c r="B2619" s="26" t="str">
        <f t="shared" si="160"/>
        <v/>
      </c>
      <c r="C2619" s="26" t="str">
        <f t="shared" si="161"/>
        <v/>
      </c>
      <c r="D2619" s="26" t="str">
        <f t="shared" si="162"/>
        <v/>
      </c>
      <c r="E2619" s="29"/>
      <c r="F2619" s="22"/>
      <c r="G2619" s="22"/>
      <c r="H2619" s="22"/>
      <c r="I2619" s="24"/>
      <c r="J2619" s="24"/>
      <c r="K2619" s="24"/>
      <c r="L2619" s="24"/>
      <c r="M2619" s="27" t="str">
        <f t="shared" si="163"/>
        <v/>
      </c>
      <c r="N2619" s="25"/>
      <c r="O2619" s="22"/>
      <c r="P2619" s="24"/>
      <c r="Q2619" s="26"/>
    </row>
    <row r="2620" spans="1:17" ht="15" x14ac:dyDescent="0.15">
      <c r="A2620" s="22"/>
      <c r="B2620" s="26" t="str">
        <f t="shared" si="160"/>
        <v/>
      </c>
      <c r="C2620" s="26" t="str">
        <f t="shared" si="161"/>
        <v/>
      </c>
      <c r="D2620" s="26" t="str">
        <f t="shared" si="162"/>
        <v/>
      </c>
      <c r="E2620" s="29"/>
      <c r="F2620" s="22"/>
      <c r="G2620" s="22"/>
      <c r="H2620" s="22"/>
      <c r="I2620" s="24"/>
      <c r="J2620" s="24"/>
      <c r="K2620" s="24"/>
      <c r="L2620" s="24"/>
      <c r="M2620" s="27" t="str">
        <f t="shared" si="163"/>
        <v/>
      </c>
      <c r="N2620" s="25"/>
      <c r="O2620" s="22"/>
      <c r="P2620" s="24"/>
      <c r="Q2620" s="26"/>
    </row>
    <row r="2621" spans="1:17" ht="15" x14ac:dyDescent="0.15">
      <c r="A2621" s="22"/>
      <c r="B2621" s="26" t="str">
        <f t="shared" si="160"/>
        <v/>
      </c>
      <c r="C2621" s="26" t="str">
        <f t="shared" si="161"/>
        <v/>
      </c>
      <c r="D2621" s="26" t="str">
        <f t="shared" si="162"/>
        <v/>
      </c>
      <c r="E2621" s="29"/>
      <c r="F2621" s="22"/>
      <c r="G2621" s="22"/>
      <c r="H2621" s="22"/>
      <c r="I2621" s="24"/>
      <c r="J2621" s="24"/>
      <c r="K2621" s="24"/>
      <c r="L2621" s="24"/>
      <c r="M2621" s="27" t="str">
        <f t="shared" si="163"/>
        <v/>
      </c>
      <c r="N2621" s="25"/>
      <c r="O2621" s="22"/>
      <c r="P2621" s="24"/>
      <c r="Q2621" s="26"/>
    </row>
    <row r="2622" spans="1:17" ht="15" x14ac:dyDescent="0.15">
      <c r="A2622" s="22"/>
      <c r="B2622" s="26" t="str">
        <f t="shared" si="160"/>
        <v/>
      </c>
      <c r="C2622" s="26" t="str">
        <f t="shared" si="161"/>
        <v/>
      </c>
      <c r="D2622" s="26" t="str">
        <f t="shared" si="162"/>
        <v/>
      </c>
      <c r="E2622" s="29"/>
      <c r="F2622" s="22"/>
      <c r="G2622" s="22"/>
      <c r="H2622" s="22"/>
      <c r="I2622" s="24"/>
      <c r="J2622" s="24"/>
      <c r="K2622" s="24"/>
      <c r="L2622" s="24"/>
      <c r="M2622" s="27" t="str">
        <f t="shared" si="163"/>
        <v/>
      </c>
      <c r="N2622" s="25"/>
      <c r="O2622" s="22"/>
      <c r="P2622" s="24"/>
      <c r="Q2622" s="26"/>
    </row>
    <row r="2623" spans="1:17" ht="15" x14ac:dyDescent="0.15">
      <c r="A2623" s="22"/>
      <c r="B2623" s="26" t="str">
        <f t="shared" si="160"/>
        <v/>
      </c>
      <c r="C2623" s="26" t="str">
        <f t="shared" si="161"/>
        <v/>
      </c>
      <c r="D2623" s="26" t="str">
        <f t="shared" si="162"/>
        <v/>
      </c>
      <c r="E2623" s="29"/>
      <c r="F2623" s="22"/>
      <c r="G2623" s="22"/>
      <c r="H2623" s="22"/>
      <c r="I2623" s="24"/>
      <c r="J2623" s="24"/>
      <c r="K2623" s="24"/>
      <c r="L2623" s="24"/>
      <c r="M2623" s="27" t="str">
        <f t="shared" si="163"/>
        <v/>
      </c>
      <c r="N2623" s="25"/>
      <c r="O2623" s="22"/>
      <c r="P2623" s="24"/>
      <c r="Q2623" s="26"/>
    </row>
    <row r="2624" spans="1:17" ht="15" x14ac:dyDescent="0.15">
      <c r="A2624" s="22"/>
      <c r="B2624" s="26" t="str">
        <f t="shared" si="160"/>
        <v/>
      </c>
      <c r="C2624" s="26" t="str">
        <f t="shared" si="161"/>
        <v/>
      </c>
      <c r="D2624" s="26" t="str">
        <f t="shared" si="162"/>
        <v/>
      </c>
      <c r="E2624" s="29"/>
      <c r="F2624" s="22"/>
      <c r="G2624" s="22"/>
      <c r="H2624" s="22"/>
      <c r="I2624" s="24"/>
      <c r="J2624" s="24"/>
      <c r="K2624" s="24"/>
      <c r="L2624" s="24"/>
      <c r="M2624" s="27" t="str">
        <f t="shared" si="163"/>
        <v/>
      </c>
      <c r="N2624" s="25"/>
      <c r="O2624" s="22"/>
      <c r="P2624" s="24"/>
      <c r="Q2624" s="26"/>
    </row>
    <row r="2625" spans="1:17" ht="15" x14ac:dyDescent="0.15">
      <c r="A2625" s="22"/>
      <c r="B2625" s="26" t="str">
        <f t="shared" si="160"/>
        <v/>
      </c>
      <c r="C2625" s="26" t="str">
        <f t="shared" si="161"/>
        <v/>
      </c>
      <c r="D2625" s="26" t="str">
        <f t="shared" si="162"/>
        <v/>
      </c>
      <c r="E2625" s="29"/>
      <c r="F2625" s="22"/>
      <c r="G2625" s="22"/>
      <c r="H2625" s="22"/>
      <c r="I2625" s="24"/>
      <c r="J2625" s="24"/>
      <c r="K2625" s="24"/>
      <c r="L2625" s="24"/>
      <c r="M2625" s="27" t="str">
        <f t="shared" si="163"/>
        <v/>
      </c>
      <c r="N2625" s="25"/>
      <c r="O2625" s="22"/>
      <c r="P2625" s="24"/>
      <c r="Q2625" s="26"/>
    </row>
    <row r="2626" spans="1:17" ht="15" x14ac:dyDescent="0.15">
      <c r="A2626" s="22"/>
      <c r="B2626" s="26" t="str">
        <f t="shared" si="160"/>
        <v/>
      </c>
      <c r="C2626" s="26" t="str">
        <f t="shared" si="161"/>
        <v/>
      </c>
      <c r="D2626" s="26" t="str">
        <f t="shared" si="162"/>
        <v/>
      </c>
      <c r="E2626" s="29"/>
      <c r="F2626" s="22"/>
      <c r="G2626" s="22"/>
      <c r="H2626" s="22"/>
      <c r="I2626" s="24"/>
      <c r="J2626" s="24"/>
      <c r="K2626" s="24"/>
      <c r="L2626" s="24"/>
      <c r="M2626" s="27" t="str">
        <f t="shared" si="163"/>
        <v/>
      </c>
      <c r="N2626" s="25"/>
      <c r="O2626" s="22"/>
      <c r="P2626" s="24"/>
      <c r="Q2626" s="26"/>
    </row>
    <row r="2627" spans="1:17" ht="15" x14ac:dyDescent="0.15">
      <c r="A2627" s="22"/>
      <c r="B2627" s="26" t="str">
        <f t="shared" si="160"/>
        <v/>
      </c>
      <c r="C2627" s="26" t="str">
        <f t="shared" si="161"/>
        <v/>
      </c>
      <c r="D2627" s="26" t="str">
        <f t="shared" si="162"/>
        <v/>
      </c>
      <c r="E2627" s="29"/>
      <c r="F2627" s="22"/>
      <c r="G2627" s="22"/>
      <c r="H2627" s="22"/>
      <c r="I2627" s="24"/>
      <c r="J2627" s="24"/>
      <c r="K2627" s="24"/>
      <c r="L2627" s="24"/>
      <c r="M2627" s="27" t="str">
        <f t="shared" si="163"/>
        <v/>
      </c>
      <c r="N2627" s="25"/>
      <c r="O2627" s="22"/>
      <c r="P2627" s="24"/>
      <c r="Q2627" s="26"/>
    </row>
    <row r="2628" spans="1:17" ht="15" x14ac:dyDescent="0.15">
      <c r="A2628" s="22"/>
      <c r="B2628" s="26" t="str">
        <f t="shared" si="160"/>
        <v/>
      </c>
      <c r="C2628" s="26" t="str">
        <f t="shared" si="161"/>
        <v/>
      </c>
      <c r="D2628" s="26" t="str">
        <f t="shared" si="162"/>
        <v/>
      </c>
      <c r="E2628" s="29"/>
      <c r="F2628" s="22"/>
      <c r="G2628" s="22"/>
      <c r="H2628" s="22"/>
      <c r="I2628" s="24"/>
      <c r="J2628" s="24"/>
      <c r="K2628" s="24"/>
      <c r="L2628" s="24"/>
      <c r="M2628" s="27" t="str">
        <f t="shared" si="163"/>
        <v/>
      </c>
      <c r="N2628" s="25"/>
      <c r="O2628" s="22"/>
      <c r="P2628" s="24"/>
      <c r="Q2628" s="26"/>
    </row>
    <row r="2629" spans="1:17" ht="15" x14ac:dyDescent="0.15">
      <c r="A2629" s="22"/>
      <c r="B2629" s="26" t="str">
        <f t="shared" si="160"/>
        <v/>
      </c>
      <c r="C2629" s="26" t="str">
        <f t="shared" si="161"/>
        <v/>
      </c>
      <c r="D2629" s="26" t="str">
        <f t="shared" si="162"/>
        <v/>
      </c>
      <c r="E2629" s="29"/>
      <c r="F2629" s="22"/>
      <c r="G2629" s="22"/>
      <c r="H2629" s="22"/>
      <c r="I2629" s="24"/>
      <c r="J2629" s="24"/>
      <c r="K2629" s="24"/>
      <c r="L2629" s="24"/>
      <c r="M2629" s="27" t="str">
        <f t="shared" si="163"/>
        <v/>
      </c>
      <c r="N2629" s="25"/>
      <c r="O2629" s="22"/>
      <c r="P2629" s="24"/>
      <c r="Q2629" s="26"/>
    </row>
    <row r="2630" spans="1:17" ht="15" x14ac:dyDescent="0.15">
      <c r="A2630" s="22"/>
      <c r="B2630" s="26" t="str">
        <f t="shared" si="160"/>
        <v/>
      </c>
      <c r="C2630" s="26" t="str">
        <f t="shared" si="161"/>
        <v/>
      </c>
      <c r="D2630" s="26" t="str">
        <f t="shared" si="162"/>
        <v/>
      </c>
      <c r="E2630" s="29"/>
      <c r="F2630" s="22"/>
      <c r="G2630" s="22"/>
      <c r="H2630" s="22"/>
      <c r="I2630" s="24"/>
      <c r="J2630" s="24"/>
      <c r="K2630" s="24"/>
      <c r="L2630" s="24"/>
      <c r="M2630" s="27" t="str">
        <f t="shared" si="163"/>
        <v/>
      </c>
      <c r="N2630" s="25"/>
      <c r="O2630" s="22"/>
      <c r="P2630" s="24"/>
      <c r="Q2630" s="26"/>
    </row>
    <row r="2631" spans="1:17" ht="15" x14ac:dyDescent="0.15">
      <c r="A2631" s="22"/>
      <c r="B2631" s="26" t="str">
        <f t="shared" ref="B2631:B2694" si="164">IFERROR(IF($A2631="","",LEFT($A2631,FIND(" | ",$A2631)-1)),"")</f>
        <v/>
      </c>
      <c r="C2631" s="26" t="str">
        <f t="shared" ref="C2631:C2694" si="165">IFERROR(IF($A2631="","",MID($A2631,FIND(" | ",$A2631)+3,FIND(" | ",$A2631,FIND(" | ",$A2631)+3)-FIND(" | ",$A2631)-3)),"")</f>
        <v/>
      </c>
      <c r="D2631" s="26" t="str">
        <f t="shared" ref="D2631:D2694" si="166">IFERROR(IF($A2631="","",RIGHT($A2631,LEN($A2631)-FIND(" | ",$A2631,FIND(" | ",$A2631)+3)-2)),"")</f>
        <v/>
      </c>
      <c r="E2631" s="29"/>
      <c r="F2631" s="22"/>
      <c r="G2631" s="22"/>
      <c r="H2631" s="22"/>
      <c r="I2631" s="24"/>
      <c r="J2631" s="24"/>
      <c r="K2631" s="24"/>
      <c r="L2631" s="24"/>
      <c r="M2631" s="27" t="str">
        <f t="shared" ref="M2631:M2694" si="167">IF($B2631="","",SUM($J2631,-$K2631,$L2631))</f>
        <v/>
      </c>
      <c r="N2631" s="25"/>
      <c r="O2631" s="22"/>
      <c r="P2631" s="24"/>
      <c r="Q2631" s="26"/>
    </row>
    <row r="2632" spans="1:17" ht="15" x14ac:dyDescent="0.15">
      <c r="A2632" s="22"/>
      <c r="B2632" s="26" t="str">
        <f t="shared" si="164"/>
        <v/>
      </c>
      <c r="C2632" s="26" t="str">
        <f t="shared" si="165"/>
        <v/>
      </c>
      <c r="D2632" s="26" t="str">
        <f t="shared" si="166"/>
        <v/>
      </c>
      <c r="E2632" s="29"/>
      <c r="F2632" s="22"/>
      <c r="G2632" s="22"/>
      <c r="H2632" s="22"/>
      <c r="I2632" s="24"/>
      <c r="J2632" s="24"/>
      <c r="K2632" s="24"/>
      <c r="L2632" s="24"/>
      <c r="M2632" s="27" t="str">
        <f t="shared" si="167"/>
        <v/>
      </c>
      <c r="N2632" s="25"/>
      <c r="O2632" s="22"/>
      <c r="P2632" s="24"/>
      <c r="Q2632" s="26"/>
    </row>
    <row r="2633" spans="1:17" ht="15" x14ac:dyDescent="0.15">
      <c r="A2633" s="22"/>
      <c r="B2633" s="26" t="str">
        <f t="shared" si="164"/>
        <v/>
      </c>
      <c r="C2633" s="26" t="str">
        <f t="shared" si="165"/>
        <v/>
      </c>
      <c r="D2633" s="26" t="str">
        <f t="shared" si="166"/>
        <v/>
      </c>
      <c r="E2633" s="29"/>
      <c r="F2633" s="22"/>
      <c r="G2633" s="22"/>
      <c r="H2633" s="22"/>
      <c r="I2633" s="24"/>
      <c r="J2633" s="24"/>
      <c r="K2633" s="24"/>
      <c r="L2633" s="24"/>
      <c r="M2633" s="27" t="str">
        <f t="shared" si="167"/>
        <v/>
      </c>
      <c r="N2633" s="25"/>
      <c r="O2633" s="22"/>
      <c r="P2633" s="24"/>
      <c r="Q2633" s="26"/>
    </row>
    <row r="2634" spans="1:17" ht="15" x14ac:dyDescent="0.15">
      <c r="A2634" s="22"/>
      <c r="B2634" s="26" t="str">
        <f t="shared" si="164"/>
        <v/>
      </c>
      <c r="C2634" s="26" t="str">
        <f t="shared" si="165"/>
        <v/>
      </c>
      <c r="D2634" s="26" t="str">
        <f t="shared" si="166"/>
        <v/>
      </c>
      <c r="E2634" s="29"/>
      <c r="F2634" s="22"/>
      <c r="G2634" s="22"/>
      <c r="H2634" s="22"/>
      <c r="I2634" s="24"/>
      <c r="J2634" s="24"/>
      <c r="K2634" s="24"/>
      <c r="L2634" s="24"/>
      <c r="M2634" s="27" t="str">
        <f t="shared" si="167"/>
        <v/>
      </c>
      <c r="N2634" s="25"/>
      <c r="O2634" s="22"/>
      <c r="P2634" s="24"/>
      <c r="Q2634" s="26"/>
    </row>
    <row r="2635" spans="1:17" ht="15" x14ac:dyDescent="0.15">
      <c r="A2635" s="22"/>
      <c r="B2635" s="26" t="str">
        <f t="shared" si="164"/>
        <v/>
      </c>
      <c r="C2635" s="26" t="str">
        <f t="shared" si="165"/>
        <v/>
      </c>
      <c r="D2635" s="26" t="str">
        <f t="shared" si="166"/>
        <v/>
      </c>
      <c r="E2635" s="29"/>
      <c r="F2635" s="22"/>
      <c r="G2635" s="22"/>
      <c r="H2635" s="22"/>
      <c r="I2635" s="24"/>
      <c r="J2635" s="24"/>
      <c r="K2635" s="24"/>
      <c r="L2635" s="24"/>
      <c r="M2635" s="27" t="str">
        <f t="shared" si="167"/>
        <v/>
      </c>
      <c r="N2635" s="25"/>
      <c r="O2635" s="22"/>
      <c r="P2635" s="24"/>
      <c r="Q2635" s="26"/>
    </row>
    <row r="2636" spans="1:17" ht="15" x14ac:dyDescent="0.15">
      <c r="A2636" s="22"/>
      <c r="B2636" s="26" t="str">
        <f t="shared" si="164"/>
        <v/>
      </c>
      <c r="C2636" s="26" t="str">
        <f t="shared" si="165"/>
        <v/>
      </c>
      <c r="D2636" s="26" t="str">
        <f t="shared" si="166"/>
        <v/>
      </c>
      <c r="E2636" s="29"/>
      <c r="F2636" s="22"/>
      <c r="G2636" s="22"/>
      <c r="H2636" s="22"/>
      <c r="I2636" s="24"/>
      <c r="J2636" s="24"/>
      <c r="K2636" s="24"/>
      <c r="L2636" s="24"/>
      <c r="M2636" s="27" t="str">
        <f t="shared" si="167"/>
        <v/>
      </c>
      <c r="N2636" s="25"/>
      <c r="O2636" s="22"/>
      <c r="P2636" s="24"/>
      <c r="Q2636" s="26"/>
    </row>
    <row r="2637" spans="1:17" ht="15" x14ac:dyDescent="0.15">
      <c r="A2637" s="22"/>
      <c r="B2637" s="26" t="str">
        <f t="shared" si="164"/>
        <v/>
      </c>
      <c r="C2637" s="26" t="str">
        <f t="shared" si="165"/>
        <v/>
      </c>
      <c r="D2637" s="26" t="str">
        <f t="shared" si="166"/>
        <v/>
      </c>
      <c r="E2637" s="29"/>
      <c r="F2637" s="22"/>
      <c r="G2637" s="22"/>
      <c r="H2637" s="22"/>
      <c r="I2637" s="24"/>
      <c r="J2637" s="24"/>
      <c r="K2637" s="24"/>
      <c r="L2637" s="24"/>
      <c r="M2637" s="27" t="str">
        <f t="shared" si="167"/>
        <v/>
      </c>
      <c r="N2637" s="25"/>
      <c r="O2637" s="22"/>
      <c r="P2637" s="24"/>
      <c r="Q2637" s="26"/>
    </row>
    <row r="2638" spans="1:17" ht="15" x14ac:dyDescent="0.15">
      <c r="A2638" s="22"/>
      <c r="B2638" s="26" t="str">
        <f t="shared" si="164"/>
        <v/>
      </c>
      <c r="C2638" s="26" t="str">
        <f t="shared" si="165"/>
        <v/>
      </c>
      <c r="D2638" s="26" t="str">
        <f t="shared" si="166"/>
        <v/>
      </c>
      <c r="E2638" s="29"/>
      <c r="F2638" s="22"/>
      <c r="G2638" s="22"/>
      <c r="H2638" s="22"/>
      <c r="I2638" s="24"/>
      <c r="J2638" s="24"/>
      <c r="K2638" s="24"/>
      <c r="L2638" s="24"/>
      <c r="M2638" s="27" t="str">
        <f t="shared" si="167"/>
        <v/>
      </c>
      <c r="N2638" s="25"/>
      <c r="O2638" s="22"/>
      <c r="P2638" s="24"/>
      <c r="Q2638" s="26"/>
    </row>
    <row r="2639" spans="1:17" ht="15" x14ac:dyDescent="0.15">
      <c r="A2639" s="22"/>
      <c r="B2639" s="26" t="str">
        <f t="shared" si="164"/>
        <v/>
      </c>
      <c r="C2639" s="26" t="str">
        <f t="shared" si="165"/>
        <v/>
      </c>
      <c r="D2639" s="26" t="str">
        <f t="shared" si="166"/>
        <v/>
      </c>
      <c r="E2639" s="29"/>
      <c r="F2639" s="22"/>
      <c r="G2639" s="22"/>
      <c r="H2639" s="22"/>
      <c r="I2639" s="24"/>
      <c r="J2639" s="24"/>
      <c r="K2639" s="24"/>
      <c r="L2639" s="24"/>
      <c r="M2639" s="27" t="str">
        <f t="shared" si="167"/>
        <v/>
      </c>
      <c r="N2639" s="25"/>
      <c r="O2639" s="22"/>
      <c r="P2639" s="24"/>
      <c r="Q2639" s="26"/>
    </row>
    <row r="2640" spans="1:17" ht="15" x14ac:dyDescent="0.15">
      <c r="A2640" s="22"/>
      <c r="B2640" s="26" t="str">
        <f t="shared" si="164"/>
        <v/>
      </c>
      <c r="C2640" s="26" t="str">
        <f t="shared" si="165"/>
        <v/>
      </c>
      <c r="D2640" s="26" t="str">
        <f t="shared" si="166"/>
        <v/>
      </c>
      <c r="E2640" s="29"/>
      <c r="F2640" s="22"/>
      <c r="G2640" s="22"/>
      <c r="H2640" s="22"/>
      <c r="I2640" s="24"/>
      <c r="J2640" s="24"/>
      <c r="K2640" s="24"/>
      <c r="L2640" s="24"/>
      <c r="M2640" s="27" t="str">
        <f t="shared" si="167"/>
        <v/>
      </c>
      <c r="N2640" s="25"/>
      <c r="O2640" s="22"/>
      <c r="P2640" s="24"/>
      <c r="Q2640" s="26"/>
    </row>
    <row r="2641" spans="1:17" ht="15" x14ac:dyDescent="0.15">
      <c r="A2641" s="22"/>
      <c r="B2641" s="26" t="str">
        <f t="shared" si="164"/>
        <v/>
      </c>
      <c r="C2641" s="26" t="str">
        <f t="shared" si="165"/>
        <v/>
      </c>
      <c r="D2641" s="26" t="str">
        <f t="shared" si="166"/>
        <v/>
      </c>
      <c r="E2641" s="29"/>
      <c r="F2641" s="22"/>
      <c r="G2641" s="22"/>
      <c r="H2641" s="22"/>
      <c r="I2641" s="24"/>
      <c r="J2641" s="24"/>
      <c r="K2641" s="24"/>
      <c r="L2641" s="24"/>
      <c r="M2641" s="27" t="str">
        <f t="shared" si="167"/>
        <v/>
      </c>
      <c r="N2641" s="25"/>
      <c r="O2641" s="22"/>
      <c r="P2641" s="24"/>
      <c r="Q2641" s="26"/>
    </row>
    <row r="2642" spans="1:17" ht="15" x14ac:dyDescent="0.15">
      <c r="A2642" s="22"/>
      <c r="B2642" s="26" t="str">
        <f t="shared" si="164"/>
        <v/>
      </c>
      <c r="C2642" s="26" t="str">
        <f t="shared" si="165"/>
        <v/>
      </c>
      <c r="D2642" s="26" t="str">
        <f t="shared" si="166"/>
        <v/>
      </c>
      <c r="E2642" s="29"/>
      <c r="F2642" s="22"/>
      <c r="G2642" s="22"/>
      <c r="H2642" s="22"/>
      <c r="I2642" s="24"/>
      <c r="J2642" s="24"/>
      <c r="K2642" s="24"/>
      <c r="L2642" s="24"/>
      <c r="M2642" s="27" t="str">
        <f t="shared" si="167"/>
        <v/>
      </c>
      <c r="N2642" s="25"/>
      <c r="O2642" s="22"/>
      <c r="P2642" s="24"/>
      <c r="Q2642" s="26"/>
    </row>
    <row r="2643" spans="1:17" ht="15" x14ac:dyDescent="0.15">
      <c r="A2643" s="22"/>
      <c r="B2643" s="26" t="str">
        <f t="shared" si="164"/>
        <v/>
      </c>
      <c r="C2643" s="26" t="str">
        <f t="shared" si="165"/>
        <v/>
      </c>
      <c r="D2643" s="26" t="str">
        <f t="shared" si="166"/>
        <v/>
      </c>
      <c r="E2643" s="29"/>
      <c r="F2643" s="22"/>
      <c r="G2643" s="22"/>
      <c r="H2643" s="22"/>
      <c r="I2643" s="24"/>
      <c r="J2643" s="24"/>
      <c r="K2643" s="24"/>
      <c r="L2643" s="24"/>
      <c r="M2643" s="27" t="str">
        <f t="shared" si="167"/>
        <v/>
      </c>
      <c r="N2643" s="25"/>
      <c r="O2643" s="22"/>
      <c r="P2643" s="24"/>
      <c r="Q2643" s="26"/>
    </row>
    <row r="2644" spans="1:17" ht="15" x14ac:dyDescent="0.15">
      <c r="A2644" s="22"/>
      <c r="B2644" s="26" t="str">
        <f t="shared" si="164"/>
        <v/>
      </c>
      <c r="C2644" s="26" t="str">
        <f t="shared" si="165"/>
        <v/>
      </c>
      <c r="D2644" s="26" t="str">
        <f t="shared" si="166"/>
        <v/>
      </c>
      <c r="E2644" s="29"/>
      <c r="F2644" s="22"/>
      <c r="G2644" s="22"/>
      <c r="H2644" s="22"/>
      <c r="I2644" s="24"/>
      <c r="J2644" s="24"/>
      <c r="K2644" s="24"/>
      <c r="L2644" s="24"/>
      <c r="M2644" s="27" t="str">
        <f t="shared" si="167"/>
        <v/>
      </c>
      <c r="N2644" s="25"/>
      <c r="O2644" s="22"/>
      <c r="P2644" s="24"/>
      <c r="Q2644" s="26"/>
    </row>
    <row r="2645" spans="1:17" ht="15" x14ac:dyDescent="0.15">
      <c r="A2645" s="22"/>
      <c r="B2645" s="26" t="str">
        <f t="shared" si="164"/>
        <v/>
      </c>
      <c r="C2645" s="26" t="str">
        <f t="shared" si="165"/>
        <v/>
      </c>
      <c r="D2645" s="26" t="str">
        <f t="shared" si="166"/>
        <v/>
      </c>
      <c r="E2645" s="29"/>
      <c r="F2645" s="22"/>
      <c r="G2645" s="22"/>
      <c r="H2645" s="22"/>
      <c r="I2645" s="24"/>
      <c r="J2645" s="24"/>
      <c r="K2645" s="24"/>
      <c r="L2645" s="24"/>
      <c r="M2645" s="27" t="str">
        <f t="shared" si="167"/>
        <v/>
      </c>
      <c r="N2645" s="25"/>
      <c r="O2645" s="22"/>
      <c r="P2645" s="24"/>
      <c r="Q2645" s="26"/>
    </row>
    <row r="2646" spans="1:17" ht="15" x14ac:dyDescent="0.15">
      <c r="A2646" s="22"/>
      <c r="B2646" s="26" t="str">
        <f t="shared" si="164"/>
        <v/>
      </c>
      <c r="C2646" s="26" t="str">
        <f t="shared" si="165"/>
        <v/>
      </c>
      <c r="D2646" s="26" t="str">
        <f t="shared" si="166"/>
        <v/>
      </c>
      <c r="E2646" s="29"/>
      <c r="F2646" s="22"/>
      <c r="G2646" s="22"/>
      <c r="H2646" s="22"/>
      <c r="I2646" s="24"/>
      <c r="J2646" s="24"/>
      <c r="K2646" s="24"/>
      <c r="L2646" s="24"/>
      <c r="M2646" s="27" t="str">
        <f t="shared" si="167"/>
        <v/>
      </c>
      <c r="N2646" s="25"/>
      <c r="O2646" s="22"/>
      <c r="P2646" s="24"/>
      <c r="Q2646" s="26"/>
    </row>
    <row r="2647" spans="1:17" ht="15" x14ac:dyDescent="0.15">
      <c r="A2647" s="22"/>
      <c r="B2647" s="26" t="str">
        <f t="shared" si="164"/>
        <v/>
      </c>
      <c r="C2647" s="26" t="str">
        <f t="shared" si="165"/>
        <v/>
      </c>
      <c r="D2647" s="26" t="str">
        <f t="shared" si="166"/>
        <v/>
      </c>
      <c r="E2647" s="29"/>
      <c r="F2647" s="22"/>
      <c r="G2647" s="22"/>
      <c r="H2647" s="22"/>
      <c r="I2647" s="24"/>
      <c r="J2647" s="24"/>
      <c r="K2647" s="24"/>
      <c r="L2647" s="24"/>
      <c r="M2647" s="27" t="str">
        <f t="shared" si="167"/>
        <v/>
      </c>
      <c r="N2647" s="25"/>
      <c r="O2647" s="22"/>
      <c r="P2647" s="24"/>
      <c r="Q2647" s="26"/>
    </row>
    <row r="2648" spans="1:17" ht="15" x14ac:dyDescent="0.15">
      <c r="A2648" s="22"/>
      <c r="B2648" s="26" t="str">
        <f t="shared" si="164"/>
        <v/>
      </c>
      <c r="C2648" s="26" t="str">
        <f t="shared" si="165"/>
        <v/>
      </c>
      <c r="D2648" s="26" t="str">
        <f t="shared" si="166"/>
        <v/>
      </c>
      <c r="E2648" s="29"/>
      <c r="F2648" s="22"/>
      <c r="G2648" s="22"/>
      <c r="H2648" s="22"/>
      <c r="I2648" s="24"/>
      <c r="J2648" s="24"/>
      <c r="K2648" s="24"/>
      <c r="L2648" s="24"/>
      <c r="M2648" s="27" t="str">
        <f t="shared" si="167"/>
        <v/>
      </c>
      <c r="N2648" s="25"/>
      <c r="O2648" s="22"/>
      <c r="P2648" s="24"/>
      <c r="Q2648" s="26"/>
    </row>
    <row r="2649" spans="1:17" ht="15" x14ac:dyDescent="0.15">
      <c r="A2649" s="22"/>
      <c r="B2649" s="26" t="str">
        <f t="shared" si="164"/>
        <v/>
      </c>
      <c r="C2649" s="26" t="str">
        <f t="shared" si="165"/>
        <v/>
      </c>
      <c r="D2649" s="26" t="str">
        <f t="shared" si="166"/>
        <v/>
      </c>
      <c r="E2649" s="29"/>
      <c r="F2649" s="22"/>
      <c r="G2649" s="22"/>
      <c r="H2649" s="22"/>
      <c r="I2649" s="24"/>
      <c r="J2649" s="24"/>
      <c r="K2649" s="24"/>
      <c r="L2649" s="24"/>
      <c r="M2649" s="27" t="str">
        <f t="shared" si="167"/>
        <v/>
      </c>
      <c r="N2649" s="25"/>
      <c r="O2649" s="22"/>
      <c r="P2649" s="24"/>
      <c r="Q2649" s="26"/>
    </row>
    <row r="2650" spans="1:17" ht="15" x14ac:dyDescent="0.15">
      <c r="A2650" s="22"/>
      <c r="B2650" s="26" t="str">
        <f t="shared" si="164"/>
        <v/>
      </c>
      <c r="C2650" s="26" t="str">
        <f t="shared" si="165"/>
        <v/>
      </c>
      <c r="D2650" s="26" t="str">
        <f t="shared" si="166"/>
        <v/>
      </c>
      <c r="E2650" s="29"/>
      <c r="F2650" s="22"/>
      <c r="G2650" s="22"/>
      <c r="H2650" s="22"/>
      <c r="I2650" s="24"/>
      <c r="J2650" s="24"/>
      <c r="K2650" s="24"/>
      <c r="L2650" s="24"/>
      <c r="M2650" s="27" t="str">
        <f t="shared" si="167"/>
        <v/>
      </c>
      <c r="N2650" s="25"/>
      <c r="O2650" s="22"/>
      <c r="P2650" s="24"/>
      <c r="Q2650" s="26"/>
    </row>
    <row r="2651" spans="1:17" ht="15" x14ac:dyDescent="0.15">
      <c r="A2651" s="22"/>
      <c r="B2651" s="26" t="str">
        <f t="shared" si="164"/>
        <v/>
      </c>
      <c r="C2651" s="26" t="str">
        <f t="shared" si="165"/>
        <v/>
      </c>
      <c r="D2651" s="26" t="str">
        <f t="shared" si="166"/>
        <v/>
      </c>
      <c r="E2651" s="29"/>
      <c r="F2651" s="22"/>
      <c r="G2651" s="22"/>
      <c r="H2651" s="22"/>
      <c r="I2651" s="24"/>
      <c r="J2651" s="24"/>
      <c r="K2651" s="24"/>
      <c r="L2651" s="24"/>
      <c r="M2651" s="27" t="str">
        <f t="shared" si="167"/>
        <v/>
      </c>
      <c r="N2651" s="25"/>
      <c r="O2651" s="22"/>
      <c r="P2651" s="24"/>
      <c r="Q2651" s="26"/>
    </row>
    <row r="2652" spans="1:17" ht="15" x14ac:dyDescent="0.15">
      <c r="A2652" s="22"/>
      <c r="B2652" s="26" t="str">
        <f t="shared" si="164"/>
        <v/>
      </c>
      <c r="C2652" s="26" t="str">
        <f t="shared" si="165"/>
        <v/>
      </c>
      <c r="D2652" s="26" t="str">
        <f t="shared" si="166"/>
        <v/>
      </c>
      <c r="E2652" s="29"/>
      <c r="F2652" s="22"/>
      <c r="G2652" s="22"/>
      <c r="H2652" s="22"/>
      <c r="I2652" s="24"/>
      <c r="J2652" s="24"/>
      <c r="K2652" s="24"/>
      <c r="L2652" s="24"/>
      <c r="M2652" s="27" t="str">
        <f t="shared" si="167"/>
        <v/>
      </c>
      <c r="N2652" s="25"/>
      <c r="O2652" s="22"/>
      <c r="P2652" s="24"/>
      <c r="Q2652" s="26"/>
    </row>
    <row r="2653" spans="1:17" ht="15" x14ac:dyDescent="0.15">
      <c r="A2653" s="22"/>
      <c r="B2653" s="26" t="str">
        <f t="shared" si="164"/>
        <v/>
      </c>
      <c r="C2653" s="26" t="str">
        <f t="shared" si="165"/>
        <v/>
      </c>
      <c r="D2653" s="26" t="str">
        <f t="shared" si="166"/>
        <v/>
      </c>
      <c r="E2653" s="29"/>
      <c r="F2653" s="22"/>
      <c r="G2653" s="22"/>
      <c r="H2653" s="22"/>
      <c r="I2653" s="24"/>
      <c r="J2653" s="24"/>
      <c r="K2653" s="24"/>
      <c r="L2653" s="24"/>
      <c r="M2653" s="27" t="str">
        <f t="shared" si="167"/>
        <v/>
      </c>
      <c r="N2653" s="25"/>
      <c r="O2653" s="22"/>
      <c r="P2653" s="24"/>
      <c r="Q2653" s="26"/>
    </row>
    <row r="2654" spans="1:17" ht="15" x14ac:dyDescent="0.15">
      <c r="A2654" s="22"/>
      <c r="B2654" s="26" t="str">
        <f t="shared" si="164"/>
        <v/>
      </c>
      <c r="C2654" s="26" t="str">
        <f t="shared" si="165"/>
        <v/>
      </c>
      <c r="D2654" s="26" t="str">
        <f t="shared" si="166"/>
        <v/>
      </c>
      <c r="E2654" s="29"/>
      <c r="F2654" s="22"/>
      <c r="G2654" s="22"/>
      <c r="H2654" s="22"/>
      <c r="I2654" s="24"/>
      <c r="J2654" s="24"/>
      <c r="K2654" s="24"/>
      <c r="L2654" s="24"/>
      <c r="M2654" s="27" t="str">
        <f t="shared" si="167"/>
        <v/>
      </c>
      <c r="N2654" s="25"/>
      <c r="O2654" s="22"/>
      <c r="P2654" s="24"/>
      <c r="Q2654" s="26"/>
    </row>
    <row r="2655" spans="1:17" ht="15" x14ac:dyDescent="0.15">
      <c r="A2655" s="22"/>
      <c r="B2655" s="26" t="str">
        <f t="shared" si="164"/>
        <v/>
      </c>
      <c r="C2655" s="26" t="str">
        <f t="shared" si="165"/>
        <v/>
      </c>
      <c r="D2655" s="26" t="str">
        <f t="shared" si="166"/>
        <v/>
      </c>
      <c r="E2655" s="29"/>
      <c r="F2655" s="22"/>
      <c r="G2655" s="22"/>
      <c r="H2655" s="22"/>
      <c r="I2655" s="24"/>
      <c r="J2655" s="24"/>
      <c r="K2655" s="24"/>
      <c r="L2655" s="24"/>
      <c r="M2655" s="27" t="str">
        <f t="shared" si="167"/>
        <v/>
      </c>
      <c r="N2655" s="25"/>
      <c r="O2655" s="22"/>
      <c r="P2655" s="24"/>
      <c r="Q2655" s="26"/>
    </row>
    <row r="2656" spans="1:17" ht="15" x14ac:dyDescent="0.15">
      <c r="A2656" s="22"/>
      <c r="B2656" s="26" t="str">
        <f t="shared" si="164"/>
        <v/>
      </c>
      <c r="C2656" s="26" t="str">
        <f t="shared" si="165"/>
        <v/>
      </c>
      <c r="D2656" s="26" t="str">
        <f t="shared" si="166"/>
        <v/>
      </c>
      <c r="E2656" s="29"/>
      <c r="F2656" s="22"/>
      <c r="G2656" s="22"/>
      <c r="H2656" s="22"/>
      <c r="I2656" s="24"/>
      <c r="J2656" s="24"/>
      <c r="K2656" s="24"/>
      <c r="L2656" s="24"/>
      <c r="M2656" s="27" t="str">
        <f t="shared" si="167"/>
        <v/>
      </c>
      <c r="N2656" s="25"/>
      <c r="O2656" s="22"/>
      <c r="P2656" s="24"/>
      <c r="Q2656" s="26"/>
    </row>
    <row r="2657" spans="1:17" ht="15" x14ac:dyDescent="0.15">
      <c r="A2657" s="22"/>
      <c r="B2657" s="26" t="str">
        <f t="shared" si="164"/>
        <v/>
      </c>
      <c r="C2657" s="26" t="str">
        <f t="shared" si="165"/>
        <v/>
      </c>
      <c r="D2657" s="26" t="str">
        <f t="shared" si="166"/>
        <v/>
      </c>
      <c r="E2657" s="29"/>
      <c r="F2657" s="22"/>
      <c r="G2657" s="22"/>
      <c r="H2657" s="22"/>
      <c r="I2657" s="24"/>
      <c r="J2657" s="24"/>
      <c r="K2657" s="24"/>
      <c r="L2657" s="24"/>
      <c r="M2657" s="27" t="str">
        <f t="shared" si="167"/>
        <v/>
      </c>
      <c r="N2657" s="25"/>
      <c r="O2657" s="22"/>
      <c r="P2657" s="24"/>
      <c r="Q2657" s="26"/>
    </row>
    <row r="2658" spans="1:17" ht="15" x14ac:dyDescent="0.15">
      <c r="A2658" s="22"/>
      <c r="B2658" s="26" t="str">
        <f t="shared" si="164"/>
        <v/>
      </c>
      <c r="C2658" s="26" t="str">
        <f t="shared" si="165"/>
        <v/>
      </c>
      <c r="D2658" s="26" t="str">
        <f t="shared" si="166"/>
        <v/>
      </c>
      <c r="E2658" s="29"/>
      <c r="F2658" s="22"/>
      <c r="G2658" s="22"/>
      <c r="H2658" s="22"/>
      <c r="I2658" s="24"/>
      <c r="J2658" s="24"/>
      <c r="K2658" s="24"/>
      <c r="L2658" s="24"/>
      <c r="M2658" s="27" t="str">
        <f t="shared" si="167"/>
        <v/>
      </c>
      <c r="N2658" s="25"/>
      <c r="O2658" s="22"/>
      <c r="P2658" s="24"/>
      <c r="Q2658" s="26"/>
    </row>
    <row r="2659" spans="1:17" ht="15" x14ac:dyDescent="0.15">
      <c r="A2659" s="22"/>
      <c r="B2659" s="26" t="str">
        <f t="shared" si="164"/>
        <v/>
      </c>
      <c r="C2659" s="26" t="str">
        <f t="shared" si="165"/>
        <v/>
      </c>
      <c r="D2659" s="26" t="str">
        <f t="shared" si="166"/>
        <v/>
      </c>
      <c r="E2659" s="29"/>
      <c r="F2659" s="22"/>
      <c r="G2659" s="22"/>
      <c r="H2659" s="22"/>
      <c r="I2659" s="24"/>
      <c r="J2659" s="24"/>
      <c r="K2659" s="24"/>
      <c r="L2659" s="24"/>
      <c r="M2659" s="27" t="str">
        <f t="shared" si="167"/>
        <v/>
      </c>
      <c r="N2659" s="25"/>
      <c r="O2659" s="22"/>
      <c r="P2659" s="24"/>
      <c r="Q2659" s="26"/>
    </row>
    <row r="2660" spans="1:17" ht="15" x14ac:dyDescent="0.15">
      <c r="A2660" s="22"/>
      <c r="B2660" s="26" t="str">
        <f t="shared" si="164"/>
        <v/>
      </c>
      <c r="C2660" s="26" t="str">
        <f t="shared" si="165"/>
        <v/>
      </c>
      <c r="D2660" s="26" t="str">
        <f t="shared" si="166"/>
        <v/>
      </c>
      <c r="E2660" s="29"/>
      <c r="F2660" s="22"/>
      <c r="G2660" s="22"/>
      <c r="H2660" s="22"/>
      <c r="I2660" s="24"/>
      <c r="J2660" s="24"/>
      <c r="K2660" s="24"/>
      <c r="L2660" s="24"/>
      <c r="M2660" s="27" t="str">
        <f t="shared" si="167"/>
        <v/>
      </c>
      <c r="N2660" s="25"/>
      <c r="O2660" s="22"/>
      <c r="P2660" s="24"/>
      <c r="Q2660" s="26"/>
    </row>
    <row r="2661" spans="1:17" ht="15" x14ac:dyDescent="0.15">
      <c r="A2661" s="22"/>
      <c r="B2661" s="26" t="str">
        <f t="shared" si="164"/>
        <v/>
      </c>
      <c r="C2661" s="26" t="str">
        <f t="shared" si="165"/>
        <v/>
      </c>
      <c r="D2661" s="26" t="str">
        <f t="shared" si="166"/>
        <v/>
      </c>
      <c r="E2661" s="29"/>
      <c r="F2661" s="22"/>
      <c r="G2661" s="22"/>
      <c r="H2661" s="22"/>
      <c r="I2661" s="24"/>
      <c r="J2661" s="24"/>
      <c r="K2661" s="24"/>
      <c r="L2661" s="24"/>
      <c r="M2661" s="27" t="str">
        <f t="shared" si="167"/>
        <v/>
      </c>
      <c r="N2661" s="25"/>
      <c r="O2661" s="22"/>
      <c r="P2661" s="24"/>
      <c r="Q2661" s="26"/>
    </row>
    <row r="2662" spans="1:17" ht="15" x14ac:dyDescent="0.15">
      <c r="A2662" s="22"/>
      <c r="B2662" s="26" t="str">
        <f t="shared" si="164"/>
        <v/>
      </c>
      <c r="C2662" s="26" t="str">
        <f t="shared" si="165"/>
        <v/>
      </c>
      <c r="D2662" s="26" t="str">
        <f t="shared" si="166"/>
        <v/>
      </c>
      <c r="E2662" s="29"/>
      <c r="F2662" s="22"/>
      <c r="G2662" s="22"/>
      <c r="H2662" s="22"/>
      <c r="I2662" s="24"/>
      <c r="J2662" s="24"/>
      <c r="K2662" s="24"/>
      <c r="L2662" s="24"/>
      <c r="M2662" s="27" t="str">
        <f t="shared" si="167"/>
        <v/>
      </c>
      <c r="N2662" s="25"/>
      <c r="O2662" s="22"/>
      <c r="P2662" s="24"/>
      <c r="Q2662" s="26"/>
    </row>
    <row r="2663" spans="1:17" ht="15" x14ac:dyDescent="0.15">
      <c r="A2663" s="22"/>
      <c r="B2663" s="26" t="str">
        <f t="shared" si="164"/>
        <v/>
      </c>
      <c r="C2663" s="26" t="str">
        <f t="shared" si="165"/>
        <v/>
      </c>
      <c r="D2663" s="26" t="str">
        <f t="shared" si="166"/>
        <v/>
      </c>
      <c r="E2663" s="29"/>
      <c r="F2663" s="22"/>
      <c r="G2663" s="22"/>
      <c r="H2663" s="22"/>
      <c r="I2663" s="24"/>
      <c r="J2663" s="24"/>
      <c r="K2663" s="24"/>
      <c r="L2663" s="24"/>
      <c r="M2663" s="27" t="str">
        <f t="shared" si="167"/>
        <v/>
      </c>
      <c r="N2663" s="25"/>
      <c r="O2663" s="22"/>
      <c r="P2663" s="24"/>
      <c r="Q2663" s="26"/>
    </row>
    <row r="2664" spans="1:17" ht="15" x14ac:dyDescent="0.15">
      <c r="A2664" s="22"/>
      <c r="B2664" s="26" t="str">
        <f t="shared" si="164"/>
        <v/>
      </c>
      <c r="C2664" s="26" t="str">
        <f t="shared" si="165"/>
        <v/>
      </c>
      <c r="D2664" s="26" t="str">
        <f t="shared" si="166"/>
        <v/>
      </c>
      <c r="E2664" s="29"/>
      <c r="F2664" s="22"/>
      <c r="G2664" s="22"/>
      <c r="H2664" s="22"/>
      <c r="I2664" s="24"/>
      <c r="J2664" s="24"/>
      <c r="K2664" s="24"/>
      <c r="L2664" s="24"/>
      <c r="M2664" s="27" t="str">
        <f t="shared" si="167"/>
        <v/>
      </c>
      <c r="N2664" s="25"/>
      <c r="O2664" s="22"/>
      <c r="P2664" s="24"/>
      <c r="Q2664" s="26"/>
    </row>
    <row r="2665" spans="1:17" ht="15" x14ac:dyDescent="0.15">
      <c r="A2665" s="22"/>
      <c r="B2665" s="26" t="str">
        <f t="shared" si="164"/>
        <v/>
      </c>
      <c r="C2665" s="26" t="str">
        <f t="shared" si="165"/>
        <v/>
      </c>
      <c r="D2665" s="26" t="str">
        <f t="shared" si="166"/>
        <v/>
      </c>
      <c r="E2665" s="29"/>
      <c r="F2665" s="22"/>
      <c r="G2665" s="22"/>
      <c r="H2665" s="22"/>
      <c r="I2665" s="24"/>
      <c r="J2665" s="24"/>
      <c r="K2665" s="24"/>
      <c r="L2665" s="24"/>
      <c r="M2665" s="27" t="str">
        <f t="shared" si="167"/>
        <v/>
      </c>
      <c r="N2665" s="25"/>
      <c r="O2665" s="22"/>
      <c r="P2665" s="24"/>
      <c r="Q2665" s="26"/>
    </row>
    <row r="2666" spans="1:17" ht="15" x14ac:dyDescent="0.15">
      <c r="A2666" s="22"/>
      <c r="B2666" s="26" t="str">
        <f t="shared" si="164"/>
        <v/>
      </c>
      <c r="C2666" s="26" t="str">
        <f t="shared" si="165"/>
        <v/>
      </c>
      <c r="D2666" s="26" t="str">
        <f t="shared" si="166"/>
        <v/>
      </c>
      <c r="E2666" s="29"/>
      <c r="F2666" s="22"/>
      <c r="G2666" s="22"/>
      <c r="H2666" s="22"/>
      <c r="I2666" s="24"/>
      <c r="J2666" s="24"/>
      <c r="K2666" s="24"/>
      <c r="L2666" s="24"/>
      <c r="M2666" s="27" t="str">
        <f t="shared" si="167"/>
        <v/>
      </c>
      <c r="N2666" s="25"/>
      <c r="O2666" s="22"/>
      <c r="P2666" s="24"/>
      <c r="Q2666" s="26"/>
    </row>
    <row r="2667" spans="1:17" ht="15" x14ac:dyDescent="0.15">
      <c r="A2667" s="22"/>
      <c r="B2667" s="26" t="str">
        <f t="shared" si="164"/>
        <v/>
      </c>
      <c r="C2667" s="26" t="str">
        <f t="shared" si="165"/>
        <v/>
      </c>
      <c r="D2667" s="26" t="str">
        <f t="shared" si="166"/>
        <v/>
      </c>
      <c r="E2667" s="29"/>
      <c r="F2667" s="22"/>
      <c r="G2667" s="22"/>
      <c r="H2667" s="22"/>
      <c r="I2667" s="24"/>
      <c r="J2667" s="24"/>
      <c r="K2667" s="24"/>
      <c r="L2667" s="24"/>
      <c r="M2667" s="27" t="str">
        <f t="shared" si="167"/>
        <v/>
      </c>
      <c r="N2667" s="25"/>
      <c r="O2667" s="22"/>
      <c r="P2667" s="24"/>
      <c r="Q2667" s="26"/>
    </row>
    <row r="2668" spans="1:17" ht="15" x14ac:dyDescent="0.15">
      <c r="A2668" s="22"/>
      <c r="B2668" s="26" t="str">
        <f t="shared" si="164"/>
        <v/>
      </c>
      <c r="C2668" s="26" t="str">
        <f t="shared" si="165"/>
        <v/>
      </c>
      <c r="D2668" s="26" t="str">
        <f t="shared" si="166"/>
        <v/>
      </c>
      <c r="E2668" s="29"/>
      <c r="F2668" s="22"/>
      <c r="G2668" s="22"/>
      <c r="H2668" s="22"/>
      <c r="I2668" s="24"/>
      <c r="J2668" s="24"/>
      <c r="K2668" s="24"/>
      <c r="L2668" s="24"/>
      <c r="M2668" s="27" t="str">
        <f t="shared" si="167"/>
        <v/>
      </c>
      <c r="N2668" s="25"/>
      <c r="O2668" s="22"/>
      <c r="P2668" s="24"/>
      <c r="Q2668" s="26"/>
    </row>
    <row r="2669" spans="1:17" ht="15" x14ac:dyDescent="0.15">
      <c r="A2669" s="22"/>
      <c r="B2669" s="26" t="str">
        <f t="shared" si="164"/>
        <v/>
      </c>
      <c r="C2669" s="26" t="str">
        <f t="shared" si="165"/>
        <v/>
      </c>
      <c r="D2669" s="26" t="str">
        <f t="shared" si="166"/>
        <v/>
      </c>
      <c r="E2669" s="29"/>
      <c r="F2669" s="22"/>
      <c r="G2669" s="22"/>
      <c r="H2669" s="22"/>
      <c r="I2669" s="24"/>
      <c r="J2669" s="24"/>
      <c r="K2669" s="24"/>
      <c r="L2669" s="24"/>
      <c r="M2669" s="27" t="str">
        <f t="shared" si="167"/>
        <v/>
      </c>
      <c r="N2669" s="25"/>
      <c r="O2669" s="22"/>
      <c r="P2669" s="24"/>
      <c r="Q2669" s="26"/>
    </row>
    <row r="2670" spans="1:17" ht="15" x14ac:dyDescent="0.15">
      <c r="A2670" s="22"/>
      <c r="B2670" s="26" t="str">
        <f t="shared" si="164"/>
        <v/>
      </c>
      <c r="C2670" s="26" t="str">
        <f t="shared" si="165"/>
        <v/>
      </c>
      <c r="D2670" s="26" t="str">
        <f t="shared" si="166"/>
        <v/>
      </c>
      <c r="E2670" s="29"/>
      <c r="F2670" s="22"/>
      <c r="G2670" s="22"/>
      <c r="H2670" s="22"/>
      <c r="I2670" s="24"/>
      <c r="J2670" s="24"/>
      <c r="K2670" s="24"/>
      <c r="L2670" s="24"/>
      <c r="M2670" s="27" t="str">
        <f t="shared" si="167"/>
        <v/>
      </c>
      <c r="N2670" s="25"/>
      <c r="O2670" s="22"/>
      <c r="P2670" s="24"/>
      <c r="Q2670" s="26"/>
    </row>
    <row r="2671" spans="1:17" ht="15" x14ac:dyDescent="0.15">
      <c r="A2671" s="22"/>
      <c r="B2671" s="26" t="str">
        <f t="shared" si="164"/>
        <v/>
      </c>
      <c r="C2671" s="26" t="str">
        <f t="shared" si="165"/>
        <v/>
      </c>
      <c r="D2671" s="26" t="str">
        <f t="shared" si="166"/>
        <v/>
      </c>
      <c r="E2671" s="29"/>
      <c r="F2671" s="22"/>
      <c r="G2671" s="22"/>
      <c r="H2671" s="22"/>
      <c r="I2671" s="24"/>
      <c r="J2671" s="24"/>
      <c r="K2671" s="24"/>
      <c r="L2671" s="24"/>
      <c r="M2671" s="27" t="str">
        <f t="shared" si="167"/>
        <v/>
      </c>
      <c r="N2671" s="25"/>
      <c r="O2671" s="22"/>
      <c r="P2671" s="24"/>
      <c r="Q2671" s="26"/>
    </row>
    <row r="2672" spans="1:17" ht="15" x14ac:dyDescent="0.15">
      <c r="A2672" s="22"/>
      <c r="B2672" s="26" t="str">
        <f t="shared" si="164"/>
        <v/>
      </c>
      <c r="C2672" s="26" t="str">
        <f t="shared" si="165"/>
        <v/>
      </c>
      <c r="D2672" s="26" t="str">
        <f t="shared" si="166"/>
        <v/>
      </c>
      <c r="E2672" s="29"/>
      <c r="F2672" s="22"/>
      <c r="G2672" s="22"/>
      <c r="H2672" s="22"/>
      <c r="I2672" s="24"/>
      <c r="J2672" s="24"/>
      <c r="K2672" s="24"/>
      <c r="L2672" s="24"/>
      <c r="M2672" s="27" t="str">
        <f t="shared" si="167"/>
        <v/>
      </c>
      <c r="N2672" s="25"/>
      <c r="O2672" s="22"/>
      <c r="P2672" s="24"/>
      <c r="Q2672" s="26"/>
    </row>
    <row r="2673" spans="1:17" ht="15" x14ac:dyDescent="0.15">
      <c r="A2673" s="22"/>
      <c r="B2673" s="26" t="str">
        <f t="shared" si="164"/>
        <v/>
      </c>
      <c r="C2673" s="26" t="str">
        <f t="shared" si="165"/>
        <v/>
      </c>
      <c r="D2673" s="26" t="str">
        <f t="shared" si="166"/>
        <v/>
      </c>
      <c r="E2673" s="29"/>
      <c r="F2673" s="22"/>
      <c r="G2673" s="22"/>
      <c r="H2673" s="22"/>
      <c r="I2673" s="24"/>
      <c r="J2673" s="24"/>
      <c r="K2673" s="24"/>
      <c r="L2673" s="24"/>
      <c r="M2673" s="27" t="str">
        <f t="shared" si="167"/>
        <v/>
      </c>
      <c r="N2673" s="25"/>
      <c r="O2673" s="22"/>
      <c r="P2673" s="24"/>
      <c r="Q2673" s="26"/>
    </row>
    <row r="2674" spans="1:17" ht="15" x14ac:dyDescent="0.15">
      <c r="A2674" s="22"/>
      <c r="B2674" s="26" t="str">
        <f t="shared" si="164"/>
        <v/>
      </c>
      <c r="C2674" s="26" t="str">
        <f t="shared" si="165"/>
        <v/>
      </c>
      <c r="D2674" s="26" t="str">
        <f t="shared" si="166"/>
        <v/>
      </c>
      <c r="E2674" s="29"/>
      <c r="F2674" s="22"/>
      <c r="G2674" s="22"/>
      <c r="H2674" s="22"/>
      <c r="I2674" s="24"/>
      <c r="J2674" s="24"/>
      <c r="K2674" s="24"/>
      <c r="L2674" s="24"/>
      <c r="M2674" s="27" t="str">
        <f t="shared" si="167"/>
        <v/>
      </c>
      <c r="N2674" s="25"/>
      <c r="O2674" s="22"/>
      <c r="P2674" s="24"/>
      <c r="Q2674" s="26"/>
    </row>
    <row r="2675" spans="1:17" ht="15" x14ac:dyDescent="0.15">
      <c r="A2675" s="22"/>
      <c r="B2675" s="26" t="str">
        <f t="shared" si="164"/>
        <v/>
      </c>
      <c r="C2675" s="26" t="str">
        <f t="shared" si="165"/>
        <v/>
      </c>
      <c r="D2675" s="26" t="str">
        <f t="shared" si="166"/>
        <v/>
      </c>
      <c r="E2675" s="29"/>
      <c r="F2675" s="22"/>
      <c r="G2675" s="22"/>
      <c r="H2675" s="22"/>
      <c r="I2675" s="24"/>
      <c r="J2675" s="24"/>
      <c r="K2675" s="24"/>
      <c r="L2675" s="24"/>
      <c r="M2675" s="27" t="str">
        <f t="shared" si="167"/>
        <v/>
      </c>
      <c r="N2675" s="25"/>
      <c r="O2675" s="22"/>
      <c r="P2675" s="24"/>
      <c r="Q2675" s="26"/>
    </row>
    <row r="2676" spans="1:17" ht="15" x14ac:dyDescent="0.15">
      <c r="A2676" s="22"/>
      <c r="B2676" s="26" t="str">
        <f t="shared" si="164"/>
        <v/>
      </c>
      <c r="C2676" s="26" t="str">
        <f t="shared" si="165"/>
        <v/>
      </c>
      <c r="D2676" s="26" t="str">
        <f t="shared" si="166"/>
        <v/>
      </c>
      <c r="E2676" s="29"/>
      <c r="F2676" s="22"/>
      <c r="G2676" s="22"/>
      <c r="H2676" s="22"/>
      <c r="I2676" s="24"/>
      <c r="J2676" s="24"/>
      <c r="K2676" s="24"/>
      <c r="L2676" s="24"/>
      <c r="M2676" s="27" t="str">
        <f t="shared" si="167"/>
        <v/>
      </c>
      <c r="N2676" s="25"/>
      <c r="O2676" s="22"/>
      <c r="P2676" s="24"/>
      <c r="Q2676" s="26"/>
    </row>
    <row r="2677" spans="1:17" ht="15" x14ac:dyDescent="0.15">
      <c r="A2677" s="22"/>
      <c r="B2677" s="26" t="str">
        <f t="shared" si="164"/>
        <v/>
      </c>
      <c r="C2677" s="26" t="str">
        <f t="shared" si="165"/>
        <v/>
      </c>
      <c r="D2677" s="26" t="str">
        <f t="shared" si="166"/>
        <v/>
      </c>
      <c r="E2677" s="29"/>
      <c r="F2677" s="22"/>
      <c r="G2677" s="22"/>
      <c r="H2677" s="22"/>
      <c r="I2677" s="24"/>
      <c r="J2677" s="24"/>
      <c r="K2677" s="24"/>
      <c r="L2677" s="24"/>
      <c r="M2677" s="27" t="str">
        <f t="shared" si="167"/>
        <v/>
      </c>
      <c r="N2677" s="25"/>
      <c r="O2677" s="22"/>
      <c r="P2677" s="24"/>
      <c r="Q2677" s="26"/>
    </row>
    <row r="2678" spans="1:17" ht="15" x14ac:dyDescent="0.15">
      <c r="A2678" s="22"/>
      <c r="B2678" s="26" t="str">
        <f t="shared" si="164"/>
        <v/>
      </c>
      <c r="C2678" s="26" t="str">
        <f t="shared" si="165"/>
        <v/>
      </c>
      <c r="D2678" s="26" t="str">
        <f t="shared" si="166"/>
        <v/>
      </c>
      <c r="E2678" s="29"/>
      <c r="F2678" s="22"/>
      <c r="G2678" s="22"/>
      <c r="H2678" s="22"/>
      <c r="I2678" s="24"/>
      <c r="J2678" s="24"/>
      <c r="K2678" s="24"/>
      <c r="L2678" s="24"/>
      <c r="M2678" s="27" t="str">
        <f t="shared" si="167"/>
        <v/>
      </c>
      <c r="N2678" s="25"/>
      <c r="O2678" s="22"/>
      <c r="P2678" s="24"/>
      <c r="Q2678" s="26"/>
    </row>
    <row r="2679" spans="1:17" ht="15" x14ac:dyDescent="0.15">
      <c r="A2679" s="22"/>
      <c r="B2679" s="26" t="str">
        <f t="shared" si="164"/>
        <v/>
      </c>
      <c r="C2679" s="26" t="str">
        <f t="shared" si="165"/>
        <v/>
      </c>
      <c r="D2679" s="26" t="str">
        <f t="shared" si="166"/>
        <v/>
      </c>
      <c r="E2679" s="29"/>
      <c r="F2679" s="22"/>
      <c r="G2679" s="22"/>
      <c r="H2679" s="22"/>
      <c r="I2679" s="24"/>
      <c r="J2679" s="24"/>
      <c r="K2679" s="24"/>
      <c r="L2679" s="24"/>
      <c r="M2679" s="27" t="str">
        <f t="shared" si="167"/>
        <v/>
      </c>
      <c r="N2679" s="25"/>
      <c r="O2679" s="22"/>
      <c r="P2679" s="24"/>
      <c r="Q2679" s="26"/>
    </row>
    <row r="2680" spans="1:17" ht="15" x14ac:dyDescent="0.15">
      <c r="A2680" s="22"/>
      <c r="B2680" s="26" t="str">
        <f t="shared" si="164"/>
        <v/>
      </c>
      <c r="C2680" s="26" t="str">
        <f t="shared" si="165"/>
        <v/>
      </c>
      <c r="D2680" s="26" t="str">
        <f t="shared" si="166"/>
        <v/>
      </c>
      <c r="E2680" s="29"/>
      <c r="F2680" s="22"/>
      <c r="G2680" s="22"/>
      <c r="H2680" s="22"/>
      <c r="I2680" s="24"/>
      <c r="J2680" s="24"/>
      <c r="K2680" s="24"/>
      <c r="L2680" s="24"/>
      <c r="M2680" s="27" t="str">
        <f t="shared" si="167"/>
        <v/>
      </c>
      <c r="N2680" s="25"/>
      <c r="O2680" s="22"/>
      <c r="P2680" s="24"/>
      <c r="Q2680" s="26"/>
    </row>
    <row r="2681" spans="1:17" ht="15" x14ac:dyDescent="0.15">
      <c r="A2681" s="22"/>
      <c r="B2681" s="26" t="str">
        <f t="shared" si="164"/>
        <v/>
      </c>
      <c r="C2681" s="26" t="str">
        <f t="shared" si="165"/>
        <v/>
      </c>
      <c r="D2681" s="26" t="str">
        <f t="shared" si="166"/>
        <v/>
      </c>
      <c r="E2681" s="29"/>
      <c r="F2681" s="22"/>
      <c r="G2681" s="22"/>
      <c r="H2681" s="22"/>
      <c r="I2681" s="24"/>
      <c r="J2681" s="24"/>
      <c r="K2681" s="24"/>
      <c r="L2681" s="24"/>
      <c r="M2681" s="27" t="str">
        <f t="shared" si="167"/>
        <v/>
      </c>
      <c r="N2681" s="25"/>
      <c r="O2681" s="22"/>
      <c r="P2681" s="24"/>
      <c r="Q2681" s="26"/>
    </row>
    <row r="2682" spans="1:17" ht="15" x14ac:dyDescent="0.15">
      <c r="A2682" s="22"/>
      <c r="B2682" s="26" t="str">
        <f t="shared" si="164"/>
        <v/>
      </c>
      <c r="C2682" s="26" t="str">
        <f t="shared" si="165"/>
        <v/>
      </c>
      <c r="D2682" s="26" t="str">
        <f t="shared" si="166"/>
        <v/>
      </c>
      <c r="E2682" s="29"/>
      <c r="F2682" s="22"/>
      <c r="G2682" s="22"/>
      <c r="H2682" s="22"/>
      <c r="I2682" s="24"/>
      <c r="J2682" s="24"/>
      <c r="K2682" s="24"/>
      <c r="L2682" s="24"/>
      <c r="M2682" s="27" t="str">
        <f t="shared" si="167"/>
        <v/>
      </c>
      <c r="N2682" s="25"/>
      <c r="O2682" s="22"/>
      <c r="P2682" s="24"/>
      <c r="Q2682" s="26"/>
    </row>
    <row r="2683" spans="1:17" ht="15" x14ac:dyDescent="0.15">
      <c r="A2683" s="22"/>
      <c r="B2683" s="26" t="str">
        <f t="shared" si="164"/>
        <v/>
      </c>
      <c r="C2683" s="26" t="str">
        <f t="shared" si="165"/>
        <v/>
      </c>
      <c r="D2683" s="26" t="str">
        <f t="shared" si="166"/>
        <v/>
      </c>
      <c r="E2683" s="29"/>
      <c r="F2683" s="22"/>
      <c r="G2683" s="22"/>
      <c r="H2683" s="22"/>
      <c r="I2683" s="24"/>
      <c r="J2683" s="24"/>
      <c r="K2683" s="24"/>
      <c r="L2683" s="24"/>
      <c r="M2683" s="27" t="str">
        <f t="shared" si="167"/>
        <v/>
      </c>
      <c r="N2683" s="25"/>
      <c r="O2683" s="22"/>
      <c r="P2683" s="24"/>
      <c r="Q2683" s="26"/>
    </row>
    <row r="2684" spans="1:17" ht="15" x14ac:dyDescent="0.15">
      <c r="A2684" s="22"/>
      <c r="B2684" s="26" t="str">
        <f t="shared" si="164"/>
        <v/>
      </c>
      <c r="C2684" s="26" t="str">
        <f t="shared" si="165"/>
        <v/>
      </c>
      <c r="D2684" s="26" t="str">
        <f t="shared" si="166"/>
        <v/>
      </c>
      <c r="E2684" s="29"/>
      <c r="F2684" s="22"/>
      <c r="G2684" s="22"/>
      <c r="H2684" s="22"/>
      <c r="I2684" s="24"/>
      <c r="J2684" s="24"/>
      <c r="K2684" s="24"/>
      <c r="L2684" s="24"/>
      <c r="M2684" s="27" t="str">
        <f t="shared" si="167"/>
        <v/>
      </c>
      <c r="N2684" s="25"/>
      <c r="O2684" s="22"/>
      <c r="P2684" s="24"/>
      <c r="Q2684" s="26"/>
    </row>
    <row r="2685" spans="1:17" ht="15" x14ac:dyDescent="0.15">
      <c r="A2685" s="22"/>
      <c r="B2685" s="26" t="str">
        <f t="shared" si="164"/>
        <v/>
      </c>
      <c r="C2685" s="26" t="str">
        <f t="shared" si="165"/>
        <v/>
      </c>
      <c r="D2685" s="26" t="str">
        <f t="shared" si="166"/>
        <v/>
      </c>
      <c r="E2685" s="29"/>
      <c r="F2685" s="22"/>
      <c r="G2685" s="22"/>
      <c r="H2685" s="22"/>
      <c r="I2685" s="24"/>
      <c r="J2685" s="24"/>
      <c r="K2685" s="24"/>
      <c r="L2685" s="24"/>
      <c r="M2685" s="27" t="str">
        <f t="shared" si="167"/>
        <v/>
      </c>
      <c r="N2685" s="25"/>
      <c r="O2685" s="22"/>
      <c r="P2685" s="24"/>
      <c r="Q2685" s="26"/>
    </row>
    <row r="2686" spans="1:17" ht="15" x14ac:dyDescent="0.15">
      <c r="A2686" s="22"/>
      <c r="B2686" s="26" t="str">
        <f t="shared" si="164"/>
        <v/>
      </c>
      <c r="C2686" s="26" t="str">
        <f t="shared" si="165"/>
        <v/>
      </c>
      <c r="D2686" s="26" t="str">
        <f t="shared" si="166"/>
        <v/>
      </c>
      <c r="E2686" s="29"/>
      <c r="F2686" s="22"/>
      <c r="G2686" s="22"/>
      <c r="H2686" s="22"/>
      <c r="I2686" s="24"/>
      <c r="J2686" s="24"/>
      <c r="K2686" s="24"/>
      <c r="L2686" s="24"/>
      <c r="M2686" s="27" t="str">
        <f t="shared" si="167"/>
        <v/>
      </c>
      <c r="N2686" s="25"/>
      <c r="O2686" s="22"/>
      <c r="P2686" s="24"/>
      <c r="Q2686" s="26"/>
    </row>
    <row r="2687" spans="1:17" ht="15" x14ac:dyDescent="0.15">
      <c r="A2687" s="22"/>
      <c r="B2687" s="26" t="str">
        <f t="shared" si="164"/>
        <v/>
      </c>
      <c r="C2687" s="26" t="str">
        <f t="shared" si="165"/>
        <v/>
      </c>
      <c r="D2687" s="26" t="str">
        <f t="shared" si="166"/>
        <v/>
      </c>
      <c r="E2687" s="29"/>
      <c r="F2687" s="22"/>
      <c r="G2687" s="22"/>
      <c r="H2687" s="22"/>
      <c r="I2687" s="24"/>
      <c r="J2687" s="24"/>
      <c r="K2687" s="24"/>
      <c r="L2687" s="24"/>
      <c r="M2687" s="27" t="str">
        <f t="shared" si="167"/>
        <v/>
      </c>
      <c r="N2687" s="25"/>
      <c r="O2687" s="22"/>
      <c r="P2687" s="24"/>
      <c r="Q2687" s="26"/>
    </row>
    <row r="2688" spans="1:17" ht="15" x14ac:dyDescent="0.15">
      <c r="A2688" s="22"/>
      <c r="B2688" s="26" t="str">
        <f t="shared" si="164"/>
        <v/>
      </c>
      <c r="C2688" s="26" t="str">
        <f t="shared" si="165"/>
        <v/>
      </c>
      <c r="D2688" s="26" t="str">
        <f t="shared" si="166"/>
        <v/>
      </c>
      <c r="E2688" s="29"/>
      <c r="F2688" s="22"/>
      <c r="G2688" s="22"/>
      <c r="H2688" s="22"/>
      <c r="I2688" s="24"/>
      <c r="J2688" s="24"/>
      <c r="K2688" s="24"/>
      <c r="L2688" s="24"/>
      <c r="M2688" s="27" t="str">
        <f t="shared" si="167"/>
        <v/>
      </c>
      <c r="N2688" s="25"/>
      <c r="O2688" s="22"/>
      <c r="P2688" s="24"/>
      <c r="Q2688" s="26"/>
    </row>
    <row r="2689" spans="1:17" ht="15" x14ac:dyDescent="0.15">
      <c r="A2689" s="22"/>
      <c r="B2689" s="26" t="str">
        <f t="shared" si="164"/>
        <v/>
      </c>
      <c r="C2689" s="26" t="str">
        <f t="shared" si="165"/>
        <v/>
      </c>
      <c r="D2689" s="26" t="str">
        <f t="shared" si="166"/>
        <v/>
      </c>
      <c r="E2689" s="29"/>
      <c r="F2689" s="22"/>
      <c r="G2689" s="22"/>
      <c r="H2689" s="22"/>
      <c r="I2689" s="24"/>
      <c r="J2689" s="24"/>
      <c r="K2689" s="24"/>
      <c r="L2689" s="24"/>
      <c r="M2689" s="27" t="str">
        <f t="shared" si="167"/>
        <v/>
      </c>
      <c r="N2689" s="25"/>
      <c r="O2689" s="22"/>
      <c r="P2689" s="24"/>
      <c r="Q2689" s="26"/>
    </row>
    <row r="2690" spans="1:17" ht="15" x14ac:dyDescent="0.15">
      <c r="A2690" s="22"/>
      <c r="B2690" s="26" t="str">
        <f t="shared" si="164"/>
        <v/>
      </c>
      <c r="C2690" s="26" t="str">
        <f t="shared" si="165"/>
        <v/>
      </c>
      <c r="D2690" s="26" t="str">
        <f t="shared" si="166"/>
        <v/>
      </c>
      <c r="E2690" s="29"/>
      <c r="F2690" s="22"/>
      <c r="G2690" s="22"/>
      <c r="H2690" s="22"/>
      <c r="I2690" s="24"/>
      <c r="J2690" s="24"/>
      <c r="K2690" s="24"/>
      <c r="L2690" s="24"/>
      <c r="M2690" s="27" t="str">
        <f t="shared" si="167"/>
        <v/>
      </c>
      <c r="N2690" s="25"/>
      <c r="O2690" s="22"/>
      <c r="P2690" s="24"/>
      <c r="Q2690" s="26"/>
    </row>
    <row r="2691" spans="1:17" ht="15" x14ac:dyDescent="0.15">
      <c r="A2691" s="22"/>
      <c r="B2691" s="26" t="str">
        <f t="shared" si="164"/>
        <v/>
      </c>
      <c r="C2691" s="26" t="str">
        <f t="shared" si="165"/>
        <v/>
      </c>
      <c r="D2691" s="26" t="str">
        <f t="shared" si="166"/>
        <v/>
      </c>
      <c r="E2691" s="29"/>
      <c r="F2691" s="22"/>
      <c r="G2691" s="22"/>
      <c r="H2691" s="22"/>
      <c r="I2691" s="24"/>
      <c r="J2691" s="24"/>
      <c r="K2691" s="24"/>
      <c r="L2691" s="24"/>
      <c r="M2691" s="27" t="str">
        <f t="shared" si="167"/>
        <v/>
      </c>
      <c r="N2691" s="25"/>
      <c r="O2691" s="22"/>
      <c r="P2691" s="24"/>
      <c r="Q2691" s="26"/>
    </row>
    <row r="2692" spans="1:17" ht="15" x14ac:dyDescent="0.15">
      <c r="A2692" s="22"/>
      <c r="B2692" s="26" t="str">
        <f t="shared" si="164"/>
        <v/>
      </c>
      <c r="C2692" s="26" t="str">
        <f t="shared" si="165"/>
        <v/>
      </c>
      <c r="D2692" s="26" t="str">
        <f t="shared" si="166"/>
        <v/>
      </c>
      <c r="E2692" s="29"/>
      <c r="F2692" s="22"/>
      <c r="G2692" s="22"/>
      <c r="H2692" s="22"/>
      <c r="I2692" s="24"/>
      <c r="J2692" s="24"/>
      <c r="K2692" s="24"/>
      <c r="L2692" s="24"/>
      <c r="M2692" s="27" t="str">
        <f t="shared" si="167"/>
        <v/>
      </c>
      <c r="N2692" s="25"/>
      <c r="O2692" s="22"/>
      <c r="P2692" s="24"/>
      <c r="Q2692" s="26"/>
    </row>
    <row r="2693" spans="1:17" ht="15" x14ac:dyDescent="0.15">
      <c r="A2693" s="22"/>
      <c r="B2693" s="26" t="str">
        <f t="shared" si="164"/>
        <v/>
      </c>
      <c r="C2693" s="26" t="str">
        <f t="shared" si="165"/>
        <v/>
      </c>
      <c r="D2693" s="26" t="str">
        <f t="shared" si="166"/>
        <v/>
      </c>
      <c r="E2693" s="29"/>
      <c r="F2693" s="22"/>
      <c r="G2693" s="22"/>
      <c r="H2693" s="22"/>
      <c r="I2693" s="24"/>
      <c r="J2693" s="24"/>
      <c r="K2693" s="24"/>
      <c r="L2693" s="24"/>
      <c r="M2693" s="27" t="str">
        <f t="shared" si="167"/>
        <v/>
      </c>
      <c r="N2693" s="25"/>
      <c r="O2693" s="22"/>
      <c r="P2693" s="24"/>
      <c r="Q2693" s="26"/>
    </row>
    <row r="2694" spans="1:17" ht="15" x14ac:dyDescent="0.15">
      <c r="A2694" s="22"/>
      <c r="B2694" s="26" t="str">
        <f t="shared" si="164"/>
        <v/>
      </c>
      <c r="C2694" s="26" t="str">
        <f t="shared" si="165"/>
        <v/>
      </c>
      <c r="D2694" s="26" t="str">
        <f t="shared" si="166"/>
        <v/>
      </c>
      <c r="E2694" s="29"/>
      <c r="F2694" s="22"/>
      <c r="G2694" s="22"/>
      <c r="H2694" s="22"/>
      <c r="I2694" s="24"/>
      <c r="J2694" s="24"/>
      <c r="K2694" s="24"/>
      <c r="L2694" s="24"/>
      <c r="M2694" s="27" t="str">
        <f t="shared" si="167"/>
        <v/>
      </c>
      <c r="N2694" s="25"/>
      <c r="O2694" s="22"/>
      <c r="P2694" s="24"/>
      <c r="Q2694" s="26"/>
    </row>
    <row r="2695" spans="1:17" ht="15" x14ac:dyDescent="0.15">
      <c r="A2695" s="22"/>
      <c r="B2695" s="26" t="str">
        <f t="shared" ref="B2695:B2758" si="168">IFERROR(IF($A2695="","",LEFT($A2695,FIND(" | ",$A2695)-1)),"")</f>
        <v/>
      </c>
      <c r="C2695" s="26" t="str">
        <f t="shared" ref="C2695:C2758" si="169">IFERROR(IF($A2695="","",MID($A2695,FIND(" | ",$A2695)+3,FIND(" | ",$A2695,FIND(" | ",$A2695)+3)-FIND(" | ",$A2695)-3)),"")</f>
        <v/>
      </c>
      <c r="D2695" s="26" t="str">
        <f t="shared" ref="D2695:D2758" si="170">IFERROR(IF($A2695="","",RIGHT($A2695,LEN($A2695)-FIND(" | ",$A2695,FIND(" | ",$A2695)+3)-2)),"")</f>
        <v/>
      </c>
      <c r="E2695" s="29"/>
      <c r="F2695" s="22"/>
      <c r="G2695" s="22"/>
      <c r="H2695" s="22"/>
      <c r="I2695" s="24"/>
      <c r="J2695" s="24"/>
      <c r="K2695" s="24"/>
      <c r="L2695" s="24"/>
      <c r="M2695" s="27" t="str">
        <f t="shared" ref="M2695:M2758" si="171">IF($B2695="","",SUM($J2695,-$K2695,$L2695))</f>
        <v/>
      </c>
      <c r="N2695" s="25"/>
      <c r="O2695" s="22"/>
      <c r="P2695" s="24"/>
      <c r="Q2695" s="26"/>
    </row>
    <row r="2696" spans="1:17" ht="15" x14ac:dyDescent="0.15">
      <c r="A2696" s="22"/>
      <c r="B2696" s="26" t="str">
        <f t="shared" si="168"/>
        <v/>
      </c>
      <c r="C2696" s="26" t="str">
        <f t="shared" si="169"/>
        <v/>
      </c>
      <c r="D2696" s="26" t="str">
        <f t="shared" si="170"/>
        <v/>
      </c>
      <c r="E2696" s="29"/>
      <c r="F2696" s="22"/>
      <c r="G2696" s="22"/>
      <c r="H2696" s="22"/>
      <c r="I2696" s="24"/>
      <c r="J2696" s="24"/>
      <c r="K2696" s="24"/>
      <c r="L2696" s="24"/>
      <c r="M2696" s="27" t="str">
        <f t="shared" si="171"/>
        <v/>
      </c>
      <c r="N2696" s="25"/>
      <c r="O2696" s="22"/>
      <c r="P2696" s="24"/>
      <c r="Q2696" s="26"/>
    </row>
    <row r="2697" spans="1:17" ht="15" x14ac:dyDescent="0.15">
      <c r="A2697" s="22"/>
      <c r="B2697" s="26" t="str">
        <f t="shared" si="168"/>
        <v/>
      </c>
      <c r="C2697" s="26" t="str">
        <f t="shared" si="169"/>
        <v/>
      </c>
      <c r="D2697" s="26" t="str">
        <f t="shared" si="170"/>
        <v/>
      </c>
      <c r="E2697" s="29"/>
      <c r="F2697" s="22"/>
      <c r="G2697" s="22"/>
      <c r="H2697" s="22"/>
      <c r="I2697" s="24"/>
      <c r="J2697" s="24"/>
      <c r="K2697" s="24"/>
      <c r="L2697" s="24"/>
      <c r="M2697" s="27" t="str">
        <f t="shared" si="171"/>
        <v/>
      </c>
      <c r="N2697" s="25"/>
      <c r="O2697" s="22"/>
      <c r="P2697" s="24"/>
      <c r="Q2697" s="26"/>
    </row>
    <row r="2698" spans="1:17" ht="15" x14ac:dyDescent="0.15">
      <c r="A2698" s="22"/>
      <c r="B2698" s="26" t="str">
        <f t="shared" si="168"/>
        <v/>
      </c>
      <c r="C2698" s="26" t="str">
        <f t="shared" si="169"/>
        <v/>
      </c>
      <c r="D2698" s="26" t="str">
        <f t="shared" si="170"/>
        <v/>
      </c>
      <c r="E2698" s="29"/>
      <c r="F2698" s="22"/>
      <c r="G2698" s="22"/>
      <c r="H2698" s="22"/>
      <c r="I2698" s="24"/>
      <c r="J2698" s="24"/>
      <c r="K2698" s="24"/>
      <c r="L2698" s="24"/>
      <c r="M2698" s="27" t="str">
        <f t="shared" si="171"/>
        <v/>
      </c>
      <c r="N2698" s="25"/>
      <c r="O2698" s="22"/>
      <c r="P2698" s="24"/>
      <c r="Q2698" s="26"/>
    </row>
    <row r="2699" spans="1:17" ht="15" x14ac:dyDescent="0.15">
      <c r="A2699" s="22"/>
      <c r="B2699" s="26" t="str">
        <f t="shared" si="168"/>
        <v/>
      </c>
      <c r="C2699" s="26" t="str">
        <f t="shared" si="169"/>
        <v/>
      </c>
      <c r="D2699" s="26" t="str">
        <f t="shared" si="170"/>
        <v/>
      </c>
      <c r="E2699" s="29"/>
      <c r="F2699" s="22"/>
      <c r="G2699" s="22"/>
      <c r="H2699" s="22"/>
      <c r="I2699" s="24"/>
      <c r="J2699" s="24"/>
      <c r="K2699" s="24"/>
      <c r="L2699" s="24"/>
      <c r="M2699" s="27" t="str">
        <f t="shared" si="171"/>
        <v/>
      </c>
      <c r="N2699" s="25"/>
      <c r="O2699" s="22"/>
      <c r="P2699" s="24"/>
      <c r="Q2699" s="26"/>
    </row>
    <row r="2700" spans="1:17" ht="15" x14ac:dyDescent="0.15">
      <c r="A2700" s="22"/>
      <c r="B2700" s="26" t="str">
        <f t="shared" si="168"/>
        <v/>
      </c>
      <c r="C2700" s="26" t="str">
        <f t="shared" si="169"/>
        <v/>
      </c>
      <c r="D2700" s="26" t="str">
        <f t="shared" si="170"/>
        <v/>
      </c>
      <c r="E2700" s="29"/>
      <c r="F2700" s="22"/>
      <c r="G2700" s="22"/>
      <c r="H2700" s="22"/>
      <c r="I2700" s="24"/>
      <c r="J2700" s="24"/>
      <c r="K2700" s="24"/>
      <c r="L2700" s="24"/>
      <c r="M2700" s="27" t="str">
        <f t="shared" si="171"/>
        <v/>
      </c>
      <c r="N2700" s="25"/>
      <c r="O2700" s="22"/>
      <c r="P2700" s="24"/>
      <c r="Q2700" s="26"/>
    </row>
    <row r="2701" spans="1:17" ht="15" x14ac:dyDescent="0.15">
      <c r="A2701" s="22"/>
      <c r="B2701" s="26" t="str">
        <f t="shared" si="168"/>
        <v/>
      </c>
      <c r="C2701" s="26" t="str">
        <f t="shared" si="169"/>
        <v/>
      </c>
      <c r="D2701" s="26" t="str">
        <f t="shared" si="170"/>
        <v/>
      </c>
      <c r="E2701" s="29"/>
      <c r="F2701" s="22"/>
      <c r="G2701" s="22"/>
      <c r="H2701" s="22"/>
      <c r="I2701" s="24"/>
      <c r="J2701" s="24"/>
      <c r="K2701" s="24"/>
      <c r="L2701" s="24"/>
      <c r="M2701" s="27" t="str">
        <f t="shared" si="171"/>
        <v/>
      </c>
      <c r="N2701" s="25"/>
      <c r="O2701" s="22"/>
      <c r="P2701" s="24"/>
      <c r="Q2701" s="26"/>
    </row>
    <row r="2702" spans="1:17" ht="15" x14ac:dyDescent="0.15">
      <c r="A2702" s="22"/>
      <c r="B2702" s="26" t="str">
        <f t="shared" si="168"/>
        <v/>
      </c>
      <c r="C2702" s="26" t="str">
        <f t="shared" si="169"/>
        <v/>
      </c>
      <c r="D2702" s="26" t="str">
        <f t="shared" si="170"/>
        <v/>
      </c>
      <c r="E2702" s="29"/>
      <c r="F2702" s="22"/>
      <c r="G2702" s="22"/>
      <c r="H2702" s="22"/>
      <c r="I2702" s="24"/>
      <c r="J2702" s="24"/>
      <c r="K2702" s="24"/>
      <c r="L2702" s="24"/>
      <c r="M2702" s="27" t="str">
        <f t="shared" si="171"/>
        <v/>
      </c>
      <c r="N2702" s="25"/>
      <c r="O2702" s="22"/>
      <c r="P2702" s="24"/>
      <c r="Q2702" s="26"/>
    </row>
    <row r="2703" spans="1:17" ht="15" x14ac:dyDescent="0.15">
      <c r="A2703" s="22"/>
      <c r="B2703" s="26" t="str">
        <f t="shared" si="168"/>
        <v/>
      </c>
      <c r="C2703" s="26" t="str">
        <f t="shared" si="169"/>
        <v/>
      </c>
      <c r="D2703" s="26" t="str">
        <f t="shared" si="170"/>
        <v/>
      </c>
      <c r="E2703" s="29"/>
      <c r="F2703" s="22"/>
      <c r="G2703" s="22"/>
      <c r="H2703" s="22"/>
      <c r="I2703" s="24"/>
      <c r="J2703" s="24"/>
      <c r="K2703" s="24"/>
      <c r="L2703" s="24"/>
      <c r="M2703" s="27" t="str">
        <f t="shared" si="171"/>
        <v/>
      </c>
      <c r="N2703" s="25"/>
      <c r="O2703" s="22"/>
      <c r="P2703" s="24"/>
      <c r="Q2703" s="26"/>
    </row>
    <row r="2704" spans="1:17" ht="15" x14ac:dyDescent="0.15">
      <c r="A2704" s="22"/>
      <c r="B2704" s="26" t="str">
        <f t="shared" si="168"/>
        <v/>
      </c>
      <c r="C2704" s="26" t="str">
        <f t="shared" si="169"/>
        <v/>
      </c>
      <c r="D2704" s="26" t="str">
        <f t="shared" si="170"/>
        <v/>
      </c>
      <c r="E2704" s="29"/>
      <c r="F2704" s="22"/>
      <c r="G2704" s="22"/>
      <c r="H2704" s="22"/>
      <c r="I2704" s="24"/>
      <c r="J2704" s="24"/>
      <c r="K2704" s="24"/>
      <c r="L2704" s="24"/>
      <c r="M2704" s="27" t="str">
        <f t="shared" si="171"/>
        <v/>
      </c>
      <c r="N2704" s="25"/>
      <c r="O2704" s="22"/>
      <c r="P2704" s="24"/>
      <c r="Q2704" s="26"/>
    </row>
    <row r="2705" spans="1:17" ht="15" x14ac:dyDescent="0.15">
      <c r="A2705" s="22"/>
      <c r="B2705" s="26" t="str">
        <f t="shared" si="168"/>
        <v/>
      </c>
      <c r="C2705" s="26" t="str">
        <f t="shared" si="169"/>
        <v/>
      </c>
      <c r="D2705" s="26" t="str">
        <f t="shared" si="170"/>
        <v/>
      </c>
      <c r="E2705" s="29"/>
      <c r="F2705" s="22"/>
      <c r="G2705" s="22"/>
      <c r="H2705" s="22"/>
      <c r="I2705" s="24"/>
      <c r="J2705" s="24"/>
      <c r="K2705" s="24"/>
      <c r="L2705" s="24"/>
      <c r="M2705" s="27" t="str">
        <f t="shared" si="171"/>
        <v/>
      </c>
      <c r="N2705" s="25"/>
      <c r="O2705" s="22"/>
      <c r="P2705" s="24"/>
      <c r="Q2705" s="26"/>
    </row>
    <row r="2706" spans="1:17" ht="15" x14ac:dyDescent="0.15">
      <c r="A2706" s="22"/>
      <c r="B2706" s="26" t="str">
        <f t="shared" si="168"/>
        <v/>
      </c>
      <c r="C2706" s="26" t="str">
        <f t="shared" si="169"/>
        <v/>
      </c>
      <c r="D2706" s="26" t="str">
        <f t="shared" si="170"/>
        <v/>
      </c>
      <c r="E2706" s="29"/>
      <c r="F2706" s="22"/>
      <c r="G2706" s="22"/>
      <c r="H2706" s="22"/>
      <c r="I2706" s="24"/>
      <c r="J2706" s="24"/>
      <c r="K2706" s="24"/>
      <c r="L2706" s="24"/>
      <c r="M2706" s="27" t="str">
        <f t="shared" si="171"/>
        <v/>
      </c>
      <c r="N2706" s="25"/>
      <c r="O2706" s="22"/>
      <c r="P2706" s="24"/>
      <c r="Q2706" s="26"/>
    </row>
    <row r="2707" spans="1:17" ht="15" x14ac:dyDescent="0.15">
      <c r="A2707" s="22"/>
      <c r="B2707" s="26" t="str">
        <f t="shared" si="168"/>
        <v/>
      </c>
      <c r="C2707" s="26" t="str">
        <f t="shared" si="169"/>
        <v/>
      </c>
      <c r="D2707" s="26" t="str">
        <f t="shared" si="170"/>
        <v/>
      </c>
      <c r="E2707" s="29"/>
      <c r="F2707" s="22"/>
      <c r="G2707" s="22"/>
      <c r="H2707" s="22"/>
      <c r="I2707" s="24"/>
      <c r="J2707" s="24"/>
      <c r="K2707" s="24"/>
      <c r="L2707" s="24"/>
      <c r="M2707" s="27" t="str">
        <f t="shared" si="171"/>
        <v/>
      </c>
      <c r="N2707" s="25"/>
      <c r="O2707" s="22"/>
      <c r="P2707" s="24"/>
      <c r="Q2707" s="26"/>
    </row>
    <row r="2708" spans="1:17" ht="15" x14ac:dyDescent="0.15">
      <c r="A2708" s="22"/>
      <c r="B2708" s="26" t="str">
        <f t="shared" si="168"/>
        <v/>
      </c>
      <c r="C2708" s="26" t="str">
        <f t="shared" si="169"/>
        <v/>
      </c>
      <c r="D2708" s="26" t="str">
        <f t="shared" si="170"/>
        <v/>
      </c>
      <c r="E2708" s="29"/>
      <c r="F2708" s="22"/>
      <c r="G2708" s="22"/>
      <c r="H2708" s="22"/>
      <c r="I2708" s="24"/>
      <c r="J2708" s="24"/>
      <c r="K2708" s="24"/>
      <c r="L2708" s="24"/>
      <c r="M2708" s="27" t="str">
        <f t="shared" si="171"/>
        <v/>
      </c>
      <c r="N2708" s="25"/>
      <c r="O2708" s="22"/>
      <c r="P2708" s="24"/>
      <c r="Q2708" s="26"/>
    </row>
    <row r="2709" spans="1:17" ht="15" x14ac:dyDescent="0.15">
      <c r="A2709" s="22"/>
      <c r="B2709" s="26" t="str">
        <f t="shared" si="168"/>
        <v/>
      </c>
      <c r="C2709" s="26" t="str">
        <f t="shared" si="169"/>
        <v/>
      </c>
      <c r="D2709" s="26" t="str">
        <f t="shared" si="170"/>
        <v/>
      </c>
      <c r="E2709" s="29"/>
      <c r="F2709" s="22"/>
      <c r="G2709" s="22"/>
      <c r="H2709" s="22"/>
      <c r="I2709" s="24"/>
      <c r="J2709" s="24"/>
      <c r="K2709" s="24"/>
      <c r="L2709" s="24"/>
      <c r="M2709" s="27" t="str">
        <f t="shared" si="171"/>
        <v/>
      </c>
      <c r="N2709" s="25"/>
      <c r="O2709" s="22"/>
      <c r="P2709" s="24"/>
      <c r="Q2709" s="26"/>
    </row>
    <row r="2710" spans="1:17" ht="15" x14ac:dyDescent="0.15">
      <c r="A2710" s="22"/>
      <c r="B2710" s="26" t="str">
        <f t="shared" si="168"/>
        <v/>
      </c>
      <c r="C2710" s="26" t="str">
        <f t="shared" si="169"/>
        <v/>
      </c>
      <c r="D2710" s="26" t="str">
        <f t="shared" si="170"/>
        <v/>
      </c>
      <c r="E2710" s="29"/>
      <c r="F2710" s="22"/>
      <c r="G2710" s="22"/>
      <c r="H2710" s="22"/>
      <c r="I2710" s="24"/>
      <c r="J2710" s="24"/>
      <c r="K2710" s="24"/>
      <c r="L2710" s="24"/>
      <c r="M2710" s="27" t="str">
        <f t="shared" si="171"/>
        <v/>
      </c>
      <c r="N2710" s="25"/>
      <c r="O2710" s="22"/>
      <c r="P2710" s="24"/>
      <c r="Q2710" s="26"/>
    </row>
    <row r="2711" spans="1:17" ht="15" x14ac:dyDescent="0.15">
      <c r="A2711" s="22"/>
      <c r="B2711" s="26" t="str">
        <f t="shared" si="168"/>
        <v/>
      </c>
      <c r="C2711" s="26" t="str">
        <f t="shared" si="169"/>
        <v/>
      </c>
      <c r="D2711" s="26" t="str">
        <f t="shared" si="170"/>
        <v/>
      </c>
      <c r="E2711" s="29"/>
      <c r="F2711" s="22"/>
      <c r="G2711" s="22"/>
      <c r="H2711" s="22"/>
      <c r="I2711" s="24"/>
      <c r="J2711" s="24"/>
      <c r="K2711" s="24"/>
      <c r="L2711" s="24"/>
      <c r="M2711" s="27" t="str">
        <f t="shared" si="171"/>
        <v/>
      </c>
      <c r="N2711" s="25"/>
      <c r="O2711" s="22"/>
      <c r="P2711" s="24"/>
      <c r="Q2711" s="26"/>
    </row>
    <row r="2712" spans="1:17" ht="15" x14ac:dyDescent="0.15">
      <c r="A2712" s="22"/>
      <c r="B2712" s="26" t="str">
        <f t="shared" si="168"/>
        <v/>
      </c>
      <c r="C2712" s="26" t="str">
        <f t="shared" si="169"/>
        <v/>
      </c>
      <c r="D2712" s="26" t="str">
        <f t="shared" si="170"/>
        <v/>
      </c>
      <c r="E2712" s="29"/>
      <c r="F2712" s="22"/>
      <c r="G2712" s="22"/>
      <c r="H2712" s="22"/>
      <c r="I2712" s="24"/>
      <c r="J2712" s="24"/>
      <c r="K2712" s="24"/>
      <c r="L2712" s="24"/>
      <c r="M2712" s="27" t="str">
        <f t="shared" si="171"/>
        <v/>
      </c>
      <c r="N2712" s="25"/>
      <c r="O2712" s="22"/>
      <c r="P2712" s="24"/>
      <c r="Q2712" s="26"/>
    </row>
    <row r="2713" spans="1:17" ht="15" x14ac:dyDescent="0.15">
      <c r="A2713" s="22"/>
      <c r="B2713" s="26" t="str">
        <f t="shared" si="168"/>
        <v/>
      </c>
      <c r="C2713" s="26" t="str">
        <f t="shared" si="169"/>
        <v/>
      </c>
      <c r="D2713" s="26" t="str">
        <f t="shared" si="170"/>
        <v/>
      </c>
      <c r="E2713" s="29"/>
      <c r="F2713" s="22"/>
      <c r="G2713" s="22"/>
      <c r="H2713" s="22"/>
      <c r="I2713" s="24"/>
      <c r="J2713" s="24"/>
      <c r="K2713" s="24"/>
      <c r="L2713" s="24"/>
      <c r="M2713" s="27" t="str">
        <f t="shared" si="171"/>
        <v/>
      </c>
      <c r="N2713" s="25"/>
      <c r="O2713" s="22"/>
      <c r="P2713" s="24"/>
      <c r="Q2713" s="26"/>
    </row>
    <row r="2714" spans="1:17" ht="15" x14ac:dyDescent="0.15">
      <c r="A2714" s="22"/>
      <c r="B2714" s="26" t="str">
        <f t="shared" si="168"/>
        <v/>
      </c>
      <c r="C2714" s="26" t="str">
        <f t="shared" si="169"/>
        <v/>
      </c>
      <c r="D2714" s="26" t="str">
        <f t="shared" si="170"/>
        <v/>
      </c>
      <c r="E2714" s="29"/>
      <c r="F2714" s="22"/>
      <c r="G2714" s="22"/>
      <c r="H2714" s="22"/>
      <c r="I2714" s="24"/>
      <c r="J2714" s="24"/>
      <c r="K2714" s="24"/>
      <c r="L2714" s="24"/>
      <c r="M2714" s="27" t="str">
        <f t="shared" si="171"/>
        <v/>
      </c>
      <c r="N2714" s="25"/>
      <c r="O2714" s="22"/>
      <c r="P2714" s="24"/>
      <c r="Q2714" s="26"/>
    </row>
    <row r="2715" spans="1:17" ht="15" x14ac:dyDescent="0.15">
      <c r="A2715" s="22"/>
      <c r="B2715" s="26" t="str">
        <f t="shared" si="168"/>
        <v/>
      </c>
      <c r="C2715" s="26" t="str">
        <f t="shared" si="169"/>
        <v/>
      </c>
      <c r="D2715" s="26" t="str">
        <f t="shared" si="170"/>
        <v/>
      </c>
      <c r="E2715" s="29"/>
      <c r="F2715" s="22"/>
      <c r="G2715" s="22"/>
      <c r="H2715" s="22"/>
      <c r="I2715" s="24"/>
      <c r="J2715" s="24"/>
      <c r="K2715" s="24"/>
      <c r="L2715" s="24"/>
      <c r="M2715" s="27" t="str">
        <f t="shared" si="171"/>
        <v/>
      </c>
      <c r="N2715" s="25"/>
      <c r="O2715" s="22"/>
      <c r="P2715" s="24"/>
      <c r="Q2715" s="26"/>
    </row>
    <row r="2716" spans="1:17" ht="15" x14ac:dyDescent="0.15">
      <c r="A2716" s="22"/>
      <c r="B2716" s="26" t="str">
        <f t="shared" si="168"/>
        <v/>
      </c>
      <c r="C2716" s="26" t="str">
        <f t="shared" si="169"/>
        <v/>
      </c>
      <c r="D2716" s="26" t="str">
        <f t="shared" si="170"/>
        <v/>
      </c>
      <c r="E2716" s="29"/>
      <c r="F2716" s="22"/>
      <c r="G2716" s="22"/>
      <c r="H2716" s="22"/>
      <c r="I2716" s="24"/>
      <c r="J2716" s="24"/>
      <c r="K2716" s="24"/>
      <c r="L2716" s="24"/>
      <c r="M2716" s="27" t="str">
        <f t="shared" si="171"/>
        <v/>
      </c>
      <c r="N2716" s="25"/>
      <c r="O2716" s="22"/>
      <c r="P2716" s="24"/>
      <c r="Q2716" s="26"/>
    </row>
    <row r="2717" spans="1:17" ht="15" x14ac:dyDescent="0.15">
      <c r="A2717" s="22"/>
      <c r="B2717" s="26" t="str">
        <f t="shared" si="168"/>
        <v/>
      </c>
      <c r="C2717" s="26" t="str">
        <f t="shared" si="169"/>
        <v/>
      </c>
      <c r="D2717" s="26" t="str">
        <f t="shared" si="170"/>
        <v/>
      </c>
      <c r="E2717" s="29"/>
      <c r="F2717" s="22"/>
      <c r="G2717" s="22"/>
      <c r="H2717" s="22"/>
      <c r="I2717" s="24"/>
      <c r="J2717" s="24"/>
      <c r="K2717" s="24"/>
      <c r="L2717" s="24"/>
      <c r="M2717" s="27" t="str">
        <f t="shared" si="171"/>
        <v/>
      </c>
      <c r="N2717" s="25"/>
      <c r="O2717" s="22"/>
      <c r="P2717" s="24"/>
      <c r="Q2717" s="26"/>
    </row>
    <row r="2718" spans="1:17" ht="15" x14ac:dyDescent="0.15">
      <c r="A2718" s="22"/>
      <c r="B2718" s="26" t="str">
        <f t="shared" si="168"/>
        <v/>
      </c>
      <c r="C2718" s="26" t="str">
        <f t="shared" si="169"/>
        <v/>
      </c>
      <c r="D2718" s="26" t="str">
        <f t="shared" si="170"/>
        <v/>
      </c>
      <c r="E2718" s="29"/>
      <c r="F2718" s="22"/>
      <c r="G2718" s="22"/>
      <c r="H2718" s="22"/>
      <c r="I2718" s="24"/>
      <c r="J2718" s="24"/>
      <c r="K2718" s="24"/>
      <c r="L2718" s="24"/>
      <c r="M2718" s="27" t="str">
        <f t="shared" si="171"/>
        <v/>
      </c>
      <c r="N2718" s="25"/>
      <c r="O2718" s="22"/>
      <c r="P2718" s="24"/>
      <c r="Q2718" s="26"/>
    </row>
    <row r="2719" spans="1:17" ht="15" x14ac:dyDescent="0.15">
      <c r="A2719" s="22"/>
      <c r="B2719" s="26" t="str">
        <f t="shared" si="168"/>
        <v/>
      </c>
      <c r="C2719" s="26" t="str">
        <f t="shared" si="169"/>
        <v/>
      </c>
      <c r="D2719" s="26" t="str">
        <f t="shared" si="170"/>
        <v/>
      </c>
      <c r="E2719" s="29"/>
      <c r="F2719" s="22"/>
      <c r="G2719" s="22"/>
      <c r="H2719" s="22"/>
      <c r="I2719" s="24"/>
      <c r="J2719" s="24"/>
      <c r="K2719" s="24"/>
      <c r="L2719" s="24"/>
      <c r="M2719" s="27" t="str">
        <f t="shared" si="171"/>
        <v/>
      </c>
      <c r="N2719" s="25"/>
      <c r="O2719" s="22"/>
      <c r="P2719" s="24"/>
      <c r="Q2719" s="26"/>
    </row>
    <row r="2720" spans="1:17" ht="15" x14ac:dyDescent="0.15">
      <c r="A2720" s="22"/>
      <c r="B2720" s="26" t="str">
        <f t="shared" si="168"/>
        <v/>
      </c>
      <c r="C2720" s="26" t="str">
        <f t="shared" si="169"/>
        <v/>
      </c>
      <c r="D2720" s="26" t="str">
        <f t="shared" si="170"/>
        <v/>
      </c>
      <c r="E2720" s="29"/>
      <c r="F2720" s="22"/>
      <c r="G2720" s="22"/>
      <c r="H2720" s="22"/>
      <c r="I2720" s="24"/>
      <c r="J2720" s="24"/>
      <c r="K2720" s="24"/>
      <c r="L2720" s="24"/>
      <c r="M2720" s="27" t="str">
        <f t="shared" si="171"/>
        <v/>
      </c>
      <c r="N2720" s="25"/>
      <c r="O2720" s="22"/>
      <c r="P2720" s="24"/>
      <c r="Q2720" s="26"/>
    </row>
    <row r="2721" spans="1:17" ht="15" x14ac:dyDescent="0.15">
      <c r="A2721" s="22"/>
      <c r="B2721" s="26" t="str">
        <f t="shared" si="168"/>
        <v/>
      </c>
      <c r="C2721" s="26" t="str">
        <f t="shared" si="169"/>
        <v/>
      </c>
      <c r="D2721" s="26" t="str">
        <f t="shared" si="170"/>
        <v/>
      </c>
      <c r="E2721" s="29"/>
      <c r="F2721" s="22"/>
      <c r="G2721" s="22"/>
      <c r="H2721" s="22"/>
      <c r="I2721" s="24"/>
      <c r="J2721" s="24"/>
      <c r="K2721" s="24"/>
      <c r="L2721" s="24"/>
      <c r="M2721" s="27" t="str">
        <f t="shared" si="171"/>
        <v/>
      </c>
      <c r="N2721" s="25"/>
      <c r="O2721" s="22"/>
      <c r="P2721" s="24"/>
      <c r="Q2721" s="26"/>
    </row>
    <row r="2722" spans="1:17" ht="15" x14ac:dyDescent="0.15">
      <c r="A2722" s="22"/>
      <c r="B2722" s="26" t="str">
        <f t="shared" si="168"/>
        <v/>
      </c>
      <c r="C2722" s="26" t="str">
        <f t="shared" si="169"/>
        <v/>
      </c>
      <c r="D2722" s="26" t="str">
        <f t="shared" si="170"/>
        <v/>
      </c>
      <c r="E2722" s="29"/>
      <c r="F2722" s="22"/>
      <c r="G2722" s="22"/>
      <c r="H2722" s="22"/>
      <c r="I2722" s="24"/>
      <c r="J2722" s="24"/>
      <c r="K2722" s="24"/>
      <c r="L2722" s="24"/>
      <c r="M2722" s="27" t="str">
        <f t="shared" si="171"/>
        <v/>
      </c>
      <c r="N2722" s="25"/>
      <c r="O2722" s="22"/>
      <c r="P2722" s="24"/>
      <c r="Q2722" s="26"/>
    </row>
    <row r="2723" spans="1:17" ht="15" x14ac:dyDescent="0.15">
      <c r="A2723" s="22"/>
      <c r="B2723" s="26" t="str">
        <f t="shared" si="168"/>
        <v/>
      </c>
      <c r="C2723" s="26" t="str">
        <f t="shared" si="169"/>
        <v/>
      </c>
      <c r="D2723" s="26" t="str">
        <f t="shared" si="170"/>
        <v/>
      </c>
      <c r="E2723" s="29"/>
      <c r="F2723" s="22"/>
      <c r="G2723" s="22"/>
      <c r="H2723" s="22"/>
      <c r="I2723" s="24"/>
      <c r="J2723" s="24"/>
      <c r="K2723" s="24"/>
      <c r="L2723" s="24"/>
      <c r="M2723" s="27" t="str">
        <f t="shared" si="171"/>
        <v/>
      </c>
      <c r="N2723" s="25"/>
      <c r="O2723" s="22"/>
      <c r="P2723" s="24"/>
      <c r="Q2723" s="26"/>
    </row>
    <row r="2724" spans="1:17" ht="15" x14ac:dyDescent="0.15">
      <c r="A2724" s="22"/>
      <c r="B2724" s="26" t="str">
        <f t="shared" si="168"/>
        <v/>
      </c>
      <c r="C2724" s="26" t="str">
        <f t="shared" si="169"/>
        <v/>
      </c>
      <c r="D2724" s="26" t="str">
        <f t="shared" si="170"/>
        <v/>
      </c>
      <c r="E2724" s="29"/>
      <c r="F2724" s="22"/>
      <c r="G2724" s="22"/>
      <c r="H2724" s="22"/>
      <c r="I2724" s="24"/>
      <c r="J2724" s="24"/>
      <c r="K2724" s="24"/>
      <c r="L2724" s="24"/>
      <c r="M2724" s="27" t="str">
        <f t="shared" si="171"/>
        <v/>
      </c>
      <c r="N2724" s="25"/>
      <c r="O2724" s="22"/>
      <c r="P2724" s="24"/>
      <c r="Q2724" s="26"/>
    </row>
    <row r="2725" spans="1:17" ht="15" x14ac:dyDescent="0.15">
      <c r="A2725" s="22"/>
      <c r="B2725" s="26" t="str">
        <f t="shared" si="168"/>
        <v/>
      </c>
      <c r="C2725" s="26" t="str">
        <f t="shared" si="169"/>
        <v/>
      </c>
      <c r="D2725" s="26" t="str">
        <f t="shared" si="170"/>
        <v/>
      </c>
      <c r="E2725" s="29"/>
      <c r="F2725" s="22"/>
      <c r="G2725" s="22"/>
      <c r="H2725" s="22"/>
      <c r="I2725" s="24"/>
      <c r="J2725" s="24"/>
      <c r="K2725" s="24"/>
      <c r="L2725" s="24"/>
      <c r="M2725" s="27" t="str">
        <f t="shared" si="171"/>
        <v/>
      </c>
      <c r="N2725" s="25"/>
      <c r="O2725" s="22"/>
      <c r="P2725" s="24"/>
      <c r="Q2725" s="26"/>
    </row>
    <row r="2726" spans="1:17" ht="15" x14ac:dyDescent="0.15">
      <c r="A2726" s="22"/>
      <c r="B2726" s="26" t="str">
        <f t="shared" si="168"/>
        <v/>
      </c>
      <c r="C2726" s="26" t="str">
        <f t="shared" si="169"/>
        <v/>
      </c>
      <c r="D2726" s="26" t="str">
        <f t="shared" si="170"/>
        <v/>
      </c>
      <c r="E2726" s="29"/>
      <c r="F2726" s="22"/>
      <c r="G2726" s="22"/>
      <c r="H2726" s="22"/>
      <c r="I2726" s="24"/>
      <c r="J2726" s="24"/>
      <c r="K2726" s="24"/>
      <c r="L2726" s="24"/>
      <c r="M2726" s="27" t="str">
        <f t="shared" si="171"/>
        <v/>
      </c>
      <c r="N2726" s="25"/>
      <c r="O2726" s="22"/>
      <c r="P2726" s="24"/>
      <c r="Q2726" s="26"/>
    </row>
    <row r="2727" spans="1:17" ht="15" x14ac:dyDescent="0.15">
      <c r="A2727" s="22"/>
      <c r="B2727" s="26" t="str">
        <f t="shared" si="168"/>
        <v/>
      </c>
      <c r="C2727" s="26" t="str">
        <f t="shared" si="169"/>
        <v/>
      </c>
      <c r="D2727" s="26" t="str">
        <f t="shared" si="170"/>
        <v/>
      </c>
      <c r="E2727" s="29"/>
      <c r="F2727" s="22"/>
      <c r="G2727" s="22"/>
      <c r="H2727" s="22"/>
      <c r="I2727" s="24"/>
      <c r="J2727" s="24"/>
      <c r="K2727" s="24"/>
      <c r="L2727" s="24"/>
      <c r="M2727" s="27" t="str">
        <f t="shared" si="171"/>
        <v/>
      </c>
      <c r="N2727" s="25"/>
      <c r="O2727" s="22"/>
      <c r="P2727" s="24"/>
      <c r="Q2727" s="26"/>
    </row>
    <row r="2728" spans="1:17" ht="15" x14ac:dyDescent="0.15">
      <c r="A2728" s="22"/>
      <c r="B2728" s="26" t="str">
        <f t="shared" si="168"/>
        <v/>
      </c>
      <c r="C2728" s="26" t="str">
        <f t="shared" si="169"/>
        <v/>
      </c>
      <c r="D2728" s="26" t="str">
        <f t="shared" si="170"/>
        <v/>
      </c>
      <c r="E2728" s="29"/>
      <c r="F2728" s="22"/>
      <c r="G2728" s="22"/>
      <c r="H2728" s="22"/>
      <c r="I2728" s="24"/>
      <c r="J2728" s="24"/>
      <c r="K2728" s="24"/>
      <c r="L2728" s="24"/>
      <c r="M2728" s="27" t="str">
        <f t="shared" si="171"/>
        <v/>
      </c>
      <c r="N2728" s="25"/>
      <c r="O2728" s="22"/>
      <c r="P2728" s="24"/>
      <c r="Q2728" s="26"/>
    </row>
    <row r="2729" spans="1:17" ht="15" x14ac:dyDescent="0.15">
      <c r="A2729" s="22"/>
      <c r="B2729" s="26" t="str">
        <f t="shared" si="168"/>
        <v/>
      </c>
      <c r="C2729" s="26" t="str">
        <f t="shared" si="169"/>
        <v/>
      </c>
      <c r="D2729" s="26" t="str">
        <f t="shared" si="170"/>
        <v/>
      </c>
      <c r="E2729" s="29"/>
      <c r="F2729" s="22"/>
      <c r="G2729" s="22"/>
      <c r="H2729" s="22"/>
      <c r="I2729" s="24"/>
      <c r="J2729" s="24"/>
      <c r="K2729" s="24"/>
      <c r="L2729" s="24"/>
      <c r="M2729" s="27" t="str">
        <f t="shared" si="171"/>
        <v/>
      </c>
      <c r="N2729" s="25"/>
      <c r="O2729" s="22"/>
      <c r="P2729" s="24"/>
      <c r="Q2729" s="26"/>
    </row>
    <row r="2730" spans="1:17" ht="15" x14ac:dyDescent="0.15">
      <c r="A2730" s="22"/>
      <c r="B2730" s="26" t="str">
        <f t="shared" si="168"/>
        <v/>
      </c>
      <c r="C2730" s="26" t="str">
        <f t="shared" si="169"/>
        <v/>
      </c>
      <c r="D2730" s="26" t="str">
        <f t="shared" si="170"/>
        <v/>
      </c>
      <c r="E2730" s="29"/>
      <c r="F2730" s="22"/>
      <c r="G2730" s="22"/>
      <c r="H2730" s="22"/>
      <c r="I2730" s="24"/>
      <c r="J2730" s="24"/>
      <c r="K2730" s="24"/>
      <c r="L2730" s="24"/>
      <c r="M2730" s="27" t="str">
        <f t="shared" si="171"/>
        <v/>
      </c>
      <c r="N2730" s="25"/>
      <c r="O2730" s="22"/>
      <c r="P2730" s="24"/>
      <c r="Q2730" s="26"/>
    </row>
    <row r="2731" spans="1:17" ht="15" x14ac:dyDescent="0.15">
      <c r="A2731" s="22"/>
      <c r="B2731" s="26" t="str">
        <f t="shared" si="168"/>
        <v/>
      </c>
      <c r="C2731" s="26" t="str">
        <f t="shared" si="169"/>
        <v/>
      </c>
      <c r="D2731" s="26" t="str">
        <f t="shared" si="170"/>
        <v/>
      </c>
      <c r="E2731" s="29"/>
      <c r="F2731" s="22"/>
      <c r="G2731" s="22"/>
      <c r="H2731" s="22"/>
      <c r="I2731" s="24"/>
      <c r="J2731" s="24"/>
      <c r="K2731" s="24"/>
      <c r="L2731" s="24"/>
      <c r="M2731" s="27" t="str">
        <f t="shared" si="171"/>
        <v/>
      </c>
      <c r="N2731" s="25"/>
      <c r="O2731" s="22"/>
      <c r="P2731" s="24"/>
      <c r="Q2731" s="26"/>
    </row>
    <row r="2732" spans="1:17" ht="15" x14ac:dyDescent="0.15">
      <c r="A2732" s="22"/>
      <c r="B2732" s="26" t="str">
        <f t="shared" si="168"/>
        <v/>
      </c>
      <c r="C2732" s="26" t="str">
        <f t="shared" si="169"/>
        <v/>
      </c>
      <c r="D2732" s="26" t="str">
        <f t="shared" si="170"/>
        <v/>
      </c>
      <c r="E2732" s="29"/>
      <c r="F2732" s="22"/>
      <c r="G2732" s="22"/>
      <c r="H2732" s="22"/>
      <c r="I2732" s="24"/>
      <c r="J2732" s="24"/>
      <c r="K2732" s="24"/>
      <c r="L2732" s="24"/>
      <c r="M2732" s="27" t="str">
        <f t="shared" si="171"/>
        <v/>
      </c>
      <c r="N2732" s="25"/>
      <c r="O2732" s="22"/>
      <c r="P2732" s="24"/>
      <c r="Q2732" s="26"/>
    </row>
    <row r="2733" spans="1:17" ht="15" x14ac:dyDescent="0.15">
      <c r="A2733" s="22"/>
      <c r="B2733" s="26" t="str">
        <f t="shared" si="168"/>
        <v/>
      </c>
      <c r="C2733" s="26" t="str">
        <f t="shared" si="169"/>
        <v/>
      </c>
      <c r="D2733" s="26" t="str">
        <f t="shared" si="170"/>
        <v/>
      </c>
      <c r="E2733" s="29"/>
      <c r="F2733" s="22"/>
      <c r="G2733" s="22"/>
      <c r="H2733" s="22"/>
      <c r="I2733" s="24"/>
      <c r="J2733" s="24"/>
      <c r="K2733" s="24"/>
      <c r="L2733" s="24"/>
      <c r="M2733" s="27" t="str">
        <f t="shared" si="171"/>
        <v/>
      </c>
      <c r="N2733" s="25"/>
      <c r="O2733" s="22"/>
      <c r="P2733" s="24"/>
      <c r="Q2733" s="26"/>
    </row>
    <row r="2734" spans="1:17" ht="15" x14ac:dyDescent="0.15">
      <c r="A2734" s="22"/>
      <c r="B2734" s="26" t="str">
        <f t="shared" si="168"/>
        <v/>
      </c>
      <c r="C2734" s="26" t="str">
        <f t="shared" si="169"/>
        <v/>
      </c>
      <c r="D2734" s="26" t="str">
        <f t="shared" si="170"/>
        <v/>
      </c>
      <c r="E2734" s="29"/>
      <c r="F2734" s="22"/>
      <c r="G2734" s="22"/>
      <c r="H2734" s="22"/>
      <c r="I2734" s="24"/>
      <c r="J2734" s="24"/>
      <c r="K2734" s="24"/>
      <c r="L2734" s="24"/>
      <c r="M2734" s="27" t="str">
        <f t="shared" si="171"/>
        <v/>
      </c>
      <c r="N2734" s="25"/>
      <c r="O2734" s="22"/>
      <c r="P2734" s="24"/>
      <c r="Q2734" s="26"/>
    </row>
    <row r="2735" spans="1:17" ht="15" x14ac:dyDescent="0.15">
      <c r="A2735" s="22"/>
      <c r="B2735" s="26" t="str">
        <f t="shared" si="168"/>
        <v/>
      </c>
      <c r="C2735" s="26" t="str">
        <f t="shared" si="169"/>
        <v/>
      </c>
      <c r="D2735" s="26" t="str">
        <f t="shared" si="170"/>
        <v/>
      </c>
      <c r="E2735" s="29"/>
      <c r="F2735" s="22"/>
      <c r="G2735" s="22"/>
      <c r="H2735" s="22"/>
      <c r="I2735" s="24"/>
      <c r="J2735" s="24"/>
      <c r="K2735" s="24"/>
      <c r="L2735" s="24"/>
      <c r="M2735" s="27" t="str">
        <f t="shared" si="171"/>
        <v/>
      </c>
      <c r="N2735" s="25"/>
      <c r="O2735" s="22"/>
      <c r="P2735" s="24"/>
      <c r="Q2735" s="26"/>
    </row>
    <row r="2736" spans="1:17" ht="15" x14ac:dyDescent="0.15">
      <c r="A2736" s="22"/>
      <c r="B2736" s="26" t="str">
        <f t="shared" si="168"/>
        <v/>
      </c>
      <c r="C2736" s="26" t="str">
        <f t="shared" si="169"/>
        <v/>
      </c>
      <c r="D2736" s="26" t="str">
        <f t="shared" si="170"/>
        <v/>
      </c>
      <c r="E2736" s="29"/>
      <c r="F2736" s="22"/>
      <c r="G2736" s="22"/>
      <c r="H2736" s="22"/>
      <c r="I2736" s="24"/>
      <c r="J2736" s="24"/>
      <c r="K2736" s="24"/>
      <c r="L2736" s="24"/>
      <c r="M2736" s="27" t="str">
        <f t="shared" si="171"/>
        <v/>
      </c>
      <c r="N2736" s="25"/>
      <c r="O2736" s="22"/>
      <c r="P2736" s="24"/>
      <c r="Q2736" s="26"/>
    </row>
    <row r="2737" spans="1:17" ht="15" x14ac:dyDescent="0.15">
      <c r="A2737" s="22"/>
      <c r="B2737" s="26" t="str">
        <f t="shared" si="168"/>
        <v/>
      </c>
      <c r="C2737" s="26" t="str">
        <f t="shared" si="169"/>
        <v/>
      </c>
      <c r="D2737" s="26" t="str">
        <f t="shared" si="170"/>
        <v/>
      </c>
      <c r="E2737" s="29"/>
      <c r="F2737" s="22"/>
      <c r="G2737" s="22"/>
      <c r="H2737" s="22"/>
      <c r="I2737" s="24"/>
      <c r="J2737" s="24"/>
      <c r="K2737" s="24"/>
      <c r="L2737" s="24"/>
      <c r="M2737" s="27" t="str">
        <f t="shared" si="171"/>
        <v/>
      </c>
      <c r="N2737" s="25"/>
      <c r="O2737" s="22"/>
      <c r="P2737" s="24"/>
      <c r="Q2737" s="26"/>
    </row>
    <row r="2738" spans="1:17" ht="15" x14ac:dyDescent="0.15">
      <c r="A2738" s="22"/>
      <c r="B2738" s="26" t="str">
        <f t="shared" si="168"/>
        <v/>
      </c>
      <c r="C2738" s="26" t="str">
        <f t="shared" si="169"/>
        <v/>
      </c>
      <c r="D2738" s="26" t="str">
        <f t="shared" si="170"/>
        <v/>
      </c>
      <c r="E2738" s="29"/>
      <c r="F2738" s="22"/>
      <c r="G2738" s="22"/>
      <c r="H2738" s="22"/>
      <c r="I2738" s="24"/>
      <c r="J2738" s="24"/>
      <c r="K2738" s="24"/>
      <c r="L2738" s="24"/>
      <c r="M2738" s="27" t="str">
        <f t="shared" si="171"/>
        <v/>
      </c>
      <c r="N2738" s="25"/>
      <c r="O2738" s="22"/>
      <c r="P2738" s="24"/>
      <c r="Q2738" s="26"/>
    </row>
    <row r="2739" spans="1:17" ht="15" x14ac:dyDescent="0.15">
      <c r="A2739" s="22"/>
      <c r="B2739" s="26" t="str">
        <f t="shared" si="168"/>
        <v/>
      </c>
      <c r="C2739" s="26" t="str">
        <f t="shared" si="169"/>
        <v/>
      </c>
      <c r="D2739" s="26" t="str">
        <f t="shared" si="170"/>
        <v/>
      </c>
      <c r="E2739" s="29"/>
      <c r="F2739" s="22"/>
      <c r="G2739" s="22"/>
      <c r="H2739" s="22"/>
      <c r="I2739" s="24"/>
      <c r="J2739" s="24"/>
      <c r="K2739" s="24"/>
      <c r="L2739" s="24"/>
      <c r="M2739" s="27" t="str">
        <f t="shared" si="171"/>
        <v/>
      </c>
      <c r="N2739" s="25"/>
      <c r="O2739" s="22"/>
      <c r="P2739" s="24"/>
      <c r="Q2739" s="26"/>
    </row>
    <row r="2740" spans="1:17" ht="15" x14ac:dyDescent="0.15">
      <c r="A2740" s="22"/>
      <c r="B2740" s="26" t="str">
        <f t="shared" si="168"/>
        <v/>
      </c>
      <c r="C2740" s="26" t="str">
        <f t="shared" si="169"/>
        <v/>
      </c>
      <c r="D2740" s="26" t="str">
        <f t="shared" si="170"/>
        <v/>
      </c>
      <c r="E2740" s="29"/>
      <c r="F2740" s="22"/>
      <c r="G2740" s="22"/>
      <c r="H2740" s="22"/>
      <c r="I2740" s="24"/>
      <c r="J2740" s="24"/>
      <c r="K2740" s="24"/>
      <c r="L2740" s="24"/>
      <c r="M2740" s="27" t="str">
        <f t="shared" si="171"/>
        <v/>
      </c>
      <c r="N2740" s="25"/>
      <c r="O2740" s="22"/>
      <c r="P2740" s="24"/>
      <c r="Q2740" s="26"/>
    </row>
    <row r="2741" spans="1:17" ht="15" x14ac:dyDescent="0.15">
      <c r="A2741" s="22"/>
      <c r="B2741" s="26" t="str">
        <f t="shared" si="168"/>
        <v/>
      </c>
      <c r="C2741" s="26" t="str">
        <f t="shared" si="169"/>
        <v/>
      </c>
      <c r="D2741" s="26" t="str">
        <f t="shared" si="170"/>
        <v/>
      </c>
      <c r="E2741" s="29"/>
      <c r="F2741" s="22"/>
      <c r="G2741" s="22"/>
      <c r="H2741" s="22"/>
      <c r="I2741" s="24"/>
      <c r="J2741" s="24"/>
      <c r="K2741" s="24"/>
      <c r="L2741" s="24"/>
      <c r="M2741" s="27" t="str">
        <f t="shared" si="171"/>
        <v/>
      </c>
      <c r="N2741" s="25"/>
      <c r="O2741" s="22"/>
      <c r="P2741" s="24"/>
      <c r="Q2741" s="26"/>
    </row>
    <row r="2742" spans="1:17" ht="15" x14ac:dyDescent="0.15">
      <c r="A2742" s="22"/>
      <c r="B2742" s="26" t="str">
        <f t="shared" si="168"/>
        <v/>
      </c>
      <c r="C2742" s="26" t="str">
        <f t="shared" si="169"/>
        <v/>
      </c>
      <c r="D2742" s="26" t="str">
        <f t="shared" si="170"/>
        <v/>
      </c>
      <c r="E2742" s="29"/>
      <c r="F2742" s="22"/>
      <c r="G2742" s="22"/>
      <c r="H2742" s="22"/>
      <c r="I2742" s="24"/>
      <c r="J2742" s="24"/>
      <c r="K2742" s="24"/>
      <c r="L2742" s="24"/>
      <c r="M2742" s="27" t="str">
        <f t="shared" si="171"/>
        <v/>
      </c>
      <c r="N2742" s="25"/>
      <c r="O2742" s="22"/>
      <c r="P2742" s="24"/>
      <c r="Q2742" s="26"/>
    </row>
    <row r="2743" spans="1:17" ht="15" x14ac:dyDescent="0.15">
      <c r="A2743" s="22"/>
      <c r="B2743" s="26" t="str">
        <f t="shared" si="168"/>
        <v/>
      </c>
      <c r="C2743" s="26" t="str">
        <f t="shared" si="169"/>
        <v/>
      </c>
      <c r="D2743" s="26" t="str">
        <f t="shared" si="170"/>
        <v/>
      </c>
      <c r="E2743" s="29"/>
      <c r="F2743" s="22"/>
      <c r="G2743" s="22"/>
      <c r="H2743" s="22"/>
      <c r="I2743" s="24"/>
      <c r="J2743" s="24"/>
      <c r="K2743" s="24"/>
      <c r="L2743" s="24"/>
      <c r="M2743" s="27" t="str">
        <f t="shared" si="171"/>
        <v/>
      </c>
      <c r="N2743" s="25"/>
      <c r="O2743" s="22"/>
      <c r="P2743" s="24"/>
      <c r="Q2743" s="26"/>
    </row>
    <row r="2744" spans="1:17" ht="15" x14ac:dyDescent="0.15">
      <c r="A2744" s="22"/>
      <c r="B2744" s="26" t="str">
        <f t="shared" si="168"/>
        <v/>
      </c>
      <c r="C2744" s="26" t="str">
        <f t="shared" si="169"/>
        <v/>
      </c>
      <c r="D2744" s="26" t="str">
        <f t="shared" si="170"/>
        <v/>
      </c>
      <c r="E2744" s="29"/>
      <c r="F2744" s="22"/>
      <c r="G2744" s="22"/>
      <c r="H2744" s="22"/>
      <c r="I2744" s="24"/>
      <c r="J2744" s="24"/>
      <c r="K2744" s="24"/>
      <c r="L2744" s="24"/>
      <c r="M2744" s="27" t="str">
        <f t="shared" si="171"/>
        <v/>
      </c>
      <c r="N2744" s="25"/>
      <c r="O2744" s="22"/>
      <c r="P2744" s="24"/>
      <c r="Q2744" s="26"/>
    </row>
    <row r="2745" spans="1:17" ht="15" x14ac:dyDescent="0.15">
      <c r="A2745" s="22"/>
      <c r="B2745" s="26" t="str">
        <f t="shared" si="168"/>
        <v/>
      </c>
      <c r="C2745" s="26" t="str">
        <f t="shared" si="169"/>
        <v/>
      </c>
      <c r="D2745" s="26" t="str">
        <f t="shared" si="170"/>
        <v/>
      </c>
      <c r="E2745" s="29"/>
      <c r="F2745" s="22"/>
      <c r="G2745" s="22"/>
      <c r="H2745" s="22"/>
      <c r="I2745" s="24"/>
      <c r="J2745" s="24"/>
      <c r="K2745" s="24"/>
      <c r="L2745" s="24"/>
      <c r="M2745" s="27" t="str">
        <f t="shared" si="171"/>
        <v/>
      </c>
      <c r="N2745" s="25"/>
      <c r="O2745" s="22"/>
      <c r="P2745" s="24"/>
      <c r="Q2745" s="26"/>
    </row>
    <row r="2746" spans="1:17" ht="15" x14ac:dyDescent="0.15">
      <c r="A2746" s="22"/>
      <c r="B2746" s="26" t="str">
        <f t="shared" si="168"/>
        <v/>
      </c>
      <c r="C2746" s="26" t="str">
        <f t="shared" si="169"/>
        <v/>
      </c>
      <c r="D2746" s="26" t="str">
        <f t="shared" si="170"/>
        <v/>
      </c>
      <c r="E2746" s="29"/>
      <c r="F2746" s="22"/>
      <c r="G2746" s="22"/>
      <c r="H2746" s="22"/>
      <c r="I2746" s="24"/>
      <c r="J2746" s="24"/>
      <c r="K2746" s="24"/>
      <c r="L2746" s="24"/>
      <c r="M2746" s="27" t="str">
        <f t="shared" si="171"/>
        <v/>
      </c>
      <c r="N2746" s="25"/>
      <c r="O2746" s="22"/>
      <c r="P2746" s="24"/>
      <c r="Q2746" s="26"/>
    </row>
    <row r="2747" spans="1:17" ht="15" x14ac:dyDescent="0.15">
      <c r="A2747" s="22"/>
      <c r="B2747" s="26" t="str">
        <f t="shared" si="168"/>
        <v/>
      </c>
      <c r="C2747" s="26" t="str">
        <f t="shared" si="169"/>
        <v/>
      </c>
      <c r="D2747" s="26" t="str">
        <f t="shared" si="170"/>
        <v/>
      </c>
      <c r="E2747" s="29"/>
      <c r="F2747" s="22"/>
      <c r="G2747" s="22"/>
      <c r="H2747" s="22"/>
      <c r="I2747" s="24"/>
      <c r="J2747" s="24"/>
      <c r="K2747" s="24"/>
      <c r="L2747" s="24"/>
      <c r="M2747" s="27" t="str">
        <f t="shared" si="171"/>
        <v/>
      </c>
      <c r="N2747" s="25"/>
      <c r="O2747" s="22"/>
      <c r="P2747" s="24"/>
      <c r="Q2747" s="26"/>
    </row>
    <row r="2748" spans="1:17" ht="15" x14ac:dyDescent="0.15">
      <c r="A2748" s="22"/>
      <c r="B2748" s="26" t="str">
        <f t="shared" si="168"/>
        <v/>
      </c>
      <c r="C2748" s="26" t="str">
        <f t="shared" si="169"/>
        <v/>
      </c>
      <c r="D2748" s="26" t="str">
        <f t="shared" si="170"/>
        <v/>
      </c>
      <c r="E2748" s="29"/>
      <c r="F2748" s="22"/>
      <c r="G2748" s="22"/>
      <c r="H2748" s="22"/>
      <c r="I2748" s="24"/>
      <c r="J2748" s="24"/>
      <c r="K2748" s="24"/>
      <c r="L2748" s="24"/>
      <c r="M2748" s="27" t="str">
        <f t="shared" si="171"/>
        <v/>
      </c>
      <c r="N2748" s="25"/>
      <c r="O2748" s="22"/>
      <c r="P2748" s="24"/>
      <c r="Q2748" s="26"/>
    </row>
    <row r="2749" spans="1:17" ht="15" x14ac:dyDescent="0.15">
      <c r="A2749" s="22"/>
      <c r="B2749" s="26" t="str">
        <f t="shared" si="168"/>
        <v/>
      </c>
      <c r="C2749" s="26" t="str">
        <f t="shared" si="169"/>
        <v/>
      </c>
      <c r="D2749" s="26" t="str">
        <f t="shared" si="170"/>
        <v/>
      </c>
      <c r="E2749" s="29"/>
      <c r="F2749" s="22"/>
      <c r="G2749" s="22"/>
      <c r="H2749" s="22"/>
      <c r="I2749" s="24"/>
      <c r="J2749" s="24"/>
      <c r="K2749" s="24"/>
      <c r="L2749" s="24"/>
      <c r="M2749" s="27" t="str">
        <f t="shared" si="171"/>
        <v/>
      </c>
      <c r="N2749" s="25"/>
      <c r="O2749" s="22"/>
      <c r="P2749" s="24"/>
      <c r="Q2749" s="26"/>
    </row>
    <row r="2750" spans="1:17" ht="15" x14ac:dyDescent="0.15">
      <c r="A2750" s="22"/>
      <c r="B2750" s="26" t="str">
        <f t="shared" si="168"/>
        <v/>
      </c>
      <c r="C2750" s="26" t="str">
        <f t="shared" si="169"/>
        <v/>
      </c>
      <c r="D2750" s="26" t="str">
        <f t="shared" si="170"/>
        <v/>
      </c>
      <c r="E2750" s="29"/>
      <c r="F2750" s="22"/>
      <c r="G2750" s="22"/>
      <c r="H2750" s="22"/>
      <c r="I2750" s="24"/>
      <c r="J2750" s="24"/>
      <c r="K2750" s="24"/>
      <c r="L2750" s="24"/>
      <c r="M2750" s="27" t="str">
        <f t="shared" si="171"/>
        <v/>
      </c>
      <c r="N2750" s="25"/>
      <c r="O2750" s="22"/>
      <c r="P2750" s="24"/>
      <c r="Q2750" s="26"/>
    </row>
    <row r="2751" spans="1:17" ht="15" x14ac:dyDescent="0.15">
      <c r="A2751" s="22"/>
      <c r="B2751" s="26" t="str">
        <f t="shared" si="168"/>
        <v/>
      </c>
      <c r="C2751" s="26" t="str">
        <f t="shared" si="169"/>
        <v/>
      </c>
      <c r="D2751" s="26" t="str">
        <f t="shared" si="170"/>
        <v/>
      </c>
      <c r="E2751" s="29"/>
      <c r="F2751" s="22"/>
      <c r="G2751" s="22"/>
      <c r="H2751" s="22"/>
      <c r="I2751" s="24"/>
      <c r="J2751" s="24"/>
      <c r="K2751" s="24"/>
      <c r="L2751" s="24"/>
      <c r="M2751" s="27" t="str">
        <f t="shared" si="171"/>
        <v/>
      </c>
      <c r="N2751" s="25"/>
      <c r="O2751" s="22"/>
      <c r="P2751" s="24"/>
      <c r="Q2751" s="26"/>
    </row>
    <row r="2752" spans="1:17" ht="15" x14ac:dyDescent="0.15">
      <c r="A2752" s="22"/>
      <c r="B2752" s="26" t="str">
        <f t="shared" si="168"/>
        <v/>
      </c>
      <c r="C2752" s="26" t="str">
        <f t="shared" si="169"/>
        <v/>
      </c>
      <c r="D2752" s="26" t="str">
        <f t="shared" si="170"/>
        <v/>
      </c>
      <c r="E2752" s="29"/>
      <c r="F2752" s="22"/>
      <c r="G2752" s="22"/>
      <c r="H2752" s="22"/>
      <c r="I2752" s="24"/>
      <c r="J2752" s="24"/>
      <c r="K2752" s="24"/>
      <c r="L2752" s="24"/>
      <c r="M2752" s="27" t="str">
        <f t="shared" si="171"/>
        <v/>
      </c>
      <c r="N2752" s="25"/>
      <c r="O2752" s="22"/>
      <c r="P2752" s="24"/>
      <c r="Q2752" s="26"/>
    </row>
    <row r="2753" spans="1:17" ht="15" x14ac:dyDescent="0.15">
      <c r="A2753" s="22"/>
      <c r="B2753" s="26" t="str">
        <f t="shared" si="168"/>
        <v/>
      </c>
      <c r="C2753" s="26" t="str">
        <f t="shared" si="169"/>
        <v/>
      </c>
      <c r="D2753" s="26" t="str">
        <f t="shared" si="170"/>
        <v/>
      </c>
      <c r="E2753" s="29"/>
      <c r="F2753" s="22"/>
      <c r="G2753" s="22"/>
      <c r="H2753" s="22"/>
      <c r="I2753" s="24"/>
      <c r="J2753" s="24"/>
      <c r="K2753" s="24"/>
      <c r="L2753" s="24"/>
      <c r="M2753" s="27" t="str">
        <f t="shared" si="171"/>
        <v/>
      </c>
      <c r="N2753" s="25"/>
      <c r="O2753" s="22"/>
      <c r="P2753" s="24"/>
      <c r="Q2753" s="26"/>
    </row>
    <row r="2754" spans="1:17" ht="15" x14ac:dyDescent="0.15">
      <c r="A2754" s="22"/>
      <c r="B2754" s="26" t="str">
        <f t="shared" si="168"/>
        <v/>
      </c>
      <c r="C2754" s="26" t="str">
        <f t="shared" si="169"/>
        <v/>
      </c>
      <c r="D2754" s="26" t="str">
        <f t="shared" si="170"/>
        <v/>
      </c>
      <c r="E2754" s="29"/>
      <c r="F2754" s="22"/>
      <c r="G2754" s="22"/>
      <c r="H2754" s="22"/>
      <c r="I2754" s="24"/>
      <c r="J2754" s="24"/>
      <c r="K2754" s="24"/>
      <c r="L2754" s="24"/>
      <c r="M2754" s="27" t="str">
        <f t="shared" si="171"/>
        <v/>
      </c>
      <c r="N2754" s="25"/>
      <c r="O2754" s="22"/>
      <c r="P2754" s="24"/>
      <c r="Q2754" s="26"/>
    </row>
    <row r="2755" spans="1:17" ht="15" x14ac:dyDescent="0.15">
      <c r="A2755" s="22"/>
      <c r="B2755" s="26" t="str">
        <f t="shared" si="168"/>
        <v/>
      </c>
      <c r="C2755" s="26" t="str">
        <f t="shared" si="169"/>
        <v/>
      </c>
      <c r="D2755" s="26" t="str">
        <f t="shared" si="170"/>
        <v/>
      </c>
      <c r="E2755" s="29"/>
      <c r="F2755" s="22"/>
      <c r="G2755" s="22"/>
      <c r="H2755" s="22"/>
      <c r="I2755" s="24"/>
      <c r="J2755" s="24"/>
      <c r="K2755" s="24"/>
      <c r="L2755" s="24"/>
      <c r="M2755" s="27" t="str">
        <f t="shared" si="171"/>
        <v/>
      </c>
      <c r="N2755" s="25"/>
      <c r="O2755" s="22"/>
      <c r="P2755" s="24"/>
      <c r="Q2755" s="26"/>
    </row>
    <row r="2756" spans="1:17" ht="15" x14ac:dyDescent="0.15">
      <c r="A2756" s="22"/>
      <c r="B2756" s="26" t="str">
        <f t="shared" si="168"/>
        <v/>
      </c>
      <c r="C2756" s="26" t="str">
        <f t="shared" si="169"/>
        <v/>
      </c>
      <c r="D2756" s="26" t="str">
        <f t="shared" si="170"/>
        <v/>
      </c>
      <c r="E2756" s="29"/>
      <c r="F2756" s="22"/>
      <c r="G2756" s="22"/>
      <c r="H2756" s="22"/>
      <c r="I2756" s="24"/>
      <c r="J2756" s="24"/>
      <c r="K2756" s="24"/>
      <c r="L2756" s="24"/>
      <c r="M2756" s="27" t="str">
        <f t="shared" si="171"/>
        <v/>
      </c>
      <c r="N2756" s="25"/>
      <c r="O2756" s="22"/>
      <c r="P2756" s="24"/>
      <c r="Q2756" s="26"/>
    </row>
    <row r="2757" spans="1:17" ht="15" x14ac:dyDescent="0.15">
      <c r="A2757" s="22"/>
      <c r="B2757" s="26" t="str">
        <f t="shared" si="168"/>
        <v/>
      </c>
      <c r="C2757" s="26" t="str">
        <f t="shared" si="169"/>
        <v/>
      </c>
      <c r="D2757" s="26" t="str">
        <f t="shared" si="170"/>
        <v/>
      </c>
      <c r="E2757" s="29"/>
      <c r="F2757" s="22"/>
      <c r="G2757" s="22"/>
      <c r="H2757" s="22"/>
      <c r="I2757" s="24"/>
      <c r="J2757" s="24"/>
      <c r="K2757" s="24"/>
      <c r="L2757" s="24"/>
      <c r="M2757" s="27" t="str">
        <f t="shared" si="171"/>
        <v/>
      </c>
      <c r="N2757" s="25"/>
      <c r="O2757" s="22"/>
      <c r="P2757" s="24"/>
      <c r="Q2757" s="26"/>
    </row>
    <row r="2758" spans="1:17" ht="15" x14ac:dyDescent="0.15">
      <c r="A2758" s="22"/>
      <c r="B2758" s="26" t="str">
        <f t="shared" si="168"/>
        <v/>
      </c>
      <c r="C2758" s="26" t="str">
        <f t="shared" si="169"/>
        <v/>
      </c>
      <c r="D2758" s="26" t="str">
        <f t="shared" si="170"/>
        <v/>
      </c>
      <c r="E2758" s="29"/>
      <c r="F2758" s="22"/>
      <c r="G2758" s="22"/>
      <c r="H2758" s="22"/>
      <c r="I2758" s="24"/>
      <c r="J2758" s="24"/>
      <c r="K2758" s="24"/>
      <c r="L2758" s="24"/>
      <c r="M2758" s="27" t="str">
        <f t="shared" si="171"/>
        <v/>
      </c>
      <c r="N2758" s="25"/>
      <c r="O2758" s="22"/>
      <c r="P2758" s="24"/>
      <c r="Q2758" s="26"/>
    </row>
    <row r="2759" spans="1:17" ht="15" x14ac:dyDescent="0.15">
      <c r="A2759" s="22"/>
      <c r="B2759" s="26" t="str">
        <f t="shared" ref="B2759:B2822" si="172">IFERROR(IF($A2759="","",LEFT($A2759,FIND(" | ",$A2759)-1)),"")</f>
        <v/>
      </c>
      <c r="C2759" s="26" t="str">
        <f t="shared" ref="C2759:C2822" si="173">IFERROR(IF($A2759="","",MID($A2759,FIND(" | ",$A2759)+3,FIND(" | ",$A2759,FIND(" | ",$A2759)+3)-FIND(" | ",$A2759)-3)),"")</f>
        <v/>
      </c>
      <c r="D2759" s="26" t="str">
        <f t="shared" ref="D2759:D2822" si="174">IFERROR(IF($A2759="","",RIGHT($A2759,LEN($A2759)-FIND(" | ",$A2759,FIND(" | ",$A2759)+3)-2)),"")</f>
        <v/>
      </c>
      <c r="E2759" s="29"/>
      <c r="F2759" s="22"/>
      <c r="G2759" s="22"/>
      <c r="H2759" s="22"/>
      <c r="I2759" s="24"/>
      <c r="J2759" s="24"/>
      <c r="K2759" s="24"/>
      <c r="L2759" s="24"/>
      <c r="M2759" s="27" t="str">
        <f t="shared" ref="M2759:M2822" si="175">IF($B2759="","",SUM($J2759,-$K2759,$L2759))</f>
        <v/>
      </c>
      <c r="N2759" s="25"/>
      <c r="O2759" s="22"/>
      <c r="P2759" s="24"/>
      <c r="Q2759" s="26"/>
    </row>
    <row r="2760" spans="1:17" ht="15" x14ac:dyDescent="0.15">
      <c r="A2760" s="22"/>
      <c r="B2760" s="26" t="str">
        <f t="shared" si="172"/>
        <v/>
      </c>
      <c r="C2760" s="26" t="str">
        <f t="shared" si="173"/>
        <v/>
      </c>
      <c r="D2760" s="26" t="str">
        <f t="shared" si="174"/>
        <v/>
      </c>
      <c r="E2760" s="29"/>
      <c r="F2760" s="22"/>
      <c r="G2760" s="22"/>
      <c r="H2760" s="22"/>
      <c r="I2760" s="24"/>
      <c r="J2760" s="24"/>
      <c r="K2760" s="24"/>
      <c r="L2760" s="24"/>
      <c r="M2760" s="27" t="str">
        <f t="shared" si="175"/>
        <v/>
      </c>
      <c r="N2760" s="25"/>
      <c r="O2760" s="22"/>
      <c r="P2760" s="24"/>
      <c r="Q2760" s="26"/>
    </row>
    <row r="2761" spans="1:17" ht="15" x14ac:dyDescent="0.15">
      <c r="A2761" s="22"/>
      <c r="B2761" s="26" t="str">
        <f t="shared" si="172"/>
        <v/>
      </c>
      <c r="C2761" s="26" t="str">
        <f t="shared" si="173"/>
        <v/>
      </c>
      <c r="D2761" s="26" t="str">
        <f t="shared" si="174"/>
        <v/>
      </c>
      <c r="E2761" s="29"/>
      <c r="F2761" s="22"/>
      <c r="G2761" s="22"/>
      <c r="H2761" s="22"/>
      <c r="I2761" s="24"/>
      <c r="J2761" s="24"/>
      <c r="K2761" s="24"/>
      <c r="L2761" s="24"/>
      <c r="M2761" s="27" t="str">
        <f t="shared" si="175"/>
        <v/>
      </c>
      <c r="N2761" s="25"/>
      <c r="O2761" s="22"/>
      <c r="P2761" s="24"/>
      <c r="Q2761" s="26"/>
    </row>
    <row r="2762" spans="1:17" ht="15" x14ac:dyDescent="0.15">
      <c r="A2762" s="22"/>
      <c r="B2762" s="26" t="str">
        <f t="shared" si="172"/>
        <v/>
      </c>
      <c r="C2762" s="26" t="str">
        <f t="shared" si="173"/>
        <v/>
      </c>
      <c r="D2762" s="26" t="str">
        <f t="shared" si="174"/>
        <v/>
      </c>
      <c r="E2762" s="29"/>
      <c r="F2762" s="22"/>
      <c r="G2762" s="22"/>
      <c r="H2762" s="22"/>
      <c r="I2762" s="24"/>
      <c r="J2762" s="24"/>
      <c r="K2762" s="24"/>
      <c r="L2762" s="24"/>
      <c r="M2762" s="27" t="str">
        <f t="shared" si="175"/>
        <v/>
      </c>
      <c r="N2762" s="25"/>
      <c r="O2762" s="22"/>
      <c r="P2762" s="24"/>
      <c r="Q2762" s="26"/>
    </row>
    <row r="2763" spans="1:17" ht="15" x14ac:dyDescent="0.15">
      <c r="A2763" s="22"/>
      <c r="B2763" s="26" t="str">
        <f t="shared" si="172"/>
        <v/>
      </c>
      <c r="C2763" s="26" t="str">
        <f t="shared" si="173"/>
        <v/>
      </c>
      <c r="D2763" s="26" t="str">
        <f t="shared" si="174"/>
        <v/>
      </c>
      <c r="E2763" s="29"/>
      <c r="F2763" s="22"/>
      <c r="G2763" s="22"/>
      <c r="H2763" s="22"/>
      <c r="I2763" s="24"/>
      <c r="J2763" s="24"/>
      <c r="K2763" s="24"/>
      <c r="L2763" s="24"/>
      <c r="M2763" s="27" t="str">
        <f t="shared" si="175"/>
        <v/>
      </c>
      <c r="N2763" s="25"/>
      <c r="O2763" s="22"/>
      <c r="P2763" s="24"/>
      <c r="Q2763" s="26"/>
    </row>
    <row r="2764" spans="1:17" ht="15" x14ac:dyDescent="0.15">
      <c r="A2764" s="22"/>
      <c r="B2764" s="26" t="str">
        <f t="shared" si="172"/>
        <v/>
      </c>
      <c r="C2764" s="26" t="str">
        <f t="shared" si="173"/>
        <v/>
      </c>
      <c r="D2764" s="26" t="str">
        <f t="shared" si="174"/>
        <v/>
      </c>
      <c r="E2764" s="29"/>
      <c r="F2764" s="22"/>
      <c r="G2764" s="22"/>
      <c r="H2764" s="22"/>
      <c r="I2764" s="24"/>
      <c r="J2764" s="24"/>
      <c r="K2764" s="24"/>
      <c r="L2764" s="24"/>
      <c r="M2764" s="27" t="str">
        <f t="shared" si="175"/>
        <v/>
      </c>
      <c r="N2764" s="25"/>
      <c r="O2764" s="22"/>
      <c r="P2764" s="24"/>
      <c r="Q2764" s="26"/>
    </row>
    <row r="2765" spans="1:17" ht="15" x14ac:dyDescent="0.15">
      <c r="A2765" s="22"/>
      <c r="B2765" s="26" t="str">
        <f t="shared" si="172"/>
        <v/>
      </c>
      <c r="C2765" s="26" t="str">
        <f t="shared" si="173"/>
        <v/>
      </c>
      <c r="D2765" s="26" t="str">
        <f t="shared" si="174"/>
        <v/>
      </c>
      <c r="E2765" s="29"/>
      <c r="F2765" s="22"/>
      <c r="G2765" s="22"/>
      <c r="H2765" s="22"/>
      <c r="I2765" s="24"/>
      <c r="J2765" s="24"/>
      <c r="K2765" s="24"/>
      <c r="L2765" s="24"/>
      <c r="M2765" s="27" t="str">
        <f t="shared" si="175"/>
        <v/>
      </c>
      <c r="N2765" s="25"/>
      <c r="O2765" s="22"/>
      <c r="P2765" s="24"/>
      <c r="Q2765" s="26"/>
    </row>
    <row r="2766" spans="1:17" ht="15" x14ac:dyDescent="0.15">
      <c r="A2766" s="22"/>
      <c r="B2766" s="26" t="str">
        <f t="shared" si="172"/>
        <v/>
      </c>
      <c r="C2766" s="26" t="str">
        <f t="shared" si="173"/>
        <v/>
      </c>
      <c r="D2766" s="26" t="str">
        <f t="shared" si="174"/>
        <v/>
      </c>
      <c r="E2766" s="29"/>
      <c r="F2766" s="22"/>
      <c r="G2766" s="22"/>
      <c r="H2766" s="22"/>
      <c r="I2766" s="24"/>
      <c r="J2766" s="24"/>
      <c r="K2766" s="24"/>
      <c r="L2766" s="24"/>
      <c r="M2766" s="27" t="str">
        <f t="shared" si="175"/>
        <v/>
      </c>
      <c r="N2766" s="25"/>
      <c r="O2766" s="22"/>
      <c r="P2766" s="24"/>
      <c r="Q2766" s="26"/>
    </row>
    <row r="2767" spans="1:17" ht="15" x14ac:dyDescent="0.15">
      <c r="A2767" s="22"/>
      <c r="B2767" s="26" t="str">
        <f t="shared" si="172"/>
        <v/>
      </c>
      <c r="C2767" s="26" t="str">
        <f t="shared" si="173"/>
        <v/>
      </c>
      <c r="D2767" s="26" t="str">
        <f t="shared" si="174"/>
        <v/>
      </c>
      <c r="E2767" s="29"/>
      <c r="F2767" s="22"/>
      <c r="G2767" s="22"/>
      <c r="H2767" s="22"/>
      <c r="I2767" s="24"/>
      <c r="J2767" s="24"/>
      <c r="K2767" s="24"/>
      <c r="L2767" s="24"/>
      <c r="M2767" s="27" t="str">
        <f t="shared" si="175"/>
        <v/>
      </c>
      <c r="N2767" s="25"/>
      <c r="O2767" s="22"/>
      <c r="P2767" s="24"/>
      <c r="Q2767" s="26"/>
    </row>
    <row r="2768" spans="1:17" ht="15" x14ac:dyDescent="0.15">
      <c r="A2768" s="22"/>
      <c r="B2768" s="26" t="str">
        <f t="shared" si="172"/>
        <v/>
      </c>
      <c r="C2768" s="26" t="str">
        <f t="shared" si="173"/>
        <v/>
      </c>
      <c r="D2768" s="26" t="str">
        <f t="shared" si="174"/>
        <v/>
      </c>
      <c r="E2768" s="29"/>
      <c r="F2768" s="22"/>
      <c r="G2768" s="22"/>
      <c r="H2768" s="22"/>
      <c r="I2768" s="24"/>
      <c r="J2768" s="24"/>
      <c r="K2768" s="24"/>
      <c r="L2768" s="24"/>
      <c r="M2768" s="27" t="str">
        <f t="shared" si="175"/>
        <v/>
      </c>
      <c r="N2768" s="25"/>
      <c r="O2768" s="22"/>
      <c r="P2768" s="24"/>
      <c r="Q2768" s="26"/>
    </row>
    <row r="2769" spans="1:17" ht="15" x14ac:dyDescent="0.15">
      <c r="A2769" s="22"/>
      <c r="B2769" s="26" t="str">
        <f t="shared" si="172"/>
        <v/>
      </c>
      <c r="C2769" s="26" t="str">
        <f t="shared" si="173"/>
        <v/>
      </c>
      <c r="D2769" s="26" t="str">
        <f t="shared" si="174"/>
        <v/>
      </c>
      <c r="E2769" s="29"/>
      <c r="F2769" s="22"/>
      <c r="G2769" s="22"/>
      <c r="H2769" s="22"/>
      <c r="I2769" s="24"/>
      <c r="J2769" s="24"/>
      <c r="K2769" s="24"/>
      <c r="L2769" s="24"/>
      <c r="M2769" s="27" t="str">
        <f t="shared" si="175"/>
        <v/>
      </c>
      <c r="N2769" s="25"/>
      <c r="O2769" s="22"/>
      <c r="P2769" s="24"/>
      <c r="Q2769" s="26"/>
    </row>
    <row r="2770" spans="1:17" ht="15" x14ac:dyDescent="0.15">
      <c r="A2770" s="22"/>
      <c r="B2770" s="26" t="str">
        <f t="shared" si="172"/>
        <v/>
      </c>
      <c r="C2770" s="26" t="str">
        <f t="shared" si="173"/>
        <v/>
      </c>
      <c r="D2770" s="26" t="str">
        <f t="shared" si="174"/>
        <v/>
      </c>
      <c r="E2770" s="29"/>
      <c r="F2770" s="22"/>
      <c r="G2770" s="22"/>
      <c r="H2770" s="22"/>
      <c r="I2770" s="24"/>
      <c r="J2770" s="24"/>
      <c r="K2770" s="24"/>
      <c r="L2770" s="24"/>
      <c r="M2770" s="27" t="str">
        <f t="shared" si="175"/>
        <v/>
      </c>
      <c r="N2770" s="25"/>
      <c r="O2770" s="22"/>
      <c r="P2770" s="24"/>
      <c r="Q2770" s="26"/>
    </row>
    <row r="2771" spans="1:17" ht="15" x14ac:dyDescent="0.15">
      <c r="A2771" s="22"/>
      <c r="B2771" s="26" t="str">
        <f t="shared" si="172"/>
        <v/>
      </c>
      <c r="C2771" s="26" t="str">
        <f t="shared" si="173"/>
        <v/>
      </c>
      <c r="D2771" s="26" t="str">
        <f t="shared" si="174"/>
        <v/>
      </c>
      <c r="E2771" s="29"/>
      <c r="F2771" s="22"/>
      <c r="G2771" s="22"/>
      <c r="H2771" s="22"/>
      <c r="I2771" s="24"/>
      <c r="J2771" s="24"/>
      <c r="K2771" s="24"/>
      <c r="L2771" s="24"/>
      <c r="M2771" s="27" t="str">
        <f t="shared" si="175"/>
        <v/>
      </c>
      <c r="N2771" s="25"/>
      <c r="O2771" s="22"/>
      <c r="P2771" s="24"/>
      <c r="Q2771" s="26"/>
    </row>
    <row r="2772" spans="1:17" ht="15" x14ac:dyDescent="0.15">
      <c r="A2772" s="22"/>
      <c r="B2772" s="26" t="str">
        <f t="shared" si="172"/>
        <v/>
      </c>
      <c r="C2772" s="26" t="str">
        <f t="shared" si="173"/>
        <v/>
      </c>
      <c r="D2772" s="26" t="str">
        <f t="shared" si="174"/>
        <v/>
      </c>
      <c r="E2772" s="29"/>
      <c r="F2772" s="22"/>
      <c r="G2772" s="22"/>
      <c r="H2772" s="22"/>
      <c r="I2772" s="24"/>
      <c r="J2772" s="24"/>
      <c r="K2772" s="24"/>
      <c r="L2772" s="24"/>
      <c r="M2772" s="27" t="str">
        <f t="shared" si="175"/>
        <v/>
      </c>
      <c r="N2772" s="25"/>
      <c r="O2772" s="22"/>
      <c r="P2772" s="24"/>
      <c r="Q2772" s="26"/>
    </row>
    <row r="2773" spans="1:17" ht="15" x14ac:dyDescent="0.15">
      <c r="A2773" s="22"/>
      <c r="B2773" s="26" t="str">
        <f t="shared" si="172"/>
        <v/>
      </c>
      <c r="C2773" s="26" t="str">
        <f t="shared" si="173"/>
        <v/>
      </c>
      <c r="D2773" s="26" t="str">
        <f t="shared" si="174"/>
        <v/>
      </c>
      <c r="E2773" s="29"/>
      <c r="F2773" s="22"/>
      <c r="G2773" s="22"/>
      <c r="H2773" s="22"/>
      <c r="I2773" s="24"/>
      <c r="J2773" s="24"/>
      <c r="K2773" s="24"/>
      <c r="L2773" s="24"/>
      <c r="M2773" s="27" t="str">
        <f t="shared" si="175"/>
        <v/>
      </c>
      <c r="N2773" s="25"/>
      <c r="O2773" s="22"/>
      <c r="P2773" s="24"/>
      <c r="Q2773" s="26"/>
    </row>
    <row r="2774" spans="1:17" ht="15" x14ac:dyDescent="0.15">
      <c r="A2774" s="22"/>
      <c r="B2774" s="26" t="str">
        <f t="shared" si="172"/>
        <v/>
      </c>
      <c r="C2774" s="26" t="str">
        <f t="shared" si="173"/>
        <v/>
      </c>
      <c r="D2774" s="26" t="str">
        <f t="shared" si="174"/>
        <v/>
      </c>
      <c r="E2774" s="29"/>
      <c r="F2774" s="22"/>
      <c r="G2774" s="22"/>
      <c r="H2774" s="22"/>
      <c r="I2774" s="24"/>
      <c r="J2774" s="24"/>
      <c r="K2774" s="24"/>
      <c r="L2774" s="24"/>
      <c r="M2774" s="27" t="str">
        <f t="shared" si="175"/>
        <v/>
      </c>
      <c r="N2774" s="25"/>
      <c r="O2774" s="22"/>
      <c r="P2774" s="24"/>
      <c r="Q2774" s="26"/>
    </row>
    <row r="2775" spans="1:17" ht="15" x14ac:dyDescent="0.15">
      <c r="A2775" s="22"/>
      <c r="B2775" s="26" t="str">
        <f t="shared" si="172"/>
        <v/>
      </c>
      <c r="C2775" s="26" t="str">
        <f t="shared" si="173"/>
        <v/>
      </c>
      <c r="D2775" s="26" t="str">
        <f t="shared" si="174"/>
        <v/>
      </c>
      <c r="E2775" s="29"/>
      <c r="F2775" s="22"/>
      <c r="G2775" s="22"/>
      <c r="H2775" s="22"/>
      <c r="I2775" s="24"/>
      <c r="J2775" s="24"/>
      <c r="K2775" s="24"/>
      <c r="L2775" s="24"/>
      <c r="M2775" s="27" t="str">
        <f t="shared" si="175"/>
        <v/>
      </c>
      <c r="N2775" s="25"/>
      <c r="O2775" s="22"/>
      <c r="P2775" s="24"/>
      <c r="Q2775" s="26"/>
    </row>
    <row r="2776" spans="1:17" ht="15" x14ac:dyDescent="0.15">
      <c r="A2776" s="22"/>
      <c r="B2776" s="26" t="str">
        <f t="shared" si="172"/>
        <v/>
      </c>
      <c r="C2776" s="26" t="str">
        <f t="shared" si="173"/>
        <v/>
      </c>
      <c r="D2776" s="26" t="str">
        <f t="shared" si="174"/>
        <v/>
      </c>
      <c r="E2776" s="29"/>
      <c r="F2776" s="22"/>
      <c r="G2776" s="22"/>
      <c r="H2776" s="22"/>
      <c r="I2776" s="24"/>
      <c r="J2776" s="24"/>
      <c r="K2776" s="24"/>
      <c r="L2776" s="24"/>
      <c r="M2776" s="27" t="str">
        <f t="shared" si="175"/>
        <v/>
      </c>
      <c r="N2776" s="25"/>
      <c r="O2776" s="22"/>
      <c r="P2776" s="24"/>
      <c r="Q2776" s="26"/>
    </row>
    <row r="2777" spans="1:17" ht="15" x14ac:dyDescent="0.15">
      <c r="A2777" s="22"/>
      <c r="B2777" s="26" t="str">
        <f t="shared" si="172"/>
        <v/>
      </c>
      <c r="C2777" s="26" t="str">
        <f t="shared" si="173"/>
        <v/>
      </c>
      <c r="D2777" s="26" t="str">
        <f t="shared" si="174"/>
        <v/>
      </c>
      <c r="E2777" s="29"/>
      <c r="F2777" s="22"/>
      <c r="G2777" s="22"/>
      <c r="H2777" s="22"/>
      <c r="I2777" s="24"/>
      <c r="J2777" s="24"/>
      <c r="K2777" s="24"/>
      <c r="L2777" s="24"/>
      <c r="M2777" s="27" t="str">
        <f t="shared" si="175"/>
        <v/>
      </c>
      <c r="N2777" s="25"/>
      <c r="O2777" s="22"/>
      <c r="P2777" s="24"/>
      <c r="Q2777" s="26"/>
    </row>
    <row r="2778" spans="1:17" ht="15" x14ac:dyDescent="0.15">
      <c r="A2778" s="22"/>
      <c r="B2778" s="26" t="str">
        <f t="shared" si="172"/>
        <v/>
      </c>
      <c r="C2778" s="26" t="str">
        <f t="shared" si="173"/>
        <v/>
      </c>
      <c r="D2778" s="26" t="str">
        <f t="shared" si="174"/>
        <v/>
      </c>
      <c r="E2778" s="29"/>
      <c r="F2778" s="22"/>
      <c r="G2778" s="22"/>
      <c r="H2778" s="22"/>
      <c r="I2778" s="24"/>
      <c r="J2778" s="24"/>
      <c r="K2778" s="24"/>
      <c r="L2778" s="24"/>
      <c r="M2778" s="27" t="str">
        <f t="shared" si="175"/>
        <v/>
      </c>
      <c r="N2778" s="25"/>
      <c r="O2778" s="22"/>
      <c r="P2778" s="24"/>
      <c r="Q2778" s="26"/>
    </row>
    <row r="2779" spans="1:17" ht="15" x14ac:dyDescent="0.15">
      <c r="A2779" s="22"/>
      <c r="B2779" s="26" t="str">
        <f t="shared" si="172"/>
        <v/>
      </c>
      <c r="C2779" s="26" t="str">
        <f t="shared" si="173"/>
        <v/>
      </c>
      <c r="D2779" s="26" t="str">
        <f t="shared" si="174"/>
        <v/>
      </c>
      <c r="E2779" s="29"/>
      <c r="F2779" s="22"/>
      <c r="G2779" s="22"/>
      <c r="H2779" s="22"/>
      <c r="I2779" s="24"/>
      <c r="J2779" s="24"/>
      <c r="K2779" s="24"/>
      <c r="L2779" s="24"/>
      <c r="M2779" s="27" t="str">
        <f t="shared" si="175"/>
        <v/>
      </c>
      <c r="N2779" s="25"/>
      <c r="O2779" s="22"/>
      <c r="P2779" s="24"/>
      <c r="Q2779" s="26"/>
    </row>
    <row r="2780" spans="1:17" ht="15" x14ac:dyDescent="0.15">
      <c r="A2780" s="22"/>
      <c r="B2780" s="26" t="str">
        <f t="shared" si="172"/>
        <v/>
      </c>
      <c r="C2780" s="26" t="str">
        <f t="shared" si="173"/>
        <v/>
      </c>
      <c r="D2780" s="26" t="str">
        <f t="shared" si="174"/>
        <v/>
      </c>
      <c r="E2780" s="29"/>
      <c r="F2780" s="22"/>
      <c r="G2780" s="22"/>
      <c r="H2780" s="22"/>
      <c r="I2780" s="24"/>
      <c r="J2780" s="24"/>
      <c r="K2780" s="24"/>
      <c r="L2780" s="24"/>
      <c r="M2780" s="27" t="str">
        <f t="shared" si="175"/>
        <v/>
      </c>
      <c r="N2780" s="25"/>
      <c r="O2780" s="22"/>
      <c r="P2780" s="24"/>
      <c r="Q2780" s="26"/>
    </row>
    <row r="2781" spans="1:17" ht="15" x14ac:dyDescent="0.15">
      <c r="A2781" s="22"/>
      <c r="B2781" s="26" t="str">
        <f t="shared" si="172"/>
        <v/>
      </c>
      <c r="C2781" s="26" t="str">
        <f t="shared" si="173"/>
        <v/>
      </c>
      <c r="D2781" s="26" t="str">
        <f t="shared" si="174"/>
        <v/>
      </c>
      <c r="E2781" s="29"/>
      <c r="F2781" s="22"/>
      <c r="G2781" s="22"/>
      <c r="H2781" s="22"/>
      <c r="I2781" s="24"/>
      <c r="J2781" s="24"/>
      <c r="K2781" s="24"/>
      <c r="L2781" s="24"/>
      <c r="M2781" s="27" t="str">
        <f t="shared" si="175"/>
        <v/>
      </c>
      <c r="N2781" s="25"/>
      <c r="O2781" s="22"/>
      <c r="P2781" s="24"/>
      <c r="Q2781" s="26"/>
    </row>
    <row r="2782" spans="1:17" ht="15" x14ac:dyDescent="0.15">
      <c r="A2782" s="22"/>
      <c r="B2782" s="26" t="str">
        <f t="shared" si="172"/>
        <v/>
      </c>
      <c r="C2782" s="26" t="str">
        <f t="shared" si="173"/>
        <v/>
      </c>
      <c r="D2782" s="26" t="str">
        <f t="shared" si="174"/>
        <v/>
      </c>
      <c r="E2782" s="29"/>
      <c r="F2782" s="22"/>
      <c r="G2782" s="22"/>
      <c r="H2782" s="22"/>
      <c r="I2782" s="24"/>
      <c r="J2782" s="24"/>
      <c r="K2782" s="24"/>
      <c r="L2782" s="24"/>
      <c r="M2782" s="27" t="str">
        <f t="shared" si="175"/>
        <v/>
      </c>
      <c r="N2782" s="25"/>
      <c r="O2782" s="22"/>
      <c r="P2782" s="24"/>
      <c r="Q2782" s="26"/>
    </row>
    <row r="2783" spans="1:17" ht="15" x14ac:dyDescent="0.15">
      <c r="A2783" s="22"/>
      <c r="B2783" s="26" t="str">
        <f t="shared" si="172"/>
        <v/>
      </c>
      <c r="C2783" s="26" t="str">
        <f t="shared" si="173"/>
        <v/>
      </c>
      <c r="D2783" s="26" t="str">
        <f t="shared" si="174"/>
        <v/>
      </c>
      <c r="E2783" s="29"/>
      <c r="F2783" s="22"/>
      <c r="G2783" s="22"/>
      <c r="H2783" s="22"/>
      <c r="I2783" s="24"/>
      <c r="J2783" s="24"/>
      <c r="K2783" s="24"/>
      <c r="L2783" s="24"/>
      <c r="M2783" s="27" t="str">
        <f t="shared" si="175"/>
        <v/>
      </c>
      <c r="N2783" s="25"/>
      <c r="O2783" s="22"/>
      <c r="P2783" s="24"/>
      <c r="Q2783" s="26"/>
    </row>
    <row r="2784" spans="1:17" ht="15" x14ac:dyDescent="0.15">
      <c r="A2784" s="22"/>
      <c r="B2784" s="26" t="str">
        <f t="shared" si="172"/>
        <v/>
      </c>
      <c r="C2784" s="26" t="str">
        <f t="shared" si="173"/>
        <v/>
      </c>
      <c r="D2784" s="26" t="str">
        <f t="shared" si="174"/>
        <v/>
      </c>
      <c r="E2784" s="29"/>
      <c r="F2784" s="22"/>
      <c r="G2784" s="22"/>
      <c r="H2784" s="22"/>
      <c r="I2784" s="24"/>
      <c r="J2784" s="24"/>
      <c r="K2784" s="24"/>
      <c r="L2784" s="24"/>
      <c r="M2784" s="27" t="str">
        <f t="shared" si="175"/>
        <v/>
      </c>
      <c r="N2784" s="25"/>
      <c r="O2784" s="22"/>
      <c r="P2784" s="24"/>
      <c r="Q2784" s="26"/>
    </row>
    <row r="2785" spans="1:17" ht="15" x14ac:dyDescent="0.15">
      <c r="A2785" s="22"/>
      <c r="B2785" s="26" t="str">
        <f t="shared" si="172"/>
        <v/>
      </c>
      <c r="C2785" s="26" t="str">
        <f t="shared" si="173"/>
        <v/>
      </c>
      <c r="D2785" s="26" t="str">
        <f t="shared" si="174"/>
        <v/>
      </c>
      <c r="E2785" s="29"/>
      <c r="F2785" s="22"/>
      <c r="G2785" s="22"/>
      <c r="H2785" s="22"/>
      <c r="I2785" s="24"/>
      <c r="J2785" s="24"/>
      <c r="K2785" s="24"/>
      <c r="L2785" s="24"/>
      <c r="M2785" s="27" t="str">
        <f t="shared" si="175"/>
        <v/>
      </c>
      <c r="N2785" s="25"/>
      <c r="O2785" s="22"/>
      <c r="P2785" s="24"/>
      <c r="Q2785" s="26"/>
    </row>
    <row r="2786" spans="1:17" ht="15" x14ac:dyDescent="0.15">
      <c r="A2786" s="22"/>
      <c r="B2786" s="26" t="str">
        <f t="shared" si="172"/>
        <v/>
      </c>
      <c r="C2786" s="26" t="str">
        <f t="shared" si="173"/>
        <v/>
      </c>
      <c r="D2786" s="26" t="str">
        <f t="shared" si="174"/>
        <v/>
      </c>
      <c r="E2786" s="29"/>
      <c r="F2786" s="22"/>
      <c r="G2786" s="22"/>
      <c r="H2786" s="22"/>
      <c r="I2786" s="24"/>
      <c r="J2786" s="24"/>
      <c r="K2786" s="24"/>
      <c r="L2786" s="24"/>
      <c r="M2786" s="27" t="str">
        <f t="shared" si="175"/>
        <v/>
      </c>
      <c r="N2786" s="25"/>
      <c r="O2786" s="22"/>
      <c r="P2786" s="24"/>
      <c r="Q2786" s="26"/>
    </row>
    <row r="2787" spans="1:17" ht="15" x14ac:dyDescent="0.15">
      <c r="A2787" s="22"/>
      <c r="B2787" s="26" t="str">
        <f t="shared" si="172"/>
        <v/>
      </c>
      <c r="C2787" s="26" t="str">
        <f t="shared" si="173"/>
        <v/>
      </c>
      <c r="D2787" s="26" t="str">
        <f t="shared" si="174"/>
        <v/>
      </c>
      <c r="E2787" s="29"/>
      <c r="F2787" s="22"/>
      <c r="G2787" s="22"/>
      <c r="H2787" s="22"/>
      <c r="I2787" s="24"/>
      <c r="J2787" s="24"/>
      <c r="K2787" s="24"/>
      <c r="L2787" s="24"/>
      <c r="M2787" s="27" t="str">
        <f t="shared" si="175"/>
        <v/>
      </c>
      <c r="N2787" s="25"/>
      <c r="O2787" s="22"/>
      <c r="P2787" s="24"/>
      <c r="Q2787" s="26"/>
    </row>
    <row r="2788" spans="1:17" ht="15" x14ac:dyDescent="0.15">
      <c r="A2788" s="22"/>
      <c r="B2788" s="26" t="str">
        <f t="shared" si="172"/>
        <v/>
      </c>
      <c r="C2788" s="26" t="str">
        <f t="shared" si="173"/>
        <v/>
      </c>
      <c r="D2788" s="26" t="str">
        <f t="shared" si="174"/>
        <v/>
      </c>
      <c r="E2788" s="29"/>
      <c r="F2788" s="22"/>
      <c r="G2788" s="22"/>
      <c r="H2788" s="22"/>
      <c r="I2788" s="24"/>
      <c r="J2788" s="24"/>
      <c r="K2788" s="24"/>
      <c r="L2788" s="24"/>
      <c r="M2788" s="27" t="str">
        <f t="shared" si="175"/>
        <v/>
      </c>
      <c r="N2788" s="25"/>
      <c r="O2788" s="22"/>
      <c r="P2788" s="24"/>
      <c r="Q2788" s="26"/>
    </row>
    <row r="2789" spans="1:17" ht="15" x14ac:dyDescent="0.15">
      <c r="A2789" s="22"/>
      <c r="B2789" s="26" t="str">
        <f t="shared" si="172"/>
        <v/>
      </c>
      <c r="C2789" s="26" t="str">
        <f t="shared" si="173"/>
        <v/>
      </c>
      <c r="D2789" s="26" t="str">
        <f t="shared" si="174"/>
        <v/>
      </c>
      <c r="E2789" s="29"/>
      <c r="F2789" s="22"/>
      <c r="G2789" s="22"/>
      <c r="H2789" s="22"/>
      <c r="I2789" s="24"/>
      <c r="J2789" s="24"/>
      <c r="K2789" s="24"/>
      <c r="L2789" s="24"/>
      <c r="M2789" s="27" t="str">
        <f t="shared" si="175"/>
        <v/>
      </c>
      <c r="N2789" s="25"/>
      <c r="O2789" s="22"/>
      <c r="P2789" s="24"/>
      <c r="Q2789" s="26"/>
    </row>
    <row r="2790" spans="1:17" ht="15" x14ac:dyDescent="0.15">
      <c r="A2790" s="22"/>
      <c r="B2790" s="26" t="str">
        <f t="shared" si="172"/>
        <v/>
      </c>
      <c r="C2790" s="26" t="str">
        <f t="shared" si="173"/>
        <v/>
      </c>
      <c r="D2790" s="26" t="str">
        <f t="shared" si="174"/>
        <v/>
      </c>
      <c r="E2790" s="29"/>
      <c r="F2790" s="22"/>
      <c r="G2790" s="22"/>
      <c r="H2790" s="22"/>
      <c r="I2790" s="24"/>
      <c r="J2790" s="24"/>
      <c r="K2790" s="24"/>
      <c r="L2790" s="24"/>
      <c r="M2790" s="27" t="str">
        <f t="shared" si="175"/>
        <v/>
      </c>
      <c r="N2790" s="25"/>
      <c r="O2790" s="22"/>
      <c r="P2790" s="24"/>
      <c r="Q2790" s="26"/>
    </row>
    <row r="2791" spans="1:17" ht="15" x14ac:dyDescent="0.15">
      <c r="A2791" s="22"/>
      <c r="B2791" s="26" t="str">
        <f t="shared" si="172"/>
        <v/>
      </c>
      <c r="C2791" s="26" t="str">
        <f t="shared" si="173"/>
        <v/>
      </c>
      <c r="D2791" s="26" t="str">
        <f t="shared" si="174"/>
        <v/>
      </c>
      <c r="E2791" s="29"/>
      <c r="F2791" s="22"/>
      <c r="G2791" s="22"/>
      <c r="H2791" s="22"/>
      <c r="I2791" s="24"/>
      <c r="J2791" s="24"/>
      <c r="K2791" s="24"/>
      <c r="L2791" s="24"/>
      <c r="M2791" s="27" t="str">
        <f t="shared" si="175"/>
        <v/>
      </c>
      <c r="N2791" s="25"/>
      <c r="O2791" s="22"/>
      <c r="P2791" s="24"/>
      <c r="Q2791" s="26"/>
    </row>
    <row r="2792" spans="1:17" ht="15" x14ac:dyDescent="0.15">
      <c r="A2792" s="22"/>
      <c r="B2792" s="26" t="str">
        <f t="shared" si="172"/>
        <v/>
      </c>
      <c r="C2792" s="26" t="str">
        <f t="shared" si="173"/>
        <v/>
      </c>
      <c r="D2792" s="26" t="str">
        <f t="shared" si="174"/>
        <v/>
      </c>
      <c r="E2792" s="29"/>
      <c r="F2792" s="22"/>
      <c r="G2792" s="22"/>
      <c r="H2792" s="22"/>
      <c r="I2792" s="24"/>
      <c r="J2792" s="24"/>
      <c r="K2792" s="24"/>
      <c r="L2792" s="24"/>
      <c r="M2792" s="27" t="str">
        <f t="shared" si="175"/>
        <v/>
      </c>
      <c r="N2792" s="25"/>
      <c r="O2792" s="22"/>
      <c r="P2792" s="24"/>
      <c r="Q2792" s="26"/>
    </row>
    <row r="2793" spans="1:17" ht="15" x14ac:dyDescent="0.15">
      <c r="A2793" s="22"/>
      <c r="B2793" s="26" t="str">
        <f t="shared" si="172"/>
        <v/>
      </c>
      <c r="C2793" s="26" t="str">
        <f t="shared" si="173"/>
        <v/>
      </c>
      <c r="D2793" s="26" t="str">
        <f t="shared" si="174"/>
        <v/>
      </c>
      <c r="E2793" s="29"/>
      <c r="F2793" s="22"/>
      <c r="G2793" s="22"/>
      <c r="H2793" s="22"/>
      <c r="I2793" s="24"/>
      <c r="J2793" s="24"/>
      <c r="K2793" s="24"/>
      <c r="L2793" s="24"/>
      <c r="M2793" s="27" t="str">
        <f t="shared" si="175"/>
        <v/>
      </c>
      <c r="N2793" s="25"/>
      <c r="O2793" s="22"/>
      <c r="P2793" s="24"/>
      <c r="Q2793" s="26"/>
    </row>
    <row r="2794" spans="1:17" ht="15" x14ac:dyDescent="0.15">
      <c r="A2794" s="22"/>
      <c r="B2794" s="26" t="str">
        <f t="shared" si="172"/>
        <v/>
      </c>
      <c r="C2794" s="26" t="str">
        <f t="shared" si="173"/>
        <v/>
      </c>
      <c r="D2794" s="26" t="str">
        <f t="shared" si="174"/>
        <v/>
      </c>
      <c r="E2794" s="29"/>
      <c r="F2794" s="22"/>
      <c r="G2794" s="22"/>
      <c r="H2794" s="22"/>
      <c r="I2794" s="24"/>
      <c r="J2794" s="24"/>
      <c r="K2794" s="24"/>
      <c r="L2794" s="24"/>
      <c r="M2794" s="27" t="str">
        <f t="shared" si="175"/>
        <v/>
      </c>
      <c r="N2794" s="25"/>
      <c r="O2794" s="22"/>
      <c r="P2794" s="24"/>
      <c r="Q2794" s="26"/>
    </row>
    <row r="2795" spans="1:17" ht="15" x14ac:dyDescent="0.15">
      <c r="A2795" s="22"/>
      <c r="B2795" s="26" t="str">
        <f t="shared" si="172"/>
        <v/>
      </c>
      <c r="C2795" s="26" t="str">
        <f t="shared" si="173"/>
        <v/>
      </c>
      <c r="D2795" s="26" t="str">
        <f t="shared" si="174"/>
        <v/>
      </c>
      <c r="E2795" s="29"/>
      <c r="F2795" s="22"/>
      <c r="G2795" s="22"/>
      <c r="H2795" s="22"/>
      <c r="I2795" s="24"/>
      <c r="J2795" s="24"/>
      <c r="K2795" s="24"/>
      <c r="L2795" s="24"/>
      <c r="M2795" s="27" t="str">
        <f t="shared" si="175"/>
        <v/>
      </c>
      <c r="N2795" s="25"/>
      <c r="O2795" s="22"/>
      <c r="P2795" s="24"/>
      <c r="Q2795" s="26"/>
    </row>
    <row r="2796" spans="1:17" ht="15" x14ac:dyDescent="0.15">
      <c r="A2796" s="22"/>
      <c r="B2796" s="26" t="str">
        <f t="shared" si="172"/>
        <v/>
      </c>
      <c r="C2796" s="26" t="str">
        <f t="shared" si="173"/>
        <v/>
      </c>
      <c r="D2796" s="26" t="str">
        <f t="shared" si="174"/>
        <v/>
      </c>
      <c r="E2796" s="29"/>
      <c r="F2796" s="22"/>
      <c r="G2796" s="22"/>
      <c r="H2796" s="22"/>
      <c r="I2796" s="24"/>
      <c r="J2796" s="24"/>
      <c r="K2796" s="24"/>
      <c r="L2796" s="24"/>
      <c r="M2796" s="27" t="str">
        <f t="shared" si="175"/>
        <v/>
      </c>
      <c r="N2796" s="25"/>
      <c r="O2796" s="22"/>
      <c r="P2796" s="24"/>
      <c r="Q2796" s="26"/>
    </row>
    <row r="2797" spans="1:17" ht="15" x14ac:dyDescent="0.15">
      <c r="A2797" s="22"/>
      <c r="B2797" s="26" t="str">
        <f t="shared" si="172"/>
        <v/>
      </c>
      <c r="C2797" s="26" t="str">
        <f t="shared" si="173"/>
        <v/>
      </c>
      <c r="D2797" s="26" t="str">
        <f t="shared" si="174"/>
        <v/>
      </c>
      <c r="E2797" s="29"/>
      <c r="F2797" s="22"/>
      <c r="G2797" s="22"/>
      <c r="H2797" s="22"/>
      <c r="I2797" s="24"/>
      <c r="J2797" s="24"/>
      <c r="K2797" s="24"/>
      <c r="L2797" s="24"/>
      <c r="M2797" s="27" t="str">
        <f t="shared" si="175"/>
        <v/>
      </c>
      <c r="N2797" s="25"/>
      <c r="O2797" s="22"/>
      <c r="P2797" s="24"/>
      <c r="Q2797" s="26"/>
    </row>
    <row r="2798" spans="1:17" ht="15" x14ac:dyDescent="0.15">
      <c r="A2798" s="22"/>
      <c r="B2798" s="26" t="str">
        <f t="shared" si="172"/>
        <v/>
      </c>
      <c r="C2798" s="26" t="str">
        <f t="shared" si="173"/>
        <v/>
      </c>
      <c r="D2798" s="26" t="str">
        <f t="shared" si="174"/>
        <v/>
      </c>
      <c r="E2798" s="29"/>
      <c r="F2798" s="22"/>
      <c r="G2798" s="22"/>
      <c r="H2798" s="22"/>
      <c r="I2798" s="24"/>
      <c r="J2798" s="24"/>
      <c r="K2798" s="24"/>
      <c r="L2798" s="24"/>
      <c r="M2798" s="27" t="str">
        <f t="shared" si="175"/>
        <v/>
      </c>
      <c r="N2798" s="25"/>
      <c r="O2798" s="22"/>
      <c r="P2798" s="24"/>
      <c r="Q2798" s="26"/>
    </row>
    <row r="2799" spans="1:17" ht="15" x14ac:dyDescent="0.15">
      <c r="A2799" s="22"/>
      <c r="B2799" s="26" t="str">
        <f t="shared" si="172"/>
        <v/>
      </c>
      <c r="C2799" s="26" t="str">
        <f t="shared" si="173"/>
        <v/>
      </c>
      <c r="D2799" s="26" t="str">
        <f t="shared" si="174"/>
        <v/>
      </c>
      <c r="E2799" s="29"/>
      <c r="F2799" s="22"/>
      <c r="G2799" s="22"/>
      <c r="H2799" s="22"/>
      <c r="I2799" s="24"/>
      <c r="J2799" s="24"/>
      <c r="K2799" s="24"/>
      <c r="L2799" s="24"/>
      <c r="M2799" s="27" t="str">
        <f t="shared" si="175"/>
        <v/>
      </c>
      <c r="N2799" s="25"/>
      <c r="O2799" s="22"/>
      <c r="P2799" s="24"/>
      <c r="Q2799" s="26"/>
    </row>
    <row r="2800" spans="1:17" ht="15" x14ac:dyDescent="0.15">
      <c r="A2800" s="22"/>
      <c r="B2800" s="26" t="str">
        <f t="shared" si="172"/>
        <v/>
      </c>
      <c r="C2800" s="26" t="str">
        <f t="shared" si="173"/>
        <v/>
      </c>
      <c r="D2800" s="26" t="str">
        <f t="shared" si="174"/>
        <v/>
      </c>
      <c r="E2800" s="29"/>
      <c r="F2800" s="22"/>
      <c r="G2800" s="22"/>
      <c r="H2800" s="22"/>
      <c r="I2800" s="24"/>
      <c r="J2800" s="24"/>
      <c r="K2800" s="24"/>
      <c r="L2800" s="24"/>
      <c r="M2800" s="27" t="str">
        <f t="shared" si="175"/>
        <v/>
      </c>
      <c r="N2800" s="25"/>
      <c r="O2800" s="22"/>
      <c r="P2800" s="24"/>
      <c r="Q2800" s="26"/>
    </row>
    <row r="2801" spans="1:17" ht="15" x14ac:dyDescent="0.15">
      <c r="A2801" s="22"/>
      <c r="B2801" s="26" t="str">
        <f t="shared" si="172"/>
        <v/>
      </c>
      <c r="C2801" s="26" t="str">
        <f t="shared" si="173"/>
        <v/>
      </c>
      <c r="D2801" s="26" t="str">
        <f t="shared" si="174"/>
        <v/>
      </c>
      <c r="E2801" s="29"/>
      <c r="F2801" s="22"/>
      <c r="G2801" s="22"/>
      <c r="H2801" s="22"/>
      <c r="I2801" s="24"/>
      <c r="J2801" s="24"/>
      <c r="K2801" s="24"/>
      <c r="L2801" s="24"/>
      <c r="M2801" s="27" t="str">
        <f t="shared" si="175"/>
        <v/>
      </c>
      <c r="N2801" s="25"/>
      <c r="O2801" s="22"/>
      <c r="P2801" s="24"/>
      <c r="Q2801" s="26"/>
    </row>
    <row r="2802" spans="1:17" ht="15" x14ac:dyDescent="0.15">
      <c r="A2802" s="22"/>
      <c r="B2802" s="26" t="str">
        <f t="shared" si="172"/>
        <v/>
      </c>
      <c r="C2802" s="26" t="str">
        <f t="shared" si="173"/>
        <v/>
      </c>
      <c r="D2802" s="26" t="str">
        <f t="shared" si="174"/>
        <v/>
      </c>
      <c r="E2802" s="29"/>
      <c r="F2802" s="22"/>
      <c r="G2802" s="22"/>
      <c r="H2802" s="22"/>
      <c r="I2802" s="24"/>
      <c r="J2802" s="24"/>
      <c r="K2802" s="24"/>
      <c r="L2802" s="24"/>
      <c r="M2802" s="27" t="str">
        <f t="shared" si="175"/>
        <v/>
      </c>
      <c r="N2802" s="25"/>
      <c r="O2802" s="22"/>
      <c r="P2802" s="24"/>
      <c r="Q2802" s="26"/>
    </row>
    <row r="2803" spans="1:17" ht="15" x14ac:dyDescent="0.15">
      <c r="A2803" s="22"/>
      <c r="B2803" s="26" t="str">
        <f t="shared" si="172"/>
        <v/>
      </c>
      <c r="C2803" s="26" t="str">
        <f t="shared" si="173"/>
        <v/>
      </c>
      <c r="D2803" s="26" t="str">
        <f t="shared" si="174"/>
        <v/>
      </c>
      <c r="E2803" s="29"/>
      <c r="F2803" s="22"/>
      <c r="G2803" s="22"/>
      <c r="H2803" s="22"/>
      <c r="I2803" s="24"/>
      <c r="J2803" s="24"/>
      <c r="K2803" s="24"/>
      <c r="L2803" s="24"/>
      <c r="M2803" s="27" t="str">
        <f t="shared" si="175"/>
        <v/>
      </c>
      <c r="N2803" s="25"/>
      <c r="O2803" s="22"/>
      <c r="P2803" s="24"/>
      <c r="Q2803" s="26"/>
    </row>
    <row r="2804" spans="1:17" ht="15" x14ac:dyDescent="0.15">
      <c r="A2804" s="22"/>
      <c r="B2804" s="26" t="str">
        <f t="shared" si="172"/>
        <v/>
      </c>
      <c r="C2804" s="26" t="str">
        <f t="shared" si="173"/>
        <v/>
      </c>
      <c r="D2804" s="26" t="str">
        <f t="shared" si="174"/>
        <v/>
      </c>
      <c r="E2804" s="29"/>
      <c r="F2804" s="22"/>
      <c r="G2804" s="22"/>
      <c r="H2804" s="22"/>
      <c r="I2804" s="24"/>
      <c r="J2804" s="24"/>
      <c r="K2804" s="24"/>
      <c r="L2804" s="24"/>
      <c r="M2804" s="27" t="str">
        <f t="shared" si="175"/>
        <v/>
      </c>
      <c r="N2804" s="25"/>
      <c r="O2804" s="22"/>
      <c r="P2804" s="24"/>
      <c r="Q2804" s="26"/>
    </row>
    <row r="2805" spans="1:17" ht="15" x14ac:dyDescent="0.15">
      <c r="A2805" s="22"/>
      <c r="B2805" s="26" t="str">
        <f t="shared" si="172"/>
        <v/>
      </c>
      <c r="C2805" s="26" t="str">
        <f t="shared" si="173"/>
        <v/>
      </c>
      <c r="D2805" s="26" t="str">
        <f t="shared" si="174"/>
        <v/>
      </c>
      <c r="E2805" s="29"/>
      <c r="F2805" s="22"/>
      <c r="G2805" s="22"/>
      <c r="H2805" s="22"/>
      <c r="I2805" s="24"/>
      <c r="J2805" s="24"/>
      <c r="K2805" s="24"/>
      <c r="L2805" s="24"/>
      <c r="M2805" s="27" t="str">
        <f t="shared" si="175"/>
        <v/>
      </c>
      <c r="N2805" s="25"/>
      <c r="O2805" s="22"/>
      <c r="P2805" s="24"/>
      <c r="Q2805" s="26"/>
    </row>
    <row r="2806" spans="1:17" ht="15" x14ac:dyDescent="0.15">
      <c r="A2806" s="22"/>
      <c r="B2806" s="26" t="str">
        <f t="shared" si="172"/>
        <v/>
      </c>
      <c r="C2806" s="26" t="str">
        <f t="shared" si="173"/>
        <v/>
      </c>
      <c r="D2806" s="26" t="str">
        <f t="shared" si="174"/>
        <v/>
      </c>
      <c r="E2806" s="29"/>
      <c r="F2806" s="22"/>
      <c r="G2806" s="22"/>
      <c r="H2806" s="22"/>
      <c r="I2806" s="24"/>
      <c r="J2806" s="24"/>
      <c r="K2806" s="24"/>
      <c r="L2806" s="24"/>
      <c r="M2806" s="27" t="str">
        <f t="shared" si="175"/>
        <v/>
      </c>
      <c r="N2806" s="25"/>
      <c r="O2806" s="22"/>
      <c r="P2806" s="24"/>
      <c r="Q2806" s="26"/>
    </row>
    <row r="2807" spans="1:17" ht="15" x14ac:dyDescent="0.15">
      <c r="A2807" s="22"/>
      <c r="B2807" s="26" t="str">
        <f t="shared" si="172"/>
        <v/>
      </c>
      <c r="C2807" s="26" t="str">
        <f t="shared" si="173"/>
        <v/>
      </c>
      <c r="D2807" s="26" t="str">
        <f t="shared" si="174"/>
        <v/>
      </c>
      <c r="E2807" s="29"/>
      <c r="F2807" s="22"/>
      <c r="G2807" s="22"/>
      <c r="H2807" s="22"/>
      <c r="I2807" s="24"/>
      <c r="J2807" s="24"/>
      <c r="K2807" s="24"/>
      <c r="L2807" s="24"/>
      <c r="M2807" s="27" t="str">
        <f t="shared" si="175"/>
        <v/>
      </c>
      <c r="N2807" s="25"/>
      <c r="O2807" s="22"/>
      <c r="P2807" s="24"/>
      <c r="Q2807" s="26"/>
    </row>
    <row r="2808" spans="1:17" ht="15" x14ac:dyDescent="0.15">
      <c r="A2808" s="22"/>
      <c r="B2808" s="26" t="str">
        <f t="shared" si="172"/>
        <v/>
      </c>
      <c r="C2808" s="26" t="str">
        <f t="shared" si="173"/>
        <v/>
      </c>
      <c r="D2808" s="26" t="str">
        <f t="shared" si="174"/>
        <v/>
      </c>
      <c r="E2808" s="29"/>
      <c r="F2808" s="22"/>
      <c r="G2808" s="22"/>
      <c r="H2808" s="22"/>
      <c r="I2808" s="24"/>
      <c r="J2808" s="24"/>
      <c r="K2808" s="24"/>
      <c r="L2808" s="24"/>
      <c r="M2808" s="27" t="str">
        <f t="shared" si="175"/>
        <v/>
      </c>
      <c r="N2808" s="25"/>
      <c r="O2808" s="22"/>
      <c r="P2808" s="24"/>
      <c r="Q2808" s="26"/>
    </row>
    <row r="2809" spans="1:17" ht="15" x14ac:dyDescent="0.15">
      <c r="A2809" s="22"/>
      <c r="B2809" s="26" t="str">
        <f t="shared" si="172"/>
        <v/>
      </c>
      <c r="C2809" s="26" t="str">
        <f t="shared" si="173"/>
        <v/>
      </c>
      <c r="D2809" s="26" t="str">
        <f t="shared" si="174"/>
        <v/>
      </c>
      <c r="E2809" s="29"/>
      <c r="F2809" s="22"/>
      <c r="G2809" s="22"/>
      <c r="H2809" s="22"/>
      <c r="I2809" s="24"/>
      <c r="J2809" s="24"/>
      <c r="K2809" s="24"/>
      <c r="L2809" s="24"/>
      <c r="M2809" s="27" t="str">
        <f t="shared" si="175"/>
        <v/>
      </c>
      <c r="N2809" s="25"/>
      <c r="O2809" s="22"/>
      <c r="P2809" s="24"/>
      <c r="Q2809" s="26"/>
    </row>
    <row r="2810" spans="1:17" ht="15" x14ac:dyDescent="0.15">
      <c r="A2810" s="22"/>
      <c r="B2810" s="26" t="str">
        <f t="shared" si="172"/>
        <v/>
      </c>
      <c r="C2810" s="26" t="str">
        <f t="shared" si="173"/>
        <v/>
      </c>
      <c r="D2810" s="26" t="str">
        <f t="shared" si="174"/>
        <v/>
      </c>
      <c r="E2810" s="29"/>
      <c r="F2810" s="22"/>
      <c r="G2810" s="22"/>
      <c r="H2810" s="22"/>
      <c r="I2810" s="24"/>
      <c r="J2810" s="24"/>
      <c r="K2810" s="24"/>
      <c r="L2810" s="24"/>
      <c r="M2810" s="27" t="str">
        <f t="shared" si="175"/>
        <v/>
      </c>
      <c r="N2810" s="25"/>
      <c r="O2810" s="22"/>
      <c r="P2810" s="24"/>
      <c r="Q2810" s="26"/>
    </row>
    <row r="2811" spans="1:17" ht="15" x14ac:dyDescent="0.15">
      <c r="A2811" s="22"/>
      <c r="B2811" s="26" t="str">
        <f t="shared" si="172"/>
        <v/>
      </c>
      <c r="C2811" s="26" t="str">
        <f t="shared" si="173"/>
        <v/>
      </c>
      <c r="D2811" s="26" t="str">
        <f t="shared" si="174"/>
        <v/>
      </c>
      <c r="E2811" s="29"/>
      <c r="F2811" s="22"/>
      <c r="G2811" s="22"/>
      <c r="H2811" s="22"/>
      <c r="I2811" s="24"/>
      <c r="J2811" s="24"/>
      <c r="K2811" s="24"/>
      <c r="L2811" s="24"/>
      <c r="M2811" s="27" t="str">
        <f t="shared" si="175"/>
        <v/>
      </c>
      <c r="N2811" s="25"/>
      <c r="O2811" s="22"/>
      <c r="P2811" s="24"/>
      <c r="Q2811" s="26"/>
    </row>
    <row r="2812" spans="1:17" ht="15" x14ac:dyDescent="0.15">
      <c r="A2812" s="22"/>
      <c r="B2812" s="26" t="str">
        <f t="shared" si="172"/>
        <v/>
      </c>
      <c r="C2812" s="26" t="str">
        <f t="shared" si="173"/>
        <v/>
      </c>
      <c r="D2812" s="26" t="str">
        <f t="shared" si="174"/>
        <v/>
      </c>
      <c r="E2812" s="29"/>
      <c r="F2812" s="22"/>
      <c r="G2812" s="22"/>
      <c r="H2812" s="22"/>
      <c r="I2812" s="24"/>
      <c r="J2812" s="24"/>
      <c r="K2812" s="24"/>
      <c r="L2812" s="24"/>
      <c r="M2812" s="27" t="str">
        <f t="shared" si="175"/>
        <v/>
      </c>
      <c r="N2812" s="25"/>
      <c r="O2812" s="22"/>
      <c r="P2812" s="24"/>
      <c r="Q2812" s="26"/>
    </row>
    <row r="2813" spans="1:17" ht="15" x14ac:dyDescent="0.15">
      <c r="A2813" s="22"/>
      <c r="B2813" s="26" t="str">
        <f t="shared" si="172"/>
        <v/>
      </c>
      <c r="C2813" s="26" t="str">
        <f t="shared" si="173"/>
        <v/>
      </c>
      <c r="D2813" s="26" t="str">
        <f t="shared" si="174"/>
        <v/>
      </c>
      <c r="E2813" s="29"/>
      <c r="F2813" s="22"/>
      <c r="G2813" s="22"/>
      <c r="H2813" s="22"/>
      <c r="I2813" s="24"/>
      <c r="J2813" s="24"/>
      <c r="K2813" s="24"/>
      <c r="L2813" s="24"/>
      <c r="M2813" s="27" t="str">
        <f t="shared" si="175"/>
        <v/>
      </c>
      <c r="N2813" s="25"/>
      <c r="O2813" s="22"/>
      <c r="P2813" s="24"/>
      <c r="Q2813" s="26"/>
    </row>
    <row r="2814" spans="1:17" ht="15" x14ac:dyDescent="0.15">
      <c r="A2814" s="22"/>
      <c r="B2814" s="26" t="str">
        <f t="shared" si="172"/>
        <v/>
      </c>
      <c r="C2814" s="26" t="str">
        <f t="shared" si="173"/>
        <v/>
      </c>
      <c r="D2814" s="26" t="str">
        <f t="shared" si="174"/>
        <v/>
      </c>
      <c r="E2814" s="29"/>
      <c r="F2814" s="22"/>
      <c r="G2814" s="22"/>
      <c r="H2814" s="22"/>
      <c r="I2814" s="24"/>
      <c r="J2814" s="24"/>
      <c r="K2814" s="24"/>
      <c r="L2814" s="24"/>
      <c r="M2814" s="27" t="str">
        <f t="shared" si="175"/>
        <v/>
      </c>
      <c r="N2814" s="25"/>
      <c r="O2814" s="22"/>
      <c r="P2814" s="24"/>
      <c r="Q2814" s="26"/>
    </row>
    <row r="2815" spans="1:17" ht="15" x14ac:dyDescent="0.15">
      <c r="A2815" s="22"/>
      <c r="B2815" s="26" t="str">
        <f t="shared" si="172"/>
        <v/>
      </c>
      <c r="C2815" s="26" t="str">
        <f t="shared" si="173"/>
        <v/>
      </c>
      <c r="D2815" s="26" t="str">
        <f t="shared" si="174"/>
        <v/>
      </c>
      <c r="E2815" s="29"/>
      <c r="F2815" s="22"/>
      <c r="G2815" s="22"/>
      <c r="H2815" s="22"/>
      <c r="I2815" s="24"/>
      <c r="J2815" s="24"/>
      <c r="K2815" s="24"/>
      <c r="L2815" s="24"/>
      <c r="M2815" s="27" t="str">
        <f t="shared" si="175"/>
        <v/>
      </c>
      <c r="N2815" s="25"/>
      <c r="O2815" s="22"/>
      <c r="P2815" s="24"/>
      <c r="Q2815" s="26"/>
    </row>
    <row r="2816" spans="1:17" ht="15" x14ac:dyDescent="0.15">
      <c r="A2816" s="22"/>
      <c r="B2816" s="26" t="str">
        <f t="shared" si="172"/>
        <v/>
      </c>
      <c r="C2816" s="26" t="str">
        <f t="shared" si="173"/>
        <v/>
      </c>
      <c r="D2816" s="26" t="str">
        <f t="shared" si="174"/>
        <v/>
      </c>
      <c r="E2816" s="29"/>
      <c r="F2816" s="22"/>
      <c r="G2816" s="22"/>
      <c r="H2816" s="22"/>
      <c r="I2816" s="24"/>
      <c r="J2816" s="24"/>
      <c r="K2816" s="24"/>
      <c r="L2816" s="24"/>
      <c r="M2816" s="27" t="str">
        <f t="shared" si="175"/>
        <v/>
      </c>
      <c r="N2816" s="25"/>
      <c r="O2816" s="22"/>
      <c r="P2816" s="24"/>
      <c r="Q2816" s="26"/>
    </row>
    <row r="2817" spans="1:17" ht="15" x14ac:dyDescent="0.15">
      <c r="A2817" s="22"/>
      <c r="B2817" s="26" t="str">
        <f t="shared" si="172"/>
        <v/>
      </c>
      <c r="C2817" s="26" t="str">
        <f t="shared" si="173"/>
        <v/>
      </c>
      <c r="D2817" s="26" t="str">
        <f t="shared" si="174"/>
        <v/>
      </c>
      <c r="E2817" s="29"/>
      <c r="F2817" s="22"/>
      <c r="G2817" s="22"/>
      <c r="H2817" s="22"/>
      <c r="I2817" s="24"/>
      <c r="J2817" s="24"/>
      <c r="K2817" s="24"/>
      <c r="L2817" s="24"/>
      <c r="M2817" s="27" t="str">
        <f t="shared" si="175"/>
        <v/>
      </c>
      <c r="N2817" s="25"/>
      <c r="O2817" s="22"/>
      <c r="P2817" s="24"/>
      <c r="Q2817" s="26"/>
    </row>
    <row r="2818" spans="1:17" ht="15" x14ac:dyDescent="0.15">
      <c r="A2818" s="22"/>
      <c r="B2818" s="26" t="str">
        <f t="shared" si="172"/>
        <v/>
      </c>
      <c r="C2818" s="26" t="str">
        <f t="shared" si="173"/>
        <v/>
      </c>
      <c r="D2818" s="26" t="str">
        <f t="shared" si="174"/>
        <v/>
      </c>
      <c r="E2818" s="29"/>
      <c r="F2818" s="22"/>
      <c r="G2818" s="22"/>
      <c r="H2818" s="22"/>
      <c r="I2818" s="24"/>
      <c r="J2818" s="24"/>
      <c r="K2818" s="24"/>
      <c r="L2818" s="24"/>
      <c r="M2818" s="27" t="str">
        <f t="shared" si="175"/>
        <v/>
      </c>
      <c r="N2818" s="25"/>
      <c r="O2818" s="22"/>
      <c r="P2818" s="24"/>
      <c r="Q2818" s="26"/>
    </row>
    <row r="2819" spans="1:17" ht="15" x14ac:dyDescent="0.15">
      <c r="A2819" s="22"/>
      <c r="B2819" s="26" t="str">
        <f t="shared" si="172"/>
        <v/>
      </c>
      <c r="C2819" s="26" t="str">
        <f t="shared" si="173"/>
        <v/>
      </c>
      <c r="D2819" s="26" t="str">
        <f t="shared" si="174"/>
        <v/>
      </c>
      <c r="E2819" s="29"/>
      <c r="F2819" s="22"/>
      <c r="G2819" s="22"/>
      <c r="H2819" s="22"/>
      <c r="I2819" s="24"/>
      <c r="J2819" s="24"/>
      <c r="K2819" s="24"/>
      <c r="L2819" s="24"/>
      <c r="M2819" s="27" t="str">
        <f t="shared" si="175"/>
        <v/>
      </c>
      <c r="N2819" s="25"/>
      <c r="O2819" s="22"/>
      <c r="P2819" s="24"/>
      <c r="Q2819" s="26"/>
    </row>
    <row r="2820" spans="1:17" ht="15" x14ac:dyDescent="0.15">
      <c r="A2820" s="22"/>
      <c r="B2820" s="26" t="str">
        <f t="shared" si="172"/>
        <v/>
      </c>
      <c r="C2820" s="26" t="str">
        <f t="shared" si="173"/>
        <v/>
      </c>
      <c r="D2820" s="26" t="str">
        <f t="shared" si="174"/>
        <v/>
      </c>
      <c r="E2820" s="29"/>
      <c r="F2820" s="22"/>
      <c r="G2820" s="22"/>
      <c r="H2820" s="22"/>
      <c r="I2820" s="24"/>
      <c r="J2820" s="24"/>
      <c r="K2820" s="24"/>
      <c r="L2820" s="24"/>
      <c r="M2820" s="27" t="str">
        <f t="shared" si="175"/>
        <v/>
      </c>
      <c r="N2820" s="25"/>
      <c r="O2820" s="22"/>
      <c r="P2820" s="24"/>
      <c r="Q2820" s="26"/>
    </row>
    <row r="2821" spans="1:17" ht="15" x14ac:dyDescent="0.15">
      <c r="A2821" s="22"/>
      <c r="B2821" s="26" t="str">
        <f t="shared" si="172"/>
        <v/>
      </c>
      <c r="C2821" s="26" t="str">
        <f t="shared" si="173"/>
        <v/>
      </c>
      <c r="D2821" s="26" t="str">
        <f t="shared" si="174"/>
        <v/>
      </c>
      <c r="E2821" s="29"/>
      <c r="F2821" s="22"/>
      <c r="G2821" s="22"/>
      <c r="H2821" s="22"/>
      <c r="I2821" s="24"/>
      <c r="J2821" s="24"/>
      <c r="K2821" s="24"/>
      <c r="L2821" s="24"/>
      <c r="M2821" s="27" t="str">
        <f t="shared" si="175"/>
        <v/>
      </c>
      <c r="N2821" s="25"/>
      <c r="O2821" s="22"/>
      <c r="P2821" s="24"/>
      <c r="Q2821" s="26"/>
    </row>
    <row r="2822" spans="1:17" ht="15" x14ac:dyDescent="0.15">
      <c r="A2822" s="22"/>
      <c r="B2822" s="26" t="str">
        <f t="shared" si="172"/>
        <v/>
      </c>
      <c r="C2822" s="26" t="str">
        <f t="shared" si="173"/>
        <v/>
      </c>
      <c r="D2822" s="26" t="str">
        <f t="shared" si="174"/>
        <v/>
      </c>
      <c r="E2822" s="29"/>
      <c r="F2822" s="22"/>
      <c r="G2822" s="22"/>
      <c r="H2822" s="22"/>
      <c r="I2822" s="24"/>
      <c r="J2822" s="24"/>
      <c r="K2822" s="24"/>
      <c r="L2822" s="24"/>
      <c r="M2822" s="27" t="str">
        <f t="shared" si="175"/>
        <v/>
      </c>
      <c r="N2822" s="25"/>
      <c r="O2822" s="22"/>
      <c r="P2822" s="24"/>
      <c r="Q2822" s="26"/>
    </row>
    <row r="2823" spans="1:17" ht="15" x14ac:dyDescent="0.15">
      <c r="A2823" s="22"/>
      <c r="B2823" s="26" t="str">
        <f t="shared" ref="B2823:B2886" si="176">IFERROR(IF($A2823="","",LEFT($A2823,FIND(" | ",$A2823)-1)),"")</f>
        <v/>
      </c>
      <c r="C2823" s="26" t="str">
        <f t="shared" ref="C2823:C2886" si="177">IFERROR(IF($A2823="","",MID($A2823,FIND(" | ",$A2823)+3,FIND(" | ",$A2823,FIND(" | ",$A2823)+3)-FIND(" | ",$A2823)-3)),"")</f>
        <v/>
      </c>
      <c r="D2823" s="26" t="str">
        <f t="shared" ref="D2823:D2886" si="178">IFERROR(IF($A2823="","",RIGHT($A2823,LEN($A2823)-FIND(" | ",$A2823,FIND(" | ",$A2823)+3)-2)),"")</f>
        <v/>
      </c>
      <c r="E2823" s="29"/>
      <c r="F2823" s="22"/>
      <c r="G2823" s="22"/>
      <c r="H2823" s="22"/>
      <c r="I2823" s="24"/>
      <c r="J2823" s="24"/>
      <c r="K2823" s="24"/>
      <c r="L2823" s="24"/>
      <c r="M2823" s="27" t="str">
        <f t="shared" ref="M2823:M2886" si="179">IF($B2823="","",SUM($J2823,-$K2823,$L2823))</f>
        <v/>
      </c>
      <c r="N2823" s="25"/>
      <c r="O2823" s="22"/>
      <c r="P2823" s="24"/>
      <c r="Q2823" s="26"/>
    </row>
    <row r="2824" spans="1:17" ht="15" x14ac:dyDescent="0.15">
      <c r="A2824" s="22"/>
      <c r="B2824" s="26" t="str">
        <f t="shared" si="176"/>
        <v/>
      </c>
      <c r="C2824" s="26" t="str">
        <f t="shared" si="177"/>
        <v/>
      </c>
      <c r="D2824" s="26" t="str">
        <f t="shared" si="178"/>
        <v/>
      </c>
      <c r="E2824" s="29"/>
      <c r="F2824" s="22"/>
      <c r="G2824" s="22"/>
      <c r="H2824" s="22"/>
      <c r="I2824" s="24"/>
      <c r="J2824" s="24"/>
      <c r="K2824" s="24"/>
      <c r="L2824" s="24"/>
      <c r="M2824" s="27" t="str">
        <f t="shared" si="179"/>
        <v/>
      </c>
      <c r="N2824" s="25"/>
      <c r="O2824" s="22"/>
      <c r="P2824" s="24"/>
      <c r="Q2824" s="26"/>
    </row>
    <row r="2825" spans="1:17" ht="15" x14ac:dyDescent="0.15">
      <c r="A2825" s="22"/>
      <c r="B2825" s="26" t="str">
        <f t="shared" si="176"/>
        <v/>
      </c>
      <c r="C2825" s="26" t="str">
        <f t="shared" si="177"/>
        <v/>
      </c>
      <c r="D2825" s="26" t="str">
        <f t="shared" si="178"/>
        <v/>
      </c>
      <c r="E2825" s="29"/>
      <c r="F2825" s="22"/>
      <c r="G2825" s="22"/>
      <c r="H2825" s="22"/>
      <c r="I2825" s="24"/>
      <c r="J2825" s="24"/>
      <c r="K2825" s="24"/>
      <c r="L2825" s="24"/>
      <c r="M2825" s="27" t="str">
        <f t="shared" si="179"/>
        <v/>
      </c>
      <c r="N2825" s="25"/>
      <c r="O2825" s="22"/>
      <c r="P2825" s="24"/>
      <c r="Q2825" s="26"/>
    </row>
    <row r="2826" spans="1:17" ht="15" x14ac:dyDescent="0.15">
      <c r="A2826" s="22"/>
      <c r="B2826" s="26" t="str">
        <f t="shared" si="176"/>
        <v/>
      </c>
      <c r="C2826" s="26" t="str">
        <f t="shared" si="177"/>
        <v/>
      </c>
      <c r="D2826" s="26" t="str">
        <f t="shared" si="178"/>
        <v/>
      </c>
      <c r="E2826" s="29"/>
      <c r="F2826" s="22"/>
      <c r="G2826" s="22"/>
      <c r="H2826" s="22"/>
      <c r="I2826" s="24"/>
      <c r="J2826" s="24"/>
      <c r="K2826" s="24"/>
      <c r="L2826" s="24"/>
      <c r="M2826" s="27" t="str">
        <f t="shared" si="179"/>
        <v/>
      </c>
      <c r="N2826" s="25"/>
      <c r="O2826" s="22"/>
      <c r="P2826" s="24"/>
      <c r="Q2826" s="26"/>
    </row>
    <row r="2827" spans="1:17" ht="15" x14ac:dyDescent="0.15">
      <c r="A2827" s="22"/>
      <c r="B2827" s="26" t="str">
        <f t="shared" si="176"/>
        <v/>
      </c>
      <c r="C2827" s="26" t="str">
        <f t="shared" si="177"/>
        <v/>
      </c>
      <c r="D2827" s="26" t="str">
        <f t="shared" si="178"/>
        <v/>
      </c>
      <c r="E2827" s="29"/>
      <c r="F2827" s="22"/>
      <c r="G2827" s="22"/>
      <c r="H2827" s="22"/>
      <c r="I2827" s="24"/>
      <c r="J2827" s="24"/>
      <c r="K2827" s="24"/>
      <c r="L2827" s="24"/>
      <c r="M2827" s="27" t="str">
        <f t="shared" si="179"/>
        <v/>
      </c>
      <c r="N2827" s="25"/>
      <c r="O2827" s="22"/>
      <c r="P2827" s="24"/>
      <c r="Q2827" s="26"/>
    </row>
    <row r="2828" spans="1:17" ht="15" x14ac:dyDescent="0.15">
      <c r="A2828" s="22"/>
      <c r="B2828" s="26" t="str">
        <f t="shared" si="176"/>
        <v/>
      </c>
      <c r="C2828" s="26" t="str">
        <f t="shared" si="177"/>
        <v/>
      </c>
      <c r="D2828" s="26" t="str">
        <f t="shared" si="178"/>
        <v/>
      </c>
      <c r="E2828" s="29"/>
      <c r="F2828" s="22"/>
      <c r="G2828" s="22"/>
      <c r="H2828" s="22"/>
      <c r="I2828" s="24"/>
      <c r="J2828" s="24"/>
      <c r="K2828" s="24"/>
      <c r="L2828" s="24"/>
      <c r="M2828" s="27" t="str">
        <f t="shared" si="179"/>
        <v/>
      </c>
      <c r="N2828" s="25"/>
      <c r="O2828" s="22"/>
      <c r="P2828" s="24"/>
      <c r="Q2828" s="26"/>
    </row>
    <row r="2829" spans="1:17" ht="15" x14ac:dyDescent="0.15">
      <c r="A2829" s="22"/>
      <c r="B2829" s="26" t="str">
        <f t="shared" si="176"/>
        <v/>
      </c>
      <c r="C2829" s="26" t="str">
        <f t="shared" si="177"/>
        <v/>
      </c>
      <c r="D2829" s="26" t="str">
        <f t="shared" si="178"/>
        <v/>
      </c>
      <c r="E2829" s="29"/>
      <c r="F2829" s="22"/>
      <c r="G2829" s="22"/>
      <c r="H2829" s="22"/>
      <c r="I2829" s="24"/>
      <c r="J2829" s="24"/>
      <c r="K2829" s="24"/>
      <c r="L2829" s="24"/>
      <c r="M2829" s="27" t="str">
        <f t="shared" si="179"/>
        <v/>
      </c>
      <c r="N2829" s="25"/>
      <c r="O2829" s="22"/>
      <c r="P2829" s="24"/>
      <c r="Q2829" s="26"/>
    </row>
    <row r="2830" spans="1:17" ht="15" x14ac:dyDescent="0.15">
      <c r="A2830" s="22"/>
      <c r="B2830" s="26" t="str">
        <f t="shared" si="176"/>
        <v/>
      </c>
      <c r="C2830" s="26" t="str">
        <f t="shared" si="177"/>
        <v/>
      </c>
      <c r="D2830" s="26" t="str">
        <f t="shared" si="178"/>
        <v/>
      </c>
      <c r="E2830" s="29"/>
      <c r="F2830" s="22"/>
      <c r="G2830" s="22"/>
      <c r="H2830" s="22"/>
      <c r="I2830" s="24"/>
      <c r="J2830" s="24"/>
      <c r="K2830" s="24"/>
      <c r="L2830" s="24"/>
      <c r="M2830" s="27" t="str">
        <f t="shared" si="179"/>
        <v/>
      </c>
      <c r="N2830" s="25"/>
      <c r="O2830" s="22"/>
      <c r="P2830" s="24"/>
      <c r="Q2830" s="26"/>
    </row>
    <row r="2831" spans="1:17" ht="15" x14ac:dyDescent="0.15">
      <c r="A2831" s="22"/>
      <c r="B2831" s="26" t="str">
        <f t="shared" si="176"/>
        <v/>
      </c>
      <c r="C2831" s="26" t="str">
        <f t="shared" si="177"/>
        <v/>
      </c>
      <c r="D2831" s="26" t="str">
        <f t="shared" si="178"/>
        <v/>
      </c>
      <c r="E2831" s="29"/>
      <c r="F2831" s="22"/>
      <c r="G2831" s="22"/>
      <c r="H2831" s="22"/>
      <c r="I2831" s="24"/>
      <c r="J2831" s="24"/>
      <c r="K2831" s="24"/>
      <c r="L2831" s="24"/>
      <c r="M2831" s="27" t="str">
        <f t="shared" si="179"/>
        <v/>
      </c>
      <c r="N2831" s="25"/>
      <c r="O2831" s="22"/>
      <c r="P2831" s="24"/>
      <c r="Q2831" s="26"/>
    </row>
    <row r="2832" spans="1:17" ht="15" x14ac:dyDescent="0.15">
      <c r="A2832" s="22"/>
      <c r="B2832" s="26" t="str">
        <f t="shared" si="176"/>
        <v/>
      </c>
      <c r="C2832" s="26" t="str">
        <f t="shared" si="177"/>
        <v/>
      </c>
      <c r="D2832" s="26" t="str">
        <f t="shared" si="178"/>
        <v/>
      </c>
      <c r="E2832" s="29"/>
      <c r="F2832" s="22"/>
      <c r="G2832" s="22"/>
      <c r="H2832" s="22"/>
      <c r="I2832" s="24"/>
      <c r="J2832" s="24"/>
      <c r="K2832" s="24"/>
      <c r="L2832" s="24"/>
      <c r="M2832" s="27" t="str">
        <f t="shared" si="179"/>
        <v/>
      </c>
      <c r="N2832" s="25"/>
      <c r="O2832" s="22"/>
      <c r="P2832" s="24"/>
      <c r="Q2832" s="26"/>
    </row>
    <row r="2833" spans="1:17" ht="15" x14ac:dyDescent="0.15">
      <c r="A2833" s="22"/>
      <c r="B2833" s="26" t="str">
        <f t="shared" si="176"/>
        <v/>
      </c>
      <c r="C2833" s="26" t="str">
        <f t="shared" si="177"/>
        <v/>
      </c>
      <c r="D2833" s="26" t="str">
        <f t="shared" si="178"/>
        <v/>
      </c>
      <c r="E2833" s="29"/>
      <c r="F2833" s="22"/>
      <c r="G2833" s="22"/>
      <c r="H2833" s="22"/>
      <c r="I2833" s="24"/>
      <c r="J2833" s="24"/>
      <c r="K2833" s="24"/>
      <c r="L2833" s="24"/>
      <c r="M2833" s="27" t="str">
        <f t="shared" si="179"/>
        <v/>
      </c>
      <c r="N2833" s="25"/>
      <c r="O2833" s="22"/>
      <c r="P2833" s="24"/>
      <c r="Q2833" s="26"/>
    </row>
    <row r="2834" spans="1:17" ht="15" x14ac:dyDescent="0.15">
      <c r="A2834" s="22"/>
      <c r="B2834" s="26" t="str">
        <f t="shared" si="176"/>
        <v/>
      </c>
      <c r="C2834" s="26" t="str">
        <f t="shared" si="177"/>
        <v/>
      </c>
      <c r="D2834" s="26" t="str">
        <f t="shared" si="178"/>
        <v/>
      </c>
      <c r="E2834" s="29"/>
      <c r="F2834" s="22"/>
      <c r="G2834" s="22"/>
      <c r="H2834" s="22"/>
      <c r="I2834" s="24"/>
      <c r="J2834" s="24"/>
      <c r="K2834" s="24"/>
      <c r="L2834" s="24"/>
      <c r="M2834" s="27" t="str">
        <f t="shared" si="179"/>
        <v/>
      </c>
      <c r="N2834" s="25"/>
      <c r="O2834" s="22"/>
      <c r="P2834" s="24"/>
      <c r="Q2834" s="26"/>
    </row>
    <row r="2835" spans="1:17" ht="15" x14ac:dyDescent="0.15">
      <c r="A2835" s="22"/>
      <c r="B2835" s="26" t="str">
        <f t="shared" si="176"/>
        <v/>
      </c>
      <c r="C2835" s="26" t="str">
        <f t="shared" si="177"/>
        <v/>
      </c>
      <c r="D2835" s="26" t="str">
        <f t="shared" si="178"/>
        <v/>
      </c>
      <c r="E2835" s="29"/>
      <c r="F2835" s="22"/>
      <c r="G2835" s="22"/>
      <c r="H2835" s="22"/>
      <c r="I2835" s="24"/>
      <c r="J2835" s="24"/>
      <c r="K2835" s="24"/>
      <c r="L2835" s="24"/>
      <c r="M2835" s="27" t="str">
        <f t="shared" si="179"/>
        <v/>
      </c>
      <c r="N2835" s="25"/>
      <c r="O2835" s="22"/>
      <c r="P2835" s="24"/>
      <c r="Q2835" s="26"/>
    </row>
    <row r="2836" spans="1:17" ht="15" x14ac:dyDescent="0.15">
      <c r="A2836" s="22"/>
      <c r="B2836" s="26" t="str">
        <f t="shared" si="176"/>
        <v/>
      </c>
      <c r="C2836" s="26" t="str">
        <f t="shared" si="177"/>
        <v/>
      </c>
      <c r="D2836" s="26" t="str">
        <f t="shared" si="178"/>
        <v/>
      </c>
      <c r="E2836" s="29"/>
      <c r="F2836" s="22"/>
      <c r="G2836" s="22"/>
      <c r="H2836" s="22"/>
      <c r="I2836" s="24"/>
      <c r="J2836" s="24"/>
      <c r="K2836" s="24"/>
      <c r="L2836" s="24"/>
      <c r="M2836" s="27" t="str">
        <f t="shared" si="179"/>
        <v/>
      </c>
      <c r="N2836" s="25"/>
      <c r="O2836" s="22"/>
      <c r="P2836" s="24"/>
      <c r="Q2836" s="26"/>
    </row>
    <row r="2837" spans="1:17" ht="15" x14ac:dyDescent="0.15">
      <c r="A2837" s="22"/>
      <c r="B2837" s="26" t="str">
        <f t="shared" si="176"/>
        <v/>
      </c>
      <c r="C2837" s="26" t="str">
        <f t="shared" si="177"/>
        <v/>
      </c>
      <c r="D2837" s="26" t="str">
        <f t="shared" si="178"/>
        <v/>
      </c>
      <c r="E2837" s="29"/>
      <c r="F2837" s="22"/>
      <c r="G2837" s="22"/>
      <c r="H2837" s="22"/>
      <c r="I2837" s="24"/>
      <c r="J2837" s="24"/>
      <c r="K2837" s="24"/>
      <c r="L2837" s="24"/>
      <c r="M2837" s="27" t="str">
        <f t="shared" si="179"/>
        <v/>
      </c>
      <c r="N2837" s="25"/>
      <c r="O2837" s="22"/>
      <c r="P2837" s="24"/>
      <c r="Q2837" s="26"/>
    </row>
    <row r="2838" spans="1:17" ht="15" x14ac:dyDescent="0.15">
      <c r="A2838" s="22"/>
      <c r="B2838" s="26" t="str">
        <f t="shared" si="176"/>
        <v/>
      </c>
      <c r="C2838" s="26" t="str">
        <f t="shared" si="177"/>
        <v/>
      </c>
      <c r="D2838" s="26" t="str">
        <f t="shared" si="178"/>
        <v/>
      </c>
      <c r="E2838" s="29"/>
      <c r="F2838" s="22"/>
      <c r="G2838" s="22"/>
      <c r="H2838" s="22"/>
      <c r="I2838" s="24"/>
      <c r="J2838" s="24"/>
      <c r="K2838" s="24"/>
      <c r="L2838" s="24"/>
      <c r="M2838" s="27" t="str">
        <f t="shared" si="179"/>
        <v/>
      </c>
      <c r="N2838" s="25"/>
      <c r="O2838" s="22"/>
      <c r="P2838" s="24"/>
      <c r="Q2838" s="26"/>
    </row>
    <row r="2839" spans="1:17" ht="15" x14ac:dyDescent="0.15">
      <c r="A2839" s="22"/>
      <c r="B2839" s="26" t="str">
        <f t="shared" si="176"/>
        <v/>
      </c>
      <c r="C2839" s="26" t="str">
        <f t="shared" si="177"/>
        <v/>
      </c>
      <c r="D2839" s="26" t="str">
        <f t="shared" si="178"/>
        <v/>
      </c>
      <c r="E2839" s="29"/>
      <c r="F2839" s="22"/>
      <c r="G2839" s="22"/>
      <c r="H2839" s="22"/>
      <c r="I2839" s="24"/>
      <c r="J2839" s="24"/>
      <c r="K2839" s="24"/>
      <c r="L2839" s="24"/>
      <c r="M2839" s="27" t="str">
        <f t="shared" si="179"/>
        <v/>
      </c>
      <c r="N2839" s="25"/>
      <c r="O2839" s="22"/>
      <c r="P2839" s="24"/>
      <c r="Q2839" s="26"/>
    </row>
    <row r="2840" spans="1:17" ht="15" x14ac:dyDescent="0.15">
      <c r="A2840" s="22"/>
      <c r="B2840" s="26" t="str">
        <f t="shared" si="176"/>
        <v/>
      </c>
      <c r="C2840" s="26" t="str">
        <f t="shared" si="177"/>
        <v/>
      </c>
      <c r="D2840" s="26" t="str">
        <f t="shared" si="178"/>
        <v/>
      </c>
      <c r="E2840" s="29"/>
      <c r="F2840" s="22"/>
      <c r="G2840" s="22"/>
      <c r="H2840" s="22"/>
      <c r="I2840" s="24"/>
      <c r="J2840" s="24"/>
      <c r="K2840" s="24"/>
      <c r="L2840" s="24"/>
      <c r="M2840" s="27" t="str">
        <f t="shared" si="179"/>
        <v/>
      </c>
      <c r="N2840" s="25"/>
      <c r="O2840" s="22"/>
      <c r="P2840" s="24"/>
      <c r="Q2840" s="26"/>
    </row>
    <row r="2841" spans="1:17" ht="15" x14ac:dyDescent="0.15">
      <c r="A2841" s="22"/>
      <c r="B2841" s="26" t="str">
        <f t="shared" si="176"/>
        <v/>
      </c>
      <c r="C2841" s="26" t="str">
        <f t="shared" si="177"/>
        <v/>
      </c>
      <c r="D2841" s="26" t="str">
        <f t="shared" si="178"/>
        <v/>
      </c>
      <c r="E2841" s="29"/>
      <c r="F2841" s="22"/>
      <c r="G2841" s="22"/>
      <c r="H2841" s="22"/>
      <c r="I2841" s="24"/>
      <c r="J2841" s="24"/>
      <c r="K2841" s="24"/>
      <c r="L2841" s="24"/>
      <c r="M2841" s="27" t="str">
        <f t="shared" si="179"/>
        <v/>
      </c>
      <c r="N2841" s="25"/>
      <c r="O2841" s="22"/>
      <c r="P2841" s="24"/>
      <c r="Q2841" s="26"/>
    </row>
    <row r="2842" spans="1:17" ht="15" x14ac:dyDescent="0.15">
      <c r="A2842" s="22"/>
      <c r="B2842" s="26" t="str">
        <f t="shared" si="176"/>
        <v/>
      </c>
      <c r="C2842" s="26" t="str">
        <f t="shared" si="177"/>
        <v/>
      </c>
      <c r="D2842" s="26" t="str">
        <f t="shared" si="178"/>
        <v/>
      </c>
      <c r="E2842" s="29"/>
      <c r="F2842" s="22"/>
      <c r="G2842" s="22"/>
      <c r="H2842" s="22"/>
      <c r="I2842" s="24"/>
      <c r="J2842" s="24"/>
      <c r="K2842" s="24"/>
      <c r="L2842" s="24"/>
      <c r="M2842" s="27" t="str">
        <f t="shared" si="179"/>
        <v/>
      </c>
      <c r="N2842" s="25"/>
      <c r="O2842" s="22"/>
      <c r="P2842" s="24"/>
      <c r="Q2842" s="26"/>
    </row>
    <row r="2843" spans="1:17" ht="15" x14ac:dyDescent="0.15">
      <c r="A2843" s="22"/>
      <c r="B2843" s="26" t="str">
        <f t="shared" si="176"/>
        <v/>
      </c>
      <c r="C2843" s="26" t="str">
        <f t="shared" si="177"/>
        <v/>
      </c>
      <c r="D2843" s="26" t="str">
        <f t="shared" si="178"/>
        <v/>
      </c>
      <c r="E2843" s="29"/>
      <c r="F2843" s="22"/>
      <c r="G2843" s="22"/>
      <c r="H2843" s="22"/>
      <c r="I2843" s="24"/>
      <c r="J2843" s="24"/>
      <c r="K2843" s="24"/>
      <c r="L2843" s="24"/>
      <c r="M2843" s="27" t="str">
        <f t="shared" si="179"/>
        <v/>
      </c>
      <c r="N2843" s="25"/>
      <c r="O2843" s="22"/>
      <c r="P2843" s="24"/>
      <c r="Q2843" s="26"/>
    </row>
    <row r="2844" spans="1:17" ht="15" x14ac:dyDescent="0.15">
      <c r="A2844" s="22"/>
      <c r="B2844" s="26" t="str">
        <f t="shared" si="176"/>
        <v/>
      </c>
      <c r="C2844" s="26" t="str">
        <f t="shared" si="177"/>
        <v/>
      </c>
      <c r="D2844" s="26" t="str">
        <f t="shared" si="178"/>
        <v/>
      </c>
      <c r="E2844" s="29"/>
      <c r="F2844" s="22"/>
      <c r="G2844" s="22"/>
      <c r="H2844" s="22"/>
      <c r="I2844" s="24"/>
      <c r="J2844" s="24"/>
      <c r="K2844" s="24"/>
      <c r="L2844" s="24"/>
      <c r="M2844" s="27" t="str">
        <f t="shared" si="179"/>
        <v/>
      </c>
      <c r="N2844" s="25"/>
      <c r="O2844" s="22"/>
      <c r="P2844" s="24"/>
      <c r="Q2844" s="26"/>
    </row>
    <row r="2845" spans="1:17" ht="15" x14ac:dyDescent="0.15">
      <c r="A2845" s="22"/>
      <c r="B2845" s="26" t="str">
        <f t="shared" si="176"/>
        <v/>
      </c>
      <c r="C2845" s="26" t="str">
        <f t="shared" si="177"/>
        <v/>
      </c>
      <c r="D2845" s="26" t="str">
        <f t="shared" si="178"/>
        <v/>
      </c>
      <c r="E2845" s="29"/>
      <c r="F2845" s="22"/>
      <c r="G2845" s="22"/>
      <c r="H2845" s="22"/>
      <c r="I2845" s="24"/>
      <c r="J2845" s="24"/>
      <c r="K2845" s="24"/>
      <c r="L2845" s="24"/>
      <c r="M2845" s="27" t="str">
        <f t="shared" si="179"/>
        <v/>
      </c>
      <c r="N2845" s="25"/>
      <c r="O2845" s="22"/>
      <c r="P2845" s="24"/>
      <c r="Q2845" s="26"/>
    </row>
    <row r="2846" spans="1:17" ht="15" x14ac:dyDescent="0.15">
      <c r="A2846" s="22"/>
      <c r="B2846" s="26" t="str">
        <f t="shared" si="176"/>
        <v/>
      </c>
      <c r="C2846" s="26" t="str">
        <f t="shared" si="177"/>
        <v/>
      </c>
      <c r="D2846" s="26" t="str">
        <f t="shared" si="178"/>
        <v/>
      </c>
      <c r="E2846" s="29"/>
      <c r="F2846" s="22"/>
      <c r="G2846" s="22"/>
      <c r="H2846" s="22"/>
      <c r="I2846" s="24"/>
      <c r="J2846" s="24"/>
      <c r="K2846" s="24"/>
      <c r="L2846" s="24"/>
      <c r="M2846" s="27" t="str">
        <f t="shared" si="179"/>
        <v/>
      </c>
      <c r="N2846" s="25"/>
      <c r="O2846" s="22"/>
      <c r="P2846" s="24"/>
      <c r="Q2846" s="26"/>
    </row>
    <row r="2847" spans="1:17" ht="15" x14ac:dyDescent="0.15">
      <c r="A2847" s="22"/>
      <c r="B2847" s="26" t="str">
        <f t="shared" si="176"/>
        <v/>
      </c>
      <c r="C2847" s="26" t="str">
        <f t="shared" si="177"/>
        <v/>
      </c>
      <c r="D2847" s="26" t="str">
        <f t="shared" si="178"/>
        <v/>
      </c>
      <c r="E2847" s="29"/>
      <c r="F2847" s="22"/>
      <c r="G2847" s="22"/>
      <c r="H2847" s="22"/>
      <c r="I2847" s="24"/>
      <c r="J2847" s="24"/>
      <c r="K2847" s="24"/>
      <c r="L2847" s="24"/>
      <c r="M2847" s="27" t="str">
        <f t="shared" si="179"/>
        <v/>
      </c>
      <c r="N2847" s="25"/>
      <c r="O2847" s="22"/>
      <c r="P2847" s="24"/>
      <c r="Q2847" s="26"/>
    </row>
    <row r="2848" spans="1:17" ht="15" x14ac:dyDescent="0.15">
      <c r="A2848" s="22"/>
      <c r="B2848" s="26" t="str">
        <f t="shared" si="176"/>
        <v/>
      </c>
      <c r="C2848" s="26" t="str">
        <f t="shared" si="177"/>
        <v/>
      </c>
      <c r="D2848" s="26" t="str">
        <f t="shared" si="178"/>
        <v/>
      </c>
      <c r="E2848" s="29"/>
      <c r="F2848" s="22"/>
      <c r="G2848" s="22"/>
      <c r="H2848" s="22"/>
      <c r="I2848" s="24"/>
      <c r="J2848" s="24"/>
      <c r="K2848" s="24"/>
      <c r="L2848" s="24"/>
      <c r="M2848" s="27" t="str">
        <f t="shared" si="179"/>
        <v/>
      </c>
      <c r="N2848" s="25"/>
      <c r="O2848" s="22"/>
      <c r="P2848" s="24"/>
      <c r="Q2848" s="26"/>
    </row>
    <row r="2849" spans="1:17" ht="15" x14ac:dyDescent="0.15">
      <c r="A2849" s="22"/>
      <c r="B2849" s="26" t="str">
        <f t="shared" si="176"/>
        <v/>
      </c>
      <c r="C2849" s="26" t="str">
        <f t="shared" si="177"/>
        <v/>
      </c>
      <c r="D2849" s="26" t="str">
        <f t="shared" si="178"/>
        <v/>
      </c>
      <c r="E2849" s="29"/>
      <c r="F2849" s="22"/>
      <c r="G2849" s="22"/>
      <c r="H2849" s="22"/>
      <c r="I2849" s="24"/>
      <c r="J2849" s="24"/>
      <c r="K2849" s="24"/>
      <c r="L2849" s="24"/>
      <c r="M2849" s="27" t="str">
        <f t="shared" si="179"/>
        <v/>
      </c>
      <c r="N2849" s="25"/>
      <c r="O2849" s="22"/>
      <c r="P2849" s="24"/>
      <c r="Q2849" s="26"/>
    </row>
    <row r="2850" spans="1:17" ht="15" x14ac:dyDescent="0.15">
      <c r="A2850" s="22"/>
      <c r="B2850" s="26" t="str">
        <f t="shared" si="176"/>
        <v/>
      </c>
      <c r="C2850" s="26" t="str">
        <f t="shared" si="177"/>
        <v/>
      </c>
      <c r="D2850" s="26" t="str">
        <f t="shared" si="178"/>
        <v/>
      </c>
      <c r="E2850" s="29"/>
      <c r="F2850" s="22"/>
      <c r="G2850" s="22"/>
      <c r="H2850" s="22"/>
      <c r="I2850" s="24"/>
      <c r="J2850" s="24"/>
      <c r="K2850" s="24"/>
      <c r="L2850" s="24"/>
      <c r="M2850" s="27" t="str">
        <f t="shared" si="179"/>
        <v/>
      </c>
      <c r="N2850" s="25"/>
      <c r="O2850" s="22"/>
      <c r="P2850" s="24"/>
      <c r="Q2850" s="26"/>
    </row>
    <row r="2851" spans="1:17" ht="15" x14ac:dyDescent="0.15">
      <c r="A2851" s="22"/>
      <c r="B2851" s="26" t="str">
        <f t="shared" si="176"/>
        <v/>
      </c>
      <c r="C2851" s="26" t="str">
        <f t="shared" si="177"/>
        <v/>
      </c>
      <c r="D2851" s="26" t="str">
        <f t="shared" si="178"/>
        <v/>
      </c>
      <c r="E2851" s="29"/>
      <c r="F2851" s="22"/>
      <c r="G2851" s="22"/>
      <c r="H2851" s="22"/>
      <c r="I2851" s="24"/>
      <c r="J2851" s="24"/>
      <c r="K2851" s="24"/>
      <c r="L2851" s="24"/>
      <c r="M2851" s="27" t="str">
        <f t="shared" si="179"/>
        <v/>
      </c>
      <c r="N2851" s="25"/>
      <c r="O2851" s="22"/>
      <c r="P2851" s="24"/>
      <c r="Q2851" s="26"/>
    </row>
    <row r="2852" spans="1:17" ht="15" x14ac:dyDescent="0.15">
      <c r="A2852" s="22"/>
      <c r="B2852" s="26" t="str">
        <f t="shared" si="176"/>
        <v/>
      </c>
      <c r="C2852" s="26" t="str">
        <f t="shared" si="177"/>
        <v/>
      </c>
      <c r="D2852" s="26" t="str">
        <f t="shared" si="178"/>
        <v/>
      </c>
      <c r="E2852" s="29"/>
      <c r="F2852" s="22"/>
      <c r="G2852" s="22"/>
      <c r="H2852" s="22"/>
      <c r="I2852" s="24"/>
      <c r="J2852" s="24"/>
      <c r="K2852" s="24"/>
      <c r="L2852" s="24"/>
      <c r="M2852" s="27" t="str">
        <f t="shared" si="179"/>
        <v/>
      </c>
      <c r="N2852" s="25"/>
      <c r="O2852" s="22"/>
      <c r="P2852" s="24"/>
      <c r="Q2852" s="26"/>
    </row>
    <row r="2853" spans="1:17" ht="15" x14ac:dyDescent="0.15">
      <c r="A2853" s="22"/>
      <c r="B2853" s="26" t="str">
        <f t="shared" si="176"/>
        <v/>
      </c>
      <c r="C2853" s="26" t="str">
        <f t="shared" si="177"/>
        <v/>
      </c>
      <c r="D2853" s="26" t="str">
        <f t="shared" si="178"/>
        <v/>
      </c>
      <c r="E2853" s="29"/>
      <c r="F2853" s="22"/>
      <c r="G2853" s="22"/>
      <c r="H2853" s="22"/>
      <c r="I2853" s="24"/>
      <c r="J2853" s="24"/>
      <c r="K2853" s="24"/>
      <c r="L2853" s="24"/>
      <c r="M2853" s="27" t="str">
        <f t="shared" si="179"/>
        <v/>
      </c>
      <c r="N2853" s="25"/>
      <c r="O2853" s="22"/>
      <c r="P2853" s="24"/>
      <c r="Q2853" s="26"/>
    </row>
    <row r="2854" spans="1:17" ht="15" x14ac:dyDescent="0.15">
      <c r="A2854" s="22"/>
      <c r="B2854" s="26" t="str">
        <f t="shared" si="176"/>
        <v/>
      </c>
      <c r="C2854" s="26" t="str">
        <f t="shared" si="177"/>
        <v/>
      </c>
      <c r="D2854" s="26" t="str">
        <f t="shared" si="178"/>
        <v/>
      </c>
      <c r="E2854" s="29"/>
      <c r="F2854" s="22"/>
      <c r="G2854" s="22"/>
      <c r="H2854" s="22"/>
      <c r="I2854" s="24"/>
      <c r="J2854" s="24"/>
      <c r="K2854" s="24"/>
      <c r="L2854" s="24"/>
      <c r="M2854" s="27" t="str">
        <f t="shared" si="179"/>
        <v/>
      </c>
      <c r="N2854" s="25"/>
      <c r="O2854" s="22"/>
      <c r="P2854" s="24"/>
      <c r="Q2854" s="26"/>
    </row>
    <row r="2855" spans="1:17" ht="15" x14ac:dyDescent="0.15">
      <c r="A2855" s="22"/>
      <c r="B2855" s="26" t="str">
        <f t="shared" si="176"/>
        <v/>
      </c>
      <c r="C2855" s="26" t="str">
        <f t="shared" si="177"/>
        <v/>
      </c>
      <c r="D2855" s="26" t="str">
        <f t="shared" si="178"/>
        <v/>
      </c>
      <c r="E2855" s="29"/>
      <c r="F2855" s="22"/>
      <c r="G2855" s="22"/>
      <c r="H2855" s="22"/>
      <c r="I2855" s="24"/>
      <c r="J2855" s="24"/>
      <c r="K2855" s="24"/>
      <c r="L2855" s="24"/>
      <c r="M2855" s="27" t="str">
        <f t="shared" si="179"/>
        <v/>
      </c>
      <c r="N2855" s="25"/>
      <c r="O2855" s="22"/>
      <c r="P2855" s="24"/>
      <c r="Q2855" s="26"/>
    </row>
    <row r="2856" spans="1:17" ht="15" x14ac:dyDescent="0.15">
      <c r="A2856" s="22"/>
      <c r="B2856" s="26" t="str">
        <f t="shared" si="176"/>
        <v/>
      </c>
      <c r="C2856" s="26" t="str">
        <f t="shared" si="177"/>
        <v/>
      </c>
      <c r="D2856" s="26" t="str">
        <f t="shared" si="178"/>
        <v/>
      </c>
      <c r="E2856" s="29"/>
      <c r="F2856" s="22"/>
      <c r="G2856" s="22"/>
      <c r="H2856" s="22"/>
      <c r="I2856" s="24"/>
      <c r="J2856" s="24"/>
      <c r="K2856" s="24"/>
      <c r="L2856" s="24"/>
      <c r="M2856" s="27" t="str">
        <f t="shared" si="179"/>
        <v/>
      </c>
      <c r="N2856" s="25"/>
      <c r="O2856" s="22"/>
      <c r="P2856" s="24"/>
      <c r="Q2856" s="26"/>
    </row>
    <row r="2857" spans="1:17" ht="15" x14ac:dyDescent="0.15">
      <c r="A2857" s="22"/>
      <c r="B2857" s="26" t="str">
        <f t="shared" si="176"/>
        <v/>
      </c>
      <c r="C2857" s="26" t="str">
        <f t="shared" si="177"/>
        <v/>
      </c>
      <c r="D2857" s="26" t="str">
        <f t="shared" si="178"/>
        <v/>
      </c>
      <c r="E2857" s="29"/>
      <c r="F2857" s="22"/>
      <c r="G2857" s="22"/>
      <c r="H2857" s="22"/>
      <c r="I2857" s="24"/>
      <c r="J2857" s="24"/>
      <c r="K2857" s="24"/>
      <c r="L2857" s="24"/>
      <c r="M2857" s="27" t="str">
        <f t="shared" si="179"/>
        <v/>
      </c>
      <c r="N2857" s="25"/>
      <c r="O2857" s="22"/>
      <c r="P2857" s="24"/>
      <c r="Q2857" s="26"/>
    </row>
    <row r="2858" spans="1:17" ht="15" x14ac:dyDescent="0.15">
      <c r="A2858" s="22"/>
      <c r="B2858" s="26" t="str">
        <f t="shared" si="176"/>
        <v/>
      </c>
      <c r="C2858" s="26" t="str">
        <f t="shared" si="177"/>
        <v/>
      </c>
      <c r="D2858" s="26" t="str">
        <f t="shared" si="178"/>
        <v/>
      </c>
      <c r="E2858" s="29"/>
      <c r="F2858" s="22"/>
      <c r="G2858" s="22"/>
      <c r="H2858" s="22"/>
      <c r="I2858" s="24"/>
      <c r="J2858" s="24"/>
      <c r="K2858" s="24"/>
      <c r="L2858" s="24"/>
      <c r="M2858" s="27" t="str">
        <f t="shared" si="179"/>
        <v/>
      </c>
      <c r="N2858" s="25"/>
      <c r="O2858" s="22"/>
      <c r="P2858" s="24"/>
      <c r="Q2858" s="26"/>
    </row>
    <row r="2859" spans="1:17" ht="15" x14ac:dyDescent="0.15">
      <c r="A2859" s="22"/>
      <c r="B2859" s="26" t="str">
        <f t="shared" si="176"/>
        <v/>
      </c>
      <c r="C2859" s="26" t="str">
        <f t="shared" si="177"/>
        <v/>
      </c>
      <c r="D2859" s="26" t="str">
        <f t="shared" si="178"/>
        <v/>
      </c>
      <c r="E2859" s="29"/>
      <c r="F2859" s="22"/>
      <c r="G2859" s="22"/>
      <c r="H2859" s="22"/>
      <c r="I2859" s="24"/>
      <c r="J2859" s="24"/>
      <c r="K2859" s="24"/>
      <c r="L2859" s="24"/>
      <c r="M2859" s="27" t="str">
        <f t="shared" si="179"/>
        <v/>
      </c>
      <c r="N2859" s="25"/>
      <c r="O2859" s="22"/>
      <c r="P2859" s="24"/>
      <c r="Q2859" s="26"/>
    </row>
    <row r="2860" spans="1:17" ht="15" x14ac:dyDescent="0.15">
      <c r="A2860" s="22"/>
      <c r="B2860" s="26" t="str">
        <f t="shared" si="176"/>
        <v/>
      </c>
      <c r="C2860" s="26" t="str">
        <f t="shared" si="177"/>
        <v/>
      </c>
      <c r="D2860" s="26" t="str">
        <f t="shared" si="178"/>
        <v/>
      </c>
      <c r="E2860" s="29"/>
      <c r="F2860" s="22"/>
      <c r="G2860" s="22"/>
      <c r="H2860" s="22"/>
      <c r="I2860" s="24"/>
      <c r="J2860" s="24"/>
      <c r="K2860" s="24"/>
      <c r="L2860" s="24"/>
      <c r="M2860" s="27" t="str">
        <f t="shared" si="179"/>
        <v/>
      </c>
      <c r="N2860" s="25"/>
      <c r="O2860" s="22"/>
      <c r="P2860" s="24"/>
      <c r="Q2860" s="26"/>
    </row>
    <row r="2861" spans="1:17" ht="15" x14ac:dyDescent="0.15">
      <c r="A2861" s="22"/>
      <c r="B2861" s="26" t="str">
        <f t="shared" si="176"/>
        <v/>
      </c>
      <c r="C2861" s="26" t="str">
        <f t="shared" si="177"/>
        <v/>
      </c>
      <c r="D2861" s="26" t="str">
        <f t="shared" si="178"/>
        <v/>
      </c>
      <c r="E2861" s="29"/>
      <c r="F2861" s="22"/>
      <c r="G2861" s="22"/>
      <c r="H2861" s="22"/>
      <c r="I2861" s="24"/>
      <c r="J2861" s="24"/>
      <c r="K2861" s="24"/>
      <c r="L2861" s="24"/>
      <c r="M2861" s="27" t="str">
        <f t="shared" si="179"/>
        <v/>
      </c>
      <c r="N2861" s="25"/>
      <c r="O2861" s="22"/>
      <c r="P2861" s="24"/>
      <c r="Q2861" s="26"/>
    </row>
    <row r="2862" spans="1:17" ht="15" x14ac:dyDescent="0.15">
      <c r="A2862" s="22"/>
      <c r="B2862" s="26" t="str">
        <f t="shared" si="176"/>
        <v/>
      </c>
      <c r="C2862" s="26" t="str">
        <f t="shared" si="177"/>
        <v/>
      </c>
      <c r="D2862" s="26" t="str">
        <f t="shared" si="178"/>
        <v/>
      </c>
      <c r="E2862" s="29"/>
      <c r="F2862" s="22"/>
      <c r="G2862" s="22"/>
      <c r="H2862" s="22"/>
      <c r="I2862" s="24"/>
      <c r="J2862" s="24"/>
      <c r="K2862" s="24"/>
      <c r="L2862" s="24"/>
      <c r="M2862" s="27" t="str">
        <f t="shared" si="179"/>
        <v/>
      </c>
      <c r="N2862" s="25"/>
      <c r="O2862" s="22"/>
      <c r="P2862" s="24"/>
      <c r="Q2862" s="26"/>
    </row>
    <row r="2863" spans="1:17" ht="15" x14ac:dyDescent="0.15">
      <c r="A2863" s="22"/>
      <c r="B2863" s="26" t="str">
        <f t="shared" si="176"/>
        <v/>
      </c>
      <c r="C2863" s="26" t="str">
        <f t="shared" si="177"/>
        <v/>
      </c>
      <c r="D2863" s="26" t="str">
        <f t="shared" si="178"/>
        <v/>
      </c>
      <c r="E2863" s="29"/>
      <c r="F2863" s="22"/>
      <c r="G2863" s="22"/>
      <c r="H2863" s="22"/>
      <c r="I2863" s="24"/>
      <c r="J2863" s="24"/>
      <c r="K2863" s="24"/>
      <c r="L2863" s="24"/>
      <c r="M2863" s="27" t="str">
        <f t="shared" si="179"/>
        <v/>
      </c>
      <c r="N2863" s="25"/>
      <c r="O2863" s="22"/>
      <c r="P2863" s="24"/>
      <c r="Q2863" s="26"/>
    </row>
    <row r="2864" spans="1:17" ht="15" x14ac:dyDescent="0.15">
      <c r="A2864" s="22"/>
      <c r="B2864" s="26" t="str">
        <f t="shared" si="176"/>
        <v/>
      </c>
      <c r="C2864" s="26" t="str">
        <f t="shared" si="177"/>
        <v/>
      </c>
      <c r="D2864" s="26" t="str">
        <f t="shared" si="178"/>
        <v/>
      </c>
      <c r="E2864" s="29"/>
      <c r="F2864" s="22"/>
      <c r="G2864" s="22"/>
      <c r="H2864" s="22"/>
      <c r="I2864" s="24"/>
      <c r="J2864" s="24"/>
      <c r="K2864" s="24"/>
      <c r="L2864" s="24"/>
      <c r="M2864" s="27" t="str">
        <f t="shared" si="179"/>
        <v/>
      </c>
      <c r="N2864" s="25"/>
      <c r="O2864" s="22"/>
      <c r="P2864" s="24"/>
      <c r="Q2864" s="26"/>
    </row>
    <row r="2865" spans="1:17" ht="15" x14ac:dyDescent="0.15">
      <c r="A2865" s="22"/>
      <c r="B2865" s="26" t="str">
        <f t="shared" si="176"/>
        <v/>
      </c>
      <c r="C2865" s="26" t="str">
        <f t="shared" si="177"/>
        <v/>
      </c>
      <c r="D2865" s="26" t="str">
        <f t="shared" si="178"/>
        <v/>
      </c>
      <c r="E2865" s="29"/>
      <c r="F2865" s="22"/>
      <c r="G2865" s="22"/>
      <c r="H2865" s="22"/>
      <c r="I2865" s="24"/>
      <c r="J2865" s="24"/>
      <c r="K2865" s="24"/>
      <c r="L2865" s="24"/>
      <c r="M2865" s="27" t="str">
        <f t="shared" si="179"/>
        <v/>
      </c>
      <c r="N2865" s="25"/>
      <c r="O2865" s="22"/>
      <c r="P2865" s="24"/>
      <c r="Q2865" s="26"/>
    </row>
    <row r="2866" spans="1:17" ht="15" x14ac:dyDescent="0.15">
      <c r="A2866" s="22"/>
      <c r="B2866" s="26" t="str">
        <f t="shared" si="176"/>
        <v/>
      </c>
      <c r="C2866" s="26" t="str">
        <f t="shared" si="177"/>
        <v/>
      </c>
      <c r="D2866" s="26" t="str">
        <f t="shared" si="178"/>
        <v/>
      </c>
      <c r="E2866" s="29"/>
      <c r="F2866" s="22"/>
      <c r="G2866" s="22"/>
      <c r="H2866" s="22"/>
      <c r="I2866" s="24"/>
      <c r="J2866" s="24"/>
      <c r="K2866" s="24"/>
      <c r="L2866" s="24"/>
      <c r="M2866" s="27" t="str">
        <f t="shared" si="179"/>
        <v/>
      </c>
      <c r="N2866" s="25"/>
      <c r="O2866" s="22"/>
      <c r="P2866" s="24"/>
      <c r="Q2866" s="26"/>
    </row>
    <row r="2867" spans="1:17" ht="15" x14ac:dyDescent="0.15">
      <c r="A2867" s="22"/>
      <c r="B2867" s="26" t="str">
        <f t="shared" si="176"/>
        <v/>
      </c>
      <c r="C2867" s="26" t="str">
        <f t="shared" si="177"/>
        <v/>
      </c>
      <c r="D2867" s="26" t="str">
        <f t="shared" si="178"/>
        <v/>
      </c>
      <c r="E2867" s="29"/>
      <c r="F2867" s="22"/>
      <c r="G2867" s="22"/>
      <c r="H2867" s="22"/>
      <c r="I2867" s="24"/>
      <c r="J2867" s="24"/>
      <c r="K2867" s="24"/>
      <c r="L2867" s="24"/>
      <c r="M2867" s="27" t="str">
        <f t="shared" si="179"/>
        <v/>
      </c>
      <c r="N2867" s="25"/>
      <c r="O2867" s="22"/>
      <c r="P2867" s="24"/>
      <c r="Q2867" s="26"/>
    </row>
    <row r="2868" spans="1:17" ht="15" x14ac:dyDescent="0.15">
      <c r="A2868" s="22"/>
      <c r="B2868" s="26" t="str">
        <f t="shared" si="176"/>
        <v/>
      </c>
      <c r="C2868" s="26" t="str">
        <f t="shared" si="177"/>
        <v/>
      </c>
      <c r="D2868" s="26" t="str">
        <f t="shared" si="178"/>
        <v/>
      </c>
      <c r="E2868" s="29"/>
      <c r="F2868" s="22"/>
      <c r="G2868" s="22"/>
      <c r="H2868" s="22"/>
      <c r="I2868" s="24"/>
      <c r="J2868" s="24"/>
      <c r="K2868" s="24"/>
      <c r="L2868" s="24"/>
      <c r="M2868" s="27" t="str">
        <f t="shared" si="179"/>
        <v/>
      </c>
      <c r="N2868" s="25"/>
      <c r="O2868" s="22"/>
      <c r="P2868" s="24"/>
      <c r="Q2868" s="26"/>
    </row>
    <row r="2869" spans="1:17" ht="15" x14ac:dyDescent="0.15">
      <c r="A2869" s="22"/>
      <c r="B2869" s="26" t="str">
        <f t="shared" si="176"/>
        <v/>
      </c>
      <c r="C2869" s="26" t="str">
        <f t="shared" si="177"/>
        <v/>
      </c>
      <c r="D2869" s="26" t="str">
        <f t="shared" si="178"/>
        <v/>
      </c>
      <c r="E2869" s="29"/>
      <c r="F2869" s="22"/>
      <c r="G2869" s="22"/>
      <c r="H2869" s="22"/>
      <c r="I2869" s="24"/>
      <c r="J2869" s="24"/>
      <c r="K2869" s="24"/>
      <c r="L2869" s="24"/>
      <c r="M2869" s="27" t="str">
        <f t="shared" si="179"/>
        <v/>
      </c>
      <c r="N2869" s="25"/>
      <c r="O2869" s="22"/>
      <c r="P2869" s="24"/>
      <c r="Q2869" s="26"/>
    </row>
    <row r="2870" spans="1:17" ht="15" x14ac:dyDescent="0.15">
      <c r="A2870" s="22"/>
      <c r="B2870" s="26" t="str">
        <f t="shared" si="176"/>
        <v/>
      </c>
      <c r="C2870" s="26" t="str">
        <f t="shared" si="177"/>
        <v/>
      </c>
      <c r="D2870" s="26" t="str">
        <f t="shared" si="178"/>
        <v/>
      </c>
      <c r="E2870" s="29"/>
      <c r="F2870" s="22"/>
      <c r="G2870" s="22"/>
      <c r="H2870" s="22"/>
      <c r="I2870" s="24"/>
      <c r="J2870" s="24"/>
      <c r="K2870" s="24"/>
      <c r="L2870" s="24"/>
      <c r="M2870" s="27" t="str">
        <f t="shared" si="179"/>
        <v/>
      </c>
      <c r="N2870" s="25"/>
      <c r="O2870" s="22"/>
      <c r="P2870" s="24"/>
      <c r="Q2870" s="26"/>
    </row>
    <row r="2871" spans="1:17" ht="15" x14ac:dyDescent="0.15">
      <c r="A2871" s="22"/>
      <c r="B2871" s="26" t="str">
        <f t="shared" si="176"/>
        <v/>
      </c>
      <c r="C2871" s="26" t="str">
        <f t="shared" si="177"/>
        <v/>
      </c>
      <c r="D2871" s="26" t="str">
        <f t="shared" si="178"/>
        <v/>
      </c>
      <c r="E2871" s="29"/>
      <c r="F2871" s="22"/>
      <c r="G2871" s="22"/>
      <c r="H2871" s="22"/>
      <c r="I2871" s="24"/>
      <c r="J2871" s="24"/>
      <c r="K2871" s="24"/>
      <c r="L2871" s="24"/>
      <c r="M2871" s="27" t="str">
        <f t="shared" si="179"/>
        <v/>
      </c>
      <c r="N2871" s="25"/>
      <c r="O2871" s="22"/>
      <c r="P2871" s="24"/>
      <c r="Q2871" s="26"/>
    </row>
    <row r="2872" spans="1:17" ht="15" x14ac:dyDescent="0.15">
      <c r="A2872" s="22"/>
      <c r="B2872" s="26" t="str">
        <f t="shared" si="176"/>
        <v/>
      </c>
      <c r="C2872" s="26" t="str">
        <f t="shared" si="177"/>
        <v/>
      </c>
      <c r="D2872" s="26" t="str">
        <f t="shared" si="178"/>
        <v/>
      </c>
      <c r="E2872" s="29"/>
      <c r="F2872" s="22"/>
      <c r="G2872" s="22"/>
      <c r="H2872" s="22"/>
      <c r="I2872" s="24"/>
      <c r="J2872" s="24"/>
      <c r="K2872" s="24"/>
      <c r="L2872" s="24"/>
      <c r="M2872" s="27" t="str">
        <f t="shared" si="179"/>
        <v/>
      </c>
      <c r="N2872" s="25"/>
      <c r="O2872" s="22"/>
      <c r="P2872" s="24"/>
      <c r="Q2872" s="26"/>
    </row>
    <row r="2873" spans="1:17" ht="15" x14ac:dyDescent="0.15">
      <c r="A2873" s="22"/>
      <c r="B2873" s="26" t="str">
        <f t="shared" si="176"/>
        <v/>
      </c>
      <c r="C2873" s="26" t="str">
        <f t="shared" si="177"/>
        <v/>
      </c>
      <c r="D2873" s="26" t="str">
        <f t="shared" si="178"/>
        <v/>
      </c>
      <c r="E2873" s="29"/>
      <c r="F2873" s="22"/>
      <c r="G2873" s="22"/>
      <c r="H2873" s="22"/>
      <c r="I2873" s="24"/>
      <c r="J2873" s="24"/>
      <c r="K2873" s="24"/>
      <c r="L2873" s="24"/>
      <c r="M2873" s="27" t="str">
        <f t="shared" si="179"/>
        <v/>
      </c>
      <c r="N2873" s="25"/>
      <c r="O2873" s="22"/>
      <c r="P2873" s="24"/>
      <c r="Q2873" s="26"/>
    </row>
    <row r="2874" spans="1:17" ht="15" x14ac:dyDescent="0.15">
      <c r="A2874" s="22"/>
      <c r="B2874" s="26" t="str">
        <f t="shared" si="176"/>
        <v/>
      </c>
      <c r="C2874" s="26" t="str">
        <f t="shared" si="177"/>
        <v/>
      </c>
      <c r="D2874" s="26" t="str">
        <f t="shared" si="178"/>
        <v/>
      </c>
      <c r="E2874" s="29"/>
      <c r="F2874" s="22"/>
      <c r="G2874" s="22"/>
      <c r="H2874" s="22"/>
      <c r="I2874" s="24"/>
      <c r="J2874" s="24"/>
      <c r="K2874" s="24"/>
      <c r="L2874" s="24"/>
      <c r="M2874" s="27" t="str">
        <f t="shared" si="179"/>
        <v/>
      </c>
      <c r="N2874" s="25"/>
      <c r="O2874" s="22"/>
      <c r="P2874" s="24"/>
      <c r="Q2874" s="26"/>
    </row>
    <row r="2875" spans="1:17" ht="15" x14ac:dyDescent="0.15">
      <c r="A2875" s="22"/>
      <c r="B2875" s="26" t="str">
        <f t="shared" si="176"/>
        <v/>
      </c>
      <c r="C2875" s="26" t="str">
        <f t="shared" si="177"/>
        <v/>
      </c>
      <c r="D2875" s="26" t="str">
        <f t="shared" si="178"/>
        <v/>
      </c>
      <c r="E2875" s="29"/>
      <c r="F2875" s="22"/>
      <c r="G2875" s="22"/>
      <c r="H2875" s="22"/>
      <c r="I2875" s="24"/>
      <c r="J2875" s="24"/>
      <c r="K2875" s="24"/>
      <c r="L2875" s="24"/>
      <c r="M2875" s="27" t="str">
        <f t="shared" si="179"/>
        <v/>
      </c>
      <c r="N2875" s="25"/>
      <c r="O2875" s="22"/>
      <c r="P2875" s="24"/>
      <c r="Q2875" s="26"/>
    </row>
    <row r="2876" spans="1:17" ht="15" x14ac:dyDescent="0.15">
      <c r="A2876" s="22"/>
      <c r="B2876" s="26" t="str">
        <f t="shared" si="176"/>
        <v/>
      </c>
      <c r="C2876" s="26" t="str">
        <f t="shared" si="177"/>
        <v/>
      </c>
      <c r="D2876" s="26" t="str">
        <f t="shared" si="178"/>
        <v/>
      </c>
      <c r="E2876" s="29"/>
      <c r="F2876" s="22"/>
      <c r="G2876" s="22"/>
      <c r="H2876" s="22"/>
      <c r="I2876" s="24"/>
      <c r="J2876" s="24"/>
      <c r="K2876" s="24"/>
      <c r="L2876" s="24"/>
      <c r="M2876" s="27" t="str">
        <f t="shared" si="179"/>
        <v/>
      </c>
      <c r="N2876" s="25"/>
      <c r="O2876" s="22"/>
      <c r="P2876" s="24"/>
      <c r="Q2876" s="26"/>
    </row>
    <row r="2877" spans="1:17" ht="15" x14ac:dyDescent="0.15">
      <c r="A2877" s="22"/>
      <c r="B2877" s="26" t="str">
        <f t="shared" si="176"/>
        <v/>
      </c>
      <c r="C2877" s="26" t="str">
        <f t="shared" si="177"/>
        <v/>
      </c>
      <c r="D2877" s="26" t="str">
        <f t="shared" si="178"/>
        <v/>
      </c>
      <c r="E2877" s="29"/>
      <c r="F2877" s="22"/>
      <c r="G2877" s="22"/>
      <c r="H2877" s="22"/>
      <c r="I2877" s="24"/>
      <c r="J2877" s="24"/>
      <c r="K2877" s="24"/>
      <c r="L2877" s="24"/>
      <c r="M2877" s="27" t="str">
        <f t="shared" si="179"/>
        <v/>
      </c>
      <c r="N2877" s="25"/>
      <c r="O2877" s="22"/>
      <c r="P2877" s="24"/>
      <c r="Q2877" s="26"/>
    </row>
    <row r="2878" spans="1:17" ht="15" x14ac:dyDescent="0.15">
      <c r="A2878" s="22"/>
      <c r="B2878" s="26" t="str">
        <f t="shared" si="176"/>
        <v/>
      </c>
      <c r="C2878" s="26" t="str">
        <f t="shared" si="177"/>
        <v/>
      </c>
      <c r="D2878" s="26" t="str">
        <f t="shared" si="178"/>
        <v/>
      </c>
      <c r="E2878" s="29"/>
      <c r="F2878" s="22"/>
      <c r="G2878" s="22"/>
      <c r="H2878" s="22"/>
      <c r="I2878" s="24"/>
      <c r="J2878" s="24"/>
      <c r="K2878" s="24"/>
      <c r="L2878" s="24"/>
      <c r="M2878" s="27" t="str">
        <f t="shared" si="179"/>
        <v/>
      </c>
      <c r="N2878" s="25"/>
      <c r="O2878" s="22"/>
      <c r="P2878" s="24"/>
      <c r="Q2878" s="26"/>
    </row>
    <row r="2879" spans="1:17" ht="15" x14ac:dyDescent="0.15">
      <c r="A2879" s="22"/>
      <c r="B2879" s="26" t="str">
        <f t="shared" si="176"/>
        <v/>
      </c>
      <c r="C2879" s="26" t="str">
        <f t="shared" si="177"/>
        <v/>
      </c>
      <c r="D2879" s="26" t="str">
        <f t="shared" si="178"/>
        <v/>
      </c>
      <c r="E2879" s="29"/>
      <c r="F2879" s="22"/>
      <c r="G2879" s="22"/>
      <c r="H2879" s="22"/>
      <c r="I2879" s="24"/>
      <c r="J2879" s="24"/>
      <c r="K2879" s="24"/>
      <c r="L2879" s="24"/>
      <c r="M2879" s="27" t="str">
        <f t="shared" si="179"/>
        <v/>
      </c>
      <c r="N2879" s="25"/>
      <c r="O2879" s="22"/>
      <c r="P2879" s="24"/>
      <c r="Q2879" s="26"/>
    </row>
    <row r="2880" spans="1:17" ht="15" x14ac:dyDescent="0.15">
      <c r="A2880" s="22"/>
      <c r="B2880" s="26" t="str">
        <f t="shared" si="176"/>
        <v/>
      </c>
      <c r="C2880" s="26" t="str">
        <f t="shared" si="177"/>
        <v/>
      </c>
      <c r="D2880" s="26" t="str">
        <f t="shared" si="178"/>
        <v/>
      </c>
      <c r="E2880" s="29"/>
      <c r="F2880" s="22"/>
      <c r="G2880" s="22"/>
      <c r="H2880" s="22"/>
      <c r="I2880" s="24"/>
      <c r="J2880" s="24"/>
      <c r="K2880" s="24"/>
      <c r="L2880" s="24"/>
      <c r="M2880" s="27" t="str">
        <f t="shared" si="179"/>
        <v/>
      </c>
      <c r="N2880" s="25"/>
      <c r="O2880" s="22"/>
      <c r="P2880" s="24"/>
      <c r="Q2880" s="26"/>
    </row>
    <row r="2881" spans="1:17" ht="15" x14ac:dyDescent="0.15">
      <c r="A2881" s="22"/>
      <c r="B2881" s="26" t="str">
        <f t="shared" si="176"/>
        <v/>
      </c>
      <c r="C2881" s="26" t="str">
        <f t="shared" si="177"/>
        <v/>
      </c>
      <c r="D2881" s="26" t="str">
        <f t="shared" si="178"/>
        <v/>
      </c>
      <c r="E2881" s="29"/>
      <c r="F2881" s="22"/>
      <c r="G2881" s="22"/>
      <c r="H2881" s="22"/>
      <c r="I2881" s="24"/>
      <c r="J2881" s="24"/>
      <c r="K2881" s="24"/>
      <c r="L2881" s="24"/>
      <c r="M2881" s="27" t="str">
        <f t="shared" si="179"/>
        <v/>
      </c>
      <c r="N2881" s="25"/>
      <c r="O2881" s="22"/>
      <c r="P2881" s="24"/>
      <c r="Q2881" s="26"/>
    </row>
    <row r="2882" spans="1:17" ht="15" x14ac:dyDescent="0.15">
      <c r="A2882" s="22"/>
      <c r="B2882" s="26" t="str">
        <f t="shared" si="176"/>
        <v/>
      </c>
      <c r="C2882" s="26" t="str">
        <f t="shared" si="177"/>
        <v/>
      </c>
      <c r="D2882" s="26" t="str">
        <f t="shared" si="178"/>
        <v/>
      </c>
      <c r="E2882" s="29"/>
      <c r="F2882" s="22"/>
      <c r="G2882" s="22"/>
      <c r="H2882" s="22"/>
      <c r="I2882" s="24"/>
      <c r="J2882" s="24"/>
      <c r="K2882" s="24"/>
      <c r="L2882" s="24"/>
      <c r="M2882" s="27" t="str">
        <f t="shared" si="179"/>
        <v/>
      </c>
      <c r="N2882" s="25"/>
      <c r="O2882" s="22"/>
      <c r="P2882" s="24"/>
      <c r="Q2882" s="26"/>
    </row>
    <row r="2883" spans="1:17" ht="15" x14ac:dyDescent="0.15">
      <c r="A2883" s="22"/>
      <c r="B2883" s="26" t="str">
        <f t="shared" si="176"/>
        <v/>
      </c>
      <c r="C2883" s="26" t="str">
        <f t="shared" si="177"/>
        <v/>
      </c>
      <c r="D2883" s="26" t="str">
        <f t="shared" si="178"/>
        <v/>
      </c>
      <c r="E2883" s="29"/>
      <c r="F2883" s="22"/>
      <c r="G2883" s="22"/>
      <c r="H2883" s="22"/>
      <c r="I2883" s="24"/>
      <c r="J2883" s="24"/>
      <c r="K2883" s="24"/>
      <c r="L2883" s="24"/>
      <c r="M2883" s="27" t="str">
        <f t="shared" si="179"/>
        <v/>
      </c>
      <c r="N2883" s="25"/>
      <c r="O2883" s="22"/>
      <c r="P2883" s="24"/>
      <c r="Q2883" s="26"/>
    </row>
    <row r="2884" spans="1:17" ht="15" x14ac:dyDescent="0.15">
      <c r="A2884" s="22"/>
      <c r="B2884" s="26" t="str">
        <f t="shared" si="176"/>
        <v/>
      </c>
      <c r="C2884" s="26" t="str">
        <f t="shared" si="177"/>
        <v/>
      </c>
      <c r="D2884" s="26" t="str">
        <f t="shared" si="178"/>
        <v/>
      </c>
      <c r="E2884" s="29"/>
      <c r="F2884" s="22"/>
      <c r="G2884" s="22"/>
      <c r="H2884" s="22"/>
      <c r="I2884" s="24"/>
      <c r="J2884" s="24"/>
      <c r="K2884" s="24"/>
      <c r="L2884" s="24"/>
      <c r="M2884" s="27" t="str">
        <f t="shared" si="179"/>
        <v/>
      </c>
      <c r="N2884" s="25"/>
      <c r="O2884" s="22"/>
      <c r="P2884" s="24"/>
      <c r="Q2884" s="26"/>
    </row>
    <row r="2885" spans="1:17" ht="15" x14ac:dyDescent="0.15">
      <c r="A2885" s="22"/>
      <c r="B2885" s="26" t="str">
        <f t="shared" si="176"/>
        <v/>
      </c>
      <c r="C2885" s="26" t="str">
        <f t="shared" si="177"/>
        <v/>
      </c>
      <c r="D2885" s="26" t="str">
        <f t="shared" si="178"/>
        <v/>
      </c>
      <c r="E2885" s="29"/>
      <c r="F2885" s="22"/>
      <c r="G2885" s="22"/>
      <c r="H2885" s="22"/>
      <c r="I2885" s="24"/>
      <c r="J2885" s="24"/>
      <c r="K2885" s="24"/>
      <c r="L2885" s="24"/>
      <c r="M2885" s="27" t="str">
        <f t="shared" si="179"/>
        <v/>
      </c>
      <c r="N2885" s="25"/>
      <c r="O2885" s="22"/>
      <c r="P2885" s="24"/>
      <c r="Q2885" s="26"/>
    </row>
    <row r="2886" spans="1:17" ht="15" x14ac:dyDescent="0.15">
      <c r="A2886" s="22"/>
      <c r="B2886" s="26" t="str">
        <f t="shared" si="176"/>
        <v/>
      </c>
      <c r="C2886" s="26" t="str">
        <f t="shared" si="177"/>
        <v/>
      </c>
      <c r="D2886" s="26" t="str">
        <f t="shared" si="178"/>
        <v/>
      </c>
      <c r="E2886" s="29"/>
      <c r="F2886" s="22"/>
      <c r="G2886" s="22"/>
      <c r="H2886" s="22"/>
      <c r="I2886" s="24"/>
      <c r="J2886" s="24"/>
      <c r="K2886" s="24"/>
      <c r="L2886" s="24"/>
      <c r="M2886" s="27" t="str">
        <f t="shared" si="179"/>
        <v/>
      </c>
      <c r="N2886" s="25"/>
      <c r="O2886" s="22"/>
      <c r="P2886" s="24"/>
      <c r="Q2886" s="26"/>
    </row>
    <row r="2887" spans="1:17" ht="15" x14ac:dyDescent="0.15">
      <c r="A2887" s="22"/>
      <c r="B2887" s="26" t="str">
        <f t="shared" ref="B2887:B2950" si="180">IFERROR(IF($A2887="","",LEFT($A2887,FIND(" | ",$A2887)-1)),"")</f>
        <v/>
      </c>
      <c r="C2887" s="26" t="str">
        <f t="shared" ref="C2887:C2950" si="181">IFERROR(IF($A2887="","",MID($A2887,FIND(" | ",$A2887)+3,FIND(" | ",$A2887,FIND(" | ",$A2887)+3)-FIND(" | ",$A2887)-3)),"")</f>
        <v/>
      </c>
      <c r="D2887" s="26" t="str">
        <f t="shared" ref="D2887:D2950" si="182">IFERROR(IF($A2887="","",RIGHT($A2887,LEN($A2887)-FIND(" | ",$A2887,FIND(" | ",$A2887)+3)-2)),"")</f>
        <v/>
      </c>
      <c r="E2887" s="29"/>
      <c r="F2887" s="22"/>
      <c r="G2887" s="22"/>
      <c r="H2887" s="22"/>
      <c r="I2887" s="24"/>
      <c r="J2887" s="24"/>
      <c r="K2887" s="24"/>
      <c r="L2887" s="24"/>
      <c r="M2887" s="27" t="str">
        <f t="shared" ref="M2887:M2950" si="183">IF($B2887="","",SUM($J2887,-$K2887,$L2887))</f>
        <v/>
      </c>
      <c r="N2887" s="25"/>
      <c r="O2887" s="22"/>
      <c r="P2887" s="24"/>
      <c r="Q2887" s="26"/>
    </row>
    <row r="2888" spans="1:17" ht="15" x14ac:dyDescent="0.15">
      <c r="A2888" s="22"/>
      <c r="B2888" s="26" t="str">
        <f t="shared" si="180"/>
        <v/>
      </c>
      <c r="C2888" s="26" t="str">
        <f t="shared" si="181"/>
        <v/>
      </c>
      <c r="D2888" s="26" t="str">
        <f t="shared" si="182"/>
        <v/>
      </c>
      <c r="E2888" s="29"/>
      <c r="F2888" s="22"/>
      <c r="G2888" s="22"/>
      <c r="H2888" s="22"/>
      <c r="I2888" s="24"/>
      <c r="J2888" s="24"/>
      <c r="K2888" s="24"/>
      <c r="L2888" s="24"/>
      <c r="M2888" s="27" t="str">
        <f t="shared" si="183"/>
        <v/>
      </c>
      <c r="N2888" s="25"/>
      <c r="O2888" s="22"/>
      <c r="P2888" s="24"/>
      <c r="Q2888" s="26"/>
    </row>
    <row r="2889" spans="1:17" ht="15" x14ac:dyDescent="0.15">
      <c r="A2889" s="22"/>
      <c r="B2889" s="26" t="str">
        <f t="shared" si="180"/>
        <v/>
      </c>
      <c r="C2889" s="26" t="str">
        <f t="shared" si="181"/>
        <v/>
      </c>
      <c r="D2889" s="26" t="str">
        <f t="shared" si="182"/>
        <v/>
      </c>
      <c r="E2889" s="29"/>
      <c r="F2889" s="22"/>
      <c r="G2889" s="22"/>
      <c r="H2889" s="22"/>
      <c r="I2889" s="24"/>
      <c r="J2889" s="24"/>
      <c r="K2889" s="24"/>
      <c r="L2889" s="24"/>
      <c r="M2889" s="27" t="str">
        <f t="shared" si="183"/>
        <v/>
      </c>
      <c r="N2889" s="25"/>
      <c r="O2889" s="22"/>
      <c r="P2889" s="24"/>
      <c r="Q2889" s="26"/>
    </row>
    <row r="2890" spans="1:17" ht="15" x14ac:dyDescent="0.15">
      <c r="A2890" s="22"/>
      <c r="B2890" s="26" t="str">
        <f t="shared" si="180"/>
        <v/>
      </c>
      <c r="C2890" s="26" t="str">
        <f t="shared" si="181"/>
        <v/>
      </c>
      <c r="D2890" s="26" t="str">
        <f t="shared" si="182"/>
        <v/>
      </c>
      <c r="E2890" s="29"/>
      <c r="F2890" s="22"/>
      <c r="G2890" s="22"/>
      <c r="H2890" s="22"/>
      <c r="I2890" s="24"/>
      <c r="J2890" s="24"/>
      <c r="K2890" s="24"/>
      <c r="L2890" s="24"/>
      <c r="M2890" s="27" t="str">
        <f t="shared" si="183"/>
        <v/>
      </c>
      <c r="N2890" s="25"/>
      <c r="O2890" s="22"/>
      <c r="P2890" s="24"/>
      <c r="Q2890" s="26"/>
    </row>
    <row r="2891" spans="1:17" ht="15" x14ac:dyDescent="0.15">
      <c r="A2891" s="22"/>
      <c r="B2891" s="26" t="str">
        <f t="shared" si="180"/>
        <v/>
      </c>
      <c r="C2891" s="26" t="str">
        <f t="shared" si="181"/>
        <v/>
      </c>
      <c r="D2891" s="26" t="str">
        <f t="shared" si="182"/>
        <v/>
      </c>
      <c r="E2891" s="29"/>
      <c r="F2891" s="22"/>
      <c r="G2891" s="22"/>
      <c r="H2891" s="22"/>
      <c r="I2891" s="24"/>
      <c r="J2891" s="24"/>
      <c r="K2891" s="24"/>
      <c r="L2891" s="24"/>
      <c r="M2891" s="27" t="str">
        <f t="shared" si="183"/>
        <v/>
      </c>
      <c r="N2891" s="25"/>
      <c r="O2891" s="22"/>
      <c r="P2891" s="24"/>
      <c r="Q2891" s="26"/>
    </row>
    <row r="2892" spans="1:17" ht="15" x14ac:dyDescent="0.15">
      <c r="A2892" s="22"/>
      <c r="B2892" s="26" t="str">
        <f t="shared" si="180"/>
        <v/>
      </c>
      <c r="C2892" s="26" t="str">
        <f t="shared" si="181"/>
        <v/>
      </c>
      <c r="D2892" s="26" t="str">
        <f t="shared" si="182"/>
        <v/>
      </c>
      <c r="E2892" s="29"/>
      <c r="F2892" s="22"/>
      <c r="G2892" s="22"/>
      <c r="H2892" s="22"/>
      <c r="I2892" s="24"/>
      <c r="J2892" s="24"/>
      <c r="K2892" s="24"/>
      <c r="L2892" s="24"/>
      <c r="M2892" s="27" t="str">
        <f t="shared" si="183"/>
        <v/>
      </c>
      <c r="N2892" s="25"/>
      <c r="O2892" s="22"/>
      <c r="P2892" s="24"/>
      <c r="Q2892" s="26"/>
    </row>
    <row r="2893" spans="1:17" ht="15" x14ac:dyDescent="0.15">
      <c r="A2893" s="22"/>
      <c r="B2893" s="26" t="str">
        <f t="shared" si="180"/>
        <v/>
      </c>
      <c r="C2893" s="26" t="str">
        <f t="shared" si="181"/>
        <v/>
      </c>
      <c r="D2893" s="26" t="str">
        <f t="shared" si="182"/>
        <v/>
      </c>
      <c r="E2893" s="29"/>
      <c r="F2893" s="22"/>
      <c r="G2893" s="22"/>
      <c r="H2893" s="22"/>
      <c r="I2893" s="24"/>
      <c r="J2893" s="24"/>
      <c r="K2893" s="24"/>
      <c r="L2893" s="24"/>
      <c r="M2893" s="27" t="str">
        <f t="shared" si="183"/>
        <v/>
      </c>
      <c r="N2893" s="25"/>
      <c r="O2893" s="22"/>
      <c r="P2893" s="24"/>
      <c r="Q2893" s="26"/>
    </row>
    <row r="2894" spans="1:17" ht="15" x14ac:dyDescent="0.15">
      <c r="A2894" s="22"/>
      <c r="B2894" s="26" t="str">
        <f t="shared" si="180"/>
        <v/>
      </c>
      <c r="C2894" s="26" t="str">
        <f t="shared" si="181"/>
        <v/>
      </c>
      <c r="D2894" s="26" t="str">
        <f t="shared" si="182"/>
        <v/>
      </c>
      <c r="E2894" s="29"/>
      <c r="F2894" s="22"/>
      <c r="G2894" s="22"/>
      <c r="H2894" s="22"/>
      <c r="I2894" s="24"/>
      <c r="J2894" s="24"/>
      <c r="K2894" s="24"/>
      <c r="L2894" s="24"/>
      <c r="M2894" s="27" t="str">
        <f t="shared" si="183"/>
        <v/>
      </c>
      <c r="N2894" s="25"/>
      <c r="O2894" s="22"/>
      <c r="P2894" s="24"/>
      <c r="Q2894" s="26"/>
    </row>
    <row r="2895" spans="1:17" ht="15" x14ac:dyDescent="0.15">
      <c r="A2895" s="22"/>
      <c r="B2895" s="26" t="str">
        <f t="shared" si="180"/>
        <v/>
      </c>
      <c r="C2895" s="26" t="str">
        <f t="shared" si="181"/>
        <v/>
      </c>
      <c r="D2895" s="26" t="str">
        <f t="shared" si="182"/>
        <v/>
      </c>
      <c r="E2895" s="29"/>
      <c r="F2895" s="22"/>
      <c r="G2895" s="22"/>
      <c r="H2895" s="22"/>
      <c r="I2895" s="24"/>
      <c r="J2895" s="24"/>
      <c r="K2895" s="24"/>
      <c r="L2895" s="24"/>
      <c r="M2895" s="27" t="str">
        <f t="shared" si="183"/>
        <v/>
      </c>
      <c r="N2895" s="25"/>
      <c r="O2895" s="22"/>
      <c r="P2895" s="24"/>
      <c r="Q2895" s="26"/>
    </row>
    <row r="2896" spans="1:17" ht="15" x14ac:dyDescent="0.15">
      <c r="A2896" s="22"/>
      <c r="B2896" s="26" t="str">
        <f t="shared" si="180"/>
        <v/>
      </c>
      <c r="C2896" s="26" t="str">
        <f t="shared" si="181"/>
        <v/>
      </c>
      <c r="D2896" s="26" t="str">
        <f t="shared" si="182"/>
        <v/>
      </c>
      <c r="E2896" s="29"/>
      <c r="F2896" s="22"/>
      <c r="G2896" s="22"/>
      <c r="H2896" s="22"/>
      <c r="I2896" s="24"/>
      <c r="J2896" s="24"/>
      <c r="K2896" s="24"/>
      <c r="L2896" s="24"/>
      <c r="M2896" s="27" t="str">
        <f t="shared" si="183"/>
        <v/>
      </c>
      <c r="N2896" s="25"/>
      <c r="O2896" s="22"/>
      <c r="P2896" s="24"/>
      <c r="Q2896" s="26"/>
    </row>
    <row r="2897" spans="1:17" ht="15" x14ac:dyDescent="0.15">
      <c r="A2897" s="22"/>
      <c r="B2897" s="26" t="str">
        <f t="shared" si="180"/>
        <v/>
      </c>
      <c r="C2897" s="26" t="str">
        <f t="shared" si="181"/>
        <v/>
      </c>
      <c r="D2897" s="26" t="str">
        <f t="shared" si="182"/>
        <v/>
      </c>
      <c r="E2897" s="29"/>
      <c r="F2897" s="22"/>
      <c r="G2897" s="22"/>
      <c r="H2897" s="22"/>
      <c r="I2897" s="24"/>
      <c r="J2897" s="24"/>
      <c r="K2897" s="24"/>
      <c r="L2897" s="24"/>
      <c r="M2897" s="27" t="str">
        <f t="shared" si="183"/>
        <v/>
      </c>
      <c r="N2897" s="25"/>
      <c r="O2897" s="22"/>
      <c r="P2897" s="24"/>
      <c r="Q2897" s="26"/>
    </row>
    <row r="2898" spans="1:17" ht="15" x14ac:dyDescent="0.15">
      <c r="A2898" s="22"/>
      <c r="B2898" s="26" t="str">
        <f t="shared" si="180"/>
        <v/>
      </c>
      <c r="C2898" s="26" t="str">
        <f t="shared" si="181"/>
        <v/>
      </c>
      <c r="D2898" s="26" t="str">
        <f t="shared" si="182"/>
        <v/>
      </c>
      <c r="E2898" s="29"/>
      <c r="F2898" s="22"/>
      <c r="G2898" s="22"/>
      <c r="H2898" s="22"/>
      <c r="I2898" s="24"/>
      <c r="J2898" s="24"/>
      <c r="K2898" s="24"/>
      <c r="L2898" s="24"/>
      <c r="M2898" s="27" t="str">
        <f t="shared" si="183"/>
        <v/>
      </c>
      <c r="N2898" s="25"/>
      <c r="O2898" s="22"/>
      <c r="P2898" s="24"/>
      <c r="Q2898" s="26"/>
    </row>
    <row r="2899" spans="1:17" ht="15" x14ac:dyDescent="0.15">
      <c r="A2899" s="22"/>
      <c r="B2899" s="26" t="str">
        <f t="shared" si="180"/>
        <v/>
      </c>
      <c r="C2899" s="26" t="str">
        <f t="shared" si="181"/>
        <v/>
      </c>
      <c r="D2899" s="26" t="str">
        <f t="shared" si="182"/>
        <v/>
      </c>
      <c r="E2899" s="29"/>
      <c r="F2899" s="22"/>
      <c r="G2899" s="22"/>
      <c r="H2899" s="22"/>
      <c r="I2899" s="24"/>
      <c r="J2899" s="24"/>
      <c r="K2899" s="24"/>
      <c r="L2899" s="24"/>
      <c r="M2899" s="27" t="str">
        <f t="shared" si="183"/>
        <v/>
      </c>
      <c r="N2899" s="25"/>
      <c r="O2899" s="22"/>
      <c r="P2899" s="24"/>
      <c r="Q2899" s="26"/>
    </row>
    <row r="2900" spans="1:17" ht="15" x14ac:dyDescent="0.15">
      <c r="A2900" s="22"/>
      <c r="B2900" s="26" t="str">
        <f t="shared" si="180"/>
        <v/>
      </c>
      <c r="C2900" s="26" t="str">
        <f t="shared" si="181"/>
        <v/>
      </c>
      <c r="D2900" s="26" t="str">
        <f t="shared" si="182"/>
        <v/>
      </c>
      <c r="E2900" s="29"/>
      <c r="F2900" s="22"/>
      <c r="G2900" s="22"/>
      <c r="H2900" s="22"/>
      <c r="I2900" s="24"/>
      <c r="J2900" s="24"/>
      <c r="K2900" s="24"/>
      <c r="L2900" s="24"/>
      <c r="M2900" s="27" t="str">
        <f t="shared" si="183"/>
        <v/>
      </c>
      <c r="N2900" s="25"/>
      <c r="O2900" s="22"/>
      <c r="P2900" s="24"/>
      <c r="Q2900" s="26"/>
    </row>
    <row r="2901" spans="1:17" ht="15" x14ac:dyDescent="0.15">
      <c r="A2901" s="22"/>
      <c r="B2901" s="26" t="str">
        <f t="shared" si="180"/>
        <v/>
      </c>
      <c r="C2901" s="26" t="str">
        <f t="shared" si="181"/>
        <v/>
      </c>
      <c r="D2901" s="26" t="str">
        <f t="shared" si="182"/>
        <v/>
      </c>
      <c r="E2901" s="29"/>
      <c r="F2901" s="22"/>
      <c r="G2901" s="22"/>
      <c r="H2901" s="22"/>
      <c r="I2901" s="24"/>
      <c r="J2901" s="24"/>
      <c r="K2901" s="24"/>
      <c r="L2901" s="24"/>
      <c r="M2901" s="27" t="str">
        <f t="shared" si="183"/>
        <v/>
      </c>
      <c r="N2901" s="25"/>
      <c r="O2901" s="22"/>
      <c r="P2901" s="24"/>
      <c r="Q2901" s="26"/>
    </row>
    <row r="2902" spans="1:17" ht="15" x14ac:dyDescent="0.15">
      <c r="A2902" s="22"/>
      <c r="B2902" s="26" t="str">
        <f t="shared" si="180"/>
        <v/>
      </c>
      <c r="C2902" s="26" t="str">
        <f t="shared" si="181"/>
        <v/>
      </c>
      <c r="D2902" s="26" t="str">
        <f t="shared" si="182"/>
        <v/>
      </c>
      <c r="E2902" s="29"/>
      <c r="F2902" s="22"/>
      <c r="G2902" s="22"/>
      <c r="H2902" s="22"/>
      <c r="I2902" s="24"/>
      <c r="J2902" s="24"/>
      <c r="K2902" s="24"/>
      <c r="L2902" s="24"/>
      <c r="M2902" s="27" t="str">
        <f t="shared" si="183"/>
        <v/>
      </c>
      <c r="N2902" s="25"/>
      <c r="O2902" s="22"/>
      <c r="P2902" s="24"/>
      <c r="Q2902" s="26"/>
    </row>
    <row r="2903" spans="1:17" ht="15" x14ac:dyDescent="0.15">
      <c r="A2903" s="22"/>
      <c r="B2903" s="26" t="str">
        <f t="shared" si="180"/>
        <v/>
      </c>
      <c r="C2903" s="26" t="str">
        <f t="shared" si="181"/>
        <v/>
      </c>
      <c r="D2903" s="26" t="str">
        <f t="shared" si="182"/>
        <v/>
      </c>
      <c r="E2903" s="29"/>
      <c r="F2903" s="22"/>
      <c r="G2903" s="22"/>
      <c r="H2903" s="22"/>
      <c r="I2903" s="24"/>
      <c r="J2903" s="24"/>
      <c r="K2903" s="24"/>
      <c r="L2903" s="24"/>
      <c r="M2903" s="27" t="str">
        <f t="shared" si="183"/>
        <v/>
      </c>
      <c r="N2903" s="25"/>
      <c r="O2903" s="22"/>
      <c r="P2903" s="24"/>
      <c r="Q2903" s="26"/>
    </row>
    <row r="2904" spans="1:17" ht="15" x14ac:dyDescent="0.15">
      <c r="A2904" s="22"/>
      <c r="B2904" s="26" t="str">
        <f t="shared" si="180"/>
        <v/>
      </c>
      <c r="C2904" s="26" t="str">
        <f t="shared" si="181"/>
        <v/>
      </c>
      <c r="D2904" s="26" t="str">
        <f t="shared" si="182"/>
        <v/>
      </c>
      <c r="E2904" s="29"/>
      <c r="F2904" s="22"/>
      <c r="G2904" s="22"/>
      <c r="H2904" s="22"/>
      <c r="I2904" s="24"/>
      <c r="J2904" s="24"/>
      <c r="K2904" s="24"/>
      <c r="L2904" s="24"/>
      <c r="M2904" s="27" t="str">
        <f t="shared" si="183"/>
        <v/>
      </c>
      <c r="N2904" s="25"/>
      <c r="O2904" s="22"/>
      <c r="P2904" s="24"/>
      <c r="Q2904" s="26"/>
    </row>
    <row r="2905" spans="1:17" ht="15" x14ac:dyDescent="0.15">
      <c r="A2905" s="22"/>
      <c r="B2905" s="26" t="str">
        <f t="shared" si="180"/>
        <v/>
      </c>
      <c r="C2905" s="26" t="str">
        <f t="shared" si="181"/>
        <v/>
      </c>
      <c r="D2905" s="26" t="str">
        <f t="shared" si="182"/>
        <v/>
      </c>
      <c r="E2905" s="29"/>
      <c r="F2905" s="22"/>
      <c r="G2905" s="22"/>
      <c r="H2905" s="22"/>
      <c r="I2905" s="24"/>
      <c r="J2905" s="24"/>
      <c r="K2905" s="24"/>
      <c r="L2905" s="24"/>
      <c r="M2905" s="27" t="str">
        <f t="shared" si="183"/>
        <v/>
      </c>
      <c r="N2905" s="25"/>
      <c r="O2905" s="22"/>
      <c r="P2905" s="24"/>
      <c r="Q2905" s="26"/>
    </row>
    <row r="2906" spans="1:17" ht="15" x14ac:dyDescent="0.15">
      <c r="A2906" s="22"/>
      <c r="B2906" s="26" t="str">
        <f t="shared" si="180"/>
        <v/>
      </c>
      <c r="C2906" s="26" t="str">
        <f t="shared" si="181"/>
        <v/>
      </c>
      <c r="D2906" s="26" t="str">
        <f t="shared" si="182"/>
        <v/>
      </c>
      <c r="E2906" s="29"/>
      <c r="F2906" s="22"/>
      <c r="G2906" s="22"/>
      <c r="H2906" s="22"/>
      <c r="I2906" s="24"/>
      <c r="J2906" s="24"/>
      <c r="K2906" s="24"/>
      <c r="L2906" s="24"/>
      <c r="M2906" s="27" t="str">
        <f t="shared" si="183"/>
        <v/>
      </c>
      <c r="N2906" s="25"/>
      <c r="O2906" s="22"/>
      <c r="P2906" s="24"/>
      <c r="Q2906" s="26"/>
    </row>
    <row r="2907" spans="1:17" ht="15" x14ac:dyDescent="0.15">
      <c r="A2907" s="22"/>
      <c r="B2907" s="26" t="str">
        <f t="shared" si="180"/>
        <v/>
      </c>
      <c r="C2907" s="26" t="str">
        <f t="shared" si="181"/>
        <v/>
      </c>
      <c r="D2907" s="26" t="str">
        <f t="shared" si="182"/>
        <v/>
      </c>
      <c r="E2907" s="29"/>
      <c r="F2907" s="22"/>
      <c r="G2907" s="22"/>
      <c r="H2907" s="22"/>
      <c r="I2907" s="24"/>
      <c r="J2907" s="24"/>
      <c r="K2907" s="24"/>
      <c r="L2907" s="24"/>
      <c r="M2907" s="27" t="str">
        <f t="shared" si="183"/>
        <v/>
      </c>
      <c r="N2907" s="25"/>
      <c r="O2907" s="22"/>
      <c r="P2907" s="24"/>
      <c r="Q2907" s="26"/>
    </row>
    <row r="2908" spans="1:17" ht="15" x14ac:dyDescent="0.15">
      <c r="A2908" s="22"/>
      <c r="B2908" s="26" t="str">
        <f t="shared" si="180"/>
        <v/>
      </c>
      <c r="C2908" s="26" t="str">
        <f t="shared" si="181"/>
        <v/>
      </c>
      <c r="D2908" s="26" t="str">
        <f t="shared" si="182"/>
        <v/>
      </c>
      <c r="E2908" s="29"/>
      <c r="F2908" s="22"/>
      <c r="G2908" s="22"/>
      <c r="H2908" s="22"/>
      <c r="I2908" s="24"/>
      <c r="J2908" s="24"/>
      <c r="K2908" s="24"/>
      <c r="L2908" s="24"/>
      <c r="M2908" s="27" t="str">
        <f t="shared" si="183"/>
        <v/>
      </c>
      <c r="N2908" s="25"/>
      <c r="O2908" s="22"/>
      <c r="P2908" s="24"/>
      <c r="Q2908" s="26"/>
    </row>
    <row r="2909" spans="1:17" ht="15" x14ac:dyDescent="0.15">
      <c r="A2909" s="22"/>
      <c r="B2909" s="26" t="str">
        <f t="shared" si="180"/>
        <v/>
      </c>
      <c r="C2909" s="26" t="str">
        <f t="shared" si="181"/>
        <v/>
      </c>
      <c r="D2909" s="26" t="str">
        <f t="shared" si="182"/>
        <v/>
      </c>
      <c r="E2909" s="29"/>
      <c r="F2909" s="22"/>
      <c r="G2909" s="22"/>
      <c r="H2909" s="22"/>
      <c r="I2909" s="24"/>
      <c r="J2909" s="24"/>
      <c r="K2909" s="24"/>
      <c r="L2909" s="24"/>
      <c r="M2909" s="27" t="str">
        <f t="shared" si="183"/>
        <v/>
      </c>
      <c r="N2909" s="25"/>
      <c r="O2909" s="22"/>
      <c r="P2909" s="24"/>
      <c r="Q2909" s="26"/>
    </row>
    <row r="2910" spans="1:17" ht="15" x14ac:dyDescent="0.15">
      <c r="A2910" s="22"/>
      <c r="B2910" s="26" t="str">
        <f t="shared" si="180"/>
        <v/>
      </c>
      <c r="C2910" s="26" t="str">
        <f t="shared" si="181"/>
        <v/>
      </c>
      <c r="D2910" s="26" t="str">
        <f t="shared" si="182"/>
        <v/>
      </c>
      <c r="E2910" s="29"/>
      <c r="F2910" s="22"/>
      <c r="G2910" s="22"/>
      <c r="H2910" s="22"/>
      <c r="I2910" s="24"/>
      <c r="J2910" s="24"/>
      <c r="K2910" s="24"/>
      <c r="L2910" s="24"/>
      <c r="M2910" s="27" t="str">
        <f t="shared" si="183"/>
        <v/>
      </c>
      <c r="N2910" s="25"/>
      <c r="O2910" s="22"/>
      <c r="P2910" s="24"/>
      <c r="Q2910" s="26"/>
    </row>
    <row r="2911" spans="1:17" ht="15" x14ac:dyDescent="0.15">
      <c r="A2911" s="22"/>
      <c r="B2911" s="26" t="str">
        <f t="shared" si="180"/>
        <v/>
      </c>
      <c r="C2911" s="26" t="str">
        <f t="shared" si="181"/>
        <v/>
      </c>
      <c r="D2911" s="26" t="str">
        <f t="shared" si="182"/>
        <v/>
      </c>
      <c r="E2911" s="29"/>
      <c r="F2911" s="22"/>
      <c r="G2911" s="22"/>
      <c r="H2911" s="22"/>
      <c r="I2911" s="24"/>
      <c r="J2911" s="24"/>
      <c r="K2911" s="24"/>
      <c r="L2911" s="24"/>
      <c r="M2911" s="27" t="str">
        <f t="shared" si="183"/>
        <v/>
      </c>
      <c r="N2911" s="25"/>
      <c r="O2911" s="22"/>
      <c r="P2911" s="24"/>
      <c r="Q2911" s="26"/>
    </row>
    <row r="2912" spans="1:17" ht="15" x14ac:dyDescent="0.15">
      <c r="A2912" s="22"/>
      <c r="B2912" s="26" t="str">
        <f t="shared" si="180"/>
        <v/>
      </c>
      <c r="C2912" s="26" t="str">
        <f t="shared" si="181"/>
        <v/>
      </c>
      <c r="D2912" s="26" t="str">
        <f t="shared" si="182"/>
        <v/>
      </c>
      <c r="E2912" s="29"/>
      <c r="F2912" s="22"/>
      <c r="G2912" s="22"/>
      <c r="H2912" s="22"/>
      <c r="I2912" s="24"/>
      <c r="J2912" s="24"/>
      <c r="K2912" s="24"/>
      <c r="L2912" s="24"/>
      <c r="M2912" s="27" t="str">
        <f t="shared" si="183"/>
        <v/>
      </c>
      <c r="N2912" s="25"/>
      <c r="O2912" s="22"/>
      <c r="P2912" s="24"/>
      <c r="Q2912" s="26"/>
    </row>
    <row r="2913" spans="1:17" ht="15" x14ac:dyDescent="0.15">
      <c r="A2913" s="22"/>
      <c r="B2913" s="26" t="str">
        <f t="shared" si="180"/>
        <v/>
      </c>
      <c r="C2913" s="26" t="str">
        <f t="shared" si="181"/>
        <v/>
      </c>
      <c r="D2913" s="26" t="str">
        <f t="shared" si="182"/>
        <v/>
      </c>
      <c r="E2913" s="29"/>
      <c r="F2913" s="22"/>
      <c r="G2913" s="22"/>
      <c r="H2913" s="22"/>
      <c r="I2913" s="24"/>
      <c r="J2913" s="24"/>
      <c r="K2913" s="24"/>
      <c r="L2913" s="24"/>
      <c r="M2913" s="27" t="str">
        <f t="shared" si="183"/>
        <v/>
      </c>
      <c r="N2913" s="25"/>
      <c r="O2913" s="22"/>
      <c r="P2913" s="24"/>
      <c r="Q2913" s="26"/>
    </row>
    <row r="2914" spans="1:17" ht="15" x14ac:dyDescent="0.15">
      <c r="A2914" s="22"/>
      <c r="B2914" s="26" t="str">
        <f t="shared" si="180"/>
        <v/>
      </c>
      <c r="C2914" s="26" t="str">
        <f t="shared" si="181"/>
        <v/>
      </c>
      <c r="D2914" s="26" t="str">
        <f t="shared" si="182"/>
        <v/>
      </c>
      <c r="E2914" s="29"/>
      <c r="F2914" s="22"/>
      <c r="G2914" s="22"/>
      <c r="H2914" s="22"/>
      <c r="I2914" s="24"/>
      <c r="J2914" s="24"/>
      <c r="K2914" s="24"/>
      <c r="L2914" s="24"/>
      <c r="M2914" s="27" t="str">
        <f t="shared" si="183"/>
        <v/>
      </c>
      <c r="N2914" s="25"/>
      <c r="O2914" s="22"/>
      <c r="P2914" s="24"/>
      <c r="Q2914" s="26"/>
    </row>
    <row r="2915" spans="1:17" ht="15" x14ac:dyDescent="0.15">
      <c r="A2915" s="22"/>
      <c r="B2915" s="26" t="str">
        <f t="shared" si="180"/>
        <v/>
      </c>
      <c r="C2915" s="26" t="str">
        <f t="shared" si="181"/>
        <v/>
      </c>
      <c r="D2915" s="26" t="str">
        <f t="shared" si="182"/>
        <v/>
      </c>
      <c r="E2915" s="29"/>
      <c r="F2915" s="22"/>
      <c r="G2915" s="22"/>
      <c r="H2915" s="22"/>
      <c r="I2915" s="24"/>
      <c r="J2915" s="24"/>
      <c r="K2915" s="24"/>
      <c r="L2915" s="24"/>
      <c r="M2915" s="27" t="str">
        <f t="shared" si="183"/>
        <v/>
      </c>
      <c r="N2915" s="25"/>
      <c r="O2915" s="22"/>
      <c r="P2915" s="24"/>
      <c r="Q2915" s="26"/>
    </row>
    <row r="2916" spans="1:17" ht="15" x14ac:dyDescent="0.15">
      <c r="A2916" s="22"/>
      <c r="B2916" s="26" t="str">
        <f t="shared" si="180"/>
        <v/>
      </c>
      <c r="C2916" s="26" t="str">
        <f t="shared" si="181"/>
        <v/>
      </c>
      <c r="D2916" s="26" t="str">
        <f t="shared" si="182"/>
        <v/>
      </c>
      <c r="E2916" s="29"/>
      <c r="F2916" s="22"/>
      <c r="G2916" s="22"/>
      <c r="H2916" s="22"/>
      <c r="I2916" s="24"/>
      <c r="J2916" s="24"/>
      <c r="K2916" s="24"/>
      <c r="L2916" s="24"/>
      <c r="M2916" s="27" t="str">
        <f t="shared" si="183"/>
        <v/>
      </c>
      <c r="N2916" s="25"/>
      <c r="O2916" s="22"/>
      <c r="P2916" s="24"/>
      <c r="Q2916" s="26"/>
    </row>
    <row r="2917" spans="1:17" ht="15" x14ac:dyDescent="0.15">
      <c r="A2917" s="22"/>
      <c r="B2917" s="26" t="str">
        <f t="shared" si="180"/>
        <v/>
      </c>
      <c r="C2917" s="26" t="str">
        <f t="shared" si="181"/>
        <v/>
      </c>
      <c r="D2917" s="26" t="str">
        <f t="shared" si="182"/>
        <v/>
      </c>
      <c r="E2917" s="29"/>
      <c r="F2917" s="22"/>
      <c r="G2917" s="22"/>
      <c r="H2917" s="22"/>
      <c r="I2917" s="24"/>
      <c r="J2917" s="24"/>
      <c r="K2917" s="24"/>
      <c r="L2917" s="24"/>
      <c r="M2917" s="27" t="str">
        <f t="shared" si="183"/>
        <v/>
      </c>
      <c r="N2917" s="25"/>
      <c r="O2917" s="22"/>
      <c r="P2917" s="24"/>
      <c r="Q2917" s="26"/>
    </row>
    <row r="2918" spans="1:17" ht="15" x14ac:dyDescent="0.15">
      <c r="A2918" s="22"/>
      <c r="B2918" s="26" t="str">
        <f t="shared" si="180"/>
        <v/>
      </c>
      <c r="C2918" s="26" t="str">
        <f t="shared" si="181"/>
        <v/>
      </c>
      <c r="D2918" s="26" t="str">
        <f t="shared" si="182"/>
        <v/>
      </c>
      <c r="E2918" s="29"/>
      <c r="F2918" s="22"/>
      <c r="G2918" s="22"/>
      <c r="H2918" s="22"/>
      <c r="I2918" s="24"/>
      <c r="J2918" s="24"/>
      <c r="K2918" s="24"/>
      <c r="L2918" s="24"/>
      <c r="M2918" s="27" t="str">
        <f t="shared" si="183"/>
        <v/>
      </c>
      <c r="N2918" s="25"/>
      <c r="O2918" s="22"/>
      <c r="P2918" s="24"/>
      <c r="Q2918" s="26"/>
    </row>
    <row r="2919" spans="1:17" ht="15" x14ac:dyDescent="0.15">
      <c r="A2919" s="22"/>
      <c r="B2919" s="26" t="str">
        <f t="shared" si="180"/>
        <v/>
      </c>
      <c r="C2919" s="26" t="str">
        <f t="shared" si="181"/>
        <v/>
      </c>
      <c r="D2919" s="26" t="str">
        <f t="shared" si="182"/>
        <v/>
      </c>
      <c r="E2919" s="29"/>
      <c r="F2919" s="22"/>
      <c r="G2919" s="22"/>
      <c r="H2919" s="22"/>
      <c r="I2919" s="24"/>
      <c r="J2919" s="24"/>
      <c r="K2919" s="24"/>
      <c r="L2919" s="24"/>
      <c r="M2919" s="27" t="str">
        <f t="shared" si="183"/>
        <v/>
      </c>
      <c r="N2919" s="25"/>
      <c r="O2919" s="22"/>
      <c r="P2919" s="24"/>
      <c r="Q2919" s="26"/>
    </row>
    <row r="2920" spans="1:17" ht="15" x14ac:dyDescent="0.15">
      <c r="A2920" s="22"/>
      <c r="B2920" s="26" t="str">
        <f t="shared" si="180"/>
        <v/>
      </c>
      <c r="C2920" s="26" t="str">
        <f t="shared" si="181"/>
        <v/>
      </c>
      <c r="D2920" s="26" t="str">
        <f t="shared" si="182"/>
        <v/>
      </c>
      <c r="E2920" s="29"/>
      <c r="F2920" s="22"/>
      <c r="G2920" s="22"/>
      <c r="H2920" s="22"/>
      <c r="I2920" s="24"/>
      <c r="J2920" s="24"/>
      <c r="K2920" s="24"/>
      <c r="L2920" s="24"/>
      <c r="M2920" s="27" t="str">
        <f t="shared" si="183"/>
        <v/>
      </c>
      <c r="N2920" s="25"/>
      <c r="O2920" s="22"/>
      <c r="P2920" s="24"/>
      <c r="Q2920" s="26"/>
    </row>
    <row r="2921" spans="1:17" ht="15" x14ac:dyDescent="0.15">
      <c r="A2921" s="22"/>
      <c r="B2921" s="26" t="str">
        <f t="shared" si="180"/>
        <v/>
      </c>
      <c r="C2921" s="26" t="str">
        <f t="shared" si="181"/>
        <v/>
      </c>
      <c r="D2921" s="26" t="str">
        <f t="shared" si="182"/>
        <v/>
      </c>
      <c r="E2921" s="29"/>
      <c r="F2921" s="22"/>
      <c r="G2921" s="22"/>
      <c r="H2921" s="22"/>
      <c r="I2921" s="24"/>
      <c r="J2921" s="24"/>
      <c r="K2921" s="24"/>
      <c r="L2921" s="24"/>
      <c r="M2921" s="27" t="str">
        <f t="shared" si="183"/>
        <v/>
      </c>
      <c r="N2921" s="25"/>
      <c r="O2921" s="22"/>
      <c r="P2921" s="24"/>
      <c r="Q2921" s="26"/>
    </row>
    <row r="2922" spans="1:17" ht="15" x14ac:dyDescent="0.15">
      <c r="A2922" s="22"/>
      <c r="B2922" s="26" t="str">
        <f t="shared" si="180"/>
        <v/>
      </c>
      <c r="C2922" s="26" t="str">
        <f t="shared" si="181"/>
        <v/>
      </c>
      <c r="D2922" s="26" t="str">
        <f t="shared" si="182"/>
        <v/>
      </c>
      <c r="E2922" s="29"/>
      <c r="F2922" s="22"/>
      <c r="G2922" s="22"/>
      <c r="H2922" s="22"/>
      <c r="I2922" s="24"/>
      <c r="J2922" s="24"/>
      <c r="K2922" s="24"/>
      <c r="L2922" s="24"/>
      <c r="M2922" s="27" t="str">
        <f t="shared" si="183"/>
        <v/>
      </c>
      <c r="N2922" s="25"/>
      <c r="O2922" s="22"/>
      <c r="P2922" s="24"/>
      <c r="Q2922" s="26"/>
    </row>
    <row r="2923" spans="1:17" ht="15" x14ac:dyDescent="0.15">
      <c r="A2923" s="22"/>
      <c r="B2923" s="26" t="str">
        <f t="shared" si="180"/>
        <v/>
      </c>
      <c r="C2923" s="26" t="str">
        <f t="shared" si="181"/>
        <v/>
      </c>
      <c r="D2923" s="26" t="str">
        <f t="shared" si="182"/>
        <v/>
      </c>
      <c r="E2923" s="29"/>
      <c r="F2923" s="22"/>
      <c r="G2923" s="22"/>
      <c r="H2923" s="22"/>
      <c r="I2923" s="24"/>
      <c r="J2923" s="24"/>
      <c r="K2923" s="24"/>
      <c r="L2923" s="24"/>
      <c r="M2923" s="27" t="str">
        <f t="shared" si="183"/>
        <v/>
      </c>
      <c r="N2923" s="25"/>
      <c r="O2923" s="22"/>
      <c r="P2923" s="24"/>
      <c r="Q2923" s="26"/>
    </row>
    <row r="2924" spans="1:17" ht="15" x14ac:dyDescent="0.15">
      <c r="A2924" s="22"/>
      <c r="B2924" s="26" t="str">
        <f t="shared" si="180"/>
        <v/>
      </c>
      <c r="C2924" s="26" t="str">
        <f t="shared" si="181"/>
        <v/>
      </c>
      <c r="D2924" s="26" t="str">
        <f t="shared" si="182"/>
        <v/>
      </c>
      <c r="E2924" s="29"/>
      <c r="F2924" s="22"/>
      <c r="G2924" s="22"/>
      <c r="H2924" s="22"/>
      <c r="I2924" s="24"/>
      <c r="J2924" s="24"/>
      <c r="K2924" s="24"/>
      <c r="L2924" s="24"/>
      <c r="M2924" s="27" t="str">
        <f t="shared" si="183"/>
        <v/>
      </c>
      <c r="N2924" s="25"/>
      <c r="O2924" s="22"/>
      <c r="P2924" s="24"/>
      <c r="Q2924" s="26"/>
    </row>
    <row r="2925" spans="1:17" ht="15" x14ac:dyDescent="0.15">
      <c r="A2925" s="22"/>
      <c r="B2925" s="26" t="str">
        <f t="shared" si="180"/>
        <v/>
      </c>
      <c r="C2925" s="26" t="str">
        <f t="shared" si="181"/>
        <v/>
      </c>
      <c r="D2925" s="26" t="str">
        <f t="shared" si="182"/>
        <v/>
      </c>
      <c r="E2925" s="29"/>
      <c r="F2925" s="22"/>
      <c r="G2925" s="22"/>
      <c r="H2925" s="22"/>
      <c r="I2925" s="24"/>
      <c r="J2925" s="24"/>
      <c r="K2925" s="24"/>
      <c r="L2925" s="24"/>
      <c r="M2925" s="27" t="str">
        <f t="shared" si="183"/>
        <v/>
      </c>
      <c r="N2925" s="25"/>
      <c r="O2925" s="22"/>
      <c r="P2925" s="24"/>
      <c r="Q2925" s="26"/>
    </row>
    <row r="2926" spans="1:17" ht="15" x14ac:dyDescent="0.15">
      <c r="A2926" s="22"/>
      <c r="B2926" s="26" t="str">
        <f t="shared" si="180"/>
        <v/>
      </c>
      <c r="C2926" s="26" t="str">
        <f t="shared" si="181"/>
        <v/>
      </c>
      <c r="D2926" s="26" t="str">
        <f t="shared" si="182"/>
        <v/>
      </c>
      <c r="E2926" s="29"/>
      <c r="F2926" s="22"/>
      <c r="G2926" s="22"/>
      <c r="H2926" s="22"/>
      <c r="I2926" s="24"/>
      <c r="J2926" s="24"/>
      <c r="K2926" s="24"/>
      <c r="L2926" s="24"/>
      <c r="M2926" s="27" t="str">
        <f t="shared" si="183"/>
        <v/>
      </c>
      <c r="N2926" s="25"/>
      <c r="O2926" s="22"/>
      <c r="P2926" s="24"/>
      <c r="Q2926" s="26"/>
    </row>
    <row r="2927" spans="1:17" ht="15" x14ac:dyDescent="0.15">
      <c r="A2927" s="22"/>
      <c r="B2927" s="26" t="str">
        <f t="shared" si="180"/>
        <v/>
      </c>
      <c r="C2927" s="26" t="str">
        <f t="shared" si="181"/>
        <v/>
      </c>
      <c r="D2927" s="26" t="str">
        <f t="shared" si="182"/>
        <v/>
      </c>
      <c r="E2927" s="29"/>
      <c r="F2927" s="22"/>
      <c r="G2927" s="22"/>
      <c r="H2927" s="22"/>
      <c r="I2927" s="24"/>
      <c r="J2927" s="24"/>
      <c r="K2927" s="24"/>
      <c r="L2927" s="24"/>
      <c r="M2927" s="27" t="str">
        <f t="shared" si="183"/>
        <v/>
      </c>
      <c r="N2927" s="25"/>
      <c r="O2927" s="22"/>
      <c r="P2927" s="24"/>
      <c r="Q2927" s="26"/>
    </row>
    <row r="2928" spans="1:17" ht="15" x14ac:dyDescent="0.15">
      <c r="A2928" s="22"/>
      <c r="B2928" s="26" t="str">
        <f t="shared" si="180"/>
        <v/>
      </c>
      <c r="C2928" s="26" t="str">
        <f t="shared" si="181"/>
        <v/>
      </c>
      <c r="D2928" s="26" t="str">
        <f t="shared" si="182"/>
        <v/>
      </c>
      <c r="E2928" s="29"/>
      <c r="F2928" s="22"/>
      <c r="G2928" s="22"/>
      <c r="H2928" s="22"/>
      <c r="I2928" s="24"/>
      <c r="J2928" s="24"/>
      <c r="K2928" s="24"/>
      <c r="L2928" s="24"/>
      <c r="M2928" s="27" t="str">
        <f t="shared" si="183"/>
        <v/>
      </c>
      <c r="N2928" s="25"/>
      <c r="O2928" s="22"/>
      <c r="P2928" s="24"/>
      <c r="Q2928" s="26"/>
    </row>
    <row r="2929" spans="1:17" ht="15" x14ac:dyDescent="0.15">
      <c r="A2929" s="22"/>
      <c r="B2929" s="26" t="str">
        <f t="shared" si="180"/>
        <v/>
      </c>
      <c r="C2929" s="26" t="str">
        <f t="shared" si="181"/>
        <v/>
      </c>
      <c r="D2929" s="26" t="str">
        <f t="shared" si="182"/>
        <v/>
      </c>
      <c r="E2929" s="29"/>
      <c r="F2929" s="22"/>
      <c r="G2929" s="22"/>
      <c r="H2929" s="22"/>
      <c r="I2929" s="24"/>
      <c r="J2929" s="24"/>
      <c r="K2929" s="24"/>
      <c r="L2929" s="24"/>
      <c r="M2929" s="27" t="str">
        <f t="shared" si="183"/>
        <v/>
      </c>
      <c r="N2929" s="25"/>
      <c r="O2929" s="22"/>
      <c r="P2929" s="24"/>
      <c r="Q2929" s="26"/>
    </row>
    <row r="2930" spans="1:17" ht="15" x14ac:dyDescent="0.15">
      <c r="A2930" s="22"/>
      <c r="B2930" s="26" t="str">
        <f t="shared" si="180"/>
        <v/>
      </c>
      <c r="C2930" s="26" t="str">
        <f t="shared" si="181"/>
        <v/>
      </c>
      <c r="D2930" s="26" t="str">
        <f t="shared" si="182"/>
        <v/>
      </c>
      <c r="E2930" s="29"/>
      <c r="F2930" s="22"/>
      <c r="G2930" s="22"/>
      <c r="H2930" s="22"/>
      <c r="I2930" s="24"/>
      <c r="J2930" s="24"/>
      <c r="K2930" s="24"/>
      <c r="L2930" s="24"/>
      <c r="M2930" s="27" t="str">
        <f t="shared" si="183"/>
        <v/>
      </c>
      <c r="N2930" s="25"/>
      <c r="O2930" s="22"/>
      <c r="P2930" s="24"/>
      <c r="Q2930" s="26"/>
    </row>
    <row r="2931" spans="1:17" ht="15" x14ac:dyDescent="0.15">
      <c r="A2931" s="22"/>
      <c r="B2931" s="26" t="str">
        <f t="shared" si="180"/>
        <v/>
      </c>
      <c r="C2931" s="26" t="str">
        <f t="shared" si="181"/>
        <v/>
      </c>
      <c r="D2931" s="26" t="str">
        <f t="shared" si="182"/>
        <v/>
      </c>
      <c r="E2931" s="29"/>
      <c r="F2931" s="22"/>
      <c r="G2931" s="22"/>
      <c r="H2931" s="22"/>
      <c r="I2931" s="24"/>
      <c r="J2931" s="24"/>
      <c r="K2931" s="24"/>
      <c r="L2931" s="24"/>
      <c r="M2931" s="27" t="str">
        <f t="shared" si="183"/>
        <v/>
      </c>
      <c r="N2931" s="25"/>
      <c r="O2931" s="22"/>
      <c r="P2931" s="24"/>
      <c r="Q2931" s="26"/>
    </row>
    <row r="2932" spans="1:17" ht="15" x14ac:dyDescent="0.15">
      <c r="A2932" s="22"/>
      <c r="B2932" s="26" t="str">
        <f t="shared" si="180"/>
        <v/>
      </c>
      <c r="C2932" s="26" t="str">
        <f t="shared" si="181"/>
        <v/>
      </c>
      <c r="D2932" s="26" t="str">
        <f t="shared" si="182"/>
        <v/>
      </c>
      <c r="E2932" s="29"/>
      <c r="F2932" s="22"/>
      <c r="G2932" s="22"/>
      <c r="H2932" s="22"/>
      <c r="I2932" s="24"/>
      <c r="J2932" s="24"/>
      <c r="K2932" s="24"/>
      <c r="L2932" s="24"/>
      <c r="M2932" s="27" t="str">
        <f t="shared" si="183"/>
        <v/>
      </c>
      <c r="N2932" s="25"/>
      <c r="O2932" s="22"/>
      <c r="P2932" s="24"/>
      <c r="Q2932" s="26"/>
    </row>
    <row r="2933" spans="1:17" ht="15" x14ac:dyDescent="0.15">
      <c r="A2933" s="22"/>
      <c r="B2933" s="26" t="str">
        <f t="shared" si="180"/>
        <v/>
      </c>
      <c r="C2933" s="26" t="str">
        <f t="shared" si="181"/>
        <v/>
      </c>
      <c r="D2933" s="26" t="str">
        <f t="shared" si="182"/>
        <v/>
      </c>
      <c r="E2933" s="29"/>
      <c r="F2933" s="22"/>
      <c r="G2933" s="22"/>
      <c r="H2933" s="22"/>
      <c r="I2933" s="24"/>
      <c r="J2933" s="24"/>
      <c r="K2933" s="24"/>
      <c r="L2933" s="24"/>
      <c r="M2933" s="27" t="str">
        <f t="shared" si="183"/>
        <v/>
      </c>
      <c r="N2933" s="25"/>
      <c r="O2933" s="22"/>
      <c r="P2933" s="24"/>
      <c r="Q2933" s="26"/>
    </row>
    <row r="2934" spans="1:17" ht="15" x14ac:dyDescent="0.15">
      <c r="A2934" s="22"/>
      <c r="B2934" s="26" t="str">
        <f t="shared" si="180"/>
        <v/>
      </c>
      <c r="C2934" s="26" t="str">
        <f t="shared" si="181"/>
        <v/>
      </c>
      <c r="D2934" s="26" t="str">
        <f t="shared" si="182"/>
        <v/>
      </c>
      <c r="E2934" s="29"/>
      <c r="F2934" s="22"/>
      <c r="G2934" s="22"/>
      <c r="H2934" s="22"/>
      <c r="I2934" s="24"/>
      <c r="J2934" s="24"/>
      <c r="K2934" s="24"/>
      <c r="L2934" s="24"/>
      <c r="M2934" s="27" t="str">
        <f t="shared" si="183"/>
        <v/>
      </c>
      <c r="N2934" s="25"/>
      <c r="O2934" s="22"/>
      <c r="P2934" s="24"/>
      <c r="Q2934" s="26"/>
    </row>
    <row r="2935" spans="1:17" ht="15" x14ac:dyDescent="0.15">
      <c r="A2935" s="22"/>
      <c r="B2935" s="26" t="str">
        <f t="shared" si="180"/>
        <v/>
      </c>
      <c r="C2935" s="26" t="str">
        <f t="shared" si="181"/>
        <v/>
      </c>
      <c r="D2935" s="26" t="str">
        <f t="shared" si="182"/>
        <v/>
      </c>
      <c r="E2935" s="29"/>
      <c r="F2935" s="22"/>
      <c r="G2935" s="22"/>
      <c r="H2935" s="22"/>
      <c r="I2935" s="24"/>
      <c r="J2935" s="24"/>
      <c r="K2935" s="24"/>
      <c r="L2935" s="24"/>
      <c r="M2935" s="27" t="str">
        <f t="shared" si="183"/>
        <v/>
      </c>
      <c r="N2935" s="25"/>
      <c r="O2935" s="22"/>
      <c r="P2935" s="24"/>
      <c r="Q2935" s="26"/>
    </row>
    <row r="2936" spans="1:17" ht="15" x14ac:dyDescent="0.15">
      <c r="A2936" s="22"/>
      <c r="B2936" s="26" t="str">
        <f t="shared" si="180"/>
        <v/>
      </c>
      <c r="C2936" s="26" t="str">
        <f t="shared" si="181"/>
        <v/>
      </c>
      <c r="D2936" s="26" t="str">
        <f t="shared" si="182"/>
        <v/>
      </c>
      <c r="E2936" s="29"/>
      <c r="F2936" s="22"/>
      <c r="G2936" s="22"/>
      <c r="H2936" s="22"/>
      <c r="I2936" s="24"/>
      <c r="J2936" s="24"/>
      <c r="K2936" s="24"/>
      <c r="L2936" s="24"/>
      <c r="M2936" s="27" t="str">
        <f t="shared" si="183"/>
        <v/>
      </c>
      <c r="N2936" s="25"/>
      <c r="O2936" s="22"/>
      <c r="P2936" s="24"/>
      <c r="Q2936" s="26"/>
    </row>
    <row r="2937" spans="1:17" ht="15" x14ac:dyDescent="0.15">
      <c r="A2937" s="22"/>
      <c r="B2937" s="26" t="str">
        <f t="shared" si="180"/>
        <v/>
      </c>
      <c r="C2937" s="26" t="str">
        <f t="shared" si="181"/>
        <v/>
      </c>
      <c r="D2937" s="26" t="str">
        <f t="shared" si="182"/>
        <v/>
      </c>
      <c r="E2937" s="29"/>
      <c r="F2937" s="22"/>
      <c r="G2937" s="22"/>
      <c r="H2937" s="22"/>
      <c r="I2937" s="24"/>
      <c r="J2937" s="24"/>
      <c r="K2937" s="24"/>
      <c r="L2937" s="24"/>
      <c r="M2937" s="27" t="str">
        <f t="shared" si="183"/>
        <v/>
      </c>
      <c r="N2937" s="25"/>
      <c r="O2937" s="22"/>
      <c r="P2937" s="24"/>
      <c r="Q2937" s="26"/>
    </row>
    <row r="2938" spans="1:17" ht="15" x14ac:dyDescent="0.15">
      <c r="A2938" s="22"/>
      <c r="B2938" s="26" t="str">
        <f t="shared" si="180"/>
        <v/>
      </c>
      <c r="C2938" s="26" t="str">
        <f t="shared" si="181"/>
        <v/>
      </c>
      <c r="D2938" s="26" t="str">
        <f t="shared" si="182"/>
        <v/>
      </c>
      <c r="E2938" s="29"/>
      <c r="F2938" s="22"/>
      <c r="G2938" s="22"/>
      <c r="H2938" s="22"/>
      <c r="I2938" s="24"/>
      <c r="J2938" s="24"/>
      <c r="K2938" s="24"/>
      <c r="L2938" s="24"/>
      <c r="M2938" s="27" t="str">
        <f t="shared" si="183"/>
        <v/>
      </c>
      <c r="N2938" s="25"/>
      <c r="O2938" s="22"/>
      <c r="P2938" s="24"/>
      <c r="Q2938" s="26"/>
    </row>
    <row r="2939" spans="1:17" ht="15" x14ac:dyDescent="0.15">
      <c r="A2939" s="22"/>
      <c r="B2939" s="26" t="str">
        <f t="shared" si="180"/>
        <v/>
      </c>
      <c r="C2939" s="26" t="str">
        <f t="shared" si="181"/>
        <v/>
      </c>
      <c r="D2939" s="26" t="str">
        <f t="shared" si="182"/>
        <v/>
      </c>
      <c r="E2939" s="29"/>
      <c r="F2939" s="22"/>
      <c r="G2939" s="22"/>
      <c r="H2939" s="22"/>
      <c r="I2939" s="24"/>
      <c r="J2939" s="24"/>
      <c r="K2939" s="24"/>
      <c r="L2939" s="24"/>
      <c r="M2939" s="27" t="str">
        <f t="shared" si="183"/>
        <v/>
      </c>
      <c r="N2939" s="25"/>
      <c r="O2939" s="22"/>
      <c r="P2939" s="24"/>
      <c r="Q2939" s="26"/>
    </row>
    <row r="2940" spans="1:17" ht="15" x14ac:dyDescent="0.15">
      <c r="A2940" s="22"/>
      <c r="B2940" s="26" t="str">
        <f t="shared" si="180"/>
        <v/>
      </c>
      <c r="C2940" s="26" t="str">
        <f t="shared" si="181"/>
        <v/>
      </c>
      <c r="D2940" s="26" t="str">
        <f t="shared" si="182"/>
        <v/>
      </c>
      <c r="E2940" s="29"/>
      <c r="F2940" s="22"/>
      <c r="G2940" s="22"/>
      <c r="H2940" s="22"/>
      <c r="I2940" s="24"/>
      <c r="J2940" s="24"/>
      <c r="K2940" s="24"/>
      <c r="L2940" s="24"/>
      <c r="M2940" s="27" t="str">
        <f t="shared" si="183"/>
        <v/>
      </c>
      <c r="N2940" s="25"/>
      <c r="O2940" s="22"/>
      <c r="P2940" s="24"/>
      <c r="Q2940" s="26"/>
    </row>
    <row r="2941" spans="1:17" ht="15" x14ac:dyDescent="0.15">
      <c r="A2941" s="22"/>
      <c r="B2941" s="26" t="str">
        <f t="shared" si="180"/>
        <v/>
      </c>
      <c r="C2941" s="26" t="str">
        <f t="shared" si="181"/>
        <v/>
      </c>
      <c r="D2941" s="26" t="str">
        <f t="shared" si="182"/>
        <v/>
      </c>
      <c r="E2941" s="29"/>
      <c r="F2941" s="22"/>
      <c r="G2941" s="22"/>
      <c r="H2941" s="22"/>
      <c r="I2941" s="24"/>
      <c r="J2941" s="24"/>
      <c r="K2941" s="24"/>
      <c r="L2941" s="24"/>
      <c r="M2941" s="27" t="str">
        <f t="shared" si="183"/>
        <v/>
      </c>
      <c r="N2941" s="25"/>
      <c r="O2941" s="22"/>
      <c r="P2941" s="24"/>
      <c r="Q2941" s="26"/>
    </row>
    <row r="2942" spans="1:17" ht="15" x14ac:dyDescent="0.15">
      <c r="A2942" s="22"/>
      <c r="B2942" s="26" t="str">
        <f t="shared" si="180"/>
        <v/>
      </c>
      <c r="C2942" s="26" t="str">
        <f t="shared" si="181"/>
        <v/>
      </c>
      <c r="D2942" s="26" t="str">
        <f t="shared" si="182"/>
        <v/>
      </c>
      <c r="E2942" s="29"/>
      <c r="F2942" s="22"/>
      <c r="G2942" s="22"/>
      <c r="H2942" s="22"/>
      <c r="I2942" s="24"/>
      <c r="J2942" s="24"/>
      <c r="K2942" s="24"/>
      <c r="L2942" s="24"/>
      <c r="M2942" s="27" t="str">
        <f t="shared" si="183"/>
        <v/>
      </c>
      <c r="N2942" s="25"/>
      <c r="O2942" s="22"/>
      <c r="P2942" s="24"/>
      <c r="Q2942" s="26"/>
    </row>
    <row r="2943" spans="1:17" ht="15" x14ac:dyDescent="0.15">
      <c r="A2943" s="22"/>
      <c r="B2943" s="26" t="str">
        <f t="shared" si="180"/>
        <v/>
      </c>
      <c r="C2943" s="26" t="str">
        <f t="shared" si="181"/>
        <v/>
      </c>
      <c r="D2943" s="26" t="str">
        <f t="shared" si="182"/>
        <v/>
      </c>
      <c r="E2943" s="29"/>
      <c r="F2943" s="22"/>
      <c r="G2943" s="22"/>
      <c r="H2943" s="22"/>
      <c r="I2943" s="24"/>
      <c r="J2943" s="24"/>
      <c r="K2943" s="24"/>
      <c r="L2943" s="24"/>
      <c r="M2943" s="27" t="str">
        <f t="shared" si="183"/>
        <v/>
      </c>
      <c r="N2943" s="25"/>
      <c r="O2943" s="22"/>
      <c r="P2943" s="24"/>
      <c r="Q2943" s="26"/>
    </row>
    <row r="2944" spans="1:17" ht="15" x14ac:dyDescent="0.15">
      <c r="A2944" s="22"/>
      <c r="B2944" s="26" t="str">
        <f t="shared" si="180"/>
        <v/>
      </c>
      <c r="C2944" s="26" t="str">
        <f t="shared" si="181"/>
        <v/>
      </c>
      <c r="D2944" s="26" t="str">
        <f t="shared" si="182"/>
        <v/>
      </c>
      <c r="E2944" s="29"/>
      <c r="F2944" s="22"/>
      <c r="G2944" s="22"/>
      <c r="H2944" s="22"/>
      <c r="I2944" s="24"/>
      <c r="J2944" s="24"/>
      <c r="K2944" s="24"/>
      <c r="L2944" s="24"/>
      <c r="M2944" s="27" t="str">
        <f t="shared" si="183"/>
        <v/>
      </c>
      <c r="N2944" s="25"/>
      <c r="O2944" s="22"/>
      <c r="P2944" s="24"/>
      <c r="Q2944" s="26"/>
    </row>
    <row r="2945" spans="1:17" ht="15" x14ac:dyDescent="0.15">
      <c r="A2945" s="22"/>
      <c r="B2945" s="26" t="str">
        <f t="shared" si="180"/>
        <v/>
      </c>
      <c r="C2945" s="26" t="str">
        <f t="shared" si="181"/>
        <v/>
      </c>
      <c r="D2945" s="26" t="str">
        <f t="shared" si="182"/>
        <v/>
      </c>
      <c r="E2945" s="29"/>
      <c r="F2945" s="22"/>
      <c r="G2945" s="22"/>
      <c r="H2945" s="22"/>
      <c r="I2945" s="24"/>
      <c r="J2945" s="24"/>
      <c r="K2945" s="24"/>
      <c r="L2945" s="24"/>
      <c r="M2945" s="27" t="str">
        <f t="shared" si="183"/>
        <v/>
      </c>
      <c r="N2945" s="25"/>
      <c r="O2945" s="22"/>
      <c r="P2945" s="24"/>
      <c r="Q2945" s="26"/>
    </row>
    <row r="2946" spans="1:17" ht="15" x14ac:dyDescent="0.15">
      <c r="A2946" s="22"/>
      <c r="B2946" s="26" t="str">
        <f t="shared" si="180"/>
        <v/>
      </c>
      <c r="C2946" s="26" t="str">
        <f t="shared" si="181"/>
        <v/>
      </c>
      <c r="D2946" s="26" t="str">
        <f t="shared" si="182"/>
        <v/>
      </c>
      <c r="E2946" s="29"/>
      <c r="F2946" s="22"/>
      <c r="G2946" s="22"/>
      <c r="H2946" s="22"/>
      <c r="I2946" s="24"/>
      <c r="J2946" s="24"/>
      <c r="K2946" s="24"/>
      <c r="L2946" s="24"/>
      <c r="M2946" s="27" t="str">
        <f t="shared" si="183"/>
        <v/>
      </c>
      <c r="N2946" s="25"/>
      <c r="O2946" s="22"/>
      <c r="P2946" s="24"/>
      <c r="Q2946" s="26"/>
    </row>
    <row r="2947" spans="1:17" ht="15" x14ac:dyDescent="0.15">
      <c r="A2947" s="22"/>
      <c r="B2947" s="26" t="str">
        <f t="shared" si="180"/>
        <v/>
      </c>
      <c r="C2947" s="26" t="str">
        <f t="shared" si="181"/>
        <v/>
      </c>
      <c r="D2947" s="26" t="str">
        <f t="shared" si="182"/>
        <v/>
      </c>
      <c r="E2947" s="29"/>
      <c r="F2947" s="22"/>
      <c r="G2947" s="22"/>
      <c r="H2947" s="22"/>
      <c r="I2947" s="24"/>
      <c r="J2947" s="24"/>
      <c r="K2947" s="24"/>
      <c r="L2947" s="24"/>
      <c r="M2947" s="27" t="str">
        <f t="shared" si="183"/>
        <v/>
      </c>
      <c r="N2947" s="25"/>
      <c r="O2947" s="22"/>
      <c r="P2947" s="24"/>
      <c r="Q2947" s="26"/>
    </row>
    <row r="2948" spans="1:17" ht="15" x14ac:dyDescent="0.15">
      <c r="A2948" s="22"/>
      <c r="B2948" s="26" t="str">
        <f t="shared" si="180"/>
        <v/>
      </c>
      <c r="C2948" s="26" t="str">
        <f t="shared" si="181"/>
        <v/>
      </c>
      <c r="D2948" s="26" t="str">
        <f t="shared" si="182"/>
        <v/>
      </c>
      <c r="E2948" s="29"/>
      <c r="F2948" s="22"/>
      <c r="G2948" s="22"/>
      <c r="H2948" s="22"/>
      <c r="I2948" s="24"/>
      <c r="J2948" s="24"/>
      <c r="K2948" s="24"/>
      <c r="L2948" s="24"/>
      <c r="M2948" s="27" t="str">
        <f t="shared" si="183"/>
        <v/>
      </c>
      <c r="N2948" s="25"/>
      <c r="O2948" s="22"/>
      <c r="P2948" s="24"/>
      <c r="Q2948" s="26"/>
    </row>
    <row r="2949" spans="1:17" ht="15" x14ac:dyDescent="0.15">
      <c r="A2949" s="22"/>
      <c r="B2949" s="26" t="str">
        <f t="shared" si="180"/>
        <v/>
      </c>
      <c r="C2949" s="26" t="str">
        <f t="shared" si="181"/>
        <v/>
      </c>
      <c r="D2949" s="26" t="str">
        <f t="shared" si="182"/>
        <v/>
      </c>
      <c r="E2949" s="29"/>
      <c r="F2949" s="22"/>
      <c r="G2949" s="22"/>
      <c r="H2949" s="22"/>
      <c r="I2949" s="24"/>
      <c r="J2949" s="24"/>
      <c r="K2949" s="24"/>
      <c r="L2949" s="24"/>
      <c r="M2949" s="27" t="str">
        <f t="shared" si="183"/>
        <v/>
      </c>
      <c r="N2949" s="25"/>
      <c r="O2949" s="22"/>
      <c r="P2949" s="24"/>
      <c r="Q2949" s="26"/>
    </row>
    <row r="2950" spans="1:17" ht="15" x14ac:dyDescent="0.15">
      <c r="A2950" s="22"/>
      <c r="B2950" s="26" t="str">
        <f t="shared" si="180"/>
        <v/>
      </c>
      <c r="C2950" s="26" t="str">
        <f t="shared" si="181"/>
        <v/>
      </c>
      <c r="D2950" s="26" t="str">
        <f t="shared" si="182"/>
        <v/>
      </c>
      <c r="E2950" s="29"/>
      <c r="F2950" s="22"/>
      <c r="G2950" s="22"/>
      <c r="H2950" s="22"/>
      <c r="I2950" s="24"/>
      <c r="J2950" s="24"/>
      <c r="K2950" s="24"/>
      <c r="L2950" s="24"/>
      <c r="M2950" s="27" t="str">
        <f t="shared" si="183"/>
        <v/>
      </c>
      <c r="N2950" s="25"/>
      <c r="O2950" s="22"/>
      <c r="P2950" s="24"/>
      <c r="Q2950" s="26"/>
    </row>
    <row r="2951" spans="1:17" ht="15" x14ac:dyDescent="0.15">
      <c r="A2951" s="22"/>
      <c r="B2951" s="26" t="str">
        <f t="shared" ref="B2951:B3014" si="184">IFERROR(IF($A2951="","",LEFT($A2951,FIND(" | ",$A2951)-1)),"")</f>
        <v/>
      </c>
      <c r="C2951" s="26" t="str">
        <f t="shared" ref="C2951:C3014" si="185">IFERROR(IF($A2951="","",MID($A2951,FIND(" | ",$A2951)+3,FIND(" | ",$A2951,FIND(" | ",$A2951)+3)-FIND(" | ",$A2951)-3)),"")</f>
        <v/>
      </c>
      <c r="D2951" s="26" t="str">
        <f t="shared" ref="D2951:D3014" si="186">IFERROR(IF($A2951="","",RIGHT($A2951,LEN($A2951)-FIND(" | ",$A2951,FIND(" | ",$A2951)+3)-2)),"")</f>
        <v/>
      </c>
      <c r="E2951" s="29"/>
      <c r="F2951" s="22"/>
      <c r="G2951" s="22"/>
      <c r="H2951" s="22"/>
      <c r="I2951" s="24"/>
      <c r="J2951" s="24"/>
      <c r="K2951" s="24"/>
      <c r="L2951" s="24"/>
      <c r="M2951" s="27" t="str">
        <f t="shared" ref="M2951:M3014" si="187">IF($B2951="","",SUM($J2951,-$K2951,$L2951))</f>
        <v/>
      </c>
      <c r="N2951" s="25"/>
      <c r="O2951" s="22"/>
      <c r="P2951" s="24"/>
      <c r="Q2951" s="26"/>
    </row>
    <row r="2952" spans="1:17" ht="15" x14ac:dyDescent="0.15">
      <c r="A2952" s="22"/>
      <c r="B2952" s="26" t="str">
        <f t="shared" si="184"/>
        <v/>
      </c>
      <c r="C2952" s="26" t="str">
        <f t="shared" si="185"/>
        <v/>
      </c>
      <c r="D2952" s="26" t="str">
        <f t="shared" si="186"/>
        <v/>
      </c>
      <c r="E2952" s="29"/>
      <c r="F2952" s="22"/>
      <c r="G2952" s="22"/>
      <c r="H2952" s="22"/>
      <c r="I2952" s="24"/>
      <c r="J2952" s="24"/>
      <c r="K2952" s="24"/>
      <c r="L2952" s="24"/>
      <c r="M2952" s="27" t="str">
        <f t="shared" si="187"/>
        <v/>
      </c>
      <c r="N2952" s="25"/>
      <c r="O2952" s="22"/>
      <c r="P2952" s="24"/>
      <c r="Q2952" s="26"/>
    </row>
    <row r="2953" spans="1:17" ht="15" x14ac:dyDescent="0.15">
      <c r="A2953" s="22"/>
      <c r="B2953" s="26" t="str">
        <f t="shared" si="184"/>
        <v/>
      </c>
      <c r="C2953" s="26" t="str">
        <f t="shared" si="185"/>
        <v/>
      </c>
      <c r="D2953" s="26" t="str">
        <f t="shared" si="186"/>
        <v/>
      </c>
      <c r="E2953" s="29"/>
      <c r="F2953" s="22"/>
      <c r="G2953" s="22"/>
      <c r="H2953" s="22"/>
      <c r="I2953" s="24"/>
      <c r="J2953" s="24"/>
      <c r="K2953" s="24"/>
      <c r="L2953" s="24"/>
      <c r="M2953" s="27" t="str">
        <f t="shared" si="187"/>
        <v/>
      </c>
      <c r="N2953" s="25"/>
      <c r="O2953" s="22"/>
      <c r="P2953" s="24"/>
      <c r="Q2953" s="26"/>
    </row>
    <row r="2954" spans="1:17" ht="15" x14ac:dyDescent="0.15">
      <c r="A2954" s="22"/>
      <c r="B2954" s="26" t="str">
        <f t="shared" si="184"/>
        <v/>
      </c>
      <c r="C2954" s="26" t="str">
        <f t="shared" si="185"/>
        <v/>
      </c>
      <c r="D2954" s="26" t="str">
        <f t="shared" si="186"/>
        <v/>
      </c>
      <c r="E2954" s="29"/>
      <c r="F2954" s="22"/>
      <c r="G2954" s="22"/>
      <c r="H2954" s="22"/>
      <c r="I2954" s="24"/>
      <c r="J2954" s="24"/>
      <c r="K2954" s="24"/>
      <c r="L2954" s="24"/>
      <c r="M2954" s="27" t="str">
        <f t="shared" si="187"/>
        <v/>
      </c>
      <c r="N2954" s="25"/>
      <c r="O2954" s="22"/>
      <c r="P2954" s="24"/>
      <c r="Q2954" s="26"/>
    </row>
    <row r="2955" spans="1:17" ht="15" x14ac:dyDescent="0.15">
      <c r="A2955" s="22"/>
      <c r="B2955" s="26" t="str">
        <f t="shared" si="184"/>
        <v/>
      </c>
      <c r="C2955" s="26" t="str">
        <f t="shared" si="185"/>
        <v/>
      </c>
      <c r="D2955" s="26" t="str">
        <f t="shared" si="186"/>
        <v/>
      </c>
      <c r="E2955" s="29"/>
      <c r="F2955" s="22"/>
      <c r="G2955" s="22"/>
      <c r="H2955" s="22"/>
      <c r="I2955" s="24"/>
      <c r="J2955" s="24"/>
      <c r="K2955" s="24"/>
      <c r="L2955" s="24"/>
      <c r="M2955" s="27" t="str">
        <f t="shared" si="187"/>
        <v/>
      </c>
      <c r="N2955" s="25"/>
      <c r="O2955" s="22"/>
      <c r="P2955" s="24"/>
      <c r="Q2955" s="26"/>
    </row>
    <row r="2956" spans="1:17" ht="15" x14ac:dyDescent="0.15">
      <c r="A2956" s="22"/>
      <c r="B2956" s="26" t="str">
        <f t="shared" si="184"/>
        <v/>
      </c>
      <c r="C2956" s="26" t="str">
        <f t="shared" si="185"/>
        <v/>
      </c>
      <c r="D2956" s="26" t="str">
        <f t="shared" si="186"/>
        <v/>
      </c>
      <c r="E2956" s="29"/>
      <c r="F2956" s="22"/>
      <c r="G2956" s="22"/>
      <c r="H2956" s="22"/>
      <c r="I2956" s="24"/>
      <c r="J2956" s="24"/>
      <c r="K2956" s="24"/>
      <c r="L2956" s="24"/>
      <c r="M2956" s="27" t="str">
        <f t="shared" si="187"/>
        <v/>
      </c>
      <c r="N2956" s="25"/>
      <c r="O2956" s="22"/>
      <c r="P2956" s="24"/>
      <c r="Q2956" s="26"/>
    </row>
    <row r="2957" spans="1:17" ht="15" x14ac:dyDescent="0.15">
      <c r="A2957" s="22"/>
      <c r="B2957" s="26" t="str">
        <f t="shared" si="184"/>
        <v/>
      </c>
      <c r="C2957" s="26" t="str">
        <f t="shared" si="185"/>
        <v/>
      </c>
      <c r="D2957" s="26" t="str">
        <f t="shared" si="186"/>
        <v/>
      </c>
      <c r="E2957" s="29"/>
      <c r="F2957" s="22"/>
      <c r="G2957" s="22"/>
      <c r="H2957" s="22"/>
      <c r="I2957" s="24"/>
      <c r="J2957" s="24"/>
      <c r="K2957" s="24"/>
      <c r="L2957" s="24"/>
      <c r="M2957" s="27" t="str">
        <f t="shared" si="187"/>
        <v/>
      </c>
      <c r="N2957" s="25"/>
      <c r="O2957" s="22"/>
      <c r="P2957" s="24"/>
      <c r="Q2957" s="26"/>
    </row>
    <row r="2958" spans="1:17" ht="15" x14ac:dyDescent="0.15">
      <c r="A2958" s="22"/>
      <c r="B2958" s="26" t="str">
        <f t="shared" si="184"/>
        <v/>
      </c>
      <c r="C2958" s="26" t="str">
        <f t="shared" si="185"/>
        <v/>
      </c>
      <c r="D2958" s="26" t="str">
        <f t="shared" si="186"/>
        <v/>
      </c>
      <c r="E2958" s="29"/>
      <c r="F2958" s="22"/>
      <c r="G2958" s="22"/>
      <c r="H2958" s="22"/>
      <c r="I2958" s="24"/>
      <c r="J2958" s="24"/>
      <c r="K2958" s="24"/>
      <c r="L2958" s="24"/>
      <c r="M2958" s="27" t="str">
        <f t="shared" si="187"/>
        <v/>
      </c>
      <c r="N2958" s="25"/>
      <c r="O2958" s="22"/>
      <c r="P2958" s="24"/>
      <c r="Q2958" s="26"/>
    </row>
    <row r="2959" spans="1:17" ht="15" x14ac:dyDescent="0.15">
      <c r="A2959" s="22"/>
      <c r="B2959" s="26" t="str">
        <f t="shared" si="184"/>
        <v/>
      </c>
      <c r="C2959" s="26" t="str">
        <f t="shared" si="185"/>
        <v/>
      </c>
      <c r="D2959" s="26" t="str">
        <f t="shared" si="186"/>
        <v/>
      </c>
      <c r="E2959" s="29"/>
      <c r="F2959" s="22"/>
      <c r="G2959" s="22"/>
      <c r="H2959" s="22"/>
      <c r="I2959" s="24"/>
      <c r="J2959" s="24"/>
      <c r="K2959" s="24"/>
      <c r="L2959" s="24"/>
      <c r="M2959" s="27" t="str">
        <f t="shared" si="187"/>
        <v/>
      </c>
      <c r="N2959" s="25"/>
      <c r="O2959" s="22"/>
      <c r="P2959" s="24"/>
      <c r="Q2959" s="26"/>
    </row>
    <row r="2960" spans="1:17" ht="15" x14ac:dyDescent="0.15">
      <c r="A2960" s="22"/>
      <c r="B2960" s="26" t="str">
        <f t="shared" si="184"/>
        <v/>
      </c>
      <c r="C2960" s="26" t="str">
        <f t="shared" si="185"/>
        <v/>
      </c>
      <c r="D2960" s="26" t="str">
        <f t="shared" si="186"/>
        <v/>
      </c>
      <c r="E2960" s="29"/>
      <c r="F2960" s="22"/>
      <c r="G2960" s="22"/>
      <c r="H2960" s="22"/>
      <c r="I2960" s="24"/>
      <c r="J2960" s="24"/>
      <c r="K2960" s="24"/>
      <c r="L2960" s="24"/>
      <c r="M2960" s="27" t="str">
        <f t="shared" si="187"/>
        <v/>
      </c>
      <c r="N2960" s="25"/>
      <c r="O2960" s="22"/>
      <c r="P2960" s="24"/>
      <c r="Q2960" s="26"/>
    </row>
    <row r="2961" spans="1:17" ht="15" x14ac:dyDescent="0.15">
      <c r="A2961" s="22"/>
      <c r="B2961" s="26" t="str">
        <f t="shared" si="184"/>
        <v/>
      </c>
      <c r="C2961" s="26" t="str">
        <f t="shared" si="185"/>
        <v/>
      </c>
      <c r="D2961" s="26" t="str">
        <f t="shared" si="186"/>
        <v/>
      </c>
      <c r="E2961" s="29"/>
      <c r="F2961" s="22"/>
      <c r="G2961" s="22"/>
      <c r="H2961" s="22"/>
      <c r="I2961" s="24"/>
      <c r="J2961" s="24"/>
      <c r="K2961" s="24"/>
      <c r="L2961" s="24"/>
      <c r="M2961" s="27" t="str">
        <f t="shared" si="187"/>
        <v/>
      </c>
      <c r="N2961" s="25"/>
      <c r="O2961" s="22"/>
      <c r="P2961" s="24"/>
      <c r="Q2961" s="26"/>
    </row>
    <row r="2962" spans="1:17" ht="15" x14ac:dyDescent="0.15">
      <c r="A2962" s="22"/>
      <c r="B2962" s="26" t="str">
        <f t="shared" si="184"/>
        <v/>
      </c>
      <c r="C2962" s="26" t="str">
        <f t="shared" si="185"/>
        <v/>
      </c>
      <c r="D2962" s="26" t="str">
        <f t="shared" si="186"/>
        <v/>
      </c>
      <c r="E2962" s="29"/>
      <c r="F2962" s="22"/>
      <c r="G2962" s="22"/>
      <c r="H2962" s="22"/>
      <c r="I2962" s="24"/>
      <c r="J2962" s="24"/>
      <c r="K2962" s="24"/>
      <c r="L2962" s="24"/>
      <c r="M2962" s="27" t="str">
        <f t="shared" si="187"/>
        <v/>
      </c>
      <c r="N2962" s="25"/>
      <c r="O2962" s="22"/>
      <c r="P2962" s="24"/>
      <c r="Q2962" s="26"/>
    </row>
    <row r="2963" spans="1:17" ht="15" x14ac:dyDescent="0.15">
      <c r="A2963" s="22"/>
      <c r="B2963" s="26" t="str">
        <f t="shared" si="184"/>
        <v/>
      </c>
      <c r="C2963" s="26" t="str">
        <f t="shared" si="185"/>
        <v/>
      </c>
      <c r="D2963" s="26" t="str">
        <f t="shared" si="186"/>
        <v/>
      </c>
      <c r="E2963" s="29"/>
      <c r="F2963" s="22"/>
      <c r="G2963" s="22"/>
      <c r="H2963" s="22"/>
      <c r="I2963" s="24"/>
      <c r="J2963" s="24"/>
      <c r="K2963" s="24"/>
      <c r="L2963" s="24"/>
      <c r="M2963" s="27" t="str">
        <f t="shared" si="187"/>
        <v/>
      </c>
      <c r="N2963" s="25"/>
      <c r="O2963" s="22"/>
      <c r="P2963" s="24"/>
      <c r="Q2963" s="26"/>
    </row>
    <row r="2964" spans="1:17" ht="15" x14ac:dyDescent="0.15">
      <c r="A2964" s="22"/>
      <c r="B2964" s="26" t="str">
        <f t="shared" si="184"/>
        <v/>
      </c>
      <c r="C2964" s="26" t="str">
        <f t="shared" si="185"/>
        <v/>
      </c>
      <c r="D2964" s="26" t="str">
        <f t="shared" si="186"/>
        <v/>
      </c>
      <c r="E2964" s="29"/>
      <c r="F2964" s="22"/>
      <c r="G2964" s="22"/>
      <c r="H2964" s="22"/>
      <c r="I2964" s="24"/>
      <c r="J2964" s="24"/>
      <c r="K2964" s="24"/>
      <c r="L2964" s="24"/>
      <c r="M2964" s="27" t="str">
        <f t="shared" si="187"/>
        <v/>
      </c>
      <c r="N2964" s="25"/>
      <c r="O2964" s="22"/>
      <c r="P2964" s="24"/>
      <c r="Q2964" s="26"/>
    </row>
    <row r="2965" spans="1:17" ht="15" x14ac:dyDescent="0.15">
      <c r="A2965" s="22"/>
      <c r="B2965" s="26" t="str">
        <f t="shared" si="184"/>
        <v/>
      </c>
      <c r="C2965" s="26" t="str">
        <f t="shared" si="185"/>
        <v/>
      </c>
      <c r="D2965" s="26" t="str">
        <f t="shared" si="186"/>
        <v/>
      </c>
      <c r="E2965" s="29"/>
      <c r="F2965" s="22"/>
      <c r="G2965" s="22"/>
      <c r="H2965" s="22"/>
      <c r="I2965" s="24"/>
      <c r="J2965" s="24"/>
      <c r="K2965" s="24"/>
      <c r="L2965" s="24"/>
      <c r="M2965" s="27" t="str">
        <f t="shared" si="187"/>
        <v/>
      </c>
      <c r="N2965" s="25"/>
      <c r="O2965" s="22"/>
      <c r="P2965" s="24"/>
      <c r="Q2965" s="26"/>
    </row>
    <row r="2966" spans="1:17" ht="15" x14ac:dyDescent="0.15">
      <c r="A2966" s="22"/>
      <c r="B2966" s="26" t="str">
        <f t="shared" si="184"/>
        <v/>
      </c>
      <c r="C2966" s="26" t="str">
        <f t="shared" si="185"/>
        <v/>
      </c>
      <c r="D2966" s="26" t="str">
        <f t="shared" si="186"/>
        <v/>
      </c>
      <c r="E2966" s="29"/>
      <c r="F2966" s="22"/>
      <c r="G2966" s="22"/>
      <c r="H2966" s="22"/>
      <c r="I2966" s="24"/>
      <c r="J2966" s="24"/>
      <c r="K2966" s="24"/>
      <c r="L2966" s="24"/>
      <c r="M2966" s="27" t="str">
        <f t="shared" si="187"/>
        <v/>
      </c>
      <c r="N2966" s="25"/>
      <c r="O2966" s="22"/>
      <c r="P2966" s="24"/>
      <c r="Q2966" s="26"/>
    </row>
    <row r="2967" spans="1:17" ht="15" x14ac:dyDescent="0.15">
      <c r="A2967" s="22"/>
      <c r="B2967" s="26" t="str">
        <f t="shared" si="184"/>
        <v/>
      </c>
      <c r="C2967" s="26" t="str">
        <f t="shared" si="185"/>
        <v/>
      </c>
      <c r="D2967" s="26" t="str">
        <f t="shared" si="186"/>
        <v/>
      </c>
      <c r="E2967" s="29"/>
      <c r="F2967" s="22"/>
      <c r="G2967" s="22"/>
      <c r="H2967" s="22"/>
      <c r="I2967" s="24"/>
      <c r="J2967" s="24"/>
      <c r="K2967" s="24"/>
      <c r="L2967" s="24"/>
      <c r="M2967" s="27" t="str">
        <f t="shared" si="187"/>
        <v/>
      </c>
      <c r="N2967" s="25"/>
      <c r="O2967" s="22"/>
      <c r="P2967" s="24"/>
      <c r="Q2967" s="26"/>
    </row>
    <row r="2968" spans="1:17" ht="15" x14ac:dyDescent="0.15">
      <c r="A2968" s="22"/>
      <c r="B2968" s="26" t="str">
        <f t="shared" si="184"/>
        <v/>
      </c>
      <c r="C2968" s="26" t="str">
        <f t="shared" si="185"/>
        <v/>
      </c>
      <c r="D2968" s="26" t="str">
        <f t="shared" si="186"/>
        <v/>
      </c>
      <c r="E2968" s="29"/>
      <c r="F2968" s="22"/>
      <c r="G2968" s="22"/>
      <c r="H2968" s="22"/>
      <c r="I2968" s="24"/>
      <c r="J2968" s="24"/>
      <c r="K2968" s="24"/>
      <c r="L2968" s="24"/>
      <c r="M2968" s="27" t="str">
        <f t="shared" si="187"/>
        <v/>
      </c>
      <c r="N2968" s="25"/>
      <c r="O2968" s="22"/>
      <c r="P2968" s="24"/>
      <c r="Q2968" s="26"/>
    </row>
    <row r="2969" spans="1:17" ht="15" x14ac:dyDescent="0.15">
      <c r="A2969" s="22"/>
      <c r="B2969" s="26" t="str">
        <f t="shared" si="184"/>
        <v/>
      </c>
      <c r="C2969" s="26" t="str">
        <f t="shared" si="185"/>
        <v/>
      </c>
      <c r="D2969" s="26" t="str">
        <f t="shared" si="186"/>
        <v/>
      </c>
      <c r="E2969" s="29"/>
      <c r="F2969" s="22"/>
      <c r="G2969" s="22"/>
      <c r="H2969" s="22"/>
      <c r="I2969" s="24"/>
      <c r="J2969" s="24"/>
      <c r="K2969" s="24"/>
      <c r="L2969" s="24"/>
      <c r="M2969" s="27" t="str">
        <f t="shared" si="187"/>
        <v/>
      </c>
      <c r="N2969" s="25"/>
      <c r="O2969" s="22"/>
      <c r="P2969" s="24"/>
      <c r="Q2969" s="26"/>
    </row>
    <row r="2970" spans="1:17" ht="15" x14ac:dyDescent="0.15">
      <c r="A2970" s="22"/>
      <c r="B2970" s="26" t="str">
        <f t="shared" si="184"/>
        <v/>
      </c>
      <c r="C2970" s="26" t="str">
        <f t="shared" si="185"/>
        <v/>
      </c>
      <c r="D2970" s="26" t="str">
        <f t="shared" si="186"/>
        <v/>
      </c>
      <c r="E2970" s="29"/>
      <c r="F2970" s="22"/>
      <c r="G2970" s="22"/>
      <c r="H2970" s="22"/>
      <c r="I2970" s="24"/>
      <c r="J2970" s="24"/>
      <c r="K2970" s="24"/>
      <c r="L2970" s="24"/>
      <c r="M2970" s="27" t="str">
        <f t="shared" si="187"/>
        <v/>
      </c>
      <c r="N2970" s="25"/>
      <c r="O2970" s="22"/>
      <c r="P2970" s="24"/>
      <c r="Q2970" s="26"/>
    </row>
    <row r="2971" spans="1:17" ht="15" x14ac:dyDescent="0.15">
      <c r="A2971" s="22"/>
      <c r="B2971" s="26" t="str">
        <f t="shared" si="184"/>
        <v/>
      </c>
      <c r="C2971" s="26" t="str">
        <f t="shared" si="185"/>
        <v/>
      </c>
      <c r="D2971" s="26" t="str">
        <f t="shared" si="186"/>
        <v/>
      </c>
      <c r="E2971" s="29"/>
      <c r="F2971" s="22"/>
      <c r="G2971" s="22"/>
      <c r="H2971" s="22"/>
      <c r="I2971" s="24"/>
      <c r="J2971" s="24"/>
      <c r="K2971" s="24"/>
      <c r="L2971" s="24"/>
      <c r="M2971" s="27" t="str">
        <f t="shared" si="187"/>
        <v/>
      </c>
      <c r="N2971" s="25"/>
      <c r="O2971" s="22"/>
      <c r="P2971" s="24"/>
      <c r="Q2971" s="26"/>
    </row>
    <row r="2972" spans="1:17" ht="15" x14ac:dyDescent="0.15">
      <c r="A2972" s="22"/>
      <c r="B2972" s="26" t="str">
        <f t="shared" si="184"/>
        <v/>
      </c>
      <c r="C2972" s="26" t="str">
        <f t="shared" si="185"/>
        <v/>
      </c>
      <c r="D2972" s="26" t="str">
        <f t="shared" si="186"/>
        <v/>
      </c>
      <c r="E2972" s="29"/>
      <c r="F2972" s="22"/>
      <c r="G2972" s="22"/>
      <c r="H2972" s="22"/>
      <c r="I2972" s="24"/>
      <c r="J2972" s="24"/>
      <c r="K2972" s="24"/>
      <c r="L2972" s="24"/>
      <c r="M2972" s="27" t="str">
        <f t="shared" si="187"/>
        <v/>
      </c>
      <c r="N2972" s="25"/>
      <c r="O2972" s="22"/>
      <c r="P2972" s="24"/>
      <c r="Q2972" s="26"/>
    </row>
    <row r="2973" spans="1:17" ht="15" x14ac:dyDescent="0.15">
      <c r="A2973" s="22"/>
      <c r="B2973" s="26" t="str">
        <f t="shared" si="184"/>
        <v/>
      </c>
      <c r="C2973" s="26" t="str">
        <f t="shared" si="185"/>
        <v/>
      </c>
      <c r="D2973" s="26" t="str">
        <f t="shared" si="186"/>
        <v/>
      </c>
      <c r="E2973" s="29"/>
      <c r="F2973" s="22"/>
      <c r="G2973" s="22"/>
      <c r="H2973" s="22"/>
      <c r="I2973" s="24"/>
      <c r="J2973" s="24"/>
      <c r="K2973" s="24"/>
      <c r="L2973" s="24"/>
      <c r="M2973" s="27" t="str">
        <f t="shared" si="187"/>
        <v/>
      </c>
      <c r="N2973" s="25"/>
      <c r="O2973" s="22"/>
      <c r="P2973" s="24"/>
      <c r="Q2973" s="26"/>
    </row>
    <row r="2974" spans="1:17" ht="15" x14ac:dyDescent="0.15">
      <c r="A2974" s="22"/>
      <c r="B2974" s="26" t="str">
        <f t="shared" si="184"/>
        <v/>
      </c>
      <c r="C2974" s="26" t="str">
        <f t="shared" si="185"/>
        <v/>
      </c>
      <c r="D2974" s="26" t="str">
        <f t="shared" si="186"/>
        <v/>
      </c>
      <c r="E2974" s="29"/>
      <c r="F2974" s="22"/>
      <c r="G2974" s="22"/>
      <c r="H2974" s="22"/>
      <c r="I2974" s="24"/>
      <c r="J2974" s="24"/>
      <c r="K2974" s="24"/>
      <c r="L2974" s="24"/>
      <c r="M2974" s="27" t="str">
        <f t="shared" si="187"/>
        <v/>
      </c>
      <c r="N2974" s="25"/>
      <c r="O2974" s="22"/>
      <c r="P2974" s="24"/>
      <c r="Q2974" s="26"/>
    </row>
    <row r="2975" spans="1:17" ht="15" x14ac:dyDescent="0.15">
      <c r="A2975" s="22"/>
      <c r="B2975" s="26" t="str">
        <f t="shared" si="184"/>
        <v/>
      </c>
      <c r="C2975" s="26" t="str">
        <f t="shared" si="185"/>
        <v/>
      </c>
      <c r="D2975" s="26" t="str">
        <f t="shared" si="186"/>
        <v/>
      </c>
      <c r="E2975" s="29"/>
      <c r="F2975" s="22"/>
      <c r="G2975" s="22"/>
      <c r="H2975" s="22"/>
      <c r="I2975" s="24"/>
      <c r="J2975" s="24"/>
      <c r="K2975" s="24"/>
      <c r="L2975" s="24"/>
      <c r="M2975" s="27" t="str">
        <f t="shared" si="187"/>
        <v/>
      </c>
      <c r="N2975" s="25"/>
      <c r="O2975" s="22"/>
      <c r="P2975" s="24"/>
      <c r="Q2975" s="26"/>
    </row>
    <row r="2976" spans="1:17" ht="15" x14ac:dyDescent="0.15">
      <c r="A2976" s="22"/>
      <c r="B2976" s="26" t="str">
        <f t="shared" si="184"/>
        <v/>
      </c>
      <c r="C2976" s="26" t="str">
        <f t="shared" si="185"/>
        <v/>
      </c>
      <c r="D2976" s="26" t="str">
        <f t="shared" si="186"/>
        <v/>
      </c>
      <c r="E2976" s="29"/>
      <c r="F2976" s="22"/>
      <c r="G2976" s="22"/>
      <c r="H2976" s="22"/>
      <c r="I2976" s="24"/>
      <c r="J2976" s="24"/>
      <c r="K2976" s="24"/>
      <c r="L2976" s="24"/>
      <c r="M2976" s="27" t="str">
        <f t="shared" si="187"/>
        <v/>
      </c>
      <c r="N2976" s="25"/>
      <c r="O2976" s="22"/>
      <c r="P2976" s="24"/>
      <c r="Q2976" s="26"/>
    </row>
    <row r="2977" spans="1:17" ht="15" x14ac:dyDescent="0.15">
      <c r="A2977" s="22"/>
      <c r="B2977" s="26" t="str">
        <f t="shared" si="184"/>
        <v/>
      </c>
      <c r="C2977" s="26" t="str">
        <f t="shared" si="185"/>
        <v/>
      </c>
      <c r="D2977" s="26" t="str">
        <f t="shared" si="186"/>
        <v/>
      </c>
      <c r="E2977" s="29"/>
      <c r="F2977" s="22"/>
      <c r="G2977" s="22"/>
      <c r="H2977" s="22"/>
      <c r="I2977" s="24"/>
      <c r="J2977" s="24"/>
      <c r="K2977" s="24"/>
      <c r="L2977" s="24"/>
      <c r="M2977" s="27" t="str">
        <f t="shared" si="187"/>
        <v/>
      </c>
      <c r="N2977" s="25"/>
      <c r="O2977" s="22"/>
      <c r="P2977" s="24"/>
      <c r="Q2977" s="26"/>
    </row>
    <row r="2978" spans="1:17" ht="15" x14ac:dyDescent="0.15">
      <c r="A2978" s="22"/>
      <c r="B2978" s="26" t="str">
        <f t="shared" si="184"/>
        <v/>
      </c>
      <c r="C2978" s="26" t="str">
        <f t="shared" si="185"/>
        <v/>
      </c>
      <c r="D2978" s="26" t="str">
        <f t="shared" si="186"/>
        <v/>
      </c>
      <c r="E2978" s="29"/>
      <c r="F2978" s="22"/>
      <c r="G2978" s="22"/>
      <c r="H2978" s="22"/>
      <c r="I2978" s="24"/>
      <c r="J2978" s="24"/>
      <c r="K2978" s="24"/>
      <c r="L2978" s="24"/>
      <c r="M2978" s="27" t="str">
        <f t="shared" si="187"/>
        <v/>
      </c>
      <c r="N2978" s="25"/>
      <c r="O2978" s="22"/>
      <c r="P2978" s="24"/>
      <c r="Q2978" s="26"/>
    </row>
    <row r="2979" spans="1:17" ht="15" x14ac:dyDescent="0.15">
      <c r="A2979" s="22"/>
      <c r="B2979" s="26" t="str">
        <f t="shared" si="184"/>
        <v/>
      </c>
      <c r="C2979" s="26" t="str">
        <f t="shared" si="185"/>
        <v/>
      </c>
      <c r="D2979" s="26" t="str">
        <f t="shared" si="186"/>
        <v/>
      </c>
      <c r="E2979" s="29"/>
      <c r="F2979" s="22"/>
      <c r="G2979" s="22"/>
      <c r="H2979" s="22"/>
      <c r="I2979" s="24"/>
      <c r="J2979" s="24"/>
      <c r="K2979" s="24"/>
      <c r="L2979" s="24"/>
      <c r="M2979" s="27" t="str">
        <f t="shared" si="187"/>
        <v/>
      </c>
      <c r="N2979" s="25"/>
      <c r="O2979" s="22"/>
      <c r="P2979" s="24"/>
      <c r="Q2979" s="26"/>
    </row>
    <row r="2980" spans="1:17" ht="15" x14ac:dyDescent="0.15">
      <c r="A2980" s="22"/>
      <c r="B2980" s="26" t="str">
        <f t="shared" si="184"/>
        <v/>
      </c>
      <c r="C2980" s="26" t="str">
        <f t="shared" si="185"/>
        <v/>
      </c>
      <c r="D2980" s="26" t="str">
        <f t="shared" si="186"/>
        <v/>
      </c>
      <c r="E2980" s="29"/>
      <c r="F2980" s="22"/>
      <c r="G2980" s="22"/>
      <c r="H2980" s="22"/>
      <c r="I2980" s="24"/>
      <c r="J2980" s="24"/>
      <c r="K2980" s="24"/>
      <c r="L2980" s="24"/>
      <c r="M2980" s="27" t="str">
        <f t="shared" si="187"/>
        <v/>
      </c>
      <c r="N2980" s="25"/>
      <c r="O2980" s="22"/>
      <c r="P2980" s="24"/>
      <c r="Q2980" s="26"/>
    </row>
    <row r="2981" spans="1:17" ht="15" x14ac:dyDescent="0.15">
      <c r="A2981" s="22"/>
      <c r="B2981" s="26" t="str">
        <f t="shared" si="184"/>
        <v/>
      </c>
      <c r="C2981" s="26" t="str">
        <f t="shared" si="185"/>
        <v/>
      </c>
      <c r="D2981" s="26" t="str">
        <f t="shared" si="186"/>
        <v/>
      </c>
      <c r="E2981" s="29"/>
      <c r="F2981" s="22"/>
      <c r="G2981" s="22"/>
      <c r="H2981" s="22"/>
      <c r="I2981" s="24"/>
      <c r="J2981" s="24"/>
      <c r="K2981" s="24"/>
      <c r="L2981" s="24"/>
      <c r="M2981" s="27" t="str">
        <f t="shared" si="187"/>
        <v/>
      </c>
      <c r="N2981" s="25"/>
      <c r="O2981" s="22"/>
      <c r="P2981" s="24"/>
      <c r="Q2981" s="26"/>
    </row>
    <row r="2982" spans="1:17" ht="15" x14ac:dyDescent="0.15">
      <c r="A2982" s="22"/>
      <c r="B2982" s="26" t="str">
        <f t="shared" si="184"/>
        <v/>
      </c>
      <c r="C2982" s="26" t="str">
        <f t="shared" si="185"/>
        <v/>
      </c>
      <c r="D2982" s="26" t="str">
        <f t="shared" si="186"/>
        <v/>
      </c>
      <c r="E2982" s="29"/>
      <c r="F2982" s="22"/>
      <c r="G2982" s="22"/>
      <c r="H2982" s="22"/>
      <c r="I2982" s="24"/>
      <c r="J2982" s="24"/>
      <c r="K2982" s="24"/>
      <c r="L2982" s="24"/>
      <c r="M2982" s="27" t="str">
        <f t="shared" si="187"/>
        <v/>
      </c>
      <c r="N2982" s="25"/>
      <c r="O2982" s="22"/>
      <c r="P2982" s="24"/>
      <c r="Q2982" s="26"/>
    </row>
    <row r="2983" spans="1:17" ht="15" x14ac:dyDescent="0.15">
      <c r="A2983" s="22"/>
      <c r="B2983" s="26" t="str">
        <f t="shared" si="184"/>
        <v/>
      </c>
      <c r="C2983" s="26" t="str">
        <f t="shared" si="185"/>
        <v/>
      </c>
      <c r="D2983" s="26" t="str">
        <f t="shared" si="186"/>
        <v/>
      </c>
      <c r="E2983" s="29"/>
      <c r="F2983" s="22"/>
      <c r="G2983" s="22"/>
      <c r="H2983" s="22"/>
      <c r="I2983" s="24"/>
      <c r="J2983" s="24"/>
      <c r="K2983" s="24"/>
      <c r="L2983" s="24"/>
      <c r="M2983" s="27" t="str">
        <f t="shared" si="187"/>
        <v/>
      </c>
      <c r="N2983" s="25"/>
      <c r="O2983" s="22"/>
      <c r="P2983" s="24"/>
      <c r="Q2983" s="26"/>
    </row>
    <row r="2984" spans="1:17" ht="15" x14ac:dyDescent="0.15">
      <c r="A2984" s="22"/>
      <c r="B2984" s="26" t="str">
        <f t="shared" si="184"/>
        <v/>
      </c>
      <c r="C2984" s="26" t="str">
        <f t="shared" si="185"/>
        <v/>
      </c>
      <c r="D2984" s="26" t="str">
        <f t="shared" si="186"/>
        <v/>
      </c>
      <c r="E2984" s="29"/>
      <c r="F2984" s="22"/>
      <c r="G2984" s="22"/>
      <c r="H2984" s="22"/>
      <c r="I2984" s="24"/>
      <c r="J2984" s="24"/>
      <c r="K2984" s="24"/>
      <c r="L2984" s="24"/>
      <c r="M2984" s="27" t="str">
        <f t="shared" si="187"/>
        <v/>
      </c>
      <c r="N2984" s="25"/>
      <c r="O2984" s="22"/>
      <c r="P2984" s="24"/>
      <c r="Q2984" s="26"/>
    </row>
    <row r="2985" spans="1:17" ht="15" x14ac:dyDescent="0.15">
      <c r="A2985" s="22"/>
      <c r="B2985" s="26" t="str">
        <f t="shared" si="184"/>
        <v/>
      </c>
      <c r="C2985" s="26" t="str">
        <f t="shared" si="185"/>
        <v/>
      </c>
      <c r="D2985" s="26" t="str">
        <f t="shared" si="186"/>
        <v/>
      </c>
      <c r="E2985" s="29"/>
      <c r="F2985" s="22"/>
      <c r="G2985" s="22"/>
      <c r="H2985" s="22"/>
      <c r="I2985" s="24"/>
      <c r="J2985" s="24"/>
      <c r="K2985" s="24"/>
      <c r="L2985" s="24"/>
      <c r="M2985" s="27" t="str">
        <f t="shared" si="187"/>
        <v/>
      </c>
      <c r="N2985" s="25"/>
      <c r="O2985" s="22"/>
      <c r="P2985" s="24"/>
      <c r="Q2985" s="26"/>
    </row>
    <row r="2986" spans="1:17" ht="15" x14ac:dyDescent="0.15">
      <c r="A2986" s="22"/>
      <c r="B2986" s="26" t="str">
        <f t="shared" si="184"/>
        <v/>
      </c>
      <c r="C2986" s="26" t="str">
        <f t="shared" si="185"/>
        <v/>
      </c>
      <c r="D2986" s="26" t="str">
        <f t="shared" si="186"/>
        <v/>
      </c>
      <c r="E2986" s="29"/>
      <c r="F2986" s="22"/>
      <c r="G2986" s="22"/>
      <c r="H2986" s="22"/>
      <c r="I2986" s="24"/>
      <c r="J2986" s="24"/>
      <c r="K2986" s="24"/>
      <c r="L2986" s="24"/>
      <c r="M2986" s="27" t="str">
        <f t="shared" si="187"/>
        <v/>
      </c>
      <c r="N2986" s="25"/>
      <c r="O2986" s="22"/>
      <c r="P2986" s="24"/>
      <c r="Q2986" s="26"/>
    </row>
    <row r="2987" spans="1:17" ht="15" x14ac:dyDescent="0.15">
      <c r="A2987" s="22"/>
      <c r="B2987" s="26" t="str">
        <f t="shared" si="184"/>
        <v/>
      </c>
      <c r="C2987" s="26" t="str">
        <f t="shared" si="185"/>
        <v/>
      </c>
      <c r="D2987" s="26" t="str">
        <f t="shared" si="186"/>
        <v/>
      </c>
      <c r="E2987" s="29"/>
      <c r="F2987" s="22"/>
      <c r="G2987" s="22"/>
      <c r="H2987" s="22"/>
      <c r="I2987" s="24"/>
      <c r="J2987" s="24"/>
      <c r="K2987" s="24"/>
      <c r="L2987" s="24"/>
      <c r="M2987" s="27" t="str">
        <f t="shared" si="187"/>
        <v/>
      </c>
      <c r="N2987" s="25"/>
      <c r="O2987" s="22"/>
      <c r="P2987" s="24"/>
      <c r="Q2987" s="26"/>
    </row>
    <row r="2988" spans="1:17" ht="15" x14ac:dyDescent="0.15">
      <c r="A2988" s="22"/>
      <c r="B2988" s="26" t="str">
        <f t="shared" si="184"/>
        <v/>
      </c>
      <c r="C2988" s="26" t="str">
        <f t="shared" si="185"/>
        <v/>
      </c>
      <c r="D2988" s="26" t="str">
        <f t="shared" si="186"/>
        <v/>
      </c>
      <c r="E2988" s="29"/>
      <c r="F2988" s="22"/>
      <c r="G2988" s="22"/>
      <c r="H2988" s="22"/>
      <c r="I2988" s="24"/>
      <c r="J2988" s="24"/>
      <c r="K2988" s="24"/>
      <c r="L2988" s="24"/>
      <c r="M2988" s="27" t="str">
        <f t="shared" si="187"/>
        <v/>
      </c>
      <c r="N2988" s="25"/>
      <c r="O2988" s="22"/>
      <c r="P2988" s="24"/>
      <c r="Q2988" s="26"/>
    </row>
    <row r="2989" spans="1:17" ht="15" x14ac:dyDescent="0.15">
      <c r="A2989" s="22"/>
      <c r="B2989" s="26" t="str">
        <f t="shared" si="184"/>
        <v/>
      </c>
      <c r="C2989" s="26" t="str">
        <f t="shared" si="185"/>
        <v/>
      </c>
      <c r="D2989" s="26" t="str">
        <f t="shared" si="186"/>
        <v/>
      </c>
      <c r="E2989" s="29"/>
      <c r="F2989" s="22"/>
      <c r="G2989" s="22"/>
      <c r="H2989" s="22"/>
      <c r="I2989" s="24"/>
      <c r="J2989" s="24"/>
      <c r="K2989" s="24"/>
      <c r="L2989" s="24"/>
      <c r="M2989" s="27" t="str">
        <f t="shared" si="187"/>
        <v/>
      </c>
      <c r="N2989" s="25"/>
      <c r="O2989" s="22"/>
      <c r="P2989" s="24"/>
      <c r="Q2989" s="26"/>
    </row>
    <row r="2990" spans="1:17" ht="15" x14ac:dyDescent="0.15">
      <c r="A2990" s="22"/>
      <c r="B2990" s="26" t="str">
        <f t="shared" si="184"/>
        <v/>
      </c>
      <c r="C2990" s="26" t="str">
        <f t="shared" si="185"/>
        <v/>
      </c>
      <c r="D2990" s="26" t="str">
        <f t="shared" si="186"/>
        <v/>
      </c>
      <c r="E2990" s="29"/>
      <c r="F2990" s="22"/>
      <c r="G2990" s="22"/>
      <c r="H2990" s="22"/>
      <c r="I2990" s="24"/>
      <c r="J2990" s="24"/>
      <c r="K2990" s="24"/>
      <c r="L2990" s="24"/>
      <c r="M2990" s="27" t="str">
        <f t="shared" si="187"/>
        <v/>
      </c>
      <c r="N2990" s="25"/>
      <c r="O2990" s="22"/>
      <c r="P2990" s="24"/>
      <c r="Q2990" s="26"/>
    </row>
    <row r="2991" spans="1:17" ht="15" x14ac:dyDescent="0.15">
      <c r="A2991" s="22"/>
      <c r="B2991" s="26" t="str">
        <f t="shared" si="184"/>
        <v/>
      </c>
      <c r="C2991" s="26" t="str">
        <f t="shared" si="185"/>
        <v/>
      </c>
      <c r="D2991" s="26" t="str">
        <f t="shared" si="186"/>
        <v/>
      </c>
      <c r="E2991" s="29"/>
      <c r="F2991" s="22"/>
      <c r="G2991" s="22"/>
      <c r="H2991" s="22"/>
      <c r="I2991" s="24"/>
      <c r="J2991" s="24"/>
      <c r="K2991" s="24"/>
      <c r="L2991" s="24"/>
      <c r="M2991" s="27" t="str">
        <f t="shared" si="187"/>
        <v/>
      </c>
      <c r="N2991" s="25"/>
      <c r="O2991" s="22"/>
      <c r="P2991" s="24"/>
      <c r="Q2991" s="26"/>
    </row>
    <row r="2992" spans="1:17" ht="15" x14ac:dyDescent="0.15">
      <c r="A2992" s="22"/>
      <c r="B2992" s="26" t="str">
        <f t="shared" si="184"/>
        <v/>
      </c>
      <c r="C2992" s="26" t="str">
        <f t="shared" si="185"/>
        <v/>
      </c>
      <c r="D2992" s="26" t="str">
        <f t="shared" si="186"/>
        <v/>
      </c>
      <c r="E2992" s="29"/>
      <c r="F2992" s="22"/>
      <c r="G2992" s="22"/>
      <c r="H2992" s="22"/>
      <c r="I2992" s="24"/>
      <c r="J2992" s="24"/>
      <c r="K2992" s="24"/>
      <c r="L2992" s="24"/>
      <c r="M2992" s="27" t="str">
        <f t="shared" si="187"/>
        <v/>
      </c>
      <c r="N2992" s="25"/>
      <c r="O2992" s="22"/>
      <c r="P2992" s="24"/>
      <c r="Q2992" s="26"/>
    </row>
    <row r="2993" spans="1:17" ht="15" x14ac:dyDescent="0.15">
      <c r="A2993" s="22"/>
      <c r="B2993" s="26" t="str">
        <f t="shared" si="184"/>
        <v/>
      </c>
      <c r="C2993" s="26" t="str">
        <f t="shared" si="185"/>
        <v/>
      </c>
      <c r="D2993" s="26" t="str">
        <f t="shared" si="186"/>
        <v/>
      </c>
      <c r="E2993" s="29"/>
      <c r="F2993" s="22"/>
      <c r="G2993" s="22"/>
      <c r="H2993" s="22"/>
      <c r="I2993" s="24"/>
      <c r="J2993" s="24"/>
      <c r="K2993" s="24"/>
      <c r="L2993" s="24"/>
      <c r="M2993" s="27" t="str">
        <f t="shared" si="187"/>
        <v/>
      </c>
      <c r="N2993" s="25"/>
      <c r="O2993" s="22"/>
      <c r="P2993" s="24"/>
      <c r="Q2993" s="26"/>
    </row>
    <row r="2994" spans="1:17" ht="15" x14ac:dyDescent="0.15">
      <c r="A2994" s="22"/>
      <c r="B2994" s="26" t="str">
        <f t="shared" si="184"/>
        <v/>
      </c>
      <c r="C2994" s="26" t="str">
        <f t="shared" si="185"/>
        <v/>
      </c>
      <c r="D2994" s="26" t="str">
        <f t="shared" si="186"/>
        <v/>
      </c>
      <c r="E2994" s="29"/>
      <c r="F2994" s="22"/>
      <c r="G2994" s="22"/>
      <c r="H2994" s="22"/>
      <c r="I2994" s="24"/>
      <c r="J2994" s="24"/>
      <c r="K2994" s="24"/>
      <c r="L2994" s="24"/>
      <c r="M2994" s="27" t="str">
        <f t="shared" si="187"/>
        <v/>
      </c>
      <c r="N2994" s="25"/>
      <c r="O2994" s="22"/>
      <c r="P2994" s="24"/>
      <c r="Q2994" s="26"/>
    </row>
    <row r="2995" spans="1:17" ht="15" x14ac:dyDescent="0.15">
      <c r="A2995" s="22"/>
      <c r="B2995" s="26" t="str">
        <f t="shared" si="184"/>
        <v/>
      </c>
      <c r="C2995" s="26" t="str">
        <f t="shared" si="185"/>
        <v/>
      </c>
      <c r="D2995" s="26" t="str">
        <f t="shared" si="186"/>
        <v/>
      </c>
      <c r="E2995" s="29"/>
      <c r="F2995" s="22"/>
      <c r="G2995" s="22"/>
      <c r="H2995" s="22"/>
      <c r="I2995" s="24"/>
      <c r="J2995" s="24"/>
      <c r="K2995" s="24"/>
      <c r="L2995" s="24"/>
      <c r="M2995" s="27" t="str">
        <f t="shared" si="187"/>
        <v/>
      </c>
      <c r="N2995" s="25"/>
      <c r="O2995" s="22"/>
      <c r="P2995" s="24"/>
      <c r="Q2995" s="26"/>
    </row>
    <row r="2996" spans="1:17" ht="15" x14ac:dyDescent="0.15">
      <c r="A2996" s="22"/>
      <c r="B2996" s="26" t="str">
        <f t="shared" si="184"/>
        <v/>
      </c>
      <c r="C2996" s="26" t="str">
        <f t="shared" si="185"/>
        <v/>
      </c>
      <c r="D2996" s="26" t="str">
        <f t="shared" si="186"/>
        <v/>
      </c>
      <c r="E2996" s="29"/>
      <c r="F2996" s="22"/>
      <c r="G2996" s="22"/>
      <c r="H2996" s="22"/>
      <c r="I2996" s="24"/>
      <c r="J2996" s="24"/>
      <c r="K2996" s="24"/>
      <c r="L2996" s="24"/>
      <c r="M2996" s="27" t="str">
        <f t="shared" si="187"/>
        <v/>
      </c>
      <c r="N2996" s="25"/>
      <c r="O2996" s="22"/>
      <c r="P2996" s="24"/>
      <c r="Q2996" s="26"/>
    </row>
    <row r="2997" spans="1:17" ht="15" x14ac:dyDescent="0.15">
      <c r="A2997" s="22"/>
      <c r="B2997" s="26" t="str">
        <f t="shared" si="184"/>
        <v/>
      </c>
      <c r="C2997" s="26" t="str">
        <f t="shared" si="185"/>
        <v/>
      </c>
      <c r="D2997" s="26" t="str">
        <f t="shared" si="186"/>
        <v/>
      </c>
      <c r="E2997" s="29"/>
      <c r="F2997" s="22"/>
      <c r="G2997" s="22"/>
      <c r="H2997" s="22"/>
      <c r="I2997" s="24"/>
      <c r="J2997" s="24"/>
      <c r="K2997" s="24"/>
      <c r="L2997" s="24"/>
      <c r="M2997" s="27" t="str">
        <f t="shared" si="187"/>
        <v/>
      </c>
      <c r="N2997" s="25"/>
      <c r="O2997" s="22"/>
      <c r="P2997" s="24"/>
      <c r="Q2997" s="26"/>
    </row>
    <row r="2998" spans="1:17" ht="15" x14ac:dyDescent="0.15">
      <c r="A2998" s="22"/>
      <c r="B2998" s="26" t="str">
        <f t="shared" si="184"/>
        <v/>
      </c>
      <c r="C2998" s="26" t="str">
        <f t="shared" si="185"/>
        <v/>
      </c>
      <c r="D2998" s="26" t="str">
        <f t="shared" si="186"/>
        <v/>
      </c>
      <c r="E2998" s="29"/>
      <c r="F2998" s="22"/>
      <c r="G2998" s="22"/>
      <c r="H2998" s="22"/>
      <c r="I2998" s="24"/>
      <c r="J2998" s="24"/>
      <c r="K2998" s="24"/>
      <c r="L2998" s="24"/>
      <c r="M2998" s="27" t="str">
        <f t="shared" si="187"/>
        <v/>
      </c>
      <c r="N2998" s="25"/>
      <c r="O2998" s="22"/>
      <c r="P2998" s="24"/>
      <c r="Q2998" s="26"/>
    </row>
    <row r="2999" spans="1:17" ht="15" x14ac:dyDescent="0.15">
      <c r="A2999" s="22"/>
      <c r="B2999" s="26" t="str">
        <f t="shared" si="184"/>
        <v/>
      </c>
      <c r="C2999" s="26" t="str">
        <f t="shared" si="185"/>
        <v/>
      </c>
      <c r="D2999" s="26" t="str">
        <f t="shared" si="186"/>
        <v/>
      </c>
      <c r="E2999" s="29"/>
      <c r="F2999" s="22"/>
      <c r="G2999" s="22"/>
      <c r="H2999" s="22"/>
      <c r="I2999" s="24"/>
      <c r="J2999" s="24"/>
      <c r="K2999" s="24"/>
      <c r="L2999" s="24"/>
      <c r="M2999" s="27" t="str">
        <f t="shared" si="187"/>
        <v/>
      </c>
      <c r="N2999" s="25"/>
      <c r="O2999" s="22"/>
      <c r="P2999" s="24"/>
      <c r="Q2999" s="26"/>
    </row>
    <row r="3000" spans="1:17" ht="15" x14ac:dyDescent="0.15">
      <c r="A3000" s="22"/>
      <c r="B3000" s="26" t="str">
        <f t="shared" si="184"/>
        <v/>
      </c>
      <c r="C3000" s="26" t="str">
        <f t="shared" si="185"/>
        <v/>
      </c>
      <c r="D3000" s="26" t="str">
        <f t="shared" si="186"/>
        <v/>
      </c>
      <c r="E3000" s="29"/>
      <c r="F3000" s="22"/>
      <c r="G3000" s="22"/>
      <c r="H3000" s="22"/>
      <c r="I3000" s="24"/>
      <c r="J3000" s="24"/>
      <c r="K3000" s="24"/>
      <c r="L3000" s="24"/>
      <c r="M3000" s="27" t="str">
        <f t="shared" si="187"/>
        <v/>
      </c>
      <c r="N3000" s="25"/>
      <c r="O3000" s="22"/>
      <c r="P3000" s="24"/>
      <c r="Q3000" s="26"/>
    </row>
    <row r="3001" spans="1:17" ht="15" x14ac:dyDescent="0.15">
      <c r="A3001" s="22"/>
      <c r="B3001" s="26" t="str">
        <f t="shared" si="184"/>
        <v/>
      </c>
      <c r="C3001" s="26" t="str">
        <f t="shared" si="185"/>
        <v/>
      </c>
      <c r="D3001" s="26" t="str">
        <f t="shared" si="186"/>
        <v/>
      </c>
      <c r="E3001" s="29"/>
      <c r="F3001" s="22"/>
      <c r="G3001" s="22"/>
      <c r="H3001" s="22"/>
      <c r="I3001" s="24"/>
      <c r="J3001" s="24"/>
      <c r="K3001" s="24"/>
      <c r="L3001" s="24"/>
      <c r="M3001" s="27" t="str">
        <f t="shared" si="187"/>
        <v/>
      </c>
      <c r="N3001" s="25"/>
      <c r="O3001" s="22"/>
      <c r="P3001" s="24"/>
      <c r="Q3001" s="26"/>
    </row>
    <row r="3002" spans="1:17" ht="15" x14ac:dyDescent="0.15">
      <c r="A3002" s="22"/>
      <c r="B3002" s="26" t="str">
        <f t="shared" si="184"/>
        <v/>
      </c>
      <c r="C3002" s="26" t="str">
        <f t="shared" si="185"/>
        <v/>
      </c>
      <c r="D3002" s="26" t="str">
        <f t="shared" si="186"/>
        <v/>
      </c>
      <c r="E3002" s="29"/>
      <c r="F3002" s="22"/>
      <c r="G3002" s="22"/>
      <c r="H3002" s="22"/>
      <c r="I3002" s="24"/>
      <c r="J3002" s="24"/>
      <c r="K3002" s="24"/>
      <c r="L3002" s="24"/>
      <c r="M3002" s="27" t="str">
        <f t="shared" si="187"/>
        <v/>
      </c>
      <c r="N3002" s="25"/>
      <c r="O3002" s="22"/>
      <c r="P3002" s="24"/>
      <c r="Q3002" s="26"/>
    </row>
    <row r="3003" spans="1:17" ht="15" x14ac:dyDescent="0.15">
      <c r="A3003" s="22"/>
      <c r="B3003" s="26" t="str">
        <f t="shared" si="184"/>
        <v/>
      </c>
      <c r="C3003" s="26" t="str">
        <f t="shared" si="185"/>
        <v/>
      </c>
      <c r="D3003" s="26" t="str">
        <f t="shared" si="186"/>
        <v/>
      </c>
      <c r="E3003" s="29"/>
      <c r="F3003" s="22"/>
      <c r="G3003" s="22"/>
      <c r="H3003" s="22"/>
      <c r="I3003" s="24"/>
      <c r="J3003" s="24"/>
      <c r="K3003" s="24"/>
      <c r="L3003" s="24"/>
      <c r="M3003" s="27" t="str">
        <f t="shared" si="187"/>
        <v/>
      </c>
      <c r="N3003" s="25"/>
      <c r="O3003" s="22"/>
      <c r="P3003" s="24"/>
      <c r="Q3003" s="26"/>
    </row>
    <row r="3004" spans="1:17" ht="15" x14ac:dyDescent="0.15">
      <c r="A3004" s="22"/>
      <c r="B3004" s="26" t="str">
        <f t="shared" si="184"/>
        <v/>
      </c>
      <c r="C3004" s="26" t="str">
        <f t="shared" si="185"/>
        <v/>
      </c>
      <c r="D3004" s="26" t="str">
        <f t="shared" si="186"/>
        <v/>
      </c>
      <c r="E3004" s="29"/>
      <c r="F3004" s="22"/>
      <c r="G3004" s="22"/>
      <c r="H3004" s="22"/>
      <c r="I3004" s="24"/>
      <c r="J3004" s="24"/>
      <c r="K3004" s="24"/>
      <c r="L3004" s="24"/>
      <c r="M3004" s="27" t="str">
        <f t="shared" si="187"/>
        <v/>
      </c>
      <c r="N3004" s="25"/>
      <c r="O3004" s="22"/>
      <c r="P3004" s="24"/>
      <c r="Q3004" s="26"/>
    </row>
    <row r="3005" spans="1:17" ht="15" x14ac:dyDescent="0.15">
      <c r="A3005" s="22"/>
      <c r="B3005" s="26" t="str">
        <f t="shared" si="184"/>
        <v/>
      </c>
      <c r="C3005" s="26" t="str">
        <f t="shared" si="185"/>
        <v/>
      </c>
      <c r="D3005" s="26" t="str">
        <f t="shared" si="186"/>
        <v/>
      </c>
      <c r="E3005" s="29"/>
      <c r="F3005" s="22"/>
      <c r="G3005" s="22"/>
      <c r="H3005" s="22"/>
      <c r="I3005" s="24"/>
      <c r="J3005" s="24"/>
      <c r="K3005" s="24"/>
      <c r="L3005" s="24"/>
      <c r="M3005" s="27" t="str">
        <f t="shared" si="187"/>
        <v/>
      </c>
      <c r="N3005" s="25"/>
      <c r="O3005" s="22"/>
      <c r="P3005" s="24"/>
      <c r="Q3005" s="26"/>
    </row>
    <row r="3006" spans="1:17" ht="15" x14ac:dyDescent="0.15">
      <c r="A3006" s="22"/>
      <c r="B3006" s="26" t="str">
        <f t="shared" si="184"/>
        <v/>
      </c>
      <c r="C3006" s="26" t="str">
        <f t="shared" si="185"/>
        <v/>
      </c>
      <c r="D3006" s="26" t="str">
        <f t="shared" si="186"/>
        <v/>
      </c>
      <c r="E3006" s="29"/>
      <c r="F3006" s="22"/>
      <c r="G3006" s="22"/>
      <c r="H3006" s="22"/>
      <c r="I3006" s="24"/>
      <c r="J3006" s="24"/>
      <c r="K3006" s="24"/>
      <c r="L3006" s="24"/>
      <c r="M3006" s="27" t="str">
        <f t="shared" si="187"/>
        <v/>
      </c>
      <c r="N3006" s="25"/>
      <c r="O3006" s="22"/>
      <c r="P3006" s="24"/>
      <c r="Q3006" s="26"/>
    </row>
    <row r="3007" spans="1:17" ht="15" x14ac:dyDescent="0.15">
      <c r="A3007" s="22"/>
      <c r="B3007" s="26" t="str">
        <f t="shared" si="184"/>
        <v/>
      </c>
      <c r="C3007" s="26" t="str">
        <f t="shared" si="185"/>
        <v/>
      </c>
      <c r="D3007" s="26" t="str">
        <f t="shared" si="186"/>
        <v/>
      </c>
      <c r="E3007" s="29"/>
      <c r="F3007" s="22"/>
      <c r="G3007" s="22"/>
      <c r="H3007" s="22"/>
      <c r="I3007" s="24"/>
      <c r="J3007" s="24"/>
      <c r="K3007" s="24"/>
      <c r="L3007" s="24"/>
      <c r="M3007" s="27" t="str">
        <f t="shared" si="187"/>
        <v/>
      </c>
      <c r="N3007" s="25"/>
      <c r="O3007" s="22"/>
      <c r="P3007" s="24"/>
      <c r="Q3007" s="26"/>
    </row>
    <row r="3008" spans="1:17" ht="15" x14ac:dyDescent="0.15">
      <c r="A3008" s="22"/>
      <c r="B3008" s="26" t="str">
        <f t="shared" si="184"/>
        <v/>
      </c>
      <c r="C3008" s="26" t="str">
        <f t="shared" si="185"/>
        <v/>
      </c>
      <c r="D3008" s="26" t="str">
        <f t="shared" si="186"/>
        <v/>
      </c>
      <c r="E3008" s="29"/>
      <c r="F3008" s="22"/>
      <c r="G3008" s="22"/>
      <c r="H3008" s="22"/>
      <c r="I3008" s="24"/>
      <c r="J3008" s="24"/>
      <c r="K3008" s="24"/>
      <c r="L3008" s="24"/>
      <c r="M3008" s="27" t="str">
        <f t="shared" si="187"/>
        <v/>
      </c>
      <c r="N3008" s="25"/>
      <c r="O3008" s="22"/>
      <c r="P3008" s="24"/>
      <c r="Q3008" s="26"/>
    </row>
    <row r="3009" spans="1:17" ht="15" x14ac:dyDescent="0.15">
      <c r="A3009" s="22"/>
      <c r="B3009" s="26" t="str">
        <f t="shared" si="184"/>
        <v/>
      </c>
      <c r="C3009" s="26" t="str">
        <f t="shared" si="185"/>
        <v/>
      </c>
      <c r="D3009" s="26" t="str">
        <f t="shared" si="186"/>
        <v/>
      </c>
      <c r="E3009" s="29"/>
      <c r="F3009" s="22"/>
      <c r="G3009" s="22"/>
      <c r="H3009" s="22"/>
      <c r="I3009" s="24"/>
      <c r="J3009" s="24"/>
      <c r="K3009" s="24"/>
      <c r="L3009" s="24"/>
      <c r="M3009" s="27" t="str">
        <f t="shared" si="187"/>
        <v/>
      </c>
      <c r="N3009" s="25"/>
      <c r="O3009" s="22"/>
      <c r="P3009" s="24"/>
      <c r="Q3009" s="26"/>
    </row>
    <row r="3010" spans="1:17" ht="15" x14ac:dyDescent="0.15">
      <c r="A3010" s="22"/>
      <c r="B3010" s="26" t="str">
        <f t="shared" si="184"/>
        <v/>
      </c>
      <c r="C3010" s="26" t="str">
        <f t="shared" si="185"/>
        <v/>
      </c>
      <c r="D3010" s="26" t="str">
        <f t="shared" si="186"/>
        <v/>
      </c>
      <c r="E3010" s="29"/>
      <c r="F3010" s="22"/>
      <c r="G3010" s="22"/>
      <c r="H3010" s="22"/>
      <c r="I3010" s="24"/>
      <c r="J3010" s="24"/>
      <c r="K3010" s="24"/>
      <c r="L3010" s="24"/>
      <c r="M3010" s="27" t="str">
        <f t="shared" si="187"/>
        <v/>
      </c>
      <c r="N3010" s="25"/>
      <c r="O3010" s="22"/>
      <c r="P3010" s="24"/>
      <c r="Q3010" s="26"/>
    </row>
    <row r="3011" spans="1:17" ht="15" x14ac:dyDescent="0.15">
      <c r="A3011" s="22"/>
      <c r="B3011" s="26" t="str">
        <f t="shared" si="184"/>
        <v/>
      </c>
      <c r="C3011" s="26" t="str">
        <f t="shared" si="185"/>
        <v/>
      </c>
      <c r="D3011" s="26" t="str">
        <f t="shared" si="186"/>
        <v/>
      </c>
      <c r="E3011" s="29"/>
      <c r="F3011" s="22"/>
      <c r="G3011" s="22"/>
      <c r="H3011" s="22"/>
      <c r="I3011" s="24"/>
      <c r="J3011" s="24"/>
      <c r="K3011" s="24"/>
      <c r="L3011" s="24"/>
      <c r="M3011" s="27" t="str">
        <f t="shared" si="187"/>
        <v/>
      </c>
      <c r="N3011" s="25"/>
      <c r="O3011" s="22"/>
      <c r="P3011" s="24"/>
      <c r="Q3011" s="26"/>
    </row>
    <row r="3012" spans="1:17" ht="15" x14ac:dyDescent="0.15">
      <c r="A3012" s="22"/>
      <c r="B3012" s="26" t="str">
        <f t="shared" si="184"/>
        <v/>
      </c>
      <c r="C3012" s="26" t="str">
        <f t="shared" si="185"/>
        <v/>
      </c>
      <c r="D3012" s="26" t="str">
        <f t="shared" si="186"/>
        <v/>
      </c>
      <c r="E3012" s="29"/>
      <c r="F3012" s="22"/>
      <c r="G3012" s="22"/>
      <c r="H3012" s="22"/>
      <c r="I3012" s="24"/>
      <c r="J3012" s="24"/>
      <c r="K3012" s="24"/>
      <c r="L3012" s="24"/>
      <c r="M3012" s="27" t="str">
        <f t="shared" si="187"/>
        <v/>
      </c>
      <c r="N3012" s="25"/>
      <c r="O3012" s="22"/>
      <c r="P3012" s="24"/>
      <c r="Q3012" s="26"/>
    </row>
    <row r="3013" spans="1:17" ht="15" x14ac:dyDescent="0.15">
      <c r="A3013" s="22"/>
      <c r="B3013" s="26" t="str">
        <f t="shared" si="184"/>
        <v/>
      </c>
      <c r="C3013" s="26" t="str">
        <f t="shared" si="185"/>
        <v/>
      </c>
      <c r="D3013" s="26" t="str">
        <f t="shared" si="186"/>
        <v/>
      </c>
      <c r="E3013" s="29"/>
      <c r="F3013" s="22"/>
      <c r="G3013" s="22"/>
      <c r="H3013" s="22"/>
      <c r="I3013" s="24"/>
      <c r="J3013" s="24"/>
      <c r="K3013" s="24"/>
      <c r="L3013" s="24"/>
      <c r="M3013" s="27" t="str">
        <f t="shared" si="187"/>
        <v/>
      </c>
      <c r="N3013" s="25"/>
      <c r="O3013" s="22"/>
      <c r="P3013" s="24"/>
      <c r="Q3013" s="26"/>
    </row>
    <row r="3014" spans="1:17" ht="15" x14ac:dyDescent="0.15">
      <c r="A3014" s="22"/>
      <c r="B3014" s="26" t="str">
        <f t="shared" si="184"/>
        <v/>
      </c>
      <c r="C3014" s="26" t="str">
        <f t="shared" si="185"/>
        <v/>
      </c>
      <c r="D3014" s="26" t="str">
        <f t="shared" si="186"/>
        <v/>
      </c>
      <c r="E3014" s="29"/>
      <c r="F3014" s="22"/>
      <c r="G3014" s="22"/>
      <c r="H3014" s="22"/>
      <c r="I3014" s="24"/>
      <c r="J3014" s="24"/>
      <c r="K3014" s="24"/>
      <c r="L3014" s="24"/>
      <c r="M3014" s="27" t="str">
        <f t="shared" si="187"/>
        <v/>
      </c>
      <c r="N3014" s="25"/>
      <c r="O3014" s="22"/>
      <c r="P3014" s="24"/>
      <c r="Q3014" s="26"/>
    </row>
    <row r="3015" spans="1:17" ht="15" x14ac:dyDescent="0.15">
      <c r="A3015" s="22"/>
      <c r="B3015" s="26" t="str">
        <f t="shared" ref="B3015:B3078" si="188">IFERROR(IF($A3015="","",LEFT($A3015,FIND(" | ",$A3015)-1)),"")</f>
        <v/>
      </c>
      <c r="C3015" s="26" t="str">
        <f t="shared" ref="C3015:C3078" si="189">IFERROR(IF($A3015="","",MID($A3015,FIND(" | ",$A3015)+3,FIND(" | ",$A3015,FIND(" | ",$A3015)+3)-FIND(" | ",$A3015)-3)),"")</f>
        <v/>
      </c>
      <c r="D3015" s="26" t="str">
        <f t="shared" ref="D3015:D3078" si="190">IFERROR(IF($A3015="","",RIGHT($A3015,LEN($A3015)-FIND(" | ",$A3015,FIND(" | ",$A3015)+3)-2)),"")</f>
        <v/>
      </c>
      <c r="E3015" s="29"/>
      <c r="F3015" s="22"/>
      <c r="G3015" s="22"/>
      <c r="H3015" s="22"/>
      <c r="I3015" s="24"/>
      <c r="J3015" s="24"/>
      <c r="K3015" s="24"/>
      <c r="L3015" s="24"/>
      <c r="M3015" s="27" t="str">
        <f t="shared" ref="M3015:M3078" si="191">IF($B3015="","",SUM($J3015,-$K3015,$L3015))</f>
        <v/>
      </c>
      <c r="N3015" s="25"/>
      <c r="O3015" s="22"/>
      <c r="P3015" s="24"/>
      <c r="Q3015" s="26"/>
    </row>
    <row r="3016" spans="1:17" ht="15" x14ac:dyDescent="0.15">
      <c r="A3016" s="22"/>
      <c r="B3016" s="26" t="str">
        <f t="shared" si="188"/>
        <v/>
      </c>
      <c r="C3016" s="26" t="str">
        <f t="shared" si="189"/>
        <v/>
      </c>
      <c r="D3016" s="26" t="str">
        <f t="shared" si="190"/>
        <v/>
      </c>
      <c r="E3016" s="29"/>
      <c r="F3016" s="22"/>
      <c r="G3016" s="22"/>
      <c r="H3016" s="22"/>
      <c r="I3016" s="24"/>
      <c r="J3016" s="24"/>
      <c r="K3016" s="24"/>
      <c r="L3016" s="24"/>
      <c r="M3016" s="27" t="str">
        <f t="shared" si="191"/>
        <v/>
      </c>
      <c r="N3016" s="25"/>
      <c r="O3016" s="22"/>
      <c r="P3016" s="24"/>
      <c r="Q3016" s="26"/>
    </row>
    <row r="3017" spans="1:17" ht="15" x14ac:dyDescent="0.15">
      <c r="A3017" s="22"/>
      <c r="B3017" s="26" t="str">
        <f t="shared" si="188"/>
        <v/>
      </c>
      <c r="C3017" s="26" t="str">
        <f t="shared" si="189"/>
        <v/>
      </c>
      <c r="D3017" s="26" t="str">
        <f t="shared" si="190"/>
        <v/>
      </c>
      <c r="E3017" s="29"/>
      <c r="F3017" s="22"/>
      <c r="G3017" s="22"/>
      <c r="H3017" s="22"/>
      <c r="I3017" s="24"/>
      <c r="J3017" s="24"/>
      <c r="K3017" s="24"/>
      <c r="L3017" s="24"/>
      <c r="M3017" s="27" t="str">
        <f t="shared" si="191"/>
        <v/>
      </c>
      <c r="N3017" s="25"/>
      <c r="O3017" s="22"/>
      <c r="P3017" s="24"/>
      <c r="Q3017" s="26"/>
    </row>
    <row r="3018" spans="1:17" ht="15" x14ac:dyDescent="0.15">
      <c r="A3018" s="22"/>
      <c r="B3018" s="26" t="str">
        <f t="shared" si="188"/>
        <v/>
      </c>
      <c r="C3018" s="26" t="str">
        <f t="shared" si="189"/>
        <v/>
      </c>
      <c r="D3018" s="26" t="str">
        <f t="shared" si="190"/>
        <v/>
      </c>
      <c r="E3018" s="29"/>
      <c r="F3018" s="22"/>
      <c r="G3018" s="22"/>
      <c r="H3018" s="22"/>
      <c r="I3018" s="24"/>
      <c r="J3018" s="24"/>
      <c r="K3018" s="24"/>
      <c r="L3018" s="24"/>
      <c r="M3018" s="27" t="str">
        <f t="shared" si="191"/>
        <v/>
      </c>
      <c r="N3018" s="25"/>
      <c r="O3018" s="22"/>
      <c r="P3018" s="24"/>
      <c r="Q3018" s="26"/>
    </row>
    <row r="3019" spans="1:17" ht="15" x14ac:dyDescent="0.15">
      <c r="A3019" s="22"/>
      <c r="B3019" s="26" t="str">
        <f t="shared" si="188"/>
        <v/>
      </c>
      <c r="C3019" s="26" t="str">
        <f t="shared" si="189"/>
        <v/>
      </c>
      <c r="D3019" s="26" t="str">
        <f t="shared" si="190"/>
        <v/>
      </c>
      <c r="E3019" s="29"/>
      <c r="F3019" s="22"/>
      <c r="G3019" s="22"/>
      <c r="H3019" s="22"/>
      <c r="I3019" s="24"/>
      <c r="J3019" s="24"/>
      <c r="K3019" s="24"/>
      <c r="L3019" s="24"/>
      <c r="M3019" s="27" t="str">
        <f t="shared" si="191"/>
        <v/>
      </c>
      <c r="N3019" s="25"/>
      <c r="O3019" s="22"/>
      <c r="P3019" s="24"/>
      <c r="Q3019" s="26"/>
    </row>
    <row r="3020" spans="1:17" ht="15" x14ac:dyDescent="0.15">
      <c r="A3020" s="22"/>
      <c r="B3020" s="26" t="str">
        <f t="shared" si="188"/>
        <v/>
      </c>
      <c r="C3020" s="26" t="str">
        <f t="shared" si="189"/>
        <v/>
      </c>
      <c r="D3020" s="26" t="str">
        <f t="shared" si="190"/>
        <v/>
      </c>
      <c r="E3020" s="29"/>
      <c r="F3020" s="22"/>
      <c r="G3020" s="22"/>
      <c r="H3020" s="22"/>
      <c r="I3020" s="24"/>
      <c r="J3020" s="24"/>
      <c r="K3020" s="24"/>
      <c r="L3020" s="24"/>
      <c r="M3020" s="27" t="str">
        <f t="shared" si="191"/>
        <v/>
      </c>
      <c r="N3020" s="25"/>
      <c r="O3020" s="22"/>
      <c r="P3020" s="24"/>
      <c r="Q3020" s="26"/>
    </row>
    <row r="3021" spans="1:17" ht="15" x14ac:dyDescent="0.15">
      <c r="A3021" s="22"/>
      <c r="B3021" s="26" t="str">
        <f t="shared" si="188"/>
        <v/>
      </c>
      <c r="C3021" s="26" t="str">
        <f t="shared" si="189"/>
        <v/>
      </c>
      <c r="D3021" s="26" t="str">
        <f t="shared" si="190"/>
        <v/>
      </c>
      <c r="E3021" s="29"/>
      <c r="F3021" s="22"/>
      <c r="G3021" s="22"/>
      <c r="H3021" s="22"/>
      <c r="I3021" s="24"/>
      <c r="J3021" s="24"/>
      <c r="K3021" s="24"/>
      <c r="L3021" s="24"/>
      <c r="M3021" s="27" t="str">
        <f t="shared" si="191"/>
        <v/>
      </c>
      <c r="N3021" s="25"/>
      <c r="O3021" s="22"/>
      <c r="P3021" s="24"/>
      <c r="Q3021" s="26"/>
    </row>
    <row r="3022" spans="1:17" ht="15" x14ac:dyDescent="0.15">
      <c r="A3022" s="22"/>
      <c r="B3022" s="26" t="str">
        <f t="shared" si="188"/>
        <v/>
      </c>
      <c r="C3022" s="26" t="str">
        <f t="shared" si="189"/>
        <v/>
      </c>
      <c r="D3022" s="26" t="str">
        <f t="shared" si="190"/>
        <v/>
      </c>
      <c r="E3022" s="29"/>
      <c r="F3022" s="22"/>
      <c r="G3022" s="22"/>
      <c r="H3022" s="22"/>
      <c r="I3022" s="24"/>
      <c r="J3022" s="24"/>
      <c r="K3022" s="24"/>
      <c r="L3022" s="24"/>
      <c r="M3022" s="27" t="str">
        <f t="shared" si="191"/>
        <v/>
      </c>
      <c r="N3022" s="25"/>
      <c r="O3022" s="22"/>
      <c r="P3022" s="24"/>
      <c r="Q3022" s="26"/>
    </row>
    <row r="3023" spans="1:17" ht="15" x14ac:dyDescent="0.15">
      <c r="A3023" s="22"/>
      <c r="B3023" s="26" t="str">
        <f t="shared" si="188"/>
        <v/>
      </c>
      <c r="C3023" s="26" t="str">
        <f t="shared" si="189"/>
        <v/>
      </c>
      <c r="D3023" s="26" t="str">
        <f t="shared" si="190"/>
        <v/>
      </c>
      <c r="E3023" s="29"/>
      <c r="F3023" s="22"/>
      <c r="G3023" s="22"/>
      <c r="H3023" s="22"/>
      <c r="I3023" s="24"/>
      <c r="J3023" s="24"/>
      <c r="K3023" s="24"/>
      <c r="L3023" s="24"/>
      <c r="M3023" s="27" t="str">
        <f t="shared" si="191"/>
        <v/>
      </c>
      <c r="N3023" s="25"/>
      <c r="O3023" s="22"/>
      <c r="P3023" s="24"/>
      <c r="Q3023" s="26"/>
    </row>
    <row r="3024" spans="1:17" ht="15" x14ac:dyDescent="0.15">
      <c r="A3024" s="22"/>
      <c r="B3024" s="26" t="str">
        <f t="shared" si="188"/>
        <v/>
      </c>
      <c r="C3024" s="26" t="str">
        <f t="shared" si="189"/>
        <v/>
      </c>
      <c r="D3024" s="26" t="str">
        <f t="shared" si="190"/>
        <v/>
      </c>
      <c r="E3024" s="29"/>
      <c r="F3024" s="22"/>
      <c r="G3024" s="22"/>
      <c r="H3024" s="22"/>
      <c r="I3024" s="24"/>
      <c r="J3024" s="24"/>
      <c r="K3024" s="24"/>
      <c r="L3024" s="24"/>
      <c r="M3024" s="27" t="str">
        <f t="shared" si="191"/>
        <v/>
      </c>
      <c r="N3024" s="25"/>
      <c r="O3024" s="22"/>
      <c r="P3024" s="24"/>
      <c r="Q3024" s="26"/>
    </row>
    <row r="3025" spans="1:17" ht="15" x14ac:dyDescent="0.15">
      <c r="A3025" s="22"/>
      <c r="B3025" s="26" t="str">
        <f t="shared" si="188"/>
        <v/>
      </c>
      <c r="C3025" s="26" t="str">
        <f t="shared" si="189"/>
        <v/>
      </c>
      <c r="D3025" s="26" t="str">
        <f t="shared" si="190"/>
        <v/>
      </c>
      <c r="E3025" s="29"/>
      <c r="F3025" s="22"/>
      <c r="G3025" s="22"/>
      <c r="H3025" s="22"/>
      <c r="I3025" s="24"/>
      <c r="J3025" s="24"/>
      <c r="K3025" s="24"/>
      <c r="L3025" s="24"/>
      <c r="M3025" s="27" t="str">
        <f t="shared" si="191"/>
        <v/>
      </c>
      <c r="N3025" s="25"/>
      <c r="O3025" s="22"/>
      <c r="P3025" s="24"/>
      <c r="Q3025" s="26"/>
    </row>
    <row r="3026" spans="1:17" ht="15" x14ac:dyDescent="0.15">
      <c r="A3026" s="22"/>
      <c r="B3026" s="26" t="str">
        <f t="shared" si="188"/>
        <v/>
      </c>
      <c r="C3026" s="26" t="str">
        <f t="shared" si="189"/>
        <v/>
      </c>
      <c r="D3026" s="26" t="str">
        <f t="shared" si="190"/>
        <v/>
      </c>
      <c r="E3026" s="29"/>
      <c r="F3026" s="22"/>
      <c r="G3026" s="22"/>
      <c r="H3026" s="22"/>
      <c r="I3026" s="24"/>
      <c r="J3026" s="24"/>
      <c r="K3026" s="24"/>
      <c r="L3026" s="24"/>
      <c r="M3026" s="27" t="str">
        <f t="shared" si="191"/>
        <v/>
      </c>
      <c r="N3026" s="25"/>
      <c r="O3026" s="22"/>
      <c r="P3026" s="24"/>
      <c r="Q3026" s="26"/>
    </row>
    <row r="3027" spans="1:17" ht="15" x14ac:dyDescent="0.15">
      <c r="A3027" s="22"/>
      <c r="B3027" s="26" t="str">
        <f t="shared" si="188"/>
        <v/>
      </c>
      <c r="C3027" s="26" t="str">
        <f t="shared" si="189"/>
        <v/>
      </c>
      <c r="D3027" s="26" t="str">
        <f t="shared" si="190"/>
        <v/>
      </c>
      <c r="E3027" s="29"/>
      <c r="F3027" s="22"/>
      <c r="G3027" s="22"/>
      <c r="H3027" s="22"/>
      <c r="I3027" s="24"/>
      <c r="J3027" s="24"/>
      <c r="K3027" s="24"/>
      <c r="L3027" s="24"/>
      <c r="M3027" s="27" t="str">
        <f t="shared" si="191"/>
        <v/>
      </c>
      <c r="N3027" s="25"/>
      <c r="O3027" s="22"/>
      <c r="P3027" s="24"/>
      <c r="Q3027" s="26"/>
    </row>
    <row r="3028" spans="1:17" ht="15" x14ac:dyDescent="0.15">
      <c r="A3028" s="22"/>
      <c r="B3028" s="26" t="str">
        <f t="shared" si="188"/>
        <v/>
      </c>
      <c r="C3028" s="26" t="str">
        <f t="shared" si="189"/>
        <v/>
      </c>
      <c r="D3028" s="26" t="str">
        <f t="shared" si="190"/>
        <v/>
      </c>
      <c r="E3028" s="29"/>
      <c r="F3028" s="22"/>
      <c r="G3028" s="22"/>
      <c r="H3028" s="22"/>
      <c r="I3028" s="24"/>
      <c r="J3028" s="24"/>
      <c r="K3028" s="24"/>
      <c r="L3028" s="24"/>
      <c r="M3028" s="27" t="str">
        <f t="shared" si="191"/>
        <v/>
      </c>
      <c r="N3028" s="25"/>
      <c r="O3028" s="22"/>
      <c r="P3028" s="24"/>
      <c r="Q3028" s="26"/>
    </row>
    <row r="3029" spans="1:17" ht="15" x14ac:dyDescent="0.15">
      <c r="A3029" s="22"/>
      <c r="B3029" s="26" t="str">
        <f t="shared" si="188"/>
        <v/>
      </c>
      <c r="C3029" s="26" t="str">
        <f t="shared" si="189"/>
        <v/>
      </c>
      <c r="D3029" s="26" t="str">
        <f t="shared" si="190"/>
        <v/>
      </c>
      <c r="E3029" s="29"/>
      <c r="F3029" s="22"/>
      <c r="G3029" s="22"/>
      <c r="H3029" s="22"/>
      <c r="I3029" s="24"/>
      <c r="J3029" s="24"/>
      <c r="K3029" s="24"/>
      <c r="L3029" s="24"/>
      <c r="M3029" s="27" t="str">
        <f t="shared" si="191"/>
        <v/>
      </c>
      <c r="N3029" s="25"/>
      <c r="O3029" s="22"/>
      <c r="P3029" s="24"/>
      <c r="Q3029" s="26"/>
    </row>
    <row r="3030" spans="1:17" ht="15" x14ac:dyDescent="0.15">
      <c r="A3030" s="22"/>
      <c r="B3030" s="26" t="str">
        <f t="shared" si="188"/>
        <v/>
      </c>
      <c r="C3030" s="26" t="str">
        <f t="shared" si="189"/>
        <v/>
      </c>
      <c r="D3030" s="26" t="str">
        <f t="shared" si="190"/>
        <v/>
      </c>
      <c r="E3030" s="29"/>
      <c r="F3030" s="22"/>
      <c r="G3030" s="22"/>
      <c r="H3030" s="22"/>
      <c r="I3030" s="24"/>
      <c r="J3030" s="24"/>
      <c r="K3030" s="24"/>
      <c r="L3030" s="24"/>
      <c r="M3030" s="27" t="str">
        <f t="shared" si="191"/>
        <v/>
      </c>
      <c r="N3030" s="25"/>
      <c r="O3030" s="22"/>
      <c r="P3030" s="24"/>
      <c r="Q3030" s="26"/>
    </row>
    <row r="3031" spans="1:17" ht="15" x14ac:dyDescent="0.15">
      <c r="A3031" s="22"/>
      <c r="B3031" s="26" t="str">
        <f t="shared" si="188"/>
        <v/>
      </c>
      <c r="C3031" s="26" t="str">
        <f t="shared" si="189"/>
        <v/>
      </c>
      <c r="D3031" s="26" t="str">
        <f t="shared" si="190"/>
        <v/>
      </c>
      <c r="E3031" s="29"/>
      <c r="F3031" s="22"/>
      <c r="G3031" s="22"/>
      <c r="H3031" s="22"/>
      <c r="I3031" s="24"/>
      <c r="J3031" s="24"/>
      <c r="K3031" s="24"/>
      <c r="L3031" s="24"/>
      <c r="M3031" s="27" t="str">
        <f t="shared" si="191"/>
        <v/>
      </c>
      <c r="N3031" s="25"/>
      <c r="O3031" s="22"/>
      <c r="P3031" s="24"/>
      <c r="Q3031" s="26"/>
    </row>
    <row r="3032" spans="1:17" ht="15" x14ac:dyDescent="0.15">
      <c r="A3032" s="22"/>
      <c r="B3032" s="26" t="str">
        <f t="shared" si="188"/>
        <v/>
      </c>
      <c r="C3032" s="26" t="str">
        <f t="shared" si="189"/>
        <v/>
      </c>
      <c r="D3032" s="26" t="str">
        <f t="shared" si="190"/>
        <v/>
      </c>
      <c r="E3032" s="29"/>
      <c r="F3032" s="22"/>
      <c r="G3032" s="22"/>
      <c r="H3032" s="22"/>
      <c r="I3032" s="24"/>
      <c r="J3032" s="24"/>
      <c r="K3032" s="24"/>
      <c r="L3032" s="24"/>
      <c r="M3032" s="27" t="str">
        <f t="shared" si="191"/>
        <v/>
      </c>
      <c r="N3032" s="25"/>
      <c r="O3032" s="22"/>
      <c r="P3032" s="24"/>
      <c r="Q3032" s="26"/>
    </row>
    <row r="3033" spans="1:17" ht="15" x14ac:dyDescent="0.15">
      <c r="A3033" s="22"/>
      <c r="B3033" s="26" t="str">
        <f t="shared" si="188"/>
        <v/>
      </c>
      <c r="C3033" s="26" t="str">
        <f t="shared" si="189"/>
        <v/>
      </c>
      <c r="D3033" s="26" t="str">
        <f t="shared" si="190"/>
        <v/>
      </c>
      <c r="E3033" s="29"/>
      <c r="F3033" s="22"/>
      <c r="G3033" s="22"/>
      <c r="H3033" s="22"/>
      <c r="I3033" s="24"/>
      <c r="J3033" s="24"/>
      <c r="K3033" s="24"/>
      <c r="L3033" s="24"/>
      <c r="M3033" s="27" t="str">
        <f t="shared" si="191"/>
        <v/>
      </c>
      <c r="N3033" s="25"/>
      <c r="O3033" s="22"/>
      <c r="P3033" s="24"/>
      <c r="Q3033" s="26"/>
    </row>
    <row r="3034" spans="1:17" ht="15" x14ac:dyDescent="0.15">
      <c r="A3034" s="22"/>
      <c r="B3034" s="26" t="str">
        <f t="shared" si="188"/>
        <v/>
      </c>
      <c r="C3034" s="26" t="str">
        <f t="shared" si="189"/>
        <v/>
      </c>
      <c r="D3034" s="26" t="str">
        <f t="shared" si="190"/>
        <v/>
      </c>
      <c r="E3034" s="29"/>
      <c r="F3034" s="22"/>
      <c r="G3034" s="22"/>
      <c r="H3034" s="22"/>
      <c r="I3034" s="24"/>
      <c r="J3034" s="24"/>
      <c r="K3034" s="24"/>
      <c r="L3034" s="24"/>
      <c r="M3034" s="27" t="str">
        <f t="shared" si="191"/>
        <v/>
      </c>
      <c r="N3034" s="25"/>
      <c r="O3034" s="22"/>
      <c r="P3034" s="24"/>
      <c r="Q3034" s="26"/>
    </row>
    <row r="3035" spans="1:17" ht="15" x14ac:dyDescent="0.15">
      <c r="A3035" s="22"/>
      <c r="B3035" s="26" t="str">
        <f t="shared" si="188"/>
        <v/>
      </c>
      <c r="C3035" s="26" t="str">
        <f t="shared" si="189"/>
        <v/>
      </c>
      <c r="D3035" s="26" t="str">
        <f t="shared" si="190"/>
        <v/>
      </c>
      <c r="E3035" s="29"/>
      <c r="F3035" s="22"/>
      <c r="G3035" s="22"/>
      <c r="H3035" s="22"/>
      <c r="I3035" s="24"/>
      <c r="J3035" s="24"/>
      <c r="K3035" s="24"/>
      <c r="L3035" s="24"/>
      <c r="M3035" s="27" t="str">
        <f t="shared" si="191"/>
        <v/>
      </c>
      <c r="N3035" s="25"/>
      <c r="O3035" s="22"/>
      <c r="P3035" s="24"/>
      <c r="Q3035" s="26"/>
    </row>
    <row r="3036" spans="1:17" ht="15" x14ac:dyDescent="0.15">
      <c r="A3036" s="22"/>
      <c r="B3036" s="26" t="str">
        <f t="shared" si="188"/>
        <v/>
      </c>
      <c r="C3036" s="26" t="str">
        <f t="shared" si="189"/>
        <v/>
      </c>
      <c r="D3036" s="26" t="str">
        <f t="shared" si="190"/>
        <v/>
      </c>
      <c r="E3036" s="29"/>
      <c r="F3036" s="22"/>
      <c r="G3036" s="22"/>
      <c r="H3036" s="22"/>
      <c r="I3036" s="24"/>
      <c r="J3036" s="24"/>
      <c r="K3036" s="24"/>
      <c r="L3036" s="24"/>
      <c r="M3036" s="27" t="str">
        <f t="shared" si="191"/>
        <v/>
      </c>
      <c r="N3036" s="25"/>
      <c r="O3036" s="22"/>
      <c r="P3036" s="24"/>
      <c r="Q3036" s="26"/>
    </row>
    <row r="3037" spans="1:17" ht="15" x14ac:dyDescent="0.15">
      <c r="A3037" s="22"/>
      <c r="B3037" s="26" t="str">
        <f t="shared" si="188"/>
        <v/>
      </c>
      <c r="C3037" s="26" t="str">
        <f t="shared" si="189"/>
        <v/>
      </c>
      <c r="D3037" s="26" t="str">
        <f t="shared" si="190"/>
        <v/>
      </c>
      <c r="E3037" s="29"/>
      <c r="F3037" s="22"/>
      <c r="G3037" s="22"/>
      <c r="H3037" s="22"/>
      <c r="I3037" s="24"/>
      <c r="J3037" s="24"/>
      <c r="K3037" s="24"/>
      <c r="L3037" s="24"/>
      <c r="M3037" s="27" t="str">
        <f t="shared" si="191"/>
        <v/>
      </c>
      <c r="N3037" s="25"/>
      <c r="O3037" s="22"/>
      <c r="P3037" s="24"/>
      <c r="Q3037" s="26"/>
    </row>
    <row r="3038" spans="1:17" ht="15" x14ac:dyDescent="0.15">
      <c r="A3038" s="22"/>
      <c r="B3038" s="26" t="str">
        <f t="shared" si="188"/>
        <v/>
      </c>
      <c r="C3038" s="26" t="str">
        <f t="shared" si="189"/>
        <v/>
      </c>
      <c r="D3038" s="26" t="str">
        <f t="shared" si="190"/>
        <v/>
      </c>
      <c r="E3038" s="29"/>
      <c r="F3038" s="22"/>
      <c r="G3038" s="22"/>
      <c r="H3038" s="22"/>
      <c r="I3038" s="24"/>
      <c r="J3038" s="24"/>
      <c r="K3038" s="24"/>
      <c r="L3038" s="24"/>
      <c r="M3038" s="27" t="str">
        <f t="shared" si="191"/>
        <v/>
      </c>
      <c r="N3038" s="25"/>
      <c r="O3038" s="22"/>
      <c r="P3038" s="24"/>
      <c r="Q3038" s="26"/>
    </row>
    <row r="3039" spans="1:17" ht="15" x14ac:dyDescent="0.15">
      <c r="A3039" s="22"/>
      <c r="B3039" s="26" t="str">
        <f t="shared" si="188"/>
        <v/>
      </c>
      <c r="C3039" s="26" t="str">
        <f t="shared" si="189"/>
        <v/>
      </c>
      <c r="D3039" s="26" t="str">
        <f t="shared" si="190"/>
        <v/>
      </c>
      <c r="E3039" s="29"/>
      <c r="F3039" s="22"/>
      <c r="G3039" s="22"/>
      <c r="H3039" s="22"/>
      <c r="I3039" s="24"/>
      <c r="J3039" s="24"/>
      <c r="K3039" s="24"/>
      <c r="L3039" s="24"/>
      <c r="M3039" s="27" t="str">
        <f t="shared" si="191"/>
        <v/>
      </c>
      <c r="N3039" s="25"/>
      <c r="O3039" s="22"/>
      <c r="P3039" s="24"/>
      <c r="Q3039" s="26"/>
    </row>
    <row r="3040" spans="1:17" ht="15" x14ac:dyDescent="0.15">
      <c r="A3040" s="22"/>
      <c r="B3040" s="26" t="str">
        <f t="shared" si="188"/>
        <v/>
      </c>
      <c r="C3040" s="26" t="str">
        <f t="shared" si="189"/>
        <v/>
      </c>
      <c r="D3040" s="26" t="str">
        <f t="shared" si="190"/>
        <v/>
      </c>
      <c r="E3040" s="29"/>
      <c r="F3040" s="22"/>
      <c r="G3040" s="22"/>
      <c r="H3040" s="22"/>
      <c r="I3040" s="24"/>
      <c r="J3040" s="24"/>
      <c r="K3040" s="24"/>
      <c r="L3040" s="24"/>
      <c r="M3040" s="27" t="str">
        <f t="shared" si="191"/>
        <v/>
      </c>
      <c r="N3040" s="25"/>
      <c r="O3040" s="22"/>
      <c r="P3040" s="24"/>
      <c r="Q3040" s="26"/>
    </row>
    <row r="3041" spans="1:17" ht="15" x14ac:dyDescent="0.15">
      <c r="A3041" s="22"/>
      <c r="B3041" s="26" t="str">
        <f t="shared" si="188"/>
        <v/>
      </c>
      <c r="C3041" s="26" t="str">
        <f t="shared" si="189"/>
        <v/>
      </c>
      <c r="D3041" s="26" t="str">
        <f t="shared" si="190"/>
        <v/>
      </c>
      <c r="E3041" s="29"/>
      <c r="F3041" s="22"/>
      <c r="G3041" s="22"/>
      <c r="H3041" s="22"/>
      <c r="I3041" s="24"/>
      <c r="J3041" s="24"/>
      <c r="K3041" s="24"/>
      <c r="L3041" s="24"/>
      <c r="M3041" s="27" t="str">
        <f t="shared" si="191"/>
        <v/>
      </c>
      <c r="N3041" s="25"/>
      <c r="O3041" s="22"/>
      <c r="P3041" s="24"/>
      <c r="Q3041" s="26"/>
    </row>
    <row r="3042" spans="1:17" ht="15" x14ac:dyDescent="0.15">
      <c r="A3042" s="22"/>
      <c r="B3042" s="26" t="str">
        <f t="shared" si="188"/>
        <v/>
      </c>
      <c r="C3042" s="26" t="str">
        <f t="shared" si="189"/>
        <v/>
      </c>
      <c r="D3042" s="26" t="str">
        <f t="shared" si="190"/>
        <v/>
      </c>
      <c r="E3042" s="29"/>
      <c r="F3042" s="22"/>
      <c r="G3042" s="22"/>
      <c r="H3042" s="22"/>
      <c r="I3042" s="24"/>
      <c r="J3042" s="24"/>
      <c r="K3042" s="24"/>
      <c r="L3042" s="24"/>
      <c r="M3042" s="27" t="str">
        <f t="shared" si="191"/>
        <v/>
      </c>
      <c r="N3042" s="25"/>
      <c r="O3042" s="22"/>
      <c r="P3042" s="24"/>
      <c r="Q3042" s="26"/>
    </row>
    <row r="3043" spans="1:17" ht="15" x14ac:dyDescent="0.15">
      <c r="A3043" s="22"/>
      <c r="B3043" s="26" t="str">
        <f t="shared" si="188"/>
        <v/>
      </c>
      <c r="C3043" s="26" t="str">
        <f t="shared" si="189"/>
        <v/>
      </c>
      <c r="D3043" s="26" t="str">
        <f t="shared" si="190"/>
        <v/>
      </c>
      <c r="E3043" s="29"/>
      <c r="F3043" s="22"/>
      <c r="G3043" s="22"/>
      <c r="H3043" s="22"/>
      <c r="I3043" s="24"/>
      <c r="J3043" s="24"/>
      <c r="K3043" s="24"/>
      <c r="L3043" s="24"/>
      <c r="M3043" s="27" t="str">
        <f t="shared" si="191"/>
        <v/>
      </c>
      <c r="N3043" s="25"/>
      <c r="O3043" s="22"/>
      <c r="P3043" s="24"/>
      <c r="Q3043" s="26"/>
    </row>
    <row r="3044" spans="1:17" ht="15" x14ac:dyDescent="0.15">
      <c r="A3044" s="22"/>
      <c r="B3044" s="26" t="str">
        <f t="shared" si="188"/>
        <v/>
      </c>
      <c r="C3044" s="26" t="str">
        <f t="shared" si="189"/>
        <v/>
      </c>
      <c r="D3044" s="26" t="str">
        <f t="shared" si="190"/>
        <v/>
      </c>
      <c r="E3044" s="29"/>
      <c r="F3044" s="22"/>
      <c r="G3044" s="22"/>
      <c r="H3044" s="22"/>
      <c r="I3044" s="24"/>
      <c r="J3044" s="24"/>
      <c r="K3044" s="24"/>
      <c r="L3044" s="24"/>
      <c r="M3044" s="27" t="str">
        <f t="shared" si="191"/>
        <v/>
      </c>
      <c r="N3044" s="25"/>
      <c r="O3044" s="22"/>
      <c r="P3044" s="24"/>
      <c r="Q3044" s="26"/>
    </row>
    <row r="3045" spans="1:17" ht="15" x14ac:dyDescent="0.15">
      <c r="A3045" s="22"/>
      <c r="B3045" s="26" t="str">
        <f t="shared" si="188"/>
        <v/>
      </c>
      <c r="C3045" s="26" t="str">
        <f t="shared" si="189"/>
        <v/>
      </c>
      <c r="D3045" s="26" t="str">
        <f t="shared" si="190"/>
        <v/>
      </c>
      <c r="E3045" s="29"/>
      <c r="F3045" s="22"/>
      <c r="G3045" s="22"/>
      <c r="H3045" s="22"/>
      <c r="I3045" s="24"/>
      <c r="J3045" s="24"/>
      <c r="K3045" s="24"/>
      <c r="L3045" s="24"/>
      <c r="M3045" s="27" t="str">
        <f t="shared" si="191"/>
        <v/>
      </c>
      <c r="N3045" s="25"/>
      <c r="O3045" s="22"/>
      <c r="P3045" s="24"/>
      <c r="Q3045" s="26"/>
    </row>
    <row r="3046" spans="1:17" ht="15" x14ac:dyDescent="0.15">
      <c r="A3046" s="22"/>
      <c r="B3046" s="26" t="str">
        <f t="shared" si="188"/>
        <v/>
      </c>
      <c r="C3046" s="26" t="str">
        <f t="shared" si="189"/>
        <v/>
      </c>
      <c r="D3046" s="26" t="str">
        <f t="shared" si="190"/>
        <v/>
      </c>
      <c r="E3046" s="29"/>
      <c r="F3046" s="22"/>
      <c r="G3046" s="22"/>
      <c r="H3046" s="22"/>
      <c r="I3046" s="24"/>
      <c r="J3046" s="24"/>
      <c r="K3046" s="24"/>
      <c r="L3046" s="24"/>
      <c r="M3046" s="27" t="str">
        <f t="shared" si="191"/>
        <v/>
      </c>
      <c r="N3046" s="25"/>
      <c r="O3046" s="22"/>
      <c r="P3046" s="24"/>
      <c r="Q3046" s="26"/>
    </row>
    <row r="3047" spans="1:17" ht="15" x14ac:dyDescent="0.15">
      <c r="A3047" s="22"/>
      <c r="B3047" s="26" t="str">
        <f t="shared" si="188"/>
        <v/>
      </c>
      <c r="C3047" s="26" t="str">
        <f t="shared" si="189"/>
        <v/>
      </c>
      <c r="D3047" s="26" t="str">
        <f t="shared" si="190"/>
        <v/>
      </c>
      <c r="E3047" s="29"/>
      <c r="F3047" s="22"/>
      <c r="G3047" s="22"/>
      <c r="H3047" s="22"/>
      <c r="I3047" s="24"/>
      <c r="J3047" s="24"/>
      <c r="K3047" s="24"/>
      <c r="L3047" s="24"/>
      <c r="M3047" s="27" t="str">
        <f t="shared" si="191"/>
        <v/>
      </c>
      <c r="N3047" s="25"/>
      <c r="O3047" s="22"/>
      <c r="P3047" s="24"/>
      <c r="Q3047" s="26"/>
    </row>
    <row r="3048" spans="1:17" ht="15" x14ac:dyDescent="0.15">
      <c r="A3048" s="22"/>
      <c r="B3048" s="26" t="str">
        <f t="shared" si="188"/>
        <v/>
      </c>
      <c r="C3048" s="26" t="str">
        <f t="shared" si="189"/>
        <v/>
      </c>
      <c r="D3048" s="26" t="str">
        <f t="shared" si="190"/>
        <v/>
      </c>
      <c r="E3048" s="29"/>
      <c r="F3048" s="22"/>
      <c r="G3048" s="22"/>
      <c r="H3048" s="22"/>
      <c r="I3048" s="24"/>
      <c r="J3048" s="24"/>
      <c r="K3048" s="24"/>
      <c r="L3048" s="24"/>
      <c r="M3048" s="27" t="str">
        <f t="shared" si="191"/>
        <v/>
      </c>
      <c r="N3048" s="25"/>
      <c r="O3048" s="22"/>
      <c r="P3048" s="24"/>
      <c r="Q3048" s="26"/>
    </row>
    <row r="3049" spans="1:17" ht="15" x14ac:dyDescent="0.15">
      <c r="A3049" s="22"/>
      <c r="B3049" s="26" t="str">
        <f t="shared" si="188"/>
        <v/>
      </c>
      <c r="C3049" s="26" t="str">
        <f t="shared" si="189"/>
        <v/>
      </c>
      <c r="D3049" s="26" t="str">
        <f t="shared" si="190"/>
        <v/>
      </c>
      <c r="E3049" s="29"/>
      <c r="F3049" s="22"/>
      <c r="G3049" s="22"/>
      <c r="H3049" s="22"/>
      <c r="I3049" s="24"/>
      <c r="J3049" s="24"/>
      <c r="K3049" s="24"/>
      <c r="L3049" s="24"/>
      <c r="M3049" s="27" t="str">
        <f t="shared" si="191"/>
        <v/>
      </c>
      <c r="N3049" s="25"/>
      <c r="O3049" s="22"/>
      <c r="P3049" s="24"/>
      <c r="Q3049" s="26"/>
    </row>
    <row r="3050" spans="1:17" ht="15" x14ac:dyDescent="0.15">
      <c r="A3050" s="22"/>
      <c r="B3050" s="26" t="str">
        <f t="shared" si="188"/>
        <v/>
      </c>
      <c r="C3050" s="26" t="str">
        <f t="shared" si="189"/>
        <v/>
      </c>
      <c r="D3050" s="26" t="str">
        <f t="shared" si="190"/>
        <v/>
      </c>
      <c r="E3050" s="29"/>
      <c r="F3050" s="22"/>
      <c r="G3050" s="22"/>
      <c r="H3050" s="22"/>
      <c r="I3050" s="24"/>
      <c r="J3050" s="24"/>
      <c r="K3050" s="24"/>
      <c r="L3050" s="24"/>
      <c r="M3050" s="27" t="str">
        <f t="shared" si="191"/>
        <v/>
      </c>
      <c r="N3050" s="25"/>
      <c r="O3050" s="22"/>
      <c r="P3050" s="24"/>
      <c r="Q3050" s="26"/>
    </row>
    <row r="3051" spans="1:17" ht="15" x14ac:dyDescent="0.15">
      <c r="A3051" s="22"/>
      <c r="B3051" s="26" t="str">
        <f t="shared" si="188"/>
        <v/>
      </c>
      <c r="C3051" s="26" t="str">
        <f t="shared" si="189"/>
        <v/>
      </c>
      <c r="D3051" s="26" t="str">
        <f t="shared" si="190"/>
        <v/>
      </c>
      <c r="E3051" s="29"/>
      <c r="F3051" s="22"/>
      <c r="G3051" s="22"/>
      <c r="H3051" s="22"/>
      <c r="I3051" s="24"/>
      <c r="J3051" s="24"/>
      <c r="K3051" s="24"/>
      <c r="L3051" s="24"/>
      <c r="M3051" s="27" t="str">
        <f t="shared" si="191"/>
        <v/>
      </c>
      <c r="N3051" s="25"/>
      <c r="O3051" s="22"/>
      <c r="P3051" s="24"/>
      <c r="Q3051" s="26"/>
    </row>
    <row r="3052" spans="1:17" ht="15" x14ac:dyDescent="0.15">
      <c r="A3052" s="22"/>
      <c r="B3052" s="26" t="str">
        <f t="shared" si="188"/>
        <v/>
      </c>
      <c r="C3052" s="26" t="str">
        <f t="shared" si="189"/>
        <v/>
      </c>
      <c r="D3052" s="26" t="str">
        <f t="shared" si="190"/>
        <v/>
      </c>
      <c r="E3052" s="29"/>
      <c r="F3052" s="22"/>
      <c r="G3052" s="22"/>
      <c r="H3052" s="22"/>
      <c r="I3052" s="24"/>
      <c r="J3052" s="24"/>
      <c r="K3052" s="24"/>
      <c r="L3052" s="24"/>
      <c r="M3052" s="27" t="str">
        <f t="shared" si="191"/>
        <v/>
      </c>
      <c r="N3052" s="25"/>
      <c r="O3052" s="22"/>
      <c r="P3052" s="24"/>
      <c r="Q3052" s="26"/>
    </row>
    <row r="3053" spans="1:17" ht="15" x14ac:dyDescent="0.15">
      <c r="A3053" s="22"/>
      <c r="B3053" s="26" t="str">
        <f t="shared" si="188"/>
        <v/>
      </c>
      <c r="C3053" s="26" t="str">
        <f t="shared" si="189"/>
        <v/>
      </c>
      <c r="D3053" s="26" t="str">
        <f t="shared" si="190"/>
        <v/>
      </c>
      <c r="E3053" s="29"/>
      <c r="F3053" s="22"/>
      <c r="G3053" s="22"/>
      <c r="H3053" s="22"/>
      <c r="I3053" s="24"/>
      <c r="J3053" s="24"/>
      <c r="K3053" s="24"/>
      <c r="L3053" s="24"/>
      <c r="M3053" s="27" t="str">
        <f t="shared" si="191"/>
        <v/>
      </c>
      <c r="N3053" s="25"/>
      <c r="O3053" s="22"/>
      <c r="P3053" s="24"/>
      <c r="Q3053" s="26"/>
    </row>
    <row r="3054" spans="1:17" ht="15" x14ac:dyDescent="0.15">
      <c r="A3054" s="22"/>
      <c r="B3054" s="26" t="str">
        <f t="shared" si="188"/>
        <v/>
      </c>
      <c r="C3054" s="26" t="str">
        <f t="shared" si="189"/>
        <v/>
      </c>
      <c r="D3054" s="26" t="str">
        <f t="shared" si="190"/>
        <v/>
      </c>
      <c r="E3054" s="29"/>
      <c r="F3054" s="22"/>
      <c r="G3054" s="22"/>
      <c r="H3054" s="22"/>
      <c r="I3054" s="24"/>
      <c r="J3054" s="24"/>
      <c r="K3054" s="24"/>
      <c r="L3054" s="24"/>
      <c r="M3054" s="27" t="str">
        <f t="shared" si="191"/>
        <v/>
      </c>
      <c r="N3054" s="25"/>
      <c r="O3054" s="22"/>
      <c r="P3054" s="24"/>
      <c r="Q3054" s="26"/>
    </row>
    <row r="3055" spans="1:17" ht="15" x14ac:dyDescent="0.15">
      <c r="A3055" s="22"/>
      <c r="B3055" s="26" t="str">
        <f t="shared" si="188"/>
        <v/>
      </c>
      <c r="C3055" s="26" t="str">
        <f t="shared" si="189"/>
        <v/>
      </c>
      <c r="D3055" s="26" t="str">
        <f t="shared" si="190"/>
        <v/>
      </c>
      <c r="E3055" s="29"/>
      <c r="F3055" s="22"/>
      <c r="G3055" s="22"/>
      <c r="H3055" s="22"/>
      <c r="I3055" s="24"/>
      <c r="J3055" s="24"/>
      <c r="K3055" s="24"/>
      <c r="L3055" s="24"/>
      <c r="M3055" s="27" t="str">
        <f t="shared" si="191"/>
        <v/>
      </c>
      <c r="N3055" s="25"/>
      <c r="O3055" s="22"/>
      <c r="P3055" s="24"/>
      <c r="Q3055" s="26"/>
    </row>
    <row r="3056" spans="1:17" ht="15" x14ac:dyDescent="0.15">
      <c r="A3056" s="22"/>
      <c r="B3056" s="26" t="str">
        <f t="shared" si="188"/>
        <v/>
      </c>
      <c r="C3056" s="26" t="str">
        <f t="shared" si="189"/>
        <v/>
      </c>
      <c r="D3056" s="26" t="str">
        <f t="shared" si="190"/>
        <v/>
      </c>
      <c r="E3056" s="29"/>
      <c r="F3056" s="22"/>
      <c r="G3056" s="22"/>
      <c r="H3056" s="22"/>
      <c r="I3056" s="24"/>
      <c r="J3056" s="24"/>
      <c r="K3056" s="24"/>
      <c r="L3056" s="24"/>
      <c r="M3056" s="27" t="str">
        <f t="shared" si="191"/>
        <v/>
      </c>
      <c r="N3056" s="25"/>
      <c r="O3056" s="22"/>
      <c r="P3056" s="24"/>
      <c r="Q3056" s="26"/>
    </row>
    <row r="3057" spans="1:17" ht="15" x14ac:dyDescent="0.15">
      <c r="A3057" s="22"/>
      <c r="B3057" s="26" t="str">
        <f t="shared" si="188"/>
        <v/>
      </c>
      <c r="C3057" s="26" t="str">
        <f t="shared" si="189"/>
        <v/>
      </c>
      <c r="D3057" s="26" t="str">
        <f t="shared" si="190"/>
        <v/>
      </c>
      <c r="E3057" s="29"/>
      <c r="F3057" s="22"/>
      <c r="G3057" s="22"/>
      <c r="H3057" s="22"/>
      <c r="I3057" s="24"/>
      <c r="J3057" s="24"/>
      <c r="K3057" s="24"/>
      <c r="L3057" s="24"/>
      <c r="M3057" s="27" t="str">
        <f t="shared" si="191"/>
        <v/>
      </c>
      <c r="N3057" s="25"/>
      <c r="O3057" s="22"/>
      <c r="P3057" s="24"/>
      <c r="Q3057" s="26"/>
    </row>
    <row r="3058" spans="1:17" ht="15" x14ac:dyDescent="0.15">
      <c r="A3058" s="22"/>
      <c r="B3058" s="26" t="str">
        <f t="shared" si="188"/>
        <v/>
      </c>
      <c r="C3058" s="26" t="str">
        <f t="shared" si="189"/>
        <v/>
      </c>
      <c r="D3058" s="26" t="str">
        <f t="shared" si="190"/>
        <v/>
      </c>
      <c r="E3058" s="29"/>
      <c r="F3058" s="22"/>
      <c r="G3058" s="22"/>
      <c r="H3058" s="22"/>
      <c r="I3058" s="24"/>
      <c r="J3058" s="24"/>
      <c r="K3058" s="24"/>
      <c r="L3058" s="24"/>
      <c r="M3058" s="27" t="str">
        <f t="shared" si="191"/>
        <v/>
      </c>
      <c r="N3058" s="25"/>
      <c r="O3058" s="22"/>
      <c r="P3058" s="24"/>
      <c r="Q3058" s="26"/>
    </row>
    <row r="3059" spans="1:17" ht="15" x14ac:dyDescent="0.15">
      <c r="A3059" s="22"/>
      <c r="B3059" s="26" t="str">
        <f t="shared" si="188"/>
        <v/>
      </c>
      <c r="C3059" s="26" t="str">
        <f t="shared" si="189"/>
        <v/>
      </c>
      <c r="D3059" s="26" t="str">
        <f t="shared" si="190"/>
        <v/>
      </c>
      <c r="E3059" s="29"/>
      <c r="F3059" s="22"/>
      <c r="G3059" s="22"/>
      <c r="H3059" s="22"/>
      <c r="I3059" s="24"/>
      <c r="J3059" s="24"/>
      <c r="K3059" s="24"/>
      <c r="L3059" s="24"/>
      <c r="M3059" s="27" t="str">
        <f t="shared" si="191"/>
        <v/>
      </c>
      <c r="N3059" s="25"/>
      <c r="O3059" s="22"/>
      <c r="P3059" s="24"/>
      <c r="Q3059" s="26"/>
    </row>
    <row r="3060" spans="1:17" ht="15" x14ac:dyDescent="0.15">
      <c r="A3060" s="22"/>
      <c r="B3060" s="26" t="str">
        <f t="shared" si="188"/>
        <v/>
      </c>
      <c r="C3060" s="26" t="str">
        <f t="shared" si="189"/>
        <v/>
      </c>
      <c r="D3060" s="26" t="str">
        <f t="shared" si="190"/>
        <v/>
      </c>
      <c r="E3060" s="29"/>
      <c r="F3060" s="22"/>
      <c r="G3060" s="22"/>
      <c r="H3060" s="22"/>
      <c r="I3060" s="24"/>
      <c r="J3060" s="24"/>
      <c r="K3060" s="24"/>
      <c r="L3060" s="24"/>
      <c r="M3060" s="27" t="str">
        <f t="shared" si="191"/>
        <v/>
      </c>
      <c r="N3060" s="25"/>
      <c r="O3060" s="22"/>
      <c r="P3060" s="24"/>
      <c r="Q3060" s="26"/>
    </row>
    <row r="3061" spans="1:17" ht="15" x14ac:dyDescent="0.15">
      <c r="A3061" s="22"/>
      <c r="B3061" s="26" t="str">
        <f t="shared" si="188"/>
        <v/>
      </c>
      <c r="C3061" s="26" t="str">
        <f t="shared" si="189"/>
        <v/>
      </c>
      <c r="D3061" s="26" t="str">
        <f t="shared" si="190"/>
        <v/>
      </c>
      <c r="E3061" s="29"/>
      <c r="F3061" s="22"/>
      <c r="G3061" s="22"/>
      <c r="H3061" s="22"/>
      <c r="I3061" s="24"/>
      <c r="J3061" s="24"/>
      <c r="K3061" s="24"/>
      <c r="L3061" s="24"/>
      <c r="M3061" s="27" t="str">
        <f t="shared" si="191"/>
        <v/>
      </c>
      <c r="N3061" s="25"/>
      <c r="O3061" s="22"/>
      <c r="P3061" s="24"/>
      <c r="Q3061" s="26"/>
    </row>
    <row r="3062" spans="1:17" ht="15" x14ac:dyDescent="0.15">
      <c r="A3062" s="22"/>
      <c r="B3062" s="26" t="str">
        <f t="shared" si="188"/>
        <v/>
      </c>
      <c r="C3062" s="26" t="str">
        <f t="shared" si="189"/>
        <v/>
      </c>
      <c r="D3062" s="26" t="str">
        <f t="shared" si="190"/>
        <v/>
      </c>
      <c r="E3062" s="29"/>
      <c r="F3062" s="22"/>
      <c r="G3062" s="22"/>
      <c r="H3062" s="22"/>
      <c r="I3062" s="24"/>
      <c r="J3062" s="24"/>
      <c r="K3062" s="24"/>
      <c r="L3062" s="24"/>
      <c r="M3062" s="27" t="str">
        <f t="shared" si="191"/>
        <v/>
      </c>
      <c r="N3062" s="25"/>
      <c r="O3062" s="22"/>
      <c r="P3062" s="24"/>
      <c r="Q3062" s="26"/>
    </row>
    <row r="3063" spans="1:17" ht="15" x14ac:dyDescent="0.15">
      <c r="A3063" s="22"/>
      <c r="B3063" s="26" t="str">
        <f t="shared" si="188"/>
        <v/>
      </c>
      <c r="C3063" s="26" t="str">
        <f t="shared" si="189"/>
        <v/>
      </c>
      <c r="D3063" s="26" t="str">
        <f t="shared" si="190"/>
        <v/>
      </c>
      <c r="E3063" s="29"/>
      <c r="F3063" s="22"/>
      <c r="G3063" s="22"/>
      <c r="H3063" s="22"/>
      <c r="I3063" s="24"/>
      <c r="J3063" s="24"/>
      <c r="K3063" s="24"/>
      <c r="L3063" s="24"/>
      <c r="M3063" s="27" t="str">
        <f t="shared" si="191"/>
        <v/>
      </c>
      <c r="N3063" s="25"/>
      <c r="O3063" s="22"/>
      <c r="P3063" s="24"/>
      <c r="Q3063" s="26"/>
    </row>
    <row r="3064" spans="1:17" ht="15" x14ac:dyDescent="0.15">
      <c r="A3064" s="22"/>
      <c r="B3064" s="26" t="str">
        <f t="shared" si="188"/>
        <v/>
      </c>
      <c r="C3064" s="26" t="str">
        <f t="shared" si="189"/>
        <v/>
      </c>
      <c r="D3064" s="26" t="str">
        <f t="shared" si="190"/>
        <v/>
      </c>
      <c r="E3064" s="29"/>
      <c r="F3064" s="22"/>
      <c r="G3064" s="22"/>
      <c r="H3064" s="22"/>
      <c r="I3064" s="24"/>
      <c r="J3064" s="24"/>
      <c r="K3064" s="24"/>
      <c r="L3064" s="24"/>
      <c r="M3064" s="27" t="str">
        <f t="shared" si="191"/>
        <v/>
      </c>
      <c r="N3064" s="25"/>
      <c r="O3064" s="22"/>
      <c r="P3064" s="24"/>
      <c r="Q3064" s="26"/>
    </row>
    <row r="3065" spans="1:17" ht="15" x14ac:dyDescent="0.15">
      <c r="A3065" s="22"/>
      <c r="B3065" s="26" t="str">
        <f t="shared" si="188"/>
        <v/>
      </c>
      <c r="C3065" s="26" t="str">
        <f t="shared" si="189"/>
        <v/>
      </c>
      <c r="D3065" s="26" t="str">
        <f t="shared" si="190"/>
        <v/>
      </c>
      <c r="E3065" s="29"/>
      <c r="F3065" s="22"/>
      <c r="G3065" s="22"/>
      <c r="H3065" s="22"/>
      <c r="I3065" s="24"/>
      <c r="J3065" s="24"/>
      <c r="K3065" s="24"/>
      <c r="L3065" s="24"/>
      <c r="M3065" s="27" t="str">
        <f t="shared" si="191"/>
        <v/>
      </c>
      <c r="N3065" s="25"/>
      <c r="O3065" s="22"/>
      <c r="P3065" s="24"/>
      <c r="Q3065" s="26"/>
    </row>
    <row r="3066" spans="1:17" ht="15" x14ac:dyDescent="0.15">
      <c r="A3066" s="22"/>
      <c r="B3066" s="26" t="str">
        <f t="shared" si="188"/>
        <v/>
      </c>
      <c r="C3066" s="26" t="str">
        <f t="shared" si="189"/>
        <v/>
      </c>
      <c r="D3066" s="26" t="str">
        <f t="shared" si="190"/>
        <v/>
      </c>
      <c r="E3066" s="29"/>
      <c r="F3066" s="22"/>
      <c r="G3066" s="22"/>
      <c r="H3066" s="22"/>
      <c r="I3066" s="24"/>
      <c r="J3066" s="24"/>
      <c r="K3066" s="24"/>
      <c r="L3066" s="24"/>
      <c r="M3066" s="27" t="str">
        <f t="shared" si="191"/>
        <v/>
      </c>
      <c r="N3066" s="25"/>
      <c r="O3066" s="22"/>
      <c r="P3066" s="24"/>
      <c r="Q3066" s="26"/>
    </row>
    <row r="3067" spans="1:17" ht="15" x14ac:dyDescent="0.15">
      <c r="A3067" s="22"/>
      <c r="B3067" s="26" t="str">
        <f t="shared" si="188"/>
        <v/>
      </c>
      <c r="C3067" s="26" t="str">
        <f t="shared" si="189"/>
        <v/>
      </c>
      <c r="D3067" s="26" t="str">
        <f t="shared" si="190"/>
        <v/>
      </c>
      <c r="E3067" s="29"/>
      <c r="F3067" s="22"/>
      <c r="G3067" s="22"/>
      <c r="H3067" s="22"/>
      <c r="I3067" s="24"/>
      <c r="J3067" s="24"/>
      <c r="K3067" s="24"/>
      <c r="L3067" s="24"/>
      <c r="M3067" s="27" t="str">
        <f t="shared" si="191"/>
        <v/>
      </c>
      <c r="N3067" s="25"/>
      <c r="O3067" s="22"/>
      <c r="P3067" s="24"/>
      <c r="Q3067" s="26"/>
    </row>
    <row r="3068" spans="1:17" ht="15" x14ac:dyDescent="0.15">
      <c r="A3068" s="22"/>
      <c r="B3068" s="26" t="str">
        <f t="shared" si="188"/>
        <v/>
      </c>
      <c r="C3068" s="26" t="str">
        <f t="shared" si="189"/>
        <v/>
      </c>
      <c r="D3068" s="26" t="str">
        <f t="shared" si="190"/>
        <v/>
      </c>
      <c r="E3068" s="29"/>
      <c r="F3068" s="22"/>
      <c r="G3068" s="22"/>
      <c r="H3068" s="22"/>
      <c r="I3068" s="24"/>
      <c r="J3068" s="24"/>
      <c r="K3068" s="24"/>
      <c r="L3068" s="24"/>
      <c r="M3068" s="27" t="str">
        <f t="shared" si="191"/>
        <v/>
      </c>
      <c r="N3068" s="25"/>
      <c r="O3068" s="22"/>
      <c r="P3068" s="24"/>
      <c r="Q3068" s="26"/>
    </row>
    <row r="3069" spans="1:17" ht="15" x14ac:dyDescent="0.15">
      <c r="A3069" s="22"/>
      <c r="B3069" s="26" t="str">
        <f t="shared" si="188"/>
        <v/>
      </c>
      <c r="C3069" s="26" t="str">
        <f t="shared" si="189"/>
        <v/>
      </c>
      <c r="D3069" s="26" t="str">
        <f t="shared" si="190"/>
        <v/>
      </c>
      <c r="E3069" s="29"/>
      <c r="F3069" s="22"/>
      <c r="G3069" s="22"/>
      <c r="H3069" s="22"/>
      <c r="I3069" s="24"/>
      <c r="J3069" s="24"/>
      <c r="K3069" s="24"/>
      <c r="L3069" s="24"/>
      <c r="M3069" s="27" t="str">
        <f t="shared" si="191"/>
        <v/>
      </c>
      <c r="N3069" s="25"/>
      <c r="O3069" s="22"/>
      <c r="P3069" s="24"/>
      <c r="Q3069" s="26"/>
    </row>
    <row r="3070" spans="1:17" ht="15" x14ac:dyDescent="0.15">
      <c r="A3070" s="22"/>
      <c r="B3070" s="26" t="str">
        <f t="shared" si="188"/>
        <v/>
      </c>
      <c r="C3070" s="26" t="str">
        <f t="shared" si="189"/>
        <v/>
      </c>
      <c r="D3070" s="26" t="str">
        <f t="shared" si="190"/>
        <v/>
      </c>
      <c r="E3070" s="29"/>
      <c r="F3070" s="22"/>
      <c r="G3070" s="22"/>
      <c r="H3070" s="22"/>
      <c r="I3070" s="24"/>
      <c r="J3070" s="24"/>
      <c r="K3070" s="24"/>
      <c r="L3070" s="24"/>
      <c r="M3070" s="27" t="str">
        <f t="shared" si="191"/>
        <v/>
      </c>
      <c r="N3070" s="25"/>
      <c r="O3070" s="22"/>
      <c r="P3070" s="24"/>
      <c r="Q3070" s="26"/>
    </row>
    <row r="3071" spans="1:17" ht="15" x14ac:dyDescent="0.15">
      <c r="A3071" s="22"/>
      <c r="B3071" s="26" t="str">
        <f t="shared" si="188"/>
        <v/>
      </c>
      <c r="C3071" s="26" t="str">
        <f t="shared" si="189"/>
        <v/>
      </c>
      <c r="D3071" s="26" t="str">
        <f t="shared" si="190"/>
        <v/>
      </c>
      <c r="E3071" s="29"/>
      <c r="F3071" s="22"/>
      <c r="G3071" s="22"/>
      <c r="H3071" s="22"/>
      <c r="I3071" s="24"/>
      <c r="J3071" s="24"/>
      <c r="K3071" s="24"/>
      <c r="L3071" s="24"/>
      <c r="M3071" s="27" t="str">
        <f t="shared" si="191"/>
        <v/>
      </c>
      <c r="N3071" s="25"/>
      <c r="O3071" s="22"/>
      <c r="P3071" s="24"/>
      <c r="Q3071" s="26"/>
    </row>
    <row r="3072" spans="1:17" ht="15" x14ac:dyDescent="0.15">
      <c r="A3072" s="22"/>
      <c r="B3072" s="26" t="str">
        <f t="shared" si="188"/>
        <v/>
      </c>
      <c r="C3072" s="26" t="str">
        <f t="shared" si="189"/>
        <v/>
      </c>
      <c r="D3072" s="26" t="str">
        <f t="shared" si="190"/>
        <v/>
      </c>
      <c r="E3072" s="29"/>
      <c r="F3072" s="22"/>
      <c r="G3072" s="22"/>
      <c r="H3072" s="22"/>
      <c r="I3072" s="24"/>
      <c r="J3072" s="24"/>
      <c r="K3072" s="24"/>
      <c r="L3072" s="24"/>
      <c r="M3072" s="27" t="str">
        <f t="shared" si="191"/>
        <v/>
      </c>
      <c r="N3072" s="25"/>
      <c r="O3072" s="22"/>
      <c r="P3072" s="24"/>
      <c r="Q3072" s="26"/>
    </row>
    <row r="3073" spans="1:17" ht="15" x14ac:dyDescent="0.15">
      <c r="A3073" s="22"/>
      <c r="B3073" s="26" t="str">
        <f t="shared" si="188"/>
        <v/>
      </c>
      <c r="C3073" s="26" t="str">
        <f t="shared" si="189"/>
        <v/>
      </c>
      <c r="D3073" s="26" t="str">
        <f t="shared" si="190"/>
        <v/>
      </c>
      <c r="E3073" s="29"/>
      <c r="F3073" s="22"/>
      <c r="G3073" s="22"/>
      <c r="H3073" s="22"/>
      <c r="I3073" s="24"/>
      <c r="J3073" s="24"/>
      <c r="K3073" s="24"/>
      <c r="L3073" s="24"/>
      <c r="M3073" s="27" t="str">
        <f t="shared" si="191"/>
        <v/>
      </c>
      <c r="N3073" s="25"/>
      <c r="O3073" s="22"/>
      <c r="P3073" s="24"/>
      <c r="Q3073" s="26"/>
    </row>
    <row r="3074" spans="1:17" ht="15" x14ac:dyDescent="0.15">
      <c r="A3074" s="22"/>
      <c r="B3074" s="26" t="str">
        <f t="shared" si="188"/>
        <v/>
      </c>
      <c r="C3074" s="26" t="str">
        <f t="shared" si="189"/>
        <v/>
      </c>
      <c r="D3074" s="26" t="str">
        <f t="shared" si="190"/>
        <v/>
      </c>
      <c r="E3074" s="29"/>
      <c r="F3074" s="22"/>
      <c r="G3074" s="22"/>
      <c r="H3074" s="22"/>
      <c r="I3074" s="24"/>
      <c r="J3074" s="24"/>
      <c r="K3074" s="24"/>
      <c r="L3074" s="24"/>
      <c r="M3074" s="27" t="str">
        <f t="shared" si="191"/>
        <v/>
      </c>
      <c r="N3074" s="25"/>
      <c r="O3074" s="22"/>
      <c r="P3074" s="24"/>
      <c r="Q3074" s="26"/>
    </row>
    <row r="3075" spans="1:17" ht="15" x14ac:dyDescent="0.15">
      <c r="A3075" s="22"/>
      <c r="B3075" s="26" t="str">
        <f t="shared" si="188"/>
        <v/>
      </c>
      <c r="C3075" s="26" t="str">
        <f t="shared" si="189"/>
        <v/>
      </c>
      <c r="D3075" s="26" t="str">
        <f t="shared" si="190"/>
        <v/>
      </c>
      <c r="E3075" s="29"/>
      <c r="F3075" s="22"/>
      <c r="G3075" s="22"/>
      <c r="H3075" s="22"/>
      <c r="I3075" s="24"/>
      <c r="J3075" s="24"/>
      <c r="K3075" s="24"/>
      <c r="L3075" s="24"/>
      <c r="M3075" s="27" t="str">
        <f t="shared" si="191"/>
        <v/>
      </c>
      <c r="N3075" s="25"/>
      <c r="O3075" s="22"/>
      <c r="P3075" s="24"/>
      <c r="Q3075" s="26"/>
    </row>
    <row r="3076" spans="1:17" ht="15" x14ac:dyDescent="0.15">
      <c r="A3076" s="22"/>
      <c r="B3076" s="26" t="str">
        <f t="shared" si="188"/>
        <v/>
      </c>
      <c r="C3076" s="26" t="str">
        <f t="shared" si="189"/>
        <v/>
      </c>
      <c r="D3076" s="26" t="str">
        <f t="shared" si="190"/>
        <v/>
      </c>
      <c r="E3076" s="29"/>
      <c r="F3076" s="22"/>
      <c r="G3076" s="22"/>
      <c r="H3076" s="22"/>
      <c r="I3076" s="24"/>
      <c r="J3076" s="24"/>
      <c r="K3076" s="24"/>
      <c r="L3076" s="24"/>
      <c r="M3076" s="27" t="str">
        <f t="shared" si="191"/>
        <v/>
      </c>
      <c r="N3076" s="25"/>
      <c r="O3076" s="22"/>
      <c r="P3076" s="24"/>
      <c r="Q3076" s="26"/>
    </row>
    <row r="3077" spans="1:17" ht="15" x14ac:dyDescent="0.15">
      <c r="A3077" s="22"/>
      <c r="B3077" s="26" t="str">
        <f t="shared" si="188"/>
        <v/>
      </c>
      <c r="C3077" s="26" t="str">
        <f t="shared" si="189"/>
        <v/>
      </c>
      <c r="D3077" s="26" t="str">
        <f t="shared" si="190"/>
        <v/>
      </c>
      <c r="E3077" s="29"/>
      <c r="F3077" s="22"/>
      <c r="G3077" s="22"/>
      <c r="H3077" s="22"/>
      <c r="I3077" s="24"/>
      <c r="J3077" s="24"/>
      <c r="K3077" s="24"/>
      <c r="L3077" s="24"/>
      <c r="M3077" s="27" t="str">
        <f t="shared" si="191"/>
        <v/>
      </c>
      <c r="N3077" s="25"/>
      <c r="O3077" s="22"/>
      <c r="P3077" s="24"/>
      <c r="Q3077" s="26"/>
    </row>
    <row r="3078" spans="1:17" ht="15" x14ac:dyDescent="0.15">
      <c r="A3078" s="22"/>
      <c r="B3078" s="26" t="str">
        <f t="shared" si="188"/>
        <v/>
      </c>
      <c r="C3078" s="26" t="str">
        <f t="shared" si="189"/>
        <v/>
      </c>
      <c r="D3078" s="26" t="str">
        <f t="shared" si="190"/>
        <v/>
      </c>
      <c r="E3078" s="29"/>
      <c r="F3078" s="22"/>
      <c r="G3078" s="22"/>
      <c r="H3078" s="22"/>
      <c r="I3078" s="24"/>
      <c r="J3078" s="24"/>
      <c r="K3078" s="24"/>
      <c r="L3078" s="24"/>
      <c r="M3078" s="27" t="str">
        <f t="shared" si="191"/>
        <v/>
      </c>
      <c r="N3078" s="25"/>
      <c r="O3078" s="22"/>
      <c r="P3078" s="24"/>
      <c r="Q3078" s="26"/>
    </row>
    <row r="3079" spans="1:17" ht="15" x14ac:dyDescent="0.15">
      <c r="A3079" s="22"/>
      <c r="B3079" s="26" t="str">
        <f t="shared" ref="B3079:B3142" si="192">IFERROR(IF($A3079="","",LEFT($A3079,FIND(" | ",$A3079)-1)),"")</f>
        <v/>
      </c>
      <c r="C3079" s="26" t="str">
        <f t="shared" ref="C3079:C3142" si="193">IFERROR(IF($A3079="","",MID($A3079,FIND(" | ",$A3079)+3,FIND(" | ",$A3079,FIND(" | ",$A3079)+3)-FIND(" | ",$A3079)-3)),"")</f>
        <v/>
      </c>
      <c r="D3079" s="26" t="str">
        <f t="shared" ref="D3079:D3142" si="194">IFERROR(IF($A3079="","",RIGHT($A3079,LEN($A3079)-FIND(" | ",$A3079,FIND(" | ",$A3079)+3)-2)),"")</f>
        <v/>
      </c>
      <c r="E3079" s="29"/>
      <c r="F3079" s="22"/>
      <c r="G3079" s="22"/>
      <c r="H3079" s="22"/>
      <c r="I3079" s="24"/>
      <c r="J3079" s="24"/>
      <c r="K3079" s="24"/>
      <c r="L3079" s="24"/>
      <c r="M3079" s="27" t="str">
        <f t="shared" ref="M3079:M3142" si="195">IF($B3079="","",SUM($J3079,-$K3079,$L3079))</f>
        <v/>
      </c>
      <c r="N3079" s="25"/>
      <c r="O3079" s="22"/>
      <c r="P3079" s="24"/>
      <c r="Q3079" s="26"/>
    </row>
    <row r="3080" spans="1:17" ht="15" x14ac:dyDescent="0.15">
      <c r="A3080" s="22"/>
      <c r="B3080" s="26" t="str">
        <f t="shared" si="192"/>
        <v/>
      </c>
      <c r="C3080" s="26" t="str">
        <f t="shared" si="193"/>
        <v/>
      </c>
      <c r="D3080" s="26" t="str">
        <f t="shared" si="194"/>
        <v/>
      </c>
      <c r="E3080" s="29"/>
      <c r="F3080" s="22"/>
      <c r="G3080" s="22"/>
      <c r="H3080" s="22"/>
      <c r="I3080" s="24"/>
      <c r="J3080" s="24"/>
      <c r="K3080" s="24"/>
      <c r="L3080" s="24"/>
      <c r="M3080" s="27" t="str">
        <f t="shared" si="195"/>
        <v/>
      </c>
      <c r="N3080" s="25"/>
      <c r="O3080" s="22"/>
      <c r="P3080" s="24"/>
      <c r="Q3080" s="26"/>
    </row>
    <row r="3081" spans="1:17" ht="15" x14ac:dyDescent="0.15">
      <c r="A3081" s="22"/>
      <c r="B3081" s="26" t="str">
        <f t="shared" si="192"/>
        <v/>
      </c>
      <c r="C3081" s="26" t="str">
        <f t="shared" si="193"/>
        <v/>
      </c>
      <c r="D3081" s="26" t="str">
        <f t="shared" si="194"/>
        <v/>
      </c>
      <c r="E3081" s="29"/>
      <c r="F3081" s="22"/>
      <c r="G3081" s="22"/>
      <c r="H3081" s="22"/>
      <c r="I3081" s="24"/>
      <c r="J3081" s="24"/>
      <c r="K3081" s="24"/>
      <c r="L3081" s="24"/>
      <c r="M3081" s="27" t="str">
        <f t="shared" si="195"/>
        <v/>
      </c>
      <c r="N3081" s="25"/>
      <c r="O3081" s="22"/>
      <c r="P3081" s="24"/>
      <c r="Q3081" s="26"/>
    </row>
    <row r="3082" spans="1:17" ht="15" x14ac:dyDescent="0.15">
      <c r="A3082" s="22"/>
      <c r="B3082" s="26" t="str">
        <f t="shared" si="192"/>
        <v/>
      </c>
      <c r="C3082" s="26" t="str">
        <f t="shared" si="193"/>
        <v/>
      </c>
      <c r="D3082" s="26" t="str">
        <f t="shared" si="194"/>
        <v/>
      </c>
      <c r="E3082" s="29"/>
      <c r="F3082" s="22"/>
      <c r="G3082" s="22"/>
      <c r="H3082" s="22"/>
      <c r="I3082" s="24"/>
      <c r="J3082" s="24"/>
      <c r="K3082" s="24"/>
      <c r="L3082" s="24"/>
      <c r="M3082" s="27" t="str">
        <f t="shared" si="195"/>
        <v/>
      </c>
      <c r="N3082" s="25"/>
      <c r="O3082" s="22"/>
      <c r="P3082" s="24"/>
      <c r="Q3082" s="26"/>
    </row>
    <row r="3083" spans="1:17" ht="15" x14ac:dyDescent="0.15">
      <c r="A3083" s="22"/>
      <c r="B3083" s="26" t="str">
        <f t="shared" si="192"/>
        <v/>
      </c>
      <c r="C3083" s="26" t="str">
        <f t="shared" si="193"/>
        <v/>
      </c>
      <c r="D3083" s="26" t="str">
        <f t="shared" si="194"/>
        <v/>
      </c>
      <c r="E3083" s="29"/>
      <c r="F3083" s="22"/>
      <c r="G3083" s="22"/>
      <c r="H3083" s="22"/>
      <c r="I3083" s="24"/>
      <c r="J3083" s="24"/>
      <c r="K3083" s="24"/>
      <c r="L3083" s="24"/>
      <c r="M3083" s="27" t="str">
        <f t="shared" si="195"/>
        <v/>
      </c>
      <c r="N3083" s="25"/>
      <c r="O3083" s="22"/>
      <c r="P3083" s="24"/>
      <c r="Q3083" s="26"/>
    </row>
    <row r="3084" spans="1:17" ht="15" x14ac:dyDescent="0.15">
      <c r="A3084" s="22"/>
      <c r="B3084" s="26" t="str">
        <f t="shared" si="192"/>
        <v/>
      </c>
      <c r="C3084" s="26" t="str">
        <f t="shared" si="193"/>
        <v/>
      </c>
      <c r="D3084" s="26" t="str">
        <f t="shared" si="194"/>
        <v/>
      </c>
      <c r="E3084" s="29"/>
      <c r="F3084" s="22"/>
      <c r="G3084" s="22"/>
      <c r="H3084" s="22"/>
      <c r="I3084" s="24"/>
      <c r="J3084" s="24"/>
      <c r="K3084" s="24"/>
      <c r="L3084" s="24"/>
      <c r="M3084" s="27" t="str">
        <f t="shared" si="195"/>
        <v/>
      </c>
      <c r="N3084" s="25"/>
      <c r="O3084" s="22"/>
      <c r="P3084" s="24"/>
      <c r="Q3084" s="26"/>
    </row>
    <row r="3085" spans="1:17" ht="15" x14ac:dyDescent="0.15">
      <c r="A3085" s="22"/>
      <c r="B3085" s="26" t="str">
        <f t="shared" si="192"/>
        <v/>
      </c>
      <c r="C3085" s="26" t="str">
        <f t="shared" si="193"/>
        <v/>
      </c>
      <c r="D3085" s="26" t="str">
        <f t="shared" si="194"/>
        <v/>
      </c>
      <c r="E3085" s="29"/>
      <c r="F3085" s="22"/>
      <c r="G3085" s="22"/>
      <c r="H3085" s="22"/>
      <c r="I3085" s="24"/>
      <c r="J3085" s="24"/>
      <c r="K3085" s="24"/>
      <c r="L3085" s="24"/>
      <c r="M3085" s="27" t="str">
        <f t="shared" si="195"/>
        <v/>
      </c>
      <c r="N3085" s="25"/>
      <c r="O3085" s="22"/>
      <c r="P3085" s="24"/>
      <c r="Q3085" s="26"/>
    </row>
    <row r="3086" spans="1:17" ht="15" x14ac:dyDescent="0.15">
      <c r="A3086" s="22"/>
      <c r="B3086" s="26" t="str">
        <f t="shared" si="192"/>
        <v/>
      </c>
      <c r="C3086" s="26" t="str">
        <f t="shared" si="193"/>
        <v/>
      </c>
      <c r="D3086" s="26" t="str">
        <f t="shared" si="194"/>
        <v/>
      </c>
      <c r="E3086" s="29"/>
      <c r="F3086" s="22"/>
      <c r="G3086" s="22"/>
      <c r="H3086" s="22"/>
      <c r="I3086" s="24"/>
      <c r="J3086" s="24"/>
      <c r="K3086" s="24"/>
      <c r="L3086" s="24"/>
      <c r="M3086" s="27" t="str">
        <f t="shared" si="195"/>
        <v/>
      </c>
      <c r="N3086" s="25"/>
      <c r="O3086" s="22"/>
      <c r="P3086" s="24"/>
      <c r="Q3086" s="26"/>
    </row>
    <row r="3087" spans="1:17" ht="15" x14ac:dyDescent="0.15">
      <c r="A3087" s="22"/>
      <c r="B3087" s="26" t="str">
        <f t="shared" si="192"/>
        <v/>
      </c>
      <c r="C3087" s="26" t="str">
        <f t="shared" si="193"/>
        <v/>
      </c>
      <c r="D3087" s="26" t="str">
        <f t="shared" si="194"/>
        <v/>
      </c>
      <c r="E3087" s="29"/>
      <c r="F3087" s="22"/>
      <c r="G3087" s="22"/>
      <c r="H3087" s="22"/>
      <c r="I3087" s="24"/>
      <c r="J3087" s="24"/>
      <c r="K3087" s="24"/>
      <c r="L3087" s="24"/>
      <c r="M3087" s="27" t="str">
        <f t="shared" si="195"/>
        <v/>
      </c>
      <c r="N3087" s="25"/>
      <c r="O3087" s="22"/>
      <c r="P3087" s="24"/>
      <c r="Q3087" s="26"/>
    </row>
    <row r="3088" spans="1:17" ht="15" x14ac:dyDescent="0.15">
      <c r="A3088" s="22"/>
      <c r="B3088" s="26" t="str">
        <f t="shared" si="192"/>
        <v/>
      </c>
      <c r="C3088" s="26" t="str">
        <f t="shared" si="193"/>
        <v/>
      </c>
      <c r="D3088" s="26" t="str">
        <f t="shared" si="194"/>
        <v/>
      </c>
      <c r="E3088" s="29"/>
      <c r="F3088" s="22"/>
      <c r="G3088" s="22"/>
      <c r="H3088" s="22"/>
      <c r="I3088" s="24"/>
      <c r="J3088" s="24"/>
      <c r="K3088" s="24"/>
      <c r="L3088" s="24"/>
      <c r="M3088" s="27" t="str">
        <f t="shared" si="195"/>
        <v/>
      </c>
      <c r="N3088" s="25"/>
      <c r="O3088" s="22"/>
      <c r="P3088" s="24"/>
      <c r="Q3088" s="26"/>
    </row>
    <row r="3089" spans="1:17" ht="15" x14ac:dyDescent="0.15">
      <c r="A3089" s="22"/>
      <c r="B3089" s="26" t="str">
        <f t="shared" si="192"/>
        <v/>
      </c>
      <c r="C3089" s="26" t="str">
        <f t="shared" si="193"/>
        <v/>
      </c>
      <c r="D3089" s="26" t="str">
        <f t="shared" si="194"/>
        <v/>
      </c>
      <c r="E3089" s="29"/>
      <c r="F3089" s="22"/>
      <c r="G3089" s="22"/>
      <c r="H3089" s="22"/>
      <c r="I3089" s="24"/>
      <c r="J3089" s="24"/>
      <c r="K3089" s="24"/>
      <c r="L3089" s="24"/>
      <c r="M3089" s="27" t="str">
        <f t="shared" si="195"/>
        <v/>
      </c>
      <c r="N3089" s="25"/>
      <c r="O3089" s="22"/>
      <c r="P3089" s="24"/>
      <c r="Q3089" s="26"/>
    </row>
    <row r="3090" spans="1:17" ht="15" x14ac:dyDescent="0.15">
      <c r="A3090" s="22"/>
      <c r="B3090" s="26" t="str">
        <f t="shared" si="192"/>
        <v/>
      </c>
      <c r="C3090" s="26" t="str">
        <f t="shared" si="193"/>
        <v/>
      </c>
      <c r="D3090" s="26" t="str">
        <f t="shared" si="194"/>
        <v/>
      </c>
      <c r="E3090" s="29"/>
      <c r="F3090" s="22"/>
      <c r="G3090" s="22"/>
      <c r="H3090" s="22"/>
      <c r="I3090" s="24"/>
      <c r="J3090" s="24"/>
      <c r="K3090" s="24"/>
      <c r="L3090" s="24"/>
      <c r="M3090" s="27" t="str">
        <f t="shared" si="195"/>
        <v/>
      </c>
      <c r="N3090" s="25"/>
      <c r="O3090" s="22"/>
      <c r="P3090" s="24"/>
      <c r="Q3090" s="26"/>
    </row>
    <row r="3091" spans="1:17" ht="15" x14ac:dyDescent="0.15">
      <c r="A3091" s="22"/>
      <c r="B3091" s="26" t="str">
        <f t="shared" si="192"/>
        <v/>
      </c>
      <c r="C3091" s="26" t="str">
        <f t="shared" si="193"/>
        <v/>
      </c>
      <c r="D3091" s="26" t="str">
        <f t="shared" si="194"/>
        <v/>
      </c>
      <c r="E3091" s="29"/>
      <c r="F3091" s="22"/>
      <c r="G3091" s="22"/>
      <c r="H3091" s="22"/>
      <c r="I3091" s="24"/>
      <c r="J3091" s="24"/>
      <c r="K3091" s="24"/>
      <c r="L3091" s="24"/>
      <c r="M3091" s="27" t="str">
        <f t="shared" si="195"/>
        <v/>
      </c>
      <c r="N3091" s="25"/>
      <c r="O3091" s="22"/>
      <c r="P3091" s="24"/>
      <c r="Q3091" s="26"/>
    </row>
    <row r="3092" spans="1:17" ht="15" x14ac:dyDescent="0.15">
      <c r="A3092" s="22"/>
      <c r="B3092" s="26" t="str">
        <f t="shared" si="192"/>
        <v/>
      </c>
      <c r="C3092" s="26" t="str">
        <f t="shared" si="193"/>
        <v/>
      </c>
      <c r="D3092" s="26" t="str">
        <f t="shared" si="194"/>
        <v/>
      </c>
      <c r="E3092" s="29"/>
      <c r="F3092" s="22"/>
      <c r="G3092" s="22"/>
      <c r="H3092" s="22"/>
      <c r="I3092" s="24"/>
      <c r="J3092" s="24"/>
      <c r="K3092" s="24"/>
      <c r="L3092" s="24"/>
      <c r="M3092" s="27" t="str">
        <f t="shared" si="195"/>
        <v/>
      </c>
      <c r="N3092" s="25"/>
      <c r="O3092" s="22"/>
      <c r="P3092" s="24"/>
      <c r="Q3092" s="26"/>
    </row>
    <row r="3093" spans="1:17" ht="15" x14ac:dyDescent="0.15">
      <c r="A3093" s="22"/>
      <c r="B3093" s="26" t="str">
        <f t="shared" si="192"/>
        <v/>
      </c>
      <c r="C3093" s="26" t="str">
        <f t="shared" si="193"/>
        <v/>
      </c>
      <c r="D3093" s="26" t="str">
        <f t="shared" si="194"/>
        <v/>
      </c>
      <c r="E3093" s="29"/>
      <c r="F3093" s="22"/>
      <c r="G3093" s="22"/>
      <c r="H3093" s="22"/>
      <c r="I3093" s="24"/>
      <c r="J3093" s="24"/>
      <c r="K3093" s="24"/>
      <c r="L3093" s="24"/>
      <c r="M3093" s="27" t="str">
        <f t="shared" si="195"/>
        <v/>
      </c>
      <c r="N3093" s="25"/>
      <c r="O3093" s="22"/>
      <c r="P3093" s="24"/>
      <c r="Q3093" s="26"/>
    </row>
    <row r="3094" spans="1:17" ht="15" x14ac:dyDescent="0.15">
      <c r="A3094" s="22"/>
      <c r="B3094" s="26" t="str">
        <f t="shared" si="192"/>
        <v/>
      </c>
      <c r="C3094" s="26" t="str">
        <f t="shared" si="193"/>
        <v/>
      </c>
      <c r="D3094" s="26" t="str">
        <f t="shared" si="194"/>
        <v/>
      </c>
      <c r="E3094" s="29"/>
      <c r="F3094" s="22"/>
      <c r="G3094" s="22"/>
      <c r="H3094" s="22"/>
      <c r="I3094" s="24"/>
      <c r="J3094" s="24"/>
      <c r="K3094" s="24"/>
      <c r="L3094" s="24"/>
      <c r="M3094" s="27" t="str">
        <f t="shared" si="195"/>
        <v/>
      </c>
      <c r="N3094" s="25"/>
      <c r="O3094" s="22"/>
      <c r="P3094" s="24"/>
      <c r="Q3094" s="26"/>
    </row>
    <row r="3095" spans="1:17" ht="15" x14ac:dyDescent="0.15">
      <c r="A3095" s="22"/>
      <c r="B3095" s="26" t="str">
        <f t="shared" si="192"/>
        <v/>
      </c>
      <c r="C3095" s="26" t="str">
        <f t="shared" si="193"/>
        <v/>
      </c>
      <c r="D3095" s="26" t="str">
        <f t="shared" si="194"/>
        <v/>
      </c>
      <c r="E3095" s="29"/>
      <c r="F3095" s="22"/>
      <c r="G3095" s="22"/>
      <c r="H3095" s="22"/>
      <c r="I3095" s="24"/>
      <c r="J3095" s="24"/>
      <c r="K3095" s="24"/>
      <c r="L3095" s="24"/>
      <c r="M3095" s="27" t="str">
        <f t="shared" si="195"/>
        <v/>
      </c>
      <c r="N3095" s="25"/>
      <c r="O3095" s="22"/>
      <c r="P3095" s="24"/>
      <c r="Q3095" s="26"/>
    </row>
    <row r="3096" spans="1:17" ht="15" x14ac:dyDescent="0.15">
      <c r="A3096" s="22"/>
      <c r="B3096" s="26" t="str">
        <f t="shared" si="192"/>
        <v/>
      </c>
      <c r="C3096" s="26" t="str">
        <f t="shared" si="193"/>
        <v/>
      </c>
      <c r="D3096" s="26" t="str">
        <f t="shared" si="194"/>
        <v/>
      </c>
      <c r="E3096" s="29"/>
      <c r="F3096" s="22"/>
      <c r="G3096" s="22"/>
      <c r="H3096" s="22"/>
      <c r="I3096" s="24"/>
      <c r="J3096" s="24"/>
      <c r="K3096" s="24"/>
      <c r="L3096" s="24"/>
      <c r="M3096" s="27" t="str">
        <f t="shared" si="195"/>
        <v/>
      </c>
      <c r="N3096" s="25"/>
      <c r="O3096" s="22"/>
      <c r="P3096" s="24"/>
      <c r="Q3096" s="26"/>
    </row>
    <row r="3097" spans="1:17" ht="15" x14ac:dyDescent="0.15">
      <c r="A3097" s="22"/>
      <c r="B3097" s="26" t="str">
        <f t="shared" si="192"/>
        <v/>
      </c>
      <c r="C3097" s="26" t="str">
        <f t="shared" si="193"/>
        <v/>
      </c>
      <c r="D3097" s="26" t="str">
        <f t="shared" si="194"/>
        <v/>
      </c>
      <c r="E3097" s="29"/>
      <c r="F3097" s="22"/>
      <c r="G3097" s="22"/>
      <c r="H3097" s="22"/>
      <c r="I3097" s="24"/>
      <c r="J3097" s="24"/>
      <c r="K3097" s="24"/>
      <c r="L3097" s="24"/>
      <c r="M3097" s="27" t="str">
        <f t="shared" si="195"/>
        <v/>
      </c>
      <c r="N3097" s="25"/>
      <c r="O3097" s="22"/>
      <c r="P3097" s="24"/>
      <c r="Q3097" s="26"/>
    </row>
    <row r="3098" spans="1:17" ht="15" x14ac:dyDescent="0.15">
      <c r="A3098" s="22"/>
      <c r="B3098" s="26" t="str">
        <f t="shared" si="192"/>
        <v/>
      </c>
      <c r="C3098" s="26" t="str">
        <f t="shared" si="193"/>
        <v/>
      </c>
      <c r="D3098" s="26" t="str">
        <f t="shared" si="194"/>
        <v/>
      </c>
      <c r="E3098" s="29"/>
      <c r="F3098" s="22"/>
      <c r="G3098" s="22"/>
      <c r="H3098" s="22"/>
      <c r="I3098" s="24"/>
      <c r="J3098" s="24"/>
      <c r="K3098" s="24"/>
      <c r="L3098" s="24"/>
      <c r="M3098" s="27" t="str">
        <f t="shared" si="195"/>
        <v/>
      </c>
      <c r="N3098" s="25"/>
      <c r="O3098" s="22"/>
      <c r="P3098" s="24"/>
      <c r="Q3098" s="26"/>
    </row>
    <row r="3099" spans="1:17" ht="15" x14ac:dyDescent="0.15">
      <c r="A3099" s="22"/>
      <c r="B3099" s="26" t="str">
        <f t="shared" si="192"/>
        <v/>
      </c>
      <c r="C3099" s="26" t="str">
        <f t="shared" si="193"/>
        <v/>
      </c>
      <c r="D3099" s="26" t="str">
        <f t="shared" si="194"/>
        <v/>
      </c>
      <c r="E3099" s="29"/>
      <c r="F3099" s="22"/>
      <c r="G3099" s="22"/>
      <c r="H3099" s="22"/>
      <c r="I3099" s="24"/>
      <c r="J3099" s="24"/>
      <c r="K3099" s="24"/>
      <c r="L3099" s="24"/>
      <c r="M3099" s="27" t="str">
        <f t="shared" si="195"/>
        <v/>
      </c>
      <c r="N3099" s="25"/>
      <c r="O3099" s="22"/>
      <c r="P3099" s="24"/>
      <c r="Q3099" s="26"/>
    </row>
    <row r="3100" spans="1:17" ht="15" x14ac:dyDescent="0.15">
      <c r="A3100" s="22"/>
      <c r="B3100" s="26" t="str">
        <f t="shared" si="192"/>
        <v/>
      </c>
      <c r="C3100" s="26" t="str">
        <f t="shared" si="193"/>
        <v/>
      </c>
      <c r="D3100" s="26" t="str">
        <f t="shared" si="194"/>
        <v/>
      </c>
      <c r="E3100" s="29"/>
      <c r="F3100" s="22"/>
      <c r="G3100" s="22"/>
      <c r="H3100" s="22"/>
      <c r="I3100" s="24"/>
      <c r="J3100" s="24"/>
      <c r="K3100" s="24"/>
      <c r="L3100" s="24"/>
      <c r="M3100" s="27" t="str">
        <f t="shared" si="195"/>
        <v/>
      </c>
      <c r="N3100" s="25"/>
      <c r="O3100" s="22"/>
      <c r="P3100" s="24"/>
      <c r="Q3100" s="26"/>
    </row>
    <row r="3101" spans="1:17" ht="15" x14ac:dyDescent="0.15">
      <c r="A3101" s="22"/>
      <c r="B3101" s="26" t="str">
        <f t="shared" si="192"/>
        <v/>
      </c>
      <c r="C3101" s="26" t="str">
        <f t="shared" si="193"/>
        <v/>
      </c>
      <c r="D3101" s="26" t="str">
        <f t="shared" si="194"/>
        <v/>
      </c>
      <c r="E3101" s="29"/>
      <c r="F3101" s="22"/>
      <c r="G3101" s="22"/>
      <c r="H3101" s="22"/>
      <c r="I3101" s="24"/>
      <c r="J3101" s="24"/>
      <c r="K3101" s="24"/>
      <c r="L3101" s="24"/>
      <c r="M3101" s="27" t="str">
        <f t="shared" si="195"/>
        <v/>
      </c>
      <c r="N3101" s="25"/>
      <c r="O3101" s="22"/>
      <c r="P3101" s="24"/>
      <c r="Q3101" s="26"/>
    </row>
    <row r="3102" spans="1:17" ht="15" x14ac:dyDescent="0.15">
      <c r="A3102" s="22"/>
      <c r="B3102" s="26" t="str">
        <f t="shared" si="192"/>
        <v/>
      </c>
      <c r="C3102" s="26" t="str">
        <f t="shared" si="193"/>
        <v/>
      </c>
      <c r="D3102" s="26" t="str">
        <f t="shared" si="194"/>
        <v/>
      </c>
      <c r="E3102" s="29"/>
      <c r="F3102" s="22"/>
      <c r="G3102" s="22"/>
      <c r="H3102" s="22"/>
      <c r="I3102" s="24"/>
      <c r="J3102" s="24"/>
      <c r="K3102" s="24"/>
      <c r="L3102" s="24"/>
      <c r="M3102" s="27" t="str">
        <f t="shared" si="195"/>
        <v/>
      </c>
      <c r="N3102" s="25"/>
      <c r="O3102" s="22"/>
      <c r="P3102" s="24"/>
      <c r="Q3102" s="26"/>
    </row>
    <row r="3103" spans="1:17" ht="15" x14ac:dyDescent="0.15">
      <c r="A3103" s="22"/>
      <c r="B3103" s="26" t="str">
        <f t="shared" si="192"/>
        <v/>
      </c>
      <c r="C3103" s="26" t="str">
        <f t="shared" si="193"/>
        <v/>
      </c>
      <c r="D3103" s="26" t="str">
        <f t="shared" si="194"/>
        <v/>
      </c>
      <c r="E3103" s="29"/>
      <c r="F3103" s="22"/>
      <c r="G3103" s="22"/>
      <c r="H3103" s="22"/>
      <c r="I3103" s="24"/>
      <c r="J3103" s="24"/>
      <c r="K3103" s="24"/>
      <c r="L3103" s="24"/>
      <c r="M3103" s="27" t="str">
        <f t="shared" si="195"/>
        <v/>
      </c>
      <c r="N3103" s="25"/>
      <c r="O3103" s="22"/>
      <c r="P3103" s="24"/>
      <c r="Q3103" s="26"/>
    </row>
    <row r="3104" spans="1:17" ht="15" x14ac:dyDescent="0.15">
      <c r="A3104" s="22"/>
      <c r="B3104" s="26" t="str">
        <f t="shared" si="192"/>
        <v/>
      </c>
      <c r="C3104" s="26" t="str">
        <f t="shared" si="193"/>
        <v/>
      </c>
      <c r="D3104" s="26" t="str">
        <f t="shared" si="194"/>
        <v/>
      </c>
      <c r="E3104" s="29"/>
      <c r="F3104" s="22"/>
      <c r="G3104" s="22"/>
      <c r="H3104" s="22"/>
      <c r="I3104" s="24"/>
      <c r="J3104" s="24"/>
      <c r="K3104" s="24"/>
      <c r="L3104" s="24"/>
      <c r="M3104" s="27" t="str">
        <f t="shared" si="195"/>
        <v/>
      </c>
      <c r="N3104" s="25"/>
      <c r="O3104" s="22"/>
      <c r="P3104" s="24"/>
      <c r="Q3104" s="26"/>
    </row>
    <row r="3105" spans="1:17" ht="15" x14ac:dyDescent="0.15">
      <c r="A3105" s="22"/>
      <c r="B3105" s="26" t="str">
        <f t="shared" si="192"/>
        <v/>
      </c>
      <c r="C3105" s="26" t="str">
        <f t="shared" si="193"/>
        <v/>
      </c>
      <c r="D3105" s="26" t="str">
        <f t="shared" si="194"/>
        <v/>
      </c>
      <c r="E3105" s="29"/>
      <c r="F3105" s="22"/>
      <c r="G3105" s="22"/>
      <c r="H3105" s="22"/>
      <c r="I3105" s="24"/>
      <c r="J3105" s="24"/>
      <c r="K3105" s="24"/>
      <c r="L3105" s="24"/>
      <c r="M3105" s="27" t="str">
        <f t="shared" si="195"/>
        <v/>
      </c>
      <c r="N3105" s="25"/>
      <c r="O3105" s="22"/>
      <c r="P3105" s="24"/>
      <c r="Q3105" s="26"/>
    </row>
    <row r="3106" spans="1:17" ht="15" x14ac:dyDescent="0.15">
      <c r="A3106" s="22"/>
      <c r="B3106" s="26" t="str">
        <f t="shared" si="192"/>
        <v/>
      </c>
      <c r="C3106" s="26" t="str">
        <f t="shared" si="193"/>
        <v/>
      </c>
      <c r="D3106" s="26" t="str">
        <f t="shared" si="194"/>
        <v/>
      </c>
      <c r="E3106" s="29"/>
      <c r="F3106" s="22"/>
      <c r="G3106" s="22"/>
      <c r="H3106" s="22"/>
      <c r="I3106" s="24"/>
      <c r="J3106" s="24"/>
      <c r="K3106" s="24"/>
      <c r="L3106" s="24"/>
      <c r="M3106" s="27" t="str">
        <f t="shared" si="195"/>
        <v/>
      </c>
      <c r="N3106" s="25"/>
      <c r="O3106" s="22"/>
      <c r="P3106" s="24"/>
      <c r="Q3106" s="26"/>
    </row>
    <row r="3107" spans="1:17" ht="15" x14ac:dyDescent="0.15">
      <c r="A3107" s="22"/>
      <c r="B3107" s="26" t="str">
        <f t="shared" si="192"/>
        <v/>
      </c>
      <c r="C3107" s="26" t="str">
        <f t="shared" si="193"/>
        <v/>
      </c>
      <c r="D3107" s="26" t="str">
        <f t="shared" si="194"/>
        <v/>
      </c>
      <c r="E3107" s="29"/>
      <c r="F3107" s="22"/>
      <c r="G3107" s="22"/>
      <c r="H3107" s="22"/>
      <c r="I3107" s="24"/>
      <c r="J3107" s="24"/>
      <c r="K3107" s="24"/>
      <c r="L3107" s="24"/>
      <c r="M3107" s="27" t="str">
        <f t="shared" si="195"/>
        <v/>
      </c>
      <c r="N3107" s="25"/>
      <c r="O3107" s="22"/>
      <c r="P3107" s="24"/>
      <c r="Q3107" s="26"/>
    </row>
    <row r="3108" spans="1:17" ht="15" x14ac:dyDescent="0.15">
      <c r="A3108" s="22"/>
      <c r="B3108" s="26" t="str">
        <f t="shared" si="192"/>
        <v/>
      </c>
      <c r="C3108" s="26" t="str">
        <f t="shared" si="193"/>
        <v/>
      </c>
      <c r="D3108" s="26" t="str">
        <f t="shared" si="194"/>
        <v/>
      </c>
      <c r="E3108" s="29"/>
      <c r="F3108" s="22"/>
      <c r="G3108" s="22"/>
      <c r="H3108" s="22"/>
      <c r="I3108" s="24"/>
      <c r="J3108" s="24"/>
      <c r="K3108" s="24"/>
      <c r="L3108" s="24"/>
      <c r="M3108" s="27" t="str">
        <f t="shared" si="195"/>
        <v/>
      </c>
      <c r="N3108" s="25"/>
      <c r="O3108" s="22"/>
      <c r="P3108" s="24"/>
      <c r="Q3108" s="26"/>
    </row>
    <row r="3109" spans="1:17" ht="15" x14ac:dyDescent="0.15">
      <c r="A3109" s="22"/>
      <c r="B3109" s="26" t="str">
        <f t="shared" si="192"/>
        <v/>
      </c>
      <c r="C3109" s="26" t="str">
        <f t="shared" si="193"/>
        <v/>
      </c>
      <c r="D3109" s="26" t="str">
        <f t="shared" si="194"/>
        <v/>
      </c>
      <c r="E3109" s="29"/>
      <c r="F3109" s="22"/>
      <c r="G3109" s="22"/>
      <c r="H3109" s="22"/>
      <c r="I3109" s="24"/>
      <c r="J3109" s="24"/>
      <c r="K3109" s="24"/>
      <c r="L3109" s="24"/>
      <c r="M3109" s="27" t="str">
        <f t="shared" si="195"/>
        <v/>
      </c>
      <c r="N3109" s="25"/>
      <c r="O3109" s="22"/>
      <c r="P3109" s="24"/>
      <c r="Q3109" s="26"/>
    </row>
    <row r="3110" spans="1:17" ht="15" x14ac:dyDescent="0.15">
      <c r="A3110" s="22"/>
      <c r="B3110" s="26" t="str">
        <f t="shared" si="192"/>
        <v/>
      </c>
      <c r="C3110" s="26" t="str">
        <f t="shared" si="193"/>
        <v/>
      </c>
      <c r="D3110" s="26" t="str">
        <f t="shared" si="194"/>
        <v/>
      </c>
      <c r="E3110" s="29"/>
      <c r="F3110" s="22"/>
      <c r="G3110" s="22"/>
      <c r="H3110" s="22"/>
      <c r="I3110" s="24"/>
      <c r="J3110" s="24"/>
      <c r="K3110" s="24"/>
      <c r="L3110" s="24"/>
      <c r="M3110" s="27" t="str">
        <f t="shared" si="195"/>
        <v/>
      </c>
      <c r="N3110" s="25"/>
      <c r="O3110" s="22"/>
      <c r="P3110" s="24"/>
      <c r="Q3110" s="26"/>
    </row>
    <row r="3111" spans="1:17" ht="15" x14ac:dyDescent="0.15">
      <c r="A3111" s="22"/>
      <c r="B3111" s="26" t="str">
        <f t="shared" si="192"/>
        <v/>
      </c>
      <c r="C3111" s="26" t="str">
        <f t="shared" si="193"/>
        <v/>
      </c>
      <c r="D3111" s="26" t="str">
        <f t="shared" si="194"/>
        <v/>
      </c>
      <c r="E3111" s="29"/>
      <c r="F3111" s="22"/>
      <c r="G3111" s="22"/>
      <c r="H3111" s="22"/>
      <c r="I3111" s="24"/>
      <c r="J3111" s="24"/>
      <c r="K3111" s="24"/>
      <c r="L3111" s="24"/>
      <c r="M3111" s="27" t="str">
        <f t="shared" si="195"/>
        <v/>
      </c>
      <c r="N3111" s="25"/>
      <c r="O3111" s="22"/>
      <c r="P3111" s="24"/>
      <c r="Q3111" s="26"/>
    </row>
    <row r="3112" spans="1:17" ht="15" x14ac:dyDescent="0.15">
      <c r="A3112" s="22"/>
      <c r="B3112" s="26" t="str">
        <f t="shared" si="192"/>
        <v/>
      </c>
      <c r="C3112" s="26" t="str">
        <f t="shared" si="193"/>
        <v/>
      </c>
      <c r="D3112" s="26" t="str">
        <f t="shared" si="194"/>
        <v/>
      </c>
      <c r="E3112" s="29"/>
      <c r="F3112" s="22"/>
      <c r="G3112" s="22"/>
      <c r="H3112" s="22"/>
      <c r="I3112" s="24"/>
      <c r="J3112" s="24"/>
      <c r="K3112" s="24"/>
      <c r="L3112" s="24"/>
      <c r="M3112" s="27" t="str">
        <f t="shared" si="195"/>
        <v/>
      </c>
      <c r="N3112" s="25"/>
      <c r="O3112" s="22"/>
      <c r="P3112" s="24"/>
      <c r="Q3112" s="26"/>
    </row>
    <row r="3113" spans="1:17" ht="15" x14ac:dyDescent="0.15">
      <c r="A3113" s="22"/>
      <c r="B3113" s="26" t="str">
        <f t="shared" si="192"/>
        <v/>
      </c>
      <c r="C3113" s="26" t="str">
        <f t="shared" si="193"/>
        <v/>
      </c>
      <c r="D3113" s="26" t="str">
        <f t="shared" si="194"/>
        <v/>
      </c>
      <c r="E3113" s="29"/>
      <c r="F3113" s="22"/>
      <c r="G3113" s="22"/>
      <c r="H3113" s="22"/>
      <c r="I3113" s="24"/>
      <c r="J3113" s="24"/>
      <c r="K3113" s="24"/>
      <c r="L3113" s="24"/>
      <c r="M3113" s="27" t="str">
        <f t="shared" si="195"/>
        <v/>
      </c>
      <c r="N3113" s="25"/>
      <c r="O3113" s="22"/>
      <c r="P3113" s="24"/>
      <c r="Q3113" s="26"/>
    </row>
    <row r="3114" spans="1:17" ht="15" x14ac:dyDescent="0.15">
      <c r="A3114" s="22"/>
      <c r="B3114" s="26" t="str">
        <f t="shared" si="192"/>
        <v/>
      </c>
      <c r="C3114" s="26" t="str">
        <f t="shared" si="193"/>
        <v/>
      </c>
      <c r="D3114" s="26" t="str">
        <f t="shared" si="194"/>
        <v/>
      </c>
      <c r="E3114" s="29"/>
      <c r="F3114" s="22"/>
      <c r="G3114" s="22"/>
      <c r="H3114" s="22"/>
      <c r="I3114" s="24"/>
      <c r="J3114" s="24"/>
      <c r="K3114" s="24"/>
      <c r="L3114" s="24"/>
      <c r="M3114" s="27" t="str">
        <f t="shared" si="195"/>
        <v/>
      </c>
      <c r="N3114" s="25"/>
      <c r="O3114" s="22"/>
      <c r="P3114" s="24"/>
      <c r="Q3114" s="26"/>
    </row>
    <row r="3115" spans="1:17" ht="15" x14ac:dyDescent="0.15">
      <c r="A3115" s="22"/>
      <c r="B3115" s="26" t="str">
        <f t="shared" si="192"/>
        <v/>
      </c>
      <c r="C3115" s="26" t="str">
        <f t="shared" si="193"/>
        <v/>
      </c>
      <c r="D3115" s="26" t="str">
        <f t="shared" si="194"/>
        <v/>
      </c>
      <c r="E3115" s="29"/>
      <c r="F3115" s="22"/>
      <c r="G3115" s="22"/>
      <c r="H3115" s="22"/>
      <c r="I3115" s="24"/>
      <c r="J3115" s="24"/>
      <c r="K3115" s="24"/>
      <c r="L3115" s="24"/>
      <c r="M3115" s="27" t="str">
        <f t="shared" si="195"/>
        <v/>
      </c>
      <c r="N3115" s="25"/>
      <c r="O3115" s="22"/>
      <c r="P3115" s="24"/>
      <c r="Q3115" s="26"/>
    </row>
    <row r="3116" spans="1:17" ht="15" x14ac:dyDescent="0.15">
      <c r="A3116" s="22"/>
      <c r="B3116" s="26" t="str">
        <f t="shared" si="192"/>
        <v/>
      </c>
      <c r="C3116" s="26" t="str">
        <f t="shared" si="193"/>
        <v/>
      </c>
      <c r="D3116" s="26" t="str">
        <f t="shared" si="194"/>
        <v/>
      </c>
      <c r="E3116" s="29"/>
      <c r="F3116" s="22"/>
      <c r="G3116" s="22"/>
      <c r="H3116" s="22"/>
      <c r="I3116" s="24"/>
      <c r="J3116" s="24"/>
      <c r="K3116" s="24"/>
      <c r="L3116" s="24"/>
      <c r="M3116" s="27" t="str">
        <f t="shared" si="195"/>
        <v/>
      </c>
      <c r="N3116" s="25"/>
      <c r="O3116" s="22"/>
      <c r="P3116" s="24"/>
      <c r="Q3116" s="26"/>
    </row>
    <row r="3117" spans="1:17" ht="15" x14ac:dyDescent="0.15">
      <c r="A3117" s="22"/>
      <c r="B3117" s="26" t="str">
        <f t="shared" si="192"/>
        <v/>
      </c>
      <c r="C3117" s="26" t="str">
        <f t="shared" si="193"/>
        <v/>
      </c>
      <c r="D3117" s="26" t="str">
        <f t="shared" si="194"/>
        <v/>
      </c>
      <c r="E3117" s="29"/>
      <c r="F3117" s="22"/>
      <c r="G3117" s="22"/>
      <c r="H3117" s="22"/>
      <c r="I3117" s="24"/>
      <c r="J3117" s="24"/>
      <c r="K3117" s="24"/>
      <c r="L3117" s="24"/>
      <c r="M3117" s="27" t="str">
        <f t="shared" si="195"/>
        <v/>
      </c>
      <c r="N3117" s="25"/>
      <c r="O3117" s="22"/>
      <c r="P3117" s="24"/>
      <c r="Q3117" s="26"/>
    </row>
    <row r="3118" spans="1:17" ht="15" x14ac:dyDescent="0.15">
      <c r="A3118" s="22"/>
      <c r="B3118" s="26" t="str">
        <f t="shared" si="192"/>
        <v/>
      </c>
      <c r="C3118" s="26" t="str">
        <f t="shared" si="193"/>
        <v/>
      </c>
      <c r="D3118" s="26" t="str">
        <f t="shared" si="194"/>
        <v/>
      </c>
      <c r="E3118" s="29"/>
      <c r="F3118" s="22"/>
      <c r="G3118" s="22"/>
      <c r="H3118" s="22"/>
      <c r="I3118" s="24"/>
      <c r="J3118" s="24"/>
      <c r="K3118" s="24"/>
      <c r="L3118" s="24"/>
      <c r="M3118" s="27" t="str">
        <f t="shared" si="195"/>
        <v/>
      </c>
      <c r="N3118" s="25"/>
      <c r="O3118" s="22"/>
      <c r="P3118" s="24"/>
      <c r="Q3118" s="26"/>
    </row>
    <row r="3119" spans="1:17" ht="15" x14ac:dyDescent="0.15">
      <c r="A3119" s="22"/>
      <c r="B3119" s="26" t="str">
        <f t="shared" si="192"/>
        <v/>
      </c>
      <c r="C3119" s="26" t="str">
        <f t="shared" si="193"/>
        <v/>
      </c>
      <c r="D3119" s="26" t="str">
        <f t="shared" si="194"/>
        <v/>
      </c>
      <c r="E3119" s="29"/>
      <c r="F3119" s="22"/>
      <c r="G3119" s="22"/>
      <c r="H3119" s="22"/>
      <c r="I3119" s="24"/>
      <c r="J3119" s="24"/>
      <c r="K3119" s="24"/>
      <c r="L3119" s="24"/>
      <c r="M3119" s="27" t="str">
        <f t="shared" si="195"/>
        <v/>
      </c>
      <c r="N3119" s="25"/>
      <c r="O3119" s="22"/>
      <c r="P3119" s="24"/>
      <c r="Q3119" s="26"/>
    </row>
    <row r="3120" spans="1:17" ht="15" x14ac:dyDescent="0.15">
      <c r="A3120" s="22"/>
      <c r="B3120" s="26" t="str">
        <f t="shared" si="192"/>
        <v/>
      </c>
      <c r="C3120" s="26" t="str">
        <f t="shared" si="193"/>
        <v/>
      </c>
      <c r="D3120" s="26" t="str">
        <f t="shared" si="194"/>
        <v/>
      </c>
      <c r="E3120" s="29"/>
      <c r="F3120" s="22"/>
      <c r="G3120" s="22"/>
      <c r="H3120" s="22"/>
      <c r="I3120" s="24"/>
      <c r="J3120" s="24"/>
      <c r="K3120" s="24"/>
      <c r="L3120" s="24"/>
      <c r="M3120" s="27" t="str">
        <f t="shared" si="195"/>
        <v/>
      </c>
      <c r="N3120" s="25"/>
      <c r="O3120" s="22"/>
      <c r="P3120" s="24"/>
      <c r="Q3120" s="26"/>
    </row>
    <row r="3121" spans="1:17" ht="15" x14ac:dyDescent="0.15">
      <c r="A3121" s="22"/>
      <c r="B3121" s="26" t="str">
        <f t="shared" si="192"/>
        <v/>
      </c>
      <c r="C3121" s="26" t="str">
        <f t="shared" si="193"/>
        <v/>
      </c>
      <c r="D3121" s="26" t="str">
        <f t="shared" si="194"/>
        <v/>
      </c>
      <c r="E3121" s="29"/>
      <c r="F3121" s="22"/>
      <c r="G3121" s="22"/>
      <c r="H3121" s="22"/>
      <c r="I3121" s="24"/>
      <c r="J3121" s="24"/>
      <c r="K3121" s="24"/>
      <c r="L3121" s="24"/>
      <c r="M3121" s="27" t="str">
        <f t="shared" si="195"/>
        <v/>
      </c>
      <c r="N3121" s="25"/>
      <c r="O3121" s="22"/>
      <c r="P3121" s="24"/>
      <c r="Q3121" s="26"/>
    </row>
    <row r="3122" spans="1:17" ht="15" x14ac:dyDescent="0.15">
      <c r="A3122" s="22"/>
      <c r="B3122" s="26" t="str">
        <f t="shared" si="192"/>
        <v/>
      </c>
      <c r="C3122" s="26" t="str">
        <f t="shared" si="193"/>
        <v/>
      </c>
      <c r="D3122" s="26" t="str">
        <f t="shared" si="194"/>
        <v/>
      </c>
      <c r="E3122" s="29"/>
      <c r="F3122" s="22"/>
      <c r="G3122" s="22"/>
      <c r="H3122" s="22"/>
      <c r="I3122" s="24"/>
      <c r="J3122" s="24"/>
      <c r="K3122" s="24"/>
      <c r="L3122" s="24"/>
      <c r="M3122" s="27" t="str">
        <f t="shared" si="195"/>
        <v/>
      </c>
      <c r="N3122" s="25"/>
      <c r="O3122" s="22"/>
      <c r="P3122" s="24"/>
      <c r="Q3122" s="26"/>
    </row>
    <row r="3123" spans="1:17" ht="15" x14ac:dyDescent="0.15">
      <c r="A3123" s="22"/>
      <c r="B3123" s="26" t="str">
        <f t="shared" si="192"/>
        <v/>
      </c>
      <c r="C3123" s="26" t="str">
        <f t="shared" si="193"/>
        <v/>
      </c>
      <c r="D3123" s="26" t="str">
        <f t="shared" si="194"/>
        <v/>
      </c>
      <c r="E3123" s="29"/>
      <c r="F3123" s="22"/>
      <c r="G3123" s="22"/>
      <c r="H3123" s="22"/>
      <c r="I3123" s="24"/>
      <c r="J3123" s="24"/>
      <c r="K3123" s="24"/>
      <c r="L3123" s="24"/>
      <c r="M3123" s="27" t="str">
        <f t="shared" si="195"/>
        <v/>
      </c>
      <c r="N3123" s="25"/>
      <c r="O3123" s="22"/>
      <c r="P3123" s="24"/>
      <c r="Q3123" s="26"/>
    </row>
    <row r="3124" spans="1:17" ht="15" x14ac:dyDescent="0.15">
      <c r="A3124" s="22"/>
      <c r="B3124" s="26" t="str">
        <f t="shared" si="192"/>
        <v/>
      </c>
      <c r="C3124" s="26" t="str">
        <f t="shared" si="193"/>
        <v/>
      </c>
      <c r="D3124" s="26" t="str">
        <f t="shared" si="194"/>
        <v/>
      </c>
      <c r="E3124" s="29"/>
      <c r="F3124" s="22"/>
      <c r="G3124" s="22"/>
      <c r="H3124" s="22"/>
      <c r="I3124" s="24"/>
      <c r="J3124" s="24"/>
      <c r="K3124" s="24"/>
      <c r="L3124" s="24"/>
      <c r="M3124" s="27" t="str">
        <f t="shared" si="195"/>
        <v/>
      </c>
      <c r="N3124" s="25"/>
      <c r="O3124" s="22"/>
      <c r="P3124" s="24"/>
      <c r="Q3124" s="26"/>
    </row>
    <row r="3125" spans="1:17" ht="15" x14ac:dyDescent="0.15">
      <c r="A3125" s="22"/>
      <c r="B3125" s="26" t="str">
        <f t="shared" si="192"/>
        <v/>
      </c>
      <c r="C3125" s="26" t="str">
        <f t="shared" si="193"/>
        <v/>
      </c>
      <c r="D3125" s="26" t="str">
        <f t="shared" si="194"/>
        <v/>
      </c>
      <c r="E3125" s="29"/>
      <c r="F3125" s="22"/>
      <c r="G3125" s="22"/>
      <c r="H3125" s="22"/>
      <c r="I3125" s="24"/>
      <c r="J3125" s="24"/>
      <c r="K3125" s="24"/>
      <c r="L3125" s="24"/>
      <c r="M3125" s="27" t="str">
        <f t="shared" si="195"/>
        <v/>
      </c>
      <c r="N3125" s="25"/>
      <c r="O3125" s="22"/>
      <c r="P3125" s="24"/>
      <c r="Q3125" s="26"/>
    </row>
    <row r="3126" spans="1:17" ht="15" x14ac:dyDescent="0.15">
      <c r="A3126" s="22"/>
      <c r="B3126" s="26" t="str">
        <f t="shared" si="192"/>
        <v/>
      </c>
      <c r="C3126" s="26" t="str">
        <f t="shared" si="193"/>
        <v/>
      </c>
      <c r="D3126" s="26" t="str">
        <f t="shared" si="194"/>
        <v/>
      </c>
      <c r="E3126" s="29"/>
      <c r="F3126" s="22"/>
      <c r="G3126" s="22"/>
      <c r="H3126" s="22"/>
      <c r="I3126" s="24"/>
      <c r="J3126" s="24"/>
      <c r="K3126" s="24"/>
      <c r="L3126" s="24"/>
      <c r="M3126" s="27" t="str">
        <f t="shared" si="195"/>
        <v/>
      </c>
      <c r="N3126" s="25"/>
      <c r="O3126" s="22"/>
      <c r="P3126" s="24"/>
      <c r="Q3126" s="26"/>
    </row>
    <row r="3127" spans="1:17" ht="15" x14ac:dyDescent="0.15">
      <c r="A3127" s="22"/>
      <c r="B3127" s="26" t="str">
        <f t="shared" si="192"/>
        <v/>
      </c>
      <c r="C3127" s="26" t="str">
        <f t="shared" si="193"/>
        <v/>
      </c>
      <c r="D3127" s="26" t="str">
        <f t="shared" si="194"/>
        <v/>
      </c>
      <c r="E3127" s="29"/>
      <c r="F3127" s="22"/>
      <c r="G3127" s="22"/>
      <c r="H3127" s="22"/>
      <c r="I3127" s="24"/>
      <c r="J3127" s="24"/>
      <c r="K3127" s="24"/>
      <c r="L3127" s="24"/>
      <c r="M3127" s="27" t="str">
        <f t="shared" si="195"/>
        <v/>
      </c>
      <c r="N3127" s="25"/>
      <c r="O3127" s="22"/>
      <c r="P3127" s="24"/>
      <c r="Q3127" s="26"/>
    </row>
    <row r="3128" spans="1:17" ht="15" x14ac:dyDescent="0.15">
      <c r="A3128" s="22"/>
      <c r="B3128" s="26" t="str">
        <f t="shared" si="192"/>
        <v/>
      </c>
      <c r="C3128" s="26" t="str">
        <f t="shared" si="193"/>
        <v/>
      </c>
      <c r="D3128" s="26" t="str">
        <f t="shared" si="194"/>
        <v/>
      </c>
      <c r="E3128" s="29"/>
      <c r="F3128" s="22"/>
      <c r="G3128" s="22"/>
      <c r="H3128" s="22"/>
      <c r="I3128" s="24"/>
      <c r="J3128" s="24"/>
      <c r="K3128" s="24"/>
      <c r="L3128" s="24"/>
      <c r="M3128" s="27" t="str">
        <f t="shared" si="195"/>
        <v/>
      </c>
      <c r="N3128" s="25"/>
      <c r="O3128" s="22"/>
      <c r="P3128" s="24"/>
      <c r="Q3128" s="26"/>
    </row>
    <row r="3129" spans="1:17" ht="15" x14ac:dyDescent="0.15">
      <c r="A3129" s="22"/>
      <c r="B3129" s="26" t="str">
        <f t="shared" si="192"/>
        <v/>
      </c>
      <c r="C3129" s="26" t="str">
        <f t="shared" si="193"/>
        <v/>
      </c>
      <c r="D3129" s="26" t="str">
        <f t="shared" si="194"/>
        <v/>
      </c>
      <c r="E3129" s="29"/>
      <c r="F3129" s="22"/>
      <c r="G3129" s="22"/>
      <c r="H3129" s="22"/>
      <c r="I3129" s="24"/>
      <c r="J3129" s="24"/>
      <c r="K3129" s="24"/>
      <c r="L3129" s="24"/>
      <c r="M3129" s="27" t="str">
        <f t="shared" si="195"/>
        <v/>
      </c>
      <c r="N3129" s="25"/>
      <c r="O3129" s="22"/>
      <c r="P3129" s="24"/>
      <c r="Q3129" s="26"/>
    </row>
    <row r="3130" spans="1:17" ht="15" x14ac:dyDescent="0.15">
      <c r="A3130" s="22"/>
      <c r="B3130" s="26" t="str">
        <f t="shared" si="192"/>
        <v/>
      </c>
      <c r="C3130" s="26" t="str">
        <f t="shared" si="193"/>
        <v/>
      </c>
      <c r="D3130" s="26" t="str">
        <f t="shared" si="194"/>
        <v/>
      </c>
      <c r="E3130" s="29"/>
      <c r="F3130" s="22"/>
      <c r="G3130" s="22"/>
      <c r="H3130" s="22"/>
      <c r="I3130" s="24"/>
      <c r="J3130" s="24"/>
      <c r="K3130" s="24"/>
      <c r="L3130" s="24"/>
      <c r="M3130" s="27" t="str">
        <f t="shared" si="195"/>
        <v/>
      </c>
      <c r="N3130" s="25"/>
      <c r="O3130" s="22"/>
      <c r="P3130" s="24"/>
      <c r="Q3130" s="26"/>
    </row>
    <row r="3131" spans="1:17" ht="15" x14ac:dyDescent="0.15">
      <c r="A3131" s="22"/>
      <c r="B3131" s="26" t="str">
        <f t="shared" si="192"/>
        <v/>
      </c>
      <c r="C3131" s="26" t="str">
        <f t="shared" si="193"/>
        <v/>
      </c>
      <c r="D3131" s="26" t="str">
        <f t="shared" si="194"/>
        <v/>
      </c>
      <c r="E3131" s="29"/>
      <c r="F3131" s="22"/>
      <c r="G3131" s="22"/>
      <c r="H3131" s="22"/>
      <c r="I3131" s="24"/>
      <c r="J3131" s="24"/>
      <c r="K3131" s="24"/>
      <c r="L3131" s="24"/>
      <c r="M3131" s="27" t="str">
        <f t="shared" si="195"/>
        <v/>
      </c>
      <c r="N3131" s="25"/>
      <c r="O3131" s="22"/>
      <c r="P3131" s="24"/>
      <c r="Q3131" s="26"/>
    </row>
    <row r="3132" spans="1:17" ht="15" x14ac:dyDescent="0.15">
      <c r="A3132" s="22"/>
      <c r="B3132" s="26" t="str">
        <f t="shared" si="192"/>
        <v/>
      </c>
      <c r="C3132" s="26" t="str">
        <f t="shared" si="193"/>
        <v/>
      </c>
      <c r="D3132" s="26" t="str">
        <f t="shared" si="194"/>
        <v/>
      </c>
      <c r="E3132" s="29"/>
      <c r="F3132" s="22"/>
      <c r="G3132" s="22"/>
      <c r="H3132" s="22"/>
      <c r="I3132" s="24"/>
      <c r="J3132" s="24"/>
      <c r="K3132" s="24"/>
      <c r="L3132" s="24"/>
      <c r="M3132" s="27" t="str">
        <f t="shared" si="195"/>
        <v/>
      </c>
      <c r="N3132" s="25"/>
      <c r="O3132" s="22"/>
      <c r="P3132" s="24"/>
      <c r="Q3132" s="26"/>
    </row>
    <row r="3133" spans="1:17" ht="15" x14ac:dyDescent="0.15">
      <c r="A3133" s="22"/>
      <c r="B3133" s="26" t="str">
        <f t="shared" si="192"/>
        <v/>
      </c>
      <c r="C3133" s="26" t="str">
        <f t="shared" si="193"/>
        <v/>
      </c>
      <c r="D3133" s="26" t="str">
        <f t="shared" si="194"/>
        <v/>
      </c>
      <c r="E3133" s="29"/>
      <c r="F3133" s="22"/>
      <c r="G3133" s="22"/>
      <c r="H3133" s="22"/>
      <c r="I3133" s="24"/>
      <c r="J3133" s="24"/>
      <c r="K3133" s="24"/>
      <c r="L3133" s="24"/>
      <c r="M3133" s="27" t="str">
        <f t="shared" si="195"/>
        <v/>
      </c>
      <c r="N3133" s="25"/>
      <c r="O3133" s="22"/>
      <c r="P3133" s="24"/>
      <c r="Q3133" s="26"/>
    </row>
    <row r="3134" spans="1:17" ht="15" x14ac:dyDescent="0.15">
      <c r="A3134" s="22"/>
      <c r="B3134" s="26" t="str">
        <f t="shared" si="192"/>
        <v/>
      </c>
      <c r="C3134" s="26" t="str">
        <f t="shared" si="193"/>
        <v/>
      </c>
      <c r="D3134" s="26" t="str">
        <f t="shared" si="194"/>
        <v/>
      </c>
      <c r="E3134" s="29"/>
      <c r="F3134" s="22"/>
      <c r="G3134" s="22"/>
      <c r="H3134" s="22"/>
      <c r="I3134" s="24"/>
      <c r="J3134" s="24"/>
      <c r="K3134" s="24"/>
      <c r="L3134" s="24"/>
      <c r="M3134" s="27" t="str">
        <f t="shared" si="195"/>
        <v/>
      </c>
      <c r="N3134" s="25"/>
      <c r="O3134" s="22"/>
      <c r="P3134" s="24"/>
      <c r="Q3134" s="26"/>
    </row>
    <row r="3135" spans="1:17" ht="15" x14ac:dyDescent="0.15">
      <c r="A3135" s="22"/>
      <c r="B3135" s="26" t="str">
        <f t="shared" si="192"/>
        <v/>
      </c>
      <c r="C3135" s="26" t="str">
        <f t="shared" si="193"/>
        <v/>
      </c>
      <c r="D3135" s="26" t="str">
        <f t="shared" si="194"/>
        <v/>
      </c>
      <c r="E3135" s="29"/>
      <c r="F3135" s="22"/>
      <c r="G3135" s="22"/>
      <c r="H3135" s="22"/>
      <c r="I3135" s="24"/>
      <c r="J3135" s="24"/>
      <c r="K3135" s="24"/>
      <c r="L3135" s="24"/>
      <c r="M3135" s="27" t="str">
        <f t="shared" si="195"/>
        <v/>
      </c>
      <c r="N3135" s="25"/>
      <c r="O3135" s="22"/>
      <c r="P3135" s="24"/>
      <c r="Q3135" s="26"/>
    </row>
    <row r="3136" spans="1:17" ht="15" x14ac:dyDescent="0.15">
      <c r="A3136" s="22"/>
      <c r="B3136" s="26" t="str">
        <f t="shared" si="192"/>
        <v/>
      </c>
      <c r="C3136" s="26" t="str">
        <f t="shared" si="193"/>
        <v/>
      </c>
      <c r="D3136" s="26" t="str">
        <f t="shared" si="194"/>
        <v/>
      </c>
      <c r="E3136" s="29"/>
      <c r="F3136" s="22"/>
      <c r="G3136" s="22"/>
      <c r="H3136" s="22"/>
      <c r="I3136" s="24"/>
      <c r="J3136" s="24"/>
      <c r="K3136" s="24"/>
      <c r="L3136" s="24"/>
      <c r="M3136" s="27" t="str">
        <f t="shared" si="195"/>
        <v/>
      </c>
      <c r="N3136" s="25"/>
      <c r="O3136" s="22"/>
      <c r="P3136" s="24"/>
      <c r="Q3136" s="26"/>
    </row>
    <row r="3137" spans="1:17" ht="15" x14ac:dyDescent="0.15">
      <c r="A3137" s="22"/>
      <c r="B3137" s="26" t="str">
        <f t="shared" si="192"/>
        <v/>
      </c>
      <c r="C3137" s="26" t="str">
        <f t="shared" si="193"/>
        <v/>
      </c>
      <c r="D3137" s="26" t="str">
        <f t="shared" si="194"/>
        <v/>
      </c>
      <c r="E3137" s="29"/>
      <c r="F3137" s="22"/>
      <c r="G3137" s="22"/>
      <c r="H3137" s="22"/>
      <c r="I3137" s="24"/>
      <c r="J3137" s="24"/>
      <c r="K3137" s="24"/>
      <c r="L3137" s="24"/>
      <c r="M3137" s="27" t="str">
        <f t="shared" si="195"/>
        <v/>
      </c>
      <c r="N3137" s="25"/>
      <c r="O3137" s="22"/>
      <c r="P3137" s="24"/>
      <c r="Q3137" s="26"/>
    </row>
    <row r="3138" spans="1:17" ht="15" x14ac:dyDescent="0.15">
      <c r="A3138" s="22"/>
      <c r="B3138" s="26" t="str">
        <f t="shared" si="192"/>
        <v/>
      </c>
      <c r="C3138" s="26" t="str">
        <f t="shared" si="193"/>
        <v/>
      </c>
      <c r="D3138" s="26" t="str">
        <f t="shared" si="194"/>
        <v/>
      </c>
      <c r="E3138" s="29"/>
      <c r="F3138" s="22"/>
      <c r="G3138" s="22"/>
      <c r="H3138" s="22"/>
      <c r="I3138" s="24"/>
      <c r="J3138" s="24"/>
      <c r="K3138" s="24"/>
      <c r="L3138" s="24"/>
      <c r="M3138" s="27" t="str">
        <f t="shared" si="195"/>
        <v/>
      </c>
      <c r="N3138" s="25"/>
      <c r="O3138" s="22"/>
      <c r="P3138" s="24"/>
      <c r="Q3138" s="26"/>
    </row>
    <row r="3139" spans="1:17" ht="15" x14ac:dyDescent="0.15">
      <c r="A3139" s="22"/>
      <c r="B3139" s="26" t="str">
        <f t="shared" si="192"/>
        <v/>
      </c>
      <c r="C3139" s="26" t="str">
        <f t="shared" si="193"/>
        <v/>
      </c>
      <c r="D3139" s="26" t="str">
        <f t="shared" si="194"/>
        <v/>
      </c>
      <c r="E3139" s="29"/>
      <c r="F3139" s="22"/>
      <c r="G3139" s="22"/>
      <c r="H3139" s="22"/>
      <c r="I3139" s="24"/>
      <c r="J3139" s="24"/>
      <c r="K3139" s="24"/>
      <c r="L3139" s="24"/>
      <c r="M3139" s="27" t="str">
        <f t="shared" si="195"/>
        <v/>
      </c>
      <c r="N3139" s="25"/>
      <c r="O3139" s="22"/>
      <c r="P3139" s="24"/>
      <c r="Q3139" s="26"/>
    </row>
    <row r="3140" spans="1:17" ht="15" x14ac:dyDescent="0.15">
      <c r="A3140" s="22"/>
      <c r="B3140" s="26" t="str">
        <f t="shared" si="192"/>
        <v/>
      </c>
      <c r="C3140" s="26" t="str">
        <f t="shared" si="193"/>
        <v/>
      </c>
      <c r="D3140" s="26" t="str">
        <f t="shared" si="194"/>
        <v/>
      </c>
      <c r="E3140" s="29"/>
      <c r="F3140" s="22"/>
      <c r="G3140" s="22"/>
      <c r="H3140" s="22"/>
      <c r="I3140" s="24"/>
      <c r="J3140" s="24"/>
      <c r="K3140" s="24"/>
      <c r="L3140" s="24"/>
      <c r="M3140" s="27" t="str">
        <f t="shared" si="195"/>
        <v/>
      </c>
      <c r="N3140" s="25"/>
      <c r="O3140" s="22"/>
      <c r="P3140" s="24"/>
      <c r="Q3140" s="26"/>
    </row>
    <row r="3141" spans="1:17" ht="15" x14ac:dyDescent="0.15">
      <c r="A3141" s="22"/>
      <c r="B3141" s="26" t="str">
        <f t="shared" si="192"/>
        <v/>
      </c>
      <c r="C3141" s="26" t="str">
        <f t="shared" si="193"/>
        <v/>
      </c>
      <c r="D3141" s="26" t="str">
        <f t="shared" si="194"/>
        <v/>
      </c>
      <c r="E3141" s="29"/>
      <c r="F3141" s="22"/>
      <c r="G3141" s="22"/>
      <c r="H3141" s="22"/>
      <c r="I3141" s="24"/>
      <c r="J3141" s="24"/>
      <c r="K3141" s="24"/>
      <c r="L3141" s="24"/>
      <c r="M3141" s="27" t="str">
        <f t="shared" si="195"/>
        <v/>
      </c>
      <c r="N3141" s="25"/>
      <c r="O3141" s="22"/>
      <c r="P3141" s="24"/>
      <c r="Q3141" s="26"/>
    </row>
    <row r="3142" spans="1:17" ht="15" x14ac:dyDescent="0.15">
      <c r="A3142" s="22"/>
      <c r="B3142" s="26" t="str">
        <f t="shared" si="192"/>
        <v/>
      </c>
      <c r="C3142" s="26" t="str">
        <f t="shared" si="193"/>
        <v/>
      </c>
      <c r="D3142" s="26" t="str">
        <f t="shared" si="194"/>
        <v/>
      </c>
      <c r="E3142" s="29"/>
      <c r="F3142" s="22"/>
      <c r="G3142" s="22"/>
      <c r="H3142" s="22"/>
      <c r="I3142" s="24"/>
      <c r="J3142" s="24"/>
      <c r="K3142" s="24"/>
      <c r="L3142" s="24"/>
      <c r="M3142" s="27" t="str">
        <f t="shared" si="195"/>
        <v/>
      </c>
      <c r="N3142" s="25"/>
      <c r="O3142" s="22"/>
      <c r="P3142" s="24"/>
      <c r="Q3142" s="26"/>
    </row>
    <row r="3143" spans="1:17" ht="15" x14ac:dyDescent="0.15">
      <c r="A3143" s="22"/>
      <c r="B3143" s="26" t="str">
        <f t="shared" ref="B3143:B3206" si="196">IFERROR(IF($A3143="","",LEFT($A3143,FIND(" | ",$A3143)-1)),"")</f>
        <v/>
      </c>
      <c r="C3143" s="26" t="str">
        <f t="shared" ref="C3143:C3206" si="197">IFERROR(IF($A3143="","",MID($A3143,FIND(" | ",$A3143)+3,FIND(" | ",$A3143,FIND(" | ",$A3143)+3)-FIND(" | ",$A3143)-3)),"")</f>
        <v/>
      </c>
      <c r="D3143" s="26" t="str">
        <f t="shared" ref="D3143:D3206" si="198">IFERROR(IF($A3143="","",RIGHT($A3143,LEN($A3143)-FIND(" | ",$A3143,FIND(" | ",$A3143)+3)-2)),"")</f>
        <v/>
      </c>
      <c r="E3143" s="29"/>
      <c r="F3143" s="22"/>
      <c r="G3143" s="22"/>
      <c r="H3143" s="22"/>
      <c r="I3143" s="24"/>
      <c r="J3143" s="24"/>
      <c r="K3143" s="24"/>
      <c r="L3143" s="24"/>
      <c r="M3143" s="27" t="str">
        <f t="shared" ref="M3143:M3206" si="199">IF($B3143="","",SUM($J3143,-$K3143,$L3143))</f>
        <v/>
      </c>
      <c r="N3143" s="25"/>
      <c r="O3143" s="22"/>
      <c r="P3143" s="24"/>
      <c r="Q3143" s="26"/>
    </row>
    <row r="3144" spans="1:17" ht="15" x14ac:dyDescent="0.15">
      <c r="A3144" s="22"/>
      <c r="B3144" s="26" t="str">
        <f t="shared" si="196"/>
        <v/>
      </c>
      <c r="C3144" s="26" t="str">
        <f t="shared" si="197"/>
        <v/>
      </c>
      <c r="D3144" s="26" t="str">
        <f t="shared" si="198"/>
        <v/>
      </c>
      <c r="E3144" s="29"/>
      <c r="F3144" s="22"/>
      <c r="G3144" s="22"/>
      <c r="H3144" s="22"/>
      <c r="I3144" s="24"/>
      <c r="J3144" s="24"/>
      <c r="K3144" s="24"/>
      <c r="L3144" s="24"/>
      <c r="M3144" s="27" t="str">
        <f t="shared" si="199"/>
        <v/>
      </c>
      <c r="N3144" s="25"/>
      <c r="O3144" s="22"/>
      <c r="P3144" s="24"/>
      <c r="Q3144" s="26"/>
    </row>
    <row r="3145" spans="1:17" ht="15" x14ac:dyDescent="0.15">
      <c r="A3145" s="22"/>
      <c r="B3145" s="26" t="str">
        <f t="shared" si="196"/>
        <v/>
      </c>
      <c r="C3145" s="26" t="str">
        <f t="shared" si="197"/>
        <v/>
      </c>
      <c r="D3145" s="26" t="str">
        <f t="shared" si="198"/>
        <v/>
      </c>
      <c r="E3145" s="29"/>
      <c r="F3145" s="22"/>
      <c r="G3145" s="22"/>
      <c r="H3145" s="22"/>
      <c r="I3145" s="24"/>
      <c r="J3145" s="24"/>
      <c r="K3145" s="24"/>
      <c r="L3145" s="24"/>
      <c r="M3145" s="27" t="str">
        <f t="shared" si="199"/>
        <v/>
      </c>
      <c r="N3145" s="25"/>
      <c r="O3145" s="22"/>
      <c r="P3145" s="24"/>
      <c r="Q3145" s="26"/>
    </row>
    <row r="3146" spans="1:17" ht="15" x14ac:dyDescent="0.15">
      <c r="A3146" s="22"/>
      <c r="B3146" s="26" t="str">
        <f t="shared" si="196"/>
        <v/>
      </c>
      <c r="C3146" s="26" t="str">
        <f t="shared" si="197"/>
        <v/>
      </c>
      <c r="D3146" s="26" t="str">
        <f t="shared" si="198"/>
        <v/>
      </c>
      <c r="E3146" s="29"/>
      <c r="F3146" s="22"/>
      <c r="G3146" s="22"/>
      <c r="H3146" s="22"/>
      <c r="I3146" s="24"/>
      <c r="J3146" s="24"/>
      <c r="K3146" s="24"/>
      <c r="L3146" s="24"/>
      <c r="M3146" s="27" t="str">
        <f t="shared" si="199"/>
        <v/>
      </c>
      <c r="N3146" s="25"/>
      <c r="O3146" s="22"/>
      <c r="P3146" s="24"/>
      <c r="Q3146" s="26"/>
    </row>
    <row r="3147" spans="1:17" ht="15" x14ac:dyDescent="0.15">
      <c r="A3147" s="22"/>
      <c r="B3147" s="26" t="str">
        <f t="shared" si="196"/>
        <v/>
      </c>
      <c r="C3147" s="26" t="str">
        <f t="shared" si="197"/>
        <v/>
      </c>
      <c r="D3147" s="26" t="str">
        <f t="shared" si="198"/>
        <v/>
      </c>
      <c r="E3147" s="29"/>
      <c r="F3147" s="22"/>
      <c r="G3147" s="22"/>
      <c r="H3147" s="22"/>
      <c r="I3147" s="24"/>
      <c r="J3147" s="24"/>
      <c r="K3147" s="24"/>
      <c r="L3147" s="24"/>
      <c r="M3147" s="27" t="str">
        <f t="shared" si="199"/>
        <v/>
      </c>
      <c r="N3147" s="25"/>
      <c r="O3147" s="22"/>
      <c r="P3147" s="24"/>
      <c r="Q3147" s="26"/>
    </row>
    <row r="3148" spans="1:17" ht="15" x14ac:dyDescent="0.15">
      <c r="A3148" s="22"/>
      <c r="B3148" s="26" t="str">
        <f t="shared" si="196"/>
        <v/>
      </c>
      <c r="C3148" s="26" t="str">
        <f t="shared" si="197"/>
        <v/>
      </c>
      <c r="D3148" s="26" t="str">
        <f t="shared" si="198"/>
        <v/>
      </c>
      <c r="E3148" s="29"/>
      <c r="F3148" s="22"/>
      <c r="G3148" s="22"/>
      <c r="H3148" s="22"/>
      <c r="I3148" s="24"/>
      <c r="J3148" s="24"/>
      <c r="K3148" s="24"/>
      <c r="L3148" s="24"/>
      <c r="M3148" s="27" t="str">
        <f t="shared" si="199"/>
        <v/>
      </c>
      <c r="N3148" s="25"/>
      <c r="O3148" s="22"/>
      <c r="P3148" s="24"/>
      <c r="Q3148" s="26"/>
    </row>
    <row r="3149" spans="1:17" ht="15" x14ac:dyDescent="0.15">
      <c r="A3149" s="22"/>
      <c r="B3149" s="26" t="str">
        <f t="shared" si="196"/>
        <v/>
      </c>
      <c r="C3149" s="26" t="str">
        <f t="shared" si="197"/>
        <v/>
      </c>
      <c r="D3149" s="26" t="str">
        <f t="shared" si="198"/>
        <v/>
      </c>
      <c r="E3149" s="29"/>
      <c r="F3149" s="22"/>
      <c r="G3149" s="22"/>
      <c r="H3149" s="22"/>
      <c r="I3149" s="24"/>
      <c r="J3149" s="24"/>
      <c r="K3149" s="24"/>
      <c r="L3149" s="24"/>
      <c r="M3149" s="27" t="str">
        <f t="shared" si="199"/>
        <v/>
      </c>
      <c r="N3149" s="25"/>
      <c r="O3149" s="22"/>
      <c r="P3149" s="24"/>
      <c r="Q3149" s="26"/>
    </row>
    <row r="3150" spans="1:17" ht="15" x14ac:dyDescent="0.15">
      <c r="A3150" s="22"/>
      <c r="B3150" s="26" t="str">
        <f t="shared" si="196"/>
        <v/>
      </c>
      <c r="C3150" s="26" t="str">
        <f t="shared" si="197"/>
        <v/>
      </c>
      <c r="D3150" s="26" t="str">
        <f t="shared" si="198"/>
        <v/>
      </c>
      <c r="E3150" s="29"/>
      <c r="F3150" s="22"/>
      <c r="G3150" s="22"/>
      <c r="H3150" s="22"/>
      <c r="I3150" s="24"/>
      <c r="J3150" s="24"/>
      <c r="K3150" s="24"/>
      <c r="L3150" s="24"/>
      <c r="M3150" s="27" t="str">
        <f t="shared" si="199"/>
        <v/>
      </c>
      <c r="N3150" s="25"/>
      <c r="O3150" s="22"/>
      <c r="P3150" s="24"/>
      <c r="Q3150" s="26"/>
    </row>
    <row r="3151" spans="1:17" ht="15" x14ac:dyDescent="0.15">
      <c r="A3151" s="22"/>
      <c r="B3151" s="26" t="str">
        <f t="shared" si="196"/>
        <v/>
      </c>
      <c r="C3151" s="26" t="str">
        <f t="shared" si="197"/>
        <v/>
      </c>
      <c r="D3151" s="26" t="str">
        <f t="shared" si="198"/>
        <v/>
      </c>
      <c r="E3151" s="29"/>
      <c r="F3151" s="22"/>
      <c r="G3151" s="22"/>
      <c r="H3151" s="22"/>
      <c r="I3151" s="24"/>
      <c r="J3151" s="24"/>
      <c r="K3151" s="24"/>
      <c r="L3151" s="24"/>
      <c r="M3151" s="27" t="str">
        <f t="shared" si="199"/>
        <v/>
      </c>
      <c r="N3151" s="25"/>
      <c r="O3151" s="22"/>
      <c r="P3151" s="24"/>
      <c r="Q3151" s="26"/>
    </row>
    <row r="3152" spans="1:17" ht="15" x14ac:dyDescent="0.15">
      <c r="A3152" s="22"/>
      <c r="B3152" s="26" t="str">
        <f t="shared" si="196"/>
        <v/>
      </c>
      <c r="C3152" s="26" t="str">
        <f t="shared" si="197"/>
        <v/>
      </c>
      <c r="D3152" s="26" t="str">
        <f t="shared" si="198"/>
        <v/>
      </c>
      <c r="E3152" s="29"/>
      <c r="F3152" s="22"/>
      <c r="G3152" s="22"/>
      <c r="H3152" s="22"/>
      <c r="I3152" s="24"/>
      <c r="J3152" s="24"/>
      <c r="K3152" s="24"/>
      <c r="L3152" s="24"/>
      <c r="M3152" s="27" t="str">
        <f t="shared" si="199"/>
        <v/>
      </c>
      <c r="N3152" s="25"/>
      <c r="O3152" s="22"/>
      <c r="P3152" s="24"/>
      <c r="Q3152" s="26"/>
    </row>
    <row r="3153" spans="1:17" ht="15" x14ac:dyDescent="0.15">
      <c r="A3153" s="22"/>
      <c r="B3153" s="26" t="str">
        <f t="shared" si="196"/>
        <v/>
      </c>
      <c r="C3153" s="26" t="str">
        <f t="shared" si="197"/>
        <v/>
      </c>
      <c r="D3153" s="26" t="str">
        <f t="shared" si="198"/>
        <v/>
      </c>
      <c r="E3153" s="29"/>
      <c r="F3153" s="22"/>
      <c r="G3153" s="22"/>
      <c r="H3153" s="22"/>
      <c r="I3153" s="24"/>
      <c r="J3153" s="24"/>
      <c r="K3153" s="24"/>
      <c r="L3153" s="24"/>
      <c r="M3153" s="27" t="str">
        <f t="shared" si="199"/>
        <v/>
      </c>
      <c r="N3153" s="25"/>
      <c r="O3153" s="22"/>
      <c r="P3153" s="24"/>
      <c r="Q3153" s="26"/>
    </row>
    <row r="3154" spans="1:17" ht="15" x14ac:dyDescent="0.15">
      <c r="A3154" s="22"/>
      <c r="B3154" s="26" t="str">
        <f t="shared" si="196"/>
        <v/>
      </c>
      <c r="C3154" s="26" t="str">
        <f t="shared" si="197"/>
        <v/>
      </c>
      <c r="D3154" s="26" t="str">
        <f t="shared" si="198"/>
        <v/>
      </c>
      <c r="E3154" s="29"/>
      <c r="F3154" s="22"/>
      <c r="G3154" s="22"/>
      <c r="H3154" s="22"/>
      <c r="I3154" s="24"/>
      <c r="J3154" s="24"/>
      <c r="K3154" s="24"/>
      <c r="L3154" s="24"/>
      <c r="M3154" s="27" t="str">
        <f t="shared" si="199"/>
        <v/>
      </c>
      <c r="N3154" s="25"/>
      <c r="O3154" s="22"/>
      <c r="P3154" s="24"/>
      <c r="Q3154" s="26"/>
    </row>
    <row r="3155" spans="1:17" ht="15" x14ac:dyDescent="0.15">
      <c r="A3155" s="22"/>
      <c r="B3155" s="26" t="str">
        <f t="shared" si="196"/>
        <v/>
      </c>
      <c r="C3155" s="26" t="str">
        <f t="shared" si="197"/>
        <v/>
      </c>
      <c r="D3155" s="26" t="str">
        <f t="shared" si="198"/>
        <v/>
      </c>
      <c r="E3155" s="29"/>
      <c r="F3155" s="22"/>
      <c r="G3155" s="22"/>
      <c r="H3155" s="22"/>
      <c r="I3155" s="24"/>
      <c r="J3155" s="24"/>
      <c r="K3155" s="24"/>
      <c r="L3155" s="24"/>
      <c r="M3155" s="27" t="str">
        <f t="shared" si="199"/>
        <v/>
      </c>
      <c r="N3155" s="25"/>
      <c r="O3155" s="22"/>
      <c r="P3155" s="24"/>
      <c r="Q3155" s="26"/>
    </row>
    <row r="3156" spans="1:17" ht="15" x14ac:dyDescent="0.15">
      <c r="A3156" s="22"/>
      <c r="B3156" s="26" t="str">
        <f t="shared" si="196"/>
        <v/>
      </c>
      <c r="C3156" s="26" t="str">
        <f t="shared" si="197"/>
        <v/>
      </c>
      <c r="D3156" s="26" t="str">
        <f t="shared" si="198"/>
        <v/>
      </c>
      <c r="E3156" s="29"/>
      <c r="F3156" s="22"/>
      <c r="G3156" s="22"/>
      <c r="H3156" s="22"/>
      <c r="I3156" s="24"/>
      <c r="J3156" s="24"/>
      <c r="K3156" s="24"/>
      <c r="L3156" s="24"/>
      <c r="M3156" s="27" t="str">
        <f t="shared" si="199"/>
        <v/>
      </c>
      <c r="N3156" s="25"/>
      <c r="O3156" s="22"/>
      <c r="P3156" s="24"/>
      <c r="Q3156" s="26"/>
    </row>
    <row r="3157" spans="1:17" ht="15" x14ac:dyDescent="0.15">
      <c r="A3157" s="22"/>
      <c r="B3157" s="26" t="str">
        <f t="shared" si="196"/>
        <v/>
      </c>
      <c r="C3157" s="26" t="str">
        <f t="shared" si="197"/>
        <v/>
      </c>
      <c r="D3157" s="26" t="str">
        <f t="shared" si="198"/>
        <v/>
      </c>
      <c r="E3157" s="29"/>
      <c r="F3157" s="22"/>
      <c r="G3157" s="22"/>
      <c r="H3157" s="22"/>
      <c r="I3157" s="24"/>
      <c r="J3157" s="24"/>
      <c r="K3157" s="24"/>
      <c r="L3157" s="24"/>
      <c r="M3157" s="27" t="str">
        <f t="shared" si="199"/>
        <v/>
      </c>
      <c r="N3157" s="25"/>
      <c r="O3157" s="22"/>
      <c r="P3157" s="24"/>
      <c r="Q3157" s="26"/>
    </row>
    <row r="3158" spans="1:17" ht="15" x14ac:dyDescent="0.15">
      <c r="A3158" s="22"/>
      <c r="B3158" s="26" t="str">
        <f t="shared" si="196"/>
        <v/>
      </c>
      <c r="C3158" s="26" t="str">
        <f t="shared" si="197"/>
        <v/>
      </c>
      <c r="D3158" s="26" t="str">
        <f t="shared" si="198"/>
        <v/>
      </c>
      <c r="E3158" s="29"/>
      <c r="F3158" s="22"/>
      <c r="G3158" s="22"/>
      <c r="H3158" s="22"/>
      <c r="I3158" s="24"/>
      <c r="J3158" s="24"/>
      <c r="K3158" s="24"/>
      <c r="L3158" s="24"/>
      <c r="M3158" s="27" t="str">
        <f t="shared" si="199"/>
        <v/>
      </c>
      <c r="N3158" s="25"/>
      <c r="O3158" s="22"/>
      <c r="P3158" s="24"/>
      <c r="Q3158" s="26"/>
    </row>
    <row r="3159" spans="1:17" ht="15" x14ac:dyDescent="0.15">
      <c r="A3159" s="22"/>
      <c r="B3159" s="26" t="str">
        <f t="shared" si="196"/>
        <v/>
      </c>
      <c r="C3159" s="26" t="str">
        <f t="shared" si="197"/>
        <v/>
      </c>
      <c r="D3159" s="26" t="str">
        <f t="shared" si="198"/>
        <v/>
      </c>
      <c r="E3159" s="29"/>
      <c r="F3159" s="22"/>
      <c r="G3159" s="22"/>
      <c r="H3159" s="22"/>
      <c r="I3159" s="24"/>
      <c r="J3159" s="24"/>
      <c r="K3159" s="24"/>
      <c r="L3159" s="24"/>
      <c r="M3159" s="27" t="str">
        <f t="shared" si="199"/>
        <v/>
      </c>
      <c r="N3159" s="25"/>
      <c r="O3159" s="22"/>
      <c r="P3159" s="24"/>
      <c r="Q3159" s="26"/>
    </row>
    <row r="3160" spans="1:17" ht="15" x14ac:dyDescent="0.15">
      <c r="A3160" s="22"/>
      <c r="B3160" s="26" t="str">
        <f t="shared" si="196"/>
        <v/>
      </c>
      <c r="C3160" s="26" t="str">
        <f t="shared" si="197"/>
        <v/>
      </c>
      <c r="D3160" s="26" t="str">
        <f t="shared" si="198"/>
        <v/>
      </c>
      <c r="E3160" s="29"/>
      <c r="F3160" s="22"/>
      <c r="G3160" s="22"/>
      <c r="H3160" s="22"/>
      <c r="I3160" s="24"/>
      <c r="J3160" s="24"/>
      <c r="K3160" s="24"/>
      <c r="L3160" s="24"/>
      <c r="M3160" s="27" t="str">
        <f t="shared" si="199"/>
        <v/>
      </c>
      <c r="N3160" s="25"/>
      <c r="O3160" s="22"/>
      <c r="P3160" s="24"/>
      <c r="Q3160" s="26"/>
    </row>
    <row r="3161" spans="1:17" ht="15" x14ac:dyDescent="0.15">
      <c r="A3161" s="22"/>
      <c r="B3161" s="26" t="str">
        <f t="shared" si="196"/>
        <v/>
      </c>
      <c r="C3161" s="26" t="str">
        <f t="shared" si="197"/>
        <v/>
      </c>
      <c r="D3161" s="26" t="str">
        <f t="shared" si="198"/>
        <v/>
      </c>
      <c r="E3161" s="29"/>
      <c r="F3161" s="22"/>
      <c r="G3161" s="22"/>
      <c r="H3161" s="22"/>
      <c r="I3161" s="24"/>
      <c r="J3161" s="24"/>
      <c r="K3161" s="24"/>
      <c r="L3161" s="24"/>
      <c r="M3161" s="27" t="str">
        <f t="shared" si="199"/>
        <v/>
      </c>
      <c r="N3161" s="25"/>
      <c r="O3161" s="22"/>
      <c r="P3161" s="24"/>
      <c r="Q3161" s="26"/>
    </row>
    <row r="3162" spans="1:17" ht="15" x14ac:dyDescent="0.15">
      <c r="A3162" s="22"/>
      <c r="B3162" s="26" t="str">
        <f t="shared" si="196"/>
        <v/>
      </c>
      <c r="C3162" s="26" t="str">
        <f t="shared" si="197"/>
        <v/>
      </c>
      <c r="D3162" s="26" t="str">
        <f t="shared" si="198"/>
        <v/>
      </c>
      <c r="E3162" s="29"/>
      <c r="F3162" s="22"/>
      <c r="G3162" s="22"/>
      <c r="H3162" s="22"/>
      <c r="I3162" s="24"/>
      <c r="J3162" s="24"/>
      <c r="K3162" s="24"/>
      <c r="L3162" s="24"/>
      <c r="M3162" s="27" t="str">
        <f t="shared" si="199"/>
        <v/>
      </c>
      <c r="N3162" s="25"/>
      <c r="O3162" s="22"/>
      <c r="P3162" s="24"/>
      <c r="Q3162" s="26"/>
    </row>
    <row r="3163" spans="1:17" ht="15" x14ac:dyDescent="0.15">
      <c r="A3163" s="22"/>
      <c r="B3163" s="26" t="str">
        <f t="shared" si="196"/>
        <v/>
      </c>
      <c r="C3163" s="26" t="str">
        <f t="shared" si="197"/>
        <v/>
      </c>
      <c r="D3163" s="26" t="str">
        <f t="shared" si="198"/>
        <v/>
      </c>
      <c r="E3163" s="29"/>
      <c r="F3163" s="22"/>
      <c r="G3163" s="22"/>
      <c r="H3163" s="22"/>
      <c r="I3163" s="24"/>
      <c r="J3163" s="24"/>
      <c r="K3163" s="24"/>
      <c r="L3163" s="24"/>
      <c r="M3163" s="27" t="str">
        <f t="shared" si="199"/>
        <v/>
      </c>
      <c r="N3163" s="25"/>
      <c r="O3163" s="22"/>
      <c r="P3163" s="24"/>
      <c r="Q3163" s="26"/>
    </row>
    <row r="3164" spans="1:17" ht="15" x14ac:dyDescent="0.15">
      <c r="A3164" s="22"/>
      <c r="B3164" s="26" t="str">
        <f t="shared" si="196"/>
        <v/>
      </c>
      <c r="C3164" s="26" t="str">
        <f t="shared" si="197"/>
        <v/>
      </c>
      <c r="D3164" s="26" t="str">
        <f t="shared" si="198"/>
        <v/>
      </c>
      <c r="E3164" s="29"/>
      <c r="F3164" s="22"/>
      <c r="G3164" s="22"/>
      <c r="H3164" s="22"/>
      <c r="I3164" s="24"/>
      <c r="J3164" s="24"/>
      <c r="K3164" s="24"/>
      <c r="L3164" s="24"/>
      <c r="M3164" s="27" t="str">
        <f t="shared" si="199"/>
        <v/>
      </c>
      <c r="N3164" s="25"/>
      <c r="O3164" s="22"/>
      <c r="P3164" s="24"/>
      <c r="Q3164" s="26"/>
    </row>
    <row r="3165" spans="1:17" ht="15" x14ac:dyDescent="0.15">
      <c r="A3165" s="22"/>
      <c r="B3165" s="26" t="str">
        <f t="shared" si="196"/>
        <v/>
      </c>
      <c r="C3165" s="26" t="str">
        <f t="shared" si="197"/>
        <v/>
      </c>
      <c r="D3165" s="26" t="str">
        <f t="shared" si="198"/>
        <v/>
      </c>
      <c r="E3165" s="29"/>
      <c r="F3165" s="22"/>
      <c r="G3165" s="22"/>
      <c r="H3165" s="22"/>
      <c r="I3165" s="24"/>
      <c r="J3165" s="24"/>
      <c r="K3165" s="24"/>
      <c r="L3165" s="24"/>
      <c r="M3165" s="27" t="str">
        <f t="shared" si="199"/>
        <v/>
      </c>
      <c r="N3165" s="25"/>
      <c r="O3165" s="22"/>
      <c r="P3165" s="24"/>
      <c r="Q3165" s="26"/>
    </row>
    <row r="3166" spans="1:17" ht="15" x14ac:dyDescent="0.15">
      <c r="A3166" s="22"/>
      <c r="B3166" s="26" t="str">
        <f t="shared" si="196"/>
        <v/>
      </c>
      <c r="C3166" s="26" t="str">
        <f t="shared" si="197"/>
        <v/>
      </c>
      <c r="D3166" s="26" t="str">
        <f t="shared" si="198"/>
        <v/>
      </c>
      <c r="E3166" s="29"/>
      <c r="F3166" s="22"/>
      <c r="G3166" s="22"/>
      <c r="H3166" s="22"/>
      <c r="I3166" s="24"/>
      <c r="J3166" s="24"/>
      <c r="K3166" s="24"/>
      <c r="L3166" s="24"/>
      <c r="M3166" s="27" t="str">
        <f t="shared" si="199"/>
        <v/>
      </c>
      <c r="N3166" s="25"/>
      <c r="O3166" s="22"/>
      <c r="P3166" s="24"/>
      <c r="Q3166" s="26"/>
    </row>
    <row r="3167" spans="1:17" ht="15" x14ac:dyDescent="0.15">
      <c r="A3167" s="22"/>
      <c r="B3167" s="26" t="str">
        <f t="shared" si="196"/>
        <v/>
      </c>
      <c r="C3167" s="26" t="str">
        <f t="shared" si="197"/>
        <v/>
      </c>
      <c r="D3167" s="26" t="str">
        <f t="shared" si="198"/>
        <v/>
      </c>
      <c r="E3167" s="29"/>
      <c r="F3167" s="22"/>
      <c r="G3167" s="22"/>
      <c r="H3167" s="22"/>
      <c r="I3167" s="24"/>
      <c r="J3167" s="24"/>
      <c r="K3167" s="24"/>
      <c r="L3167" s="24"/>
      <c r="M3167" s="27" t="str">
        <f t="shared" si="199"/>
        <v/>
      </c>
      <c r="N3167" s="25"/>
      <c r="O3167" s="22"/>
      <c r="P3167" s="24"/>
      <c r="Q3167" s="26"/>
    </row>
    <row r="3168" spans="1:17" ht="15" x14ac:dyDescent="0.15">
      <c r="A3168" s="22"/>
      <c r="B3168" s="26" t="str">
        <f t="shared" si="196"/>
        <v/>
      </c>
      <c r="C3168" s="26" t="str">
        <f t="shared" si="197"/>
        <v/>
      </c>
      <c r="D3168" s="26" t="str">
        <f t="shared" si="198"/>
        <v/>
      </c>
      <c r="E3168" s="29"/>
      <c r="F3168" s="22"/>
      <c r="G3168" s="22"/>
      <c r="H3168" s="22"/>
      <c r="I3168" s="24"/>
      <c r="J3168" s="24"/>
      <c r="K3168" s="24"/>
      <c r="L3168" s="24"/>
      <c r="M3168" s="27" t="str">
        <f t="shared" si="199"/>
        <v/>
      </c>
      <c r="N3168" s="25"/>
      <c r="O3168" s="22"/>
      <c r="P3168" s="24"/>
      <c r="Q3168" s="26"/>
    </row>
    <row r="3169" spans="1:17" ht="15" x14ac:dyDescent="0.15">
      <c r="A3169" s="22"/>
      <c r="B3169" s="26" t="str">
        <f t="shared" si="196"/>
        <v/>
      </c>
      <c r="C3169" s="26" t="str">
        <f t="shared" si="197"/>
        <v/>
      </c>
      <c r="D3169" s="26" t="str">
        <f t="shared" si="198"/>
        <v/>
      </c>
      <c r="E3169" s="29"/>
      <c r="F3169" s="22"/>
      <c r="G3169" s="22"/>
      <c r="H3169" s="22"/>
      <c r="I3169" s="24"/>
      <c r="J3169" s="24"/>
      <c r="K3169" s="24"/>
      <c r="L3169" s="24"/>
      <c r="M3169" s="27" t="str">
        <f t="shared" si="199"/>
        <v/>
      </c>
      <c r="N3169" s="25"/>
      <c r="O3169" s="22"/>
      <c r="P3169" s="24"/>
      <c r="Q3169" s="26"/>
    </row>
    <row r="3170" spans="1:17" ht="15" x14ac:dyDescent="0.15">
      <c r="A3170" s="22"/>
      <c r="B3170" s="26" t="str">
        <f t="shared" si="196"/>
        <v/>
      </c>
      <c r="C3170" s="26" t="str">
        <f t="shared" si="197"/>
        <v/>
      </c>
      <c r="D3170" s="26" t="str">
        <f t="shared" si="198"/>
        <v/>
      </c>
      <c r="E3170" s="29"/>
      <c r="F3170" s="22"/>
      <c r="G3170" s="22"/>
      <c r="H3170" s="22"/>
      <c r="I3170" s="24"/>
      <c r="J3170" s="24"/>
      <c r="K3170" s="24"/>
      <c r="L3170" s="24"/>
      <c r="M3170" s="27" t="str">
        <f t="shared" si="199"/>
        <v/>
      </c>
      <c r="N3170" s="25"/>
      <c r="O3170" s="22"/>
      <c r="P3170" s="24"/>
      <c r="Q3170" s="26"/>
    </row>
    <row r="3171" spans="1:17" ht="15" x14ac:dyDescent="0.15">
      <c r="A3171" s="22"/>
      <c r="B3171" s="26" t="str">
        <f t="shared" si="196"/>
        <v/>
      </c>
      <c r="C3171" s="26" t="str">
        <f t="shared" si="197"/>
        <v/>
      </c>
      <c r="D3171" s="26" t="str">
        <f t="shared" si="198"/>
        <v/>
      </c>
      <c r="E3171" s="29"/>
      <c r="F3171" s="22"/>
      <c r="G3171" s="22"/>
      <c r="H3171" s="22"/>
      <c r="I3171" s="24"/>
      <c r="J3171" s="24"/>
      <c r="K3171" s="24"/>
      <c r="L3171" s="24"/>
      <c r="M3171" s="27" t="str">
        <f t="shared" si="199"/>
        <v/>
      </c>
      <c r="N3171" s="25"/>
      <c r="O3171" s="22"/>
      <c r="P3171" s="24"/>
      <c r="Q3171" s="26"/>
    </row>
    <row r="3172" spans="1:17" ht="15" x14ac:dyDescent="0.15">
      <c r="A3172" s="22"/>
      <c r="B3172" s="26" t="str">
        <f t="shared" si="196"/>
        <v/>
      </c>
      <c r="C3172" s="26" t="str">
        <f t="shared" si="197"/>
        <v/>
      </c>
      <c r="D3172" s="26" t="str">
        <f t="shared" si="198"/>
        <v/>
      </c>
      <c r="E3172" s="29"/>
      <c r="F3172" s="22"/>
      <c r="G3172" s="22"/>
      <c r="H3172" s="22"/>
      <c r="I3172" s="24"/>
      <c r="J3172" s="24"/>
      <c r="K3172" s="24"/>
      <c r="L3172" s="24"/>
      <c r="M3172" s="27" t="str">
        <f t="shared" si="199"/>
        <v/>
      </c>
      <c r="N3172" s="25"/>
      <c r="O3172" s="22"/>
      <c r="P3172" s="24"/>
      <c r="Q3172" s="26"/>
    </row>
    <row r="3173" spans="1:17" ht="15" x14ac:dyDescent="0.15">
      <c r="A3173" s="22"/>
      <c r="B3173" s="26" t="str">
        <f t="shared" si="196"/>
        <v/>
      </c>
      <c r="C3173" s="26" t="str">
        <f t="shared" si="197"/>
        <v/>
      </c>
      <c r="D3173" s="26" t="str">
        <f t="shared" si="198"/>
        <v/>
      </c>
      <c r="E3173" s="29"/>
      <c r="F3173" s="22"/>
      <c r="G3173" s="22"/>
      <c r="H3173" s="22"/>
      <c r="I3173" s="24"/>
      <c r="J3173" s="24"/>
      <c r="K3173" s="24"/>
      <c r="L3173" s="24"/>
      <c r="M3173" s="27" t="str">
        <f t="shared" si="199"/>
        <v/>
      </c>
      <c r="N3173" s="25"/>
      <c r="O3173" s="22"/>
      <c r="P3173" s="24"/>
      <c r="Q3173" s="26"/>
    </row>
    <row r="3174" spans="1:17" ht="15" x14ac:dyDescent="0.15">
      <c r="A3174" s="22"/>
      <c r="B3174" s="26" t="str">
        <f t="shared" si="196"/>
        <v/>
      </c>
      <c r="C3174" s="26" t="str">
        <f t="shared" si="197"/>
        <v/>
      </c>
      <c r="D3174" s="26" t="str">
        <f t="shared" si="198"/>
        <v/>
      </c>
      <c r="E3174" s="29"/>
      <c r="F3174" s="22"/>
      <c r="G3174" s="22"/>
      <c r="H3174" s="22"/>
      <c r="I3174" s="24"/>
      <c r="J3174" s="24"/>
      <c r="K3174" s="24"/>
      <c r="L3174" s="24"/>
      <c r="M3174" s="27" t="str">
        <f t="shared" si="199"/>
        <v/>
      </c>
      <c r="N3174" s="25"/>
      <c r="O3174" s="22"/>
      <c r="P3174" s="24"/>
      <c r="Q3174" s="26"/>
    </row>
    <row r="3175" spans="1:17" ht="15" x14ac:dyDescent="0.15">
      <c r="A3175" s="22"/>
      <c r="B3175" s="26" t="str">
        <f t="shared" si="196"/>
        <v/>
      </c>
      <c r="C3175" s="26" t="str">
        <f t="shared" si="197"/>
        <v/>
      </c>
      <c r="D3175" s="26" t="str">
        <f t="shared" si="198"/>
        <v/>
      </c>
      <c r="E3175" s="29"/>
      <c r="F3175" s="22"/>
      <c r="G3175" s="22"/>
      <c r="H3175" s="22"/>
      <c r="I3175" s="24"/>
      <c r="J3175" s="24"/>
      <c r="K3175" s="24"/>
      <c r="L3175" s="24"/>
      <c r="M3175" s="27" t="str">
        <f t="shared" si="199"/>
        <v/>
      </c>
      <c r="N3175" s="25"/>
      <c r="O3175" s="22"/>
      <c r="P3175" s="24"/>
      <c r="Q3175" s="26"/>
    </row>
    <row r="3176" spans="1:17" ht="15" x14ac:dyDescent="0.15">
      <c r="A3176" s="22"/>
      <c r="B3176" s="26" t="str">
        <f t="shared" si="196"/>
        <v/>
      </c>
      <c r="C3176" s="26" t="str">
        <f t="shared" si="197"/>
        <v/>
      </c>
      <c r="D3176" s="26" t="str">
        <f t="shared" si="198"/>
        <v/>
      </c>
      <c r="E3176" s="29"/>
      <c r="F3176" s="22"/>
      <c r="G3176" s="22"/>
      <c r="H3176" s="22"/>
      <c r="I3176" s="24"/>
      <c r="J3176" s="24"/>
      <c r="K3176" s="24"/>
      <c r="L3176" s="24"/>
      <c r="M3176" s="27" t="str">
        <f t="shared" si="199"/>
        <v/>
      </c>
      <c r="N3176" s="25"/>
      <c r="O3176" s="22"/>
      <c r="P3176" s="24"/>
      <c r="Q3176" s="26"/>
    </row>
    <row r="3177" spans="1:17" ht="15" x14ac:dyDescent="0.15">
      <c r="A3177" s="22"/>
      <c r="B3177" s="26" t="str">
        <f t="shared" si="196"/>
        <v/>
      </c>
      <c r="C3177" s="26" t="str">
        <f t="shared" si="197"/>
        <v/>
      </c>
      <c r="D3177" s="26" t="str">
        <f t="shared" si="198"/>
        <v/>
      </c>
      <c r="E3177" s="29"/>
      <c r="F3177" s="22"/>
      <c r="G3177" s="22"/>
      <c r="H3177" s="22"/>
      <c r="I3177" s="24"/>
      <c r="J3177" s="24"/>
      <c r="K3177" s="24"/>
      <c r="L3177" s="24"/>
      <c r="M3177" s="27" t="str">
        <f t="shared" si="199"/>
        <v/>
      </c>
      <c r="N3177" s="25"/>
      <c r="O3177" s="22"/>
      <c r="P3177" s="24"/>
      <c r="Q3177" s="26"/>
    </row>
    <row r="3178" spans="1:17" ht="15" x14ac:dyDescent="0.15">
      <c r="A3178" s="22"/>
      <c r="B3178" s="26" t="str">
        <f t="shared" si="196"/>
        <v/>
      </c>
      <c r="C3178" s="26" t="str">
        <f t="shared" si="197"/>
        <v/>
      </c>
      <c r="D3178" s="26" t="str">
        <f t="shared" si="198"/>
        <v/>
      </c>
      <c r="E3178" s="29"/>
      <c r="F3178" s="22"/>
      <c r="G3178" s="22"/>
      <c r="H3178" s="22"/>
      <c r="I3178" s="24"/>
      <c r="J3178" s="24"/>
      <c r="K3178" s="24"/>
      <c r="L3178" s="24"/>
      <c r="M3178" s="27" t="str">
        <f t="shared" si="199"/>
        <v/>
      </c>
      <c r="N3178" s="25"/>
      <c r="O3178" s="22"/>
      <c r="P3178" s="24"/>
      <c r="Q3178" s="26"/>
    </row>
    <row r="3179" spans="1:17" ht="15" x14ac:dyDescent="0.15">
      <c r="A3179" s="22"/>
      <c r="B3179" s="26" t="str">
        <f t="shared" si="196"/>
        <v/>
      </c>
      <c r="C3179" s="26" t="str">
        <f t="shared" si="197"/>
        <v/>
      </c>
      <c r="D3179" s="26" t="str">
        <f t="shared" si="198"/>
        <v/>
      </c>
      <c r="E3179" s="29"/>
      <c r="F3179" s="22"/>
      <c r="G3179" s="22"/>
      <c r="H3179" s="22"/>
      <c r="I3179" s="24"/>
      <c r="J3179" s="24"/>
      <c r="K3179" s="24"/>
      <c r="L3179" s="24"/>
      <c r="M3179" s="27" t="str">
        <f t="shared" si="199"/>
        <v/>
      </c>
      <c r="N3179" s="25"/>
      <c r="O3179" s="22"/>
      <c r="P3179" s="24"/>
      <c r="Q3179" s="26"/>
    </row>
    <row r="3180" spans="1:17" ht="15" x14ac:dyDescent="0.15">
      <c r="A3180" s="22"/>
      <c r="B3180" s="26" t="str">
        <f t="shared" si="196"/>
        <v/>
      </c>
      <c r="C3180" s="26" t="str">
        <f t="shared" si="197"/>
        <v/>
      </c>
      <c r="D3180" s="26" t="str">
        <f t="shared" si="198"/>
        <v/>
      </c>
      <c r="E3180" s="29"/>
      <c r="F3180" s="22"/>
      <c r="G3180" s="22"/>
      <c r="H3180" s="22"/>
      <c r="I3180" s="24"/>
      <c r="J3180" s="24"/>
      <c r="K3180" s="24"/>
      <c r="L3180" s="24"/>
      <c r="M3180" s="27" t="str">
        <f t="shared" si="199"/>
        <v/>
      </c>
      <c r="N3180" s="25"/>
      <c r="O3180" s="22"/>
      <c r="P3180" s="24"/>
      <c r="Q3180" s="26"/>
    </row>
    <row r="3181" spans="1:17" ht="15" x14ac:dyDescent="0.15">
      <c r="A3181" s="22"/>
      <c r="B3181" s="26" t="str">
        <f t="shared" si="196"/>
        <v/>
      </c>
      <c r="C3181" s="26" t="str">
        <f t="shared" si="197"/>
        <v/>
      </c>
      <c r="D3181" s="26" t="str">
        <f t="shared" si="198"/>
        <v/>
      </c>
      <c r="E3181" s="29"/>
      <c r="F3181" s="22"/>
      <c r="G3181" s="22"/>
      <c r="H3181" s="22"/>
      <c r="I3181" s="24"/>
      <c r="J3181" s="24"/>
      <c r="K3181" s="24"/>
      <c r="L3181" s="24"/>
      <c r="M3181" s="27" t="str">
        <f t="shared" si="199"/>
        <v/>
      </c>
      <c r="N3181" s="25"/>
      <c r="O3181" s="22"/>
      <c r="P3181" s="24"/>
      <c r="Q3181" s="26"/>
    </row>
    <row r="3182" spans="1:17" ht="15" x14ac:dyDescent="0.15">
      <c r="A3182" s="22"/>
      <c r="B3182" s="26" t="str">
        <f t="shared" si="196"/>
        <v/>
      </c>
      <c r="C3182" s="26" t="str">
        <f t="shared" si="197"/>
        <v/>
      </c>
      <c r="D3182" s="26" t="str">
        <f t="shared" si="198"/>
        <v/>
      </c>
      <c r="E3182" s="29"/>
      <c r="F3182" s="22"/>
      <c r="G3182" s="22"/>
      <c r="H3182" s="22"/>
      <c r="I3182" s="24"/>
      <c r="J3182" s="24"/>
      <c r="K3182" s="24"/>
      <c r="L3182" s="24"/>
      <c r="M3182" s="27" t="str">
        <f t="shared" si="199"/>
        <v/>
      </c>
      <c r="N3182" s="25"/>
      <c r="O3182" s="22"/>
      <c r="P3182" s="24"/>
      <c r="Q3182" s="26"/>
    </row>
    <row r="3183" spans="1:17" ht="15" x14ac:dyDescent="0.15">
      <c r="A3183" s="22"/>
      <c r="B3183" s="26" t="str">
        <f t="shared" si="196"/>
        <v/>
      </c>
      <c r="C3183" s="26" t="str">
        <f t="shared" si="197"/>
        <v/>
      </c>
      <c r="D3183" s="26" t="str">
        <f t="shared" si="198"/>
        <v/>
      </c>
      <c r="E3183" s="29"/>
      <c r="F3183" s="22"/>
      <c r="G3183" s="22"/>
      <c r="H3183" s="22"/>
      <c r="I3183" s="24"/>
      <c r="J3183" s="24"/>
      <c r="K3183" s="24"/>
      <c r="L3183" s="24"/>
      <c r="M3183" s="27" t="str">
        <f t="shared" si="199"/>
        <v/>
      </c>
      <c r="N3183" s="25"/>
      <c r="O3183" s="22"/>
      <c r="P3183" s="24"/>
      <c r="Q3183" s="26"/>
    </row>
    <row r="3184" spans="1:17" ht="15" x14ac:dyDescent="0.15">
      <c r="A3184" s="22"/>
      <c r="B3184" s="26" t="str">
        <f t="shared" si="196"/>
        <v/>
      </c>
      <c r="C3184" s="26" t="str">
        <f t="shared" si="197"/>
        <v/>
      </c>
      <c r="D3184" s="26" t="str">
        <f t="shared" si="198"/>
        <v/>
      </c>
      <c r="E3184" s="29"/>
      <c r="F3184" s="22"/>
      <c r="G3184" s="22"/>
      <c r="H3184" s="22"/>
      <c r="I3184" s="24"/>
      <c r="J3184" s="24"/>
      <c r="K3184" s="24"/>
      <c r="L3184" s="24"/>
      <c r="M3184" s="27" t="str">
        <f t="shared" si="199"/>
        <v/>
      </c>
      <c r="N3184" s="25"/>
      <c r="O3184" s="22"/>
      <c r="P3184" s="24"/>
      <c r="Q3184" s="26"/>
    </row>
    <row r="3185" spans="1:17" ht="15" x14ac:dyDescent="0.15">
      <c r="A3185" s="22"/>
      <c r="B3185" s="26" t="str">
        <f t="shared" si="196"/>
        <v/>
      </c>
      <c r="C3185" s="26" t="str">
        <f t="shared" si="197"/>
        <v/>
      </c>
      <c r="D3185" s="26" t="str">
        <f t="shared" si="198"/>
        <v/>
      </c>
      <c r="E3185" s="29"/>
      <c r="F3185" s="22"/>
      <c r="G3185" s="22"/>
      <c r="H3185" s="22"/>
      <c r="I3185" s="24"/>
      <c r="J3185" s="24"/>
      <c r="K3185" s="24"/>
      <c r="L3185" s="24"/>
      <c r="M3185" s="27" t="str">
        <f t="shared" si="199"/>
        <v/>
      </c>
      <c r="N3185" s="25"/>
      <c r="O3185" s="22"/>
      <c r="P3185" s="24"/>
      <c r="Q3185" s="26"/>
    </row>
    <row r="3186" spans="1:17" ht="15" x14ac:dyDescent="0.15">
      <c r="A3186" s="22"/>
      <c r="B3186" s="26" t="str">
        <f t="shared" si="196"/>
        <v/>
      </c>
      <c r="C3186" s="26" t="str">
        <f t="shared" si="197"/>
        <v/>
      </c>
      <c r="D3186" s="26" t="str">
        <f t="shared" si="198"/>
        <v/>
      </c>
      <c r="E3186" s="29"/>
      <c r="F3186" s="22"/>
      <c r="G3186" s="22"/>
      <c r="H3186" s="22"/>
      <c r="I3186" s="24"/>
      <c r="J3186" s="24"/>
      <c r="K3186" s="24"/>
      <c r="L3186" s="24"/>
      <c r="M3186" s="27" t="str">
        <f t="shared" si="199"/>
        <v/>
      </c>
      <c r="N3186" s="25"/>
      <c r="O3186" s="22"/>
      <c r="P3186" s="24"/>
      <c r="Q3186" s="26"/>
    </row>
    <row r="3187" spans="1:17" ht="15" x14ac:dyDescent="0.15">
      <c r="A3187" s="22"/>
      <c r="B3187" s="26" t="str">
        <f t="shared" si="196"/>
        <v/>
      </c>
      <c r="C3187" s="26" t="str">
        <f t="shared" si="197"/>
        <v/>
      </c>
      <c r="D3187" s="26" t="str">
        <f t="shared" si="198"/>
        <v/>
      </c>
      <c r="E3187" s="29"/>
      <c r="F3187" s="22"/>
      <c r="G3187" s="22"/>
      <c r="H3187" s="22"/>
      <c r="I3187" s="24"/>
      <c r="J3187" s="24"/>
      <c r="K3187" s="24"/>
      <c r="L3187" s="24"/>
      <c r="M3187" s="27" t="str">
        <f t="shared" si="199"/>
        <v/>
      </c>
      <c r="N3187" s="25"/>
      <c r="O3187" s="22"/>
      <c r="P3187" s="24"/>
      <c r="Q3187" s="26"/>
    </row>
    <row r="3188" spans="1:17" ht="15" x14ac:dyDescent="0.15">
      <c r="A3188" s="22"/>
      <c r="B3188" s="26" t="str">
        <f t="shared" si="196"/>
        <v/>
      </c>
      <c r="C3188" s="26" t="str">
        <f t="shared" si="197"/>
        <v/>
      </c>
      <c r="D3188" s="26" t="str">
        <f t="shared" si="198"/>
        <v/>
      </c>
      <c r="E3188" s="29"/>
      <c r="F3188" s="22"/>
      <c r="G3188" s="22"/>
      <c r="H3188" s="22"/>
      <c r="I3188" s="24"/>
      <c r="J3188" s="24"/>
      <c r="K3188" s="24"/>
      <c r="L3188" s="24"/>
      <c r="M3188" s="27" t="str">
        <f t="shared" si="199"/>
        <v/>
      </c>
      <c r="N3188" s="25"/>
      <c r="O3188" s="22"/>
      <c r="P3188" s="24"/>
      <c r="Q3188" s="26"/>
    </row>
    <row r="3189" spans="1:17" ht="15" x14ac:dyDescent="0.15">
      <c r="A3189" s="22"/>
      <c r="B3189" s="26" t="str">
        <f t="shared" si="196"/>
        <v/>
      </c>
      <c r="C3189" s="26" t="str">
        <f t="shared" si="197"/>
        <v/>
      </c>
      <c r="D3189" s="26" t="str">
        <f t="shared" si="198"/>
        <v/>
      </c>
      <c r="E3189" s="29"/>
      <c r="F3189" s="22"/>
      <c r="G3189" s="22"/>
      <c r="H3189" s="22"/>
      <c r="I3189" s="24"/>
      <c r="J3189" s="24"/>
      <c r="K3189" s="24"/>
      <c r="L3189" s="24"/>
      <c r="M3189" s="27" t="str">
        <f t="shared" si="199"/>
        <v/>
      </c>
      <c r="N3189" s="25"/>
      <c r="O3189" s="22"/>
      <c r="P3189" s="24"/>
      <c r="Q3189" s="26"/>
    </row>
    <row r="3190" spans="1:17" ht="15" x14ac:dyDescent="0.15">
      <c r="A3190" s="22"/>
      <c r="B3190" s="26" t="str">
        <f t="shared" si="196"/>
        <v/>
      </c>
      <c r="C3190" s="26" t="str">
        <f t="shared" si="197"/>
        <v/>
      </c>
      <c r="D3190" s="26" t="str">
        <f t="shared" si="198"/>
        <v/>
      </c>
      <c r="E3190" s="29"/>
      <c r="F3190" s="22"/>
      <c r="G3190" s="22"/>
      <c r="H3190" s="22"/>
      <c r="I3190" s="24"/>
      <c r="J3190" s="24"/>
      <c r="K3190" s="24"/>
      <c r="L3190" s="24"/>
      <c r="M3190" s="27" t="str">
        <f t="shared" si="199"/>
        <v/>
      </c>
      <c r="N3190" s="25"/>
      <c r="O3190" s="22"/>
      <c r="P3190" s="24"/>
      <c r="Q3190" s="26"/>
    </row>
    <row r="3191" spans="1:17" ht="15" x14ac:dyDescent="0.15">
      <c r="A3191" s="22"/>
      <c r="B3191" s="26" t="str">
        <f t="shared" si="196"/>
        <v/>
      </c>
      <c r="C3191" s="26" t="str">
        <f t="shared" si="197"/>
        <v/>
      </c>
      <c r="D3191" s="26" t="str">
        <f t="shared" si="198"/>
        <v/>
      </c>
      <c r="E3191" s="29"/>
      <c r="F3191" s="22"/>
      <c r="G3191" s="22"/>
      <c r="H3191" s="22"/>
      <c r="I3191" s="24"/>
      <c r="J3191" s="24"/>
      <c r="K3191" s="24"/>
      <c r="L3191" s="24"/>
      <c r="M3191" s="27" t="str">
        <f t="shared" si="199"/>
        <v/>
      </c>
      <c r="N3191" s="25"/>
      <c r="O3191" s="22"/>
      <c r="P3191" s="24"/>
      <c r="Q3191" s="26"/>
    </row>
    <row r="3192" spans="1:17" ht="15" x14ac:dyDescent="0.15">
      <c r="A3192" s="22"/>
      <c r="B3192" s="26" t="str">
        <f t="shared" si="196"/>
        <v/>
      </c>
      <c r="C3192" s="26" t="str">
        <f t="shared" si="197"/>
        <v/>
      </c>
      <c r="D3192" s="26" t="str">
        <f t="shared" si="198"/>
        <v/>
      </c>
      <c r="E3192" s="29"/>
      <c r="F3192" s="22"/>
      <c r="G3192" s="22"/>
      <c r="H3192" s="22"/>
      <c r="I3192" s="24"/>
      <c r="J3192" s="24"/>
      <c r="K3192" s="24"/>
      <c r="L3192" s="24"/>
      <c r="M3192" s="27" t="str">
        <f t="shared" si="199"/>
        <v/>
      </c>
      <c r="N3192" s="25"/>
      <c r="O3192" s="22"/>
      <c r="P3192" s="24"/>
      <c r="Q3192" s="26"/>
    </row>
    <row r="3193" spans="1:17" ht="15" x14ac:dyDescent="0.15">
      <c r="A3193" s="22"/>
      <c r="B3193" s="26" t="str">
        <f t="shared" si="196"/>
        <v/>
      </c>
      <c r="C3193" s="26" t="str">
        <f t="shared" si="197"/>
        <v/>
      </c>
      <c r="D3193" s="26" t="str">
        <f t="shared" si="198"/>
        <v/>
      </c>
      <c r="E3193" s="29"/>
      <c r="F3193" s="22"/>
      <c r="G3193" s="22"/>
      <c r="H3193" s="22"/>
      <c r="I3193" s="24"/>
      <c r="J3193" s="24"/>
      <c r="K3193" s="24"/>
      <c r="L3193" s="24"/>
      <c r="M3193" s="27" t="str">
        <f t="shared" si="199"/>
        <v/>
      </c>
      <c r="N3193" s="25"/>
      <c r="O3193" s="22"/>
      <c r="P3193" s="24"/>
      <c r="Q3193" s="26"/>
    </row>
    <row r="3194" spans="1:17" ht="15" x14ac:dyDescent="0.15">
      <c r="A3194" s="22"/>
      <c r="B3194" s="26" t="str">
        <f t="shared" si="196"/>
        <v/>
      </c>
      <c r="C3194" s="26" t="str">
        <f t="shared" si="197"/>
        <v/>
      </c>
      <c r="D3194" s="26" t="str">
        <f t="shared" si="198"/>
        <v/>
      </c>
      <c r="E3194" s="29"/>
      <c r="F3194" s="22"/>
      <c r="G3194" s="22"/>
      <c r="H3194" s="22"/>
      <c r="I3194" s="24"/>
      <c r="J3194" s="24"/>
      <c r="K3194" s="24"/>
      <c r="L3194" s="24"/>
      <c r="M3194" s="27" t="str">
        <f t="shared" si="199"/>
        <v/>
      </c>
      <c r="N3194" s="25"/>
      <c r="O3194" s="22"/>
      <c r="P3194" s="24"/>
      <c r="Q3194" s="26"/>
    </row>
    <row r="3195" spans="1:17" ht="15" x14ac:dyDescent="0.15">
      <c r="A3195" s="22"/>
      <c r="B3195" s="26" t="str">
        <f t="shared" si="196"/>
        <v/>
      </c>
      <c r="C3195" s="26" t="str">
        <f t="shared" si="197"/>
        <v/>
      </c>
      <c r="D3195" s="26" t="str">
        <f t="shared" si="198"/>
        <v/>
      </c>
      <c r="E3195" s="29"/>
      <c r="F3195" s="22"/>
      <c r="G3195" s="22"/>
      <c r="H3195" s="22"/>
      <c r="I3195" s="24"/>
      <c r="J3195" s="24"/>
      <c r="K3195" s="24"/>
      <c r="L3195" s="24"/>
      <c r="M3195" s="27" t="str">
        <f t="shared" si="199"/>
        <v/>
      </c>
      <c r="N3195" s="25"/>
      <c r="O3195" s="22"/>
      <c r="P3195" s="24"/>
      <c r="Q3195" s="26"/>
    </row>
    <row r="3196" spans="1:17" ht="15" x14ac:dyDescent="0.15">
      <c r="A3196" s="22"/>
      <c r="B3196" s="26" t="str">
        <f t="shared" si="196"/>
        <v/>
      </c>
      <c r="C3196" s="26" t="str">
        <f t="shared" si="197"/>
        <v/>
      </c>
      <c r="D3196" s="26" t="str">
        <f t="shared" si="198"/>
        <v/>
      </c>
      <c r="E3196" s="29"/>
      <c r="F3196" s="22"/>
      <c r="G3196" s="22"/>
      <c r="H3196" s="22"/>
      <c r="I3196" s="24"/>
      <c r="J3196" s="24"/>
      <c r="K3196" s="24"/>
      <c r="L3196" s="24"/>
      <c r="M3196" s="27" t="str">
        <f t="shared" si="199"/>
        <v/>
      </c>
      <c r="N3196" s="25"/>
      <c r="O3196" s="22"/>
      <c r="P3196" s="24"/>
      <c r="Q3196" s="26"/>
    </row>
    <row r="3197" spans="1:17" ht="15" x14ac:dyDescent="0.15">
      <c r="A3197" s="22"/>
      <c r="B3197" s="26" t="str">
        <f t="shared" si="196"/>
        <v/>
      </c>
      <c r="C3197" s="26" t="str">
        <f t="shared" si="197"/>
        <v/>
      </c>
      <c r="D3197" s="26" t="str">
        <f t="shared" si="198"/>
        <v/>
      </c>
      <c r="E3197" s="29"/>
      <c r="F3197" s="22"/>
      <c r="G3197" s="22"/>
      <c r="H3197" s="22"/>
      <c r="I3197" s="24"/>
      <c r="J3197" s="24"/>
      <c r="K3197" s="24"/>
      <c r="L3197" s="24"/>
      <c r="M3197" s="27" t="str">
        <f t="shared" si="199"/>
        <v/>
      </c>
      <c r="N3197" s="25"/>
      <c r="O3197" s="22"/>
      <c r="P3197" s="24"/>
      <c r="Q3197" s="26"/>
    </row>
    <row r="3198" spans="1:17" ht="15" x14ac:dyDescent="0.15">
      <c r="A3198" s="22"/>
      <c r="B3198" s="26" t="str">
        <f t="shared" si="196"/>
        <v/>
      </c>
      <c r="C3198" s="26" t="str">
        <f t="shared" si="197"/>
        <v/>
      </c>
      <c r="D3198" s="26" t="str">
        <f t="shared" si="198"/>
        <v/>
      </c>
      <c r="E3198" s="29"/>
      <c r="F3198" s="22"/>
      <c r="G3198" s="22"/>
      <c r="H3198" s="22"/>
      <c r="I3198" s="24"/>
      <c r="J3198" s="24"/>
      <c r="K3198" s="24"/>
      <c r="L3198" s="24"/>
      <c r="M3198" s="27" t="str">
        <f t="shared" si="199"/>
        <v/>
      </c>
      <c r="N3198" s="25"/>
      <c r="O3198" s="22"/>
      <c r="P3198" s="24"/>
      <c r="Q3198" s="26"/>
    </row>
    <row r="3199" spans="1:17" ht="15" x14ac:dyDescent="0.15">
      <c r="A3199" s="22"/>
      <c r="B3199" s="26" t="str">
        <f t="shared" si="196"/>
        <v/>
      </c>
      <c r="C3199" s="26" t="str">
        <f t="shared" si="197"/>
        <v/>
      </c>
      <c r="D3199" s="26" t="str">
        <f t="shared" si="198"/>
        <v/>
      </c>
      <c r="E3199" s="29"/>
      <c r="F3199" s="22"/>
      <c r="G3199" s="22"/>
      <c r="H3199" s="22"/>
      <c r="I3199" s="24"/>
      <c r="J3199" s="24"/>
      <c r="K3199" s="24"/>
      <c r="L3199" s="24"/>
      <c r="M3199" s="27" t="str">
        <f t="shared" si="199"/>
        <v/>
      </c>
      <c r="N3199" s="25"/>
      <c r="O3199" s="22"/>
      <c r="P3199" s="24"/>
      <c r="Q3199" s="26"/>
    </row>
    <row r="3200" spans="1:17" ht="15" x14ac:dyDescent="0.15">
      <c r="A3200" s="22"/>
      <c r="B3200" s="26" t="str">
        <f t="shared" si="196"/>
        <v/>
      </c>
      <c r="C3200" s="26" t="str">
        <f t="shared" si="197"/>
        <v/>
      </c>
      <c r="D3200" s="26" t="str">
        <f t="shared" si="198"/>
        <v/>
      </c>
      <c r="E3200" s="29"/>
      <c r="F3200" s="22"/>
      <c r="G3200" s="22"/>
      <c r="H3200" s="22"/>
      <c r="I3200" s="24"/>
      <c r="J3200" s="24"/>
      <c r="K3200" s="24"/>
      <c r="L3200" s="24"/>
      <c r="M3200" s="27" t="str">
        <f t="shared" si="199"/>
        <v/>
      </c>
      <c r="N3200" s="25"/>
      <c r="O3200" s="22"/>
      <c r="P3200" s="24"/>
      <c r="Q3200" s="26"/>
    </row>
    <row r="3201" spans="1:17" ht="15" x14ac:dyDescent="0.15">
      <c r="A3201" s="22"/>
      <c r="B3201" s="26" t="str">
        <f t="shared" si="196"/>
        <v/>
      </c>
      <c r="C3201" s="26" t="str">
        <f t="shared" si="197"/>
        <v/>
      </c>
      <c r="D3201" s="26" t="str">
        <f t="shared" si="198"/>
        <v/>
      </c>
      <c r="E3201" s="29"/>
      <c r="F3201" s="22"/>
      <c r="G3201" s="22"/>
      <c r="H3201" s="22"/>
      <c r="I3201" s="24"/>
      <c r="J3201" s="24"/>
      <c r="K3201" s="24"/>
      <c r="L3201" s="24"/>
      <c r="M3201" s="27" t="str">
        <f t="shared" si="199"/>
        <v/>
      </c>
      <c r="N3201" s="25"/>
      <c r="O3201" s="22"/>
      <c r="P3201" s="24"/>
      <c r="Q3201" s="26"/>
    </row>
    <row r="3202" spans="1:17" ht="15" x14ac:dyDescent="0.15">
      <c r="A3202" s="22"/>
      <c r="B3202" s="26" t="str">
        <f t="shared" si="196"/>
        <v/>
      </c>
      <c r="C3202" s="26" t="str">
        <f t="shared" si="197"/>
        <v/>
      </c>
      <c r="D3202" s="26" t="str">
        <f t="shared" si="198"/>
        <v/>
      </c>
      <c r="E3202" s="29"/>
      <c r="F3202" s="22"/>
      <c r="G3202" s="22"/>
      <c r="H3202" s="22"/>
      <c r="I3202" s="24"/>
      <c r="J3202" s="24"/>
      <c r="K3202" s="24"/>
      <c r="L3202" s="24"/>
      <c r="M3202" s="27" t="str">
        <f t="shared" si="199"/>
        <v/>
      </c>
      <c r="N3202" s="25"/>
      <c r="O3202" s="22"/>
      <c r="P3202" s="24"/>
      <c r="Q3202" s="26"/>
    </row>
    <row r="3203" spans="1:17" ht="15" x14ac:dyDescent="0.15">
      <c r="A3203" s="22"/>
      <c r="B3203" s="26" t="str">
        <f t="shared" si="196"/>
        <v/>
      </c>
      <c r="C3203" s="26" t="str">
        <f t="shared" si="197"/>
        <v/>
      </c>
      <c r="D3203" s="26" t="str">
        <f t="shared" si="198"/>
        <v/>
      </c>
      <c r="E3203" s="29"/>
      <c r="F3203" s="22"/>
      <c r="G3203" s="22"/>
      <c r="H3203" s="22"/>
      <c r="I3203" s="24"/>
      <c r="J3203" s="24"/>
      <c r="K3203" s="24"/>
      <c r="L3203" s="24"/>
      <c r="M3203" s="27" t="str">
        <f t="shared" si="199"/>
        <v/>
      </c>
      <c r="N3203" s="25"/>
      <c r="O3203" s="22"/>
      <c r="P3203" s="24"/>
      <c r="Q3203" s="26"/>
    </row>
    <row r="3204" spans="1:17" ht="15" x14ac:dyDescent="0.15">
      <c r="A3204" s="22"/>
      <c r="B3204" s="26" t="str">
        <f t="shared" si="196"/>
        <v/>
      </c>
      <c r="C3204" s="26" t="str">
        <f t="shared" si="197"/>
        <v/>
      </c>
      <c r="D3204" s="26" t="str">
        <f t="shared" si="198"/>
        <v/>
      </c>
      <c r="E3204" s="29"/>
      <c r="F3204" s="22"/>
      <c r="G3204" s="22"/>
      <c r="H3204" s="22"/>
      <c r="I3204" s="24"/>
      <c r="J3204" s="24"/>
      <c r="K3204" s="24"/>
      <c r="L3204" s="24"/>
      <c r="M3204" s="27" t="str">
        <f t="shared" si="199"/>
        <v/>
      </c>
      <c r="N3204" s="25"/>
      <c r="O3204" s="22"/>
      <c r="P3204" s="24"/>
      <c r="Q3204" s="26"/>
    </row>
    <row r="3205" spans="1:17" ht="15" x14ac:dyDescent="0.15">
      <c r="A3205" s="22"/>
      <c r="B3205" s="26" t="str">
        <f t="shared" si="196"/>
        <v/>
      </c>
      <c r="C3205" s="26" t="str">
        <f t="shared" si="197"/>
        <v/>
      </c>
      <c r="D3205" s="26" t="str">
        <f t="shared" si="198"/>
        <v/>
      </c>
      <c r="E3205" s="29"/>
      <c r="F3205" s="22"/>
      <c r="G3205" s="22"/>
      <c r="H3205" s="22"/>
      <c r="I3205" s="24"/>
      <c r="J3205" s="24"/>
      <c r="K3205" s="24"/>
      <c r="L3205" s="24"/>
      <c r="M3205" s="27" t="str">
        <f t="shared" si="199"/>
        <v/>
      </c>
      <c r="N3205" s="25"/>
      <c r="O3205" s="22"/>
      <c r="P3205" s="24"/>
      <c r="Q3205" s="26"/>
    </row>
    <row r="3206" spans="1:17" ht="15" x14ac:dyDescent="0.15">
      <c r="A3206" s="22"/>
      <c r="B3206" s="26" t="str">
        <f t="shared" si="196"/>
        <v/>
      </c>
      <c r="C3206" s="26" t="str">
        <f t="shared" si="197"/>
        <v/>
      </c>
      <c r="D3206" s="26" t="str">
        <f t="shared" si="198"/>
        <v/>
      </c>
      <c r="E3206" s="29"/>
      <c r="F3206" s="22"/>
      <c r="G3206" s="22"/>
      <c r="H3206" s="22"/>
      <c r="I3206" s="24"/>
      <c r="J3206" s="24"/>
      <c r="K3206" s="24"/>
      <c r="L3206" s="24"/>
      <c r="M3206" s="27" t="str">
        <f t="shared" si="199"/>
        <v/>
      </c>
      <c r="N3206" s="25"/>
      <c r="O3206" s="22"/>
      <c r="P3206" s="24"/>
      <c r="Q3206" s="26"/>
    </row>
    <row r="3207" spans="1:17" ht="15" x14ac:dyDescent="0.15">
      <c r="A3207" s="22"/>
      <c r="B3207" s="26" t="str">
        <f t="shared" ref="B3207:B3270" si="200">IFERROR(IF($A3207="","",LEFT($A3207,FIND(" | ",$A3207)-1)),"")</f>
        <v/>
      </c>
      <c r="C3207" s="26" t="str">
        <f t="shared" ref="C3207:C3270" si="201">IFERROR(IF($A3207="","",MID($A3207,FIND(" | ",$A3207)+3,FIND(" | ",$A3207,FIND(" | ",$A3207)+3)-FIND(" | ",$A3207)-3)),"")</f>
        <v/>
      </c>
      <c r="D3207" s="26" t="str">
        <f t="shared" ref="D3207:D3270" si="202">IFERROR(IF($A3207="","",RIGHT($A3207,LEN($A3207)-FIND(" | ",$A3207,FIND(" | ",$A3207)+3)-2)),"")</f>
        <v/>
      </c>
      <c r="E3207" s="29"/>
      <c r="F3207" s="22"/>
      <c r="G3207" s="22"/>
      <c r="H3207" s="22"/>
      <c r="I3207" s="24"/>
      <c r="J3207" s="24"/>
      <c r="K3207" s="24"/>
      <c r="L3207" s="24"/>
      <c r="M3207" s="27" t="str">
        <f t="shared" ref="M3207:M3270" si="203">IF($B3207="","",SUM($J3207,-$K3207,$L3207))</f>
        <v/>
      </c>
      <c r="N3207" s="25"/>
      <c r="O3207" s="22"/>
      <c r="P3207" s="24"/>
      <c r="Q3207" s="26"/>
    </row>
    <row r="3208" spans="1:17" ht="15" x14ac:dyDescent="0.15">
      <c r="A3208" s="22"/>
      <c r="B3208" s="26" t="str">
        <f t="shared" si="200"/>
        <v/>
      </c>
      <c r="C3208" s="26" t="str">
        <f t="shared" si="201"/>
        <v/>
      </c>
      <c r="D3208" s="26" t="str">
        <f t="shared" si="202"/>
        <v/>
      </c>
      <c r="E3208" s="29"/>
      <c r="F3208" s="22"/>
      <c r="G3208" s="22"/>
      <c r="H3208" s="22"/>
      <c r="I3208" s="24"/>
      <c r="J3208" s="24"/>
      <c r="K3208" s="24"/>
      <c r="L3208" s="24"/>
      <c r="M3208" s="27" t="str">
        <f t="shared" si="203"/>
        <v/>
      </c>
      <c r="N3208" s="25"/>
      <c r="O3208" s="22"/>
      <c r="P3208" s="24"/>
      <c r="Q3208" s="26"/>
    </row>
    <row r="3209" spans="1:17" ht="15" x14ac:dyDescent="0.15">
      <c r="A3209" s="22"/>
      <c r="B3209" s="26" t="str">
        <f t="shared" si="200"/>
        <v/>
      </c>
      <c r="C3209" s="26" t="str">
        <f t="shared" si="201"/>
        <v/>
      </c>
      <c r="D3209" s="26" t="str">
        <f t="shared" si="202"/>
        <v/>
      </c>
      <c r="E3209" s="29"/>
      <c r="F3209" s="22"/>
      <c r="G3209" s="22"/>
      <c r="H3209" s="22"/>
      <c r="I3209" s="24"/>
      <c r="J3209" s="24"/>
      <c r="K3209" s="24"/>
      <c r="L3209" s="24"/>
      <c r="M3209" s="27" t="str">
        <f t="shared" si="203"/>
        <v/>
      </c>
      <c r="N3209" s="25"/>
      <c r="O3209" s="22"/>
      <c r="P3209" s="24"/>
      <c r="Q3209" s="26"/>
    </row>
    <row r="3210" spans="1:17" ht="15" x14ac:dyDescent="0.15">
      <c r="A3210" s="22"/>
      <c r="B3210" s="26" t="str">
        <f t="shared" si="200"/>
        <v/>
      </c>
      <c r="C3210" s="26" t="str">
        <f t="shared" si="201"/>
        <v/>
      </c>
      <c r="D3210" s="26" t="str">
        <f t="shared" si="202"/>
        <v/>
      </c>
      <c r="E3210" s="29"/>
      <c r="F3210" s="22"/>
      <c r="G3210" s="22"/>
      <c r="H3210" s="22"/>
      <c r="I3210" s="24"/>
      <c r="J3210" s="24"/>
      <c r="K3210" s="24"/>
      <c r="L3210" s="24"/>
      <c r="M3210" s="27" t="str">
        <f t="shared" si="203"/>
        <v/>
      </c>
      <c r="N3210" s="25"/>
      <c r="O3210" s="22"/>
      <c r="P3210" s="24"/>
      <c r="Q3210" s="26"/>
    </row>
    <row r="3211" spans="1:17" ht="15" x14ac:dyDescent="0.15">
      <c r="A3211" s="22"/>
      <c r="B3211" s="26" t="str">
        <f t="shared" si="200"/>
        <v/>
      </c>
      <c r="C3211" s="26" t="str">
        <f t="shared" si="201"/>
        <v/>
      </c>
      <c r="D3211" s="26" t="str">
        <f t="shared" si="202"/>
        <v/>
      </c>
      <c r="E3211" s="29"/>
      <c r="F3211" s="22"/>
      <c r="G3211" s="22"/>
      <c r="H3211" s="22"/>
      <c r="I3211" s="24"/>
      <c r="J3211" s="24"/>
      <c r="K3211" s="24"/>
      <c r="L3211" s="24"/>
      <c r="M3211" s="27" t="str">
        <f t="shared" si="203"/>
        <v/>
      </c>
      <c r="N3211" s="25"/>
      <c r="O3211" s="22"/>
      <c r="P3211" s="24"/>
      <c r="Q3211" s="26"/>
    </row>
    <row r="3212" spans="1:17" ht="15" x14ac:dyDescent="0.15">
      <c r="A3212" s="22"/>
      <c r="B3212" s="26" t="str">
        <f t="shared" si="200"/>
        <v/>
      </c>
      <c r="C3212" s="26" t="str">
        <f t="shared" si="201"/>
        <v/>
      </c>
      <c r="D3212" s="26" t="str">
        <f t="shared" si="202"/>
        <v/>
      </c>
      <c r="E3212" s="29"/>
      <c r="F3212" s="22"/>
      <c r="G3212" s="22"/>
      <c r="H3212" s="22"/>
      <c r="I3212" s="24"/>
      <c r="J3212" s="24"/>
      <c r="K3212" s="24"/>
      <c r="L3212" s="24"/>
      <c r="M3212" s="27" t="str">
        <f t="shared" si="203"/>
        <v/>
      </c>
      <c r="N3212" s="25"/>
      <c r="O3212" s="22"/>
      <c r="P3212" s="24"/>
      <c r="Q3212" s="26"/>
    </row>
    <row r="3213" spans="1:17" ht="15" x14ac:dyDescent="0.15">
      <c r="A3213" s="22"/>
      <c r="B3213" s="26" t="str">
        <f t="shared" si="200"/>
        <v/>
      </c>
      <c r="C3213" s="26" t="str">
        <f t="shared" si="201"/>
        <v/>
      </c>
      <c r="D3213" s="26" t="str">
        <f t="shared" si="202"/>
        <v/>
      </c>
      <c r="E3213" s="29"/>
      <c r="F3213" s="22"/>
      <c r="G3213" s="22"/>
      <c r="H3213" s="22"/>
      <c r="I3213" s="24"/>
      <c r="J3213" s="24"/>
      <c r="K3213" s="24"/>
      <c r="L3213" s="24"/>
      <c r="M3213" s="27" t="str">
        <f t="shared" si="203"/>
        <v/>
      </c>
      <c r="N3213" s="25"/>
      <c r="O3213" s="22"/>
      <c r="P3213" s="24"/>
      <c r="Q3213" s="26"/>
    </row>
    <row r="3214" spans="1:17" ht="15" x14ac:dyDescent="0.15">
      <c r="A3214" s="22"/>
      <c r="B3214" s="26" t="str">
        <f t="shared" si="200"/>
        <v/>
      </c>
      <c r="C3214" s="26" t="str">
        <f t="shared" si="201"/>
        <v/>
      </c>
      <c r="D3214" s="26" t="str">
        <f t="shared" si="202"/>
        <v/>
      </c>
      <c r="E3214" s="29"/>
      <c r="F3214" s="22"/>
      <c r="G3214" s="22"/>
      <c r="H3214" s="22"/>
      <c r="I3214" s="24"/>
      <c r="J3214" s="24"/>
      <c r="K3214" s="24"/>
      <c r="L3214" s="24"/>
      <c r="M3214" s="27" t="str">
        <f t="shared" si="203"/>
        <v/>
      </c>
      <c r="N3214" s="25"/>
      <c r="O3214" s="22"/>
      <c r="P3214" s="24"/>
      <c r="Q3214" s="26"/>
    </row>
    <row r="3215" spans="1:17" ht="15" x14ac:dyDescent="0.15">
      <c r="A3215" s="22"/>
      <c r="B3215" s="26" t="str">
        <f t="shared" si="200"/>
        <v/>
      </c>
      <c r="C3215" s="26" t="str">
        <f t="shared" si="201"/>
        <v/>
      </c>
      <c r="D3215" s="26" t="str">
        <f t="shared" si="202"/>
        <v/>
      </c>
      <c r="E3215" s="29"/>
      <c r="F3215" s="22"/>
      <c r="G3215" s="22"/>
      <c r="H3215" s="22"/>
      <c r="I3215" s="24"/>
      <c r="J3215" s="24"/>
      <c r="K3215" s="24"/>
      <c r="L3215" s="24"/>
      <c r="M3215" s="27" t="str">
        <f t="shared" si="203"/>
        <v/>
      </c>
      <c r="N3215" s="25"/>
      <c r="O3215" s="22"/>
      <c r="P3215" s="24"/>
      <c r="Q3215" s="26"/>
    </row>
    <row r="3216" spans="1:17" ht="15" x14ac:dyDescent="0.15">
      <c r="A3216" s="22"/>
      <c r="B3216" s="26" t="str">
        <f t="shared" si="200"/>
        <v/>
      </c>
      <c r="C3216" s="26" t="str">
        <f t="shared" si="201"/>
        <v/>
      </c>
      <c r="D3216" s="26" t="str">
        <f t="shared" si="202"/>
        <v/>
      </c>
      <c r="E3216" s="29"/>
      <c r="F3216" s="22"/>
      <c r="G3216" s="22"/>
      <c r="H3216" s="22"/>
      <c r="I3216" s="24"/>
      <c r="J3216" s="24"/>
      <c r="K3216" s="24"/>
      <c r="L3216" s="24"/>
      <c r="M3216" s="27" t="str">
        <f t="shared" si="203"/>
        <v/>
      </c>
      <c r="N3216" s="25"/>
      <c r="O3216" s="22"/>
      <c r="P3216" s="24"/>
      <c r="Q3216" s="26"/>
    </row>
    <row r="3217" spans="1:17" ht="15" x14ac:dyDescent="0.15">
      <c r="A3217" s="22"/>
      <c r="B3217" s="26" t="str">
        <f t="shared" si="200"/>
        <v/>
      </c>
      <c r="C3217" s="26" t="str">
        <f t="shared" si="201"/>
        <v/>
      </c>
      <c r="D3217" s="26" t="str">
        <f t="shared" si="202"/>
        <v/>
      </c>
      <c r="E3217" s="29"/>
      <c r="F3217" s="22"/>
      <c r="G3217" s="22"/>
      <c r="H3217" s="22"/>
      <c r="I3217" s="24"/>
      <c r="J3217" s="24"/>
      <c r="K3217" s="24"/>
      <c r="L3217" s="24"/>
      <c r="M3217" s="27" t="str">
        <f t="shared" si="203"/>
        <v/>
      </c>
      <c r="N3217" s="25"/>
      <c r="O3217" s="22"/>
      <c r="P3217" s="24"/>
      <c r="Q3217" s="26"/>
    </row>
    <row r="3218" spans="1:17" ht="15" x14ac:dyDescent="0.15">
      <c r="A3218" s="22"/>
      <c r="B3218" s="26" t="str">
        <f t="shared" si="200"/>
        <v/>
      </c>
      <c r="C3218" s="26" t="str">
        <f t="shared" si="201"/>
        <v/>
      </c>
      <c r="D3218" s="26" t="str">
        <f t="shared" si="202"/>
        <v/>
      </c>
      <c r="E3218" s="29"/>
      <c r="F3218" s="22"/>
      <c r="G3218" s="22"/>
      <c r="H3218" s="22"/>
      <c r="I3218" s="24"/>
      <c r="J3218" s="24"/>
      <c r="K3218" s="24"/>
      <c r="L3218" s="24"/>
      <c r="M3218" s="27" t="str">
        <f t="shared" si="203"/>
        <v/>
      </c>
      <c r="N3218" s="25"/>
      <c r="O3218" s="22"/>
      <c r="P3218" s="24"/>
      <c r="Q3218" s="26"/>
    </row>
    <row r="3219" spans="1:17" ht="15" x14ac:dyDescent="0.15">
      <c r="A3219" s="22"/>
      <c r="B3219" s="26" t="str">
        <f t="shared" si="200"/>
        <v/>
      </c>
      <c r="C3219" s="26" t="str">
        <f t="shared" si="201"/>
        <v/>
      </c>
      <c r="D3219" s="26" t="str">
        <f t="shared" si="202"/>
        <v/>
      </c>
      <c r="E3219" s="29"/>
      <c r="F3219" s="22"/>
      <c r="G3219" s="22"/>
      <c r="H3219" s="22"/>
      <c r="I3219" s="24"/>
      <c r="J3219" s="24"/>
      <c r="K3219" s="24"/>
      <c r="L3219" s="24"/>
      <c r="M3219" s="27" t="str">
        <f t="shared" si="203"/>
        <v/>
      </c>
      <c r="N3219" s="25"/>
      <c r="O3219" s="22"/>
      <c r="P3219" s="24"/>
      <c r="Q3219" s="26"/>
    </row>
    <row r="3220" spans="1:17" ht="15" x14ac:dyDescent="0.15">
      <c r="A3220" s="22"/>
      <c r="B3220" s="26" t="str">
        <f t="shared" si="200"/>
        <v/>
      </c>
      <c r="C3220" s="26" t="str">
        <f t="shared" si="201"/>
        <v/>
      </c>
      <c r="D3220" s="26" t="str">
        <f t="shared" si="202"/>
        <v/>
      </c>
      <c r="E3220" s="29"/>
      <c r="F3220" s="22"/>
      <c r="G3220" s="22"/>
      <c r="H3220" s="22"/>
      <c r="I3220" s="24"/>
      <c r="J3220" s="24"/>
      <c r="K3220" s="24"/>
      <c r="L3220" s="24"/>
      <c r="M3220" s="27" t="str">
        <f t="shared" si="203"/>
        <v/>
      </c>
      <c r="N3220" s="25"/>
      <c r="O3220" s="22"/>
      <c r="P3220" s="24"/>
      <c r="Q3220" s="26"/>
    </row>
    <row r="3221" spans="1:17" ht="15" x14ac:dyDescent="0.15">
      <c r="A3221" s="22"/>
      <c r="B3221" s="26" t="str">
        <f t="shared" si="200"/>
        <v/>
      </c>
      <c r="C3221" s="26" t="str">
        <f t="shared" si="201"/>
        <v/>
      </c>
      <c r="D3221" s="26" t="str">
        <f t="shared" si="202"/>
        <v/>
      </c>
      <c r="E3221" s="29"/>
      <c r="F3221" s="22"/>
      <c r="G3221" s="22"/>
      <c r="H3221" s="22"/>
      <c r="I3221" s="24"/>
      <c r="J3221" s="24"/>
      <c r="K3221" s="24"/>
      <c r="L3221" s="24"/>
      <c r="M3221" s="27" t="str">
        <f t="shared" si="203"/>
        <v/>
      </c>
      <c r="N3221" s="25"/>
      <c r="O3221" s="22"/>
      <c r="P3221" s="24"/>
      <c r="Q3221" s="26"/>
    </row>
    <row r="3222" spans="1:17" ht="15" x14ac:dyDescent="0.15">
      <c r="A3222" s="22"/>
      <c r="B3222" s="26" t="str">
        <f t="shared" si="200"/>
        <v/>
      </c>
      <c r="C3222" s="26" t="str">
        <f t="shared" si="201"/>
        <v/>
      </c>
      <c r="D3222" s="26" t="str">
        <f t="shared" si="202"/>
        <v/>
      </c>
      <c r="E3222" s="29"/>
      <c r="F3222" s="22"/>
      <c r="G3222" s="22"/>
      <c r="H3222" s="22"/>
      <c r="I3222" s="24"/>
      <c r="J3222" s="24"/>
      <c r="K3222" s="24"/>
      <c r="L3222" s="24"/>
      <c r="M3222" s="27" t="str">
        <f t="shared" si="203"/>
        <v/>
      </c>
      <c r="N3222" s="25"/>
      <c r="O3222" s="22"/>
      <c r="P3222" s="24"/>
      <c r="Q3222" s="26"/>
    </row>
    <row r="3223" spans="1:17" ht="15" x14ac:dyDescent="0.15">
      <c r="A3223" s="22"/>
      <c r="B3223" s="26" t="str">
        <f t="shared" si="200"/>
        <v/>
      </c>
      <c r="C3223" s="26" t="str">
        <f t="shared" si="201"/>
        <v/>
      </c>
      <c r="D3223" s="26" t="str">
        <f t="shared" si="202"/>
        <v/>
      </c>
      <c r="E3223" s="29"/>
      <c r="F3223" s="22"/>
      <c r="G3223" s="22"/>
      <c r="H3223" s="22"/>
      <c r="I3223" s="24"/>
      <c r="J3223" s="24"/>
      <c r="K3223" s="24"/>
      <c r="L3223" s="24"/>
      <c r="M3223" s="27" t="str">
        <f t="shared" si="203"/>
        <v/>
      </c>
      <c r="N3223" s="25"/>
      <c r="O3223" s="22"/>
      <c r="P3223" s="24"/>
      <c r="Q3223" s="26"/>
    </row>
    <row r="3224" spans="1:17" ht="15" x14ac:dyDescent="0.15">
      <c r="A3224" s="22"/>
      <c r="B3224" s="26" t="str">
        <f t="shared" si="200"/>
        <v/>
      </c>
      <c r="C3224" s="26" t="str">
        <f t="shared" si="201"/>
        <v/>
      </c>
      <c r="D3224" s="26" t="str">
        <f t="shared" si="202"/>
        <v/>
      </c>
      <c r="E3224" s="29"/>
      <c r="F3224" s="22"/>
      <c r="G3224" s="22"/>
      <c r="H3224" s="22"/>
      <c r="I3224" s="24"/>
      <c r="J3224" s="24"/>
      <c r="K3224" s="24"/>
      <c r="L3224" s="24"/>
      <c r="M3224" s="27" t="str">
        <f t="shared" si="203"/>
        <v/>
      </c>
      <c r="N3224" s="25"/>
      <c r="O3224" s="22"/>
      <c r="P3224" s="24"/>
      <c r="Q3224" s="26"/>
    </row>
    <row r="3225" spans="1:17" ht="15" x14ac:dyDescent="0.15">
      <c r="A3225" s="22"/>
      <c r="B3225" s="26" t="str">
        <f t="shared" si="200"/>
        <v/>
      </c>
      <c r="C3225" s="26" t="str">
        <f t="shared" si="201"/>
        <v/>
      </c>
      <c r="D3225" s="26" t="str">
        <f t="shared" si="202"/>
        <v/>
      </c>
      <c r="E3225" s="29"/>
      <c r="F3225" s="22"/>
      <c r="G3225" s="22"/>
      <c r="H3225" s="22"/>
      <c r="I3225" s="24"/>
      <c r="J3225" s="24"/>
      <c r="K3225" s="24"/>
      <c r="L3225" s="24"/>
      <c r="M3225" s="27" t="str">
        <f t="shared" si="203"/>
        <v/>
      </c>
      <c r="N3225" s="25"/>
      <c r="O3225" s="22"/>
      <c r="P3225" s="24"/>
      <c r="Q3225" s="26"/>
    </row>
    <row r="3226" spans="1:17" ht="15" x14ac:dyDescent="0.15">
      <c r="A3226" s="22"/>
      <c r="B3226" s="26" t="str">
        <f t="shared" si="200"/>
        <v/>
      </c>
      <c r="C3226" s="26" t="str">
        <f t="shared" si="201"/>
        <v/>
      </c>
      <c r="D3226" s="26" t="str">
        <f t="shared" si="202"/>
        <v/>
      </c>
      <c r="E3226" s="29"/>
      <c r="F3226" s="22"/>
      <c r="G3226" s="22"/>
      <c r="H3226" s="22"/>
      <c r="I3226" s="24"/>
      <c r="J3226" s="24"/>
      <c r="K3226" s="24"/>
      <c r="L3226" s="24"/>
      <c r="M3226" s="27" t="str">
        <f t="shared" si="203"/>
        <v/>
      </c>
      <c r="N3226" s="25"/>
      <c r="O3226" s="22"/>
      <c r="P3226" s="24"/>
      <c r="Q3226" s="26"/>
    </row>
    <row r="3227" spans="1:17" ht="15" x14ac:dyDescent="0.15">
      <c r="A3227" s="22"/>
      <c r="B3227" s="26" t="str">
        <f t="shared" si="200"/>
        <v/>
      </c>
      <c r="C3227" s="26" t="str">
        <f t="shared" si="201"/>
        <v/>
      </c>
      <c r="D3227" s="26" t="str">
        <f t="shared" si="202"/>
        <v/>
      </c>
      <c r="E3227" s="29"/>
      <c r="F3227" s="22"/>
      <c r="G3227" s="22"/>
      <c r="H3227" s="22"/>
      <c r="I3227" s="24"/>
      <c r="J3227" s="24"/>
      <c r="K3227" s="24"/>
      <c r="L3227" s="24"/>
      <c r="M3227" s="27" t="str">
        <f t="shared" si="203"/>
        <v/>
      </c>
      <c r="N3227" s="25"/>
      <c r="O3227" s="22"/>
      <c r="P3227" s="24"/>
      <c r="Q3227" s="26"/>
    </row>
    <row r="3228" spans="1:17" ht="15" x14ac:dyDescent="0.15">
      <c r="A3228" s="22"/>
      <c r="B3228" s="26" t="str">
        <f t="shared" si="200"/>
        <v/>
      </c>
      <c r="C3228" s="26" t="str">
        <f t="shared" si="201"/>
        <v/>
      </c>
      <c r="D3228" s="26" t="str">
        <f t="shared" si="202"/>
        <v/>
      </c>
      <c r="E3228" s="29"/>
      <c r="F3228" s="22"/>
      <c r="G3228" s="22"/>
      <c r="H3228" s="22"/>
      <c r="I3228" s="24"/>
      <c r="J3228" s="24"/>
      <c r="K3228" s="24"/>
      <c r="L3228" s="24"/>
      <c r="M3228" s="27" t="str">
        <f t="shared" si="203"/>
        <v/>
      </c>
      <c r="N3228" s="25"/>
      <c r="O3228" s="22"/>
      <c r="P3228" s="24"/>
      <c r="Q3228" s="26"/>
    </row>
    <row r="3229" spans="1:17" ht="15" x14ac:dyDescent="0.15">
      <c r="A3229" s="22"/>
      <c r="B3229" s="26" t="str">
        <f t="shared" si="200"/>
        <v/>
      </c>
      <c r="C3229" s="26" t="str">
        <f t="shared" si="201"/>
        <v/>
      </c>
      <c r="D3229" s="26" t="str">
        <f t="shared" si="202"/>
        <v/>
      </c>
      <c r="E3229" s="29"/>
      <c r="F3229" s="22"/>
      <c r="G3229" s="22"/>
      <c r="H3229" s="22"/>
      <c r="I3229" s="24"/>
      <c r="J3229" s="24"/>
      <c r="K3229" s="24"/>
      <c r="L3229" s="24"/>
      <c r="M3229" s="27" t="str">
        <f t="shared" si="203"/>
        <v/>
      </c>
      <c r="N3229" s="25"/>
      <c r="O3229" s="22"/>
      <c r="P3229" s="24"/>
      <c r="Q3229" s="26"/>
    </row>
    <row r="3230" spans="1:17" ht="15" x14ac:dyDescent="0.15">
      <c r="A3230" s="22"/>
      <c r="B3230" s="26" t="str">
        <f t="shared" si="200"/>
        <v/>
      </c>
      <c r="C3230" s="26" t="str">
        <f t="shared" si="201"/>
        <v/>
      </c>
      <c r="D3230" s="26" t="str">
        <f t="shared" si="202"/>
        <v/>
      </c>
      <c r="E3230" s="29"/>
      <c r="F3230" s="22"/>
      <c r="G3230" s="22"/>
      <c r="H3230" s="22"/>
      <c r="I3230" s="24"/>
      <c r="J3230" s="24"/>
      <c r="K3230" s="24"/>
      <c r="L3230" s="24"/>
      <c r="M3230" s="27" t="str">
        <f t="shared" si="203"/>
        <v/>
      </c>
      <c r="N3230" s="25"/>
      <c r="O3230" s="22"/>
      <c r="P3230" s="24"/>
      <c r="Q3230" s="26"/>
    </row>
    <row r="3231" spans="1:17" ht="15" x14ac:dyDescent="0.15">
      <c r="A3231" s="22"/>
      <c r="B3231" s="26" t="str">
        <f t="shared" si="200"/>
        <v/>
      </c>
      <c r="C3231" s="26" t="str">
        <f t="shared" si="201"/>
        <v/>
      </c>
      <c r="D3231" s="26" t="str">
        <f t="shared" si="202"/>
        <v/>
      </c>
      <c r="E3231" s="29"/>
      <c r="F3231" s="22"/>
      <c r="G3231" s="22"/>
      <c r="H3231" s="22"/>
      <c r="I3231" s="24"/>
      <c r="J3231" s="24"/>
      <c r="K3231" s="24"/>
      <c r="L3231" s="24"/>
      <c r="M3231" s="27" t="str">
        <f t="shared" si="203"/>
        <v/>
      </c>
      <c r="N3231" s="25"/>
      <c r="O3231" s="22"/>
      <c r="P3231" s="24"/>
      <c r="Q3231" s="26"/>
    </row>
    <row r="3232" spans="1:17" ht="15" x14ac:dyDescent="0.15">
      <c r="A3232" s="22"/>
      <c r="B3232" s="26" t="str">
        <f t="shared" si="200"/>
        <v/>
      </c>
      <c r="C3232" s="26" t="str">
        <f t="shared" si="201"/>
        <v/>
      </c>
      <c r="D3232" s="26" t="str">
        <f t="shared" si="202"/>
        <v/>
      </c>
      <c r="E3232" s="29"/>
      <c r="F3232" s="22"/>
      <c r="G3232" s="22"/>
      <c r="H3232" s="22"/>
      <c r="I3232" s="24"/>
      <c r="J3232" s="24"/>
      <c r="K3232" s="24"/>
      <c r="L3232" s="24"/>
      <c r="M3232" s="27" t="str">
        <f t="shared" si="203"/>
        <v/>
      </c>
      <c r="N3232" s="25"/>
      <c r="O3232" s="22"/>
      <c r="P3232" s="24"/>
      <c r="Q3232" s="26"/>
    </row>
    <row r="3233" spans="1:17" ht="15" x14ac:dyDescent="0.15">
      <c r="A3233" s="22"/>
      <c r="B3233" s="26" t="str">
        <f t="shared" si="200"/>
        <v/>
      </c>
      <c r="C3233" s="26" t="str">
        <f t="shared" si="201"/>
        <v/>
      </c>
      <c r="D3233" s="26" t="str">
        <f t="shared" si="202"/>
        <v/>
      </c>
      <c r="E3233" s="29"/>
      <c r="F3233" s="22"/>
      <c r="G3233" s="22"/>
      <c r="H3233" s="22"/>
      <c r="I3233" s="24"/>
      <c r="J3233" s="24"/>
      <c r="K3233" s="24"/>
      <c r="L3233" s="24"/>
      <c r="M3233" s="27" t="str">
        <f t="shared" si="203"/>
        <v/>
      </c>
      <c r="N3233" s="25"/>
      <c r="O3233" s="22"/>
      <c r="P3233" s="24"/>
      <c r="Q3233" s="26"/>
    </row>
    <row r="3234" spans="1:17" ht="15" x14ac:dyDescent="0.15">
      <c r="A3234" s="22"/>
      <c r="B3234" s="26" t="str">
        <f t="shared" si="200"/>
        <v/>
      </c>
      <c r="C3234" s="26" t="str">
        <f t="shared" si="201"/>
        <v/>
      </c>
      <c r="D3234" s="26" t="str">
        <f t="shared" si="202"/>
        <v/>
      </c>
      <c r="E3234" s="29"/>
      <c r="F3234" s="22"/>
      <c r="G3234" s="22"/>
      <c r="H3234" s="22"/>
      <c r="I3234" s="24"/>
      <c r="J3234" s="24"/>
      <c r="K3234" s="24"/>
      <c r="L3234" s="24"/>
      <c r="M3234" s="27" t="str">
        <f t="shared" si="203"/>
        <v/>
      </c>
      <c r="N3234" s="25"/>
      <c r="O3234" s="22"/>
      <c r="P3234" s="24"/>
      <c r="Q3234" s="26"/>
    </row>
    <row r="3235" spans="1:17" ht="15" x14ac:dyDescent="0.15">
      <c r="A3235" s="22"/>
      <c r="B3235" s="26" t="str">
        <f t="shared" si="200"/>
        <v/>
      </c>
      <c r="C3235" s="26" t="str">
        <f t="shared" si="201"/>
        <v/>
      </c>
      <c r="D3235" s="26" t="str">
        <f t="shared" si="202"/>
        <v/>
      </c>
      <c r="E3235" s="29"/>
      <c r="F3235" s="22"/>
      <c r="G3235" s="22"/>
      <c r="H3235" s="22"/>
      <c r="I3235" s="24"/>
      <c r="J3235" s="24"/>
      <c r="K3235" s="24"/>
      <c r="L3235" s="24"/>
      <c r="M3235" s="27" t="str">
        <f t="shared" si="203"/>
        <v/>
      </c>
      <c r="N3235" s="25"/>
      <c r="O3235" s="22"/>
      <c r="P3235" s="24"/>
      <c r="Q3235" s="26"/>
    </row>
    <row r="3236" spans="1:17" ht="15" x14ac:dyDescent="0.15">
      <c r="A3236" s="22"/>
      <c r="B3236" s="26" t="str">
        <f t="shared" si="200"/>
        <v/>
      </c>
      <c r="C3236" s="26" t="str">
        <f t="shared" si="201"/>
        <v/>
      </c>
      <c r="D3236" s="26" t="str">
        <f t="shared" si="202"/>
        <v/>
      </c>
      <c r="E3236" s="29"/>
      <c r="F3236" s="22"/>
      <c r="G3236" s="22"/>
      <c r="H3236" s="22"/>
      <c r="I3236" s="24"/>
      <c r="J3236" s="24"/>
      <c r="K3236" s="24"/>
      <c r="L3236" s="24"/>
      <c r="M3236" s="27" t="str">
        <f t="shared" si="203"/>
        <v/>
      </c>
      <c r="N3236" s="25"/>
      <c r="O3236" s="22"/>
      <c r="P3236" s="24"/>
      <c r="Q3236" s="26"/>
    </row>
    <row r="3237" spans="1:17" ht="15" x14ac:dyDescent="0.15">
      <c r="A3237" s="22"/>
      <c r="B3237" s="26" t="str">
        <f t="shared" si="200"/>
        <v/>
      </c>
      <c r="C3237" s="26" t="str">
        <f t="shared" si="201"/>
        <v/>
      </c>
      <c r="D3237" s="26" t="str">
        <f t="shared" si="202"/>
        <v/>
      </c>
      <c r="E3237" s="29"/>
      <c r="F3237" s="22"/>
      <c r="G3237" s="22"/>
      <c r="H3237" s="22"/>
      <c r="I3237" s="24"/>
      <c r="J3237" s="24"/>
      <c r="K3237" s="24"/>
      <c r="L3237" s="24"/>
      <c r="M3237" s="27" t="str">
        <f t="shared" si="203"/>
        <v/>
      </c>
      <c r="N3237" s="25"/>
      <c r="O3237" s="22"/>
      <c r="P3237" s="24"/>
      <c r="Q3237" s="26"/>
    </row>
    <row r="3238" spans="1:17" ht="15" x14ac:dyDescent="0.15">
      <c r="A3238" s="22"/>
      <c r="B3238" s="26" t="str">
        <f t="shared" si="200"/>
        <v/>
      </c>
      <c r="C3238" s="26" t="str">
        <f t="shared" si="201"/>
        <v/>
      </c>
      <c r="D3238" s="26" t="str">
        <f t="shared" si="202"/>
        <v/>
      </c>
      <c r="E3238" s="29"/>
      <c r="F3238" s="22"/>
      <c r="G3238" s="22"/>
      <c r="H3238" s="22"/>
      <c r="I3238" s="24"/>
      <c r="J3238" s="24"/>
      <c r="K3238" s="24"/>
      <c r="L3238" s="24"/>
      <c r="M3238" s="27" t="str">
        <f t="shared" si="203"/>
        <v/>
      </c>
      <c r="N3238" s="25"/>
      <c r="O3238" s="22"/>
      <c r="P3238" s="24"/>
      <c r="Q3238" s="26"/>
    </row>
    <row r="3239" spans="1:17" ht="15" x14ac:dyDescent="0.15">
      <c r="A3239" s="22"/>
      <c r="B3239" s="26" t="str">
        <f t="shared" si="200"/>
        <v/>
      </c>
      <c r="C3239" s="26" t="str">
        <f t="shared" si="201"/>
        <v/>
      </c>
      <c r="D3239" s="26" t="str">
        <f t="shared" si="202"/>
        <v/>
      </c>
      <c r="E3239" s="29"/>
      <c r="F3239" s="22"/>
      <c r="G3239" s="22"/>
      <c r="H3239" s="22"/>
      <c r="I3239" s="24"/>
      <c r="J3239" s="24"/>
      <c r="K3239" s="24"/>
      <c r="L3239" s="24"/>
      <c r="M3239" s="27" t="str">
        <f t="shared" si="203"/>
        <v/>
      </c>
      <c r="N3239" s="25"/>
      <c r="O3239" s="22"/>
      <c r="P3239" s="24"/>
      <c r="Q3239" s="26"/>
    </row>
    <row r="3240" spans="1:17" ht="15" x14ac:dyDescent="0.15">
      <c r="A3240" s="22"/>
      <c r="B3240" s="26" t="str">
        <f t="shared" si="200"/>
        <v/>
      </c>
      <c r="C3240" s="26" t="str">
        <f t="shared" si="201"/>
        <v/>
      </c>
      <c r="D3240" s="26" t="str">
        <f t="shared" si="202"/>
        <v/>
      </c>
      <c r="E3240" s="29"/>
      <c r="F3240" s="22"/>
      <c r="G3240" s="22"/>
      <c r="H3240" s="22"/>
      <c r="I3240" s="24"/>
      <c r="J3240" s="24"/>
      <c r="K3240" s="24"/>
      <c r="L3240" s="24"/>
      <c r="M3240" s="27" t="str">
        <f t="shared" si="203"/>
        <v/>
      </c>
      <c r="N3240" s="25"/>
      <c r="O3240" s="22"/>
      <c r="P3240" s="24"/>
      <c r="Q3240" s="26"/>
    </row>
    <row r="3241" spans="1:17" ht="15" x14ac:dyDescent="0.15">
      <c r="A3241" s="22"/>
      <c r="B3241" s="26" t="str">
        <f t="shared" si="200"/>
        <v/>
      </c>
      <c r="C3241" s="26" t="str">
        <f t="shared" si="201"/>
        <v/>
      </c>
      <c r="D3241" s="26" t="str">
        <f t="shared" si="202"/>
        <v/>
      </c>
      <c r="E3241" s="29"/>
      <c r="F3241" s="22"/>
      <c r="G3241" s="22"/>
      <c r="H3241" s="22"/>
      <c r="I3241" s="24"/>
      <c r="J3241" s="24"/>
      <c r="K3241" s="24"/>
      <c r="L3241" s="24"/>
      <c r="M3241" s="27" t="str">
        <f t="shared" si="203"/>
        <v/>
      </c>
      <c r="N3241" s="25"/>
      <c r="O3241" s="22"/>
      <c r="P3241" s="24"/>
      <c r="Q3241" s="26"/>
    </row>
    <row r="3242" spans="1:17" ht="15" x14ac:dyDescent="0.15">
      <c r="A3242" s="22"/>
      <c r="B3242" s="26" t="str">
        <f t="shared" si="200"/>
        <v/>
      </c>
      <c r="C3242" s="26" t="str">
        <f t="shared" si="201"/>
        <v/>
      </c>
      <c r="D3242" s="26" t="str">
        <f t="shared" si="202"/>
        <v/>
      </c>
      <c r="E3242" s="29"/>
      <c r="F3242" s="22"/>
      <c r="G3242" s="22"/>
      <c r="H3242" s="22"/>
      <c r="I3242" s="24"/>
      <c r="J3242" s="24"/>
      <c r="K3242" s="24"/>
      <c r="L3242" s="24"/>
      <c r="M3242" s="27" t="str">
        <f t="shared" si="203"/>
        <v/>
      </c>
      <c r="N3242" s="25"/>
      <c r="O3242" s="22"/>
      <c r="P3242" s="24"/>
      <c r="Q3242" s="26"/>
    </row>
    <row r="3243" spans="1:17" ht="15" x14ac:dyDescent="0.15">
      <c r="A3243" s="22"/>
      <c r="B3243" s="26" t="str">
        <f t="shared" si="200"/>
        <v/>
      </c>
      <c r="C3243" s="26" t="str">
        <f t="shared" si="201"/>
        <v/>
      </c>
      <c r="D3243" s="26" t="str">
        <f t="shared" si="202"/>
        <v/>
      </c>
      <c r="E3243" s="29"/>
      <c r="F3243" s="22"/>
      <c r="G3243" s="22"/>
      <c r="H3243" s="22"/>
      <c r="I3243" s="24"/>
      <c r="J3243" s="24"/>
      <c r="K3243" s="24"/>
      <c r="L3243" s="24"/>
      <c r="M3243" s="27" t="str">
        <f t="shared" si="203"/>
        <v/>
      </c>
      <c r="N3243" s="25"/>
      <c r="O3243" s="22"/>
      <c r="P3243" s="24"/>
      <c r="Q3243" s="26"/>
    </row>
    <row r="3244" spans="1:17" ht="15" x14ac:dyDescent="0.15">
      <c r="A3244" s="22"/>
      <c r="B3244" s="26" t="str">
        <f t="shared" si="200"/>
        <v/>
      </c>
      <c r="C3244" s="26" t="str">
        <f t="shared" si="201"/>
        <v/>
      </c>
      <c r="D3244" s="26" t="str">
        <f t="shared" si="202"/>
        <v/>
      </c>
      <c r="E3244" s="29"/>
      <c r="F3244" s="22"/>
      <c r="G3244" s="22"/>
      <c r="H3244" s="22"/>
      <c r="I3244" s="24"/>
      <c r="J3244" s="24"/>
      <c r="K3244" s="24"/>
      <c r="L3244" s="24"/>
      <c r="M3244" s="27" t="str">
        <f t="shared" si="203"/>
        <v/>
      </c>
      <c r="N3244" s="25"/>
      <c r="O3244" s="22"/>
      <c r="P3244" s="24"/>
      <c r="Q3244" s="26"/>
    </row>
    <row r="3245" spans="1:17" ht="15" x14ac:dyDescent="0.15">
      <c r="A3245" s="22"/>
      <c r="B3245" s="26" t="str">
        <f t="shared" si="200"/>
        <v/>
      </c>
      <c r="C3245" s="26" t="str">
        <f t="shared" si="201"/>
        <v/>
      </c>
      <c r="D3245" s="26" t="str">
        <f t="shared" si="202"/>
        <v/>
      </c>
      <c r="E3245" s="29"/>
      <c r="F3245" s="22"/>
      <c r="G3245" s="22"/>
      <c r="H3245" s="22"/>
      <c r="I3245" s="24"/>
      <c r="J3245" s="24"/>
      <c r="K3245" s="24"/>
      <c r="L3245" s="24"/>
      <c r="M3245" s="27" t="str">
        <f t="shared" si="203"/>
        <v/>
      </c>
      <c r="N3245" s="25"/>
      <c r="O3245" s="22"/>
      <c r="P3245" s="24"/>
      <c r="Q3245" s="26"/>
    </row>
    <row r="3246" spans="1:17" ht="15" x14ac:dyDescent="0.15">
      <c r="A3246" s="22"/>
      <c r="B3246" s="26" t="str">
        <f t="shared" si="200"/>
        <v/>
      </c>
      <c r="C3246" s="26" t="str">
        <f t="shared" si="201"/>
        <v/>
      </c>
      <c r="D3246" s="26" t="str">
        <f t="shared" si="202"/>
        <v/>
      </c>
      <c r="E3246" s="29"/>
      <c r="F3246" s="22"/>
      <c r="G3246" s="22"/>
      <c r="H3246" s="22"/>
      <c r="I3246" s="24"/>
      <c r="J3246" s="24"/>
      <c r="K3246" s="24"/>
      <c r="L3246" s="24"/>
      <c r="M3246" s="27" t="str">
        <f t="shared" si="203"/>
        <v/>
      </c>
      <c r="N3246" s="25"/>
      <c r="O3246" s="22"/>
      <c r="P3246" s="24"/>
      <c r="Q3246" s="26"/>
    </row>
    <row r="3247" spans="1:17" ht="15" x14ac:dyDescent="0.15">
      <c r="A3247" s="22"/>
      <c r="B3247" s="26" t="str">
        <f t="shared" si="200"/>
        <v/>
      </c>
      <c r="C3247" s="26" t="str">
        <f t="shared" si="201"/>
        <v/>
      </c>
      <c r="D3247" s="26" t="str">
        <f t="shared" si="202"/>
        <v/>
      </c>
      <c r="E3247" s="29"/>
      <c r="F3247" s="22"/>
      <c r="G3247" s="22"/>
      <c r="H3247" s="22"/>
      <c r="I3247" s="24"/>
      <c r="J3247" s="24"/>
      <c r="K3247" s="24"/>
      <c r="L3247" s="24"/>
      <c r="M3247" s="27" t="str">
        <f t="shared" si="203"/>
        <v/>
      </c>
      <c r="N3247" s="25"/>
      <c r="O3247" s="22"/>
      <c r="P3247" s="24"/>
      <c r="Q3247" s="26"/>
    </row>
    <row r="3248" spans="1:17" ht="15" x14ac:dyDescent="0.15">
      <c r="A3248" s="22"/>
      <c r="B3248" s="26" t="str">
        <f t="shared" si="200"/>
        <v/>
      </c>
      <c r="C3248" s="26" t="str">
        <f t="shared" si="201"/>
        <v/>
      </c>
      <c r="D3248" s="26" t="str">
        <f t="shared" si="202"/>
        <v/>
      </c>
      <c r="E3248" s="29"/>
      <c r="F3248" s="22"/>
      <c r="G3248" s="22"/>
      <c r="H3248" s="22"/>
      <c r="I3248" s="24"/>
      <c r="J3248" s="24"/>
      <c r="K3248" s="24"/>
      <c r="L3248" s="24"/>
      <c r="M3248" s="27" t="str">
        <f t="shared" si="203"/>
        <v/>
      </c>
      <c r="N3248" s="25"/>
      <c r="O3248" s="22"/>
      <c r="P3248" s="24"/>
      <c r="Q3248" s="26"/>
    </row>
    <row r="3249" spans="1:17" ht="15" x14ac:dyDescent="0.15">
      <c r="A3249" s="22"/>
      <c r="B3249" s="26" t="str">
        <f t="shared" si="200"/>
        <v/>
      </c>
      <c r="C3249" s="26" t="str">
        <f t="shared" si="201"/>
        <v/>
      </c>
      <c r="D3249" s="26" t="str">
        <f t="shared" si="202"/>
        <v/>
      </c>
      <c r="E3249" s="29"/>
      <c r="F3249" s="22"/>
      <c r="G3249" s="22"/>
      <c r="H3249" s="22"/>
      <c r="I3249" s="24"/>
      <c r="J3249" s="24"/>
      <c r="K3249" s="24"/>
      <c r="L3249" s="24"/>
      <c r="M3249" s="27" t="str">
        <f t="shared" si="203"/>
        <v/>
      </c>
      <c r="N3249" s="25"/>
      <c r="O3249" s="22"/>
      <c r="P3249" s="24"/>
      <c r="Q3249" s="26"/>
    </row>
    <row r="3250" spans="1:17" ht="15" x14ac:dyDescent="0.15">
      <c r="A3250" s="22"/>
      <c r="B3250" s="26" t="str">
        <f t="shared" si="200"/>
        <v/>
      </c>
      <c r="C3250" s="26" t="str">
        <f t="shared" si="201"/>
        <v/>
      </c>
      <c r="D3250" s="26" t="str">
        <f t="shared" si="202"/>
        <v/>
      </c>
      <c r="E3250" s="29"/>
      <c r="F3250" s="22"/>
      <c r="G3250" s="22"/>
      <c r="H3250" s="22"/>
      <c r="I3250" s="24"/>
      <c r="J3250" s="24"/>
      <c r="K3250" s="24"/>
      <c r="L3250" s="24"/>
      <c r="M3250" s="27" t="str">
        <f t="shared" si="203"/>
        <v/>
      </c>
      <c r="N3250" s="25"/>
      <c r="O3250" s="22"/>
      <c r="P3250" s="24"/>
      <c r="Q3250" s="26"/>
    </row>
    <row r="3251" spans="1:17" ht="15" x14ac:dyDescent="0.15">
      <c r="A3251" s="22"/>
      <c r="B3251" s="26" t="str">
        <f t="shared" si="200"/>
        <v/>
      </c>
      <c r="C3251" s="26" t="str">
        <f t="shared" si="201"/>
        <v/>
      </c>
      <c r="D3251" s="26" t="str">
        <f t="shared" si="202"/>
        <v/>
      </c>
      <c r="E3251" s="29"/>
      <c r="F3251" s="22"/>
      <c r="G3251" s="22"/>
      <c r="H3251" s="22"/>
      <c r="I3251" s="24"/>
      <c r="J3251" s="24"/>
      <c r="K3251" s="24"/>
      <c r="L3251" s="24"/>
      <c r="M3251" s="27" t="str">
        <f t="shared" si="203"/>
        <v/>
      </c>
      <c r="N3251" s="25"/>
      <c r="O3251" s="22"/>
      <c r="P3251" s="24"/>
      <c r="Q3251" s="26"/>
    </row>
    <row r="3252" spans="1:17" ht="15" x14ac:dyDescent="0.15">
      <c r="A3252" s="22"/>
      <c r="B3252" s="26" t="str">
        <f t="shared" si="200"/>
        <v/>
      </c>
      <c r="C3252" s="26" t="str">
        <f t="shared" si="201"/>
        <v/>
      </c>
      <c r="D3252" s="26" t="str">
        <f t="shared" si="202"/>
        <v/>
      </c>
      <c r="E3252" s="29"/>
      <c r="F3252" s="22"/>
      <c r="G3252" s="22"/>
      <c r="H3252" s="22"/>
      <c r="I3252" s="24"/>
      <c r="J3252" s="24"/>
      <c r="K3252" s="24"/>
      <c r="L3252" s="24"/>
      <c r="M3252" s="27" t="str">
        <f t="shared" si="203"/>
        <v/>
      </c>
      <c r="N3252" s="25"/>
      <c r="O3252" s="22"/>
      <c r="P3252" s="24"/>
      <c r="Q3252" s="26"/>
    </row>
    <row r="3253" spans="1:17" ht="15" x14ac:dyDescent="0.15">
      <c r="A3253" s="22"/>
      <c r="B3253" s="26" t="str">
        <f t="shared" si="200"/>
        <v/>
      </c>
      <c r="C3253" s="26" t="str">
        <f t="shared" si="201"/>
        <v/>
      </c>
      <c r="D3253" s="26" t="str">
        <f t="shared" si="202"/>
        <v/>
      </c>
      <c r="E3253" s="29"/>
      <c r="F3253" s="22"/>
      <c r="G3253" s="22"/>
      <c r="H3253" s="22"/>
      <c r="I3253" s="24"/>
      <c r="J3253" s="24"/>
      <c r="K3253" s="24"/>
      <c r="L3253" s="24"/>
      <c r="M3253" s="27" t="str">
        <f t="shared" si="203"/>
        <v/>
      </c>
      <c r="N3253" s="25"/>
      <c r="O3253" s="22"/>
      <c r="P3253" s="24"/>
      <c r="Q3253" s="26"/>
    </row>
    <row r="3254" spans="1:17" ht="15" x14ac:dyDescent="0.15">
      <c r="A3254" s="22"/>
      <c r="B3254" s="26" t="str">
        <f t="shared" si="200"/>
        <v/>
      </c>
      <c r="C3254" s="26" t="str">
        <f t="shared" si="201"/>
        <v/>
      </c>
      <c r="D3254" s="26" t="str">
        <f t="shared" si="202"/>
        <v/>
      </c>
      <c r="E3254" s="29"/>
      <c r="F3254" s="22"/>
      <c r="G3254" s="22"/>
      <c r="H3254" s="22"/>
      <c r="I3254" s="24"/>
      <c r="J3254" s="24"/>
      <c r="K3254" s="24"/>
      <c r="L3254" s="24"/>
      <c r="M3254" s="27" t="str">
        <f t="shared" si="203"/>
        <v/>
      </c>
      <c r="N3254" s="25"/>
      <c r="O3254" s="22"/>
      <c r="P3254" s="24"/>
      <c r="Q3254" s="26"/>
    </row>
    <row r="3255" spans="1:17" ht="15" x14ac:dyDescent="0.15">
      <c r="A3255" s="22"/>
      <c r="B3255" s="26" t="str">
        <f t="shared" si="200"/>
        <v/>
      </c>
      <c r="C3255" s="26" t="str">
        <f t="shared" si="201"/>
        <v/>
      </c>
      <c r="D3255" s="26" t="str">
        <f t="shared" si="202"/>
        <v/>
      </c>
      <c r="E3255" s="29"/>
      <c r="F3255" s="22"/>
      <c r="G3255" s="22"/>
      <c r="H3255" s="22"/>
      <c r="I3255" s="24"/>
      <c r="J3255" s="24"/>
      <c r="K3255" s="24"/>
      <c r="L3255" s="24"/>
      <c r="M3255" s="27" t="str">
        <f t="shared" si="203"/>
        <v/>
      </c>
      <c r="N3255" s="25"/>
      <c r="O3255" s="22"/>
      <c r="P3255" s="24"/>
      <c r="Q3255" s="26"/>
    </row>
    <row r="3256" spans="1:17" ht="15" x14ac:dyDescent="0.15">
      <c r="A3256" s="22"/>
      <c r="B3256" s="26" t="str">
        <f t="shared" si="200"/>
        <v/>
      </c>
      <c r="C3256" s="26" t="str">
        <f t="shared" si="201"/>
        <v/>
      </c>
      <c r="D3256" s="26" t="str">
        <f t="shared" si="202"/>
        <v/>
      </c>
      <c r="E3256" s="29"/>
      <c r="F3256" s="22"/>
      <c r="G3256" s="22"/>
      <c r="H3256" s="22"/>
      <c r="I3256" s="24"/>
      <c r="J3256" s="24"/>
      <c r="K3256" s="24"/>
      <c r="L3256" s="24"/>
      <c r="M3256" s="27" t="str">
        <f t="shared" si="203"/>
        <v/>
      </c>
      <c r="N3256" s="25"/>
      <c r="O3256" s="22"/>
      <c r="P3256" s="24"/>
      <c r="Q3256" s="26"/>
    </row>
    <row r="3257" spans="1:17" ht="15" x14ac:dyDescent="0.15">
      <c r="A3257" s="22"/>
      <c r="B3257" s="26" t="str">
        <f t="shared" si="200"/>
        <v/>
      </c>
      <c r="C3257" s="26" t="str">
        <f t="shared" si="201"/>
        <v/>
      </c>
      <c r="D3257" s="26" t="str">
        <f t="shared" si="202"/>
        <v/>
      </c>
      <c r="E3257" s="29"/>
      <c r="F3257" s="22"/>
      <c r="G3257" s="22"/>
      <c r="H3257" s="22"/>
      <c r="I3257" s="24"/>
      <c r="J3257" s="24"/>
      <c r="K3257" s="24"/>
      <c r="L3257" s="24"/>
      <c r="M3257" s="27" t="str">
        <f t="shared" si="203"/>
        <v/>
      </c>
      <c r="N3257" s="25"/>
      <c r="O3257" s="22"/>
      <c r="P3257" s="24"/>
      <c r="Q3257" s="26"/>
    </row>
    <row r="3258" spans="1:17" ht="15" x14ac:dyDescent="0.15">
      <c r="A3258" s="22"/>
      <c r="B3258" s="26" t="str">
        <f t="shared" si="200"/>
        <v/>
      </c>
      <c r="C3258" s="26" t="str">
        <f t="shared" si="201"/>
        <v/>
      </c>
      <c r="D3258" s="26" t="str">
        <f t="shared" si="202"/>
        <v/>
      </c>
      <c r="E3258" s="29"/>
      <c r="F3258" s="22"/>
      <c r="G3258" s="22"/>
      <c r="H3258" s="22"/>
      <c r="I3258" s="24"/>
      <c r="J3258" s="24"/>
      <c r="K3258" s="24"/>
      <c r="L3258" s="24"/>
      <c r="M3258" s="27" t="str">
        <f t="shared" si="203"/>
        <v/>
      </c>
      <c r="N3258" s="25"/>
      <c r="O3258" s="22"/>
      <c r="P3258" s="24"/>
      <c r="Q3258" s="26"/>
    </row>
    <row r="3259" spans="1:17" ht="15" x14ac:dyDescent="0.15">
      <c r="A3259" s="22"/>
      <c r="B3259" s="26" t="str">
        <f t="shared" si="200"/>
        <v/>
      </c>
      <c r="C3259" s="26" t="str">
        <f t="shared" si="201"/>
        <v/>
      </c>
      <c r="D3259" s="26" t="str">
        <f t="shared" si="202"/>
        <v/>
      </c>
      <c r="E3259" s="29"/>
      <c r="F3259" s="22"/>
      <c r="G3259" s="22"/>
      <c r="H3259" s="22"/>
      <c r="I3259" s="24"/>
      <c r="J3259" s="24"/>
      <c r="K3259" s="24"/>
      <c r="L3259" s="24"/>
      <c r="M3259" s="27" t="str">
        <f t="shared" si="203"/>
        <v/>
      </c>
      <c r="N3259" s="25"/>
      <c r="O3259" s="22"/>
      <c r="P3259" s="24"/>
      <c r="Q3259" s="26"/>
    </row>
    <row r="3260" spans="1:17" ht="15" x14ac:dyDescent="0.15">
      <c r="A3260" s="22"/>
      <c r="B3260" s="26" t="str">
        <f t="shared" si="200"/>
        <v/>
      </c>
      <c r="C3260" s="26" t="str">
        <f t="shared" si="201"/>
        <v/>
      </c>
      <c r="D3260" s="26" t="str">
        <f t="shared" si="202"/>
        <v/>
      </c>
      <c r="E3260" s="29"/>
      <c r="F3260" s="22"/>
      <c r="G3260" s="22"/>
      <c r="H3260" s="22"/>
      <c r="I3260" s="24"/>
      <c r="J3260" s="24"/>
      <c r="K3260" s="24"/>
      <c r="L3260" s="24"/>
      <c r="M3260" s="27" t="str">
        <f t="shared" si="203"/>
        <v/>
      </c>
      <c r="N3260" s="25"/>
      <c r="O3260" s="22"/>
      <c r="P3260" s="24"/>
      <c r="Q3260" s="26"/>
    </row>
    <row r="3261" spans="1:17" ht="15" x14ac:dyDescent="0.15">
      <c r="A3261" s="22"/>
      <c r="B3261" s="26" t="str">
        <f t="shared" si="200"/>
        <v/>
      </c>
      <c r="C3261" s="26" t="str">
        <f t="shared" si="201"/>
        <v/>
      </c>
      <c r="D3261" s="26" t="str">
        <f t="shared" si="202"/>
        <v/>
      </c>
      <c r="E3261" s="29"/>
      <c r="F3261" s="22"/>
      <c r="G3261" s="22"/>
      <c r="H3261" s="22"/>
      <c r="I3261" s="24"/>
      <c r="J3261" s="24"/>
      <c r="K3261" s="24"/>
      <c r="L3261" s="24"/>
      <c r="M3261" s="27" t="str">
        <f t="shared" si="203"/>
        <v/>
      </c>
      <c r="N3261" s="25"/>
      <c r="O3261" s="22"/>
      <c r="P3261" s="24"/>
      <c r="Q3261" s="26"/>
    </row>
    <row r="3262" spans="1:17" ht="15" x14ac:dyDescent="0.15">
      <c r="A3262" s="22"/>
      <c r="B3262" s="26" t="str">
        <f t="shared" si="200"/>
        <v/>
      </c>
      <c r="C3262" s="26" t="str">
        <f t="shared" si="201"/>
        <v/>
      </c>
      <c r="D3262" s="26" t="str">
        <f t="shared" si="202"/>
        <v/>
      </c>
      <c r="E3262" s="29"/>
      <c r="F3262" s="22"/>
      <c r="G3262" s="22"/>
      <c r="H3262" s="22"/>
      <c r="I3262" s="24"/>
      <c r="J3262" s="24"/>
      <c r="K3262" s="24"/>
      <c r="L3262" s="24"/>
      <c r="M3262" s="27" t="str">
        <f t="shared" si="203"/>
        <v/>
      </c>
      <c r="N3262" s="25"/>
      <c r="O3262" s="22"/>
      <c r="P3262" s="24"/>
      <c r="Q3262" s="26"/>
    </row>
    <row r="3263" spans="1:17" ht="15" x14ac:dyDescent="0.15">
      <c r="A3263" s="22"/>
      <c r="B3263" s="26" t="str">
        <f t="shared" si="200"/>
        <v/>
      </c>
      <c r="C3263" s="26" t="str">
        <f t="shared" si="201"/>
        <v/>
      </c>
      <c r="D3263" s="26" t="str">
        <f t="shared" si="202"/>
        <v/>
      </c>
      <c r="E3263" s="29"/>
      <c r="F3263" s="22"/>
      <c r="G3263" s="22"/>
      <c r="H3263" s="22"/>
      <c r="I3263" s="24"/>
      <c r="J3263" s="24"/>
      <c r="K3263" s="24"/>
      <c r="L3263" s="24"/>
      <c r="M3263" s="27" t="str">
        <f t="shared" si="203"/>
        <v/>
      </c>
      <c r="N3263" s="25"/>
      <c r="O3263" s="22"/>
      <c r="P3263" s="24"/>
      <c r="Q3263" s="26"/>
    </row>
    <row r="3264" spans="1:17" ht="15" x14ac:dyDescent="0.15">
      <c r="A3264" s="22"/>
      <c r="B3264" s="26" t="str">
        <f t="shared" si="200"/>
        <v/>
      </c>
      <c r="C3264" s="26" t="str">
        <f t="shared" si="201"/>
        <v/>
      </c>
      <c r="D3264" s="26" t="str">
        <f t="shared" si="202"/>
        <v/>
      </c>
      <c r="E3264" s="29"/>
      <c r="F3264" s="22"/>
      <c r="G3264" s="22"/>
      <c r="H3264" s="22"/>
      <c r="I3264" s="24"/>
      <c r="J3264" s="24"/>
      <c r="K3264" s="24"/>
      <c r="L3264" s="24"/>
      <c r="M3264" s="27" t="str">
        <f t="shared" si="203"/>
        <v/>
      </c>
      <c r="N3264" s="25"/>
      <c r="O3264" s="22"/>
      <c r="P3264" s="24"/>
      <c r="Q3264" s="26"/>
    </row>
    <row r="3265" spans="1:17" ht="15" x14ac:dyDescent="0.15">
      <c r="A3265" s="22"/>
      <c r="B3265" s="26" t="str">
        <f t="shared" si="200"/>
        <v/>
      </c>
      <c r="C3265" s="26" t="str">
        <f t="shared" si="201"/>
        <v/>
      </c>
      <c r="D3265" s="26" t="str">
        <f t="shared" si="202"/>
        <v/>
      </c>
      <c r="E3265" s="29"/>
      <c r="F3265" s="22"/>
      <c r="G3265" s="22"/>
      <c r="H3265" s="22"/>
      <c r="I3265" s="24"/>
      <c r="J3265" s="24"/>
      <c r="K3265" s="24"/>
      <c r="L3265" s="24"/>
      <c r="M3265" s="27" t="str">
        <f t="shared" si="203"/>
        <v/>
      </c>
      <c r="N3265" s="25"/>
      <c r="O3265" s="22"/>
      <c r="P3265" s="24"/>
      <c r="Q3265" s="26"/>
    </row>
    <row r="3266" spans="1:17" ht="15" x14ac:dyDescent="0.15">
      <c r="A3266" s="22"/>
      <c r="B3266" s="26" t="str">
        <f t="shared" si="200"/>
        <v/>
      </c>
      <c r="C3266" s="26" t="str">
        <f t="shared" si="201"/>
        <v/>
      </c>
      <c r="D3266" s="26" t="str">
        <f t="shared" si="202"/>
        <v/>
      </c>
      <c r="E3266" s="29"/>
      <c r="F3266" s="22"/>
      <c r="G3266" s="22"/>
      <c r="H3266" s="22"/>
      <c r="I3266" s="24"/>
      <c r="J3266" s="24"/>
      <c r="K3266" s="24"/>
      <c r="L3266" s="24"/>
      <c r="M3266" s="27" t="str">
        <f t="shared" si="203"/>
        <v/>
      </c>
      <c r="N3266" s="25"/>
      <c r="O3266" s="22"/>
      <c r="P3266" s="24"/>
      <c r="Q3266" s="26"/>
    </row>
    <row r="3267" spans="1:17" ht="15" x14ac:dyDescent="0.15">
      <c r="A3267" s="22"/>
      <c r="B3267" s="26" t="str">
        <f t="shared" si="200"/>
        <v/>
      </c>
      <c r="C3267" s="26" t="str">
        <f t="shared" si="201"/>
        <v/>
      </c>
      <c r="D3267" s="26" t="str">
        <f t="shared" si="202"/>
        <v/>
      </c>
      <c r="E3267" s="29"/>
      <c r="F3267" s="22"/>
      <c r="G3267" s="22"/>
      <c r="H3267" s="22"/>
      <c r="I3267" s="24"/>
      <c r="J3267" s="24"/>
      <c r="K3267" s="24"/>
      <c r="L3267" s="24"/>
      <c r="M3267" s="27" t="str">
        <f t="shared" si="203"/>
        <v/>
      </c>
      <c r="N3267" s="25"/>
      <c r="O3267" s="22"/>
      <c r="P3267" s="24"/>
      <c r="Q3267" s="26"/>
    </row>
    <row r="3268" spans="1:17" ht="15" x14ac:dyDescent="0.15">
      <c r="A3268" s="22"/>
      <c r="B3268" s="26" t="str">
        <f t="shared" si="200"/>
        <v/>
      </c>
      <c r="C3268" s="26" t="str">
        <f t="shared" si="201"/>
        <v/>
      </c>
      <c r="D3268" s="26" t="str">
        <f t="shared" si="202"/>
        <v/>
      </c>
      <c r="E3268" s="29"/>
      <c r="F3268" s="22"/>
      <c r="G3268" s="22"/>
      <c r="H3268" s="22"/>
      <c r="I3268" s="24"/>
      <c r="J3268" s="24"/>
      <c r="K3268" s="24"/>
      <c r="L3268" s="24"/>
      <c r="M3268" s="27" t="str">
        <f t="shared" si="203"/>
        <v/>
      </c>
      <c r="N3268" s="25"/>
      <c r="O3268" s="22"/>
      <c r="P3268" s="24"/>
      <c r="Q3268" s="26"/>
    </row>
    <row r="3269" spans="1:17" ht="15" x14ac:dyDescent="0.15">
      <c r="A3269" s="22"/>
      <c r="B3269" s="26" t="str">
        <f t="shared" si="200"/>
        <v/>
      </c>
      <c r="C3269" s="26" t="str">
        <f t="shared" si="201"/>
        <v/>
      </c>
      <c r="D3269" s="26" t="str">
        <f t="shared" si="202"/>
        <v/>
      </c>
      <c r="E3269" s="29"/>
      <c r="F3269" s="22"/>
      <c r="G3269" s="22"/>
      <c r="H3269" s="22"/>
      <c r="I3269" s="24"/>
      <c r="J3269" s="24"/>
      <c r="K3269" s="24"/>
      <c r="L3269" s="24"/>
      <c r="M3269" s="27" t="str">
        <f t="shared" si="203"/>
        <v/>
      </c>
      <c r="N3269" s="25"/>
      <c r="O3269" s="22"/>
      <c r="P3269" s="24"/>
      <c r="Q3269" s="26"/>
    </row>
    <row r="3270" spans="1:17" ht="15" x14ac:dyDescent="0.15">
      <c r="A3270" s="22"/>
      <c r="B3270" s="26" t="str">
        <f t="shared" si="200"/>
        <v/>
      </c>
      <c r="C3270" s="26" t="str">
        <f t="shared" si="201"/>
        <v/>
      </c>
      <c r="D3270" s="26" t="str">
        <f t="shared" si="202"/>
        <v/>
      </c>
      <c r="E3270" s="29"/>
      <c r="F3270" s="22"/>
      <c r="G3270" s="22"/>
      <c r="H3270" s="22"/>
      <c r="I3270" s="24"/>
      <c r="J3270" s="24"/>
      <c r="K3270" s="24"/>
      <c r="L3270" s="24"/>
      <c r="M3270" s="27" t="str">
        <f t="shared" si="203"/>
        <v/>
      </c>
      <c r="N3270" s="25"/>
      <c r="O3270" s="22"/>
      <c r="P3270" s="24"/>
      <c r="Q3270" s="26"/>
    </row>
    <row r="3271" spans="1:17" ht="15" x14ac:dyDescent="0.15">
      <c r="A3271" s="22"/>
      <c r="B3271" s="26" t="str">
        <f t="shared" ref="B3271:B3334" si="204">IFERROR(IF($A3271="","",LEFT($A3271,FIND(" | ",$A3271)-1)),"")</f>
        <v/>
      </c>
      <c r="C3271" s="26" t="str">
        <f t="shared" ref="C3271:C3334" si="205">IFERROR(IF($A3271="","",MID($A3271,FIND(" | ",$A3271)+3,FIND(" | ",$A3271,FIND(" | ",$A3271)+3)-FIND(" | ",$A3271)-3)),"")</f>
        <v/>
      </c>
      <c r="D3271" s="26" t="str">
        <f t="shared" ref="D3271:D3334" si="206">IFERROR(IF($A3271="","",RIGHT($A3271,LEN($A3271)-FIND(" | ",$A3271,FIND(" | ",$A3271)+3)-2)),"")</f>
        <v/>
      </c>
      <c r="E3271" s="29"/>
      <c r="F3271" s="22"/>
      <c r="G3271" s="22"/>
      <c r="H3271" s="22"/>
      <c r="I3271" s="24"/>
      <c r="J3271" s="24"/>
      <c r="K3271" s="24"/>
      <c r="L3271" s="24"/>
      <c r="M3271" s="27" t="str">
        <f t="shared" ref="M3271:M3334" si="207">IF($B3271="","",SUM($J3271,-$K3271,$L3271))</f>
        <v/>
      </c>
      <c r="N3271" s="25"/>
      <c r="O3271" s="22"/>
      <c r="P3271" s="24"/>
      <c r="Q3271" s="26"/>
    </row>
    <row r="3272" spans="1:17" ht="15" x14ac:dyDescent="0.15">
      <c r="A3272" s="22"/>
      <c r="B3272" s="26" t="str">
        <f t="shared" si="204"/>
        <v/>
      </c>
      <c r="C3272" s="26" t="str">
        <f t="shared" si="205"/>
        <v/>
      </c>
      <c r="D3272" s="26" t="str">
        <f t="shared" si="206"/>
        <v/>
      </c>
      <c r="E3272" s="29"/>
      <c r="F3272" s="22"/>
      <c r="G3272" s="22"/>
      <c r="H3272" s="22"/>
      <c r="I3272" s="24"/>
      <c r="J3272" s="24"/>
      <c r="K3272" s="24"/>
      <c r="L3272" s="24"/>
      <c r="M3272" s="27" t="str">
        <f t="shared" si="207"/>
        <v/>
      </c>
      <c r="N3272" s="25"/>
      <c r="O3272" s="22"/>
      <c r="P3272" s="24"/>
      <c r="Q3272" s="26"/>
    </row>
    <row r="3273" spans="1:17" ht="15" x14ac:dyDescent="0.15">
      <c r="A3273" s="22"/>
      <c r="B3273" s="26" t="str">
        <f t="shared" si="204"/>
        <v/>
      </c>
      <c r="C3273" s="26" t="str">
        <f t="shared" si="205"/>
        <v/>
      </c>
      <c r="D3273" s="26" t="str">
        <f t="shared" si="206"/>
        <v/>
      </c>
      <c r="E3273" s="29"/>
      <c r="F3273" s="22"/>
      <c r="G3273" s="22"/>
      <c r="H3273" s="22"/>
      <c r="I3273" s="24"/>
      <c r="J3273" s="24"/>
      <c r="K3273" s="24"/>
      <c r="L3273" s="24"/>
      <c r="M3273" s="27" t="str">
        <f t="shared" si="207"/>
        <v/>
      </c>
      <c r="N3273" s="25"/>
      <c r="O3273" s="22"/>
      <c r="P3273" s="24"/>
      <c r="Q3273" s="26"/>
    </row>
    <row r="3274" spans="1:17" ht="15" x14ac:dyDescent="0.15">
      <c r="A3274" s="22"/>
      <c r="B3274" s="26" t="str">
        <f t="shared" si="204"/>
        <v/>
      </c>
      <c r="C3274" s="26" t="str">
        <f t="shared" si="205"/>
        <v/>
      </c>
      <c r="D3274" s="26" t="str">
        <f t="shared" si="206"/>
        <v/>
      </c>
      <c r="E3274" s="29"/>
      <c r="F3274" s="22"/>
      <c r="G3274" s="22"/>
      <c r="H3274" s="22"/>
      <c r="I3274" s="24"/>
      <c r="J3274" s="24"/>
      <c r="K3274" s="24"/>
      <c r="L3274" s="24"/>
      <c r="M3274" s="27" t="str">
        <f t="shared" si="207"/>
        <v/>
      </c>
      <c r="N3274" s="25"/>
      <c r="O3274" s="22"/>
      <c r="P3274" s="24"/>
      <c r="Q3274" s="26"/>
    </row>
    <row r="3275" spans="1:17" ht="15" x14ac:dyDescent="0.15">
      <c r="A3275" s="22"/>
      <c r="B3275" s="26" t="str">
        <f t="shared" si="204"/>
        <v/>
      </c>
      <c r="C3275" s="26" t="str">
        <f t="shared" si="205"/>
        <v/>
      </c>
      <c r="D3275" s="26" t="str">
        <f t="shared" si="206"/>
        <v/>
      </c>
      <c r="E3275" s="29"/>
      <c r="F3275" s="22"/>
      <c r="G3275" s="22"/>
      <c r="H3275" s="22"/>
      <c r="I3275" s="24"/>
      <c r="J3275" s="24"/>
      <c r="K3275" s="24"/>
      <c r="L3275" s="24"/>
      <c r="M3275" s="27" t="str">
        <f t="shared" si="207"/>
        <v/>
      </c>
      <c r="N3275" s="25"/>
      <c r="O3275" s="22"/>
      <c r="P3275" s="24"/>
      <c r="Q3275" s="26"/>
    </row>
    <row r="3276" spans="1:17" ht="15" x14ac:dyDescent="0.15">
      <c r="A3276" s="22"/>
      <c r="B3276" s="26" t="str">
        <f t="shared" si="204"/>
        <v/>
      </c>
      <c r="C3276" s="26" t="str">
        <f t="shared" si="205"/>
        <v/>
      </c>
      <c r="D3276" s="26" t="str">
        <f t="shared" si="206"/>
        <v/>
      </c>
      <c r="E3276" s="29"/>
      <c r="F3276" s="22"/>
      <c r="G3276" s="22"/>
      <c r="H3276" s="22"/>
      <c r="I3276" s="24"/>
      <c r="J3276" s="24"/>
      <c r="K3276" s="24"/>
      <c r="L3276" s="24"/>
      <c r="M3276" s="27" t="str">
        <f t="shared" si="207"/>
        <v/>
      </c>
      <c r="N3276" s="25"/>
      <c r="O3276" s="22"/>
      <c r="P3276" s="24"/>
      <c r="Q3276" s="26"/>
    </row>
    <row r="3277" spans="1:17" ht="15" x14ac:dyDescent="0.15">
      <c r="A3277" s="22"/>
      <c r="B3277" s="26" t="str">
        <f t="shared" si="204"/>
        <v/>
      </c>
      <c r="C3277" s="26" t="str">
        <f t="shared" si="205"/>
        <v/>
      </c>
      <c r="D3277" s="26" t="str">
        <f t="shared" si="206"/>
        <v/>
      </c>
      <c r="E3277" s="29"/>
      <c r="F3277" s="22"/>
      <c r="G3277" s="22"/>
      <c r="H3277" s="22"/>
      <c r="I3277" s="24"/>
      <c r="J3277" s="24"/>
      <c r="K3277" s="24"/>
      <c r="L3277" s="24"/>
      <c r="M3277" s="27" t="str">
        <f t="shared" si="207"/>
        <v/>
      </c>
      <c r="N3277" s="25"/>
      <c r="O3277" s="22"/>
      <c r="P3277" s="24"/>
      <c r="Q3277" s="26"/>
    </row>
    <row r="3278" spans="1:17" ht="15" x14ac:dyDescent="0.15">
      <c r="A3278" s="22"/>
      <c r="B3278" s="26" t="str">
        <f t="shared" si="204"/>
        <v/>
      </c>
      <c r="C3278" s="26" t="str">
        <f t="shared" si="205"/>
        <v/>
      </c>
      <c r="D3278" s="26" t="str">
        <f t="shared" si="206"/>
        <v/>
      </c>
      <c r="E3278" s="29"/>
      <c r="F3278" s="22"/>
      <c r="G3278" s="22"/>
      <c r="H3278" s="22"/>
      <c r="I3278" s="24"/>
      <c r="J3278" s="24"/>
      <c r="K3278" s="24"/>
      <c r="L3278" s="24"/>
      <c r="M3278" s="27" t="str">
        <f t="shared" si="207"/>
        <v/>
      </c>
      <c r="N3278" s="25"/>
      <c r="O3278" s="22"/>
      <c r="P3278" s="24"/>
      <c r="Q3278" s="26"/>
    </row>
    <row r="3279" spans="1:17" ht="15" x14ac:dyDescent="0.15">
      <c r="A3279" s="22"/>
      <c r="B3279" s="26" t="str">
        <f t="shared" si="204"/>
        <v/>
      </c>
      <c r="C3279" s="26" t="str">
        <f t="shared" si="205"/>
        <v/>
      </c>
      <c r="D3279" s="26" t="str">
        <f t="shared" si="206"/>
        <v/>
      </c>
      <c r="E3279" s="29"/>
      <c r="F3279" s="22"/>
      <c r="G3279" s="22"/>
      <c r="H3279" s="22"/>
      <c r="I3279" s="24"/>
      <c r="J3279" s="24"/>
      <c r="K3279" s="24"/>
      <c r="L3279" s="24"/>
      <c r="M3279" s="27" t="str">
        <f t="shared" si="207"/>
        <v/>
      </c>
      <c r="N3279" s="25"/>
      <c r="O3279" s="22"/>
      <c r="P3279" s="24"/>
      <c r="Q3279" s="26"/>
    </row>
    <row r="3280" spans="1:17" ht="15" x14ac:dyDescent="0.15">
      <c r="A3280" s="22"/>
      <c r="B3280" s="26" t="str">
        <f t="shared" si="204"/>
        <v/>
      </c>
      <c r="C3280" s="26" t="str">
        <f t="shared" si="205"/>
        <v/>
      </c>
      <c r="D3280" s="26" t="str">
        <f t="shared" si="206"/>
        <v/>
      </c>
      <c r="E3280" s="29"/>
      <c r="F3280" s="22"/>
      <c r="G3280" s="22"/>
      <c r="H3280" s="22"/>
      <c r="I3280" s="24"/>
      <c r="J3280" s="24"/>
      <c r="K3280" s="24"/>
      <c r="L3280" s="24"/>
      <c r="M3280" s="27" t="str">
        <f t="shared" si="207"/>
        <v/>
      </c>
      <c r="N3280" s="25"/>
      <c r="O3280" s="22"/>
      <c r="P3280" s="24"/>
      <c r="Q3280" s="26"/>
    </row>
    <row r="3281" spans="1:17" ht="15" x14ac:dyDescent="0.15">
      <c r="A3281" s="22"/>
      <c r="B3281" s="26" t="str">
        <f t="shared" si="204"/>
        <v/>
      </c>
      <c r="C3281" s="26" t="str">
        <f t="shared" si="205"/>
        <v/>
      </c>
      <c r="D3281" s="26" t="str">
        <f t="shared" si="206"/>
        <v/>
      </c>
      <c r="E3281" s="29"/>
      <c r="F3281" s="22"/>
      <c r="G3281" s="22"/>
      <c r="H3281" s="22"/>
      <c r="I3281" s="24"/>
      <c r="J3281" s="24"/>
      <c r="K3281" s="24"/>
      <c r="L3281" s="24"/>
      <c r="M3281" s="27" t="str">
        <f t="shared" si="207"/>
        <v/>
      </c>
      <c r="N3281" s="25"/>
      <c r="O3281" s="22"/>
      <c r="P3281" s="24"/>
      <c r="Q3281" s="26"/>
    </row>
    <row r="3282" spans="1:17" ht="15" x14ac:dyDescent="0.15">
      <c r="A3282" s="22"/>
      <c r="B3282" s="26" t="str">
        <f t="shared" si="204"/>
        <v/>
      </c>
      <c r="C3282" s="26" t="str">
        <f t="shared" si="205"/>
        <v/>
      </c>
      <c r="D3282" s="26" t="str">
        <f t="shared" si="206"/>
        <v/>
      </c>
      <c r="E3282" s="29"/>
      <c r="F3282" s="22"/>
      <c r="G3282" s="22"/>
      <c r="H3282" s="22"/>
      <c r="I3282" s="24"/>
      <c r="J3282" s="24"/>
      <c r="K3282" s="24"/>
      <c r="L3282" s="24"/>
      <c r="M3282" s="27" t="str">
        <f t="shared" si="207"/>
        <v/>
      </c>
      <c r="N3282" s="25"/>
      <c r="O3282" s="22"/>
      <c r="P3282" s="24"/>
      <c r="Q3282" s="26"/>
    </row>
    <row r="3283" spans="1:17" ht="15" x14ac:dyDescent="0.15">
      <c r="A3283" s="22"/>
      <c r="B3283" s="26" t="str">
        <f t="shared" si="204"/>
        <v/>
      </c>
      <c r="C3283" s="26" t="str">
        <f t="shared" si="205"/>
        <v/>
      </c>
      <c r="D3283" s="26" t="str">
        <f t="shared" si="206"/>
        <v/>
      </c>
      <c r="E3283" s="29"/>
      <c r="F3283" s="22"/>
      <c r="G3283" s="22"/>
      <c r="H3283" s="22"/>
      <c r="I3283" s="24"/>
      <c r="J3283" s="24"/>
      <c r="K3283" s="24"/>
      <c r="L3283" s="24"/>
      <c r="M3283" s="27" t="str">
        <f t="shared" si="207"/>
        <v/>
      </c>
      <c r="N3283" s="25"/>
      <c r="O3283" s="22"/>
      <c r="P3283" s="24"/>
      <c r="Q3283" s="26"/>
    </row>
    <row r="3284" spans="1:17" ht="15" x14ac:dyDescent="0.15">
      <c r="A3284" s="22"/>
      <c r="B3284" s="26" t="str">
        <f t="shared" si="204"/>
        <v/>
      </c>
      <c r="C3284" s="26" t="str">
        <f t="shared" si="205"/>
        <v/>
      </c>
      <c r="D3284" s="26" t="str">
        <f t="shared" si="206"/>
        <v/>
      </c>
      <c r="E3284" s="29"/>
      <c r="F3284" s="22"/>
      <c r="G3284" s="22"/>
      <c r="H3284" s="22"/>
      <c r="I3284" s="24"/>
      <c r="J3284" s="24"/>
      <c r="K3284" s="24"/>
      <c r="L3284" s="24"/>
      <c r="M3284" s="27" t="str">
        <f t="shared" si="207"/>
        <v/>
      </c>
      <c r="N3284" s="25"/>
      <c r="O3284" s="22"/>
      <c r="P3284" s="24"/>
      <c r="Q3284" s="26"/>
    </row>
    <row r="3285" spans="1:17" ht="15" x14ac:dyDescent="0.15">
      <c r="A3285" s="22"/>
      <c r="B3285" s="26" t="str">
        <f t="shared" si="204"/>
        <v/>
      </c>
      <c r="C3285" s="26" t="str">
        <f t="shared" si="205"/>
        <v/>
      </c>
      <c r="D3285" s="26" t="str">
        <f t="shared" si="206"/>
        <v/>
      </c>
      <c r="E3285" s="29"/>
      <c r="F3285" s="22"/>
      <c r="G3285" s="22"/>
      <c r="H3285" s="22"/>
      <c r="I3285" s="24"/>
      <c r="J3285" s="24"/>
      <c r="K3285" s="24"/>
      <c r="L3285" s="24"/>
      <c r="M3285" s="27" t="str">
        <f t="shared" si="207"/>
        <v/>
      </c>
      <c r="N3285" s="25"/>
      <c r="O3285" s="22"/>
      <c r="P3285" s="24"/>
      <c r="Q3285" s="26"/>
    </row>
    <row r="3286" spans="1:17" ht="15" x14ac:dyDescent="0.15">
      <c r="A3286" s="22"/>
      <c r="B3286" s="26" t="str">
        <f t="shared" si="204"/>
        <v/>
      </c>
      <c r="C3286" s="26" t="str">
        <f t="shared" si="205"/>
        <v/>
      </c>
      <c r="D3286" s="26" t="str">
        <f t="shared" si="206"/>
        <v/>
      </c>
      <c r="E3286" s="29"/>
      <c r="F3286" s="22"/>
      <c r="G3286" s="22"/>
      <c r="H3286" s="22"/>
      <c r="I3286" s="24"/>
      <c r="J3286" s="24"/>
      <c r="K3286" s="24"/>
      <c r="L3286" s="24"/>
      <c r="M3286" s="27" t="str">
        <f t="shared" si="207"/>
        <v/>
      </c>
      <c r="N3286" s="25"/>
      <c r="O3286" s="22"/>
      <c r="P3286" s="24"/>
      <c r="Q3286" s="26"/>
    </row>
    <row r="3287" spans="1:17" ht="15" x14ac:dyDescent="0.15">
      <c r="A3287" s="22"/>
      <c r="B3287" s="26" t="str">
        <f t="shared" si="204"/>
        <v/>
      </c>
      <c r="C3287" s="26" t="str">
        <f t="shared" si="205"/>
        <v/>
      </c>
      <c r="D3287" s="26" t="str">
        <f t="shared" si="206"/>
        <v/>
      </c>
      <c r="E3287" s="29"/>
      <c r="F3287" s="22"/>
      <c r="G3287" s="22"/>
      <c r="H3287" s="22"/>
      <c r="I3287" s="24"/>
      <c r="J3287" s="24"/>
      <c r="K3287" s="24"/>
      <c r="L3287" s="24"/>
      <c r="M3287" s="27" t="str">
        <f t="shared" si="207"/>
        <v/>
      </c>
      <c r="N3287" s="25"/>
      <c r="O3287" s="22"/>
      <c r="P3287" s="24"/>
      <c r="Q3287" s="26"/>
    </row>
    <row r="3288" spans="1:17" ht="15" x14ac:dyDescent="0.15">
      <c r="A3288" s="22"/>
      <c r="B3288" s="26" t="str">
        <f t="shared" si="204"/>
        <v/>
      </c>
      <c r="C3288" s="26" t="str">
        <f t="shared" si="205"/>
        <v/>
      </c>
      <c r="D3288" s="26" t="str">
        <f t="shared" si="206"/>
        <v/>
      </c>
      <c r="E3288" s="29"/>
      <c r="F3288" s="22"/>
      <c r="G3288" s="22"/>
      <c r="H3288" s="22"/>
      <c r="I3288" s="24"/>
      <c r="J3288" s="24"/>
      <c r="K3288" s="24"/>
      <c r="L3288" s="24"/>
      <c r="M3288" s="27" t="str">
        <f t="shared" si="207"/>
        <v/>
      </c>
      <c r="N3288" s="25"/>
      <c r="O3288" s="22"/>
      <c r="P3288" s="24"/>
      <c r="Q3288" s="26"/>
    </row>
    <row r="3289" spans="1:17" ht="15" x14ac:dyDescent="0.15">
      <c r="A3289" s="22"/>
      <c r="B3289" s="26" t="str">
        <f t="shared" si="204"/>
        <v/>
      </c>
      <c r="C3289" s="26" t="str">
        <f t="shared" si="205"/>
        <v/>
      </c>
      <c r="D3289" s="26" t="str">
        <f t="shared" si="206"/>
        <v/>
      </c>
      <c r="E3289" s="29"/>
      <c r="F3289" s="22"/>
      <c r="G3289" s="22"/>
      <c r="H3289" s="22"/>
      <c r="I3289" s="24"/>
      <c r="J3289" s="24"/>
      <c r="K3289" s="24"/>
      <c r="L3289" s="24"/>
      <c r="M3289" s="27" t="str">
        <f t="shared" si="207"/>
        <v/>
      </c>
      <c r="N3289" s="25"/>
      <c r="O3289" s="22"/>
      <c r="P3289" s="24"/>
      <c r="Q3289" s="26"/>
    </row>
    <row r="3290" spans="1:17" ht="15" x14ac:dyDescent="0.15">
      <c r="A3290" s="22"/>
      <c r="B3290" s="26" t="str">
        <f t="shared" si="204"/>
        <v/>
      </c>
      <c r="C3290" s="26" t="str">
        <f t="shared" si="205"/>
        <v/>
      </c>
      <c r="D3290" s="26" t="str">
        <f t="shared" si="206"/>
        <v/>
      </c>
      <c r="E3290" s="29"/>
      <c r="F3290" s="22"/>
      <c r="G3290" s="22"/>
      <c r="H3290" s="22"/>
      <c r="I3290" s="24"/>
      <c r="J3290" s="24"/>
      <c r="K3290" s="24"/>
      <c r="L3290" s="24"/>
      <c r="M3290" s="27" t="str">
        <f t="shared" si="207"/>
        <v/>
      </c>
      <c r="N3290" s="25"/>
      <c r="O3290" s="22"/>
      <c r="P3290" s="24"/>
      <c r="Q3290" s="26"/>
    </row>
    <row r="3291" spans="1:17" ht="15" x14ac:dyDescent="0.15">
      <c r="A3291" s="22"/>
      <c r="B3291" s="26" t="str">
        <f t="shared" si="204"/>
        <v/>
      </c>
      <c r="C3291" s="26" t="str">
        <f t="shared" si="205"/>
        <v/>
      </c>
      <c r="D3291" s="26" t="str">
        <f t="shared" si="206"/>
        <v/>
      </c>
      <c r="E3291" s="29"/>
      <c r="F3291" s="22"/>
      <c r="G3291" s="22"/>
      <c r="H3291" s="22"/>
      <c r="I3291" s="24"/>
      <c r="J3291" s="24"/>
      <c r="K3291" s="24"/>
      <c r="L3291" s="24"/>
      <c r="M3291" s="27" t="str">
        <f t="shared" si="207"/>
        <v/>
      </c>
      <c r="N3291" s="25"/>
      <c r="O3291" s="22"/>
      <c r="P3291" s="24"/>
      <c r="Q3291" s="26"/>
    </row>
    <row r="3292" spans="1:17" ht="15" x14ac:dyDescent="0.15">
      <c r="A3292" s="22"/>
      <c r="B3292" s="26" t="str">
        <f t="shared" si="204"/>
        <v/>
      </c>
      <c r="C3292" s="26" t="str">
        <f t="shared" si="205"/>
        <v/>
      </c>
      <c r="D3292" s="26" t="str">
        <f t="shared" si="206"/>
        <v/>
      </c>
      <c r="E3292" s="29"/>
      <c r="F3292" s="22"/>
      <c r="G3292" s="22"/>
      <c r="H3292" s="22"/>
      <c r="I3292" s="24"/>
      <c r="J3292" s="24"/>
      <c r="K3292" s="24"/>
      <c r="L3292" s="24"/>
      <c r="M3292" s="27" t="str">
        <f t="shared" si="207"/>
        <v/>
      </c>
      <c r="N3292" s="25"/>
      <c r="O3292" s="22"/>
      <c r="P3292" s="24"/>
      <c r="Q3292" s="26"/>
    </row>
    <row r="3293" spans="1:17" ht="15" x14ac:dyDescent="0.15">
      <c r="A3293" s="22"/>
      <c r="B3293" s="26" t="str">
        <f t="shared" si="204"/>
        <v/>
      </c>
      <c r="C3293" s="26" t="str">
        <f t="shared" si="205"/>
        <v/>
      </c>
      <c r="D3293" s="26" t="str">
        <f t="shared" si="206"/>
        <v/>
      </c>
      <c r="E3293" s="29"/>
      <c r="F3293" s="22"/>
      <c r="G3293" s="22"/>
      <c r="H3293" s="22"/>
      <c r="I3293" s="24"/>
      <c r="J3293" s="24"/>
      <c r="K3293" s="24"/>
      <c r="L3293" s="24"/>
      <c r="M3293" s="27" t="str">
        <f t="shared" si="207"/>
        <v/>
      </c>
      <c r="N3293" s="25"/>
      <c r="O3293" s="22"/>
      <c r="P3293" s="24"/>
      <c r="Q3293" s="26"/>
    </row>
    <row r="3294" spans="1:17" ht="15" x14ac:dyDescent="0.15">
      <c r="A3294" s="22"/>
      <c r="B3294" s="26" t="str">
        <f t="shared" si="204"/>
        <v/>
      </c>
      <c r="C3294" s="26" t="str">
        <f t="shared" si="205"/>
        <v/>
      </c>
      <c r="D3294" s="26" t="str">
        <f t="shared" si="206"/>
        <v/>
      </c>
      <c r="E3294" s="29"/>
      <c r="F3294" s="22"/>
      <c r="G3294" s="22"/>
      <c r="H3294" s="22"/>
      <c r="I3294" s="24"/>
      <c r="J3294" s="24"/>
      <c r="K3294" s="24"/>
      <c r="L3294" s="24"/>
      <c r="M3294" s="27" t="str">
        <f t="shared" si="207"/>
        <v/>
      </c>
      <c r="N3294" s="25"/>
      <c r="O3294" s="22"/>
      <c r="P3294" s="24"/>
      <c r="Q3294" s="26"/>
    </row>
    <row r="3295" spans="1:17" ht="15" x14ac:dyDescent="0.15">
      <c r="A3295" s="22"/>
      <c r="B3295" s="26" t="str">
        <f t="shared" si="204"/>
        <v/>
      </c>
      <c r="C3295" s="26" t="str">
        <f t="shared" si="205"/>
        <v/>
      </c>
      <c r="D3295" s="26" t="str">
        <f t="shared" si="206"/>
        <v/>
      </c>
      <c r="E3295" s="29"/>
      <c r="F3295" s="22"/>
      <c r="G3295" s="22"/>
      <c r="H3295" s="22"/>
      <c r="I3295" s="24"/>
      <c r="J3295" s="24"/>
      <c r="K3295" s="24"/>
      <c r="L3295" s="24"/>
      <c r="M3295" s="27" t="str">
        <f t="shared" si="207"/>
        <v/>
      </c>
      <c r="N3295" s="25"/>
      <c r="O3295" s="22"/>
      <c r="P3295" s="24"/>
      <c r="Q3295" s="26"/>
    </row>
    <row r="3296" spans="1:17" ht="15" x14ac:dyDescent="0.15">
      <c r="A3296" s="22"/>
      <c r="B3296" s="26" t="str">
        <f t="shared" si="204"/>
        <v/>
      </c>
      <c r="C3296" s="26" t="str">
        <f t="shared" si="205"/>
        <v/>
      </c>
      <c r="D3296" s="26" t="str">
        <f t="shared" si="206"/>
        <v/>
      </c>
      <c r="E3296" s="29"/>
      <c r="F3296" s="22"/>
      <c r="G3296" s="22"/>
      <c r="H3296" s="22"/>
      <c r="I3296" s="24"/>
      <c r="J3296" s="24"/>
      <c r="K3296" s="24"/>
      <c r="L3296" s="24"/>
      <c r="M3296" s="27" t="str">
        <f t="shared" si="207"/>
        <v/>
      </c>
      <c r="N3296" s="25"/>
      <c r="O3296" s="22"/>
      <c r="P3296" s="24"/>
      <c r="Q3296" s="26"/>
    </row>
    <row r="3297" spans="1:17" ht="15" x14ac:dyDescent="0.15">
      <c r="A3297" s="22"/>
      <c r="B3297" s="26" t="str">
        <f t="shared" si="204"/>
        <v/>
      </c>
      <c r="C3297" s="26" t="str">
        <f t="shared" si="205"/>
        <v/>
      </c>
      <c r="D3297" s="26" t="str">
        <f t="shared" si="206"/>
        <v/>
      </c>
      <c r="E3297" s="29"/>
      <c r="F3297" s="22"/>
      <c r="G3297" s="22"/>
      <c r="H3297" s="22"/>
      <c r="I3297" s="24"/>
      <c r="J3297" s="24"/>
      <c r="K3297" s="24"/>
      <c r="L3297" s="24"/>
      <c r="M3297" s="27" t="str">
        <f t="shared" si="207"/>
        <v/>
      </c>
      <c r="N3297" s="25"/>
      <c r="O3297" s="22"/>
      <c r="P3297" s="24"/>
      <c r="Q3297" s="26"/>
    </row>
    <row r="3298" spans="1:17" ht="15" x14ac:dyDescent="0.15">
      <c r="A3298" s="22"/>
      <c r="B3298" s="26" t="str">
        <f t="shared" si="204"/>
        <v/>
      </c>
      <c r="C3298" s="26" t="str">
        <f t="shared" si="205"/>
        <v/>
      </c>
      <c r="D3298" s="26" t="str">
        <f t="shared" si="206"/>
        <v/>
      </c>
      <c r="E3298" s="29"/>
      <c r="F3298" s="22"/>
      <c r="G3298" s="22"/>
      <c r="H3298" s="22"/>
      <c r="I3298" s="24"/>
      <c r="J3298" s="24"/>
      <c r="K3298" s="24"/>
      <c r="L3298" s="24"/>
      <c r="M3298" s="27" t="str">
        <f t="shared" si="207"/>
        <v/>
      </c>
      <c r="N3298" s="25"/>
      <c r="O3298" s="22"/>
      <c r="P3298" s="24"/>
      <c r="Q3298" s="26"/>
    </row>
    <row r="3299" spans="1:17" ht="15" x14ac:dyDescent="0.15">
      <c r="A3299" s="22"/>
      <c r="B3299" s="26" t="str">
        <f t="shared" si="204"/>
        <v/>
      </c>
      <c r="C3299" s="26" t="str">
        <f t="shared" si="205"/>
        <v/>
      </c>
      <c r="D3299" s="26" t="str">
        <f t="shared" si="206"/>
        <v/>
      </c>
      <c r="E3299" s="29"/>
      <c r="F3299" s="22"/>
      <c r="G3299" s="22"/>
      <c r="H3299" s="22"/>
      <c r="I3299" s="24"/>
      <c r="J3299" s="24"/>
      <c r="K3299" s="24"/>
      <c r="L3299" s="24"/>
      <c r="M3299" s="27" t="str">
        <f t="shared" si="207"/>
        <v/>
      </c>
      <c r="N3299" s="25"/>
      <c r="O3299" s="22"/>
      <c r="P3299" s="24"/>
      <c r="Q3299" s="26"/>
    </row>
    <row r="3300" spans="1:17" ht="15" x14ac:dyDescent="0.15">
      <c r="A3300" s="22"/>
      <c r="B3300" s="26" t="str">
        <f t="shared" si="204"/>
        <v/>
      </c>
      <c r="C3300" s="26" t="str">
        <f t="shared" si="205"/>
        <v/>
      </c>
      <c r="D3300" s="26" t="str">
        <f t="shared" si="206"/>
        <v/>
      </c>
      <c r="E3300" s="29"/>
      <c r="F3300" s="22"/>
      <c r="G3300" s="22"/>
      <c r="H3300" s="22"/>
      <c r="I3300" s="24"/>
      <c r="J3300" s="24"/>
      <c r="K3300" s="24"/>
      <c r="L3300" s="24"/>
      <c r="M3300" s="27" t="str">
        <f t="shared" si="207"/>
        <v/>
      </c>
      <c r="N3300" s="25"/>
      <c r="O3300" s="22"/>
      <c r="P3300" s="24"/>
      <c r="Q3300" s="26"/>
    </row>
    <row r="3301" spans="1:17" ht="15" x14ac:dyDescent="0.15">
      <c r="A3301" s="22"/>
      <c r="B3301" s="26" t="str">
        <f t="shared" si="204"/>
        <v/>
      </c>
      <c r="C3301" s="26" t="str">
        <f t="shared" si="205"/>
        <v/>
      </c>
      <c r="D3301" s="26" t="str">
        <f t="shared" si="206"/>
        <v/>
      </c>
      <c r="E3301" s="29"/>
      <c r="F3301" s="22"/>
      <c r="G3301" s="22"/>
      <c r="H3301" s="22"/>
      <c r="I3301" s="24"/>
      <c r="J3301" s="24"/>
      <c r="K3301" s="24"/>
      <c r="L3301" s="24"/>
      <c r="M3301" s="27" t="str">
        <f t="shared" si="207"/>
        <v/>
      </c>
      <c r="N3301" s="25"/>
      <c r="O3301" s="22"/>
      <c r="P3301" s="24"/>
      <c r="Q3301" s="26"/>
    </row>
    <row r="3302" spans="1:17" ht="15" x14ac:dyDescent="0.15">
      <c r="A3302" s="22"/>
      <c r="B3302" s="26" t="str">
        <f t="shared" si="204"/>
        <v/>
      </c>
      <c r="C3302" s="26" t="str">
        <f t="shared" si="205"/>
        <v/>
      </c>
      <c r="D3302" s="26" t="str">
        <f t="shared" si="206"/>
        <v/>
      </c>
      <c r="E3302" s="29"/>
      <c r="F3302" s="22"/>
      <c r="G3302" s="22"/>
      <c r="H3302" s="22"/>
      <c r="I3302" s="24"/>
      <c r="J3302" s="24"/>
      <c r="K3302" s="24"/>
      <c r="L3302" s="24"/>
      <c r="M3302" s="27" t="str">
        <f t="shared" si="207"/>
        <v/>
      </c>
      <c r="N3302" s="25"/>
      <c r="O3302" s="22"/>
      <c r="P3302" s="24"/>
      <c r="Q3302" s="26"/>
    </row>
    <row r="3303" spans="1:17" ht="15" x14ac:dyDescent="0.15">
      <c r="A3303" s="22"/>
      <c r="B3303" s="26" t="str">
        <f t="shared" si="204"/>
        <v/>
      </c>
      <c r="C3303" s="26" t="str">
        <f t="shared" si="205"/>
        <v/>
      </c>
      <c r="D3303" s="26" t="str">
        <f t="shared" si="206"/>
        <v/>
      </c>
      <c r="E3303" s="29"/>
      <c r="F3303" s="22"/>
      <c r="G3303" s="22"/>
      <c r="H3303" s="22"/>
      <c r="I3303" s="24"/>
      <c r="J3303" s="24"/>
      <c r="K3303" s="24"/>
      <c r="L3303" s="24"/>
      <c r="M3303" s="27" t="str">
        <f t="shared" si="207"/>
        <v/>
      </c>
      <c r="N3303" s="25"/>
      <c r="O3303" s="22"/>
      <c r="P3303" s="24"/>
      <c r="Q3303" s="26"/>
    </row>
    <row r="3304" spans="1:17" ht="15" x14ac:dyDescent="0.15">
      <c r="A3304" s="22"/>
      <c r="B3304" s="26" t="str">
        <f t="shared" si="204"/>
        <v/>
      </c>
      <c r="C3304" s="26" t="str">
        <f t="shared" si="205"/>
        <v/>
      </c>
      <c r="D3304" s="26" t="str">
        <f t="shared" si="206"/>
        <v/>
      </c>
      <c r="E3304" s="29"/>
      <c r="F3304" s="22"/>
      <c r="G3304" s="22"/>
      <c r="H3304" s="22"/>
      <c r="I3304" s="24"/>
      <c r="J3304" s="24"/>
      <c r="K3304" s="24"/>
      <c r="L3304" s="24"/>
      <c r="M3304" s="27" t="str">
        <f t="shared" si="207"/>
        <v/>
      </c>
      <c r="N3304" s="25"/>
      <c r="O3304" s="22"/>
      <c r="P3304" s="24"/>
      <c r="Q3304" s="26"/>
    </row>
    <row r="3305" spans="1:17" ht="15" x14ac:dyDescent="0.15">
      <c r="A3305" s="22"/>
      <c r="B3305" s="26" t="str">
        <f t="shared" si="204"/>
        <v/>
      </c>
      <c r="C3305" s="26" t="str">
        <f t="shared" si="205"/>
        <v/>
      </c>
      <c r="D3305" s="26" t="str">
        <f t="shared" si="206"/>
        <v/>
      </c>
      <c r="E3305" s="29"/>
      <c r="F3305" s="22"/>
      <c r="G3305" s="22"/>
      <c r="H3305" s="22"/>
      <c r="I3305" s="24"/>
      <c r="J3305" s="24"/>
      <c r="K3305" s="24"/>
      <c r="L3305" s="24"/>
      <c r="M3305" s="27" t="str">
        <f t="shared" si="207"/>
        <v/>
      </c>
      <c r="N3305" s="25"/>
      <c r="O3305" s="22"/>
      <c r="P3305" s="24"/>
      <c r="Q3305" s="26"/>
    </row>
    <row r="3306" spans="1:17" ht="15" x14ac:dyDescent="0.15">
      <c r="A3306" s="22"/>
      <c r="B3306" s="26" t="str">
        <f t="shared" si="204"/>
        <v/>
      </c>
      <c r="C3306" s="26" t="str">
        <f t="shared" si="205"/>
        <v/>
      </c>
      <c r="D3306" s="26" t="str">
        <f t="shared" si="206"/>
        <v/>
      </c>
      <c r="E3306" s="29"/>
      <c r="F3306" s="22"/>
      <c r="G3306" s="22"/>
      <c r="H3306" s="22"/>
      <c r="I3306" s="24"/>
      <c r="J3306" s="24"/>
      <c r="K3306" s="24"/>
      <c r="L3306" s="24"/>
      <c r="M3306" s="27" t="str">
        <f t="shared" si="207"/>
        <v/>
      </c>
      <c r="N3306" s="25"/>
      <c r="O3306" s="22"/>
      <c r="P3306" s="24"/>
      <c r="Q3306" s="26"/>
    </row>
    <row r="3307" spans="1:17" ht="15" x14ac:dyDescent="0.15">
      <c r="A3307" s="22"/>
      <c r="B3307" s="26" t="str">
        <f t="shared" si="204"/>
        <v/>
      </c>
      <c r="C3307" s="26" t="str">
        <f t="shared" si="205"/>
        <v/>
      </c>
      <c r="D3307" s="26" t="str">
        <f t="shared" si="206"/>
        <v/>
      </c>
      <c r="E3307" s="29"/>
      <c r="F3307" s="22"/>
      <c r="G3307" s="22"/>
      <c r="H3307" s="22"/>
      <c r="I3307" s="24"/>
      <c r="J3307" s="24"/>
      <c r="K3307" s="24"/>
      <c r="L3307" s="24"/>
      <c r="M3307" s="27" t="str">
        <f t="shared" si="207"/>
        <v/>
      </c>
      <c r="N3307" s="25"/>
      <c r="O3307" s="22"/>
      <c r="P3307" s="24"/>
      <c r="Q3307" s="26"/>
    </row>
    <row r="3308" spans="1:17" ht="15" x14ac:dyDescent="0.15">
      <c r="A3308" s="22"/>
      <c r="B3308" s="26" t="str">
        <f t="shared" si="204"/>
        <v/>
      </c>
      <c r="C3308" s="26" t="str">
        <f t="shared" si="205"/>
        <v/>
      </c>
      <c r="D3308" s="26" t="str">
        <f t="shared" si="206"/>
        <v/>
      </c>
      <c r="E3308" s="29"/>
      <c r="F3308" s="22"/>
      <c r="G3308" s="22"/>
      <c r="H3308" s="22"/>
      <c r="I3308" s="24"/>
      <c r="J3308" s="24"/>
      <c r="K3308" s="24"/>
      <c r="L3308" s="24"/>
      <c r="M3308" s="27" t="str">
        <f t="shared" si="207"/>
        <v/>
      </c>
      <c r="N3308" s="25"/>
      <c r="O3308" s="22"/>
      <c r="P3308" s="24"/>
      <c r="Q3308" s="26"/>
    </row>
    <row r="3309" spans="1:17" ht="15" x14ac:dyDescent="0.15">
      <c r="A3309" s="22"/>
      <c r="B3309" s="26" t="str">
        <f t="shared" si="204"/>
        <v/>
      </c>
      <c r="C3309" s="26" t="str">
        <f t="shared" si="205"/>
        <v/>
      </c>
      <c r="D3309" s="26" t="str">
        <f t="shared" si="206"/>
        <v/>
      </c>
      <c r="E3309" s="29"/>
      <c r="F3309" s="22"/>
      <c r="G3309" s="22"/>
      <c r="H3309" s="22"/>
      <c r="I3309" s="24"/>
      <c r="J3309" s="24"/>
      <c r="K3309" s="24"/>
      <c r="L3309" s="24"/>
      <c r="M3309" s="27" t="str">
        <f t="shared" si="207"/>
        <v/>
      </c>
      <c r="N3309" s="25"/>
      <c r="O3309" s="22"/>
      <c r="P3309" s="24"/>
      <c r="Q3309" s="26"/>
    </row>
    <row r="3310" spans="1:17" ht="15" x14ac:dyDescent="0.15">
      <c r="A3310" s="22"/>
      <c r="B3310" s="26" t="str">
        <f t="shared" si="204"/>
        <v/>
      </c>
      <c r="C3310" s="26" t="str">
        <f t="shared" si="205"/>
        <v/>
      </c>
      <c r="D3310" s="26" t="str">
        <f t="shared" si="206"/>
        <v/>
      </c>
      <c r="E3310" s="29"/>
      <c r="F3310" s="22"/>
      <c r="G3310" s="22"/>
      <c r="H3310" s="22"/>
      <c r="I3310" s="24"/>
      <c r="J3310" s="24"/>
      <c r="K3310" s="24"/>
      <c r="L3310" s="24"/>
      <c r="M3310" s="27" t="str">
        <f t="shared" si="207"/>
        <v/>
      </c>
      <c r="N3310" s="25"/>
      <c r="O3310" s="22"/>
      <c r="P3310" s="24"/>
      <c r="Q3310" s="26"/>
    </row>
    <row r="3311" spans="1:17" ht="15" x14ac:dyDescent="0.15">
      <c r="A3311" s="22"/>
      <c r="B3311" s="26" t="str">
        <f t="shared" si="204"/>
        <v/>
      </c>
      <c r="C3311" s="26" t="str">
        <f t="shared" si="205"/>
        <v/>
      </c>
      <c r="D3311" s="26" t="str">
        <f t="shared" si="206"/>
        <v/>
      </c>
      <c r="E3311" s="29"/>
      <c r="F3311" s="22"/>
      <c r="G3311" s="22"/>
      <c r="H3311" s="22"/>
      <c r="I3311" s="24"/>
      <c r="J3311" s="24"/>
      <c r="K3311" s="24"/>
      <c r="L3311" s="24"/>
      <c r="M3311" s="27" t="str">
        <f t="shared" si="207"/>
        <v/>
      </c>
      <c r="N3311" s="25"/>
      <c r="O3311" s="22"/>
      <c r="P3311" s="24"/>
      <c r="Q3311" s="26"/>
    </row>
    <row r="3312" spans="1:17" ht="15" x14ac:dyDescent="0.15">
      <c r="A3312" s="22"/>
      <c r="B3312" s="26" t="str">
        <f t="shared" si="204"/>
        <v/>
      </c>
      <c r="C3312" s="26" t="str">
        <f t="shared" si="205"/>
        <v/>
      </c>
      <c r="D3312" s="26" t="str">
        <f t="shared" si="206"/>
        <v/>
      </c>
      <c r="E3312" s="29"/>
      <c r="F3312" s="22"/>
      <c r="G3312" s="22"/>
      <c r="H3312" s="22"/>
      <c r="I3312" s="24"/>
      <c r="J3312" s="24"/>
      <c r="K3312" s="24"/>
      <c r="L3312" s="24"/>
      <c r="M3312" s="27" t="str">
        <f t="shared" si="207"/>
        <v/>
      </c>
      <c r="N3312" s="25"/>
      <c r="O3312" s="22"/>
      <c r="P3312" s="24"/>
      <c r="Q3312" s="26"/>
    </row>
    <row r="3313" spans="1:17" ht="15" x14ac:dyDescent="0.15">
      <c r="A3313" s="22"/>
      <c r="B3313" s="26" t="str">
        <f t="shared" si="204"/>
        <v/>
      </c>
      <c r="C3313" s="26" t="str">
        <f t="shared" si="205"/>
        <v/>
      </c>
      <c r="D3313" s="26" t="str">
        <f t="shared" si="206"/>
        <v/>
      </c>
      <c r="E3313" s="29"/>
      <c r="F3313" s="22"/>
      <c r="G3313" s="22"/>
      <c r="H3313" s="22"/>
      <c r="I3313" s="24"/>
      <c r="J3313" s="24"/>
      <c r="K3313" s="24"/>
      <c r="L3313" s="24"/>
      <c r="M3313" s="27" t="str">
        <f t="shared" si="207"/>
        <v/>
      </c>
      <c r="N3313" s="25"/>
      <c r="O3313" s="22"/>
      <c r="P3313" s="24"/>
      <c r="Q3313" s="26"/>
    </row>
    <row r="3314" spans="1:17" ht="15" x14ac:dyDescent="0.15">
      <c r="A3314" s="22"/>
      <c r="B3314" s="26" t="str">
        <f t="shared" si="204"/>
        <v/>
      </c>
      <c r="C3314" s="26" t="str">
        <f t="shared" si="205"/>
        <v/>
      </c>
      <c r="D3314" s="26" t="str">
        <f t="shared" si="206"/>
        <v/>
      </c>
      <c r="E3314" s="29"/>
      <c r="F3314" s="22"/>
      <c r="G3314" s="22"/>
      <c r="H3314" s="22"/>
      <c r="I3314" s="24"/>
      <c r="J3314" s="24"/>
      <c r="K3314" s="24"/>
      <c r="L3314" s="24"/>
      <c r="M3314" s="27" t="str">
        <f t="shared" si="207"/>
        <v/>
      </c>
      <c r="N3314" s="25"/>
      <c r="O3314" s="22"/>
      <c r="P3314" s="24"/>
      <c r="Q3314" s="26"/>
    </row>
    <row r="3315" spans="1:17" ht="15" x14ac:dyDescent="0.15">
      <c r="A3315" s="22"/>
      <c r="B3315" s="26" t="str">
        <f t="shared" si="204"/>
        <v/>
      </c>
      <c r="C3315" s="26" t="str">
        <f t="shared" si="205"/>
        <v/>
      </c>
      <c r="D3315" s="26" t="str">
        <f t="shared" si="206"/>
        <v/>
      </c>
      <c r="E3315" s="29"/>
      <c r="F3315" s="22"/>
      <c r="G3315" s="22"/>
      <c r="H3315" s="22"/>
      <c r="I3315" s="24"/>
      <c r="J3315" s="24"/>
      <c r="K3315" s="24"/>
      <c r="L3315" s="24"/>
      <c r="M3315" s="27" t="str">
        <f t="shared" si="207"/>
        <v/>
      </c>
      <c r="N3315" s="25"/>
      <c r="O3315" s="22"/>
      <c r="P3315" s="24"/>
      <c r="Q3315" s="26"/>
    </row>
    <row r="3316" spans="1:17" ht="15" x14ac:dyDescent="0.15">
      <c r="A3316" s="22"/>
      <c r="B3316" s="26" t="str">
        <f t="shared" si="204"/>
        <v/>
      </c>
      <c r="C3316" s="26" t="str">
        <f t="shared" si="205"/>
        <v/>
      </c>
      <c r="D3316" s="26" t="str">
        <f t="shared" si="206"/>
        <v/>
      </c>
      <c r="E3316" s="29"/>
      <c r="F3316" s="22"/>
      <c r="G3316" s="22"/>
      <c r="H3316" s="22"/>
      <c r="I3316" s="24"/>
      <c r="J3316" s="24"/>
      <c r="K3316" s="24"/>
      <c r="L3316" s="24"/>
      <c r="M3316" s="27" t="str">
        <f t="shared" si="207"/>
        <v/>
      </c>
      <c r="N3316" s="25"/>
      <c r="O3316" s="22"/>
      <c r="P3316" s="24"/>
      <c r="Q3316" s="26"/>
    </row>
    <row r="3317" spans="1:17" ht="15" x14ac:dyDescent="0.15">
      <c r="A3317" s="22"/>
      <c r="B3317" s="26" t="str">
        <f t="shared" si="204"/>
        <v/>
      </c>
      <c r="C3317" s="26" t="str">
        <f t="shared" si="205"/>
        <v/>
      </c>
      <c r="D3317" s="26" t="str">
        <f t="shared" si="206"/>
        <v/>
      </c>
      <c r="E3317" s="29"/>
      <c r="F3317" s="22"/>
      <c r="G3317" s="22"/>
      <c r="H3317" s="22"/>
      <c r="I3317" s="24"/>
      <c r="J3317" s="24"/>
      <c r="K3317" s="24"/>
      <c r="L3317" s="24"/>
      <c r="M3317" s="27" t="str">
        <f t="shared" si="207"/>
        <v/>
      </c>
      <c r="N3317" s="25"/>
      <c r="O3317" s="22"/>
      <c r="P3317" s="24"/>
      <c r="Q3317" s="26"/>
    </row>
    <row r="3318" spans="1:17" ht="15" x14ac:dyDescent="0.15">
      <c r="A3318" s="22"/>
      <c r="B3318" s="26" t="str">
        <f t="shared" si="204"/>
        <v/>
      </c>
      <c r="C3318" s="26" t="str">
        <f t="shared" si="205"/>
        <v/>
      </c>
      <c r="D3318" s="26" t="str">
        <f t="shared" si="206"/>
        <v/>
      </c>
      <c r="E3318" s="29"/>
      <c r="F3318" s="22"/>
      <c r="G3318" s="22"/>
      <c r="H3318" s="22"/>
      <c r="I3318" s="24"/>
      <c r="J3318" s="24"/>
      <c r="K3318" s="24"/>
      <c r="L3318" s="24"/>
      <c r="M3318" s="27" t="str">
        <f t="shared" si="207"/>
        <v/>
      </c>
      <c r="N3318" s="25"/>
      <c r="O3318" s="22"/>
      <c r="P3318" s="24"/>
      <c r="Q3318" s="26"/>
    </row>
    <row r="3319" spans="1:17" ht="15" x14ac:dyDescent="0.15">
      <c r="A3319" s="22"/>
      <c r="B3319" s="26" t="str">
        <f t="shared" si="204"/>
        <v/>
      </c>
      <c r="C3319" s="26" t="str">
        <f t="shared" si="205"/>
        <v/>
      </c>
      <c r="D3319" s="26" t="str">
        <f t="shared" si="206"/>
        <v/>
      </c>
      <c r="E3319" s="29"/>
      <c r="F3319" s="22"/>
      <c r="G3319" s="22"/>
      <c r="H3319" s="22"/>
      <c r="I3319" s="24"/>
      <c r="J3319" s="24"/>
      <c r="K3319" s="24"/>
      <c r="L3319" s="24"/>
      <c r="M3319" s="27" t="str">
        <f t="shared" si="207"/>
        <v/>
      </c>
      <c r="N3319" s="25"/>
      <c r="O3319" s="22"/>
      <c r="P3319" s="24"/>
      <c r="Q3319" s="26"/>
    </row>
    <row r="3320" spans="1:17" ht="15" x14ac:dyDescent="0.15">
      <c r="A3320" s="22"/>
      <c r="B3320" s="26" t="str">
        <f t="shared" si="204"/>
        <v/>
      </c>
      <c r="C3320" s="26" t="str">
        <f t="shared" si="205"/>
        <v/>
      </c>
      <c r="D3320" s="26" t="str">
        <f t="shared" si="206"/>
        <v/>
      </c>
      <c r="E3320" s="29"/>
      <c r="F3320" s="22"/>
      <c r="G3320" s="22"/>
      <c r="H3320" s="22"/>
      <c r="I3320" s="24"/>
      <c r="J3320" s="24"/>
      <c r="K3320" s="24"/>
      <c r="L3320" s="24"/>
      <c r="M3320" s="27" t="str">
        <f t="shared" si="207"/>
        <v/>
      </c>
      <c r="N3320" s="25"/>
      <c r="O3320" s="22"/>
      <c r="P3320" s="24"/>
      <c r="Q3320" s="26"/>
    </row>
    <row r="3321" spans="1:17" ht="15" x14ac:dyDescent="0.15">
      <c r="A3321" s="22"/>
      <c r="B3321" s="26" t="str">
        <f t="shared" si="204"/>
        <v/>
      </c>
      <c r="C3321" s="26" t="str">
        <f t="shared" si="205"/>
        <v/>
      </c>
      <c r="D3321" s="26" t="str">
        <f t="shared" si="206"/>
        <v/>
      </c>
      <c r="E3321" s="29"/>
      <c r="F3321" s="22"/>
      <c r="G3321" s="22"/>
      <c r="H3321" s="22"/>
      <c r="I3321" s="24"/>
      <c r="J3321" s="24"/>
      <c r="K3321" s="24"/>
      <c r="L3321" s="24"/>
      <c r="M3321" s="27" t="str">
        <f t="shared" si="207"/>
        <v/>
      </c>
      <c r="N3321" s="25"/>
      <c r="O3321" s="22"/>
      <c r="P3321" s="24"/>
      <c r="Q3321" s="26"/>
    </row>
    <row r="3322" spans="1:17" ht="15" x14ac:dyDescent="0.15">
      <c r="A3322" s="22"/>
      <c r="B3322" s="26" t="str">
        <f t="shared" si="204"/>
        <v/>
      </c>
      <c r="C3322" s="26" t="str">
        <f t="shared" si="205"/>
        <v/>
      </c>
      <c r="D3322" s="26" t="str">
        <f t="shared" si="206"/>
        <v/>
      </c>
      <c r="E3322" s="29"/>
      <c r="F3322" s="22"/>
      <c r="G3322" s="22"/>
      <c r="H3322" s="22"/>
      <c r="I3322" s="24"/>
      <c r="J3322" s="24"/>
      <c r="K3322" s="24"/>
      <c r="L3322" s="24"/>
      <c r="M3322" s="27" t="str">
        <f t="shared" si="207"/>
        <v/>
      </c>
      <c r="N3322" s="25"/>
      <c r="O3322" s="22"/>
      <c r="P3322" s="24"/>
      <c r="Q3322" s="26"/>
    </row>
    <row r="3323" spans="1:17" ht="15" x14ac:dyDescent="0.15">
      <c r="A3323" s="22"/>
      <c r="B3323" s="26" t="str">
        <f t="shared" si="204"/>
        <v/>
      </c>
      <c r="C3323" s="26" t="str">
        <f t="shared" si="205"/>
        <v/>
      </c>
      <c r="D3323" s="26" t="str">
        <f t="shared" si="206"/>
        <v/>
      </c>
      <c r="E3323" s="29"/>
      <c r="F3323" s="22"/>
      <c r="G3323" s="22"/>
      <c r="H3323" s="22"/>
      <c r="I3323" s="24"/>
      <c r="J3323" s="24"/>
      <c r="K3323" s="24"/>
      <c r="L3323" s="24"/>
      <c r="M3323" s="27" t="str">
        <f t="shared" si="207"/>
        <v/>
      </c>
      <c r="N3323" s="25"/>
      <c r="O3323" s="22"/>
      <c r="P3323" s="24"/>
      <c r="Q3323" s="26"/>
    </row>
    <row r="3324" spans="1:17" ht="15" x14ac:dyDescent="0.15">
      <c r="A3324" s="22"/>
      <c r="B3324" s="26" t="str">
        <f t="shared" si="204"/>
        <v/>
      </c>
      <c r="C3324" s="26" t="str">
        <f t="shared" si="205"/>
        <v/>
      </c>
      <c r="D3324" s="26" t="str">
        <f t="shared" si="206"/>
        <v/>
      </c>
      <c r="E3324" s="29"/>
      <c r="F3324" s="22"/>
      <c r="G3324" s="22"/>
      <c r="H3324" s="22"/>
      <c r="I3324" s="24"/>
      <c r="J3324" s="24"/>
      <c r="K3324" s="24"/>
      <c r="L3324" s="24"/>
      <c r="M3324" s="27" t="str">
        <f t="shared" si="207"/>
        <v/>
      </c>
      <c r="N3324" s="25"/>
      <c r="O3324" s="22"/>
      <c r="P3324" s="24"/>
      <c r="Q3324" s="26"/>
    </row>
    <row r="3325" spans="1:17" ht="15" x14ac:dyDescent="0.15">
      <c r="A3325" s="22"/>
      <c r="B3325" s="26" t="str">
        <f t="shared" si="204"/>
        <v/>
      </c>
      <c r="C3325" s="26" t="str">
        <f t="shared" si="205"/>
        <v/>
      </c>
      <c r="D3325" s="26" t="str">
        <f t="shared" si="206"/>
        <v/>
      </c>
      <c r="E3325" s="29"/>
      <c r="F3325" s="22"/>
      <c r="G3325" s="22"/>
      <c r="H3325" s="22"/>
      <c r="I3325" s="24"/>
      <c r="J3325" s="24"/>
      <c r="K3325" s="24"/>
      <c r="L3325" s="24"/>
      <c r="M3325" s="27" t="str">
        <f t="shared" si="207"/>
        <v/>
      </c>
      <c r="N3325" s="25"/>
      <c r="O3325" s="22"/>
      <c r="P3325" s="24"/>
      <c r="Q3325" s="26"/>
    </row>
    <row r="3326" spans="1:17" ht="15" x14ac:dyDescent="0.15">
      <c r="A3326" s="22"/>
      <c r="B3326" s="26" t="str">
        <f t="shared" si="204"/>
        <v/>
      </c>
      <c r="C3326" s="26" t="str">
        <f t="shared" si="205"/>
        <v/>
      </c>
      <c r="D3326" s="26" t="str">
        <f t="shared" si="206"/>
        <v/>
      </c>
      <c r="E3326" s="29"/>
      <c r="F3326" s="22"/>
      <c r="G3326" s="22"/>
      <c r="H3326" s="22"/>
      <c r="I3326" s="24"/>
      <c r="J3326" s="24"/>
      <c r="K3326" s="24"/>
      <c r="L3326" s="24"/>
      <c r="M3326" s="27" t="str">
        <f t="shared" si="207"/>
        <v/>
      </c>
      <c r="N3326" s="25"/>
      <c r="O3326" s="22"/>
      <c r="P3326" s="24"/>
      <c r="Q3326" s="26"/>
    </row>
    <row r="3327" spans="1:17" ht="15" x14ac:dyDescent="0.15">
      <c r="A3327" s="22"/>
      <c r="B3327" s="26" t="str">
        <f t="shared" si="204"/>
        <v/>
      </c>
      <c r="C3327" s="26" t="str">
        <f t="shared" si="205"/>
        <v/>
      </c>
      <c r="D3327" s="26" t="str">
        <f t="shared" si="206"/>
        <v/>
      </c>
      <c r="E3327" s="29"/>
      <c r="F3327" s="22"/>
      <c r="G3327" s="22"/>
      <c r="H3327" s="22"/>
      <c r="I3327" s="24"/>
      <c r="J3327" s="24"/>
      <c r="K3327" s="24"/>
      <c r="L3327" s="24"/>
      <c r="M3327" s="27" t="str">
        <f t="shared" si="207"/>
        <v/>
      </c>
      <c r="N3327" s="25"/>
      <c r="O3327" s="22"/>
      <c r="P3327" s="24"/>
      <c r="Q3327" s="26"/>
    </row>
    <row r="3328" spans="1:17" ht="15" x14ac:dyDescent="0.15">
      <c r="A3328" s="22"/>
      <c r="B3328" s="26" t="str">
        <f t="shared" si="204"/>
        <v/>
      </c>
      <c r="C3328" s="26" t="str">
        <f t="shared" si="205"/>
        <v/>
      </c>
      <c r="D3328" s="26" t="str">
        <f t="shared" si="206"/>
        <v/>
      </c>
      <c r="E3328" s="29"/>
      <c r="F3328" s="22"/>
      <c r="G3328" s="22"/>
      <c r="H3328" s="22"/>
      <c r="I3328" s="24"/>
      <c r="J3328" s="24"/>
      <c r="K3328" s="24"/>
      <c r="L3328" s="24"/>
      <c r="M3328" s="27" t="str">
        <f t="shared" si="207"/>
        <v/>
      </c>
      <c r="N3328" s="25"/>
      <c r="O3328" s="22"/>
      <c r="P3328" s="24"/>
      <c r="Q3328" s="26"/>
    </row>
    <row r="3329" spans="1:17" ht="15" x14ac:dyDescent="0.15">
      <c r="A3329" s="22"/>
      <c r="B3329" s="26" t="str">
        <f t="shared" si="204"/>
        <v/>
      </c>
      <c r="C3329" s="26" t="str">
        <f t="shared" si="205"/>
        <v/>
      </c>
      <c r="D3329" s="26" t="str">
        <f t="shared" si="206"/>
        <v/>
      </c>
      <c r="E3329" s="29"/>
      <c r="F3329" s="22"/>
      <c r="G3329" s="22"/>
      <c r="H3329" s="22"/>
      <c r="I3329" s="24"/>
      <c r="J3329" s="24"/>
      <c r="K3329" s="24"/>
      <c r="L3329" s="24"/>
      <c r="M3329" s="27" t="str">
        <f t="shared" si="207"/>
        <v/>
      </c>
      <c r="N3329" s="25"/>
      <c r="O3329" s="22"/>
      <c r="P3329" s="24"/>
      <c r="Q3329" s="26"/>
    </row>
    <row r="3330" spans="1:17" ht="15" x14ac:dyDescent="0.15">
      <c r="A3330" s="22"/>
      <c r="B3330" s="26" t="str">
        <f t="shared" si="204"/>
        <v/>
      </c>
      <c r="C3330" s="26" t="str">
        <f t="shared" si="205"/>
        <v/>
      </c>
      <c r="D3330" s="26" t="str">
        <f t="shared" si="206"/>
        <v/>
      </c>
      <c r="E3330" s="29"/>
      <c r="F3330" s="22"/>
      <c r="G3330" s="22"/>
      <c r="H3330" s="22"/>
      <c r="I3330" s="24"/>
      <c r="J3330" s="24"/>
      <c r="K3330" s="24"/>
      <c r="L3330" s="24"/>
      <c r="M3330" s="27" t="str">
        <f t="shared" si="207"/>
        <v/>
      </c>
      <c r="N3330" s="25"/>
      <c r="O3330" s="22"/>
      <c r="P3330" s="24"/>
      <c r="Q3330" s="26"/>
    </row>
    <row r="3331" spans="1:17" ht="15" x14ac:dyDescent="0.15">
      <c r="A3331" s="22"/>
      <c r="B3331" s="26" t="str">
        <f t="shared" si="204"/>
        <v/>
      </c>
      <c r="C3331" s="26" t="str">
        <f t="shared" si="205"/>
        <v/>
      </c>
      <c r="D3331" s="26" t="str">
        <f t="shared" si="206"/>
        <v/>
      </c>
      <c r="E3331" s="29"/>
      <c r="F3331" s="22"/>
      <c r="G3331" s="22"/>
      <c r="H3331" s="22"/>
      <c r="I3331" s="24"/>
      <c r="J3331" s="24"/>
      <c r="K3331" s="24"/>
      <c r="L3331" s="24"/>
      <c r="M3331" s="27" t="str">
        <f t="shared" si="207"/>
        <v/>
      </c>
      <c r="N3331" s="25"/>
      <c r="O3331" s="22"/>
      <c r="P3331" s="24"/>
      <c r="Q3331" s="26"/>
    </row>
    <row r="3332" spans="1:17" ht="15" x14ac:dyDescent="0.15">
      <c r="A3332" s="22"/>
      <c r="B3332" s="26" t="str">
        <f t="shared" si="204"/>
        <v/>
      </c>
      <c r="C3332" s="26" t="str">
        <f t="shared" si="205"/>
        <v/>
      </c>
      <c r="D3332" s="26" t="str">
        <f t="shared" si="206"/>
        <v/>
      </c>
      <c r="E3332" s="29"/>
      <c r="F3332" s="22"/>
      <c r="G3332" s="22"/>
      <c r="H3332" s="22"/>
      <c r="I3332" s="24"/>
      <c r="J3332" s="24"/>
      <c r="K3332" s="24"/>
      <c r="L3332" s="24"/>
      <c r="M3332" s="27" t="str">
        <f t="shared" si="207"/>
        <v/>
      </c>
      <c r="N3332" s="25"/>
      <c r="O3332" s="22"/>
      <c r="P3332" s="24"/>
      <c r="Q3332" s="26"/>
    </row>
    <row r="3333" spans="1:17" ht="15" x14ac:dyDescent="0.15">
      <c r="A3333" s="22"/>
      <c r="B3333" s="26" t="str">
        <f t="shared" si="204"/>
        <v/>
      </c>
      <c r="C3333" s="26" t="str">
        <f t="shared" si="205"/>
        <v/>
      </c>
      <c r="D3333" s="26" t="str">
        <f t="shared" si="206"/>
        <v/>
      </c>
      <c r="E3333" s="29"/>
      <c r="F3333" s="22"/>
      <c r="G3333" s="22"/>
      <c r="H3333" s="22"/>
      <c r="I3333" s="24"/>
      <c r="J3333" s="24"/>
      <c r="K3333" s="24"/>
      <c r="L3333" s="24"/>
      <c r="M3333" s="27" t="str">
        <f t="shared" si="207"/>
        <v/>
      </c>
      <c r="N3333" s="25"/>
      <c r="O3333" s="22"/>
      <c r="P3333" s="24"/>
      <c r="Q3333" s="26"/>
    </row>
    <row r="3334" spans="1:17" ht="15" x14ac:dyDescent="0.15">
      <c r="A3334" s="22"/>
      <c r="B3334" s="26" t="str">
        <f t="shared" si="204"/>
        <v/>
      </c>
      <c r="C3334" s="26" t="str">
        <f t="shared" si="205"/>
        <v/>
      </c>
      <c r="D3334" s="26" t="str">
        <f t="shared" si="206"/>
        <v/>
      </c>
      <c r="E3334" s="29"/>
      <c r="F3334" s="22"/>
      <c r="G3334" s="22"/>
      <c r="H3334" s="22"/>
      <c r="I3334" s="24"/>
      <c r="J3334" s="24"/>
      <c r="K3334" s="24"/>
      <c r="L3334" s="24"/>
      <c r="M3334" s="27" t="str">
        <f t="shared" si="207"/>
        <v/>
      </c>
      <c r="N3334" s="25"/>
      <c r="O3334" s="22"/>
      <c r="P3334" s="24"/>
      <c r="Q3334" s="26"/>
    </row>
    <row r="3335" spans="1:17" ht="15" x14ac:dyDescent="0.15">
      <c r="A3335" s="22"/>
      <c r="B3335" s="26" t="str">
        <f t="shared" ref="B3335:B3398" si="208">IFERROR(IF($A3335="","",LEFT($A3335,FIND(" | ",$A3335)-1)),"")</f>
        <v/>
      </c>
      <c r="C3335" s="26" t="str">
        <f t="shared" ref="C3335:C3398" si="209">IFERROR(IF($A3335="","",MID($A3335,FIND(" | ",$A3335)+3,FIND(" | ",$A3335,FIND(" | ",$A3335)+3)-FIND(" | ",$A3335)-3)),"")</f>
        <v/>
      </c>
      <c r="D3335" s="26" t="str">
        <f t="shared" ref="D3335:D3398" si="210">IFERROR(IF($A3335="","",RIGHT($A3335,LEN($A3335)-FIND(" | ",$A3335,FIND(" | ",$A3335)+3)-2)),"")</f>
        <v/>
      </c>
      <c r="E3335" s="29"/>
      <c r="F3335" s="22"/>
      <c r="G3335" s="22"/>
      <c r="H3335" s="22"/>
      <c r="I3335" s="24"/>
      <c r="J3335" s="24"/>
      <c r="K3335" s="24"/>
      <c r="L3335" s="24"/>
      <c r="M3335" s="27" t="str">
        <f t="shared" ref="M3335:M3398" si="211">IF($B3335="","",SUM($J3335,-$K3335,$L3335))</f>
        <v/>
      </c>
      <c r="N3335" s="25"/>
      <c r="O3335" s="22"/>
      <c r="P3335" s="24"/>
      <c r="Q3335" s="26"/>
    </row>
    <row r="3336" spans="1:17" ht="15" x14ac:dyDescent="0.15">
      <c r="A3336" s="22"/>
      <c r="B3336" s="26" t="str">
        <f t="shared" si="208"/>
        <v/>
      </c>
      <c r="C3336" s="26" t="str">
        <f t="shared" si="209"/>
        <v/>
      </c>
      <c r="D3336" s="26" t="str">
        <f t="shared" si="210"/>
        <v/>
      </c>
      <c r="E3336" s="29"/>
      <c r="F3336" s="22"/>
      <c r="G3336" s="22"/>
      <c r="H3336" s="22"/>
      <c r="I3336" s="24"/>
      <c r="J3336" s="24"/>
      <c r="K3336" s="24"/>
      <c r="L3336" s="24"/>
      <c r="M3336" s="27" t="str">
        <f t="shared" si="211"/>
        <v/>
      </c>
      <c r="N3336" s="25"/>
      <c r="O3336" s="22"/>
      <c r="P3336" s="24"/>
      <c r="Q3336" s="26"/>
    </row>
    <row r="3337" spans="1:17" ht="15" x14ac:dyDescent="0.15">
      <c r="A3337" s="22"/>
      <c r="B3337" s="26" t="str">
        <f t="shared" si="208"/>
        <v/>
      </c>
      <c r="C3337" s="26" t="str">
        <f t="shared" si="209"/>
        <v/>
      </c>
      <c r="D3337" s="26" t="str">
        <f t="shared" si="210"/>
        <v/>
      </c>
      <c r="E3337" s="29"/>
      <c r="F3337" s="22"/>
      <c r="G3337" s="22"/>
      <c r="H3337" s="22"/>
      <c r="I3337" s="24"/>
      <c r="J3337" s="24"/>
      <c r="K3337" s="24"/>
      <c r="L3337" s="24"/>
      <c r="M3337" s="27" t="str">
        <f t="shared" si="211"/>
        <v/>
      </c>
      <c r="N3337" s="25"/>
      <c r="O3337" s="22"/>
      <c r="P3337" s="24"/>
      <c r="Q3337" s="26"/>
    </row>
    <row r="3338" spans="1:17" ht="15" x14ac:dyDescent="0.15">
      <c r="A3338" s="22"/>
      <c r="B3338" s="26" t="str">
        <f t="shared" si="208"/>
        <v/>
      </c>
      <c r="C3338" s="26" t="str">
        <f t="shared" si="209"/>
        <v/>
      </c>
      <c r="D3338" s="26" t="str">
        <f t="shared" si="210"/>
        <v/>
      </c>
      <c r="E3338" s="29"/>
      <c r="F3338" s="22"/>
      <c r="G3338" s="22"/>
      <c r="H3338" s="22"/>
      <c r="I3338" s="24"/>
      <c r="J3338" s="24"/>
      <c r="K3338" s="24"/>
      <c r="L3338" s="24"/>
      <c r="M3338" s="27" t="str">
        <f t="shared" si="211"/>
        <v/>
      </c>
      <c r="N3338" s="25"/>
      <c r="O3338" s="22"/>
      <c r="P3338" s="24"/>
      <c r="Q3338" s="26"/>
    </row>
    <row r="3339" spans="1:17" ht="15" x14ac:dyDescent="0.15">
      <c r="A3339" s="22"/>
      <c r="B3339" s="26" t="str">
        <f t="shared" si="208"/>
        <v/>
      </c>
      <c r="C3339" s="26" t="str">
        <f t="shared" si="209"/>
        <v/>
      </c>
      <c r="D3339" s="26" t="str">
        <f t="shared" si="210"/>
        <v/>
      </c>
      <c r="E3339" s="29"/>
      <c r="F3339" s="22"/>
      <c r="G3339" s="22"/>
      <c r="H3339" s="22"/>
      <c r="I3339" s="24"/>
      <c r="J3339" s="24"/>
      <c r="K3339" s="24"/>
      <c r="L3339" s="24"/>
      <c r="M3339" s="27" t="str">
        <f t="shared" si="211"/>
        <v/>
      </c>
      <c r="N3339" s="25"/>
      <c r="O3339" s="22"/>
      <c r="P3339" s="24"/>
      <c r="Q3339" s="26"/>
    </row>
    <row r="3340" spans="1:17" ht="15" x14ac:dyDescent="0.15">
      <c r="A3340" s="22"/>
      <c r="B3340" s="26" t="str">
        <f t="shared" si="208"/>
        <v/>
      </c>
      <c r="C3340" s="26" t="str">
        <f t="shared" si="209"/>
        <v/>
      </c>
      <c r="D3340" s="26" t="str">
        <f t="shared" si="210"/>
        <v/>
      </c>
      <c r="E3340" s="29"/>
      <c r="F3340" s="22"/>
      <c r="G3340" s="22"/>
      <c r="H3340" s="22"/>
      <c r="I3340" s="24"/>
      <c r="J3340" s="24"/>
      <c r="K3340" s="24"/>
      <c r="L3340" s="24"/>
      <c r="M3340" s="27" t="str">
        <f t="shared" si="211"/>
        <v/>
      </c>
      <c r="N3340" s="25"/>
      <c r="O3340" s="22"/>
      <c r="P3340" s="24"/>
      <c r="Q3340" s="26"/>
    </row>
    <row r="3341" spans="1:17" ht="15" x14ac:dyDescent="0.15">
      <c r="A3341" s="22"/>
      <c r="B3341" s="26" t="str">
        <f t="shared" si="208"/>
        <v/>
      </c>
      <c r="C3341" s="26" t="str">
        <f t="shared" si="209"/>
        <v/>
      </c>
      <c r="D3341" s="26" t="str">
        <f t="shared" si="210"/>
        <v/>
      </c>
      <c r="E3341" s="29"/>
      <c r="F3341" s="22"/>
      <c r="G3341" s="22"/>
      <c r="H3341" s="22"/>
      <c r="I3341" s="24"/>
      <c r="J3341" s="24"/>
      <c r="K3341" s="24"/>
      <c r="L3341" s="24"/>
      <c r="M3341" s="27" t="str">
        <f t="shared" si="211"/>
        <v/>
      </c>
      <c r="N3341" s="25"/>
      <c r="O3341" s="22"/>
      <c r="P3341" s="24"/>
      <c r="Q3341" s="26"/>
    </row>
    <row r="3342" spans="1:17" ht="15" x14ac:dyDescent="0.15">
      <c r="A3342" s="22"/>
      <c r="B3342" s="26" t="str">
        <f t="shared" si="208"/>
        <v/>
      </c>
      <c r="C3342" s="26" t="str">
        <f t="shared" si="209"/>
        <v/>
      </c>
      <c r="D3342" s="26" t="str">
        <f t="shared" si="210"/>
        <v/>
      </c>
      <c r="E3342" s="29"/>
      <c r="F3342" s="22"/>
      <c r="G3342" s="22"/>
      <c r="H3342" s="22"/>
      <c r="I3342" s="24"/>
      <c r="J3342" s="24"/>
      <c r="K3342" s="24"/>
      <c r="L3342" s="24"/>
      <c r="M3342" s="27" t="str">
        <f t="shared" si="211"/>
        <v/>
      </c>
      <c r="N3342" s="25"/>
      <c r="O3342" s="22"/>
      <c r="P3342" s="24"/>
      <c r="Q3342" s="26"/>
    </row>
    <row r="3343" spans="1:17" ht="15" x14ac:dyDescent="0.15">
      <c r="A3343" s="22"/>
      <c r="B3343" s="26" t="str">
        <f t="shared" si="208"/>
        <v/>
      </c>
      <c r="C3343" s="26" t="str">
        <f t="shared" si="209"/>
        <v/>
      </c>
      <c r="D3343" s="26" t="str">
        <f t="shared" si="210"/>
        <v/>
      </c>
      <c r="E3343" s="29"/>
      <c r="F3343" s="22"/>
      <c r="G3343" s="22"/>
      <c r="H3343" s="22"/>
      <c r="I3343" s="24"/>
      <c r="J3343" s="24"/>
      <c r="K3343" s="24"/>
      <c r="L3343" s="24"/>
      <c r="M3343" s="27" t="str">
        <f t="shared" si="211"/>
        <v/>
      </c>
      <c r="N3343" s="25"/>
      <c r="O3343" s="22"/>
      <c r="P3343" s="24"/>
      <c r="Q3343" s="26"/>
    </row>
    <row r="3344" spans="1:17" ht="15" x14ac:dyDescent="0.15">
      <c r="A3344" s="22"/>
      <c r="B3344" s="26" t="str">
        <f t="shared" si="208"/>
        <v/>
      </c>
      <c r="C3344" s="26" t="str">
        <f t="shared" si="209"/>
        <v/>
      </c>
      <c r="D3344" s="26" t="str">
        <f t="shared" si="210"/>
        <v/>
      </c>
      <c r="E3344" s="29"/>
      <c r="F3344" s="22"/>
      <c r="G3344" s="22"/>
      <c r="H3344" s="22"/>
      <c r="I3344" s="24"/>
      <c r="J3344" s="24"/>
      <c r="K3344" s="24"/>
      <c r="L3344" s="24"/>
      <c r="M3344" s="27" t="str">
        <f t="shared" si="211"/>
        <v/>
      </c>
      <c r="N3344" s="25"/>
      <c r="O3344" s="22"/>
      <c r="P3344" s="24"/>
      <c r="Q3344" s="26"/>
    </row>
    <row r="3345" spans="1:17" ht="15" x14ac:dyDescent="0.15">
      <c r="A3345" s="22"/>
      <c r="B3345" s="26" t="str">
        <f t="shared" si="208"/>
        <v/>
      </c>
      <c r="C3345" s="26" t="str">
        <f t="shared" si="209"/>
        <v/>
      </c>
      <c r="D3345" s="26" t="str">
        <f t="shared" si="210"/>
        <v/>
      </c>
      <c r="E3345" s="29"/>
      <c r="F3345" s="22"/>
      <c r="G3345" s="22"/>
      <c r="H3345" s="22"/>
      <c r="I3345" s="24"/>
      <c r="J3345" s="24"/>
      <c r="K3345" s="24"/>
      <c r="L3345" s="24"/>
      <c r="M3345" s="27" t="str">
        <f t="shared" si="211"/>
        <v/>
      </c>
      <c r="N3345" s="25"/>
      <c r="O3345" s="22"/>
      <c r="P3345" s="24"/>
      <c r="Q3345" s="26"/>
    </row>
    <row r="3346" spans="1:17" ht="15" x14ac:dyDescent="0.15">
      <c r="A3346" s="22"/>
      <c r="B3346" s="26" t="str">
        <f t="shared" si="208"/>
        <v/>
      </c>
      <c r="C3346" s="26" t="str">
        <f t="shared" si="209"/>
        <v/>
      </c>
      <c r="D3346" s="26" t="str">
        <f t="shared" si="210"/>
        <v/>
      </c>
      <c r="E3346" s="29"/>
      <c r="F3346" s="22"/>
      <c r="G3346" s="22"/>
      <c r="H3346" s="22"/>
      <c r="I3346" s="24"/>
      <c r="J3346" s="24"/>
      <c r="K3346" s="24"/>
      <c r="L3346" s="24"/>
      <c r="M3346" s="27" t="str">
        <f t="shared" si="211"/>
        <v/>
      </c>
      <c r="N3346" s="25"/>
      <c r="O3346" s="22"/>
      <c r="P3346" s="24"/>
      <c r="Q3346" s="26"/>
    </row>
    <row r="3347" spans="1:17" ht="15" x14ac:dyDescent="0.15">
      <c r="A3347" s="22"/>
      <c r="B3347" s="26" t="str">
        <f t="shared" si="208"/>
        <v/>
      </c>
      <c r="C3347" s="26" t="str">
        <f t="shared" si="209"/>
        <v/>
      </c>
      <c r="D3347" s="26" t="str">
        <f t="shared" si="210"/>
        <v/>
      </c>
      <c r="E3347" s="29"/>
      <c r="F3347" s="22"/>
      <c r="G3347" s="22"/>
      <c r="H3347" s="22"/>
      <c r="I3347" s="24"/>
      <c r="J3347" s="24"/>
      <c r="K3347" s="24"/>
      <c r="L3347" s="24"/>
      <c r="M3347" s="27" t="str">
        <f t="shared" si="211"/>
        <v/>
      </c>
      <c r="N3347" s="25"/>
      <c r="O3347" s="22"/>
      <c r="P3347" s="24"/>
      <c r="Q3347" s="26"/>
    </row>
    <row r="3348" spans="1:17" ht="15" x14ac:dyDescent="0.15">
      <c r="A3348" s="22"/>
      <c r="B3348" s="26" t="str">
        <f t="shared" si="208"/>
        <v/>
      </c>
      <c r="C3348" s="26" t="str">
        <f t="shared" si="209"/>
        <v/>
      </c>
      <c r="D3348" s="26" t="str">
        <f t="shared" si="210"/>
        <v/>
      </c>
      <c r="E3348" s="29"/>
      <c r="F3348" s="22"/>
      <c r="G3348" s="22"/>
      <c r="H3348" s="22"/>
      <c r="I3348" s="24"/>
      <c r="J3348" s="24"/>
      <c r="K3348" s="24"/>
      <c r="L3348" s="24"/>
      <c r="M3348" s="27" t="str">
        <f t="shared" si="211"/>
        <v/>
      </c>
      <c r="N3348" s="25"/>
      <c r="O3348" s="22"/>
      <c r="P3348" s="24"/>
      <c r="Q3348" s="26"/>
    </row>
    <row r="3349" spans="1:17" ht="15" x14ac:dyDescent="0.15">
      <c r="A3349" s="22"/>
      <c r="B3349" s="26" t="str">
        <f t="shared" si="208"/>
        <v/>
      </c>
      <c r="C3349" s="26" t="str">
        <f t="shared" si="209"/>
        <v/>
      </c>
      <c r="D3349" s="26" t="str">
        <f t="shared" si="210"/>
        <v/>
      </c>
      <c r="E3349" s="29"/>
      <c r="F3349" s="22"/>
      <c r="G3349" s="22"/>
      <c r="H3349" s="22"/>
      <c r="I3349" s="24"/>
      <c r="J3349" s="24"/>
      <c r="K3349" s="24"/>
      <c r="L3349" s="24"/>
      <c r="M3349" s="27" t="str">
        <f t="shared" si="211"/>
        <v/>
      </c>
      <c r="N3349" s="25"/>
      <c r="O3349" s="22"/>
      <c r="P3349" s="24"/>
      <c r="Q3349" s="26"/>
    </row>
    <row r="3350" spans="1:17" ht="15" x14ac:dyDescent="0.15">
      <c r="A3350" s="22"/>
      <c r="B3350" s="26" t="str">
        <f t="shared" si="208"/>
        <v/>
      </c>
      <c r="C3350" s="26" t="str">
        <f t="shared" si="209"/>
        <v/>
      </c>
      <c r="D3350" s="26" t="str">
        <f t="shared" si="210"/>
        <v/>
      </c>
      <c r="E3350" s="29"/>
      <c r="F3350" s="22"/>
      <c r="G3350" s="22"/>
      <c r="H3350" s="22"/>
      <c r="I3350" s="24"/>
      <c r="J3350" s="24"/>
      <c r="K3350" s="24"/>
      <c r="L3350" s="24"/>
      <c r="M3350" s="27" t="str">
        <f t="shared" si="211"/>
        <v/>
      </c>
      <c r="N3350" s="25"/>
      <c r="O3350" s="22"/>
      <c r="P3350" s="24"/>
      <c r="Q3350" s="26"/>
    </row>
    <row r="3351" spans="1:17" ht="15" x14ac:dyDescent="0.15">
      <c r="A3351" s="22"/>
      <c r="B3351" s="26" t="str">
        <f t="shared" si="208"/>
        <v/>
      </c>
      <c r="C3351" s="26" t="str">
        <f t="shared" si="209"/>
        <v/>
      </c>
      <c r="D3351" s="26" t="str">
        <f t="shared" si="210"/>
        <v/>
      </c>
      <c r="E3351" s="29"/>
      <c r="F3351" s="22"/>
      <c r="G3351" s="22"/>
      <c r="H3351" s="22"/>
      <c r="I3351" s="24"/>
      <c r="J3351" s="24"/>
      <c r="K3351" s="24"/>
      <c r="L3351" s="24"/>
      <c r="M3351" s="27" t="str">
        <f t="shared" si="211"/>
        <v/>
      </c>
      <c r="N3351" s="25"/>
      <c r="O3351" s="22"/>
      <c r="P3351" s="24"/>
      <c r="Q3351" s="26"/>
    </row>
    <row r="3352" spans="1:17" ht="15" x14ac:dyDescent="0.15">
      <c r="A3352" s="22"/>
      <c r="B3352" s="26" t="str">
        <f t="shared" si="208"/>
        <v/>
      </c>
      <c r="C3352" s="26" t="str">
        <f t="shared" si="209"/>
        <v/>
      </c>
      <c r="D3352" s="26" t="str">
        <f t="shared" si="210"/>
        <v/>
      </c>
      <c r="E3352" s="29"/>
      <c r="F3352" s="22"/>
      <c r="G3352" s="22"/>
      <c r="H3352" s="22"/>
      <c r="I3352" s="24"/>
      <c r="J3352" s="24"/>
      <c r="K3352" s="24"/>
      <c r="L3352" s="24"/>
      <c r="M3352" s="27" t="str">
        <f t="shared" si="211"/>
        <v/>
      </c>
      <c r="N3352" s="25"/>
      <c r="O3352" s="22"/>
      <c r="P3352" s="24"/>
      <c r="Q3352" s="26"/>
    </row>
    <row r="3353" spans="1:17" ht="15" x14ac:dyDescent="0.15">
      <c r="A3353" s="22"/>
      <c r="B3353" s="26" t="str">
        <f t="shared" si="208"/>
        <v/>
      </c>
      <c r="C3353" s="26" t="str">
        <f t="shared" si="209"/>
        <v/>
      </c>
      <c r="D3353" s="26" t="str">
        <f t="shared" si="210"/>
        <v/>
      </c>
      <c r="E3353" s="29"/>
      <c r="F3353" s="22"/>
      <c r="G3353" s="22"/>
      <c r="H3353" s="22"/>
      <c r="I3353" s="24"/>
      <c r="J3353" s="24"/>
      <c r="K3353" s="24"/>
      <c r="L3353" s="24"/>
      <c r="M3353" s="27" t="str">
        <f t="shared" si="211"/>
        <v/>
      </c>
      <c r="N3353" s="25"/>
      <c r="O3353" s="22"/>
      <c r="P3353" s="24"/>
      <c r="Q3353" s="26"/>
    </row>
    <row r="3354" spans="1:17" ht="15" x14ac:dyDescent="0.15">
      <c r="A3354" s="22"/>
      <c r="B3354" s="26" t="str">
        <f t="shared" si="208"/>
        <v/>
      </c>
      <c r="C3354" s="26" t="str">
        <f t="shared" si="209"/>
        <v/>
      </c>
      <c r="D3354" s="26" t="str">
        <f t="shared" si="210"/>
        <v/>
      </c>
      <c r="E3354" s="29"/>
      <c r="F3354" s="22"/>
      <c r="G3354" s="22"/>
      <c r="H3354" s="22"/>
      <c r="I3354" s="24"/>
      <c r="J3354" s="24"/>
      <c r="K3354" s="24"/>
      <c r="L3354" s="24"/>
      <c r="M3354" s="27" t="str">
        <f t="shared" si="211"/>
        <v/>
      </c>
      <c r="N3354" s="25"/>
      <c r="O3354" s="22"/>
      <c r="P3354" s="24"/>
      <c r="Q3354" s="26"/>
    </row>
    <row r="3355" spans="1:17" ht="15" x14ac:dyDescent="0.15">
      <c r="A3355" s="22"/>
      <c r="B3355" s="26" t="str">
        <f t="shared" si="208"/>
        <v/>
      </c>
      <c r="C3355" s="26" t="str">
        <f t="shared" si="209"/>
        <v/>
      </c>
      <c r="D3355" s="26" t="str">
        <f t="shared" si="210"/>
        <v/>
      </c>
      <c r="E3355" s="29"/>
      <c r="F3355" s="22"/>
      <c r="G3355" s="22"/>
      <c r="H3355" s="22"/>
      <c r="I3355" s="24"/>
      <c r="J3355" s="24"/>
      <c r="K3355" s="24"/>
      <c r="L3355" s="24"/>
      <c r="M3355" s="27" t="str">
        <f t="shared" si="211"/>
        <v/>
      </c>
      <c r="N3355" s="25"/>
      <c r="O3355" s="22"/>
      <c r="P3355" s="24"/>
      <c r="Q3355" s="26"/>
    </row>
    <row r="3356" spans="1:17" ht="15" x14ac:dyDescent="0.15">
      <c r="A3356" s="22"/>
      <c r="B3356" s="26" t="str">
        <f t="shared" si="208"/>
        <v/>
      </c>
      <c r="C3356" s="26" t="str">
        <f t="shared" si="209"/>
        <v/>
      </c>
      <c r="D3356" s="26" t="str">
        <f t="shared" si="210"/>
        <v/>
      </c>
      <c r="E3356" s="29"/>
      <c r="F3356" s="22"/>
      <c r="G3356" s="22"/>
      <c r="H3356" s="22"/>
      <c r="I3356" s="24"/>
      <c r="J3356" s="24"/>
      <c r="K3356" s="24"/>
      <c r="L3356" s="24"/>
      <c r="M3356" s="27" t="str">
        <f t="shared" si="211"/>
        <v/>
      </c>
      <c r="N3356" s="25"/>
      <c r="O3356" s="22"/>
      <c r="P3356" s="24"/>
      <c r="Q3356" s="26"/>
    </row>
    <row r="3357" spans="1:17" ht="15" x14ac:dyDescent="0.15">
      <c r="A3357" s="22"/>
      <c r="B3357" s="26" t="str">
        <f t="shared" si="208"/>
        <v/>
      </c>
      <c r="C3357" s="26" t="str">
        <f t="shared" si="209"/>
        <v/>
      </c>
      <c r="D3357" s="26" t="str">
        <f t="shared" si="210"/>
        <v/>
      </c>
      <c r="E3357" s="29"/>
      <c r="F3357" s="22"/>
      <c r="G3357" s="22"/>
      <c r="H3357" s="22"/>
      <c r="I3357" s="24"/>
      <c r="J3357" s="24"/>
      <c r="K3357" s="24"/>
      <c r="L3357" s="24"/>
      <c r="M3357" s="27" t="str">
        <f t="shared" si="211"/>
        <v/>
      </c>
      <c r="N3357" s="25"/>
      <c r="O3357" s="22"/>
      <c r="P3357" s="24"/>
      <c r="Q3357" s="26"/>
    </row>
    <row r="3358" spans="1:17" ht="15" x14ac:dyDescent="0.15">
      <c r="A3358" s="22"/>
      <c r="B3358" s="26" t="str">
        <f t="shared" si="208"/>
        <v/>
      </c>
      <c r="C3358" s="26" t="str">
        <f t="shared" si="209"/>
        <v/>
      </c>
      <c r="D3358" s="26" t="str">
        <f t="shared" si="210"/>
        <v/>
      </c>
      <c r="E3358" s="29"/>
      <c r="F3358" s="22"/>
      <c r="G3358" s="22"/>
      <c r="H3358" s="22"/>
      <c r="I3358" s="24"/>
      <c r="J3358" s="24"/>
      <c r="K3358" s="24"/>
      <c r="L3358" s="24"/>
      <c r="M3358" s="27" t="str">
        <f t="shared" si="211"/>
        <v/>
      </c>
      <c r="N3358" s="25"/>
      <c r="O3358" s="22"/>
      <c r="P3358" s="24"/>
      <c r="Q3358" s="26"/>
    </row>
    <row r="3359" spans="1:17" ht="15" x14ac:dyDescent="0.15">
      <c r="A3359" s="22"/>
      <c r="B3359" s="26" t="str">
        <f t="shared" si="208"/>
        <v/>
      </c>
      <c r="C3359" s="26" t="str">
        <f t="shared" si="209"/>
        <v/>
      </c>
      <c r="D3359" s="26" t="str">
        <f t="shared" si="210"/>
        <v/>
      </c>
      <c r="E3359" s="29"/>
      <c r="F3359" s="22"/>
      <c r="G3359" s="22"/>
      <c r="H3359" s="22"/>
      <c r="I3359" s="24"/>
      <c r="J3359" s="24"/>
      <c r="K3359" s="24"/>
      <c r="L3359" s="24"/>
      <c r="M3359" s="27" t="str">
        <f t="shared" si="211"/>
        <v/>
      </c>
      <c r="N3359" s="25"/>
      <c r="O3359" s="22"/>
      <c r="P3359" s="24"/>
      <c r="Q3359" s="26"/>
    </row>
    <row r="3360" spans="1:17" ht="15" x14ac:dyDescent="0.15">
      <c r="A3360" s="22"/>
      <c r="B3360" s="26" t="str">
        <f t="shared" si="208"/>
        <v/>
      </c>
      <c r="C3360" s="26" t="str">
        <f t="shared" si="209"/>
        <v/>
      </c>
      <c r="D3360" s="26" t="str">
        <f t="shared" si="210"/>
        <v/>
      </c>
      <c r="E3360" s="29"/>
      <c r="F3360" s="22"/>
      <c r="G3360" s="22"/>
      <c r="H3360" s="22"/>
      <c r="I3360" s="24"/>
      <c r="J3360" s="24"/>
      <c r="K3360" s="24"/>
      <c r="L3360" s="24"/>
      <c r="M3360" s="27" t="str">
        <f t="shared" si="211"/>
        <v/>
      </c>
      <c r="N3360" s="25"/>
      <c r="O3360" s="22"/>
      <c r="P3360" s="24"/>
      <c r="Q3360" s="26"/>
    </row>
    <row r="3361" spans="1:17" ht="15" x14ac:dyDescent="0.15">
      <c r="A3361" s="22"/>
      <c r="B3361" s="26" t="str">
        <f t="shared" si="208"/>
        <v/>
      </c>
      <c r="C3361" s="26" t="str">
        <f t="shared" si="209"/>
        <v/>
      </c>
      <c r="D3361" s="26" t="str">
        <f t="shared" si="210"/>
        <v/>
      </c>
      <c r="E3361" s="29"/>
      <c r="F3361" s="22"/>
      <c r="G3361" s="22"/>
      <c r="H3361" s="22"/>
      <c r="I3361" s="24"/>
      <c r="J3361" s="24"/>
      <c r="K3361" s="24"/>
      <c r="L3361" s="24"/>
      <c r="M3361" s="27" t="str">
        <f t="shared" si="211"/>
        <v/>
      </c>
      <c r="N3361" s="25"/>
      <c r="O3361" s="22"/>
      <c r="P3361" s="24"/>
      <c r="Q3361" s="26"/>
    </row>
    <row r="3362" spans="1:17" ht="15" x14ac:dyDescent="0.15">
      <c r="A3362" s="22"/>
      <c r="B3362" s="26" t="str">
        <f t="shared" si="208"/>
        <v/>
      </c>
      <c r="C3362" s="26" t="str">
        <f t="shared" si="209"/>
        <v/>
      </c>
      <c r="D3362" s="26" t="str">
        <f t="shared" si="210"/>
        <v/>
      </c>
      <c r="E3362" s="29"/>
      <c r="F3362" s="22"/>
      <c r="G3362" s="22"/>
      <c r="H3362" s="22"/>
      <c r="I3362" s="24"/>
      <c r="J3362" s="24"/>
      <c r="K3362" s="24"/>
      <c r="L3362" s="24"/>
      <c r="M3362" s="27" t="str">
        <f t="shared" si="211"/>
        <v/>
      </c>
      <c r="N3362" s="25"/>
      <c r="O3362" s="22"/>
      <c r="P3362" s="24"/>
      <c r="Q3362" s="26"/>
    </row>
    <row r="3363" spans="1:17" ht="15" x14ac:dyDescent="0.15">
      <c r="A3363" s="22"/>
      <c r="B3363" s="26" t="str">
        <f t="shared" si="208"/>
        <v/>
      </c>
      <c r="C3363" s="26" t="str">
        <f t="shared" si="209"/>
        <v/>
      </c>
      <c r="D3363" s="26" t="str">
        <f t="shared" si="210"/>
        <v/>
      </c>
      <c r="E3363" s="29"/>
      <c r="F3363" s="22"/>
      <c r="G3363" s="22"/>
      <c r="H3363" s="22"/>
      <c r="I3363" s="24"/>
      <c r="J3363" s="24"/>
      <c r="K3363" s="24"/>
      <c r="L3363" s="24"/>
      <c r="M3363" s="27" t="str">
        <f t="shared" si="211"/>
        <v/>
      </c>
      <c r="N3363" s="25"/>
      <c r="O3363" s="22"/>
      <c r="P3363" s="24"/>
      <c r="Q3363" s="26"/>
    </row>
    <row r="3364" spans="1:17" ht="15" x14ac:dyDescent="0.15">
      <c r="A3364" s="22"/>
      <c r="B3364" s="26" t="str">
        <f t="shared" si="208"/>
        <v/>
      </c>
      <c r="C3364" s="26" t="str">
        <f t="shared" si="209"/>
        <v/>
      </c>
      <c r="D3364" s="26" t="str">
        <f t="shared" si="210"/>
        <v/>
      </c>
      <c r="E3364" s="29"/>
      <c r="F3364" s="22"/>
      <c r="G3364" s="22"/>
      <c r="H3364" s="22"/>
      <c r="I3364" s="24"/>
      <c r="J3364" s="24"/>
      <c r="K3364" s="24"/>
      <c r="L3364" s="24"/>
      <c r="M3364" s="27" t="str">
        <f t="shared" si="211"/>
        <v/>
      </c>
      <c r="N3364" s="25"/>
      <c r="O3364" s="22"/>
      <c r="P3364" s="24"/>
      <c r="Q3364" s="26"/>
    </row>
    <row r="3365" spans="1:17" ht="15" x14ac:dyDescent="0.15">
      <c r="A3365" s="22"/>
      <c r="B3365" s="26" t="str">
        <f t="shared" si="208"/>
        <v/>
      </c>
      <c r="C3365" s="26" t="str">
        <f t="shared" si="209"/>
        <v/>
      </c>
      <c r="D3365" s="26" t="str">
        <f t="shared" si="210"/>
        <v/>
      </c>
      <c r="E3365" s="29"/>
      <c r="F3365" s="22"/>
      <c r="G3365" s="22"/>
      <c r="H3365" s="22"/>
      <c r="I3365" s="24"/>
      <c r="J3365" s="24"/>
      <c r="K3365" s="24"/>
      <c r="L3365" s="24"/>
      <c r="M3365" s="27" t="str">
        <f t="shared" si="211"/>
        <v/>
      </c>
      <c r="N3365" s="25"/>
      <c r="O3365" s="22"/>
      <c r="P3365" s="24"/>
      <c r="Q3365" s="26"/>
    </row>
    <row r="3366" spans="1:17" ht="15" x14ac:dyDescent="0.15">
      <c r="A3366" s="22"/>
      <c r="B3366" s="26" t="str">
        <f t="shared" si="208"/>
        <v/>
      </c>
      <c r="C3366" s="26" t="str">
        <f t="shared" si="209"/>
        <v/>
      </c>
      <c r="D3366" s="26" t="str">
        <f t="shared" si="210"/>
        <v/>
      </c>
      <c r="E3366" s="29"/>
      <c r="F3366" s="22"/>
      <c r="G3366" s="22"/>
      <c r="H3366" s="22"/>
      <c r="I3366" s="24"/>
      <c r="J3366" s="24"/>
      <c r="K3366" s="24"/>
      <c r="L3366" s="24"/>
      <c r="M3366" s="27" t="str">
        <f t="shared" si="211"/>
        <v/>
      </c>
      <c r="N3366" s="25"/>
      <c r="O3366" s="22"/>
      <c r="P3366" s="24"/>
      <c r="Q3366" s="26"/>
    </row>
    <row r="3367" spans="1:17" ht="15" x14ac:dyDescent="0.15">
      <c r="A3367" s="22"/>
      <c r="B3367" s="26" t="str">
        <f t="shared" si="208"/>
        <v/>
      </c>
      <c r="C3367" s="26" t="str">
        <f t="shared" si="209"/>
        <v/>
      </c>
      <c r="D3367" s="26" t="str">
        <f t="shared" si="210"/>
        <v/>
      </c>
      <c r="E3367" s="29"/>
      <c r="F3367" s="22"/>
      <c r="G3367" s="22"/>
      <c r="H3367" s="22"/>
      <c r="I3367" s="24"/>
      <c r="J3367" s="24"/>
      <c r="K3367" s="24"/>
      <c r="L3367" s="24"/>
      <c r="M3367" s="27" t="str">
        <f t="shared" si="211"/>
        <v/>
      </c>
      <c r="N3367" s="25"/>
      <c r="O3367" s="22"/>
      <c r="P3367" s="24"/>
      <c r="Q3367" s="26"/>
    </row>
    <row r="3368" spans="1:17" ht="15" x14ac:dyDescent="0.15">
      <c r="A3368" s="22"/>
      <c r="B3368" s="26" t="str">
        <f t="shared" si="208"/>
        <v/>
      </c>
      <c r="C3368" s="26" t="str">
        <f t="shared" si="209"/>
        <v/>
      </c>
      <c r="D3368" s="26" t="str">
        <f t="shared" si="210"/>
        <v/>
      </c>
      <c r="E3368" s="29"/>
      <c r="F3368" s="22"/>
      <c r="G3368" s="22"/>
      <c r="H3368" s="22"/>
      <c r="I3368" s="24"/>
      <c r="J3368" s="24"/>
      <c r="K3368" s="24"/>
      <c r="L3368" s="24"/>
      <c r="M3368" s="27" t="str">
        <f t="shared" si="211"/>
        <v/>
      </c>
      <c r="N3368" s="25"/>
      <c r="O3368" s="22"/>
      <c r="P3368" s="24"/>
      <c r="Q3368" s="26"/>
    </row>
    <row r="3369" spans="1:17" ht="15" x14ac:dyDescent="0.15">
      <c r="A3369" s="22"/>
      <c r="B3369" s="26" t="str">
        <f t="shared" si="208"/>
        <v/>
      </c>
      <c r="C3369" s="26" t="str">
        <f t="shared" si="209"/>
        <v/>
      </c>
      <c r="D3369" s="26" t="str">
        <f t="shared" si="210"/>
        <v/>
      </c>
      <c r="E3369" s="29"/>
      <c r="F3369" s="22"/>
      <c r="G3369" s="22"/>
      <c r="H3369" s="22"/>
      <c r="I3369" s="24"/>
      <c r="J3369" s="24"/>
      <c r="K3369" s="24"/>
      <c r="L3369" s="24"/>
      <c r="M3369" s="27" t="str">
        <f t="shared" si="211"/>
        <v/>
      </c>
      <c r="N3369" s="25"/>
      <c r="O3369" s="22"/>
      <c r="P3369" s="24"/>
      <c r="Q3369" s="26"/>
    </row>
    <row r="3370" spans="1:17" ht="15" x14ac:dyDescent="0.15">
      <c r="A3370" s="22"/>
      <c r="B3370" s="26" t="str">
        <f t="shared" si="208"/>
        <v/>
      </c>
      <c r="C3370" s="26" t="str">
        <f t="shared" si="209"/>
        <v/>
      </c>
      <c r="D3370" s="26" t="str">
        <f t="shared" si="210"/>
        <v/>
      </c>
      <c r="E3370" s="29"/>
      <c r="F3370" s="22"/>
      <c r="G3370" s="22"/>
      <c r="H3370" s="22"/>
      <c r="I3370" s="24"/>
      <c r="J3370" s="24"/>
      <c r="K3370" s="24"/>
      <c r="L3370" s="24"/>
      <c r="M3370" s="27" t="str">
        <f t="shared" si="211"/>
        <v/>
      </c>
      <c r="N3370" s="25"/>
      <c r="O3370" s="22"/>
      <c r="P3370" s="24"/>
      <c r="Q3370" s="26"/>
    </row>
    <row r="3371" spans="1:17" ht="15" x14ac:dyDescent="0.15">
      <c r="A3371" s="22"/>
      <c r="B3371" s="26" t="str">
        <f t="shared" si="208"/>
        <v/>
      </c>
      <c r="C3371" s="26" t="str">
        <f t="shared" si="209"/>
        <v/>
      </c>
      <c r="D3371" s="26" t="str">
        <f t="shared" si="210"/>
        <v/>
      </c>
      <c r="E3371" s="29"/>
      <c r="F3371" s="22"/>
      <c r="G3371" s="22"/>
      <c r="H3371" s="22"/>
      <c r="I3371" s="24"/>
      <c r="J3371" s="24"/>
      <c r="K3371" s="24"/>
      <c r="L3371" s="24"/>
      <c r="M3371" s="27" t="str">
        <f t="shared" si="211"/>
        <v/>
      </c>
      <c r="N3371" s="25"/>
      <c r="O3371" s="22"/>
      <c r="P3371" s="24"/>
      <c r="Q3371" s="26"/>
    </row>
    <row r="3372" spans="1:17" ht="15" x14ac:dyDescent="0.15">
      <c r="A3372" s="22"/>
      <c r="B3372" s="26" t="str">
        <f t="shared" si="208"/>
        <v/>
      </c>
      <c r="C3372" s="26" t="str">
        <f t="shared" si="209"/>
        <v/>
      </c>
      <c r="D3372" s="26" t="str">
        <f t="shared" si="210"/>
        <v/>
      </c>
      <c r="E3372" s="29"/>
      <c r="F3372" s="22"/>
      <c r="G3372" s="22"/>
      <c r="H3372" s="22"/>
      <c r="I3372" s="24"/>
      <c r="J3372" s="24"/>
      <c r="K3372" s="24"/>
      <c r="L3372" s="24"/>
      <c r="M3372" s="27" t="str">
        <f t="shared" si="211"/>
        <v/>
      </c>
      <c r="N3372" s="25"/>
      <c r="O3372" s="22"/>
      <c r="P3372" s="24"/>
      <c r="Q3372" s="26"/>
    </row>
    <row r="3373" spans="1:17" ht="15" x14ac:dyDescent="0.15">
      <c r="A3373" s="22"/>
      <c r="B3373" s="26" t="str">
        <f t="shared" si="208"/>
        <v/>
      </c>
      <c r="C3373" s="26" t="str">
        <f t="shared" si="209"/>
        <v/>
      </c>
      <c r="D3373" s="26" t="str">
        <f t="shared" si="210"/>
        <v/>
      </c>
      <c r="E3373" s="29"/>
      <c r="F3373" s="22"/>
      <c r="G3373" s="22"/>
      <c r="H3373" s="22"/>
      <c r="I3373" s="24"/>
      <c r="J3373" s="24"/>
      <c r="K3373" s="24"/>
      <c r="L3373" s="24"/>
      <c r="M3373" s="27" t="str">
        <f t="shared" si="211"/>
        <v/>
      </c>
      <c r="N3373" s="25"/>
      <c r="O3373" s="22"/>
      <c r="P3373" s="24"/>
      <c r="Q3373" s="26"/>
    </row>
    <row r="3374" spans="1:17" ht="15" x14ac:dyDescent="0.15">
      <c r="A3374" s="22"/>
      <c r="B3374" s="26" t="str">
        <f t="shared" si="208"/>
        <v/>
      </c>
      <c r="C3374" s="26" t="str">
        <f t="shared" si="209"/>
        <v/>
      </c>
      <c r="D3374" s="26" t="str">
        <f t="shared" si="210"/>
        <v/>
      </c>
      <c r="E3374" s="29"/>
      <c r="F3374" s="22"/>
      <c r="G3374" s="22"/>
      <c r="H3374" s="22"/>
      <c r="I3374" s="24"/>
      <c r="J3374" s="24"/>
      <c r="K3374" s="24"/>
      <c r="L3374" s="24"/>
      <c r="M3374" s="27" t="str">
        <f t="shared" si="211"/>
        <v/>
      </c>
      <c r="N3374" s="25"/>
      <c r="O3374" s="22"/>
      <c r="P3374" s="24"/>
      <c r="Q3374" s="26"/>
    </row>
    <row r="3375" spans="1:17" ht="15" x14ac:dyDescent="0.15">
      <c r="A3375" s="22"/>
      <c r="B3375" s="26" t="str">
        <f t="shared" si="208"/>
        <v/>
      </c>
      <c r="C3375" s="26" t="str">
        <f t="shared" si="209"/>
        <v/>
      </c>
      <c r="D3375" s="26" t="str">
        <f t="shared" si="210"/>
        <v/>
      </c>
      <c r="E3375" s="29"/>
      <c r="F3375" s="22"/>
      <c r="G3375" s="22"/>
      <c r="H3375" s="22"/>
      <c r="I3375" s="24"/>
      <c r="J3375" s="24"/>
      <c r="K3375" s="24"/>
      <c r="L3375" s="24"/>
      <c r="M3375" s="27" t="str">
        <f t="shared" si="211"/>
        <v/>
      </c>
      <c r="N3375" s="25"/>
      <c r="O3375" s="22"/>
      <c r="P3375" s="24"/>
      <c r="Q3375" s="26"/>
    </row>
    <row r="3376" spans="1:17" ht="15" x14ac:dyDescent="0.15">
      <c r="A3376" s="22"/>
      <c r="B3376" s="26" t="str">
        <f t="shared" si="208"/>
        <v/>
      </c>
      <c r="C3376" s="26" t="str">
        <f t="shared" si="209"/>
        <v/>
      </c>
      <c r="D3376" s="26" t="str">
        <f t="shared" si="210"/>
        <v/>
      </c>
      <c r="E3376" s="29"/>
      <c r="F3376" s="22"/>
      <c r="G3376" s="22"/>
      <c r="H3376" s="22"/>
      <c r="I3376" s="24"/>
      <c r="J3376" s="24"/>
      <c r="K3376" s="24"/>
      <c r="L3376" s="24"/>
      <c r="M3376" s="27" t="str">
        <f t="shared" si="211"/>
        <v/>
      </c>
      <c r="N3376" s="25"/>
      <c r="O3376" s="22"/>
      <c r="P3376" s="24"/>
      <c r="Q3376" s="26"/>
    </row>
    <row r="3377" spans="1:17" ht="15" x14ac:dyDescent="0.15">
      <c r="A3377" s="22"/>
      <c r="B3377" s="26" t="str">
        <f t="shared" si="208"/>
        <v/>
      </c>
      <c r="C3377" s="26" t="str">
        <f t="shared" si="209"/>
        <v/>
      </c>
      <c r="D3377" s="26" t="str">
        <f t="shared" si="210"/>
        <v/>
      </c>
      <c r="E3377" s="29"/>
      <c r="F3377" s="22"/>
      <c r="G3377" s="22"/>
      <c r="H3377" s="22"/>
      <c r="I3377" s="24"/>
      <c r="J3377" s="24"/>
      <c r="K3377" s="24"/>
      <c r="L3377" s="24"/>
      <c r="M3377" s="27" t="str">
        <f t="shared" si="211"/>
        <v/>
      </c>
      <c r="N3377" s="25"/>
      <c r="O3377" s="22"/>
      <c r="P3377" s="24"/>
      <c r="Q3377" s="26"/>
    </row>
    <row r="3378" spans="1:17" ht="15" x14ac:dyDescent="0.15">
      <c r="A3378" s="22"/>
      <c r="B3378" s="26" t="str">
        <f t="shared" si="208"/>
        <v/>
      </c>
      <c r="C3378" s="26" t="str">
        <f t="shared" si="209"/>
        <v/>
      </c>
      <c r="D3378" s="26" t="str">
        <f t="shared" si="210"/>
        <v/>
      </c>
      <c r="E3378" s="29"/>
      <c r="F3378" s="22"/>
      <c r="G3378" s="22"/>
      <c r="H3378" s="22"/>
      <c r="I3378" s="24"/>
      <c r="J3378" s="24"/>
      <c r="K3378" s="24"/>
      <c r="L3378" s="24"/>
      <c r="M3378" s="27" t="str">
        <f t="shared" si="211"/>
        <v/>
      </c>
      <c r="N3378" s="25"/>
      <c r="O3378" s="22"/>
      <c r="P3378" s="24"/>
      <c r="Q3378" s="26"/>
    </row>
    <row r="3379" spans="1:17" ht="15" x14ac:dyDescent="0.15">
      <c r="A3379" s="22"/>
      <c r="B3379" s="26" t="str">
        <f t="shared" si="208"/>
        <v/>
      </c>
      <c r="C3379" s="26" t="str">
        <f t="shared" si="209"/>
        <v/>
      </c>
      <c r="D3379" s="26" t="str">
        <f t="shared" si="210"/>
        <v/>
      </c>
      <c r="E3379" s="29"/>
      <c r="F3379" s="22"/>
      <c r="G3379" s="22"/>
      <c r="H3379" s="22"/>
      <c r="I3379" s="24"/>
      <c r="J3379" s="24"/>
      <c r="K3379" s="24"/>
      <c r="L3379" s="24"/>
      <c r="M3379" s="27" t="str">
        <f t="shared" si="211"/>
        <v/>
      </c>
      <c r="N3379" s="25"/>
      <c r="O3379" s="22"/>
      <c r="P3379" s="24"/>
      <c r="Q3379" s="26"/>
    </row>
    <row r="3380" spans="1:17" ht="15" x14ac:dyDescent="0.15">
      <c r="A3380" s="22"/>
      <c r="B3380" s="26" t="str">
        <f t="shared" si="208"/>
        <v/>
      </c>
      <c r="C3380" s="26" t="str">
        <f t="shared" si="209"/>
        <v/>
      </c>
      <c r="D3380" s="26" t="str">
        <f t="shared" si="210"/>
        <v/>
      </c>
      <c r="E3380" s="29"/>
      <c r="F3380" s="22"/>
      <c r="G3380" s="22"/>
      <c r="H3380" s="22"/>
      <c r="I3380" s="24"/>
      <c r="J3380" s="24"/>
      <c r="K3380" s="24"/>
      <c r="L3380" s="24"/>
      <c r="M3380" s="27" t="str">
        <f t="shared" si="211"/>
        <v/>
      </c>
      <c r="N3380" s="25"/>
      <c r="O3380" s="22"/>
      <c r="P3380" s="24"/>
      <c r="Q3380" s="26"/>
    </row>
    <row r="3381" spans="1:17" ht="15" x14ac:dyDescent="0.15">
      <c r="A3381" s="22"/>
      <c r="B3381" s="26" t="str">
        <f t="shared" si="208"/>
        <v/>
      </c>
      <c r="C3381" s="26" t="str">
        <f t="shared" si="209"/>
        <v/>
      </c>
      <c r="D3381" s="26" t="str">
        <f t="shared" si="210"/>
        <v/>
      </c>
      <c r="E3381" s="29"/>
      <c r="F3381" s="22"/>
      <c r="G3381" s="22"/>
      <c r="H3381" s="22"/>
      <c r="I3381" s="24"/>
      <c r="J3381" s="24"/>
      <c r="K3381" s="24"/>
      <c r="L3381" s="24"/>
      <c r="M3381" s="27" t="str">
        <f t="shared" si="211"/>
        <v/>
      </c>
      <c r="N3381" s="25"/>
      <c r="O3381" s="22"/>
      <c r="P3381" s="24"/>
      <c r="Q3381" s="26"/>
    </row>
    <row r="3382" spans="1:17" ht="15" x14ac:dyDescent="0.15">
      <c r="A3382" s="22"/>
      <c r="B3382" s="26" t="str">
        <f t="shared" si="208"/>
        <v/>
      </c>
      <c r="C3382" s="26" t="str">
        <f t="shared" si="209"/>
        <v/>
      </c>
      <c r="D3382" s="26" t="str">
        <f t="shared" si="210"/>
        <v/>
      </c>
      <c r="E3382" s="29"/>
      <c r="F3382" s="22"/>
      <c r="G3382" s="22"/>
      <c r="H3382" s="22"/>
      <c r="I3382" s="24"/>
      <c r="J3382" s="24"/>
      <c r="K3382" s="24"/>
      <c r="L3382" s="24"/>
      <c r="M3382" s="27" t="str">
        <f t="shared" si="211"/>
        <v/>
      </c>
      <c r="N3382" s="25"/>
      <c r="O3382" s="22"/>
      <c r="P3382" s="24"/>
      <c r="Q3382" s="26"/>
    </row>
    <row r="3383" spans="1:17" ht="15" x14ac:dyDescent="0.15">
      <c r="A3383" s="22"/>
      <c r="B3383" s="26" t="str">
        <f t="shared" si="208"/>
        <v/>
      </c>
      <c r="C3383" s="26" t="str">
        <f t="shared" si="209"/>
        <v/>
      </c>
      <c r="D3383" s="26" t="str">
        <f t="shared" si="210"/>
        <v/>
      </c>
      <c r="E3383" s="29"/>
      <c r="F3383" s="22"/>
      <c r="G3383" s="22"/>
      <c r="H3383" s="22"/>
      <c r="I3383" s="24"/>
      <c r="J3383" s="24"/>
      <c r="K3383" s="24"/>
      <c r="L3383" s="24"/>
      <c r="M3383" s="27" t="str">
        <f t="shared" si="211"/>
        <v/>
      </c>
      <c r="N3383" s="25"/>
      <c r="O3383" s="22"/>
      <c r="P3383" s="24"/>
      <c r="Q3383" s="26"/>
    </row>
    <row r="3384" spans="1:17" ht="15" x14ac:dyDescent="0.15">
      <c r="A3384" s="22"/>
      <c r="B3384" s="26" t="str">
        <f t="shared" si="208"/>
        <v/>
      </c>
      <c r="C3384" s="26" t="str">
        <f t="shared" si="209"/>
        <v/>
      </c>
      <c r="D3384" s="26" t="str">
        <f t="shared" si="210"/>
        <v/>
      </c>
      <c r="E3384" s="29"/>
      <c r="F3384" s="22"/>
      <c r="G3384" s="22"/>
      <c r="H3384" s="22"/>
      <c r="I3384" s="24"/>
      <c r="J3384" s="24"/>
      <c r="K3384" s="24"/>
      <c r="L3384" s="24"/>
      <c r="M3384" s="27" t="str">
        <f t="shared" si="211"/>
        <v/>
      </c>
      <c r="N3384" s="25"/>
      <c r="O3384" s="22"/>
      <c r="P3384" s="24"/>
      <c r="Q3384" s="26"/>
    </row>
    <row r="3385" spans="1:17" ht="15" x14ac:dyDescent="0.15">
      <c r="A3385" s="22"/>
      <c r="B3385" s="26" t="str">
        <f t="shared" si="208"/>
        <v/>
      </c>
      <c r="C3385" s="26" t="str">
        <f t="shared" si="209"/>
        <v/>
      </c>
      <c r="D3385" s="26" t="str">
        <f t="shared" si="210"/>
        <v/>
      </c>
      <c r="E3385" s="29"/>
      <c r="F3385" s="22"/>
      <c r="G3385" s="22"/>
      <c r="H3385" s="22"/>
      <c r="I3385" s="24"/>
      <c r="J3385" s="24"/>
      <c r="K3385" s="24"/>
      <c r="L3385" s="24"/>
      <c r="M3385" s="27" t="str">
        <f t="shared" si="211"/>
        <v/>
      </c>
      <c r="N3385" s="25"/>
      <c r="O3385" s="22"/>
      <c r="P3385" s="24"/>
      <c r="Q3385" s="26"/>
    </row>
    <row r="3386" spans="1:17" ht="15" x14ac:dyDescent="0.15">
      <c r="A3386" s="22"/>
      <c r="B3386" s="26" t="str">
        <f t="shared" si="208"/>
        <v/>
      </c>
      <c r="C3386" s="26" t="str">
        <f t="shared" si="209"/>
        <v/>
      </c>
      <c r="D3386" s="26" t="str">
        <f t="shared" si="210"/>
        <v/>
      </c>
      <c r="E3386" s="29"/>
      <c r="F3386" s="22"/>
      <c r="G3386" s="22"/>
      <c r="H3386" s="22"/>
      <c r="I3386" s="24"/>
      <c r="J3386" s="24"/>
      <c r="K3386" s="24"/>
      <c r="L3386" s="24"/>
      <c r="M3386" s="27" t="str">
        <f t="shared" si="211"/>
        <v/>
      </c>
      <c r="N3386" s="25"/>
      <c r="O3386" s="22"/>
      <c r="P3386" s="24"/>
      <c r="Q3386" s="26"/>
    </row>
    <row r="3387" spans="1:17" ht="15" x14ac:dyDescent="0.15">
      <c r="A3387" s="22"/>
      <c r="B3387" s="26" t="str">
        <f t="shared" si="208"/>
        <v/>
      </c>
      <c r="C3387" s="26" t="str">
        <f t="shared" si="209"/>
        <v/>
      </c>
      <c r="D3387" s="26" t="str">
        <f t="shared" si="210"/>
        <v/>
      </c>
      <c r="E3387" s="29"/>
      <c r="F3387" s="22"/>
      <c r="G3387" s="22"/>
      <c r="H3387" s="22"/>
      <c r="I3387" s="24"/>
      <c r="J3387" s="24"/>
      <c r="K3387" s="24"/>
      <c r="L3387" s="24"/>
      <c r="M3387" s="27" t="str">
        <f t="shared" si="211"/>
        <v/>
      </c>
      <c r="N3387" s="25"/>
      <c r="O3387" s="22"/>
      <c r="P3387" s="24"/>
      <c r="Q3387" s="26"/>
    </row>
    <row r="3388" spans="1:17" ht="15" x14ac:dyDescent="0.15">
      <c r="A3388" s="22"/>
      <c r="B3388" s="26" t="str">
        <f t="shared" si="208"/>
        <v/>
      </c>
      <c r="C3388" s="26" t="str">
        <f t="shared" si="209"/>
        <v/>
      </c>
      <c r="D3388" s="26" t="str">
        <f t="shared" si="210"/>
        <v/>
      </c>
      <c r="E3388" s="29"/>
      <c r="F3388" s="22"/>
      <c r="G3388" s="22"/>
      <c r="H3388" s="22"/>
      <c r="I3388" s="24"/>
      <c r="J3388" s="24"/>
      <c r="K3388" s="24"/>
      <c r="L3388" s="24"/>
      <c r="M3388" s="27" t="str">
        <f t="shared" si="211"/>
        <v/>
      </c>
      <c r="N3388" s="25"/>
      <c r="O3388" s="22"/>
      <c r="P3388" s="24"/>
      <c r="Q3388" s="26"/>
    </row>
    <row r="3389" spans="1:17" ht="15" x14ac:dyDescent="0.15">
      <c r="A3389" s="22"/>
      <c r="B3389" s="26" t="str">
        <f t="shared" si="208"/>
        <v/>
      </c>
      <c r="C3389" s="26" t="str">
        <f t="shared" si="209"/>
        <v/>
      </c>
      <c r="D3389" s="26" t="str">
        <f t="shared" si="210"/>
        <v/>
      </c>
      <c r="E3389" s="29"/>
      <c r="F3389" s="22"/>
      <c r="G3389" s="22"/>
      <c r="H3389" s="22"/>
      <c r="I3389" s="24"/>
      <c r="J3389" s="24"/>
      <c r="K3389" s="24"/>
      <c r="L3389" s="24"/>
      <c r="M3389" s="27" t="str">
        <f t="shared" si="211"/>
        <v/>
      </c>
      <c r="N3389" s="25"/>
      <c r="O3389" s="22"/>
      <c r="P3389" s="24"/>
      <c r="Q3389" s="26"/>
    </row>
    <row r="3390" spans="1:17" ht="15" x14ac:dyDescent="0.15">
      <c r="A3390" s="22"/>
      <c r="B3390" s="26" t="str">
        <f t="shared" si="208"/>
        <v/>
      </c>
      <c r="C3390" s="26" t="str">
        <f t="shared" si="209"/>
        <v/>
      </c>
      <c r="D3390" s="26" t="str">
        <f t="shared" si="210"/>
        <v/>
      </c>
      <c r="E3390" s="29"/>
      <c r="F3390" s="22"/>
      <c r="G3390" s="22"/>
      <c r="H3390" s="22"/>
      <c r="I3390" s="24"/>
      <c r="J3390" s="24"/>
      <c r="K3390" s="24"/>
      <c r="L3390" s="24"/>
      <c r="M3390" s="27" t="str">
        <f t="shared" si="211"/>
        <v/>
      </c>
      <c r="N3390" s="25"/>
      <c r="O3390" s="22"/>
      <c r="P3390" s="24"/>
      <c r="Q3390" s="26"/>
    </row>
    <row r="3391" spans="1:17" ht="15" x14ac:dyDescent="0.15">
      <c r="A3391" s="22"/>
      <c r="B3391" s="26" t="str">
        <f t="shared" si="208"/>
        <v/>
      </c>
      <c r="C3391" s="26" t="str">
        <f t="shared" si="209"/>
        <v/>
      </c>
      <c r="D3391" s="26" t="str">
        <f t="shared" si="210"/>
        <v/>
      </c>
      <c r="E3391" s="29"/>
      <c r="F3391" s="22"/>
      <c r="G3391" s="22"/>
      <c r="H3391" s="22"/>
      <c r="I3391" s="24"/>
      <c r="J3391" s="24"/>
      <c r="K3391" s="24"/>
      <c r="L3391" s="24"/>
      <c r="M3391" s="27" t="str">
        <f t="shared" si="211"/>
        <v/>
      </c>
      <c r="N3391" s="25"/>
      <c r="O3391" s="22"/>
      <c r="P3391" s="24"/>
      <c r="Q3391" s="26"/>
    </row>
    <row r="3392" spans="1:17" ht="15" x14ac:dyDescent="0.15">
      <c r="A3392" s="22"/>
      <c r="B3392" s="26" t="str">
        <f t="shared" si="208"/>
        <v/>
      </c>
      <c r="C3392" s="26" t="str">
        <f t="shared" si="209"/>
        <v/>
      </c>
      <c r="D3392" s="26" t="str">
        <f t="shared" si="210"/>
        <v/>
      </c>
      <c r="E3392" s="29"/>
      <c r="F3392" s="22"/>
      <c r="G3392" s="22"/>
      <c r="H3392" s="22"/>
      <c r="I3392" s="24"/>
      <c r="J3392" s="24"/>
      <c r="K3392" s="24"/>
      <c r="L3392" s="24"/>
      <c r="M3392" s="27" t="str">
        <f t="shared" si="211"/>
        <v/>
      </c>
      <c r="N3392" s="25"/>
      <c r="O3392" s="22"/>
      <c r="P3392" s="24"/>
      <c r="Q3392" s="26"/>
    </row>
    <row r="3393" spans="1:17" ht="15" x14ac:dyDescent="0.15">
      <c r="A3393" s="22"/>
      <c r="B3393" s="26" t="str">
        <f t="shared" si="208"/>
        <v/>
      </c>
      <c r="C3393" s="26" t="str">
        <f t="shared" si="209"/>
        <v/>
      </c>
      <c r="D3393" s="26" t="str">
        <f t="shared" si="210"/>
        <v/>
      </c>
      <c r="E3393" s="29"/>
      <c r="F3393" s="22"/>
      <c r="G3393" s="22"/>
      <c r="H3393" s="22"/>
      <c r="I3393" s="24"/>
      <c r="J3393" s="24"/>
      <c r="K3393" s="24"/>
      <c r="L3393" s="24"/>
      <c r="M3393" s="27" t="str">
        <f t="shared" si="211"/>
        <v/>
      </c>
      <c r="N3393" s="25"/>
      <c r="O3393" s="22"/>
      <c r="P3393" s="24"/>
      <c r="Q3393" s="26"/>
    </row>
    <row r="3394" spans="1:17" ht="15" x14ac:dyDescent="0.15">
      <c r="A3394" s="22"/>
      <c r="B3394" s="26" t="str">
        <f t="shared" si="208"/>
        <v/>
      </c>
      <c r="C3394" s="26" t="str">
        <f t="shared" si="209"/>
        <v/>
      </c>
      <c r="D3394" s="26" t="str">
        <f t="shared" si="210"/>
        <v/>
      </c>
      <c r="E3394" s="29"/>
      <c r="F3394" s="22"/>
      <c r="G3394" s="22"/>
      <c r="H3394" s="22"/>
      <c r="I3394" s="24"/>
      <c r="J3394" s="24"/>
      <c r="K3394" s="24"/>
      <c r="L3394" s="24"/>
      <c r="M3394" s="27" t="str">
        <f t="shared" si="211"/>
        <v/>
      </c>
      <c r="N3394" s="25"/>
      <c r="O3394" s="22"/>
      <c r="P3394" s="24"/>
      <c r="Q3394" s="26"/>
    </row>
    <row r="3395" spans="1:17" ht="15" x14ac:dyDescent="0.15">
      <c r="A3395" s="22"/>
      <c r="B3395" s="26" t="str">
        <f t="shared" si="208"/>
        <v/>
      </c>
      <c r="C3395" s="26" t="str">
        <f t="shared" si="209"/>
        <v/>
      </c>
      <c r="D3395" s="26" t="str">
        <f t="shared" si="210"/>
        <v/>
      </c>
      <c r="E3395" s="29"/>
      <c r="F3395" s="22"/>
      <c r="G3395" s="22"/>
      <c r="H3395" s="22"/>
      <c r="I3395" s="24"/>
      <c r="J3395" s="24"/>
      <c r="K3395" s="24"/>
      <c r="L3395" s="24"/>
      <c r="M3395" s="27" t="str">
        <f t="shared" si="211"/>
        <v/>
      </c>
      <c r="N3395" s="25"/>
      <c r="O3395" s="22"/>
      <c r="P3395" s="24"/>
      <c r="Q3395" s="26"/>
    </row>
    <row r="3396" spans="1:17" ht="15" x14ac:dyDescent="0.15">
      <c r="A3396" s="22"/>
      <c r="B3396" s="26" t="str">
        <f t="shared" si="208"/>
        <v/>
      </c>
      <c r="C3396" s="26" t="str">
        <f t="shared" si="209"/>
        <v/>
      </c>
      <c r="D3396" s="26" t="str">
        <f t="shared" si="210"/>
        <v/>
      </c>
      <c r="E3396" s="29"/>
      <c r="F3396" s="22"/>
      <c r="G3396" s="22"/>
      <c r="H3396" s="22"/>
      <c r="I3396" s="24"/>
      <c r="J3396" s="24"/>
      <c r="K3396" s="24"/>
      <c r="L3396" s="24"/>
      <c r="M3396" s="27" t="str">
        <f t="shared" si="211"/>
        <v/>
      </c>
      <c r="N3396" s="25"/>
      <c r="O3396" s="22"/>
      <c r="P3396" s="24"/>
      <c r="Q3396" s="26"/>
    </row>
    <row r="3397" spans="1:17" ht="15" x14ac:dyDescent="0.15">
      <c r="A3397" s="22"/>
      <c r="B3397" s="26" t="str">
        <f t="shared" si="208"/>
        <v/>
      </c>
      <c r="C3397" s="26" t="str">
        <f t="shared" si="209"/>
        <v/>
      </c>
      <c r="D3397" s="26" t="str">
        <f t="shared" si="210"/>
        <v/>
      </c>
      <c r="E3397" s="29"/>
      <c r="F3397" s="22"/>
      <c r="G3397" s="22"/>
      <c r="H3397" s="22"/>
      <c r="I3397" s="24"/>
      <c r="J3397" s="24"/>
      <c r="K3397" s="24"/>
      <c r="L3397" s="24"/>
      <c r="M3397" s="27" t="str">
        <f t="shared" si="211"/>
        <v/>
      </c>
      <c r="N3397" s="25"/>
      <c r="O3397" s="22"/>
      <c r="P3397" s="24"/>
      <c r="Q3397" s="26"/>
    </row>
    <row r="3398" spans="1:17" ht="15" x14ac:dyDescent="0.15">
      <c r="A3398" s="22"/>
      <c r="B3398" s="26" t="str">
        <f t="shared" si="208"/>
        <v/>
      </c>
      <c r="C3398" s="26" t="str">
        <f t="shared" si="209"/>
        <v/>
      </c>
      <c r="D3398" s="26" t="str">
        <f t="shared" si="210"/>
        <v/>
      </c>
      <c r="E3398" s="29"/>
      <c r="F3398" s="22"/>
      <c r="G3398" s="22"/>
      <c r="H3398" s="22"/>
      <c r="I3398" s="24"/>
      <c r="J3398" s="24"/>
      <c r="K3398" s="24"/>
      <c r="L3398" s="24"/>
      <c r="M3398" s="27" t="str">
        <f t="shared" si="211"/>
        <v/>
      </c>
      <c r="N3398" s="25"/>
      <c r="O3398" s="22"/>
      <c r="P3398" s="24"/>
      <c r="Q3398" s="26"/>
    </row>
    <row r="3399" spans="1:17" ht="15" x14ac:dyDescent="0.15">
      <c r="A3399" s="22"/>
      <c r="B3399" s="26" t="str">
        <f t="shared" ref="B3399:B3462" si="212">IFERROR(IF($A3399="","",LEFT($A3399,FIND(" | ",$A3399)-1)),"")</f>
        <v/>
      </c>
      <c r="C3399" s="26" t="str">
        <f t="shared" ref="C3399:C3462" si="213">IFERROR(IF($A3399="","",MID($A3399,FIND(" | ",$A3399)+3,FIND(" | ",$A3399,FIND(" | ",$A3399)+3)-FIND(" | ",$A3399)-3)),"")</f>
        <v/>
      </c>
      <c r="D3399" s="26" t="str">
        <f t="shared" ref="D3399:D3462" si="214">IFERROR(IF($A3399="","",RIGHT($A3399,LEN($A3399)-FIND(" | ",$A3399,FIND(" | ",$A3399)+3)-2)),"")</f>
        <v/>
      </c>
      <c r="E3399" s="29"/>
      <c r="F3399" s="22"/>
      <c r="G3399" s="22"/>
      <c r="H3399" s="22"/>
      <c r="I3399" s="24"/>
      <c r="J3399" s="24"/>
      <c r="K3399" s="24"/>
      <c r="L3399" s="24"/>
      <c r="M3399" s="27" t="str">
        <f t="shared" ref="M3399:M3462" si="215">IF($B3399="","",SUM($J3399,-$K3399,$L3399))</f>
        <v/>
      </c>
      <c r="N3399" s="25"/>
      <c r="O3399" s="22"/>
      <c r="P3399" s="24"/>
      <c r="Q3399" s="26"/>
    </row>
    <row r="3400" spans="1:17" ht="15" x14ac:dyDescent="0.15">
      <c r="A3400" s="22"/>
      <c r="B3400" s="26" t="str">
        <f t="shared" si="212"/>
        <v/>
      </c>
      <c r="C3400" s="26" t="str">
        <f t="shared" si="213"/>
        <v/>
      </c>
      <c r="D3400" s="26" t="str">
        <f t="shared" si="214"/>
        <v/>
      </c>
      <c r="E3400" s="29"/>
      <c r="F3400" s="22"/>
      <c r="G3400" s="22"/>
      <c r="H3400" s="22"/>
      <c r="I3400" s="24"/>
      <c r="J3400" s="24"/>
      <c r="K3400" s="24"/>
      <c r="L3400" s="24"/>
      <c r="M3400" s="27" t="str">
        <f t="shared" si="215"/>
        <v/>
      </c>
      <c r="N3400" s="25"/>
      <c r="O3400" s="22"/>
      <c r="P3400" s="24"/>
      <c r="Q3400" s="26"/>
    </row>
    <row r="3401" spans="1:17" ht="15" x14ac:dyDescent="0.15">
      <c r="A3401" s="22"/>
      <c r="B3401" s="26" t="str">
        <f t="shared" si="212"/>
        <v/>
      </c>
      <c r="C3401" s="26" t="str">
        <f t="shared" si="213"/>
        <v/>
      </c>
      <c r="D3401" s="26" t="str">
        <f t="shared" si="214"/>
        <v/>
      </c>
      <c r="E3401" s="29"/>
      <c r="F3401" s="22"/>
      <c r="G3401" s="22"/>
      <c r="H3401" s="22"/>
      <c r="I3401" s="24"/>
      <c r="J3401" s="24"/>
      <c r="K3401" s="24"/>
      <c r="L3401" s="24"/>
      <c r="M3401" s="27" t="str">
        <f t="shared" si="215"/>
        <v/>
      </c>
      <c r="N3401" s="25"/>
      <c r="O3401" s="22"/>
      <c r="P3401" s="24"/>
      <c r="Q3401" s="26"/>
    </row>
    <row r="3402" spans="1:17" ht="15" x14ac:dyDescent="0.15">
      <c r="A3402" s="22"/>
      <c r="B3402" s="26" t="str">
        <f t="shared" si="212"/>
        <v/>
      </c>
      <c r="C3402" s="26" t="str">
        <f t="shared" si="213"/>
        <v/>
      </c>
      <c r="D3402" s="26" t="str">
        <f t="shared" si="214"/>
        <v/>
      </c>
      <c r="E3402" s="29"/>
      <c r="F3402" s="22"/>
      <c r="G3402" s="22"/>
      <c r="H3402" s="22"/>
      <c r="I3402" s="24"/>
      <c r="J3402" s="24"/>
      <c r="K3402" s="24"/>
      <c r="L3402" s="24"/>
      <c r="M3402" s="27" t="str">
        <f t="shared" si="215"/>
        <v/>
      </c>
      <c r="N3402" s="25"/>
      <c r="O3402" s="22"/>
      <c r="P3402" s="24"/>
      <c r="Q3402" s="26"/>
    </row>
    <row r="3403" spans="1:17" ht="15" x14ac:dyDescent="0.15">
      <c r="A3403" s="22"/>
      <c r="B3403" s="26" t="str">
        <f t="shared" si="212"/>
        <v/>
      </c>
      <c r="C3403" s="26" t="str">
        <f t="shared" si="213"/>
        <v/>
      </c>
      <c r="D3403" s="26" t="str">
        <f t="shared" si="214"/>
        <v/>
      </c>
      <c r="E3403" s="29"/>
      <c r="F3403" s="22"/>
      <c r="G3403" s="22"/>
      <c r="H3403" s="22"/>
      <c r="I3403" s="24"/>
      <c r="J3403" s="24"/>
      <c r="K3403" s="24"/>
      <c r="L3403" s="24"/>
      <c r="M3403" s="27" t="str">
        <f t="shared" si="215"/>
        <v/>
      </c>
      <c r="N3403" s="25"/>
      <c r="O3403" s="22"/>
      <c r="P3403" s="24"/>
      <c r="Q3403" s="26"/>
    </row>
    <row r="3404" spans="1:17" ht="15" x14ac:dyDescent="0.15">
      <c r="A3404" s="22"/>
      <c r="B3404" s="26" t="str">
        <f t="shared" si="212"/>
        <v/>
      </c>
      <c r="C3404" s="26" t="str">
        <f t="shared" si="213"/>
        <v/>
      </c>
      <c r="D3404" s="26" t="str">
        <f t="shared" si="214"/>
        <v/>
      </c>
      <c r="E3404" s="29"/>
      <c r="F3404" s="22"/>
      <c r="G3404" s="22"/>
      <c r="H3404" s="22"/>
      <c r="I3404" s="24"/>
      <c r="J3404" s="24"/>
      <c r="K3404" s="24"/>
      <c r="L3404" s="24"/>
      <c r="M3404" s="27" t="str">
        <f t="shared" si="215"/>
        <v/>
      </c>
      <c r="N3404" s="25"/>
      <c r="O3404" s="22"/>
      <c r="P3404" s="24"/>
      <c r="Q3404" s="26"/>
    </row>
    <row r="3405" spans="1:17" ht="15" x14ac:dyDescent="0.15">
      <c r="A3405" s="22"/>
      <c r="B3405" s="26" t="str">
        <f t="shared" si="212"/>
        <v/>
      </c>
      <c r="C3405" s="26" t="str">
        <f t="shared" si="213"/>
        <v/>
      </c>
      <c r="D3405" s="26" t="str">
        <f t="shared" si="214"/>
        <v/>
      </c>
      <c r="E3405" s="29"/>
      <c r="F3405" s="22"/>
      <c r="G3405" s="22"/>
      <c r="H3405" s="22"/>
      <c r="I3405" s="24"/>
      <c r="J3405" s="24"/>
      <c r="K3405" s="24"/>
      <c r="L3405" s="24"/>
      <c r="M3405" s="27" t="str">
        <f t="shared" si="215"/>
        <v/>
      </c>
      <c r="N3405" s="25"/>
      <c r="O3405" s="22"/>
      <c r="P3405" s="24"/>
      <c r="Q3405" s="26"/>
    </row>
    <row r="3406" spans="1:17" ht="15" x14ac:dyDescent="0.15">
      <c r="A3406" s="22"/>
      <c r="B3406" s="26" t="str">
        <f t="shared" si="212"/>
        <v/>
      </c>
      <c r="C3406" s="26" t="str">
        <f t="shared" si="213"/>
        <v/>
      </c>
      <c r="D3406" s="26" t="str">
        <f t="shared" si="214"/>
        <v/>
      </c>
      <c r="E3406" s="29"/>
      <c r="F3406" s="22"/>
      <c r="G3406" s="22"/>
      <c r="H3406" s="22"/>
      <c r="I3406" s="24"/>
      <c r="J3406" s="24"/>
      <c r="K3406" s="24"/>
      <c r="L3406" s="24"/>
      <c r="M3406" s="27" t="str">
        <f t="shared" si="215"/>
        <v/>
      </c>
      <c r="N3406" s="25"/>
      <c r="O3406" s="22"/>
      <c r="P3406" s="24"/>
      <c r="Q3406" s="26"/>
    </row>
    <row r="3407" spans="1:17" ht="15" x14ac:dyDescent="0.15">
      <c r="A3407" s="22"/>
      <c r="B3407" s="26" t="str">
        <f t="shared" si="212"/>
        <v/>
      </c>
      <c r="C3407" s="26" t="str">
        <f t="shared" si="213"/>
        <v/>
      </c>
      <c r="D3407" s="26" t="str">
        <f t="shared" si="214"/>
        <v/>
      </c>
      <c r="E3407" s="29"/>
      <c r="F3407" s="22"/>
      <c r="G3407" s="22"/>
      <c r="H3407" s="22"/>
      <c r="I3407" s="24"/>
      <c r="J3407" s="24"/>
      <c r="K3407" s="24"/>
      <c r="L3407" s="24"/>
      <c r="M3407" s="27" t="str">
        <f t="shared" si="215"/>
        <v/>
      </c>
      <c r="N3407" s="25"/>
      <c r="O3407" s="22"/>
      <c r="P3407" s="24"/>
      <c r="Q3407" s="26"/>
    </row>
    <row r="3408" spans="1:17" ht="15" x14ac:dyDescent="0.15">
      <c r="A3408" s="22"/>
      <c r="B3408" s="26" t="str">
        <f t="shared" si="212"/>
        <v/>
      </c>
      <c r="C3408" s="26" t="str">
        <f t="shared" si="213"/>
        <v/>
      </c>
      <c r="D3408" s="26" t="str">
        <f t="shared" si="214"/>
        <v/>
      </c>
      <c r="E3408" s="29"/>
      <c r="F3408" s="22"/>
      <c r="G3408" s="22"/>
      <c r="H3408" s="22"/>
      <c r="I3408" s="24"/>
      <c r="J3408" s="24"/>
      <c r="K3408" s="24"/>
      <c r="L3408" s="24"/>
      <c r="M3408" s="27" t="str">
        <f t="shared" si="215"/>
        <v/>
      </c>
      <c r="N3408" s="25"/>
      <c r="O3408" s="22"/>
      <c r="P3408" s="24"/>
      <c r="Q3408" s="26"/>
    </row>
    <row r="3409" spans="1:17" ht="15" x14ac:dyDescent="0.15">
      <c r="A3409" s="22"/>
      <c r="B3409" s="26" t="str">
        <f t="shared" si="212"/>
        <v/>
      </c>
      <c r="C3409" s="26" t="str">
        <f t="shared" si="213"/>
        <v/>
      </c>
      <c r="D3409" s="26" t="str">
        <f t="shared" si="214"/>
        <v/>
      </c>
      <c r="E3409" s="29"/>
      <c r="F3409" s="22"/>
      <c r="G3409" s="22"/>
      <c r="H3409" s="22"/>
      <c r="I3409" s="24"/>
      <c r="J3409" s="24"/>
      <c r="K3409" s="24"/>
      <c r="L3409" s="24"/>
      <c r="M3409" s="27" t="str">
        <f t="shared" si="215"/>
        <v/>
      </c>
      <c r="N3409" s="25"/>
      <c r="O3409" s="22"/>
      <c r="P3409" s="24"/>
      <c r="Q3409" s="26"/>
    </row>
    <row r="3410" spans="1:17" ht="15" x14ac:dyDescent="0.15">
      <c r="A3410" s="22"/>
      <c r="B3410" s="26" t="str">
        <f t="shared" si="212"/>
        <v/>
      </c>
      <c r="C3410" s="26" t="str">
        <f t="shared" si="213"/>
        <v/>
      </c>
      <c r="D3410" s="26" t="str">
        <f t="shared" si="214"/>
        <v/>
      </c>
      <c r="E3410" s="29"/>
      <c r="F3410" s="22"/>
      <c r="G3410" s="22"/>
      <c r="H3410" s="22"/>
      <c r="I3410" s="24"/>
      <c r="J3410" s="24"/>
      <c r="K3410" s="24"/>
      <c r="L3410" s="24"/>
      <c r="M3410" s="27" t="str">
        <f t="shared" si="215"/>
        <v/>
      </c>
      <c r="N3410" s="25"/>
      <c r="O3410" s="22"/>
      <c r="P3410" s="24"/>
      <c r="Q3410" s="26"/>
    </row>
    <row r="3411" spans="1:17" ht="15" x14ac:dyDescent="0.15">
      <c r="A3411" s="22"/>
      <c r="B3411" s="26" t="str">
        <f t="shared" si="212"/>
        <v/>
      </c>
      <c r="C3411" s="26" t="str">
        <f t="shared" si="213"/>
        <v/>
      </c>
      <c r="D3411" s="26" t="str">
        <f t="shared" si="214"/>
        <v/>
      </c>
      <c r="E3411" s="29"/>
      <c r="F3411" s="22"/>
      <c r="G3411" s="22"/>
      <c r="H3411" s="22"/>
      <c r="I3411" s="24"/>
      <c r="J3411" s="24"/>
      <c r="K3411" s="24"/>
      <c r="L3411" s="24"/>
      <c r="M3411" s="27" t="str">
        <f t="shared" si="215"/>
        <v/>
      </c>
      <c r="N3411" s="25"/>
      <c r="O3411" s="22"/>
      <c r="P3411" s="24"/>
      <c r="Q3411" s="26"/>
    </row>
    <row r="3412" spans="1:17" ht="15" x14ac:dyDescent="0.15">
      <c r="A3412" s="22"/>
      <c r="B3412" s="26" t="str">
        <f t="shared" si="212"/>
        <v/>
      </c>
      <c r="C3412" s="26" t="str">
        <f t="shared" si="213"/>
        <v/>
      </c>
      <c r="D3412" s="26" t="str">
        <f t="shared" si="214"/>
        <v/>
      </c>
      <c r="E3412" s="29"/>
      <c r="F3412" s="22"/>
      <c r="G3412" s="22"/>
      <c r="H3412" s="22"/>
      <c r="I3412" s="24"/>
      <c r="J3412" s="24"/>
      <c r="K3412" s="24"/>
      <c r="L3412" s="24"/>
      <c r="M3412" s="27" t="str">
        <f t="shared" si="215"/>
        <v/>
      </c>
      <c r="N3412" s="25"/>
      <c r="O3412" s="22"/>
      <c r="P3412" s="24"/>
      <c r="Q3412" s="26"/>
    </row>
    <row r="3413" spans="1:17" ht="15" x14ac:dyDescent="0.15">
      <c r="A3413" s="22"/>
      <c r="B3413" s="26" t="str">
        <f t="shared" si="212"/>
        <v/>
      </c>
      <c r="C3413" s="26" t="str">
        <f t="shared" si="213"/>
        <v/>
      </c>
      <c r="D3413" s="26" t="str">
        <f t="shared" si="214"/>
        <v/>
      </c>
      <c r="E3413" s="29"/>
      <c r="F3413" s="22"/>
      <c r="G3413" s="22"/>
      <c r="H3413" s="22"/>
      <c r="I3413" s="24"/>
      <c r="J3413" s="24"/>
      <c r="K3413" s="24"/>
      <c r="L3413" s="24"/>
      <c r="M3413" s="27" t="str">
        <f t="shared" si="215"/>
        <v/>
      </c>
      <c r="N3413" s="25"/>
      <c r="O3413" s="22"/>
      <c r="P3413" s="24"/>
      <c r="Q3413" s="26"/>
    </row>
    <row r="3414" spans="1:17" ht="15" x14ac:dyDescent="0.15">
      <c r="A3414" s="22"/>
      <c r="B3414" s="26" t="str">
        <f t="shared" si="212"/>
        <v/>
      </c>
      <c r="C3414" s="26" t="str">
        <f t="shared" si="213"/>
        <v/>
      </c>
      <c r="D3414" s="26" t="str">
        <f t="shared" si="214"/>
        <v/>
      </c>
      <c r="E3414" s="29"/>
      <c r="F3414" s="22"/>
      <c r="G3414" s="22"/>
      <c r="H3414" s="22"/>
      <c r="I3414" s="24"/>
      <c r="J3414" s="24"/>
      <c r="K3414" s="24"/>
      <c r="L3414" s="24"/>
      <c r="M3414" s="27" t="str">
        <f t="shared" si="215"/>
        <v/>
      </c>
      <c r="N3414" s="25"/>
      <c r="O3414" s="22"/>
      <c r="P3414" s="24"/>
      <c r="Q3414" s="26"/>
    </row>
    <row r="3415" spans="1:17" ht="15" x14ac:dyDescent="0.15">
      <c r="A3415" s="22"/>
      <c r="B3415" s="26" t="str">
        <f t="shared" si="212"/>
        <v/>
      </c>
      <c r="C3415" s="26" t="str">
        <f t="shared" si="213"/>
        <v/>
      </c>
      <c r="D3415" s="26" t="str">
        <f t="shared" si="214"/>
        <v/>
      </c>
      <c r="E3415" s="29"/>
      <c r="F3415" s="22"/>
      <c r="G3415" s="22"/>
      <c r="H3415" s="22"/>
      <c r="I3415" s="24"/>
      <c r="J3415" s="24"/>
      <c r="K3415" s="24"/>
      <c r="L3415" s="24"/>
      <c r="M3415" s="27" t="str">
        <f t="shared" si="215"/>
        <v/>
      </c>
      <c r="N3415" s="25"/>
      <c r="O3415" s="22"/>
      <c r="P3415" s="24"/>
      <c r="Q3415" s="26"/>
    </row>
    <row r="3416" spans="1:17" ht="15" x14ac:dyDescent="0.15">
      <c r="A3416" s="22"/>
      <c r="B3416" s="26" t="str">
        <f t="shared" si="212"/>
        <v/>
      </c>
      <c r="C3416" s="26" t="str">
        <f t="shared" si="213"/>
        <v/>
      </c>
      <c r="D3416" s="26" t="str">
        <f t="shared" si="214"/>
        <v/>
      </c>
      <c r="E3416" s="29"/>
      <c r="F3416" s="22"/>
      <c r="G3416" s="22"/>
      <c r="H3416" s="22"/>
      <c r="I3416" s="24"/>
      <c r="J3416" s="24"/>
      <c r="K3416" s="24"/>
      <c r="L3416" s="24"/>
      <c r="M3416" s="27" t="str">
        <f t="shared" si="215"/>
        <v/>
      </c>
      <c r="N3416" s="25"/>
      <c r="O3416" s="22"/>
      <c r="P3416" s="24"/>
      <c r="Q3416" s="26"/>
    </row>
    <row r="3417" spans="1:17" ht="15" x14ac:dyDescent="0.15">
      <c r="A3417" s="22"/>
      <c r="B3417" s="26" t="str">
        <f t="shared" si="212"/>
        <v/>
      </c>
      <c r="C3417" s="26" t="str">
        <f t="shared" si="213"/>
        <v/>
      </c>
      <c r="D3417" s="26" t="str">
        <f t="shared" si="214"/>
        <v/>
      </c>
      <c r="E3417" s="29"/>
      <c r="F3417" s="22"/>
      <c r="G3417" s="22"/>
      <c r="H3417" s="22"/>
      <c r="I3417" s="24"/>
      <c r="J3417" s="24"/>
      <c r="K3417" s="24"/>
      <c r="L3417" s="24"/>
      <c r="M3417" s="27" t="str">
        <f t="shared" si="215"/>
        <v/>
      </c>
      <c r="N3417" s="25"/>
      <c r="O3417" s="22"/>
      <c r="P3417" s="24"/>
      <c r="Q3417" s="26"/>
    </row>
    <row r="3418" spans="1:17" ht="15" x14ac:dyDescent="0.15">
      <c r="A3418" s="22"/>
      <c r="B3418" s="26" t="str">
        <f t="shared" si="212"/>
        <v/>
      </c>
      <c r="C3418" s="26" t="str">
        <f t="shared" si="213"/>
        <v/>
      </c>
      <c r="D3418" s="26" t="str">
        <f t="shared" si="214"/>
        <v/>
      </c>
      <c r="E3418" s="29"/>
      <c r="F3418" s="22"/>
      <c r="G3418" s="22"/>
      <c r="H3418" s="22"/>
      <c r="I3418" s="24"/>
      <c r="J3418" s="24"/>
      <c r="K3418" s="24"/>
      <c r="L3418" s="24"/>
      <c r="M3418" s="27" t="str">
        <f t="shared" si="215"/>
        <v/>
      </c>
      <c r="N3418" s="25"/>
      <c r="O3418" s="22"/>
      <c r="P3418" s="24"/>
      <c r="Q3418" s="26"/>
    </row>
    <row r="3419" spans="1:17" ht="15" x14ac:dyDescent="0.15">
      <c r="A3419" s="22"/>
      <c r="B3419" s="26" t="str">
        <f t="shared" si="212"/>
        <v/>
      </c>
      <c r="C3419" s="26" t="str">
        <f t="shared" si="213"/>
        <v/>
      </c>
      <c r="D3419" s="26" t="str">
        <f t="shared" si="214"/>
        <v/>
      </c>
      <c r="E3419" s="29"/>
      <c r="F3419" s="22"/>
      <c r="G3419" s="22"/>
      <c r="H3419" s="22"/>
      <c r="I3419" s="24"/>
      <c r="J3419" s="24"/>
      <c r="K3419" s="24"/>
      <c r="L3419" s="24"/>
      <c r="M3419" s="27" t="str">
        <f t="shared" si="215"/>
        <v/>
      </c>
      <c r="N3419" s="25"/>
      <c r="O3419" s="22"/>
      <c r="P3419" s="24"/>
      <c r="Q3419" s="26"/>
    </row>
    <row r="3420" spans="1:17" ht="15" x14ac:dyDescent="0.15">
      <c r="A3420" s="22"/>
      <c r="B3420" s="26" t="str">
        <f t="shared" si="212"/>
        <v/>
      </c>
      <c r="C3420" s="26" t="str">
        <f t="shared" si="213"/>
        <v/>
      </c>
      <c r="D3420" s="26" t="str">
        <f t="shared" si="214"/>
        <v/>
      </c>
      <c r="E3420" s="29"/>
      <c r="F3420" s="22"/>
      <c r="G3420" s="22"/>
      <c r="H3420" s="22"/>
      <c r="I3420" s="24"/>
      <c r="J3420" s="24"/>
      <c r="K3420" s="24"/>
      <c r="L3420" s="24"/>
      <c r="M3420" s="27" t="str">
        <f t="shared" si="215"/>
        <v/>
      </c>
      <c r="N3420" s="25"/>
      <c r="O3420" s="22"/>
      <c r="P3420" s="24"/>
      <c r="Q3420" s="26"/>
    </row>
    <row r="3421" spans="1:17" ht="15" x14ac:dyDescent="0.15">
      <c r="A3421" s="22"/>
      <c r="B3421" s="26" t="str">
        <f t="shared" si="212"/>
        <v/>
      </c>
      <c r="C3421" s="26" t="str">
        <f t="shared" si="213"/>
        <v/>
      </c>
      <c r="D3421" s="26" t="str">
        <f t="shared" si="214"/>
        <v/>
      </c>
      <c r="E3421" s="29"/>
      <c r="F3421" s="22"/>
      <c r="G3421" s="22"/>
      <c r="H3421" s="22"/>
      <c r="I3421" s="24"/>
      <c r="J3421" s="24"/>
      <c r="K3421" s="24"/>
      <c r="L3421" s="24"/>
      <c r="M3421" s="27" t="str">
        <f t="shared" si="215"/>
        <v/>
      </c>
      <c r="N3421" s="25"/>
      <c r="O3421" s="22"/>
      <c r="P3421" s="24"/>
      <c r="Q3421" s="26"/>
    </row>
    <row r="3422" spans="1:17" ht="15" x14ac:dyDescent="0.15">
      <c r="A3422" s="22"/>
      <c r="B3422" s="26" t="str">
        <f t="shared" si="212"/>
        <v/>
      </c>
      <c r="C3422" s="26" t="str">
        <f t="shared" si="213"/>
        <v/>
      </c>
      <c r="D3422" s="26" t="str">
        <f t="shared" si="214"/>
        <v/>
      </c>
      <c r="E3422" s="29"/>
      <c r="F3422" s="22"/>
      <c r="G3422" s="22"/>
      <c r="H3422" s="22"/>
      <c r="I3422" s="24"/>
      <c r="J3422" s="24"/>
      <c r="K3422" s="24"/>
      <c r="L3422" s="24"/>
      <c r="M3422" s="27" t="str">
        <f t="shared" si="215"/>
        <v/>
      </c>
      <c r="N3422" s="25"/>
      <c r="O3422" s="22"/>
      <c r="P3422" s="24"/>
      <c r="Q3422" s="26"/>
    </row>
    <row r="3423" spans="1:17" ht="15" x14ac:dyDescent="0.15">
      <c r="A3423" s="22"/>
      <c r="B3423" s="26" t="str">
        <f t="shared" si="212"/>
        <v/>
      </c>
      <c r="C3423" s="26" t="str">
        <f t="shared" si="213"/>
        <v/>
      </c>
      <c r="D3423" s="26" t="str">
        <f t="shared" si="214"/>
        <v/>
      </c>
      <c r="E3423" s="29"/>
      <c r="F3423" s="22"/>
      <c r="G3423" s="22"/>
      <c r="H3423" s="22"/>
      <c r="I3423" s="24"/>
      <c r="J3423" s="24"/>
      <c r="K3423" s="24"/>
      <c r="L3423" s="24"/>
      <c r="M3423" s="27" t="str">
        <f t="shared" si="215"/>
        <v/>
      </c>
      <c r="N3423" s="25"/>
      <c r="O3423" s="22"/>
      <c r="P3423" s="24"/>
      <c r="Q3423" s="26"/>
    </row>
    <row r="3424" spans="1:17" ht="15" x14ac:dyDescent="0.15">
      <c r="A3424" s="22"/>
      <c r="B3424" s="26" t="str">
        <f t="shared" si="212"/>
        <v/>
      </c>
      <c r="C3424" s="26" t="str">
        <f t="shared" si="213"/>
        <v/>
      </c>
      <c r="D3424" s="26" t="str">
        <f t="shared" si="214"/>
        <v/>
      </c>
      <c r="E3424" s="29"/>
      <c r="F3424" s="22"/>
      <c r="G3424" s="22"/>
      <c r="H3424" s="22"/>
      <c r="I3424" s="24"/>
      <c r="J3424" s="24"/>
      <c r="K3424" s="24"/>
      <c r="L3424" s="24"/>
      <c r="M3424" s="27" t="str">
        <f t="shared" si="215"/>
        <v/>
      </c>
      <c r="N3424" s="25"/>
      <c r="O3424" s="22"/>
      <c r="P3424" s="24"/>
      <c r="Q3424" s="26"/>
    </row>
    <row r="3425" spans="1:17" ht="15" x14ac:dyDescent="0.15">
      <c r="A3425" s="22"/>
      <c r="B3425" s="26" t="str">
        <f t="shared" si="212"/>
        <v/>
      </c>
      <c r="C3425" s="26" t="str">
        <f t="shared" si="213"/>
        <v/>
      </c>
      <c r="D3425" s="26" t="str">
        <f t="shared" si="214"/>
        <v/>
      </c>
      <c r="E3425" s="29"/>
      <c r="F3425" s="22"/>
      <c r="G3425" s="22"/>
      <c r="H3425" s="22"/>
      <c r="I3425" s="24"/>
      <c r="J3425" s="24"/>
      <c r="K3425" s="24"/>
      <c r="L3425" s="24"/>
      <c r="M3425" s="27" t="str">
        <f t="shared" si="215"/>
        <v/>
      </c>
      <c r="N3425" s="25"/>
      <c r="O3425" s="22"/>
      <c r="P3425" s="24"/>
      <c r="Q3425" s="26"/>
    </row>
    <row r="3426" spans="1:17" ht="15" x14ac:dyDescent="0.15">
      <c r="A3426" s="22"/>
      <c r="B3426" s="26" t="str">
        <f t="shared" si="212"/>
        <v/>
      </c>
      <c r="C3426" s="26" t="str">
        <f t="shared" si="213"/>
        <v/>
      </c>
      <c r="D3426" s="26" t="str">
        <f t="shared" si="214"/>
        <v/>
      </c>
      <c r="E3426" s="29"/>
      <c r="F3426" s="22"/>
      <c r="G3426" s="22"/>
      <c r="H3426" s="22"/>
      <c r="I3426" s="24"/>
      <c r="J3426" s="24"/>
      <c r="K3426" s="24"/>
      <c r="L3426" s="24"/>
      <c r="M3426" s="27" t="str">
        <f t="shared" si="215"/>
        <v/>
      </c>
      <c r="N3426" s="25"/>
      <c r="O3426" s="22"/>
      <c r="P3426" s="24"/>
      <c r="Q3426" s="26"/>
    </row>
    <row r="3427" spans="1:17" ht="15" x14ac:dyDescent="0.15">
      <c r="A3427" s="22"/>
      <c r="B3427" s="26" t="str">
        <f t="shared" si="212"/>
        <v/>
      </c>
      <c r="C3427" s="26" t="str">
        <f t="shared" si="213"/>
        <v/>
      </c>
      <c r="D3427" s="26" t="str">
        <f t="shared" si="214"/>
        <v/>
      </c>
      <c r="E3427" s="29"/>
      <c r="F3427" s="22"/>
      <c r="G3427" s="22"/>
      <c r="H3427" s="22"/>
      <c r="I3427" s="24"/>
      <c r="J3427" s="24"/>
      <c r="K3427" s="24"/>
      <c r="L3427" s="24"/>
      <c r="M3427" s="27" t="str">
        <f t="shared" si="215"/>
        <v/>
      </c>
      <c r="N3427" s="25"/>
      <c r="O3427" s="22"/>
      <c r="P3427" s="24"/>
      <c r="Q3427" s="26"/>
    </row>
    <row r="3428" spans="1:17" ht="15" x14ac:dyDescent="0.15">
      <c r="A3428" s="22"/>
      <c r="B3428" s="26" t="str">
        <f t="shared" si="212"/>
        <v/>
      </c>
      <c r="C3428" s="26" t="str">
        <f t="shared" si="213"/>
        <v/>
      </c>
      <c r="D3428" s="26" t="str">
        <f t="shared" si="214"/>
        <v/>
      </c>
      <c r="E3428" s="29"/>
      <c r="F3428" s="22"/>
      <c r="G3428" s="22"/>
      <c r="H3428" s="22"/>
      <c r="I3428" s="24"/>
      <c r="J3428" s="24"/>
      <c r="K3428" s="24"/>
      <c r="L3428" s="24"/>
      <c r="M3428" s="27" t="str">
        <f t="shared" si="215"/>
        <v/>
      </c>
      <c r="N3428" s="25"/>
      <c r="O3428" s="22"/>
      <c r="P3428" s="24"/>
      <c r="Q3428" s="26"/>
    </row>
    <row r="3429" spans="1:17" ht="15" x14ac:dyDescent="0.15">
      <c r="A3429" s="22"/>
      <c r="B3429" s="26" t="str">
        <f t="shared" si="212"/>
        <v/>
      </c>
      <c r="C3429" s="26" t="str">
        <f t="shared" si="213"/>
        <v/>
      </c>
      <c r="D3429" s="26" t="str">
        <f t="shared" si="214"/>
        <v/>
      </c>
      <c r="E3429" s="29"/>
      <c r="F3429" s="22"/>
      <c r="G3429" s="22"/>
      <c r="H3429" s="22"/>
      <c r="I3429" s="24"/>
      <c r="J3429" s="24"/>
      <c r="K3429" s="24"/>
      <c r="L3429" s="24"/>
      <c r="M3429" s="27" t="str">
        <f t="shared" si="215"/>
        <v/>
      </c>
      <c r="N3429" s="25"/>
      <c r="O3429" s="22"/>
      <c r="P3429" s="24"/>
      <c r="Q3429" s="26"/>
    </row>
    <row r="3430" spans="1:17" ht="15" x14ac:dyDescent="0.15">
      <c r="A3430" s="22"/>
      <c r="B3430" s="26" t="str">
        <f t="shared" si="212"/>
        <v/>
      </c>
      <c r="C3430" s="26" t="str">
        <f t="shared" si="213"/>
        <v/>
      </c>
      <c r="D3430" s="26" t="str">
        <f t="shared" si="214"/>
        <v/>
      </c>
      <c r="E3430" s="29"/>
      <c r="F3430" s="22"/>
      <c r="G3430" s="22"/>
      <c r="H3430" s="22"/>
      <c r="I3430" s="24"/>
      <c r="J3430" s="24"/>
      <c r="K3430" s="24"/>
      <c r="L3430" s="24"/>
      <c r="M3430" s="27" t="str">
        <f t="shared" si="215"/>
        <v/>
      </c>
      <c r="N3430" s="25"/>
      <c r="O3430" s="22"/>
      <c r="P3430" s="24"/>
      <c r="Q3430" s="26"/>
    </row>
    <row r="3431" spans="1:17" ht="15" x14ac:dyDescent="0.15">
      <c r="A3431" s="22"/>
      <c r="B3431" s="26" t="str">
        <f t="shared" si="212"/>
        <v/>
      </c>
      <c r="C3431" s="26" t="str">
        <f t="shared" si="213"/>
        <v/>
      </c>
      <c r="D3431" s="26" t="str">
        <f t="shared" si="214"/>
        <v/>
      </c>
      <c r="E3431" s="29"/>
      <c r="F3431" s="22"/>
      <c r="G3431" s="22"/>
      <c r="H3431" s="22"/>
      <c r="I3431" s="24"/>
      <c r="J3431" s="24"/>
      <c r="K3431" s="24"/>
      <c r="L3431" s="24"/>
      <c r="M3431" s="27" t="str">
        <f t="shared" si="215"/>
        <v/>
      </c>
      <c r="N3431" s="25"/>
      <c r="O3431" s="22"/>
      <c r="P3431" s="24"/>
      <c r="Q3431" s="26"/>
    </row>
    <row r="3432" spans="1:17" ht="15" x14ac:dyDescent="0.15">
      <c r="A3432" s="22"/>
      <c r="B3432" s="26" t="str">
        <f t="shared" si="212"/>
        <v/>
      </c>
      <c r="C3432" s="26" t="str">
        <f t="shared" si="213"/>
        <v/>
      </c>
      <c r="D3432" s="26" t="str">
        <f t="shared" si="214"/>
        <v/>
      </c>
      <c r="E3432" s="29"/>
      <c r="F3432" s="22"/>
      <c r="G3432" s="22"/>
      <c r="H3432" s="22"/>
      <c r="I3432" s="24"/>
      <c r="J3432" s="24"/>
      <c r="K3432" s="24"/>
      <c r="L3432" s="24"/>
      <c r="M3432" s="27" t="str">
        <f t="shared" si="215"/>
        <v/>
      </c>
      <c r="N3432" s="25"/>
      <c r="O3432" s="22"/>
      <c r="P3432" s="24"/>
      <c r="Q3432" s="26"/>
    </row>
    <row r="3433" spans="1:17" ht="15" x14ac:dyDescent="0.15">
      <c r="A3433" s="22"/>
      <c r="B3433" s="26" t="str">
        <f t="shared" si="212"/>
        <v/>
      </c>
      <c r="C3433" s="26" t="str">
        <f t="shared" si="213"/>
        <v/>
      </c>
      <c r="D3433" s="26" t="str">
        <f t="shared" si="214"/>
        <v/>
      </c>
      <c r="E3433" s="29"/>
      <c r="F3433" s="22"/>
      <c r="G3433" s="22"/>
      <c r="H3433" s="22"/>
      <c r="I3433" s="24"/>
      <c r="J3433" s="24"/>
      <c r="K3433" s="24"/>
      <c r="L3433" s="24"/>
      <c r="M3433" s="27" t="str">
        <f t="shared" si="215"/>
        <v/>
      </c>
      <c r="N3433" s="25"/>
      <c r="O3433" s="22"/>
      <c r="P3433" s="24"/>
      <c r="Q3433" s="26"/>
    </row>
    <row r="3434" spans="1:17" ht="15" x14ac:dyDescent="0.15">
      <c r="A3434" s="22"/>
      <c r="B3434" s="26" t="str">
        <f t="shared" si="212"/>
        <v/>
      </c>
      <c r="C3434" s="26" t="str">
        <f t="shared" si="213"/>
        <v/>
      </c>
      <c r="D3434" s="26" t="str">
        <f t="shared" si="214"/>
        <v/>
      </c>
      <c r="E3434" s="29"/>
      <c r="F3434" s="22"/>
      <c r="G3434" s="22"/>
      <c r="H3434" s="22"/>
      <c r="I3434" s="24"/>
      <c r="J3434" s="24"/>
      <c r="K3434" s="24"/>
      <c r="L3434" s="24"/>
      <c r="M3434" s="27" t="str">
        <f t="shared" si="215"/>
        <v/>
      </c>
      <c r="N3434" s="25"/>
      <c r="O3434" s="22"/>
      <c r="P3434" s="24"/>
      <c r="Q3434" s="26"/>
    </row>
    <row r="3435" spans="1:17" ht="15" x14ac:dyDescent="0.15">
      <c r="A3435" s="22"/>
      <c r="B3435" s="26" t="str">
        <f t="shared" si="212"/>
        <v/>
      </c>
      <c r="C3435" s="26" t="str">
        <f t="shared" si="213"/>
        <v/>
      </c>
      <c r="D3435" s="26" t="str">
        <f t="shared" si="214"/>
        <v/>
      </c>
      <c r="E3435" s="29"/>
      <c r="F3435" s="22"/>
      <c r="G3435" s="22"/>
      <c r="H3435" s="22"/>
      <c r="I3435" s="24"/>
      <c r="J3435" s="24"/>
      <c r="K3435" s="24"/>
      <c r="L3435" s="24"/>
      <c r="M3435" s="27" t="str">
        <f t="shared" si="215"/>
        <v/>
      </c>
      <c r="N3435" s="25"/>
      <c r="O3435" s="22"/>
      <c r="P3435" s="24"/>
      <c r="Q3435" s="26"/>
    </row>
    <row r="3436" spans="1:17" ht="15" x14ac:dyDescent="0.15">
      <c r="A3436" s="22"/>
      <c r="B3436" s="26" t="str">
        <f t="shared" si="212"/>
        <v/>
      </c>
      <c r="C3436" s="26" t="str">
        <f t="shared" si="213"/>
        <v/>
      </c>
      <c r="D3436" s="26" t="str">
        <f t="shared" si="214"/>
        <v/>
      </c>
      <c r="E3436" s="29"/>
      <c r="F3436" s="22"/>
      <c r="G3436" s="22"/>
      <c r="H3436" s="22"/>
      <c r="I3436" s="24"/>
      <c r="J3436" s="24"/>
      <c r="K3436" s="24"/>
      <c r="L3436" s="24"/>
      <c r="M3436" s="27" t="str">
        <f t="shared" si="215"/>
        <v/>
      </c>
      <c r="N3436" s="25"/>
      <c r="O3436" s="22"/>
      <c r="P3436" s="24"/>
      <c r="Q3436" s="26"/>
    </row>
    <row r="3437" spans="1:17" ht="15" x14ac:dyDescent="0.15">
      <c r="A3437" s="22"/>
      <c r="B3437" s="26" t="str">
        <f t="shared" si="212"/>
        <v/>
      </c>
      <c r="C3437" s="26" t="str">
        <f t="shared" si="213"/>
        <v/>
      </c>
      <c r="D3437" s="26" t="str">
        <f t="shared" si="214"/>
        <v/>
      </c>
      <c r="E3437" s="29"/>
      <c r="F3437" s="22"/>
      <c r="G3437" s="22"/>
      <c r="H3437" s="22"/>
      <c r="I3437" s="24"/>
      <c r="J3437" s="24"/>
      <c r="K3437" s="24"/>
      <c r="L3437" s="24"/>
      <c r="M3437" s="27" t="str">
        <f t="shared" si="215"/>
        <v/>
      </c>
      <c r="N3437" s="25"/>
      <c r="O3437" s="22"/>
      <c r="P3437" s="24"/>
      <c r="Q3437" s="26"/>
    </row>
    <row r="3438" spans="1:17" ht="15" x14ac:dyDescent="0.15">
      <c r="A3438" s="22"/>
      <c r="B3438" s="26" t="str">
        <f t="shared" si="212"/>
        <v/>
      </c>
      <c r="C3438" s="26" t="str">
        <f t="shared" si="213"/>
        <v/>
      </c>
      <c r="D3438" s="26" t="str">
        <f t="shared" si="214"/>
        <v/>
      </c>
      <c r="E3438" s="29"/>
      <c r="F3438" s="22"/>
      <c r="G3438" s="22"/>
      <c r="H3438" s="22"/>
      <c r="I3438" s="24"/>
      <c r="J3438" s="24"/>
      <c r="K3438" s="24"/>
      <c r="L3438" s="24"/>
      <c r="M3438" s="27" t="str">
        <f t="shared" si="215"/>
        <v/>
      </c>
      <c r="N3438" s="25"/>
      <c r="O3438" s="22"/>
      <c r="P3438" s="24"/>
      <c r="Q3438" s="26"/>
    </row>
    <row r="3439" spans="1:17" ht="15" x14ac:dyDescent="0.15">
      <c r="A3439" s="22"/>
      <c r="B3439" s="26" t="str">
        <f t="shared" si="212"/>
        <v/>
      </c>
      <c r="C3439" s="26" t="str">
        <f t="shared" si="213"/>
        <v/>
      </c>
      <c r="D3439" s="26" t="str">
        <f t="shared" si="214"/>
        <v/>
      </c>
      <c r="E3439" s="29"/>
      <c r="F3439" s="22"/>
      <c r="G3439" s="22"/>
      <c r="H3439" s="22"/>
      <c r="I3439" s="24"/>
      <c r="J3439" s="24"/>
      <c r="K3439" s="24"/>
      <c r="L3439" s="24"/>
      <c r="M3439" s="27" t="str">
        <f t="shared" si="215"/>
        <v/>
      </c>
      <c r="N3439" s="25"/>
      <c r="O3439" s="22"/>
      <c r="P3439" s="24"/>
      <c r="Q3439" s="26"/>
    </row>
    <row r="3440" spans="1:17" ht="15" x14ac:dyDescent="0.15">
      <c r="A3440" s="22"/>
      <c r="B3440" s="26" t="str">
        <f t="shared" si="212"/>
        <v/>
      </c>
      <c r="C3440" s="26" t="str">
        <f t="shared" si="213"/>
        <v/>
      </c>
      <c r="D3440" s="26" t="str">
        <f t="shared" si="214"/>
        <v/>
      </c>
      <c r="E3440" s="29"/>
      <c r="F3440" s="22"/>
      <c r="G3440" s="22"/>
      <c r="H3440" s="22"/>
      <c r="I3440" s="24"/>
      <c r="J3440" s="24"/>
      <c r="K3440" s="24"/>
      <c r="L3440" s="24"/>
      <c r="M3440" s="27" t="str">
        <f t="shared" si="215"/>
        <v/>
      </c>
      <c r="N3440" s="25"/>
      <c r="O3440" s="22"/>
      <c r="P3440" s="24"/>
      <c r="Q3440" s="26"/>
    </row>
    <row r="3441" spans="1:17" ht="15" x14ac:dyDescent="0.15">
      <c r="A3441" s="22"/>
      <c r="B3441" s="26" t="str">
        <f t="shared" si="212"/>
        <v/>
      </c>
      <c r="C3441" s="26" t="str">
        <f t="shared" si="213"/>
        <v/>
      </c>
      <c r="D3441" s="26" t="str">
        <f t="shared" si="214"/>
        <v/>
      </c>
      <c r="E3441" s="29"/>
      <c r="F3441" s="22"/>
      <c r="G3441" s="22"/>
      <c r="H3441" s="22"/>
      <c r="I3441" s="24"/>
      <c r="J3441" s="24"/>
      <c r="K3441" s="24"/>
      <c r="L3441" s="24"/>
      <c r="M3441" s="27" t="str">
        <f t="shared" si="215"/>
        <v/>
      </c>
      <c r="N3441" s="25"/>
      <c r="O3441" s="22"/>
      <c r="P3441" s="24"/>
      <c r="Q3441" s="26"/>
    </row>
    <row r="3442" spans="1:17" ht="15" x14ac:dyDescent="0.15">
      <c r="A3442" s="22"/>
      <c r="B3442" s="26" t="str">
        <f t="shared" si="212"/>
        <v/>
      </c>
      <c r="C3442" s="26" t="str">
        <f t="shared" si="213"/>
        <v/>
      </c>
      <c r="D3442" s="26" t="str">
        <f t="shared" si="214"/>
        <v/>
      </c>
      <c r="E3442" s="29"/>
      <c r="F3442" s="22"/>
      <c r="G3442" s="22"/>
      <c r="H3442" s="22"/>
      <c r="I3442" s="24"/>
      <c r="J3442" s="24"/>
      <c r="K3442" s="24"/>
      <c r="L3442" s="24"/>
      <c r="M3442" s="27" t="str">
        <f t="shared" si="215"/>
        <v/>
      </c>
      <c r="N3442" s="25"/>
      <c r="O3442" s="22"/>
      <c r="P3442" s="24"/>
      <c r="Q3442" s="26"/>
    </row>
    <row r="3443" spans="1:17" ht="15" x14ac:dyDescent="0.15">
      <c r="A3443" s="22"/>
      <c r="B3443" s="26" t="str">
        <f t="shared" si="212"/>
        <v/>
      </c>
      <c r="C3443" s="26" t="str">
        <f t="shared" si="213"/>
        <v/>
      </c>
      <c r="D3443" s="26" t="str">
        <f t="shared" si="214"/>
        <v/>
      </c>
      <c r="E3443" s="29"/>
      <c r="F3443" s="22"/>
      <c r="G3443" s="22"/>
      <c r="H3443" s="22"/>
      <c r="I3443" s="24"/>
      <c r="J3443" s="24"/>
      <c r="K3443" s="24"/>
      <c r="L3443" s="24"/>
      <c r="M3443" s="27" t="str">
        <f t="shared" si="215"/>
        <v/>
      </c>
      <c r="N3443" s="25"/>
      <c r="O3443" s="22"/>
      <c r="P3443" s="24"/>
      <c r="Q3443" s="26"/>
    </row>
    <row r="3444" spans="1:17" ht="15" x14ac:dyDescent="0.15">
      <c r="A3444" s="22"/>
      <c r="B3444" s="26" t="str">
        <f t="shared" si="212"/>
        <v/>
      </c>
      <c r="C3444" s="26" t="str">
        <f t="shared" si="213"/>
        <v/>
      </c>
      <c r="D3444" s="26" t="str">
        <f t="shared" si="214"/>
        <v/>
      </c>
      <c r="E3444" s="29"/>
      <c r="F3444" s="22"/>
      <c r="G3444" s="22"/>
      <c r="H3444" s="22"/>
      <c r="I3444" s="24"/>
      <c r="J3444" s="24"/>
      <c r="K3444" s="24"/>
      <c r="L3444" s="24"/>
      <c r="M3444" s="27" t="str">
        <f t="shared" si="215"/>
        <v/>
      </c>
      <c r="N3444" s="25"/>
      <c r="O3444" s="22"/>
      <c r="P3444" s="24"/>
      <c r="Q3444" s="26"/>
    </row>
    <row r="3445" spans="1:17" ht="15" x14ac:dyDescent="0.15">
      <c r="A3445" s="22"/>
      <c r="B3445" s="26" t="str">
        <f t="shared" si="212"/>
        <v/>
      </c>
      <c r="C3445" s="26" t="str">
        <f t="shared" si="213"/>
        <v/>
      </c>
      <c r="D3445" s="26" t="str">
        <f t="shared" si="214"/>
        <v/>
      </c>
      <c r="E3445" s="29"/>
      <c r="F3445" s="22"/>
      <c r="G3445" s="22"/>
      <c r="H3445" s="22"/>
      <c r="I3445" s="24"/>
      <c r="J3445" s="24"/>
      <c r="K3445" s="24"/>
      <c r="L3445" s="24"/>
      <c r="M3445" s="27" t="str">
        <f t="shared" si="215"/>
        <v/>
      </c>
      <c r="N3445" s="25"/>
      <c r="O3445" s="22"/>
      <c r="P3445" s="24"/>
      <c r="Q3445" s="26"/>
    </row>
    <row r="3446" spans="1:17" ht="15" x14ac:dyDescent="0.15">
      <c r="A3446" s="22"/>
      <c r="B3446" s="26" t="str">
        <f t="shared" si="212"/>
        <v/>
      </c>
      <c r="C3446" s="26" t="str">
        <f t="shared" si="213"/>
        <v/>
      </c>
      <c r="D3446" s="26" t="str">
        <f t="shared" si="214"/>
        <v/>
      </c>
      <c r="E3446" s="29"/>
      <c r="F3446" s="22"/>
      <c r="G3446" s="22"/>
      <c r="H3446" s="22"/>
      <c r="I3446" s="24"/>
      <c r="J3446" s="24"/>
      <c r="K3446" s="24"/>
      <c r="L3446" s="24"/>
      <c r="M3446" s="27" t="str">
        <f t="shared" si="215"/>
        <v/>
      </c>
      <c r="N3446" s="25"/>
      <c r="O3446" s="22"/>
      <c r="P3446" s="24"/>
      <c r="Q3446" s="26"/>
    </row>
    <row r="3447" spans="1:17" ht="15" x14ac:dyDescent="0.15">
      <c r="A3447" s="22"/>
      <c r="B3447" s="26" t="str">
        <f t="shared" si="212"/>
        <v/>
      </c>
      <c r="C3447" s="26" t="str">
        <f t="shared" si="213"/>
        <v/>
      </c>
      <c r="D3447" s="26" t="str">
        <f t="shared" si="214"/>
        <v/>
      </c>
      <c r="E3447" s="29"/>
      <c r="F3447" s="22"/>
      <c r="G3447" s="22"/>
      <c r="H3447" s="22"/>
      <c r="I3447" s="24"/>
      <c r="J3447" s="24"/>
      <c r="K3447" s="24"/>
      <c r="L3447" s="24"/>
      <c r="M3447" s="27" t="str">
        <f t="shared" si="215"/>
        <v/>
      </c>
      <c r="N3447" s="25"/>
      <c r="O3447" s="22"/>
      <c r="P3447" s="24"/>
      <c r="Q3447" s="26"/>
    </row>
    <row r="3448" spans="1:17" ht="15" x14ac:dyDescent="0.15">
      <c r="A3448" s="22"/>
      <c r="B3448" s="26" t="str">
        <f t="shared" si="212"/>
        <v/>
      </c>
      <c r="C3448" s="26" t="str">
        <f t="shared" si="213"/>
        <v/>
      </c>
      <c r="D3448" s="26" t="str">
        <f t="shared" si="214"/>
        <v/>
      </c>
      <c r="E3448" s="29"/>
      <c r="F3448" s="22"/>
      <c r="G3448" s="22"/>
      <c r="H3448" s="22"/>
      <c r="I3448" s="24"/>
      <c r="J3448" s="24"/>
      <c r="K3448" s="24"/>
      <c r="L3448" s="24"/>
      <c r="M3448" s="27" t="str">
        <f t="shared" si="215"/>
        <v/>
      </c>
      <c r="N3448" s="25"/>
      <c r="O3448" s="22"/>
      <c r="P3448" s="24"/>
      <c r="Q3448" s="26"/>
    </row>
    <row r="3449" spans="1:17" ht="15" x14ac:dyDescent="0.15">
      <c r="A3449" s="22"/>
      <c r="B3449" s="26" t="str">
        <f t="shared" si="212"/>
        <v/>
      </c>
      <c r="C3449" s="26" t="str">
        <f t="shared" si="213"/>
        <v/>
      </c>
      <c r="D3449" s="26" t="str">
        <f t="shared" si="214"/>
        <v/>
      </c>
      <c r="E3449" s="29"/>
      <c r="F3449" s="22"/>
      <c r="G3449" s="22"/>
      <c r="H3449" s="22"/>
      <c r="I3449" s="24"/>
      <c r="J3449" s="24"/>
      <c r="K3449" s="24"/>
      <c r="L3449" s="24"/>
      <c r="M3449" s="27" t="str">
        <f t="shared" si="215"/>
        <v/>
      </c>
      <c r="N3449" s="25"/>
      <c r="O3449" s="22"/>
      <c r="P3449" s="24"/>
      <c r="Q3449" s="26"/>
    </row>
    <row r="3450" spans="1:17" ht="15" x14ac:dyDescent="0.15">
      <c r="A3450" s="22"/>
      <c r="B3450" s="26" t="str">
        <f t="shared" si="212"/>
        <v/>
      </c>
      <c r="C3450" s="26" t="str">
        <f t="shared" si="213"/>
        <v/>
      </c>
      <c r="D3450" s="26" t="str">
        <f t="shared" si="214"/>
        <v/>
      </c>
      <c r="E3450" s="29"/>
      <c r="F3450" s="22"/>
      <c r="G3450" s="22"/>
      <c r="H3450" s="22"/>
      <c r="I3450" s="24"/>
      <c r="J3450" s="24"/>
      <c r="K3450" s="24"/>
      <c r="L3450" s="24"/>
      <c r="M3450" s="27" t="str">
        <f t="shared" si="215"/>
        <v/>
      </c>
      <c r="N3450" s="25"/>
      <c r="O3450" s="22"/>
      <c r="P3450" s="24"/>
      <c r="Q3450" s="26"/>
    </row>
    <row r="3451" spans="1:17" ht="15" x14ac:dyDescent="0.15">
      <c r="A3451" s="22"/>
      <c r="B3451" s="26" t="str">
        <f t="shared" si="212"/>
        <v/>
      </c>
      <c r="C3451" s="26" t="str">
        <f t="shared" si="213"/>
        <v/>
      </c>
      <c r="D3451" s="26" t="str">
        <f t="shared" si="214"/>
        <v/>
      </c>
      <c r="E3451" s="29"/>
      <c r="F3451" s="22"/>
      <c r="G3451" s="22"/>
      <c r="H3451" s="22"/>
      <c r="I3451" s="24"/>
      <c r="J3451" s="24"/>
      <c r="K3451" s="24"/>
      <c r="L3451" s="24"/>
      <c r="M3451" s="27" t="str">
        <f t="shared" si="215"/>
        <v/>
      </c>
      <c r="N3451" s="25"/>
      <c r="O3451" s="22"/>
      <c r="P3451" s="24"/>
      <c r="Q3451" s="26"/>
    </row>
    <row r="3452" spans="1:17" ht="15" x14ac:dyDescent="0.15">
      <c r="A3452" s="22"/>
      <c r="B3452" s="26" t="str">
        <f t="shared" si="212"/>
        <v/>
      </c>
      <c r="C3452" s="26" t="str">
        <f t="shared" si="213"/>
        <v/>
      </c>
      <c r="D3452" s="26" t="str">
        <f t="shared" si="214"/>
        <v/>
      </c>
      <c r="E3452" s="29"/>
      <c r="F3452" s="22"/>
      <c r="G3452" s="22"/>
      <c r="H3452" s="22"/>
      <c r="I3452" s="24"/>
      <c r="J3452" s="24"/>
      <c r="K3452" s="24"/>
      <c r="L3452" s="24"/>
      <c r="M3452" s="27" t="str">
        <f t="shared" si="215"/>
        <v/>
      </c>
      <c r="N3452" s="25"/>
      <c r="O3452" s="22"/>
      <c r="P3452" s="24"/>
      <c r="Q3452" s="26"/>
    </row>
    <row r="3453" spans="1:17" ht="15" x14ac:dyDescent="0.15">
      <c r="A3453" s="22"/>
      <c r="B3453" s="26" t="str">
        <f t="shared" si="212"/>
        <v/>
      </c>
      <c r="C3453" s="26" t="str">
        <f t="shared" si="213"/>
        <v/>
      </c>
      <c r="D3453" s="26" t="str">
        <f t="shared" si="214"/>
        <v/>
      </c>
      <c r="E3453" s="29"/>
      <c r="F3453" s="22"/>
      <c r="G3453" s="22"/>
      <c r="H3453" s="22"/>
      <c r="I3453" s="24"/>
      <c r="J3453" s="24"/>
      <c r="K3453" s="24"/>
      <c r="L3453" s="24"/>
      <c r="M3453" s="27" t="str">
        <f t="shared" si="215"/>
        <v/>
      </c>
      <c r="N3453" s="25"/>
      <c r="O3453" s="22"/>
      <c r="P3453" s="24"/>
      <c r="Q3453" s="26"/>
    </row>
    <row r="3454" spans="1:17" ht="15" x14ac:dyDescent="0.15">
      <c r="A3454" s="22"/>
      <c r="B3454" s="26" t="str">
        <f t="shared" si="212"/>
        <v/>
      </c>
      <c r="C3454" s="26" t="str">
        <f t="shared" si="213"/>
        <v/>
      </c>
      <c r="D3454" s="26" t="str">
        <f t="shared" si="214"/>
        <v/>
      </c>
      <c r="E3454" s="29"/>
      <c r="F3454" s="22"/>
      <c r="G3454" s="22"/>
      <c r="H3454" s="22"/>
      <c r="I3454" s="24"/>
      <c r="J3454" s="24"/>
      <c r="K3454" s="24"/>
      <c r="L3454" s="24"/>
      <c r="M3454" s="27" t="str">
        <f t="shared" si="215"/>
        <v/>
      </c>
      <c r="N3454" s="25"/>
      <c r="O3454" s="22"/>
      <c r="P3454" s="24"/>
      <c r="Q3454" s="26"/>
    </row>
    <row r="3455" spans="1:17" ht="15" x14ac:dyDescent="0.15">
      <c r="A3455" s="22"/>
      <c r="B3455" s="26" t="str">
        <f t="shared" si="212"/>
        <v/>
      </c>
      <c r="C3455" s="26" t="str">
        <f t="shared" si="213"/>
        <v/>
      </c>
      <c r="D3455" s="26" t="str">
        <f t="shared" si="214"/>
        <v/>
      </c>
      <c r="E3455" s="29"/>
      <c r="F3455" s="22"/>
      <c r="G3455" s="22"/>
      <c r="H3455" s="22"/>
      <c r="I3455" s="24"/>
      <c r="J3455" s="24"/>
      <c r="K3455" s="24"/>
      <c r="L3455" s="24"/>
      <c r="M3455" s="27" t="str">
        <f t="shared" si="215"/>
        <v/>
      </c>
      <c r="N3455" s="25"/>
      <c r="O3455" s="22"/>
      <c r="P3455" s="24"/>
      <c r="Q3455" s="26"/>
    </row>
    <row r="3456" spans="1:17" ht="15" x14ac:dyDescent="0.15">
      <c r="A3456" s="22"/>
      <c r="B3456" s="26" t="str">
        <f t="shared" si="212"/>
        <v/>
      </c>
      <c r="C3456" s="26" t="str">
        <f t="shared" si="213"/>
        <v/>
      </c>
      <c r="D3456" s="26" t="str">
        <f t="shared" si="214"/>
        <v/>
      </c>
      <c r="E3456" s="29"/>
      <c r="F3456" s="22"/>
      <c r="G3456" s="22"/>
      <c r="H3456" s="22"/>
      <c r="I3456" s="24"/>
      <c r="J3456" s="24"/>
      <c r="K3456" s="24"/>
      <c r="L3456" s="24"/>
      <c r="M3456" s="27" t="str">
        <f t="shared" si="215"/>
        <v/>
      </c>
      <c r="N3456" s="25"/>
      <c r="O3456" s="22"/>
      <c r="P3456" s="24"/>
      <c r="Q3456" s="26"/>
    </row>
    <row r="3457" spans="1:17" ht="15" x14ac:dyDescent="0.15">
      <c r="A3457" s="22"/>
      <c r="B3457" s="26" t="str">
        <f t="shared" si="212"/>
        <v/>
      </c>
      <c r="C3457" s="26" t="str">
        <f t="shared" si="213"/>
        <v/>
      </c>
      <c r="D3457" s="26" t="str">
        <f t="shared" si="214"/>
        <v/>
      </c>
      <c r="E3457" s="29"/>
      <c r="F3457" s="22"/>
      <c r="G3457" s="22"/>
      <c r="H3457" s="22"/>
      <c r="I3457" s="24"/>
      <c r="J3457" s="24"/>
      <c r="K3457" s="24"/>
      <c r="L3457" s="24"/>
      <c r="M3457" s="27" t="str">
        <f t="shared" si="215"/>
        <v/>
      </c>
      <c r="N3457" s="25"/>
      <c r="O3457" s="22"/>
      <c r="P3457" s="24"/>
      <c r="Q3457" s="26"/>
    </row>
    <row r="3458" spans="1:17" ht="15" x14ac:dyDescent="0.15">
      <c r="A3458" s="22"/>
      <c r="B3458" s="26" t="str">
        <f t="shared" si="212"/>
        <v/>
      </c>
      <c r="C3458" s="26" t="str">
        <f t="shared" si="213"/>
        <v/>
      </c>
      <c r="D3458" s="26" t="str">
        <f t="shared" si="214"/>
        <v/>
      </c>
      <c r="E3458" s="29"/>
      <c r="F3458" s="22"/>
      <c r="G3458" s="22"/>
      <c r="H3458" s="22"/>
      <c r="I3458" s="24"/>
      <c r="J3458" s="24"/>
      <c r="K3458" s="24"/>
      <c r="L3458" s="24"/>
      <c r="M3458" s="27" t="str">
        <f t="shared" si="215"/>
        <v/>
      </c>
      <c r="N3458" s="25"/>
      <c r="O3458" s="22"/>
      <c r="P3458" s="24"/>
      <c r="Q3458" s="26"/>
    </row>
    <row r="3459" spans="1:17" ht="15" x14ac:dyDescent="0.15">
      <c r="A3459" s="22"/>
      <c r="B3459" s="26" t="str">
        <f t="shared" si="212"/>
        <v/>
      </c>
      <c r="C3459" s="26" t="str">
        <f t="shared" si="213"/>
        <v/>
      </c>
      <c r="D3459" s="26" t="str">
        <f t="shared" si="214"/>
        <v/>
      </c>
      <c r="E3459" s="29"/>
      <c r="F3459" s="22"/>
      <c r="G3459" s="22"/>
      <c r="H3459" s="22"/>
      <c r="I3459" s="24"/>
      <c r="J3459" s="24"/>
      <c r="K3459" s="24"/>
      <c r="L3459" s="24"/>
      <c r="M3459" s="27" t="str">
        <f t="shared" si="215"/>
        <v/>
      </c>
      <c r="N3459" s="25"/>
      <c r="O3459" s="22"/>
      <c r="P3459" s="24"/>
      <c r="Q3459" s="26"/>
    </row>
    <row r="3460" spans="1:17" ht="15" x14ac:dyDescent="0.15">
      <c r="A3460" s="22"/>
      <c r="B3460" s="26" t="str">
        <f t="shared" si="212"/>
        <v/>
      </c>
      <c r="C3460" s="26" t="str">
        <f t="shared" si="213"/>
        <v/>
      </c>
      <c r="D3460" s="26" t="str">
        <f t="shared" si="214"/>
        <v/>
      </c>
      <c r="E3460" s="29"/>
      <c r="F3460" s="22"/>
      <c r="G3460" s="22"/>
      <c r="H3460" s="22"/>
      <c r="I3460" s="24"/>
      <c r="J3460" s="24"/>
      <c r="K3460" s="24"/>
      <c r="L3460" s="24"/>
      <c r="M3460" s="27" t="str">
        <f t="shared" si="215"/>
        <v/>
      </c>
      <c r="N3460" s="25"/>
      <c r="O3460" s="22"/>
      <c r="P3460" s="24"/>
      <c r="Q3460" s="26"/>
    </row>
    <row r="3461" spans="1:17" ht="15" x14ac:dyDescent="0.15">
      <c r="A3461" s="22"/>
      <c r="B3461" s="26" t="str">
        <f t="shared" si="212"/>
        <v/>
      </c>
      <c r="C3461" s="26" t="str">
        <f t="shared" si="213"/>
        <v/>
      </c>
      <c r="D3461" s="26" t="str">
        <f t="shared" si="214"/>
        <v/>
      </c>
      <c r="E3461" s="29"/>
      <c r="F3461" s="22"/>
      <c r="G3461" s="22"/>
      <c r="H3461" s="22"/>
      <c r="I3461" s="24"/>
      <c r="J3461" s="24"/>
      <c r="K3461" s="24"/>
      <c r="L3461" s="24"/>
      <c r="M3461" s="27" t="str">
        <f t="shared" si="215"/>
        <v/>
      </c>
      <c r="N3461" s="25"/>
      <c r="O3461" s="22"/>
      <c r="P3461" s="24"/>
      <c r="Q3461" s="26"/>
    </row>
    <row r="3462" spans="1:17" ht="15" x14ac:dyDescent="0.15">
      <c r="A3462" s="22"/>
      <c r="B3462" s="26" t="str">
        <f t="shared" si="212"/>
        <v/>
      </c>
      <c r="C3462" s="26" t="str">
        <f t="shared" si="213"/>
        <v/>
      </c>
      <c r="D3462" s="26" t="str">
        <f t="shared" si="214"/>
        <v/>
      </c>
      <c r="E3462" s="29"/>
      <c r="F3462" s="22"/>
      <c r="G3462" s="22"/>
      <c r="H3462" s="22"/>
      <c r="I3462" s="24"/>
      <c r="J3462" s="24"/>
      <c r="K3462" s="24"/>
      <c r="L3462" s="24"/>
      <c r="M3462" s="27" t="str">
        <f t="shared" si="215"/>
        <v/>
      </c>
      <c r="N3462" s="25"/>
      <c r="O3462" s="22"/>
      <c r="P3462" s="24"/>
      <c r="Q3462" s="26"/>
    </row>
    <row r="3463" spans="1:17" ht="15" x14ac:dyDescent="0.15">
      <c r="A3463" s="22"/>
      <c r="B3463" s="26" t="str">
        <f t="shared" ref="B3463:B3526" si="216">IFERROR(IF($A3463="","",LEFT($A3463,FIND(" | ",$A3463)-1)),"")</f>
        <v/>
      </c>
      <c r="C3463" s="26" t="str">
        <f t="shared" ref="C3463:C3526" si="217">IFERROR(IF($A3463="","",MID($A3463,FIND(" | ",$A3463)+3,FIND(" | ",$A3463,FIND(" | ",$A3463)+3)-FIND(" | ",$A3463)-3)),"")</f>
        <v/>
      </c>
      <c r="D3463" s="26" t="str">
        <f t="shared" ref="D3463:D3526" si="218">IFERROR(IF($A3463="","",RIGHT($A3463,LEN($A3463)-FIND(" | ",$A3463,FIND(" | ",$A3463)+3)-2)),"")</f>
        <v/>
      </c>
      <c r="E3463" s="29"/>
      <c r="F3463" s="22"/>
      <c r="G3463" s="22"/>
      <c r="H3463" s="22"/>
      <c r="I3463" s="24"/>
      <c r="J3463" s="24"/>
      <c r="K3463" s="24"/>
      <c r="L3463" s="24"/>
      <c r="M3463" s="27" t="str">
        <f t="shared" ref="M3463:M3526" si="219">IF($B3463="","",SUM($J3463,-$K3463,$L3463))</f>
        <v/>
      </c>
      <c r="N3463" s="25"/>
      <c r="O3463" s="22"/>
      <c r="P3463" s="24"/>
      <c r="Q3463" s="26"/>
    </row>
    <row r="3464" spans="1:17" ht="15" x14ac:dyDescent="0.15">
      <c r="A3464" s="22"/>
      <c r="B3464" s="26" t="str">
        <f t="shared" si="216"/>
        <v/>
      </c>
      <c r="C3464" s="26" t="str">
        <f t="shared" si="217"/>
        <v/>
      </c>
      <c r="D3464" s="26" t="str">
        <f t="shared" si="218"/>
        <v/>
      </c>
      <c r="E3464" s="29"/>
      <c r="F3464" s="22"/>
      <c r="G3464" s="22"/>
      <c r="H3464" s="22"/>
      <c r="I3464" s="24"/>
      <c r="J3464" s="24"/>
      <c r="K3464" s="24"/>
      <c r="L3464" s="24"/>
      <c r="M3464" s="27" t="str">
        <f t="shared" si="219"/>
        <v/>
      </c>
      <c r="N3464" s="25"/>
      <c r="O3464" s="22"/>
      <c r="P3464" s="24"/>
      <c r="Q3464" s="26"/>
    </row>
    <row r="3465" spans="1:17" ht="15" x14ac:dyDescent="0.15">
      <c r="A3465" s="22"/>
      <c r="B3465" s="26" t="str">
        <f t="shared" si="216"/>
        <v/>
      </c>
      <c r="C3465" s="26" t="str">
        <f t="shared" si="217"/>
        <v/>
      </c>
      <c r="D3465" s="26" t="str">
        <f t="shared" si="218"/>
        <v/>
      </c>
      <c r="E3465" s="29"/>
      <c r="F3465" s="22"/>
      <c r="G3465" s="22"/>
      <c r="H3465" s="22"/>
      <c r="I3465" s="24"/>
      <c r="J3465" s="24"/>
      <c r="K3465" s="24"/>
      <c r="L3465" s="24"/>
      <c r="M3465" s="27" t="str">
        <f t="shared" si="219"/>
        <v/>
      </c>
      <c r="N3465" s="25"/>
      <c r="O3465" s="22"/>
      <c r="P3465" s="24"/>
      <c r="Q3465" s="26"/>
    </row>
    <row r="3466" spans="1:17" ht="15" x14ac:dyDescent="0.15">
      <c r="A3466" s="22"/>
      <c r="B3466" s="26" t="str">
        <f t="shared" si="216"/>
        <v/>
      </c>
      <c r="C3466" s="26" t="str">
        <f t="shared" si="217"/>
        <v/>
      </c>
      <c r="D3466" s="26" t="str">
        <f t="shared" si="218"/>
        <v/>
      </c>
      <c r="E3466" s="29"/>
      <c r="F3466" s="22"/>
      <c r="G3466" s="22"/>
      <c r="H3466" s="22"/>
      <c r="I3466" s="24"/>
      <c r="J3466" s="24"/>
      <c r="K3466" s="24"/>
      <c r="L3466" s="24"/>
      <c r="M3466" s="27" t="str">
        <f t="shared" si="219"/>
        <v/>
      </c>
      <c r="N3466" s="25"/>
      <c r="O3466" s="22"/>
      <c r="P3466" s="24"/>
      <c r="Q3466" s="26"/>
    </row>
    <row r="3467" spans="1:17" ht="15" x14ac:dyDescent="0.15">
      <c r="A3467" s="22"/>
      <c r="B3467" s="26" t="str">
        <f t="shared" si="216"/>
        <v/>
      </c>
      <c r="C3467" s="26" t="str">
        <f t="shared" si="217"/>
        <v/>
      </c>
      <c r="D3467" s="26" t="str">
        <f t="shared" si="218"/>
        <v/>
      </c>
      <c r="E3467" s="29"/>
      <c r="F3467" s="22"/>
      <c r="G3467" s="22"/>
      <c r="H3467" s="22"/>
      <c r="I3467" s="24"/>
      <c r="J3467" s="24"/>
      <c r="K3467" s="24"/>
      <c r="L3467" s="24"/>
      <c r="M3467" s="27" t="str">
        <f t="shared" si="219"/>
        <v/>
      </c>
      <c r="N3467" s="25"/>
      <c r="O3467" s="22"/>
      <c r="P3467" s="24"/>
      <c r="Q3467" s="26"/>
    </row>
    <row r="3468" spans="1:17" ht="15" x14ac:dyDescent="0.15">
      <c r="A3468" s="22"/>
      <c r="B3468" s="26" t="str">
        <f t="shared" si="216"/>
        <v/>
      </c>
      <c r="C3468" s="26" t="str">
        <f t="shared" si="217"/>
        <v/>
      </c>
      <c r="D3468" s="26" t="str">
        <f t="shared" si="218"/>
        <v/>
      </c>
      <c r="E3468" s="29"/>
      <c r="F3468" s="22"/>
      <c r="G3468" s="22"/>
      <c r="H3468" s="22"/>
      <c r="I3468" s="24"/>
      <c r="J3468" s="24"/>
      <c r="K3468" s="24"/>
      <c r="L3468" s="24"/>
      <c r="M3468" s="27" t="str">
        <f t="shared" si="219"/>
        <v/>
      </c>
      <c r="N3468" s="25"/>
      <c r="O3468" s="22"/>
      <c r="P3468" s="24"/>
      <c r="Q3468" s="26"/>
    </row>
    <row r="3469" spans="1:17" ht="15" x14ac:dyDescent="0.15">
      <c r="A3469" s="22"/>
      <c r="B3469" s="26" t="str">
        <f t="shared" si="216"/>
        <v/>
      </c>
      <c r="C3469" s="26" t="str">
        <f t="shared" si="217"/>
        <v/>
      </c>
      <c r="D3469" s="26" t="str">
        <f t="shared" si="218"/>
        <v/>
      </c>
      <c r="E3469" s="29"/>
      <c r="F3469" s="22"/>
      <c r="G3469" s="22"/>
      <c r="H3469" s="22"/>
      <c r="I3469" s="24"/>
      <c r="J3469" s="24"/>
      <c r="K3469" s="24"/>
      <c r="L3469" s="24"/>
      <c r="M3469" s="27" t="str">
        <f t="shared" si="219"/>
        <v/>
      </c>
      <c r="N3469" s="25"/>
      <c r="O3469" s="22"/>
      <c r="P3469" s="24"/>
      <c r="Q3469" s="26"/>
    </row>
    <row r="3470" spans="1:17" ht="15" x14ac:dyDescent="0.15">
      <c r="A3470" s="22"/>
      <c r="B3470" s="26" t="str">
        <f t="shared" si="216"/>
        <v/>
      </c>
      <c r="C3470" s="26" t="str">
        <f t="shared" si="217"/>
        <v/>
      </c>
      <c r="D3470" s="26" t="str">
        <f t="shared" si="218"/>
        <v/>
      </c>
      <c r="E3470" s="29"/>
      <c r="F3470" s="22"/>
      <c r="G3470" s="22"/>
      <c r="H3470" s="22"/>
      <c r="I3470" s="24"/>
      <c r="J3470" s="24"/>
      <c r="K3470" s="24"/>
      <c r="L3470" s="24"/>
      <c r="M3470" s="27" t="str">
        <f t="shared" si="219"/>
        <v/>
      </c>
      <c r="N3470" s="25"/>
      <c r="O3470" s="22"/>
      <c r="P3470" s="24"/>
      <c r="Q3470" s="26"/>
    </row>
    <row r="3471" spans="1:17" ht="15" x14ac:dyDescent="0.15">
      <c r="A3471" s="22"/>
      <c r="B3471" s="26" t="str">
        <f t="shared" si="216"/>
        <v/>
      </c>
      <c r="C3471" s="26" t="str">
        <f t="shared" si="217"/>
        <v/>
      </c>
      <c r="D3471" s="26" t="str">
        <f t="shared" si="218"/>
        <v/>
      </c>
      <c r="E3471" s="29"/>
      <c r="F3471" s="22"/>
      <c r="G3471" s="22"/>
      <c r="H3471" s="22"/>
      <c r="I3471" s="24"/>
      <c r="J3471" s="24"/>
      <c r="K3471" s="24"/>
      <c r="L3471" s="24"/>
      <c r="M3471" s="27" t="str">
        <f t="shared" si="219"/>
        <v/>
      </c>
      <c r="N3471" s="25"/>
      <c r="O3471" s="22"/>
      <c r="P3471" s="24"/>
      <c r="Q3471" s="26"/>
    </row>
    <row r="3472" spans="1:17" ht="15" x14ac:dyDescent="0.15">
      <c r="A3472" s="22"/>
      <c r="B3472" s="26" t="str">
        <f t="shared" si="216"/>
        <v/>
      </c>
      <c r="C3472" s="26" t="str">
        <f t="shared" si="217"/>
        <v/>
      </c>
      <c r="D3472" s="26" t="str">
        <f t="shared" si="218"/>
        <v/>
      </c>
      <c r="E3472" s="29"/>
      <c r="F3472" s="22"/>
      <c r="G3472" s="22"/>
      <c r="H3472" s="22"/>
      <c r="I3472" s="24"/>
      <c r="J3472" s="24"/>
      <c r="K3472" s="24"/>
      <c r="L3472" s="24"/>
      <c r="M3472" s="27" t="str">
        <f t="shared" si="219"/>
        <v/>
      </c>
      <c r="N3472" s="25"/>
      <c r="O3472" s="22"/>
      <c r="P3472" s="24"/>
      <c r="Q3472" s="26"/>
    </row>
    <row r="3473" spans="1:17" ht="15" x14ac:dyDescent="0.15">
      <c r="A3473" s="22"/>
      <c r="B3473" s="26" t="str">
        <f t="shared" si="216"/>
        <v/>
      </c>
      <c r="C3473" s="26" t="str">
        <f t="shared" si="217"/>
        <v/>
      </c>
      <c r="D3473" s="26" t="str">
        <f t="shared" si="218"/>
        <v/>
      </c>
      <c r="E3473" s="29"/>
      <c r="F3473" s="22"/>
      <c r="G3473" s="22"/>
      <c r="H3473" s="22"/>
      <c r="I3473" s="24"/>
      <c r="J3473" s="24"/>
      <c r="K3473" s="24"/>
      <c r="L3473" s="24"/>
      <c r="M3473" s="27" t="str">
        <f t="shared" si="219"/>
        <v/>
      </c>
      <c r="N3473" s="25"/>
      <c r="O3473" s="22"/>
      <c r="P3473" s="24"/>
      <c r="Q3473" s="26"/>
    </row>
    <row r="3474" spans="1:17" ht="15" x14ac:dyDescent="0.15">
      <c r="A3474" s="22"/>
      <c r="B3474" s="26" t="str">
        <f t="shared" si="216"/>
        <v/>
      </c>
      <c r="C3474" s="26" t="str">
        <f t="shared" si="217"/>
        <v/>
      </c>
      <c r="D3474" s="26" t="str">
        <f t="shared" si="218"/>
        <v/>
      </c>
      <c r="E3474" s="29"/>
      <c r="F3474" s="22"/>
      <c r="G3474" s="22"/>
      <c r="H3474" s="22"/>
      <c r="I3474" s="24"/>
      <c r="J3474" s="24"/>
      <c r="K3474" s="24"/>
      <c r="L3474" s="24"/>
      <c r="M3474" s="27" t="str">
        <f t="shared" si="219"/>
        <v/>
      </c>
      <c r="N3474" s="25"/>
      <c r="O3474" s="22"/>
      <c r="P3474" s="24"/>
      <c r="Q3474" s="26"/>
    </row>
    <row r="3475" spans="1:17" ht="15" x14ac:dyDescent="0.15">
      <c r="A3475" s="22"/>
      <c r="B3475" s="26" t="str">
        <f t="shared" si="216"/>
        <v/>
      </c>
      <c r="C3475" s="26" t="str">
        <f t="shared" si="217"/>
        <v/>
      </c>
      <c r="D3475" s="26" t="str">
        <f t="shared" si="218"/>
        <v/>
      </c>
      <c r="E3475" s="29"/>
      <c r="F3475" s="22"/>
      <c r="G3475" s="22"/>
      <c r="H3475" s="22"/>
      <c r="I3475" s="24"/>
      <c r="J3475" s="24"/>
      <c r="K3475" s="24"/>
      <c r="L3475" s="24"/>
      <c r="M3475" s="27" t="str">
        <f t="shared" si="219"/>
        <v/>
      </c>
      <c r="N3475" s="25"/>
      <c r="O3475" s="22"/>
      <c r="P3475" s="24"/>
      <c r="Q3475" s="26"/>
    </row>
    <row r="3476" spans="1:17" ht="15" x14ac:dyDescent="0.15">
      <c r="A3476" s="22"/>
      <c r="B3476" s="26" t="str">
        <f t="shared" si="216"/>
        <v/>
      </c>
      <c r="C3476" s="26" t="str">
        <f t="shared" si="217"/>
        <v/>
      </c>
      <c r="D3476" s="26" t="str">
        <f t="shared" si="218"/>
        <v/>
      </c>
      <c r="E3476" s="29"/>
      <c r="F3476" s="22"/>
      <c r="G3476" s="22"/>
      <c r="H3476" s="22"/>
      <c r="I3476" s="24"/>
      <c r="J3476" s="24"/>
      <c r="K3476" s="24"/>
      <c r="L3476" s="24"/>
      <c r="M3476" s="27" t="str">
        <f t="shared" si="219"/>
        <v/>
      </c>
      <c r="N3476" s="25"/>
      <c r="O3476" s="22"/>
      <c r="P3476" s="24"/>
      <c r="Q3476" s="26"/>
    </row>
    <row r="3477" spans="1:17" ht="15" x14ac:dyDescent="0.15">
      <c r="A3477" s="22"/>
      <c r="B3477" s="26" t="str">
        <f t="shared" si="216"/>
        <v/>
      </c>
      <c r="C3477" s="26" t="str">
        <f t="shared" si="217"/>
        <v/>
      </c>
      <c r="D3477" s="26" t="str">
        <f t="shared" si="218"/>
        <v/>
      </c>
      <c r="E3477" s="29"/>
      <c r="F3477" s="22"/>
      <c r="G3477" s="22"/>
      <c r="H3477" s="22"/>
      <c r="I3477" s="24"/>
      <c r="J3477" s="24"/>
      <c r="K3477" s="24"/>
      <c r="L3477" s="24"/>
      <c r="M3477" s="27" t="str">
        <f t="shared" si="219"/>
        <v/>
      </c>
      <c r="N3477" s="25"/>
      <c r="O3477" s="22"/>
      <c r="P3477" s="24"/>
      <c r="Q3477" s="26"/>
    </row>
    <row r="3478" spans="1:17" ht="15" x14ac:dyDescent="0.15">
      <c r="A3478" s="22"/>
      <c r="B3478" s="26" t="str">
        <f t="shared" si="216"/>
        <v/>
      </c>
      <c r="C3478" s="26" t="str">
        <f t="shared" si="217"/>
        <v/>
      </c>
      <c r="D3478" s="26" t="str">
        <f t="shared" si="218"/>
        <v/>
      </c>
      <c r="E3478" s="29"/>
      <c r="F3478" s="22"/>
      <c r="G3478" s="22"/>
      <c r="H3478" s="22"/>
      <c r="I3478" s="24"/>
      <c r="J3478" s="24"/>
      <c r="K3478" s="24"/>
      <c r="L3478" s="24"/>
      <c r="M3478" s="27" t="str">
        <f t="shared" si="219"/>
        <v/>
      </c>
      <c r="N3478" s="25"/>
      <c r="O3478" s="22"/>
      <c r="P3478" s="24"/>
      <c r="Q3478" s="26"/>
    </row>
    <row r="3479" spans="1:17" ht="15" x14ac:dyDescent="0.15">
      <c r="A3479" s="22"/>
      <c r="B3479" s="26" t="str">
        <f t="shared" si="216"/>
        <v/>
      </c>
      <c r="C3479" s="26" t="str">
        <f t="shared" si="217"/>
        <v/>
      </c>
      <c r="D3479" s="26" t="str">
        <f t="shared" si="218"/>
        <v/>
      </c>
      <c r="E3479" s="29"/>
      <c r="F3479" s="22"/>
      <c r="G3479" s="22"/>
      <c r="H3479" s="22"/>
      <c r="I3479" s="24"/>
      <c r="J3479" s="24"/>
      <c r="K3479" s="24"/>
      <c r="L3479" s="24"/>
      <c r="M3479" s="27" t="str">
        <f t="shared" si="219"/>
        <v/>
      </c>
      <c r="N3479" s="25"/>
      <c r="O3479" s="22"/>
      <c r="P3479" s="24"/>
      <c r="Q3479" s="26"/>
    </row>
    <row r="3480" spans="1:17" ht="15" x14ac:dyDescent="0.15">
      <c r="A3480" s="22"/>
      <c r="B3480" s="26" t="str">
        <f t="shared" si="216"/>
        <v/>
      </c>
      <c r="C3480" s="26" t="str">
        <f t="shared" si="217"/>
        <v/>
      </c>
      <c r="D3480" s="26" t="str">
        <f t="shared" si="218"/>
        <v/>
      </c>
      <c r="E3480" s="29"/>
      <c r="F3480" s="22"/>
      <c r="G3480" s="22"/>
      <c r="H3480" s="22"/>
      <c r="I3480" s="24"/>
      <c r="J3480" s="24"/>
      <c r="K3480" s="24"/>
      <c r="L3480" s="24"/>
      <c r="M3480" s="27" t="str">
        <f t="shared" si="219"/>
        <v/>
      </c>
      <c r="N3480" s="25"/>
      <c r="O3480" s="22"/>
      <c r="P3480" s="24"/>
      <c r="Q3480" s="26"/>
    </row>
    <row r="3481" spans="1:17" ht="15" x14ac:dyDescent="0.15">
      <c r="A3481" s="22"/>
      <c r="B3481" s="26" t="str">
        <f t="shared" si="216"/>
        <v/>
      </c>
      <c r="C3481" s="26" t="str">
        <f t="shared" si="217"/>
        <v/>
      </c>
      <c r="D3481" s="26" t="str">
        <f t="shared" si="218"/>
        <v/>
      </c>
      <c r="E3481" s="29"/>
      <c r="F3481" s="22"/>
      <c r="G3481" s="22"/>
      <c r="H3481" s="22"/>
      <c r="I3481" s="24"/>
      <c r="J3481" s="24"/>
      <c r="K3481" s="24"/>
      <c r="L3481" s="24"/>
      <c r="M3481" s="27" t="str">
        <f t="shared" si="219"/>
        <v/>
      </c>
      <c r="N3481" s="25"/>
      <c r="O3481" s="22"/>
      <c r="P3481" s="24"/>
      <c r="Q3481" s="26"/>
    </row>
    <row r="3482" spans="1:17" ht="15" x14ac:dyDescent="0.15">
      <c r="A3482" s="22"/>
      <c r="B3482" s="26" t="str">
        <f t="shared" si="216"/>
        <v/>
      </c>
      <c r="C3482" s="26" t="str">
        <f t="shared" si="217"/>
        <v/>
      </c>
      <c r="D3482" s="26" t="str">
        <f t="shared" si="218"/>
        <v/>
      </c>
      <c r="E3482" s="29"/>
      <c r="F3482" s="22"/>
      <c r="G3482" s="22"/>
      <c r="H3482" s="22"/>
      <c r="I3482" s="24"/>
      <c r="J3482" s="24"/>
      <c r="K3482" s="24"/>
      <c r="L3482" s="24"/>
      <c r="M3482" s="27" t="str">
        <f t="shared" si="219"/>
        <v/>
      </c>
      <c r="N3482" s="25"/>
      <c r="O3482" s="22"/>
      <c r="P3482" s="24"/>
      <c r="Q3482" s="26"/>
    </row>
    <row r="3483" spans="1:17" ht="15" x14ac:dyDescent="0.15">
      <c r="A3483" s="22"/>
      <c r="B3483" s="26" t="str">
        <f t="shared" si="216"/>
        <v/>
      </c>
      <c r="C3483" s="26" t="str">
        <f t="shared" si="217"/>
        <v/>
      </c>
      <c r="D3483" s="26" t="str">
        <f t="shared" si="218"/>
        <v/>
      </c>
      <c r="E3483" s="29"/>
      <c r="F3483" s="22"/>
      <c r="G3483" s="22"/>
      <c r="H3483" s="22"/>
      <c r="I3483" s="24"/>
      <c r="J3483" s="24"/>
      <c r="K3483" s="24"/>
      <c r="L3483" s="24"/>
      <c r="M3483" s="27" t="str">
        <f t="shared" si="219"/>
        <v/>
      </c>
      <c r="N3483" s="25"/>
      <c r="O3483" s="22"/>
      <c r="P3483" s="24"/>
      <c r="Q3483" s="26"/>
    </row>
    <row r="3484" spans="1:17" ht="15" x14ac:dyDescent="0.15">
      <c r="A3484" s="22"/>
      <c r="B3484" s="26" t="str">
        <f t="shared" si="216"/>
        <v/>
      </c>
      <c r="C3484" s="26" t="str">
        <f t="shared" si="217"/>
        <v/>
      </c>
      <c r="D3484" s="26" t="str">
        <f t="shared" si="218"/>
        <v/>
      </c>
      <c r="E3484" s="29"/>
      <c r="F3484" s="22"/>
      <c r="G3484" s="22"/>
      <c r="H3484" s="22"/>
      <c r="I3484" s="24"/>
      <c r="J3484" s="24"/>
      <c r="K3484" s="24"/>
      <c r="L3484" s="24"/>
      <c r="M3484" s="27" t="str">
        <f t="shared" si="219"/>
        <v/>
      </c>
      <c r="N3484" s="25"/>
      <c r="O3484" s="22"/>
      <c r="P3484" s="24"/>
      <c r="Q3484" s="26"/>
    </row>
    <row r="3485" spans="1:17" ht="15" x14ac:dyDescent="0.15">
      <c r="A3485" s="22"/>
      <c r="B3485" s="26" t="str">
        <f t="shared" si="216"/>
        <v/>
      </c>
      <c r="C3485" s="26" t="str">
        <f t="shared" si="217"/>
        <v/>
      </c>
      <c r="D3485" s="26" t="str">
        <f t="shared" si="218"/>
        <v/>
      </c>
      <c r="E3485" s="29"/>
      <c r="F3485" s="22"/>
      <c r="G3485" s="22"/>
      <c r="H3485" s="22"/>
      <c r="I3485" s="24"/>
      <c r="J3485" s="24"/>
      <c r="K3485" s="24"/>
      <c r="L3485" s="24"/>
      <c r="M3485" s="27" t="str">
        <f t="shared" si="219"/>
        <v/>
      </c>
      <c r="N3485" s="25"/>
      <c r="O3485" s="22"/>
      <c r="P3485" s="24"/>
      <c r="Q3485" s="26"/>
    </row>
    <row r="3486" spans="1:17" ht="15" x14ac:dyDescent="0.15">
      <c r="A3486" s="22"/>
      <c r="B3486" s="26" t="str">
        <f t="shared" si="216"/>
        <v/>
      </c>
      <c r="C3486" s="26" t="str">
        <f t="shared" si="217"/>
        <v/>
      </c>
      <c r="D3486" s="26" t="str">
        <f t="shared" si="218"/>
        <v/>
      </c>
      <c r="E3486" s="29"/>
      <c r="F3486" s="22"/>
      <c r="G3486" s="22"/>
      <c r="H3486" s="22"/>
      <c r="I3486" s="24"/>
      <c r="J3486" s="24"/>
      <c r="K3486" s="24"/>
      <c r="L3486" s="24"/>
      <c r="M3486" s="27" t="str">
        <f t="shared" si="219"/>
        <v/>
      </c>
      <c r="N3486" s="25"/>
      <c r="O3486" s="22"/>
      <c r="P3486" s="24"/>
      <c r="Q3486" s="26"/>
    </row>
    <row r="3487" spans="1:17" ht="15" x14ac:dyDescent="0.15">
      <c r="A3487" s="22"/>
      <c r="B3487" s="26" t="str">
        <f t="shared" si="216"/>
        <v/>
      </c>
      <c r="C3487" s="26" t="str">
        <f t="shared" si="217"/>
        <v/>
      </c>
      <c r="D3487" s="26" t="str">
        <f t="shared" si="218"/>
        <v/>
      </c>
      <c r="E3487" s="29"/>
      <c r="F3487" s="22"/>
      <c r="G3487" s="22"/>
      <c r="H3487" s="22"/>
      <c r="I3487" s="24"/>
      <c r="J3487" s="24"/>
      <c r="K3487" s="24"/>
      <c r="L3487" s="24"/>
      <c r="M3487" s="27" t="str">
        <f t="shared" si="219"/>
        <v/>
      </c>
      <c r="N3487" s="25"/>
      <c r="O3487" s="22"/>
      <c r="P3487" s="24"/>
      <c r="Q3487" s="26"/>
    </row>
    <row r="3488" spans="1:17" ht="15" x14ac:dyDescent="0.15">
      <c r="A3488" s="22"/>
      <c r="B3488" s="26" t="str">
        <f t="shared" si="216"/>
        <v/>
      </c>
      <c r="C3488" s="26" t="str">
        <f t="shared" si="217"/>
        <v/>
      </c>
      <c r="D3488" s="26" t="str">
        <f t="shared" si="218"/>
        <v/>
      </c>
      <c r="E3488" s="29"/>
      <c r="F3488" s="22"/>
      <c r="G3488" s="22"/>
      <c r="H3488" s="22"/>
      <c r="I3488" s="24"/>
      <c r="J3488" s="24"/>
      <c r="K3488" s="24"/>
      <c r="L3488" s="24"/>
      <c r="M3488" s="27" t="str">
        <f t="shared" si="219"/>
        <v/>
      </c>
      <c r="N3488" s="25"/>
      <c r="O3488" s="22"/>
      <c r="P3488" s="24"/>
      <c r="Q3488" s="26"/>
    </row>
    <row r="3489" spans="1:17" ht="15" x14ac:dyDescent="0.15">
      <c r="A3489" s="22"/>
      <c r="B3489" s="26" t="str">
        <f t="shared" si="216"/>
        <v/>
      </c>
      <c r="C3489" s="26" t="str">
        <f t="shared" si="217"/>
        <v/>
      </c>
      <c r="D3489" s="26" t="str">
        <f t="shared" si="218"/>
        <v/>
      </c>
      <c r="E3489" s="29"/>
      <c r="F3489" s="22"/>
      <c r="G3489" s="22"/>
      <c r="H3489" s="22"/>
      <c r="I3489" s="24"/>
      <c r="J3489" s="24"/>
      <c r="K3489" s="24"/>
      <c r="L3489" s="24"/>
      <c r="M3489" s="27" t="str">
        <f t="shared" si="219"/>
        <v/>
      </c>
      <c r="N3489" s="25"/>
      <c r="O3489" s="22"/>
      <c r="P3489" s="24"/>
      <c r="Q3489" s="26"/>
    </row>
    <row r="3490" spans="1:17" ht="15" x14ac:dyDescent="0.15">
      <c r="A3490" s="22"/>
      <c r="B3490" s="26" t="str">
        <f t="shared" si="216"/>
        <v/>
      </c>
      <c r="C3490" s="26" t="str">
        <f t="shared" si="217"/>
        <v/>
      </c>
      <c r="D3490" s="26" t="str">
        <f t="shared" si="218"/>
        <v/>
      </c>
      <c r="E3490" s="29"/>
      <c r="F3490" s="22"/>
      <c r="G3490" s="22"/>
      <c r="H3490" s="22"/>
      <c r="I3490" s="24"/>
      <c r="J3490" s="24"/>
      <c r="K3490" s="24"/>
      <c r="L3490" s="24"/>
      <c r="M3490" s="27" t="str">
        <f t="shared" si="219"/>
        <v/>
      </c>
      <c r="N3490" s="25"/>
      <c r="O3490" s="22"/>
      <c r="P3490" s="24"/>
      <c r="Q3490" s="26"/>
    </row>
    <row r="3491" spans="1:17" ht="15" x14ac:dyDescent="0.15">
      <c r="A3491" s="22"/>
      <c r="B3491" s="26" t="str">
        <f t="shared" si="216"/>
        <v/>
      </c>
      <c r="C3491" s="26" t="str">
        <f t="shared" si="217"/>
        <v/>
      </c>
      <c r="D3491" s="26" t="str">
        <f t="shared" si="218"/>
        <v/>
      </c>
      <c r="E3491" s="29"/>
      <c r="F3491" s="22"/>
      <c r="G3491" s="22"/>
      <c r="H3491" s="22"/>
      <c r="I3491" s="24"/>
      <c r="J3491" s="24"/>
      <c r="K3491" s="24"/>
      <c r="L3491" s="24"/>
      <c r="M3491" s="27" t="str">
        <f t="shared" si="219"/>
        <v/>
      </c>
      <c r="N3491" s="25"/>
      <c r="O3491" s="22"/>
      <c r="P3491" s="24"/>
      <c r="Q3491" s="26"/>
    </row>
    <row r="3492" spans="1:17" ht="15" x14ac:dyDescent="0.15">
      <c r="A3492" s="22"/>
      <c r="B3492" s="26" t="str">
        <f t="shared" si="216"/>
        <v/>
      </c>
      <c r="C3492" s="26" t="str">
        <f t="shared" si="217"/>
        <v/>
      </c>
      <c r="D3492" s="26" t="str">
        <f t="shared" si="218"/>
        <v/>
      </c>
      <c r="E3492" s="29"/>
      <c r="F3492" s="22"/>
      <c r="G3492" s="22"/>
      <c r="H3492" s="22"/>
      <c r="I3492" s="24"/>
      <c r="J3492" s="24"/>
      <c r="K3492" s="24"/>
      <c r="L3492" s="24"/>
      <c r="M3492" s="27" t="str">
        <f t="shared" si="219"/>
        <v/>
      </c>
      <c r="N3492" s="25"/>
      <c r="O3492" s="22"/>
      <c r="P3492" s="24"/>
      <c r="Q3492" s="26"/>
    </row>
    <row r="3493" spans="1:17" ht="15" x14ac:dyDescent="0.15">
      <c r="A3493" s="22"/>
      <c r="B3493" s="26" t="str">
        <f t="shared" si="216"/>
        <v/>
      </c>
      <c r="C3493" s="26" t="str">
        <f t="shared" si="217"/>
        <v/>
      </c>
      <c r="D3493" s="26" t="str">
        <f t="shared" si="218"/>
        <v/>
      </c>
      <c r="E3493" s="29"/>
      <c r="F3493" s="22"/>
      <c r="G3493" s="22"/>
      <c r="H3493" s="22"/>
      <c r="I3493" s="24"/>
      <c r="J3493" s="24"/>
      <c r="K3493" s="24"/>
      <c r="L3493" s="24"/>
      <c r="M3493" s="27" t="str">
        <f t="shared" si="219"/>
        <v/>
      </c>
      <c r="N3493" s="25"/>
      <c r="O3493" s="22"/>
      <c r="P3493" s="24"/>
      <c r="Q3493" s="26"/>
    </row>
    <row r="3494" spans="1:17" ht="15" x14ac:dyDescent="0.15">
      <c r="A3494" s="22"/>
      <c r="B3494" s="26" t="str">
        <f t="shared" si="216"/>
        <v/>
      </c>
      <c r="C3494" s="26" t="str">
        <f t="shared" si="217"/>
        <v/>
      </c>
      <c r="D3494" s="26" t="str">
        <f t="shared" si="218"/>
        <v/>
      </c>
      <c r="E3494" s="29"/>
      <c r="F3494" s="22"/>
      <c r="G3494" s="22"/>
      <c r="H3494" s="22"/>
      <c r="I3494" s="24"/>
      <c r="J3494" s="24"/>
      <c r="K3494" s="24"/>
      <c r="L3494" s="24"/>
      <c r="M3494" s="27" t="str">
        <f t="shared" si="219"/>
        <v/>
      </c>
      <c r="N3494" s="25"/>
      <c r="O3494" s="22"/>
      <c r="P3494" s="24"/>
      <c r="Q3494" s="26"/>
    </row>
    <row r="3495" spans="1:17" ht="15" x14ac:dyDescent="0.15">
      <c r="A3495" s="22"/>
      <c r="B3495" s="26" t="str">
        <f t="shared" si="216"/>
        <v/>
      </c>
      <c r="C3495" s="26" t="str">
        <f t="shared" si="217"/>
        <v/>
      </c>
      <c r="D3495" s="26" t="str">
        <f t="shared" si="218"/>
        <v/>
      </c>
      <c r="E3495" s="29"/>
      <c r="F3495" s="22"/>
      <c r="G3495" s="22"/>
      <c r="H3495" s="22"/>
      <c r="I3495" s="24"/>
      <c r="J3495" s="24"/>
      <c r="K3495" s="24"/>
      <c r="L3495" s="24"/>
      <c r="M3495" s="27" t="str">
        <f t="shared" si="219"/>
        <v/>
      </c>
      <c r="N3495" s="25"/>
      <c r="O3495" s="22"/>
      <c r="P3495" s="24"/>
      <c r="Q3495" s="26"/>
    </row>
    <row r="3496" spans="1:17" ht="15" x14ac:dyDescent="0.15">
      <c r="A3496" s="22"/>
      <c r="B3496" s="26" t="str">
        <f t="shared" si="216"/>
        <v/>
      </c>
      <c r="C3496" s="26" t="str">
        <f t="shared" si="217"/>
        <v/>
      </c>
      <c r="D3496" s="26" t="str">
        <f t="shared" si="218"/>
        <v/>
      </c>
      <c r="E3496" s="29"/>
      <c r="F3496" s="22"/>
      <c r="G3496" s="22"/>
      <c r="H3496" s="22"/>
      <c r="I3496" s="24"/>
      <c r="J3496" s="24"/>
      <c r="K3496" s="24"/>
      <c r="L3496" s="24"/>
      <c r="M3496" s="27" t="str">
        <f t="shared" si="219"/>
        <v/>
      </c>
      <c r="N3496" s="25"/>
      <c r="O3496" s="22"/>
      <c r="P3496" s="24"/>
      <c r="Q3496" s="26"/>
    </row>
    <row r="3497" spans="1:17" ht="15" x14ac:dyDescent="0.15">
      <c r="A3497" s="22"/>
      <c r="B3497" s="26" t="str">
        <f t="shared" si="216"/>
        <v/>
      </c>
      <c r="C3497" s="26" t="str">
        <f t="shared" si="217"/>
        <v/>
      </c>
      <c r="D3497" s="26" t="str">
        <f t="shared" si="218"/>
        <v/>
      </c>
      <c r="E3497" s="29"/>
      <c r="F3497" s="22"/>
      <c r="G3497" s="22"/>
      <c r="H3497" s="22"/>
      <c r="I3497" s="24"/>
      <c r="J3497" s="24"/>
      <c r="K3497" s="24"/>
      <c r="L3497" s="24"/>
      <c r="M3497" s="27" t="str">
        <f t="shared" si="219"/>
        <v/>
      </c>
      <c r="N3497" s="25"/>
      <c r="O3497" s="22"/>
      <c r="P3497" s="24"/>
      <c r="Q3497" s="26"/>
    </row>
    <row r="3498" spans="1:17" ht="15" x14ac:dyDescent="0.15">
      <c r="A3498" s="22"/>
      <c r="B3498" s="26" t="str">
        <f t="shared" si="216"/>
        <v/>
      </c>
      <c r="C3498" s="26" t="str">
        <f t="shared" si="217"/>
        <v/>
      </c>
      <c r="D3498" s="26" t="str">
        <f t="shared" si="218"/>
        <v/>
      </c>
      <c r="E3498" s="29"/>
      <c r="F3498" s="22"/>
      <c r="G3498" s="22"/>
      <c r="H3498" s="22"/>
      <c r="I3498" s="24"/>
      <c r="J3498" s="24"/>
      <c r="K3498" s="24"/>
      <c r="L3498" s="24"/>
      <c r="M3498" s="27" t="str">
        <f t="shared" si="219"/>
        <v/>
      </c>
      <c r="N3498" s="25"/>
      <c r="O3498" s="22"/>
      <c r="P3498" s="24"/>
      <c r="Q3498" s="26"/>
    </row>
    <row r="3499" spans="1:17" ht="15" x14ac:dyDescent="0.15">
      <c r="A3499" s="22"/>
      <c r="B3499" s="26" t="str">
        <f t="shared" si="216"/>
        <v/>
      </c>
      <c r="C3499" s="26" t="str">
        <f t="shared" si="217"/>
        <v/>
      </c>
      <c r="D3499" s="26" t="str">
        <f t="shared" si="218"/>
        <v/>
      </c>
      <c r="E3499" s="29"/>
      <c r="F3499" s="22"/>
      <c r="G3499" s="22"/>
      <c r="H3499" s="22"/>
      <c r="I3499" s="24"/>
      <c r="J3499" s="24"/>
      <c r="K3499" s="24"/>
      <c r="L3499" s="24"/>
      <c r="M3499" s="27" t="str">
        <f t="shared" si="219"/>
        <v/>
      </c>
      <c r="N3499" s="25"/>
      <c r="O3499" s="22"/>
      <c r="P3499" s="24"/>
      <c r="Q3499" s="26"/>
    </row>
    <row r="3500" spans="1:17" ht="15" x14ac:dyDescent="0.15">
      <c r="A3500" s="22"/>
      <c r="B3500" s="26" t="str">
        <f t="shared" si="216"/>
        <v/>
      </c>
      <c r="C3500" s="26" t="str">
        <f t="shared" si="217"/>
        <v/>
      </c>
      <c r="D3500" s="26" t="str">
        <f t="shared" si="218"/>
        <v/>
      </c>
      <c r="E3500" s="29"/>
      <c r="F3500" s="22"/>
      <c r="G3500" s="22"/>
      <c r="H3500" s="22"/>
      <c r="I3500" s="24"/>
      <c r="J3500" s="24"/>
      <c r="K3500" s="24"/>
      <c r="L3500" s="24"/>
      <c r="M3500" s="27" t="str">
        <f t="shared" si="219"/>
        <v/>
      </c>
      <c r="N3500" s="25"/>
      <c r="O3500" s="22"/>
      <c r="P3500" s="24"/>
      <c r="Q3500" s="26"/>
    </row>
    <row r="3501" spans="1:17" ht="15" x14ac:dyDescent="0.15">
      <c r="A3501" s="22"/>
      <c r="B3501" s="26" t="str">
        <f t="shared" si="216"/>
        <v/>
      </c>
      <c r="C3501" s="26" t="str">
        <f t="shared" si="217"/>
        <v/>
      </c>
      <c r="D3501" s="26" t="str">
        <f t="shared" si="218"/>
        <v/>
      </c>
      <c r="E3501" s="29"/>
      <c r="F3501" s="22"/>
      <c r="G3501" s="22"/>
      <c r="H3501" s="22"/>
      <c r="I3501" s="24"/>
      <c r="J3501" s="24"/>
      <c r="K3501" s="24"/>
      <c r="L3501" s="24"/>
      <c r="M3501" s="27" t="str">
        <f t="shared" si="219"/>
        <v/>
      </c>
      <c r="N3501" s="25"/>
      <c r="O3501" s="22"/>
      <c r="P3501" s="24"/>
      <c r="Q3501" s="26"/>
    </row>
    <row r="3502" spans="1:17" ht="15" x14ac:dyDescent="0.15">
      <c r="A3502" s="22"/>
      <c r="B3502" s="26" t="str">
        <f t="shared" si="216"/>
        <v/>
      </c>
      <c r="C3502" s="26" t="str">
        <f t="shared" si="217"/>
        <v/>
      </c>
      <c r="D3502" s="26" t="str">
        <f t="shared" si="218"/>
        <v/>
      </c>
      <c r="E3502" s="29"/>
      <c r="F3502" s="22"/>
      <c r="G3502" s="22"/>
      <c r="H3502" s="22"/>
      <c r="I3502" s="24"/>
      <c r="J3502" s="24"/>
      <c r="K3502" s="24"/>
      <c r="L3502" s="24"/>
      <c r="M3502" s="27" t="str">
        <f t="shared" si="219"/>
        <v/>
      </c>
      <c r="N3502" s="25"/>
      <c r="O3502" s="22"/>
      <c r="P3502" s="24"/>
      <c r="Q3502" s="26"/>
    </row>
    <row r="3503" spans="1:17" ht="15" x14ac:dyDescent="0.15">
      <c r="A3503" s="22"/>
      <c r="B3503" s="26" t="str">
        <f t="shared" si="216"/>
        <v/>
      </c>
      <c r="C3503" s="26" t="str">
        <f t="shared" si="217"/>
        <v/>
      </c>
      <c r="D3503" s="26" t="str">
        <f t="shared" si="218"/>
        <v/>
      </c>
      <c r="E3503" s="29"/>
      <c r="F3503" s="22"/>
      <c r="G3503" s="22"/>
      <c r="H3503" s="22"/>
      <c r="I3503" s="24"/>
      <c r="J3503" s="24"/>
      <c r="K3503" s="24"/>
      <c r="L3503" s="24"/>
      <c r="M3503" s="27" t="str">
        <f t="shared" si="219"/>
        <v/>
      </c>
      <c r="N3503" s="25"/>
      <c r="O3503" s="22"/>
      <c r="P3503" s="24"/>
      <c r="Q3503" s="26"/>
    </row>
    <row r="3504" spans="1:17" ht="15" x14ac:dyDescent="0.15">
      <c r="A3504" s="22"/>
      <c r="B3504" s="26" t="str">
        <f t="shared" si="216"/>
        <v/>
      </c>
      <c r="C3504" s="26" t="str">
        <f t="shared" si="217"/>
        <v/>
      </c>
      <c r="D3504" s="26" t="str">
        <f t="shared" si="218"/>
        <v/>
      </c>
      <c r="E3504" s="29"/>
      <c r="F3504" s="22"/>
      <c r="G3504" s="22"/>
      <c r="H3504" s="22"/>
      <c r="I3504" s="24"/>
      <c r="J3504" s="24"/>
      <c r="K3504" s="24"/>
      <c r="L3504" s="24"/>
      <c r="M3504" s="27" t="str">
        <f t="shared" si="219"/>
        <v/>
      </c>
      <c r="N3504" s="25"/>
      <c r="O3504" s="22"/>
      <c r="P3504" s="24"/>
      <c r="Q3504" s="26"/>
    </row>
    <row r="3505" spans="1:17" ht="15" x14ac:dyDescent="0.15">
      <c r="A3505" s="22"/>
      <c r="B3505" s="26" t="str">
        <f t="shared" si="216"/>
        <v/>
      </c>
      <c r="C3505" s="26" t="str">
        <f t="shared" si="217"/>
        <v/>
      </c>
      <c r="D3505" s="26" t="str">
        <f t="shared" si="218"/>
        <v/>
      </c>
      <c r="E3505" s="29"/>
      <c r="F3505" s="22"/>
      <c r="G3505" s="22"/>
      <c r="H3505" s="22"/>
      <c r="I3505" s="24"/>
      <c r="J3505" s="24"/>
      <c r="K3505" s="24"/>
      <c r="L3505" s="24"/>
      <c r="M3505" s="27" t="str">
        <f t="shared" si="219"/>
        <v/>
      </c>
      <c r="N3505" s="25"/>
      <c r="O3505" s="22"/>
      <c r="P3505" s="24"/>
      <c r="Q3505" s="26"/>
    </row>
    <row r="3506" spans="1:17" ht="15" x14ac:dyDescent="0.15">
      <c r="A3506" s="22"/>
      <c r="B3506" s="26" t="str">
        <f t="shared" si="216"/>
        <v/>
      </c>
      <c r="C3506" s="26" t="str">
        <f t="shared" si="217"/>
        <v/>
      </c>
      <c r="D3506" s="26" t="str">
        <f t="shared" si="218"/>
        <v/>
      </c>
      <c r="E3506" s="29"/>
      <c r="F3506" s="22"/>
      <c r="G3506" s="22"/>
      <c r="H3506" s="22"/>
      <c r="I3506" s="24"/>
      <c r="J3506" s="24"/>
      <c r="K3506" s="24"/>
      <c r="L3506" s="24"/>
      <c r="M3506" s="27" t="str">
        <f t="shared" si="219"/>
        <v/>
      </c>
      <c r="N3506" s="25"/>
      <c r="O3506" s="22"/>
      <c r="P3506" s="24"/>
      <c r="Q3506" s="26"/>
    </row>
    <row r="3507" spans="1:17" ht="15" x14ac:dyDescent="0.15">
      <c r="A3507" s="22"/>
      <c r="B3507" s="26" t="str">
        <f t="shared" si="216"/>
        <v/>
      </c>
      <c r="C3507" s="26" t="str">
        <f t="shared" si="217"/>
        <v/>
      </c>
      <c r="D3507" s="26" t="str">
        <f t="shared" si="218"/>
        <v/>
      </c>
      <c r="E3507" s="29"/>
      <c r="F3507" s="22"/>
      <c r="G3507" s="22"/>
      <c r="H3507" s="22"/>
      <c r="I3507" s="24"/>
      <c r="J3507" s="24"/>
      <c r="K3507" s="24"/>
      <c r="L3507" s="24"/>
      <c r="M3507" s="27" t="str">
        <f t="shared" si="219"/>
        <v/>
      </c>
      <c r="N3507" s="25"/>
      <c r="O3507" s="22"/>
      <c r="P3507" s="24"/>
      <c r="Q3507" s="26"/>
    </row>
    <row r="3508" spans="1:17" ht="15" x14ac:dyDescent="0.15">
      <c r="A3508" s="22"/>
      <c r="B3508" s="26" t="str">
        <f t="shared" si="216"/>
        <v/>
      </c>
      <c r="C3508" s="26" t="str">
        <f t="shared" si="217"/>
        <v/>
      </c>
      <c r="D3508" s="26" t="str">
        <f t="shared" si="218"/>
        <v/>
      </c>
      <c r="E3508" s="29"/>
      <c r="F3508" s="22"/>
      <c r="G3508" s="22"/>
      <c r="H3508" s="22"/>
      <c r="I3508" s="24"/>
      <c r="J3508" s="24"/>
      <c r="K3508" s="24"/>
      <c r="L3508" s="24"/>
      <c r="M3508" s="27" t="str">
        <f t="shared" si="219"/>
        <v/>
      </c>
      <c r="N3508" s="25"/>
      <c r="O3508" s="22"/>
      <c r="P3508" s="24"/>
      <c r="Q3508" s="26"/>
    </row>
    <row r="3509" spans="1:17" ht="15" x14ac:dyDescent="0.15">
      <c r="A3509" s="22"/>
      <c r="B3509" s="26" t="str">
        <f t="shared" si="216"/>
        <v/>
      </c>
      <c r="C3509" s="26" t="str">
        <f t="shared" si="217"/>
        <v/>
      </c>
      <c r="D3509" s="26" t="str">
        <f t="shared" si="218"/>
        <v/>
      </c>
      <c r="E3509" s="29"/>
      <c r="F3509" s="22"/>
      <c r="G3509" s="22"/>
      <c r="H3509" s="22"/>
      <c r="I3509" s="24"/>
      <c r="J3509" s="24"/>
      <c r="K3509" s="24"/>
      <c r="L3509" s="24"/>
      <c r="M3509" s="27" t="str">
        <f t="shared" si="219"/>
        <v/>
      </c>
      <c r="N3509" s="25"/>
      <c r="O3509" s="22"/>
      <c r="P3509" s="24"/>
      <c r="Q3509" s="26"/>
    </row>
    <row r="3510" spans="1:17" ht="15" x14ac:dyDescent="0.15">
      <c r="A3510" s="22"/>
      <c r="B3510" s="26" t="str">
        <f t="shared" si="216"/>
        <v/>
      </c>
      <c r="C3510" s="26" t="str">
        <f t="shared" si="217"/>
        <v/>
      </c>
      <c r="D3510" s="26" t="str">
        <f t="shared" si="218"/>
        <v/>
      </c>
      <c r="E3510" s="29"/>
      <c r="F3510" s="22"/>
      <c r="G3510" s="22"/>
      <c r="H3510" s="22"/>
      <c r="I3510" s="24"/>
      <c r="J3510" s="24"/>
      <c r="K3510" s="24"/>
      <c r="L3510" s="24"/>
      <c r="M3510" s="27" t="str">
        <f t="shared" si="219"/>
        <v/>
      </c>
      <c r="N3510" s="25"/>
      <c r="O3510" s="22"/>
      <c r="P3510" s="24"/>
      <c r="Q3510" s="26"/>
    </row>
    <row r="3511" spans="1:17" ht="15" x14ac:dyDescent="0.15">
      <c r="A3511" s="22"/>
      <c r="B3511" s="26" t="str">
        <f t="shared" si="216"/>
        <v/>
      </c>
      <c r="C3511" s="26" t="str">
        <f t="shared" si="217"/>
        <v/>
      </c>
      <c r="D3511" s="26" t="str">
        <f t="shared" si="218"/>
        <v/>
      </c>
      <c r="E3511" s="29"/>
      <c r="F3511" s="22"/>
      <c r="G3511" s="22"/>
      <c r="H3511" s="22"/>
      <c r="I3511" s="24"/>
      <c r="J3511" s="24"/>
      <c r="K3511" s="24"/>
      <c r="L3511" s="24"/>
      <c r="M3511" s="27" t="str">
        <f t="shared" si="219"/>
        <v/>
      </c>
      <c r="N3511" s="25"/>
      <c r="O3511" s="22"/>
      <c r="P3511" s="24"/>
      <c r="Q3511" s="26"/>
    </row>
    <row r="3512" spans="1:17" ht="15" x14ac:dyDescent="0.15">
      <c r="A3512" s="22"/>
      <c r="B3512" s="26" t="str">
        <f t="shared" si="216"/>
        <v/>
      </c>
      <c r="C3512" s="26" t="str">
        <f t="shared" si="217"/>
        <v/>
      </c>
      <c r="D3512" s="26" t="str">
        <f t="shared" si="218"/>
        <v/>
      </c>
      <c r="E3512" s="29"/>
      <c r="F3512" s="22"/>
      <c r="G3512" s="22"/>
      <c r="H3512" s="22"/>
      <c r="I3512" s="24"/>
      <c r="J3512" s="24"/>
      <c r="K3512" s="24"/>
      <c r="L3512" s="24"/>
      <c r="M3512" s="27" t="str">
        <f t="shared" si="219"/>
        <v/>
      </c>
      <c r="N3512" s="25"/>
      <c r="O3512" s="22"/>
      <c r="P3512" s="24"/>
      <c r="Q3512" s="26"/>
    </row>
    <row r="3513" spans="1:17" ht="15" x14ac:dyDescent="0.15">
      <c r="A3513" s="22"/>
      <c r="B3513" s="26" t="str">
        <f t="shared" si="216"/>
        <v/>
      </c>
      <c r="C3513" s="26" t="str">
        <f t="shared" si="217"/>
        <v/>
      </c>
      <c r="D3513" s="26" t="str">
        <f t="shared" si="218"/>
        <v/>
      </c>
      <c r="E3513" s="29"/>
      <c r="F3513" s="22"/>
      <c r="G3513" s="22"/>
      <c r="H3513" s="22"/>
      <c r="I3513" s="24"/>
      <c r="J3513" s="24"/>
      <c r="K3513" s="24"/>
      <c r="L3513" s="24"/>
      <c r="M3513" s="27" t="str">
        <f t="shared" si="219"/>
        <v/>
      </c>
      <c r="N3513" s="25"/>
      <c r="O3513" s="22"/>
      <c r="P3513" s="24"/>
      <c r="Q3513" s="26"/>
    </row>
    <row r="3514" spans="1:17" ht="15" x14ac:dyDescent="0.15">
      <c r="A3514" s="22"/>
      <c r="B3514" s="26" t="str">
        <f t="shared" si="216"/>
        <v/>
      </c>
      <c r="C3514" s="26" t="str">
        <f t="shared" si="217"/>
        <v/>
      </c>
      <c r="D3514" s="26" t="str">
        <f t="shared" si="218"/>
        <v/>
      </c>
      <c r="E3514" s="29"/>
      <c r="F3514" s="22"/>
      <c r="G3514" s="22"/>
      <c r="H3514" s="22"/>
      <c r="I3514" s="24"/>
      <c r="J3514" s="24"/>
      <c r="K3514" s="24"/>
      <c r="L3514" s="24"/>
      <c r="M3514" s="27" t="str">
        <f t="shared" si="219"/>
        <v/>
      </c>
      <c r="N3514" s="25"/>
      <c r="O3514" s="22"/>
      <c r="P3514" s="24"/>
      <c r="Q3514" s="26"/>
    </row>
    <row r="3515" spans="1:17" ht="15" x14ac:dyDescent="0.15">
      <c r="A3515" s="22"/>
      <c r="B3515" s="26" t="str">
        <f t="shared" si="216"/>
        <v/>
      </c>
      <c r="C3515" s="26" t="str">
        <f t="shared" si="217"/>
        <v/>
      </c>
      <c r="D3515" s="26" t="str">
        <f t="shared" si="218"/>
        <v/>
      </c>
      <c r="E3515" s="29"/>
      <c r="F3515" s="22"/>
      <c r="G3515" s="22"/>
      <c r="H3515" s="22"/>
      <c r="I3515" s="24"/>
      <c r="J3515" s="24"/>
      <c r="K3515" s="24"/>
      <c r="L3515" s="24"/>
      <c r="M3515" s="27" t="str">
        <f t="shared" si="219"/>
        <v/>
      </c>
      <c r="N3515" s="25"/>
      <c r="O3515" s="22"/>
      <c r="P3515" s="24"/>
      <c r="Q3515" s="26"/>
    </row>
    <row r="3516" spans="1:17" ht="15" x14ac:dyDescent="0.15">
      <c r="A3516" s="22"/>
      <c r="B3516" s="26" t="str">
        <f t="shared" si="216"/>
        <v/>
      </c>
      <c r="C3516" s="26" t="str">
        <f t="shared" si="217"/>
        <v/>
      </c>
      <c r="D3516" s="26" t="str">
        <f t="shared" si="218"/>
        <v/>
      </c>
      <c r="E3516" s="29"/>
      <c r="F3516" s="22"/>
      <c r="G3516" s="22"/>
      <c r="H3516" s="22"/>
      <c r="I3516" s="24"/>
      <c r="J3516" s="24"/>
      <c r="K3516" s="24"/>
      <c r="L3516" s="24"/>
      <c r="M3516" s="27" t="str">
        <f t="shared" si="219"/>
        <v/>
      </c>
      <c r="N3516" s="25"/>
      <c r="O3516" s="22"/>
      <c r="P3516" s="24"/>
      <c r="Q3516" s="26"/>
    </row>
    <row r="3517" spans="1:17" ht="15" x14ac:dyDescent="0.15">
      <c r="A3517" s="22"/>
      <c r="B3517" s="26" t="str">
        <f t="shared" si="216"/>
        <v/>
      </c>
      <c r="C3517" s="26" t="str">
        <f t="shared" si="217"/>
        <v/>
      </c>
      <c r="D3517" s="26" t="str">
        <f t="shared" si="218"/>
        <v/>
      </c>
      <c r="E3517" s="29"/>
      <c r="F3517" s="22"/>
      <c r="G3517" s="22"/>
      <c r="H3517" s="22"/>
      <c r="I3517" s="24"/>
      <c r="J3517" s="24"/>
      <c r="K3517" s="24"/>
      <c r="L3517" s="24"/>
      <c r="M3517" s="27" t="str">
        <f t="shared" si="219"/>
        <v/>
      </c>
      <c r="N3517" s="25"/>
      <c r="O3517" s="22"/>
      <c r="P3517" s="24"/>
      <c r="Q3517" s="26"/>
    </row>
    <row r="3518" spans="1:17" ht="15" x14ac:dyDescent="0.15">
      <c r="A3518" s="22"/>
      <c r="B3518" s="26" t="str">
        <f t="shared" si="216"/>
        <v/>
      </c>
      <c r="C3518" s="26" t="str">
        <f t="shared" si="217"/>
        <v/>
      </c>
      <c r="D3518" s="26" t="str">
        <f t="shared" si="218"/>
        <v/>
      </c>
      <c r="E3518" s="29"/>
      <c r="F3518" s="22"/>
      <c r="G3518" s="22"/>
      <c r="H3518" s="22"/>
      <c r="I3518" s="24"/>
      <c r="J3518" s="24"/>
      <c r="K3518" s="24"/>
      <c r="L3518" s="24"/>
      <c r="M3518" s="27" t="str">
        <f t="shared" si="219"/>
        <v/>
      </c>
      <c r="N3518" s="25"/>
      <c r="O3518" s="22"/>
      <c r="P3518" s="24"/>
      <c r="Q3518" s="26"/>
    </row>
    <row r="3519" spans="1:17" ht="15" x14ac:dyDescent="0.15">
      <c r="A3519" s="22"/>
      <c r="B3519" s="26" t="str">
        <f t="shared" si="216"/>
        <v/>
      </c>
      <c r="C3519" s="26" t="str">
        <f t="shared" si="217"/>
        <v/>
      </c>
      <c r="D3519" s="26" t="str">
        <f t="shared" si="218"/>
        <v/>
      </c>
      <c r="E3519" s="29"/>
      <c r="F3519" s="22"/>
      <c r="G3519" s="22"/>
      <c r="H3519" s="22"/>
      <c r="I3519" s="24"/>
      <c r="J3519" s="24"/>
      <c r="K3519" s="24"/>
      <c r="L3519" s="24"/>
      <c r="M3519" s="27" t="str">
        <f t="shared" si="219"/>
        <v/>
      </c>
      <c r="N3519" s="25"/>
      <c r="O3519" s="22"/>
      <c r="P3519" s="24"/>
      <c r="Q3519" s="26"/>
    </row>
    <row r="3520" spans="1:17" ht="15" x14ac:dyDescent="0.15">
      <c r="A3520" s="22"/>
      <c r="B3520" s="26" t="str">
        <f t="shared" si="216"/>
        <v/>
      </c>
      <c r="C3520" s="26" t="str">
        <f t="shared" si="217"/>
        <v/>
      </c>
      <c r="D3520" s="26" t="str">
        <f t="shared" si="218"/>
        <v/>
      </c>
      <c r="E3520" s="29"/>
      <c r="F3520" s="22"/>
      <c r="G3520" s="22"/>
      <c r="H3520" s="22"/>
      <c r="I3520" s="24"/>
      <c r="J3520" s="24"/>
      <c r="K3520" s="24"/>
      <c r="L3520" s="24"/>
      <c r="M3520" s="27" t="str">
        <f t="shared" si="219"/>
        <v/>
      </c>
      <c r="N3520" s="25"/>
      <c r="O3520" s="22"/>
      <c r="P3520" s="24"/>
      <c r="Q3520" s="26"/>
    </row>
    <row r="3521" spans="1:17" ht="15" x14ac:dyDescent="0.15">
      <c r="A3521" s="22"/>
      <c r="B3521" s="26" t="str">
        <f t="shared" si="216"/>
        <v/>
      </c>
      <c r="C3521" s="26" t="str">
        <f t="shared" si="217"/>
        <v/>
      </c>
      <c r="D3521" s="26" t="str">
        <f t="shared" si="218"/>
        <v/>
      </c>
      <c r="E3521" s="29"/>
      <c r="F3521" s="22"/>
      <c r="G3521" s="22"/>
      <c r="H3521" s="22"/>
      <c r="I3521" s="24"/>
      <c r="J3521" s="24"/>
      <c r="K3521" s="24"/>
      <c r="L3521" s="24"/>
      <c r="M3521" s="27" t="str">
        <f t="shared" si="219"/>
        <v/>
      </c>
      <c r="N3521" s="25"/>
      <c r="O3521" s="22"/>
      <c r="P3521" s="24"/>
      <c r="Q3521" s="26"/>
    </row>
    <row r="3522" spans="1:17" ht="15" x14ac:dyDescent="0.15">
      <c r="A3522" s="22"/>
      <c r="B3522" s="26" t="str">
        <f t="shared" si="216"/>
        <v/>
      </c>
      <c r="C3522" s="26" t="str">
        <f t="shared" si="217"/>
        <v/>
      </c>
      <c r="D3522" s="26" t="str">
        <f t="shared" si="218"/>
        <v/>
      </c>
      <c r="E3522" s="29"/>
      <c r="F3522" s="22"/>
      <c r="G3522" s="22"/>
      <c r="H3522" s="22"/>
      <c r="I3522" s="24"/>
      <c r="J3522" s="24"/>
      <c r="K3522" s="24"/>
      <c r="L3522" s="24"/>
      <c r="M3522" s="27" t="str">
        <f t="shared" si="219"/>
        <v/>
      </c>
      <c r="N3522" s="25"/>
      <c r="O3522" s="22"/>
      <c r="P3522" s="24"/>
      <c r="Q3522" s="26"/>
    </row>
    <row r="3523" spans="1:17" ht="15" x14ac:dyDescent="0.15">
      <c r="A3523" s="22"/>
      <c r="B3523" s="26" t="str">
        <f t="shared" si="216"/>
        <v/>
      </c>
      <c r="C3523" s="26" t="str">
        <f t="shared" si="217"/>
        <v/>
      </c>
      <c r="D3523" s="26" t="str">
        <f t="shared" si="218"/>
        <v/>
      </c>
      <c r="E3523" s="29"/>
      <c r="F3523" s="22"/>
      <c r="G3523" s="22"/>
      <c r="H3523" s="22"/>
      <c r="I3523" s="24"/>
      <c r="J3523" s="24"/>
      <c r="K3523" s="24"/>
      <c r="L3523" s="24"/>
      <c r="M3523" s="27" t="str">
        <f t="shared" si="219"/>
        <v/>
      </c>
      <c r="N3523" s="25"/>
      <c r="O3523" s="22"/>
      <c r="P3523" s="24"/>
      <c r="Q3523" s="26"/>
    </row>
    <row r="3524" spans="1:17" ht="15" x14ac:dyDescent="0.15">
      <c r="A3524" s="22"/>
      <c r="B3524" s="26" t="str">
        <f t="shared" si="216"/>
        <v/>
      </c>
      <c r="C3524" s="26" t="str">
        <f t="shared" si="217"/>
        <v/>
      </c>
      <c r="D3524" s="26" t="str">
        <f t="shared" si="218"/>
        <v/>
      </c>
      <c r="E3524" s="29"/>
      <c r="F3524" s="22"/>
      <c r="G3524" s="22"/>
      <c r="H3524" s="22"/>
      <c r="I3524" s="24"/>
      <c r="J3524" s="24"/>
      <c r="K3524" s="24"/>
      <c r="L3524" s="24"/>
      <c r="M3524" s="27" t="str">
        <f t="shared" si="219"/>
        <v/>
      </c>
      <c r="N3524" s="25"/>
      <c r="O3524" s="22"/>
      <c r="P3524" s="24"/>
      <c r="Q3524" s="26"/>
    </row>
    <row r="3525" spans="1:17" ht="15" x14ac:dyDescent="0.15">
      <c r="A3525" s="22"/>
      <c r="B3525" s="26" t="str">
        <f t="shared" si="216"/>
        <v/>
      </c>
      <c r="C3525" s="26" t="str">
        <f t="shared" si="217"/>
        <v/>
      </c>
      <c r="D3525" s="26" t="str">
        <f t="shared" si="218"/>
        <v/>
      </c>
      <c r="E3525" s="29"/>
      <c r="F3525" s="22"/>
      <c r="G3525" s="22"/>
      <c r="H3525" s="22"/>
      <c r="I3525" s="24"/>
      <c r="J3525" s="24"/>
      <c r="K3525" s="24"/>
      <c r="L3525" s="24"/>
      <c r="M3525" s="27" t="str">
        <f t="shared" si="219"/>
        <v/>
      </c>
      <c r="N3525" s="25"/>
      <c r="O3525" s="22"/>
      <c r="P3525" s="24"/>
      <c r="Q3525" s="26"/>
    </row>
    <row r="3526" spans="1:17" ht="15" x14ac:dyDescent="0.15">
      <c r="A3526" s="22"/>
      <c r="B3526" s="26" t="str">
        <f t="shared" si="216"/>
        <v/>
      </c>
      <c r="C3526" s="26" t="str">
        <f t="shared" si="217"/>
        <v/>
      </c>
      <c r="D3526" s="26" t="str">
        <f t="shared" si="218"/>
        <v/>
      </c>
      <c r="E3526" s="29"/>
      <c r="F3526" s="22"/>
      <c r="G3526" s="22"/>
      <c r="H3526" s="22"/>
      <c r="I3526" s="24"/>
      <c r="J3526" s="24"/>
      <c r="K3526" s="24"/>
      <c r="L3526" s="24"/>
      <c r="M3526" s="27" t="str">
        <f t="shared" si="219"/>
        <v/>
      </c>
      <c r="N3526" s="25"/>
      <c r="O3526" s="22"/>
      <c r="P3526" s="24"/>
      <c r="Q3526" s="26"/>
    </row>
    <row r="3527" spans="1:17" ht="15" x14ac:dyDescent="0.15">
      <c r="A3527" s="22"/>
      <c r="B3527" s="26" t="str">
        <f t="shared" ref="B3527:B3590" si="220">IFERROR(IF($A3527="","",LEFT($A3527,FIND(" | ",$A3527)-1)),"")</f>
        <v/>
      </c>
      <c r="C3527" s="26" t="str">
        <f t="shared" ref="C3527:C3590" si="221">IFERROR(IF($A3527="","",MID($A3527,FIND(" | ",$A3527)+3,FIND(" | ",$A3527,FIND(" | ",$A3527)+3)-FIND(" | ",$A3527)-3)),"")</f>
        <v/>
      </c>
      <c r="D3527" s="26" t="str">
        <f t="shared" ref="D3527:D3590" si="222">IFERROR(IF($A3527="","",RIGHT($A3527,LEN($A3527)-FIND(" | ",$A3527,FIND(" | ",$A3527)+3)-2)),"")</f>
        <v/>
      </c>
      <c r="E3527" s="29"/>
      <c r="F3527" s="22"/>
      <c r="G3527" s="22"/>
      <c r="H3527" s="22"/>
      <c r="I3527" s="24"/>
      <c r="J3527" s="24"/>
      <c r="K3527" s="24"/>
      <c r="L3527" s="24"/>
      <c r="M3527" s="27" t="str">
        <f t="shared" ref="M3527:M3590" si="223">IF($B3527="","",SUM($J3527,-$K3527,$L3527))</f>
        <v/>
      </c>
      <c r="N3527" s="25"/>
      <c r="O3527" s="22"/>
      <c r="P3527" s="24"/>
      <c r="Q3527" s="26"/>
    </row>
    <row r="3528" spans="1:17" ht="15" x14ac:dyDescent="0.15">
      <c r="A3528" s="22"/>
      <c r="B3528" s="26" t="str">
        <f t="shared" si="220"/>
        <v/>
      </c>
      <c r="C3528" s="26" t="str">
        <f t="shared" si="221"/>
        <v/>
      </c>
      <c r="D3528" s="26" t="str">
        <f t="shared" si="222"/>
        <v/>
      </c>
      <c r="E3528" s="29"/>
      <c r="F3528" s="22"/>
      <c r="G3528" s="22"/>
      <c r="H3528" s="22"/>
      <c r="I3528" s="24"/>
      <c r="J3528" s="24"/>
      <c r="K3528" s="24"/>
      <c r="L3528" s="24"/>
      <c r="M3528" s="27" t="str">
        <f t="shared" si="223"/>
        <v/>
      </c>
      <c r="N3528" s="25"/>
      <c r="O3528" s="22"/>
      <c r="P3528" s="24"/>
      <c r="Q3528" s="26"/>
    </row>
    <row r="3529" spans="1:17" ht="15" x14ac:dyDescent="0.15">
      <c r="A3529" s="22"/>
      <c r="B3529" s="26" t="str">
        <f t="shared" si="220"/>
        <v/>
      </c>
      <c r="C3529" s="26" t="str">
        <f t="shared" si="221"/>
        <v/>
      </c>
      <c r="D3529" s="26" t="str">
        <f t="shared" si="222"/>
        <v/>
      </c>
      <c r="E3529" s="29"/>
      <c r="F3529" s="22"/>
      <c r="G3529" s="22"/>
      <c r="H3529" s="22"/>
      <c r="I3529" s="24"/>
      <c r="J3529" s="24"/>
      <c r="K3529" s="24"/>
      <c r="L3529" s="24"/>
      <c r="M3529" s="27" t="str">
        <f t="shared" si="223"/>
        <v/>
      </c>
      <c r="N3529" s="25"/>
      <c r="O3529" s="22"/>
      <c r="P3529" s="24"/>
      <c r="Q3529" s="26"/>
    </row>
    <row r="3530" spans="1:17" ht="15" x14ac:dyDescent="0.15">
      <c r="A3530" s="22"/>
      <c r="B3530" s="26" t="str">
        <f t="shared" si="220"/>
        <v/>
      </c>
      <c r="C3530" s="26" t="str">
        <f t="shared" si="221"/>
        <v/>
      </c>
      <c r="D3530" s="26" t="str">
        <f t="shared" si="222"/>
        <v/>
      </c>
      <c r="E3530" s="29"/>
      <c r="F3530" s="22"/>
      <c r="G3530" s="22"/>
      <c r="H3530" s="22"/>
      <c r="I3530" s="24"/>
      <c r="J3530" s="24"/>
      <c r="K3530" s="24"/>
      <c r="L3530" s="24"/>
      <c r="M3530" s="27" t="str">
        <f t="shared" si="223"/>
        <v/>
      </c>
      <c r="N3530" s="25"/>
      <c r="O3530" s="22"/>
      <c r="P3530" s="24"/>
      <c r="Q3530" s="26"/>
    </row>
    <row r="3531" spans="1:17" ht="15" x14ac:dyDescent="0.15">
      <c r="A3531" s="22"/>
      <c r="B3531" s="26" t="str">
        <f t="shared" si="220"/>
        <v/>
      </c>
      <c r="C3531" s="26" t="str">
        <f t="shared" si="221"/>
        <v/>
      </c>
      <c r="D3531" s="26" t="str">
        <f t="shared" si="222"/>
        <v/>
      </c>
      <c r="E3531" s="29"/>
      <c r="F3531" s="22"/>
      <c r="G3531" s="22"/>
      <c r="H3531" s="22"/>
      <c r="I3531" s="24"/>
      <c r="J3531" s="24"/>
      <c r="K3531" s="24"/>
      <c r="L3531" s="24"/>
      <c r="M3531" s="27" t="str">
        <f t="shared" si="223"/>
        <v/>
      </c>
      <c r="N3531" s="25"/>
      <c r="O3531" s="22"/>
      <c r="P3531" s="24"/>
      <c r="Q3531" s="26"/>
    </row>
    <row r="3532" spans="1:17" ht="15" x14ac:dyDescent="0.15">
      <c r="A3532" s="22"/>
      <c r="B3532" s="26" t="str">
        <f t="shared" si="220"/>
        <v/>
      </c>
      <c r="C3532" s="26" t="str">
        <f t="shared" si="221"/>
        <v/>
      </c>
      <c r="D3532" s="26" t="str">
        <f t="shared" si="222"/>
        <v/>
      </c>
      <c r="E3532" s="29"/>
      <c r="F3532" s="22"/>
      <c r="G3532" s="22"/>
      <c r="H3532" s="22"/>
      <c r="I3532" s="24"/>
      <c r="J3532" s="24"/>
      <c r="K3532" s="24"/>
      <c r="L3532" s="24"/>
      <c r="M3532" s="27" t="str">
        <f t="shared" si="223"/>
        <v/>
      </c>
      <c r="N3532" s="25"/>
      <c r="O3532" s="22"/>
      <c r="P3532" s="24"/>
      <c r="Q3532" s="26"/>
    </row>
    <row r="3533" spans="1:17" ht="15" x14ac:dyDescent="0.15">
      <c r="A3533" s="22"/>
      <c r="B3533" s="26" t="str">
        <f t="shared" si="220"/>
        <v/>
      </c>
      <c r="C3533" s="26" t="str">
        <f t="shared" si="221"/>
        <v/>
      </c>
      <c r="D3533" s="26" t="str">
        <f t="shared" si="222"/>
        <v/>
      </c>
      <c r="E3533" s="29"/>
      <c r="F3533" s="22"/>
      <c r="G3533" s="22"/>
      <c r="H3533" s="22"/>
      <c r="I3533" s="24"/>
      <c r="J3533" s="24"/>
      <c r="K3533" s="24"/>
      <c r="L3533" s="24"/>
      <c r="M3533" s="27" t="str">
        <f t="shared" si="223"/>
        <v/>
      </c>
      <c r="N3533" s="25"/>
      <c r="O3533" s="22"/>
      <c r="P3533" s="24"/>
      <c r="Q3533" s="26"/>
    </row>
    <row r="3534" spans="1:17" ht="15" x14ac:dyDescent="0.15">
      <c r="A3534" s="22"/>
      <c r="B3534" s="26" t="str">
        <f t="shared" si="220"/>
        <v/>
      </c>
      <c r="C3534" s="26" t="str">
        <f t="shared" si="221"/>
        <v/>
      </c>
      <c r="D3534" s="26" t="str">
        <f t="shared" si="222"/>
        <v/>
      </c>
      <c r="E3534" s="29"/>
      <c r="F3534" s="22"/>
      <c r="G3534" s="22"/>
      <c r="H3534" s="22"/>
      <c r="I3534" s="24"/>
      <c r="J3534" s="24"/>
      <c r="K3534" s="24"/>
      <c r="L3534" s="24"/>
      <c r="M3534" s="27" t="str">
        <f t="shared" si="223"/>
        <v/>
      </c>
      <c r="N3534" s="25"/>
      <c r="O3534" s="22"/>
      <c r="P3534" s="24"/>
      <c r="Q3534" s="26"/>
    </row>
    <row r="3535" spans="1:17" ht="15" x14ac:dyDescent="0.15">
      <c r="A3535" s="22"/>
      <c r="B3535" s="26" t="str">
        <f t="shared" si="220"/>
        <v/>
      </c>
      <c r="C3535" s="26" t="str">
        <f t="shared" si="221"/>
        <v/>
      </c>
      <c r="D3535" s="26" t="str">
        <f t="shared" si="222"/>
        <v/>
      </c>
      <c r="E3535" s="29"/>
      <c r="F3535" s="22"/>
      <c r="G3535" s="22"/>
      <c r="H3535" s="22"/>
      <c r="I3535" s="24"/>
      <c r="J3535" s="24"/>
      <c r="K3535" s="24"/>
      <c r="L3535" s="24"/>
      <c r="M3535" s="27" t="str">
        <f t="shared" si="223"/>
        <v/>
      </c>
      <c r="N3535" s="25"/>
      <c r="O3535" s="22"/>
      <c r="P3535" s="24"/>
      <c r="Q3535" s="26"/>
    </row>
    <row r="3536" spans="1:17" ht="15" x14ac:dyDescent="0.15">
      <c r="A3536" s="22"/>
      <c r="B3536" s="26" t="str">
        <f t="shared" si="220"/>
        <v/>
      </c>
      <c r="C3536" s="26" t="str">
        <f t="shared" si="221"/>
        <v/>
      </c>
      <c r="D3536" s="26" t="str">
        <f t="shared" si="222"/>
        <v/>
      </c>
      <c r="E3536" s="29"/>
      <c r="F3536" s="22"/>
      <c r="G3536" s="22"/>
      <c r="H3536" s="22"/>
      <c r="I3536" s="24"/>
      <c r="J3536" s="24"/>
      <c r="K3536" s="24"/>
      <c r="L3536" s="24"/>
      <c r="M3536" s="27" t="str">
        <f t="shared" si="223"/>
        <v/>
      </c>
      <c r="N3536" s="25"/>
      <c r="O3536" s="22"/>
      <c r="P3536" s="24"/>
      <c r="Q3536" s="26"/>
    </row>
    <row r="3537" spans="1:17" ht="15" x14ac:dyDescent="0.15">
      <c r="A3537" s="22"/>
      <c r="B3537" s="26" t="str">
        <f t="shared" si="220"/>
        <v/>
      </c>
      <c r="C3537" s="26" t="str">
        <f t="shared" si="221"/>
        <v/>
      </c>
      <c r="D3537" s="26" t="str">
        <f t="shared" si="222"/>
        <v/>
      </c>
      <c r="E3537" s="29"/>
      <c r="F3537" s="22"/>
      <c r="G3537" s="22"/>
      <c r="H3537" s="22"/>
      <c r="I3537" s="24"/>
      <c r="J3537" s="24"/>
      <c r="K3537" s="24"/>
      <c r="L3537" s="24"/>
      <c r="M3537" s="27" t="str">
        <f t="shared" si="223"/>
        <v/>
      </c>
      <c r="N3537" s="25"/>
      <c r="O3537" s="22"/>
      <c r="P3537" s="24"/>
      <c r="Q3537" s="26"/>
    </row>
    <row r="3538" spans="1:17" ht="15" x14ac:dyDescent="0.15">
      <c r="A3538" s="22"/>
      <c r="B3538" s="26" t="str">
        <f t="shared" si="220"/>
        <v/>
      </c>
      <c r="C3538" s="26" t="str">
        <f t="shared" si="221"/>
        <v/>
      </c>
      <c r="D3538" s="26" t="str">
        <f t="shared" si="222"/>
        <v/>
      </c>
      <c r="E3538" s="29"/>
      <c r="F3538" s="22"/>
      <c r="G3538" s="22"/>
      <c r="H3538" s="22"/>
      <c r="I3538" s="24"/>
      <c r="J3538" s="24"/>
      <c r="K3538" s="24"/>
      <c r="L3538" s="24"/>
      <c r="M3538" s="27" t="str">
        <f t="shared" si="223"/>
        <v/>
      </c>
      <c r="N3538" s="25"/>
      <c r="O3538" s="22"/>
      <c r="P3538" s="24"/>
      <c r="Q3538" s="26"/>
    </row>
    <row r="3539" spans="1:17" ht="15" x14ac:dyDescent="0.15">
      <c r="A3539" s="22"/>
      <c r="B3539" s="26" t="str">
        <f t="shared" si="220"/>
        <v/>
      </c>
      <c r="C3539" s="26" t="str">
        <f t="shared" si="221"/>
        <v/>
      </c>
      <c r="D3539" s="26" t="str">
        <f t="shared" si="222"/>
        <v/>
      </c>
      <c r="E3539" s="29"/>
      <c r="F3539" s="22"/>
      <c r="G3539" s="22"/>
      <c r="H3539" s="22"/>
      <c r="I3539" s="24"/>
      <c r="J3539" s="24"/>
      <c r="K3539" s="24"/>
      <c r="L3539" s="24"/>
      <c r="M3539" s="27" t="str">
        <f t="shared" si="223"/>
        <v/>
      </c>
      <c r="N3539" s="25"/>
      <c r="O3539" s="22"/>
      <c r="P3539" s="24"/>
      <c r="Q3539" s="26"/>
    </row>
    <row r="3540" spans="1:17" ht="15" x14ac:dyDescent="0.15">
      <c r="A3540" s="22"/>
      <c r="B3540" s="26" t="str">
        <f t="shared" si="220"/>
        <v/>
      </c>
      <c r="C3540" s="26" t="str">
        <f t="shared" si="221"/>
        <v/>
      </c>
      <c r="D3540" s="26" t="str">
        <f t="shared" si="222"/>
        <v/>
      </c>
      <c r="E3540" s="29"/>
      <c r="F3540" s="22"/>
      <c r="G3540" s="22"/>
      <c r="H3540" s="22"/>
      <c r="I3540" s="24"/>
      <c r="J3540" s="24"/>
      <c r="K3540" s="24"/>
      <c r="L3540" s="24"/>
      <c r="M3540" s="27" t="str">
        <f t="shared" si="223"/>
        <v/>
      </c>
      <c r="N3540" s="25"/>
      <c r="O3540" s="22"/>
      <c r="P3540" s="24"/>
      <c r="Q3540" s="26"/>
    </row>
    <row r="3541" spans="1:17" ht="15" x14ac:dyDescent="0.15">
      <c r="A3541" s="22"/>
      <c r="B3541" s="26" t="str">
        <f t="shared" si="220"/>
        <v/>
      </c>
      <c r="C3541" s="26" t="str">
        <f t="shared" si="221"/>
        <v/>
      </c>
      <c r="D3541" s="26" t="str">
        <f t="shared" si="222"/>
        <v/>
      </c>
      <c r="E3541" s="29"/>
      <c r="F3541" s="22"/>
      <c r="G3541" s="22"/>
      <c r="H3541" s="22"/>
      <c r="I3541" s="24"/>
      <c r="J3541" s="24"/>
      <c r="K3541" s="24"/>
      <c r="L3541" s="24"/>
      <c r="M3541" s="27" t="str">
        <f t="shared" si="223"/>
        <v/>
      </c>
      <c r="N3541" s="25"/>
      <c r="O3541" s="22"/>
      <c r="P3541" s="24"/>
      <c r="Q3541" s="26"/>
    </row>
    <row r="3542" spans="1:17" ht="15" x14ac:dyDescent="0.15">
      <c r="A3542" s="22"/>
      <c r="B3542" s="26" t="str">
        <f t="shared" si="220"/>
        <v/>
      </c>
      <c r="C3542" s="26" t="str">
        <f t="shared" si="221"/>
        <v/>
      </c>
      <c r="D3542" s="26" t="str">
        <f t="shared" si="222"/>
        <v/>
      </c>
      <c r="E3542" s="29"/>
      <c r="F3542" s="22"/>
      <c r="G3542" s="22"/>
      <c r="H3542" s="22"/>
      <c r="I3542" s="24"/>
      <c r="J3542" s="24"/>
      <c r="K3542" s="24"/>
      <c r="L3542" s="24"/>
      <c r="M3542" s="27" t="str">
        <f t="shared" si="223"/>
        <v/>
      </c>
      <c r="N3542" s="25"/>
      <c r="O3542" s="22"/>
      <c r="P3542" s="24"/>
      <c r="Q3542" s="26"/>
    </row>
    <row r="3543" spans="1:17" ht="15" x14ac:dyDescent="0.15">
      <c r="A3543" s="22"/>
      <c r="B3543" s="26" t="str">
        <f t="shared" si="220"/>
        <v/>
      </c>
      <c r="C3543" s="26" t="str">
        <f t="shared" si="221"/>
        <v/>
      </c>
      <c r="D3543" s="26" t="str">
        <f t="shared" si="222"/>
        <v/>
      </c>
      <c r="E3543" s="29"/>
      <c r="F3543" s="22"/>
      <c r="G3543" s="22"/>
      <c r="H3543" s="22"/>
      <c r="I3543" s="24"/>
      <c r="J3543" s="24"/>
      <c r="K3543" s="24"/>
      <c r="L3543" s="24"/>
      <c r="M3543" s="27" t="str">
        <f t="shared" si="223"/>
        <v/>
      </c>
      <c r="N3543" s="25"/>
      <c r="O3543" s="22"/>
      <c r="P3543" s="24"/>
      <c r="Q3543" s="26"/>
    </row>
    <row r="3544" spans="1:17" ht="15" x14ac:dyDescent="0.15">
      <c r="A3544" s="22"/>
      <c r="B3544" s="26" t="str">
        <f t="shared" si="220"/>
        <v/>
      </c>
      <c r="C3544" s="26" t="str">
        <f t="shared" si="221"/>
        <v/>
      </c>
      <c r="D3544" s="26" t="str">
        <f t="shared" si="222"/>
        <v/>
      </c>
      <c r="E3544" s="29"/>
      <c r="F3544" s="22"/>
      <c r="G3544" s="22"/>
      <c r="H3544" s="22"/>
      <c r="I3544" s="24"/>
      <c r="J3544" s="24"/>
      <c r="K3544" s="24"/>
      <c r="L3544" s="24"/>
      <c r="M3544" s="27" t="str">
        <f t="shared" si="223"/>
        <v/>
      </c>
      <c r="N3544" s="25"/>
      <c r="O3544" s="22"/>
      <c r="P3544" s="24"/>
      <c r="Q3544" s="26"/>
    </row>
    <row r="3545" spans="1:17" ht="15" x14ac:dyDescent="0.15">
      <c r="A3545" s="22"/>
      <c r="B3545" s="26" t="str">
        <f t="shared" si="220"/>
        <v/>
      </c>
      <c r="C3545" s="26" t="str">
        <f t="shared" si="221"/>
        <v/>
      </c>
      <c r="D3545" s="26" t="str">
        <f t="shared" si="222"/>
        <v/>
      </c>
      <c r="E3545" s="29"/>
      <c r="F3545" s="22"/>
      <c r="G3545" s="22"/>
      <c r="H3545" s="22"/>
      <c r="I3545" s="24"/>
      <c r="J3545" s="24"/>
      <c r="K3545" s="24"/>
      <c r="L3545" s="24"/>
      <c r="M3545" s="27" t="str">
        <f t="shared" si="223"/>
        <v/>
      </c>
      <c r="N3545" s="25"/>
      <c r="O3545" s="22"/>
      <c r="P3545" s="24"/>
      <c r="Q3545" s="26"/>
    </row>
    <row r="3546" spans="1:17" ht="15" x14ac:dyDescent="0.15">
      <c r="A3546" s="22"/>
      <c r="B3546" s="26" t="str">
        <f t="shared" si="220"/>
        <v/>
      </c>
      <c r="C3546" s="26" t="str">
        <f t="shared" si="221"/>
        <v/>
      </c>
      <c r="D3546" s="26" t="str">
        <f t="shared" si="222"/>
        <v/>
      </c>
      <c r="E3546" s="29"/>
      <c r="F3546" s="22"/>
      <c r="G3546" s="22"/>
      <c r="H3546" s="22"/>
      <c r="I3546" s="24"/>
      <c r="J3546" s="24"/>
      <c r="K3546" s="24"/>
      <c r="L3546" s="24"/>
      <c r="M3546" s="27" t="str">
        <f t="shared" si="223"/>
        <v/>
      </c>
      <c r="N3546" s="25"/>
      <c r="O3546" s="22"/>
      <c r="P3546" s="24"/>
      <c r="Q3546" s="26"/>
    </row>
    <row r="3547" spans="1:17" ht="15" x14ac:dyDescent="0.15">
      <c r="A3547" s="22"/>
      <c r="B3547" s="26" t="str">
        <f t="shared" si="220"/>
        <v/>
      </c>
      <c r="C3547" s="26" t="str">
        <f t="shared" si="221"/>
        <v/>
      </c>
      <c r="D3547" s="26" t="str">
        <f t="shared" si="222"/>
        <v/>
      </c>
      <c r="E3547" s="29"/>
      <c r="F3547" s="22"/>
      <c r="G3547" s="22"/>
      <c r="H3547" s="22"/>
      <c r="I3547" s="24"/>
      <c r="J3547" s="24"/>
      <c r="K3547" s="24"/>
      <c r="L3547" s="24"/>
      <c r="M3547" s="27" t="str">
        <f t="shared" si="223"/>
        <v/>
      </c>
      <c r="N3547" s="25"/>
      <c r="O3547" s="22"/>
      <c r="P3547" s="24"/>
      <c r="Q3547" s="26"/>
    </row>
    <row r="3548" spans="1:17" ht="15" x14ac:dyDescent="0.15">
      <c r="A3548" s="22"/>
      <c r="B3548" s="26" t="str">
        <f t="shared" si="220"/>
        <v/>
      </c>
      <c r="C3548" s="26" t="str">
        <f t="shared" si="221"/>
        <v/>
      </c>
      <c r="D3548" s="26" t="str">
        <f t="shared" si="222"/>
        <v/>
      </c>
      <c r="E3548" s="29"/>
      <c r="F3548" s="22"/>
      <c r="G3548" s="22"/>
      <c r="H3548" s="22"/>
      <c r="I3548" s="24"/>
      <c r="J3548" s="24"/>
      <c r="K3548" s="24"/>
      <c r="L3548" s="24"/>
      <c r="M3548" s="27" t="str">
        <f t="shared" si="223"/>
        <v/>
      </c>
      <c r="N3548" s="25"/>
      <c r="O3548" s="22"/>
      <c r="P3548" s="24"/>
      <c r="Q3548" s="26"/>
    </row>
    <row r="3549" spans="1:17" ht="15" x14ac:dyDescent="0.15">
      <c r="A3549" s="22"/>
      <c r="B3549" s="26" t="str">
        <f t="shared" si="220"/>
        <v/>
      </c>
      <c r="C3549" s="26" t="str">
        <f t="shared" si="221"/>
        <v/>
      </c>
      <c r="D3549" s="26" t="str">
        <f t="shared" si="222"/>
        <v/>
      </c>
      <c r="E3549" s="29"/>
      <c r="F3549" s="22"/>
      <c r="G3549" s="22"/>
      <c r="H3549" s="22"/>
      <c r="I3549" s="24"/>
      <c r="J3549" s="24"/>
      <c r="K3549" s="24"/>
      <c r="L3549" s="24"/>
      <c r="M3549" s="27" t="str">
        <f t="shared" si="223"/>
        <v/>
      </c>
      <c r="N3549" s="25"/>
      <c r="O3549" s="22"/>
      <c r="P3549" s="24"/>
      <c r="Q3549" s="26"/>
    </row>
    <row r="3550" spans="1:17" ht="15" x14ac:dyDescent="0.15">
      <c r="A3550" s="22"/>
      <c r="B3550" s="26" t="str">
        <f t="shared" si="220"/>
        <v/>
      </c>
      <c r="C3550" s="26" t="str">
        <f t="shared" si="221"/>
        <v/>
      </c>
      <c r="D3550" s="26" t="str">
        <f t="shared" si="222"/>
        <v/>
      </c>
      <c r="E3550" s="29"/>
      <c r="F3550" s="22"/>
      <c r="G3550" s="22"/>
      <c r="H3550" s="22"/>
      <c r="I3550" s="24"/>
      <c r="J3550" s="24"/>
      <c r="K3550" s="24"/>
      <c r="L3550" s="24"/>
      <c r="M3550" s="27" t="str">
        <f t="shared" si="223"/>
        <v/>
      </c>
      <c r="N3550" s="25"/>
      <c r="O3550" s="22"/>
      <c r="P3550" s="24"/>
      <c r="Q3550" s="26"/>
    </row>
    <row r="3551" spans="1:17" ht="15" x14ac:dyDescent="0.15">
      <c r="A3551" s="22"/>
      <c r="B3551" s="26" t="str">
        <f t="shared" si="220"/>
        <v/>
      </c>
      <c r="C3551" s="26" t="str">
        <f t="shared" si="221"/>
        <v/>
      </c>
      <c r="D3551" s="26" t="str">
        <f t="shared" si="222"/>
        <v/>
      </c>
      <c r="E3551" s="29"/>
      <c r="F3551" s="22"/>
      <c r="G3551" s="22"/>
      <c r="H3551" s="22"/>
      <c r="I3551" s="24"/>
      <c r="J3551" s="24"/>
      <c r="K3551" s="24"/>
      <c r="L3551" s="24"/>
      <c r="M3551" s="27" t="str">
        <f t="shared" si="223"/>
        <v/>
      </c>
      <c r="N3551" s="25"/>
      <c r="O3551" s="22"/>
      <c r="P3551" s="24"/>
      <c r="Q3551" s="26"/>
    </row>
    <row r="3552" spans="1:17" ht="15" x14ac:dyDescent="0.15">
      <c r="A3552" s="22"/>
      <c r="B3552" s="26" t="str">
        <f t="shared" si="220"/>
        <v/>
      </c>
      <c r="C3552" s="26" t="str">
        <f t="shared" si="221"/>
        <v/>
      </c>
      <c r="D3552" s="26" t="str">
        <f t="shared" si="222"/>
        <v/>
      </c>
      <c r="E3552" s="29"/>
      <c r="F3552" s="22"/>
      <c r="G3552" s="22"/>
      <c r="H3552" s="22"/>
      <c r="I3552" s="24"/>
      <c r="J3552" s="24"/>
      <c r="K3552" s="24"/>
      <c r="L3552" s="24"/>
      <c r="M3552" s="27" t="str">
        <f t="shared" si="223"/>
        <v/>
      </c>
      <c r="N3552" s="25"/>
      <c r="O3552" s="22"/>
      <c r="P3552" s="24"/>
      <c r="Q3552" s="26"/>
    </row>
    <row r="3553" spans="1:17" ht="15" x14ac:dyDescent="0.15">
      <c r="A3553" s="22"/>
      <c r="B3553" s="26" t="str">
        <f t="shared" si="220"/>
        <v/>
      </c>
      <c r="C3553" s="26" t="str">
        <f t="shared" si="221"/>
        <v/>
      </c>
      <c r="D3553" s="26" t="str">
        <f t="shared" si="222"/>
        <v/>
      </c>
      <c r="E3553" s="29"/>
      <c r="F3553" s="22"/>
      <c r="G3553" s="22"/>
      <c r="H3553" s="22"/>
      <c r="I3553" s="24"/>
      <c r="J3553" s="24"/>
      <c r="K3553" s="24"/>
      <c r="L3553" s="24"/>
      <c r="M3553" s="27" t="str">
        <f t="shared" si="223"/>
        <v/>
      </c>
      <c r="N3553" s="25"/>
      <c r="O3553" s="22"/>
      <c r="P3553" s="24"/>
      <c r="Q3553" s="26"/>
    </row>
    <row r="3554" spans="1:17" ht="15" x14ac:dyDescent="0.15">
      <c r="A3554" s="22"/>
      <c r="B3554" s="26" t="str">
        <f t="shared" si="220"/>
        <v/>
      </c>
      <c r="C3554" s="26" t="str">
        <f t="shared" si="221"/>
        <v/>
      </c>
      <c r="D3554" s="26" t="str">
        <f t="shared" si="222"/>
        <v/>
      </c>
      <c r="E3554" s="29"/>
      <c r="F3554" s="22"/>
      <c r="G3554" s="22"/>
      <c r="H3554" s="22"/>
      <c r="I3554" s="24"/>
      <c r="J3554" s="24"/>
      <c r="K3554" s="24"/>
      <c r="L3554" s="24"/>
      <c r="M3554" s="27" t="str">
        <f t="shared" si="223"/>
        <v/>
      </c>
      <c r="N3554" s="25"/>
      <c r="O3554" s="22"/>
      <c r="P3554" s="24"/>
      <c r="Q3554" s="26"/>
    </row>
    <row r="3555" spans="1:17" ht="15" x14ac:dyDescent="0.15">
      <c r="A3555" s="22"/>
      <c r="B3555" s="26" t="str">
        <f t="shared" si="220"/>
        <v/>
      </c>
      <c r="C3555" s="26" t="str">
        <f t="shared" si="221"/>
        <v/>
      </c>
      <c r="D3555" s="26" t="str">
        <f t="shared" si="222"/>
        <v/>
      </c>
      <c r="E3555" s="29"/>
      <c r="F3555" s="22"/>
      <c r="G3555" s="22"/>
      <c r="H3555" s="22"/>
      <c r="I3555" s="24"/>
      <c r="J3555" s="24"/>
      <c r="K3555" s="24"/>
      <c r="L3555" s="24"/>
      <c r="M3555" s="27" t="str">
        <f t="shared" si="223"/>
        <v/>
      </c>
      <c r="N3555" s="25"/>
      <c r="O3555" s="22"/>
      <c r="P3555" s="24"/>
      <c r="Q3555" s="26"/>
    </row>
    <row r="3556" spans="1:17" ht="15" x14ac:dyDescent="0.15">
      <c r="A3556" s="22"/>
      <c r="B3556" s="26" t="str">
        <f t="shared" si="220"/>
        <v/>
      </c>
      <c r="C3556" s="26" t="str">
        <f t="shared" si="221"/>
        <v/>
      </c>
      <c r="D3556" s="26" t="str">
        <f t="shared" si="222"/>
        <v/>
      </c>
      <c r="E3556" s="29"/>
      <c r="F3556" s="22"/>
      <c r="G3556" s="22"/>
      <c r="H3556" s="22"/>
      <c r="I3556" s="24"/>
      <c r="J3556" s="24"/>
      <c r="K3556" s="24"/>
      <c r="L3556" s="24"/>
      <c r="M3556" s="27" t="str">
        <f t="shared" si="223"/>
        <v/>
      </c>
      <c r="N3556" s="25"/>
      <c r="O3556" s="22"/>
      <c r="P3556" s="24"/>
      <c r="Q3556" s="26"/>
    </row>
    <row r="3557" spans="1:17" ht="15" x14ac:dyDescent="0.15">
      <c r="A3557" s="22"/>
      <c r="B3557" s="26" t="str">
        <f t="shared" si="220"/>
        <v/>
      </c>
      <c r="C3557" s="26" t="str">
        <f t="shared" si="221"/>
        <v/>
      </c>
      <c r="D3557" s="26" t="str">
        <f t="shared" si="222"/>
        <v/>
      </c>
      <c r="E3557" s="29"/>
      <c r="F3557" s="22"/>
      <c r="G3557" s="22"/>
      <c r="H3557" s="22"/>
      <c r="I3557" s="24"/>
      <c r="J3557" s="24"/>
      <c r="K3557" s="24"/>
      <c r="L3557" s="24"/>
      <c r="M3557" s="27" t="str">
        <f t="shared" si="223"/>
        <v/>
      </c>
      <c r="N3557" s="25"/>
      <c r="O3557" s="22"/>
      <c r="P3557" s="24"/>
      <c r="Q3557" s="26"/>
    </row>
    <row r="3558" spans="1:17" ht="15" x14ac:dyDescent="0.15">
      <c r="A3558" s="22"/>
      <c r="B3558" s="26" t="str">
        <f t="shared" si="220"/>
        <v/>
      </c>
      <c r="C3558" s="26" t="str">
        <f t="shared" si="221"/>
        <v/>
      </c>
      <c r="D3558" s="26" t="str">
        <f t="shared" si="222"/>
        <v/>
      </c>
      <c r="E3558" s="29"/>
      <c r="F3558" s="22"/>
      <c r="G3558" s="22"/>
      <c r="H3558" s="22"/>
      <c r="I3558" s="24"/>
      <c r="J3558" s="24"/>
      <c r="K3558" s="24"/>
      <c r="L3558" s="24"/>
      <c r="M3558" s="27" t="str">
        <f t="shared" si="223"/>
        <v/>
      </c>
      <c r="N3558" s="25"/>
      <c r="O3558" s="22"/>
      <c r="P3558" s="24"/>
      <c r="Q3558" s="26"/>
    </row>
    <row r="3559" spans="1:17" ht="15" x14ac:dyDescent="0.15">
      <c r="A3559" s="22"/>
      <c r="B3559" s="26" t="str">
        <f t="shared" si="220"/>
        <v/>
      </c>
      <c r="C3559" s="26" t="str">
        <f t="shared" si="221"/>
        <v/>
      </c>
      <c r="D3559" s="26" t="str">
        <f t="shared" si="222"/>
        <v/>
      </c>
      <c r="E3559" s="29"/>
      <c r="F3559" s="22"/>
      <c r="G3559" s="22"/>
      <c r="H3559" s="22"/>
      <c r="I3559" s="24"/>
      <c r="J3559" s="24"/>
      <c r="K3559" s="24"/>
      <c r="L3559" s="24"/>
      <c r="M3559" s="27" t="str">
        <f t="shared" si="223"/>
        <v/>
      </c>
      <c r="N3559" s="25"/>
      <c r="O3559" s="22"/>
      <c r="P3559" s="24"/>
      <c r="Q3559" s="26"/>
    </row>
    <row r="3560" spans="1:17" ht="15" x14ac:dyDescent="0.15">
      <c r="A3560" s="22"/>
      <c r="B3560" s="26" t="str">
        <f t="shared" si="220"/>
        <v/>
      </c>
      <c r="C3560" s="26" t="str">
        <f t="shared" si="221"/>
        <v/>
      </c>
      <c r="D3560" s="26" t="str">
        <f t="shared" si="222"/>
        <v/>
      </c>
      <c r="E3560" s="29"/>
      <c r="F3560" s="22"/>
      <c r="G3560" s="22"/>
      <c r="H3560" s="22"/>
      <c r="I3560" s="24"/>
      <c r="J3560" s="24"/>
      <c r="K3560" s="24"/>
      <c r="L3560" s="24"/>
      <c r="M3560" s="27" t="str">
        <f t="shared" si="223"/>
        <v/>
      </c>
      <c r="N3560" s="25"/>
      <c r="O3560" s="22"/>
      <c r="P3560" s="24"/>
      <c r="Q3560" s="26"/>
    </row>
    <row r="3561" spans="1:17" ht="15" x14ac:dyDescent="0.15">
      <c r="A3561" s="22"/>
      <c r="B3561" s="26" t="str">
        <f t="shared" si="220"/>
        <v/>
      </c>
      <c r="C3561" s="26" t="str">
        <f t="shared" si="221"/>
        <v/>
      </c>
      <c r="D3561" s="26" t="str">
        <f t="shared" si="222"/>
        <v/>
      </c>
      <c r="E3561" s="29"/>
      <c r="F3561" s="22"/>
      <c r="G3561" s="22"/>
      <c r="H3561" s="22"/>
      <c r="I3561" s="24"/>
      <c r="J3561" s="24"/>
      <c r="K3561" s="24"/>
      <c r="L3561" s="24"/>
      <c r="M3561" s="27" t="str">
        <f t="shared" si="223"/>
        <v/>
      </c>
      <c r="N3561" s="25"/>
      <c r="O3561" s="22"/>
      <c r="P3561" s="24"/>
      <c r="Q3561" s="26"/>
    </row>
    <row r="3562" spans="1:17" ht="15" x14ac:dyDescent="0.15">
      <c r="A3562" s="22"/>
      <c r="B3562" s="26" t="str">
        <f t="shared" si="220"/>
        <v/>
      </c>
      <c r="C3562" s="26" t="str">
        <f t="shared" si="221"/>
        <v/>
      </c>
      <c r="D3562" s="26" t="str">
        <f t="shared" si="222"/>
        <v/>
      </c>
      <c r="E3562" s="29"/>
      <c r="F3562" s="22"/>
      <c r="G3562" s="22"/>
      <c r="H3562" s="22"/>
      <c r="I3562" s="24"/>
      <c r="J3562" s="24"/>
      <c r="K3562" s="24"/>
      <c r="L3562" s="24"/>
      <c r="M3562" s="27" t="str">
        <f t="shared" si="223"/>
        <v/>
      </c>
      <c r="N3562" s="25"/>
      <c r="O3562" s="22"/>
      <c r="P3562" s="24"/>
      <c r="Q3562" s="26"/>
    </row>
    <row r="3563" spans="1:17" ht="15" x14ac:dyDescent="0.15">
      <c r="A3563" s="22"/>
      <c r="B3563" s="26" t="str">
        <f t="shared" si="220"/>
        <v/>
      </c>
      <c r="C3563" s="26" t="str">
        <f t="shared" si="221"/>
        <v/>
      </c>
      <c r="D3563" s="26" t="str">
        <f t="shared" si="222"/>
        <v/>
      </c>
      <c r="E3563" s="29"/>
      <c r="F3563" s="22"/>
      <c r="G3563" s="22"/>
      <c r="H3563" s="22"/>
      <c r="I3563" s="24"/>
      <c r="J3563" s="24"/>
      <c r="K3563" s="24"/>
      <c r="L3563" s="24"/>
      <c r="M3563" s="27" t="str">
        <f t="shared" si="223"/>
        <v/>
      </c>
      <c r="N3563" s="25"/>
      <c r="O3563" s="22"/>
      <c r="P3563" s="24"/>
      <c r="Q3563" s="26"/>
    </row>
    <row r="3564" spans="1:17" ht="15" x14ac:dyDescent="0.15">
      <c r="A3564" s="22"/>
      <c r="B3564" s="26" t="str">
        <f t="shared" si="220"/>
        <v/>
      </c>
      <c r="C3564" s="26" t="str">
        <f t="shared" si="221"/>
        <v/>
      </c>
      <c r="D3564" s="26" t="str">
        <f t="shared" si="222"/>
        <v/>
      </c>
      <c r="E3564" s="29"/>
      <c r="F3564" s="22"/>
      <c r="G3564" s="22"/>
      <c r="H3564" s="22"/>
      <c r="I3564" s="24"/>
      <c r="J3564" s="24"/>
      <c r="K3564" s="24"/>
      <c r="L3564" s="24"/>
      <c r="M3564" s="27" t="str">
        <f t="shared" si="223"/>
        <v/>
      </c>
      <c r="N3564" s="25"/>
      <c r="O3564" s="22"/>
      <c r="P3564" s="24"/>
      <c r="Q3564" s="26"/>
    </row>
    <row r="3565" spans="1:17" ht="15" x14ac:dyDescent="0.15">
      <c r="A3565" s="22"/>
      <c r="B3565" s="26" t="str">
        <f t="shared" si="220"/>
        <v/>
      </c>
      <c r="C3565" s="26" t="str">
        <f t="shared" si="221"/>
        <v/>
      </c>
      <c r="D3565" s="26" t="str">
        <f t="shared" si="222"/>
        <v/>
      </c>
      <c r="E3565" s="29"/>
      <c r="F3565" s="22"/>
      <c r="G3565" s="22"/>
      <c r="H3565" s="22"/>
      <c r="I3565" s="24"/>
      <c r="J3565" s="24"/>
      <c r="K3565" s="24"/>
      <c r="L3565" s="24"/>
      <c r="M3565" s="27" t="str">
        <f t="shared" si="223"/>
        <v/>
      </c>
      <c r="N3565" s="25"/>
      <c r="O3565" s="22"/>
      <c r="P3565" s="24"/>
      <c r="Q3565" s="26"/>
    </row>
    <row r="3566" spans="1:17" ht="15" x14ac:dyDescent="0.15">
      <c r="A3566" s="22"/>
      <c r="B3566" s="26" t="str">
        <f t="shared" si="220"/>
        <v/>
      </c>
      <c r="C3566" s="26" t="str">
        <f t="shared" si="221"/>
        <v/>
      </c>
      <c r="D3566" s="26" t="str">
        <f t="shared" si="222"/>
        <v/>
      </c>
      <c r="E3566" s="29"/>
      <c r="F3566" s="22"/>
      <c r="G3566" s="22"/>
      <c r="H3566" s="22"/>
      <c r="I3566" s="24"/>
      <c r="J3566" s="24"/>
      <c r="K3566" s="24"/>
      <c r="L3566" s="24"/>
      <c r="M3566" s="27" t="str">
        <f t="shared" si="223"/>
        <v/>
      </c>
      <c r="N3566" s="25"/>
      <c r="O3566" s="22"/>
      <c r="P3566" s="24"/>
      <c r="Q3566" s="26"/>
    </row>
    <row r="3567" spans="1:17" ht="15" x14ac:dyDescent="0.15">
      <c r="A3567" s="22"/>
      <c r="B3567" s="26" t="str">
        <f t="shared" si="220"/>
        <v/>
      </c>
      <c r="C3567" s="26" t="str">
        <f t="shared" si="221"/>
        <v/>
      </c>
      <c r="D3567" s="26" t="str">
        <f t="shared" si="222"/>
        <v/>
      </c>
      <c r="E3567" s="29"/>
      <c r="F3567" s="22"/>
      <c r="G3567" s="22"/>
      <c r="H3567" s="22"/>
      <c r="I3567" s="24"/>
      <c r="J3567" s="24"/>
      <c r="K3567" s="24"/>
      <c r="L3567" s="24"/>
      <c r="M3567" s="27" t="str">
        <f t="shared" si="223"/>
        <v/>
      </c>
      <c r="N3567" s="25"/>
      <c r="O3567" s="22"/>
      <c r="P3567" s="24"/>
      <c r="Q3567" s="26"/>
    </row>
    <row r="3568" spans="1:17" ht="15" x14ac:dyDescent="0.15">
      <c r="A3568" s="22"/>
      <c r="B3568" s="26" t="str">
        <f t="shared" si="220"/>
        <v/>
      </c>
      <c r="C3568" s="26" t="str">
        <f t="shared" si="221"/>
        <v/>
      </c>
      <c r="D3568" s="26" t="str">
        <f t="shared" si="222"/>
        <v/>
      </c>
      <c r="E3568" s="29"/>
      <c r="F3568" s="22"/>
      <c r="G3568" s="22"/>
      <c r="H3568" s="22"/>
      <c r="I3568" s="24"/>
      <c r="J3568" s="24"/>
      <c r="K3568" s="24"/>
      <c r="L3568" s="24"/>
      <c r="M3568" s="27" t="str">
        <f t="shared" si="223"/>
        <v/>
      </c>
      <c r="N3568" s="25"/>
      <c r="O3568" s="22"/>
      <c r="P3568" s="24"/>
      <c r="Q3568" s="26"/>
    </row>
    <row r="3569" spans="1:17" ht="15" x14ac:dyDescent="0.15">
      <c r="A3569" s="22"/>
      <c r="B3569" s="26" t="str">
        <f t="shared" si="220"/>
        <v/>
      </c>
      <c r="C3569" s="26" t="str">
        <f t="shared" si="221"/>
        <v/>
      </c>
      <c r="D3569" s="26" t="str">
        <f t="shared" si="222"/>
        <v/>
      </c>
      <c r="E3569" s="29"/>
      <c r="F3569" s="22"/>
      <c r="G3569" s="22"/>
      <c r="H3569" s="22"/>
      <c r="I3569" s="24"/>
      <c r="J3569" s="24"/>
      <c r="K3569" s="24"/>
      <c r="L3569" s="24"/>
      <c r="M3569" s="27" t="str">
        <f t="shared" si="223"/>
        <v/>
      </c>
      <c r="N3569" s="25"/>
      <c r="O3569" s="22"/>
      <c r="P3569" s="24"/>
      <c r="Q3569" s="26"/>
    </row>
    <row r="3570" spans="1:17" ht="15" x14ac:dyDescent="0.15">
      <c r="A3570" s="22"/>
      <c r="B3570" s="26" t="str">
        <f t="shared" si="220"/>
        <v/>
      </c>
      <c r="C3570" s="26" t="str">
        <f t="shared" si="221"/>
        <v/>
      </c>
      <c r="D3570" s="26" t="str">
        <f t="shared" si="222"/>
        <v/>
      </c>
      <c r="E3570" s="29"/>
      <c r="F3570" s="22"/>
      <c r="G3570" s="22"/>
      <c r="H3570" s="22"/>
      <c r="I3570" s="24"/>
      <c r="J3570" s="24"/>
      <c r="K3570" s="24"/>
      <c r="L3570" s="24"/>
      <c r="M3570" s="27" t="str">
        <f t="shared" si="223"/>
        <v/>
      </c>
      <c r="N3570" s="25"/>
      <c r="O3570" s="22"/>
      <c r="P3570" s="24"/>
      <c r="Q3570" s="26"/>
    </row>
    <row r="3571" spans="1:17" ht="15" x14ac:dyDescent="0.15">
      <c r="A3571" s="22"/>
      <c r="B3571" s="26" t="str">
        <f t="shared" si="220"/>
        <v/>
      </c>
      <c r="C3571" s="26" t="str">
        <f t="shared" si="221"/>
        <v/>
      </c>
      <c r="D3571" s="26" t="str">
        <f t="shared" si="222"/>
        <v/>
      </c>
      <c r="E3571" s="29"/>
      <c r="F3571" s="22"/>
      <c r="G3571" s="22"/>
      <c r="H3571" s="22"/>
      <c r="I3571" s="24"/>
      <c r="J3571" s="24"/>
      <c r="K3571" s="24"/>
      <c r="L3571" s="24"/>
      <c r="M3571" s="27" t="str">
        <f t="shared" si="223"/>
        <v/>
      </c>
      <c r="N3571" s="25"/>
      <c r="O3571" s="22"/>
      <c r="P3571" s="24"/>
      <c r="Q3571" s="26"/>
    </row>
    <row r="3572" spans="1:17" ht="15" x14ac:dyDescent="0.15">
      <c r="A3572" s="22"/>
      <c r="B3572" s="26" t="str">
        <f t="shared" si="220"/>
        <v/>
      </c>
      <c r="C3572" s="26" t="str">
        <f t="shared" si="221"/>
        <v/>
      </c>
      <c r="D3572" s="26" t="str">
        <f t="shared" si="222"/>
        <v/>
      </c>
      <c r="E3572" s="29"/>
      <c r="F3572" s="22"/>
      <c r="G3572" s="22"/>
      <c r="H3572" s="22"/>
      <c r="I3572" s="24"/>
      <c r="J3572" s="24"/>
      <c r="K3572" s="24"/>
      <c r="L3572" s="24"/>
      <c r="M3572" s="27" t="str">
        <f t="shared" si="223"/>
        <v/>
      </c>
      <c r="N3572" s="25"/>
      <c r="O3572" s="22"/>
      <c r="P3572" s="24"/>
      <c r="Q3572" s="26"/>
    </row>
    <row r="3573" spans="1:17" ht="15" x14ac:dyDescent="0.15">
      <c r="A3573" s="22"/>
      <c r="B3573" s="26" t="str">
        <f t="shared" si="220"/>
        <v/>
      </c>
      <c r="C3573" s="26" t="str">
        <f t="shared" si="221"/>
        <v/>
      </c>
      <c r="D3573" s="26" t="str">
        <f t="shared" si="222"/>
        <v/>
      </c>
      <c r="E3573" s="29"/>
      <c r="F3573" s="22"/>
      <c r="G3573" s="22"/>
      <c r="H3573" s="22"/>
      <c r="I3573" s="24"/>
      <c r="J3573" s="24"/>
      <c r="K3573" s="24"/>
      <c r="L3573" s="24"/>
      <c r="M3573" s="27" t="str">
        <f t="shared" si="223"/>
        <v/>
      </c>
      <c r="N3573" s="25"/>
      <c r="O3573" s="22"/>
      <c r="P3573" s="24"/>
      <c r="Q3573" s="26"/>
    </row>
    <row r="3574" spans="1:17" ht="15" x14ac:dyDescent="0.15">
      <c r="A3574" s="22"/>
      <c r="B3574" s="26" t="str">
        <f t="shared" si="220"/>
        <v/>
      </c>
      <c r="C3574" s="26" t="str">
        <f t="shared" si="221"/>
        <v/>
      </c>
      <c r="D3574" s="26" t="str">
        <f t="shared" si="222"/>
        <v/>
      </c>
      <c r="E3574" s="29"/>
      <c r="F3574" s="22"/>
      <c r="G3574" s="22"/>
      <c r="H3574" s="22"/>
      <c r="I3574" s="24"/>
      <c r="J3574" s="24"/>
      <c r="K3574" s="24"/>
      <c r="L3574" s="24"/>
      <c r="M3574" s="27" t="str">
        <f t="shared" si="223"/>
        <v/>
      </c>
      <c r="N3574" s="25"/>
      <c r="O3574" s="22"/>
      <c r="P3574" s="24"/>
      <c r="Q3574" s="26"/>
    </row>
    <row r="3575" spans="1:17" ht="15" x14ac:dyDescent="0.15">
      <c r="A3575" s="22"/>
      <c r="B3575" s="26" t="str">
        <f t="shared" si="220"/>
        <v/>
      </c>
      <c r="C3575" s="26" t="str">
        <f t="shared" si="221"/>
        <v/>
      </c>
      <c r="D3575" s="26" t="str">
        <f t="shared" si="222"/>
        <v/>
      </c>
      <c r="E3575" s="29"/>
      <c r="F3575" s="22"/>
      <c r="G3575" s="22"/>
      <c r="H3575" s="22"/>
      <c r="I3575" s="24"/>
      <c r="J3575" s="24"/>
      <c r="K3575" s="24"/>
      <c r="L3575" s="24"/>
      <c r="M3575" s="27" t="str">
        <f t="shared" si="223"/>
        <v/>
      </c>
      <c r="N3575" s="25"/>
      <c r="O3575" s="22"/>
      <c r="P3575" s="24"/>
      <c r="Q3575" s="26"/>
    </row>
    <row r="3576" spans="1:17" ht="15" x14ac:dyDescent="0.15">
      <c r="A3576" s="22"/>
      <c r="B3576" s="26" t="str">
        <f t="shared" si="220"/>
        <v/>
      </c>
      <c r="C3576" s="26" t="str">
        <f t="shared" si="221"/>
        <v/>
      </c>
      <c r="D3576" s="26" t="str">
        <f t="shared" si="222"/>
        <v/>
      </c>
      <c r="E3576" s="29"/>
      <c r="F3576" s="22"/>
      <c r="G3576" s="22"/>
      <c r="H3576" s="22"/>
      <c r="I3576" s="24"/>
      <c r="J3576" s="24"/>
      <c r="K3576" s="24"/>
      <c r="L3576" s="24"/>
      <c r="M3576" s="27" t="str">
        <f t="shared" si="223"/>
        <v/>
      </c>
      <c r="N3576" s="25"/>
      <c r="O3576" s="22"/>
      <c r="P3576" s="24"/>
      <c r="Q3576" s="26"/>
    </row>
    <row r="3577" spans="1:17" ht="15" x14ac:dyDescent="0.15">
      <c r="A3577" s="22"/>
      <c r="B3577" s="26" t="str">
        <f t="shared" si="220"/>
        <v/>
      </c>
      <c r="C3577" s="26" t="str">
        <f t="shared" si="221"/>
        <v/>
      </c>
      <c r="D3577" s="26" t="str">
        <f t="shared" si="222"/>
        <v/>
      </c>
      <c r="E3577" s="29"/>
      <c r="F3577" s="22"/>
      <c r="G3577" s="22"/>
      <c r="H3577" s="22"/>
      <c r="I3577" s="24"/>
      <c r="J3577" s="24"/>
      <c r="K3577" s="24"/>
      <c r="L3577" s="24"/>
      <c r="M3577" s="27" t="str">
        <f t="shared" si="223"/>
        <v/>
      </c>
      <c r="N3577" s="25"/>
      <c r="O3577" s="22"/>
      <c r="P3577" s="24"/>
      <c r="Q3577" s="26"/>
    </row>
    <row r="3578" spans="1:17" ht="15" x14ac:dyDescent="0.15">
      <c r="A3578" s="22"/>
      <c r="B3578" s="26" t="str">
        <f t="shared" si="220"/>
        <v/>
      </c>
      <c r="C3578" s="26" t="str">
        <f t="shared" si="221"/>
        <v/>
      </c>
      <c r="D3578" s="26" t="str">
        <f t="shared" si="222"/>
        <v/>
      </c>
      <c r="E3578" s="29"/>
      <c r="F3578" s="22"/>
      <c r="G3578" s="22"/>
      <c r="H3578" s="22"/>
      <c r="I3578" s="24"/>
      <c r="J3578" s="24"/>
      <c r="K3578" s="24"/>
      <c r="L3578" s="24"/>
      <c r="M3578" s="27" t="str">
        <f t="shared" si="223"/>
        <v/>
      </c>
      <c r="N3578" s="25"/>
      <c r="O3578" s="22"/>
      <c r="P3578" s="24"/>
      <c r="Q3578" s="26"/>
    </row>
    <row r="3579" spans="1:17" ht="15" x14ac:dyDescent="0.15">
      <c r="A3579" s="22"/>
      <c r="B3579" s="26" t="str">
        <f t="shared" si="220"/>
        <v/>
      </c>
      <c r="C3579" s="26" t="str">
        <f t="shared" si="221"/>
        <v/>
      </c>
      <c r="D3579" s="26" t="str">
        <f t="shared" si="222"/>
        <v/>
      </c>
      <c r="E3579" s="29"/>
      <c r="F3579" s="22"/>
      <c r="G3579" s="22"/>
      <c r="H3579" s="22"/>
      <c r="I3579" s="24"/>
      <c r="J3579" s="24"/>
      <c r="K3579" s="24"/>
      <c r="L3579" s="24"/>
      <c r="M3579" s="27" t="str">
        <f t="shared" si="223"/>
        <v/>
      </c>
      <c r="N3579" s="25"/>
      <c r="O3579" s="22"/>
      <c r="P3579" s="24"/>
      <c r="Q3579" s="26"/>
    </row>
    <row r="3580" spans="1:17" ht="15" x14ac:dyDescent="0.15">
      <c r="A3580" s="22"/>
      <c r="B3580" s="26" t="str">
        <f t="shared" si="220"/>
        <v/>
      </c>
      <c r="C3580" s="26" t="str">
        <f t="shared" si="221"/>
        <v/>
      </c>
      <c r="D3580" s="26" t="str">
        <f t="shared" si="222"/>
        <v/>
      </c>
      <c r="E3580" s="29"/>
      <c r="F3580" s="22"/>
      <c r="G3580" s="22"/>
      <c r="H3580" s="22"/>
      <c r="I3580" s="24"/>
      <c r="J3580" s="24"/>
      <c r="K3580" s="24"/>
      <c r="L3580" s="24"/>
      <c r="M3580" s="27" t="str">
        <f t="shared" si="223"/>
        <v/>
      </c>
      <c r="N3580" s="25"/>
      <c r="O3580" s="22"/>
      <c r="P3580" s="24"/>
      <c r="Q3580" s="26"/>
    </row>
    <row r="3581" spans="1:17" ht="15" x14ac:dyDescent="0.15">
      <c r="A3581" s="22"/>
      <c r="B3581" s="26" t="str">
        <f t="shared" si="220"/>
        <v/>
      </c>
      <c r="C3581" s="26" t="str">
        <f t="shared" si="221"/>
        <v/>
      </c>
      <c r="D3581" s="26" t="str">
        <f t="shared" si="222"/>
        <v/>
      </c>
      <c r="E3581" s="29"/>
      <c r="F3581" s="22"/>
      <c r="G3581" s="22"/>
      <c r="H3581" s="22"/>
      <c r="I3581" s="24"/>
      <c r="J3581" s="24"/>
      <c r="K3581" s="24"/>
      <c r="L3581" s="24"/>
      <c r="M3581" s="27" t="str">
        <f t="shared" si="223"/>
        <v/>
      </c>
      <c r="N3581" s="25"/>
      <c r="O3581" s="22"/>
      <c r="P3581" s="24"/>
      <c r="Q3581" s="26"/>
    </row>
    <row r="3582" spans="1:17" ht="15" x14ac:dyDescent="0.15">
      <c r="A3582" s="22"/>
      <c r="B3582" s="26" t="str">
        <f t="shared" si="220"/>
        <v/>
      </c>
      <c r="C3582" s="26" t="str">
        <f t="shared" si="221"/>
        <v/>
      </c>
      <c r="D3582" s="26" t="str">
        <f t="shared" si="222"/>
        <v/>
      </c>
      <c r="E3582" s="29"/>
      <c r="F3582" s="22"/>
      <c r="G3582" s="22"/>
      <c r="H3582" s="22"/>
      <c r="I3582" s="24"/>
      <c r="J3582" s="24"/>
      <c r="K3582" s="24"/>
      <c r="L3582" s="24"/>
      <c r="M3582" s="27" t="str">
        <f t="shared" si="223"/>
        <v/>
      </c>
      <c r="N3582" s="25"/>
      <c r="O3582" s="22"/>
      <c r="P3582" s="24"/>
      <c r="Q3582" s="26"/>
    </row>
    <row r="3583" spans="1:17" ht="15" x14ac:dyDescent="0.15">
      <c r="A3583" s="22"/>
      <c r="B3583" s="26" t="str">
        <f t="shared" si="220"/>
        <v/>
      </c>
      <c r="C3583" s="26" t="str">
        <f t="shared" si="221"/>
        <v/>
      </c>
      <c r="D3583" s="26" t="str">
        <f t="shared" si="222"/>
        <v/>
      </c>
      <c r="E3583" s="29"/>
      <c r="F3583" s="22"/>
      <c r="G3583" s="22"/>
      <c r="H3583" s="22"/>
      <c r="I3583" s="24"/>
      <c r="J3583" s="24"/>
      <c r="K3583" s="24"/>
      <c r="L3583" s="24"/>
      <c r="M3583" s="27" t="str">
        <f t="shared" si="223"/>
        <v/>
      </c>
      <c r="N3583" s="25"/>
      <c r="O3583" s="22"/>
      <c r="P3583" s="24"/>
      <c r="Q3583" s="26"/>
    </row>
    <row r="3584" spans="1:17" ht="15" x14ac:dyDescent="0.15">
      <c r="A3584" s="22"/>
      <c r="B3584" s="26" t="str">
        <f t="shared" si="220"/>
        <v/>
      </c>
      <c r="C3584" s="26" t="str">
        <f t="shared" si="221"/>
        <v/>
      </c>
      <c r="D3584" s="26" t="str">
        <f t="shared" si="222"/>
        <v/>
      </c>
      <c r="E3584" s="29"/>
      <c r="F3584" s="22"/>
      <c r="G3584" s="22"/>
      <c r="H3584" s="22"/>
      <c r="I3584" s="24"/>
      <c r="J3584" s="24"/>
      <c r="K3584" s="24"/>
      <c r="L3584" s="24"/>
      <c r="M3584" s="27" t="str">
        <f t="shared" si="223"/>
        <v/>
      </c>
      <c r="N3584" s="25"/>
      <c r="O3584" s="22"/>
      <c r="P3584" s="24"/>
      <c r="Q3584" s="26"/>
    </row>
    <row r="3585" spans="1:17" ht="15" x14ac:dyDescent="0.15">
      <c r="A3585" s="22"/>
      <c r="B3585" s="26" t="str">
        <f t="shared" si="220"/>
        <v/>
      </c>
      <c r="C3585" s="26" t="str">
        <f t="shared" si="221"/>
        <v/>
      </c>
      <c r="D3585" s="26" t="str">
        <f t="shared" si="222"/>
        <v/>
      </c>
      <c r="E3585" s="29"/>
      <c r="F3585" s="22"/>
      <c r="G3585" s="22"/>
      <c r="H3585" s="22"/>
      <c r="I3585" s="24"/>
      <c r="J3585" s="24"/>
      <c r="K3585" s="24"/>
      <c r="L3585" s="24"/>
      <c r="M3585" s="27" t="str">
        <f t="shared" si="223"/>
        <v/>
      </c>
      <c r="N3585" s="25"/>
      <c r="O3585" s="22"/>
      <c r="P3585" s="24"/>
      <c r="Q3585" s="26"/>
    </row>
    <row r="3586" spans="1:17" ht="15" x14ac:dyDescent="0.15">
      <c r="A3586" s="22"/>
      <c r="B3586" s="26" t="str">
        <f t="shared" si="220"/>
        <v/>
      </c>
      <c r="C3586" s="26" t="str">
        <f t="shared" si="221"/>
        <v/>
      </c>
      <c r="D3586" s="26" t="str">
        <f t="shared" si="222"/>
        <v/>
      </c>
      <c r="E3586" s="29"/>
      <c r="F3586" s="22"/>
      <c r="G3586" s="22"/>
      <c r="H3586" s="22"/>
      <c r="I3586" s="24"/>
      <c r="J3586" s="24"/>
      <c r="K3586" s="24"/>
      <c r="L3586" s="24"/>
      <c r="M3586" s="27" t="str">
        <f t="shared" si="223"/>
        <v/>
      </c>
      <c r="N3586" s="25"/>
      <c r="O3586" s="22"/>
      <c r="P3586" s="24"/>
      <c r="Q3586" s="26"/>
    </row>
    <row r="3587" spans="1:17" ht="15" x14ac:dyDescent="0.15">
      <c r="A3587" s="22"/>
      <c r="B3587" s="26" t="str">
        <f t="shared" si="220"/>
        <v/>
      </c>
      <c r="C3587" s="26" t="str">
        <f t="shared" si="221"/>
        <v/>
      </c>
      <c r="D3587" s="26" t="str">
        <f t="shared" si="222"/>
        <v/>
      </c>
      <c r="E3587" s="29"/>
      <c r="F3587" s="22"/>
      <c r="G3587" s="22"/>
      <c r="H3587" s="22"/>
      <c r="I3587" s="24"/>
      <c r="J3587" s="24"/>
      <c r="K3587" s="24"/>
      <c r="L3587" s="24"/>
      <c r="M3587" s="27" t="str">
        <f t="shared" si="223"/>
        <v/>
      </c>
      <c r="N3587" s="25"/>
      <c r="O3587" s="22"/>
      <c r="P3587" s="24"/>
      <c r="Q3587" s="26"/>
    </row>
    <row r="3588" spans="1:17" ht="15" x14ac:dyDescent="0.15">
      <c r="A3588" s="22"/>
      <c r="B3588" s="26" t="str">
        <f t="shared" si="220"/>
        <v/>
      </c>
      <c r="C3588" s="26" t="str">
        <f t="shared" si="221"/>
        <v/>
      </c>
      <c r="D3588" s="26" t="str">
        <f t="shared" si="222"/>
        <v/>
      </c>
      <c r="E3588" s="29"/>
      <c r="F3588" s="22"/>
      <c r="G3588" s="22"/>
      <c r="H3588" s="22"/>
      <c r="I3588" s="24"/>
      <c r="J3588" s="24"/>
      <c r="K3588" s="24"/>
      <c r="L3588" s="24"/>
      <c r="M3588" s="27" t="str">
        <f t="shared" si="223"/>
        <v/>
      </c>
      <c r="N3588" s="25"/>
      <c r="O3588" s="22"/>
      <c r="P3588" s="24"/>
      <c r="Q3588" s="26"/>
    </row>
    <row r="3589" spans="1:17" ht="15" x14ac:dyDescent="0.15">
      <c r="A3589" s="22"/>
      <c r="B3589" s="26" t="str">
        <f t="shared" si="220"/>
        <v/>
      </c>
      <c r="C3589" s="26" t="str">
        <f t="shared" si="221"/>
        <v/>
      </c>
      <c r="D3589" s="26" t="str">
        <f t="shared" si="222"/>
        <v/>
      </c>
      <c r="E3589" s="29"/>
      <c r="F3589" s="22"/>
      <c r="G3589" s="22"/>
      <c r="H3589" s="22"/>
      <c r="I3589" s="24"/>
      <c r="J3589" s="24"/>
      <c r="K3589" s="24"/>
      <c r="L3589" s="24"/>
      <c r="M3589" s="27" t="str">
        <f t="shared" si="223"/>
        <v/>
      </c>
      <c r="N3589" s="25"/>
      <c r="O3589" s="22"/>
      <c r="P3589" s="24"/>
      <c r="Q3589" s="26"/>
    </row>
    <row r="3590" spans="1:17" ht="15" x14ac:dyDescent="0.15">
      <c r="A3590" s="22"/>
      <c r="B3590" s="26" t="str">
        <f t="shared" si="220"/>
        <v/>
      </c>
      <c r="C3590" s="26" t="str">
        <f t="shared" si="221"/>
        <v/>
      </c>
      <c r="D3590" s="26" t="str">
        <f t="shared" si="222"/>
        <v/>
      </c>
      <c r="E3590" s="29"/>
      <c r="F3590" s="22"/>
      <c r="G3590" s="22"/>
      <c r="H3590" s="22"/>
      <c r="I3590" s="24"/>
      <c r="J3590" s="24"/>
      <c r="K3590" s="24"/>
      <c r="L3590" s="24"/>
      <c r="M3590" s="27" t="str">
        <f t="shared" si="223"/>
        <v/>
      </c>
      <c r="N3590" s="25"/>
      <c r="O3590" s="22"/>
      <c r="P3590" s="24"/>
      <c r="Q3590" s="26"/>
    </row>
    <row r="3591" spans="1:17" ht="15" x14ac:dyDescent="0.15">
      <c r="A3591" s="22"/>
      <c r="B3591" s="26" t="str">
        <f t="shared" ref="B3591:B3654" si="224">IFERROR(IF($A3591="","",LEFT($A3591,FIND(" | ",$A3591)-1)),"")</f>
        <v/>
      </c>
      <c r="C3591" s="26" t="str">
        <f t="shared" ref="C3591:C3654" si="225">IFERROR(IF($A3591="","",MID($A3591,FIND(" | ",$A3591)+3,FIND(" | ",$A3591,FIND(" | ",$A3591)+3)-FIND(" | ",$A3591)-3)),"")</f>
        <v/>
      </c>
      <c r="D3591" s="26" t="str">
        <f t="shared" ref="D3591:D3654" si="226">IFERROR(IF($A3591="","",RIGHT($A3591,LEN($A3591)-FIND(" | ",$A3591,FIND(" | ",$A3591)+3)-2)),"")</f>
        <v/>
      </c>
      <c r="E3591" s="29"/>
      <c r="F3591" s="22"/>
      <c r="G3591" s="22"/>
      <c r="H3591" s="22"/>
      <c r="I3591" s="24"/>
      <c r="J3591" s="24"/>
      <c r="K3591" s="24"/>
      <c r="L3591" s="24"/>
      <c r="M3591" s="27" t="str">
        <f t="shared" ref="M3591:M3654" si="227">IF($B3591="","",SUM($J3591,-$K3591,$L3591))</f>
        <v/>
      </c>
      <c r="N3591" s="25"/>
      <c r="O3591" s="22"/>
      <c r="P3591" s="24"/>
      <c r="Q3591" s="26"/>
    </row>
    <row r="3592" spans="1:17" ht="15" x14ac:dyDescent="0.15">
      <c r="A3592" s="22"/>
      <c r="B3592" s="26" t="str">
        <f t="shared" si="224"/>
        <v/>
      </c>
      <c r="C3592" s="26" t="str">
        <f t="shared" si="225"/>
        <v/>
      </c>
      <c r="D3592" s="26" t="str">
        <f t="shared" si="226"/>
        <v/>
      </c>
      <c r="E3592" s="29"/>
      <c r="F3592" s="22"/>
      <c r="G3592" s="22"/>
      <c r="H3592" s="22"/>
      <c r="I3592" s="24"/>
      <c r="J3592" s="24"/>
      <c r="K3592" s="24"/>
      <c r="L3592" s="24"/>
      <c r="M3592" s="27" t="str">
        <f t="shared" si="227"/>
        <v/>
      </c>
      <c r="N3592" s="25"/>
      <c r="O3592" s="22"/>
      <c r="P3592" s="24"/>
      <c r="Q3592" s="26"/>
    </row>
    <row r="3593" spans="1:17" ht="15" x14ac:dyDescent="0.15">
      <c r="A3593" s="22"/>
      <c r="B3593" s="26" t="str">
        <f t="shared" si="224"/>
        <v/>
      </c>
      <c r="C3593" s="26" t="str">
        <f t="shared" si="225"/>
        <v/>
      </c>
      <c r="D3593" s="26" t="str">
        <f t="shared" si="226"/>
        <v/>
      </c>
      <c r="E3593" s="29"/>
      <c r="F3593" s="22"/>
      <c r="G3593" s="22"/>
      <c r="H3593" s="22"/>
      <c r="I3593" s="24"/>
      <c r="J3593" s="24"/>
      <c r="K3593" s="24"/>
      <c r="L3593" s="24"/>
      <c r="M3593" s="27" t="str">
        <f t="shared" si="227"/>
        <v/>
      </c>
      <c r="N3593" s="25"/>
      <c r="O3593" s="22"/>
      <c r="P3593" s="24"/>
      <c r="Q3593" s="26"/>
    </row>
    <row r="3594" spans="1:17" ht="15" x14ac:dyDescent="0.15">
      <c r="A3594" s="22"/>
      <c r="B3594" s="26" t="str">
        <f t="shared" si="224"/>
        <v/>
      </c>
      <c r="C3594" s="26" t="str">
        <f t="shared" si="225"/>
        <v/>
      </c>
      <c r="D3594" s="26" t="str">
        <f t="shared" si="226"/>
        <v/>
      </c>
      <c r="E3594" s="29"/>
      <c r="F3594" s="22"/>
      <c r="G3594" s="22"/>
      <c r="H3594" s="22"/>
      <c r="I3594" s="24"/>
      <c r="J3594" s="24"/>
      <c r="K3594" s="24"/>
      <c r="L3594" s="24"/>
      <c r="M3594" s="27" t="str">
        <f t="shared" si="227"/>
        <v/>
      </c>
      <c r="N3594" s="25"/>
      <c r="O3594" s="22"/>
      <c r="P3594" s="24"/>
      <c r="Q3594" s="26"/>
    </row>
    <row r="3595" spans="1:17" ht="15" x14ac:dyDescent="0.15">
      <c r="A3595" s="22"/>
      <c r="B3595" s="26" t="str">
        <f t="shared" si="224"/>
        <v/>
      </c>
      <c r="C3595" s="26" t="str">
        <f t="shared" si="225"/>
        <v/>
      </c>
      <c r="D3595" s="26" t="str">
        <f t="shared" si="226"/>
        <v/>
      </c>
      <c r="E3595" s="29"/>
      <c r="F3595" s="22"/>
      <c r="G3595" s="22"/>
      <c r="H3595" s="22"/>
      <c r="I3595" s="24"/>
      <c r="J3595" s="24"/>
      <c r="K3595" s="24"/>
      <c r="L3595" s="24"/>
      <c r="M3595" s="27" t="str">
        <f t="shared" si="227"/>
        <v/>
      </c>
      <c r="N3595" s="25"/>
      <c r="O3595" s="22"/>
      <c r="P3595" s="24"/>
      <c r="Q3595" s="26"/>
    </row>
    <row r="3596" spans="1:17" ht="15" x14ac:dyDescent="0.15">
      <c r="A3596" s="22"/>
      <c r="B3596" s="26" t="str">
        <f t="shared" si="224"/>
        <v/>
      </c>
      <c r="C3596" s="26" t="str">
        <f t="shared" si="225"/>
        <v/>
      </c>
      <c r="D3596" s="26" t="str">
        <f t="shared" si="226"/>
        <v/>
      </c>
      <c r="E3596" s="29"/>
      <c r="F3596" s="22"/>
      <c r="G3596" s="22"/>
      <c r="H3596" s="22"/>
      <c r="I3596" s="24"/>
      <c r="J3596" s="24"/>
      <c r="K3596" s="24"/>
      <c r="L3596" s="24"/>
      <c r="M3596" s="27" t="str">
        <f t="shared" si="227"/>
        <v/>
      </c>
      <c r="N3596" s="25"/>
      <c r="O3596" s="22"/>
      <c r="P3596" s="24"/>
      <c r="Q3596" s="26"/>
    </row>
    <row r="3597" spans="1:17" ht="15" x14ac:dyDescent="0.15">
      <c r="A3597" s="22"/>
      <c r="B3597" s="26" t="str">
        <f t="shared" si="224"/>
        <v/>
      </c>
      <c r="C3597" s="26" t="str">
        <f t="shared" si="225"/>
        <v/>
      </c>
      <c r="D3597" s="26" t="str">
        <f t="shared" si="226"/>
        <v/>
      </c>
      <c r="E3597" s="29"/>
      <c r="F3597" s="22"/>
      <c r="G3597" s="22"/>
      <c r="H3597" s="22"/>
      <c r="I3597" s="24"/>
      <c r="J3597" s="24"/>
      <c r="K3597" s="24"/>
      <c r="L3597" s="24"/>
      <c r="M3597" s="27" t="str">
        <f t="shared" si="227"/>
        <v/>
      </c>
      <c r="N3597" s="25"/>
      <c r="O3597" s="22"/>
      <c r="P3597" s="24"/>
      <c r="Q3597" s="26"/>
    </row>
    <row r="3598" spans="1:17" ht="15" x14ac:dyDescent="0.15">
      <c r="A3598" s="22"/>
      <c r="B3598" s="26" t="str">
        <f t="shared" si="224"/>
        <v/>
      </c>
      <c r="C3598" s="26" t="str">
        <f t="shared" si="225"/>
        <v/>
      </c>
      <c r="D3598" s="26" t="str">
        <f t="shared" si="226"/>
        <v/>
      </c>
      <c r="E3598" s="29"/>
      <c r="F3598" s="22"/>
      <c r="G3598" s="22"/>
      <c r="H3598" s="22"/>
      <c r="I3598" s="24"/>
      <c r="J3598" s="24"/>
      <c r="K3598" s="24"/>
      <c r="L3598" s="24"/>
      <c r="M3598" s="27" t="str">
        <f t="shared" si="227"/>
        <v/>
      </c>
      <c r="N3598" s="25"/>
      <c r="O3598" s="22"/>
      <c r="P3598" s="24"/>
      <c r="Q3598" s="26"/>
    </row>
    <row r="3599" spans="1:17" ht="15" x14ac:dyDescent="0.15">
      <c r="A3599" s="22"/>
      <c r="B3599" s="26" t="str">
        <f t="shared" si="224"/>
        <v/>
      </c>
      <c r="C3599" s="26" t="str">
        <f t="shared" si="225"/>
        <v/>
      </c>
      <c r="D3599" s="26" t="str">
        <f t="shared" si="226"/>
        <v/>
      </c>
      <c r="E3599" s="29"/>
      <c r="F3599" s="22"/>
      <c r="G3599" s="22"/>
      <c r="H3599" s="22"/>
      <c r="I3599" s="24"/>
      <c r="J3599" s="24"/>
      <c r="K3599" s="24"/>
      <c r="L3599" s="24"/>
      <c r="M3599" s="27" t="str">
        <f t="shared" si="227"/>
        <v/>
      </c>
      <c r="N3599" s="25"/>
      <c r="O3599" s="22"/>
      <c r="P3599" s="24"/>
      <c r="Q3599" s="26"/>
    </row>
    <row r="3600" spans="1:17" ht="15" x14ac:dyDescent="0.15">
      <c r="A3600" s="22"/>
      <c r="B3600" s="26" t="str">
        <f t="shared" si="224"/>
        <v/>
      </c>
      <c r="C3600" s="26" t="str">
        <f t="shared" si="225"/>
        <v/>
      </c>
      <c r="D3600" s="26" t="str">
        <f t="shared" si="226"/>
        <v/>
      </c>
      <c r="E3600" s="29"/>
      <c r="F3600" s="22"/>
      <c r="G3600" s="22"/>
      <c r="H3600" s="22"/>
      <c r="I3600" s="24"/>
      <c r="J3600" s="24"/>
      <c r="K3600" s="24"/>
      <c r="L3600" s="24"/>
      <c r="M3600" s="27" t="str">
        <f t="shared" si="227"/>
        <v/>
      </c>
      <c r="N3600" s="25"/>
      <c r="O3600" s="22"/>
      <c r="P3600" s="24"/>
      <c r="Q3600" s="26"/>
    </row>
    <row r="3601" spans="1:17" ht="15" x14ac:dyDescent="0.15">
      <c r="A3601" s="22"/>
      <c r="B3601" s="26" t="str">
        <f t="shared" si="224"/>
        <v/>
      </c>
      <c r="C3601" s="26" t="str">
        <f t="shared" si="225"/>
        <v/>
      </c>
      <c r="D3601" s="26" t="str">
        <f t="shared" si="226"/>
        <v/>
      </c>
      <c r="E3601" s="29"/>
      <c r="F3601" s="22"/>
      <c r="G3601" s="22"/>
      <c r="H3601" s="22"/>
      <c r="I3601" s="24"/>
      <c r="J3601" s="24"/>
      <c r="K3601" s="24"/>
      <c r="L3601" s="24"/>
      <c r="M3601" s="27" t="str">
        <f t="shared" si="227"/>
        <v/>
      </c>
      <c r="N3601" s="25"/>
      <c r="O3601" s="22"/>
      <c r="P3601" s="24"/>
      <c r="Q3601" s="26"/>
    </row>
    <row r="3602" spans="1:17" ht="15" x14ac:dyDescent="0.15">
      <c r="A3602" s="22"/>
      <c r="B3602" s="26" t="str">
        <f t="shared" si="224"/>
        <v/>
      </c>
      <c r="C3602" s="26" t="str">
        <f t="shared" si="225"/>
        <v/>
      </c>
      <c r="D3602" s="26" t="str">
        <f t="shared" si="226"/>
        <v/>
      </c>
      <c r="E3602" s="29"/>
      <c r="F3602" s="22"/>
      <c r="G3602" s="22"/>
      <c r="H3602" s="22"/>
      <c r="I3602" s="24"/>
      <c r="J3602" s="24"/>
      <c r="K3602" s="24"/>
      <c r="L3602" s="24"/>
      <c r="M3602" s="27" t="str">
        <f t="shared" si="227"/>
        <v/>
      </c>
      <c r="N3602" s="25"/>
      <c r="O3602" s="22"/>
      <c r="P3602" s="24"/>
      <c r="Q3602" s="26"/>
    </row>
    <row r="3603" spans="1:17" ht="15" x14ac:dyDescent="0.15">
      <c r="A3603" s="22"/>
      <c r="B3603" s="26" t="str">
        <f t="shared" si="224"/>
        <v/>
      </c>
      <c r="C3603" s="26" t="str">
        <f t="shared" si="225"/>
        <v/>
      </c>
      <c r="D3603" s="26" t="str">
        <f t="shared" si="226"/>
        <v/>
      </c>
      <c r="E3603" s="29"/>
      <c r="F3603" s="22"/>
      <c r="G3603" s="22"/>
      <c r="H3603" s="22"/>
      <c r="I3603" s="24"/>
      <c r="J3603" s="24"/>
      <c r="K3603" s="24"/>
      <c r="L3603" s="24"/>
      <c r="M3603" s="27" t="str">
        <f t="shared" si="227"/>
        <v/>
      </c>
      <c r="N3603" s="25"/>
      <c r="O3603" s="22"/>
      <c r="P3603" s="24"/>
      <c r="Q3603" s="26"/>
    </row>
    <row r="3604" spans="1:17" ht="15" x14ac:dyDescent="0.15">
      <c r="A3604" s="22"/>
      <c r="B3604" s="26" t="str">
        <f t="shared" si="224"/>
        <v/>
      </c>
      <c r="C3604" s="26" t="str">
        <f t="shared" si="225"/>
        <v/>
      </c>
      <c r="D3604" s="26" t="str">
        <f t="shared" si="226"/>
        <v/>
      </c>
      <c r="E3604" s="29"/>
      <c r="F3604" s="22"/>
      <c r="G3604" s="22"/>
      <c r="H3604" s="22"/>
      <c r="I3604" s="24"/>
      <c r="J3604" s="24"/>
      <c r="K3604" s="24"/>
      <c r="L3604" s="24"/>
      <c r="M3604" s="27" t="str">
        <f t="shared" si="227"/>
        <v/>
      </c>
      <c r="N3604" s="25"/>
      <c r="O3604" s="22"/>
      <c r="P3604" s="24"/>
      <c r="Q3604" s="26"/>
    </row>
    <row r="3605" spans="1:17" ht="15" x14ac:dyDescent="0.15">
      <c r="A3605" s="22"/>
      <c r="B3605" s="26" t="str">
        <f t="shared" si="224"/>
        <v/>
      </c>
      <c r="C3605" s="26" t="str">
        <f t="shared" si="225"/>
        <v/>
      </c>
      <c r="D3605" s="26" t="str">
        <f t="shared" si="226"/>
        <v/>
      </c>
      <c r="E3605" s="29"/>
      <c r="F3605" s="22"/>
      <c r="G3605" s="22"/>
      <c r="H3605" s="22"/>
      <c r="I3605" s="24"/>
      <c r="J3605" s="24"/>
      <c r="K3605" s="24"/>
      <c r="L3605" s="24"/>
      <c r="M3605" s="27" t="str">
        <f t="shared" si="227"/>
        <v/>
      </c>
      <c r="N3605" s="25"/>
      <c r="O3605" s="22"/>
      <c r="P3605" s="24"/>
      <c r="Q3605" s="26"/>
    </row>
    <row r="3606" spans="1:17" ht="15" x14ac:dyDescent="0.15">
      <c r="A3606" s="22"/>
      <c r="B3606" s="26" t="str">
        <f t="shared" si="224"/>
        <v/>
      </c>
      <c r="C3606" s="26" t="str">
        <f t="shared" si="225"/>
        <v/>
      </c>
      <c r="D3606" s="26" t="str">
        <f t="shared" si="226"/>
        <v/>
      </c>
      <c r="E3606" s="29"/>
      <c r="F3606" s="22"/>
      <c r="G3606" s="22"/>
      <c r="H3606" s="22"/>
      <c r="I3606" s="24"/>
      <c r="J3606" s="24"/>
      <c r="K3606" s="24"/>
      <c r="L3606" s="24"/>
      <c r="M3606" s="27" t="str">
        <f t="shared" si="227"/>
        <v/>
      </c>
      <c r="N3606" s="25"/>
      <c r="O3606" s="22"/>
      <c r="P3606" s="24"/>
      <c r="Q3606" s="26"/>
    </row>
    <row r="3607" spans="1:17" ht="15" x14ac:dyDescent="0.15">
      <c r="A3607" s="22"/>
      <c r="B3607" s="26" t="str">
        <f t="shared" si="224"/>
        <v/>
      </c>
      <c r="C3607" s="26" t="str">
        <f t="shared" si="225"/>
        <v/>
      </c>
      <c r="D3607" s="26" t="str">
        <f t="shared" si="226"/>
        <v/>
      </c>
      <c r="E3607" s="29"/>
      <c r="F3607" s="22"/>
      <c r="G3607" s="22"/>
      <c r="H3607" s="22"/>
      <c r="I3607" s="24"/>
      <c r="J3607" s="24"/>
      <c r="K3607" s="24"/>
      <c r="L3607" s="24"/>
      <c r="M3607" s="27" t="str">
        <f t="shared" si="227"/>
        <v/>
      </c>
      <c r="N3607" s="25"/>
      <c r="O3607" s="22"/>
      <c r="P3607" s="24"/>
      <c r="Q3607" s="26"/>
    </row>
    <row r="3608" spans="1:17" ht="15" x14ac:dyDescent="0.15">
      <c r="A3608" s="22"/>
      <c r="B3608" s="26" t="str">
        <f t="shared" si="224"/>
        <v/>
      </c>
      <c r="C3608" s="26" t="str">
        <f t="shared" si="225"/>
        <v/>
      </c>
      <c r="D3608" s="26" t="str">
        <f t="shared" si="226"/>
        <v/>
      </c>
      <c r="E3608" s="29"/>
      <c r="F3608" s="22"/>
      <c r="G3608" s="22"/>
      <c r="H3608" s="22"/>
      <c r="I3608" s="24"/>
      <c r="J3608" s="24"/>
      <c r="K3608" s="24"/>
      <c r="L3608" s="24"/>
      <c r="M3608" s="27" t="str">
        <f t="shared" si="227"/>
        <v/>
      </c>
      <c r="N3608" s="25"/>
      <c r="O3608" s="22"/>
      <c r="P3608" s="24"/>
      <c r="Q3608" s="26"/>
    </row>
    <row r="3609" spans="1:17" ht="15" x14ac:dyDescent="0.15">
      <c r="A3609" s="22"/>
      <c r="B3609" s="26" t="str">
        <f t="shared" si="224"/>
        <v/>
      </c>
      <c r="C3609" s="26" t="str">
        <f t="shared" si="225"/>
        <v/>
      </c>
      <c r="D3609" s="26" t="str">
        <f t="shared" si="226"/>
        <v/>
      </c>
      <c r="E3609" s="29"/>
      <c r="F3609" s="22"/>
      <c r="G3609" s="22"/>
      <c r="H3609" s="22"/>
      <c r="I3609" s="24"/>
      <c r="J3609" s="24"/>
      <c r="K3609" s="24"/>
      <c r="L3609" s="24"/>
      <c r="M3609" s="27" t="str">
        <f t="shared" si="227"/>
        <v/>
      </c>
      <c r="N3609" s="25"/>
      <c r="O3609" s="22"/>
      <c r="P3609" s="24"/>
      <c r="Q3609" s="26"/>
    </row>
    <row r="3610" spans="1:17" ht="15" x14ac:dyDescent="0.15">
      <c r="A3610" s="22"/>
      <c r="B3610" s="26" t="str">
        <f t="shared" si="224"/>
        <v/>
      </c>
      <c r="C3610" s="26" t="str">
        <f t="shared" si="225"/>
        <v/>
      </c>
      <c r="D3610" s="26" t="str">
        <f t="shared" si="226"/>
        <v/>
      </c>
      <c r="E3610" s="29"/>
      <c r="F3610" s="22"/>
      <c r="G3610" s="22"/>
      <c r="H3610" s="22"/>
      <c r="I3610" s="24"/>
      <c r="J3610" s="24"/>
      <c r="K3610" s="24"/>
      <c r="L3610" s="24"/>
      <c r="M3610" s="27" t="str">
        <f t="shared" si="227"/>
        <v/>
      </c>
      <c r="N3610" s="25"/>
      <c r="O3610" s="22"/>
      <c r="P3610" s="24"/>
      <c r="Q3610" s="26"/>
    </row>
    <row r="3611" spans="1:17" ht="15" x14ac:dyDescent="0.15">
      <c r="A3611" s="22"/>
      <c r="B3611" s="26" t="str">
        <f t="shared" si="224"/>
        <v/>
      </c>
      <c r="C3611" s="26" t="str">
        <f t="shared" si="225"/>
        <v/>
      </c>
      <c r="D3611" s="26" t="str">
        <f t="shared" si="226"/>
        <v/>
      </c>
      <c r="E3611" s="29"/>
      <c r="F3611" s="22"/>
      <c r="G3611" s="22"/>
      <c r="H3611" s="22"/>
      <c r="I3611" s="24"/>
      <c r="J3611" s="24"/>
      <c r="K3611" s="24"/>
      <c r="L3611" s="24"/>
      <c r="M3611" s="27" t="str">
        <f t="shared" si="227"/>
        <v/>
      </c>
      <c r="N3611" s="25"/>
      <c r="O3611" s="22"/>
      <c r="P3611" s="24"/>
      <c r="Q3611" s="26"/>
    </row>
    <row r="3612" spans="1:17" ht="15" x14ac:dyDescent="0.15">
      <c r="A3612" s="22"/>
      <c r="B3612" s="26" t="str">
        <f t="shared" si="224"/>
        <v/>
      </c>
      <c r="C3612" s="26" t="str">
        <f t="shared" si="225"/>
        <v/>
      </c>
      <c r="D3612" s="26" t="str">
        <f t="shared" si="226"/>
        <v/>
      </c>
      <c r="E3612" s="29"/>
      <c r="F3612" s="22"/>
      <c r="G3612" s="22"/>
      <c r="H3612" s="22"/>
      <c r="I3612" s="24"/>
      <c r="J3612" s="24"/>
      <c r="K3612" s="24"/>
      <c r="L3612" s="24"/>
      <c r="M3612" s="27" t="str">
        <f t="shared" si="227"/>
        <v/>
      </c>
      <c r="N3612" s="25"/>
      <c r="O3612" s="22"/>
      <c r="P3612" s="24"/>
      <c r="Q3612" s="26"/>
    </row>
    <row r="3613" spans="1:17" ht="15" x14ac:dyDescent="0.15">
      <c r="A3613" s="22"/>
      <c r="B3613" s="26" t="str">
        <f t="shared" si="224"/>
        <v/>
      </c>
      <c r="C3613" s="26" t="str">
        <f t="shared" si="225"/>
        <v/>
      </c>
      <c r="D3613" s="26" t="str">
        <f t="shared" si="226"/>
        <v/>
      </c>
      <c r="E3613" s="29"/>
      <c r="F3613" s="22"/>
      <c r="G3613" s="22"/>
      <c r="H3613" s="22"/>
      <c r="I3613" s="24"/>
      <c r="J3613" s="24"/>
      <c r="K3613" s="24"/>
      <c r="L3613" s="24"/>
      <c r="M3613" s="27" t="str">
        <f t="shared" si="227"/>
        <v/>
      </c>
      <c r="N3613" s="25"/>
      <c r="O3613" s="22"/>
      <c r="P3613" s="24"/>
      <c r="Q3613" s="26"/>
    </row>
    <row r="3614" spans="1:17" ht="15" x14ac:dyDescent="0.15">
      <c r="A3614" s="22"/>
      <c r="B3614" s="26" t="str">
        <f t="shared" si="224"/>
        <v/>
      </c>
      <c r="C3614" s="26" t="str">
        <f t="shared" si="225"/>
        <v/>
      </c>
      <c r="D3614" s="26" t="str">
        <f t="shared" si="226"/>
        <v/>
      </c>
      <c r="E3614" s="29"/>
      <c r="F3614" s="22"/>
      <c r="G3614" s="22"/>
      <c r="H3614" s="22"/>
      <c r="I3614" s="24"/>
      <c r="J3614" s="24"/>
      <c r="K3614" s="24"/>
      <c r="L3614" s="24"/>
      <c r="M3614" s="27" t="str">
        <f t="shared" si="227"/>
        <v/>
      </c>
      <c r="N3614" s="25"/>
      <c r="O3614" s="22"/>
      <c r="P3614" s="24"/>
      <c r="Q3614" s="26"/>
    </row>
    <row r="3615" spans="1:17" ht="15" x14ac:dyDescent="0.15">
      <c r="A3615" s="22"/>
      <c r="B3615" s="26" t="str">
        <f t="shared" si="224"/>
        <v/>
      </c>
      <c r="C3615" s="26" t="str">
        <f t="shared" si="225"/>
        <v/>
      </c>
      <c r="D3615" s="26" t="str">
        <f t="shared" si="226"/>
        <v/>
      </c>
      <c r="E3615" s="29"/>
      <c r="F3615" s="22"/>
      <c r="G3615" s="22"/>
      <c r="H3615" s="22"/>
      <c r="I3615" s="24"/>
      <c r="J3615" s="24"/>
      <c r="K3615" s="24"/>
      <c r="L3615" s="24"/>
      <c r="M3615" s="27" t="str">
        <f t="shared" si="227"/>
        <v/>
      </c>
      <c r="N3615" s="25"/>
      <c r="O3615" s="22"/>
      <c r="P3615" s="24"/>
      <c r="Q3615" s="26"/>
    </row>
    <row r="3616" spans="1:17" ht="15" x14ac:dyDescent="0.15">
      <c r="A3616" s="22"/>
      <c r="B3616" s="26" t="str">
        <f t="shared" si="224"/>
        <v/>
      </c>
      <c r="C3616" s="26" t="str">
        <f t="shared" si="225"/>
        <v/>
      </c>
      <c r="D3616" s="26" t="str">
        <f t="shared" si="226"/>
        <v/>
      </c>
      <c r="E3616" s="29"/>
      <c r="F3616" s="22"/>
      <c r="G3616" s="22"/>
      <c r="H3616" s="22"/>
      <c r="I3616" s="24"/>
      <c r="J3616" s="24"/>
      <c r="K3616" s="24"/>
      <c r="L3616" s="24"/>
      <c r="M3616" s="27" t="str">
        <f t="shared" si="227"/>
        <v/>
      </c>
      <c r="N3616" s="25"/>
      <c r="O3616" s="22"/>
      <c r="P3616" s="24"/>
      <c r="Q3616" s="26"/>
    </row>
    <row r="3617" spans="1:17" ht="15" x14ac:dyDescent="0.15">
      <c r="A3617" s="22"/>
      <c r="B3617" s="26" t="str">
        <f t="shared" si="224"/>
        <v/>
      </c>
      <c r="C3617" s="26" t="str">
        <f t="shared" si="225"/>
        <v/>
      </c>
      <c r="D3617" s="26" t="str">
        <f t="shared" si="226"/>
        <v/>
      </c>
      <c r="E3617" s="29"/>
      <c r="F3617" s="22"/>
      <c r="G3617" s="22"/>
      <c r="H3617" s="22"/>
      <c r="I3617" s="24"/>
      <c r="J3617" s="24"/>
      <c r="K3617" s="24"/>
      <c r="L3617" s="24"/>
      <c r="M3617" s="27" t="str">
        <f t="shared" si="227"/>
        <v/>
      </c>
      <c r="N3617" s="25"/>
      <c r="O3617" s="22"/>
      <c r="P3617" s="24"/>
      <c r="Q3617" s="26"/>
    </row>
    <row r="3618" spans="1:17" ht="15" x14ac:dyDescent="0.15">
      <c r="A3618" s="22"/>
      <c r="B3618" s="26" t="str">
        <f t="shared" si="224"/>
        <v/>
      </c>
      <c r="C3618" s="26" t="str">
        <f t="shared" si="225"/>
        <v/>
      </c>
      <c r="D3618" s="26" t="str">
        <f t="shared" si="226"/>
        <v/>
      </c>
      <c r="E3618" s="29"/>
      <c r="F3618" s="22"/>
      <c r="G3618" s="22"/>
      <c r="H3618" s="22"/>
      <c r="I3618" s="24"/>
      <c r="J3618" s="24"/>
      <c r="K3618" s="24"/>
      <c r="L3618" s="24"/>
      <c r="M3618" s="27" t="str">
        <f t="shared" si="227"/>
        <v/>
      </c>
      <c r="N3618" s="25"/>
      <c r="O3618" s="22"/>
      <c r="P3618" s="24"/>
      <c r="Q3618" s="26"/>
    </row>
    <row r="3619" spans="1:17" ht="15" x14ac:dyDescent="0.15">
      <c r="A3619" s="22"/>
      <c r="B3619" s="26" t="str">
        <f t="shared" si="224"/>
        <v/>
      </c>
      <c r="C3619" s="26" t="str">
        <f t="shared" si="225"/>
        <v/>
      </c>
      <c r="D3619" s="26" t="str">
        <f t="shared" si="226"/>
        <v/>
      </c>
      <c r="E3619" s="29"/>
      <c r="F3619" s="22"/>
      <c r="G3619" s="22"/>
      <c r="H3619" s="22"/>
      <c r="I3619" s="24"/>
      <c r="J3619" s="24"/>
      <c r="K3619" s="24"/>
      <c r="L3619" s="24"/>
      <c r="M3619" s="27" t="str">
        <f t="shared" si="227"/>
        <v/>
      </c>
      <c r="N3619" s="25"/>
      <c r="O3619" s="22"/>
      <c r="P3619" s="24"/>
      <c r="Q3619" s="26"/>
    </row>
    <row r="3620" spans="1:17" ht="15" x14ac:dyDescent="0.15">
      <c r="A3620" s="22"/>
      <c r="B3620" s="26" t="str">
        <f t="shared" si="224"/>
        <v/>
      </c>
      <c r="C3620" s="26" t="str">
        <f t="shared" si="225"/>
        <v/>
      </c>
      <c r="D3620" s="26" t="str">
        <f t="shared" si="226"/>
        <v/>
      </c>
      <c r="E3620" s="29"/>
      <c r="F3620" s="22"/>
      <c r="G3620" s="22"/>
      <c r="H3620" s="22"/>
      <c r="I3620" s="24"/>
      <c r="J3620" s="24"/>
      <c r="K3620" s="24"/>
      <c r="L3620" s="24"/>
      <c r="M3620" s="27" t="str">
        <f t="shared" si="227"/>
        <v/>
      </c>
      <c r="N3620" s="25"/>
      <c r="O3620" s="22"/>
      <c r="P3620" s="24"/>
      <c r="Q3620" s="26"/>
    </row>
    <row r="3621" spans="1:17" ht="15" x14ac:dyDescent="0.15">
      <c r="A3621" s="22"/>
      <c r="B3621" s="26" t="str">
        <f t="shared" si="224"/>
        <v/>
      </c>
      <c r="C3621" s="26" t="str">
        <f t="shared" si="225"/>
        <v/>
      </c>
      <c r="D3621" s="26" t="str">
        <f t="shared" si="226"/>
        <v/>
      </c>
      <c r="E3621" s="29"/>
      <c r="F3621" s="22"/>
      <c r="G3621" s="22"/>
      <c r="H3621" s="22"/>
      <c r="I3621" s="24"/>
      <c r="J3621" s="24"/>
      <c r="K3621" s="24"/>
      <c r="L3621" s="24"/>
      <c r="M3621" s="27" t="str">
        <f t="shared" si="227"/>
        <v/>
      </c>
      <c r="N3621" s="25"/>
      <c r="O3621" s="22"/>
      <c r="P3621" s="24"/>
      <c r="Q3621" s="26"/>
    </row>
    <row r="3622" spans="1:17" ht="15" x14ac:dyDescent="0.15">
      <c r="A3622" s="22"/>
      <c r="B3622" s="26" t="str">
        <f t="shared" si="224"/>
        <v/>
      </c>
      <c r="C3622" s="26" t="str">
        <f t="shared" si="225"/>
        <v/>
      </c>
      <c r="D3622" s="26" t="str">
        <f t="shared" si="226"/>
        <v/>
      </c>
      <c r="E3622" s="29"/>
      <c r="F3622" s="22"/>
      <c r="G3622" s="22"/>
      <c r="H3622" s="22"/>
      <c r="I3622" s="24"/>
      <c r="J3622" s="24"/>
      <c r="K3622" s="24"/>
      <c r="L3622" s="24"/>
      <c r="M3622" s="27" t="str">
        <f t="shared" si="227"/>
        <v/>
      </c>
      <c r="N3622" s="25"/>
      <c r="O3622" s="22"/>
      <c r="P3622" s="24"/>
      <c r="Q3622" s="26"/>
    </row>
    <row r="3623" spans="1:17" ht="15" x14ac:dyDescent="0.15">
      <c r="A3623" s="22"/>
      <c r="B3623" s="26" t="str">
        <f t="shared" si="224"/>
        <v/>
      </c>
      <c r="C3623" s="26" t="str">
        <f t="shared" si="225"/>
        <v/>
      </c>
      <c r="D3623" s="26" t="str">
        <f t="shared" si="226"/>
        <v/>
      </c>
      <c r="E3623" s="29"/>
      <c r="F3623" s="22"/>
      <c r="G3623" s="22"/>
      <c r="H3623" s="22"/>
      <c r="I3623" s="24"/>
      <c r="J3623" s="24"/>
      <c r="K3623" s="24"/>
      <c r="L3623" s="24"/>
      <c r="M3623" s="27" t="str">
        <f t="shared" si="227"/>
        <v/>
      </c>
      <c r="N3623" s="25"/>
      <c r="O3623" s="22"/>
      <c r="P3623" s="24"/>
      <c r="Q3623" s="26"/>
    </row>
    <row r="3624" spans="1:17" ht="15" x14ac:dyDescent="0.15">
      <c r="A3624" s="22"/>
      <c r="B3624" s="26" t="str">
        <f t="shared" si="224"/>
        <v/>
      </c>
      <c r="C3624" s="26" t="str">
        <f t="shared" si="225"/>
        <v/>
      </c>
      <c r="D3624" s="26" t="str">
        <f t="shared" si="226"/>
        <v/>
      </c>
      <c r="E3624" s="29"/>
      <c r="F3624" s="22"/>
      <c r="G3624" s="22"/>
      <c r="H3624" s="22"/>
      <c r="I3624" s="24"/>
      <c r="J3624" s="24"/>
      <c r="K3624" s="24"/>
      <c r="L3624" s="24"/>
      <c r="M3624" s="27" t="str">
        <f t="shared" si="227"/>
        <v/>
      </c>
      <c r="N3624" s="25"/>
      <c r="O3624" s="22"/>
      <c r="P3624" s="24"/>
      <c r="Q3624" s="26"/>
    </row>
    <row r="3625" spans="1:17" ht="15" x14ac:dyDescent="0.15">
      <c r="A3625" s="22"/>
      <c r="B3625" s="26" t="str">
        <f t="shared" si="224"/>
        <v/>
      </c>
      <c r="C3625" s="26" t="str">
        <f t="shared" si="225"/>
        <v/>
      </c>
      <c r="D3625" s="26" t="str">
        <f t="shared" si="226"/>
        <v/>
      </c>
      <c r="E3625" s="29"/>
      <c r="F3625" s="22"/>
      <c r="G3625" s="22"/>
      <c r="H3625" s="22"/>
      <c r="I3625" s="24"/>
      <c r="J3625" s="24"/>
      <c r="K3625" s="24"/>
      <c r="L3625" s="24"/>
      <c r="M3625" s="27" t="str">
        <f t="shared" si="227"/>
        <v/>
      </c>
      <c r="N3625" s="25"/>
      <c r="O3625" s="22"/>
      <c r="P3625" s="24"/>
      <c r="Q3625" s="26"/>
    </row>
    <row r="3626" spans="1:17" ht="15" x14ac:dyDescent="0.15">
      <c r="A3626" s="22"/>
      <c r="B3626" s="26" t="str">
        <f t="shared" si="224"/>
        <v/>
      </c>
      <c r="C3626" s="26" t="str">
        <f t="shared" si="225"/>
        <v/>
      </c>
      <c r="D3626" s="26" t="str">
        <f t="shared" si="226"/>
        <v/>
      </c>
      <c r="E3626" s="29"/>
      <c r="F3626" s="22"/>
      <c r="G3626" s="22"/>
      <c r="H3626" s="22"/>
      <c r="I3626" s="24"/>
      <c r="J3626" s="24"/>
      <c r="K3626" s="24"/>
      <c r="L3626" s="24"/>
      <c r="M3626" s="27" t="str">
        <f t="shared" si="227"/>
        <v/>
      </c>
      <c r="N3626" s="25"/>
      <c r="O3626" s="22"/>
      <c r="P3626" s="24"/>
      <c r="Q3626" s="26"/>
    </row>
    <row r="3627" spans="1:17" ht="15" x14ac:dyDescent="0.15">
      <c r="A3627" s="22"/>
      <c r="B3627" s="26" t="str">
        <f t="shared" si="224"/>
        <v/>
      </c>
      <c r="C3627" s="26" t="str">
        <f t="shared" si="225"/>
        <v/>
      </c>
      <c r="D3627" s="26" t="str">
        <f t="shared" si="226"/>
        <v/>
      </c>
      <c r="E3627" s="29"/>
      <c r="F3627" s="22"/>
      <c r="G3627" s="22"/>
      <c r="H3627" s="22"/>
      <c r="I3627" s="24"/>
      <c r="J3627" s="24"/>
      <c r="K3627" s="24"/>
      <c r="L3627" s="24"/>
      <c r="M3627" s="27" t="str">
        <f t="shared" si="227"/>
        <v/>
      </c>
      <c r="N3627" s="25"/>
      <c r="O3627" s="22"/>
      <c r="P3627" s="24"/>
      <c r="Q3627" s="26"/>
    </row>
    <row r="3628" spans="1:17" ht="15" x14ac:dyDescent="0.15">
      <c r="A3628" s="22"/>
      <c r="B3628" s="26" t="str">
        <f t="shared" si="224"/>
        <v/>
      </c>
      <c r="C3628" s="26" t="str">
        <f t="shared" si="225"/>
        <v/>
      </c>
      <c r="D3628" s="26" t="str">
        <f t="shared" si="226"/>
        <v/>
      </c>
      <c r="E3628" s="29"/>
      <c r="F3628" s="22"/>
      <c r="G3628" s="22"/>
      <c r="H3628" s="22"/>
      <c r="I3628" s="24"/>
      <c r="J3628" s="24"/>
      <c r="K3628" s="24"/>
      <c r="L3628" s="24"/>
      <c r="M3628" s="27" t="str">
        <f t="shared" si="227"/>
        <v/>
      </c>
      <c r="N3628" s="25"/>
      <c r="O3628" s="22"/>
      <c r="P3628" s="24"/>
      <c r="Q3628" s="26"/>
    </row>
    <row r="3629" spans="1:17" ht="15" x14ac:dyDescent="0.15">
      <c r="A3629" s="22"/>
      <c r="B3629" s="26" t="str">
        <f t="shared" si="224"/>
        <v/>
      </c>
      <c r="C3629" s="26" t="str">
        <f t="shared" si="225"/>
        <v/>
      </c>
      <c r="D3629" s="26" t="str">
        <f t="shared" si="226"/>
        <v/>
      </c>
      <c r="E3629" s="29"/>
      <c r="F3629" s="22"/>
      <c r="G3629" s="22"/>
      <c r="H3629" s="22"/>
      <c r="I3629" s="24"/>
      <c r="J3629" s="24"/>
      <c r="K3629" s="24"/>
      <c r="L3629" s="24"/>
      <c r="M3629" s="27" t="str">
        <f t="shared" si="227"/>
        <v/>
      </c>
      <c r="N3629" s="25"/>
      <c r="O3629" s="22"/>
      <c r="P3629" s="24"/>
      <c r="Q3629" s="26"/>
    </row>
    <row r="3630" spans="1:17" ht="15" x14ac:dyDescent="0.15">
      <c r="A3630" s="22"/>
      <c r="B3630" s="26" t="str">
        <f t="shared" si="224"/>
        <v/>
      </c>
      <c r="C3630" s="26" t="str">
        <f t="shared" si="225"/>
        <v/>
      </c>
      <c r="D3630" s="26" t="str">
        <f t="shared" si="226"/>
        <v/>
      </c>
      <c r="E3630" s="29"/>
      <c r="F3630" s="22"/>
      <c r="G3630" s="22"/>
      <c r="H3630" s="22"/>
      <c r="I3630" s="24"/>
      <c r="J3630" s="24"/>
      <c r="K3630" s="24"/>
      <c r="L3630" s="24"/>
      <c r="M3630" s="27" t="str">
        <f t="shared" si="227"/>
        <v/>
      </c>
      <c r="N3630" s="25"/>
      <c r="O3630" s="22"/>
      <c r="P3630" s="24"/>
      <c r="Q3630" s="26"/>
    </row>
    <row r="3631" spans="1:17" ht="15" x14ac:dyDescent="0.15">
      <c r="A3631" s="22"/>
      <c r="B3631" s="26" t="str">
        <f t="shared" si="224"/>
        <v/>
      </c>
      <c r="C3631" s="26" t="str">
        <f t="shared" si="225"/>
        <v/>
      </c>
      <c r="D3631" s="26" t="str">
        <f t="shared" si="226"/>
        <v/>
      </c>
      <c r="E3631" s="29"/>
      <c r="F3631" s="22"/>
      <c r="G3631" s="22"/>
      <c r="H3631" s="22"/>
      <c r="I3631" s="24"/>
      <c r="J3631" s="24"/>
      <c r="K3631" s="24"/>
      <c r="L3631" s="24"/>
      <c r="M3631" s="27" t="str">
        <f t="shared" si="227"/>
        <v/>
      </c>
      <c r="N3631" s="25"/>
      <c r="O3631" s="22"/>
      <c r="P3631" s="24"/>
      <c r="Q3631" s="26"/>
    </row>
    <row r="3632" spans="1:17" ht="15" x14ac:dyDescent="0.15">
      <c r="A3632" s="22"/>
      <c r="B3632" s="26" t="str">
        <f t="shared" si="224"/>
        <v/>
      </c>
      <c r="C3632" s="26" t="str">
        <f t="shared" si="225"/>
        <v/>
      </c>
      <c r="D3632" s="26" t="str">
        <f t="shared" si="226"/>
        <v/>
      </c>
      <c r="E3632" s="29"/>
      <c r="F3632" s="22"/>
      <c r="G3632" s="22"/>
      <c r="H3632" s="22"/>
      <c r="I3632" s="24"/>
      <c r="J3632" s="24"/>
      <c r="K3632" s="24"/>
      <c r="L3632" s="24"/>
      <c r="M3632" s="27" t="str">
        <f t="shared" si="227"/>
        <v/>
      </c>
      <c r="N3632" s="25"/>
      <c r="O3632" s="22"/>
      <c r="P3632" s="24"/>
      <c r="Q3632" s="26"/>
    </row>
    <row r="3633" spans="1:17" ht="15" x14ac:dyDescent="0.15">
      <c r="A3633" s="22"/>
      <c r="B3633" s="26" t="str">
        <f t="shared" si="224"/>
        <v/>
      </c>
      <c r="C3633" s="26" t="str">
        <f t="shared" si="225"/>
        <v/>
      </c>
      <c r="D3633" s="26" t="str">
        <f t="shared" si="226"/>
        <v/>
      </c>
      <c r="E3633" s="29"/>
      <c r="F3633" s="22"/>
      <c r="G3633" s="22"/>
      <c r="H3633" s="22"/>
      <c r="I3633" s="24"/>
      <c r="J3633" s="24"/>
      <c r="K3633" s="24"/>
      <c r="L3633" s="24"/>
      <c r="M3633" s="27" t="str">
        <f t="shared" si="227"/>
        <v/>
      </c>
      <c r="N3633" s="25"/>
      <c r="O3633" s="22"/>
      <c r="P3633" s="24"/>
      <c r="Q3633" s="26"/>
    </row>
    <row r="3634" spans="1:17" ht="15" x14ac:dyDescent="0.15">
      <c r="A3634" s="22"/>
      <c r="B3634" s="26" t="str">
        <f t="shared" si="224"/>
        <v/>
      </c>
      <c r="C3634" s="26" t="str">
        <f t="shared" si="225"/>
        <v/>
      </c>
      <c r="D3634" s="26" t="str">
        <f t="shared" si="226"/>
        <v/>
      </c>
      <c r="E3634" s="29"/>
      <c r="F3634" s="22"/>
      <c r="G3634" s="22"/>
      <c r="H3634" s="22"/>
      <c r="I3634" s="24"/>
      <c r="J3634" s="24"/>
      <c r="K3634" s="24"/>
      <c r="L3634" s="24"/>
      <c r="M3634" s="27" t="str">
        <f t="shared" si="227"/>
        <v/>
      </c>
      <c r="N3634" s="25"/>
      <c r="O3634" s="22"/>
      <c r="P3634" s="24"/>
      <c r="Q3634" s="26"/>
    </row>
    <row r="3635" spans="1:17" ht="15" x14ac:dyDescent="0.15">
      <c r="A3635" s="22"/>
      <c r="B3635" s="26" t="str">
        <f t="shared" si="224"/>
        <v/>
      </c>
      <c r="C3635" s="26" t="str">
        <f t="shared" si="225"/>
        <v/>
      </c>
      <c r="D3635" s="26" t="str">
        <f t="shared" si="226"/>
        <v/>
      </c>
      <c r="E3635" s="29"/>
      <c r="F3635" s="22"/>
      <c r="G3635" s="22"/>
      <c r="H3635" s="22"/>
      <c r="I3635" s="24"/>
      <c r="J3635" s="24"/>
      <c r="K3635" s="24"/>
      <c r="L3635" s="24"/>
      <c r="M3635" s="27" t="str">
        <f t="shared" si="227"/>
        <v/>
      </c>
      <c r="N3635" s="25"/>
      <c r="O3635" s="22"/>
      <c r="P3635" s="24"/>
      <c r="Q3635" s="26"/>
    </row>
    <row r="3636" spans="1:17" ht="15" x14ac:dyDescent="0.15">
      <c r="A3636" s="22"/>
      <c r="B3636" s="26" t="str">
        <f t="shared" si="224"/>
        <v/>
      </c>
      <c r="C3636" s="26" t="str">
        <f t="shared" si="225"/>
        <v/>
      </c>
      <c r="D3636" s="26" t="str">
        <f t="shared" si="226"/>
        <v/>
      </c>
      <c r="E3636" s="29"/>
      <c r="F3636" s="22"/>
      <c r="G3636" s="22"/>
      <c r="H3636" s="22"/>
      <c r="I3636" s="24"/>
      <c r="J3636" s="24"/>
      <c r="K3636" s="24"/>
      <c r="L3636" s="24"/>
      <c r="M3636" s="27" t="str">
        <f t="shared" si="227"/>
        <v/>
      </c>
      <c r="N3636" s="25"/>
      <c r="O3636" s="22"/>
      <c r="P3636" s="24"/>
      <c r="Q3636" s="26"/>
    </row>
    <row r="3637" spans="1:17" ht="15" x14ac:dyDescent="0.15">
      <c r="A3637" s="22"/>
      <c r="B3637" s="26" t="str">
        <f t="shared" si="224"/>
        <v/>
      </c>
      <c r="C3637" s="26" t="str">
        <f t="shared" si="225"/>
        <v/>
      </c>
      <c r="D3637" s="26" t="str">
        <f t="shared" si="226"/>
        <v/>
      </c>
      <c r="E3637" s="29"/>
      <c r="F3637" s="22"/>
      <c r="G3637" s="22"/>
      <c r="H3637" s="22"/>
      <c r="I3637" s="24"/>
      <c r="J3637" s="24"/>
      <c r="K3637" s="24"/>
      <c r="L3637" s="24"/>
      <c r="M3637" s="27" t="str">
        <f t="shared" si="227"/>
        <v/>
      </c>
      <c r="N3637" s="25"/>
      <c r="O3637" s="22"/>
      <c r="P3637" s="24"/>
      <c r="Q3637" s="26"/>
    </row>
    <row r="3638" spans="1:17" ht="15" x14ac:dyDescent="0.15">
      <c r="A3638" s="22"/>
      <c r="B3638" s="26" t="str">
        <f t="shared" si="224"/>
        <v/>
      </c>
      <c r="C3638" s="26" t="str">
        <f t="shared" si="225"/>
        <v/>
      </c>
      <c r="D3638" s="26" t="str">
        <f t="shared" si="226"/>
        <v/>
      </c>
      <c r="E3638" s="29"/>
      <c r="F3638" s="22"/>
      <c r="G3638" s="22"/>
      <c r="H3638" s="22"/>
      <c r="I3638" s="24"/>
      <c r="J3638" s="24"/>
      <c r="K3638" s="24"/>
      <c r="L3638" s="24"/>
      <c r="M3638" s="27" t="str">
        <f t="shared" si="227"/>
        <v/>
      </c>
      <c r="N3638" s="25"/>
      <c r="O3638" s="22"/>
      <c r="P3638" s="24"/>
      <c r="Q3638" s="26"/>
    </row>
    <row r="3639" spans="1:17" ht="15" x14ac:dyDescent="0.15">
      <c r="A3639" s="22"/>
      <c r="B3639" s="26" t="str">
        <f t="shared" si="224"/>
        <v/>
      </c>
      <c r="C3639" s="26" t="str">
        <f t="shared" si="225"/>
        <v/>
      </c>
      <c r="D3639" s="26" t="str">
        <f t="shared" si="226"/>
        <v/>
      </c>
      <c r="E3639" s="29"/>
      <c r="F3639" s="22"/>
      <c r="G3639" s="22"/>
      <c r="H3639" s="22"/>
      <c r="I3639" s="24"/>
      <c r="J3639" s="24"/>
      <c r="K3639" s="24"/>
      <c r="L3639" s="24"/>
      <c r="M3639" s="27" t="str">
        <f t="shared" si="227"/>
        <v/>
      </c>
      <c r="N3639" s="25"/>
      <c r="O3639" s="22"/>
      <c r="P3639" s="24"/>
      <c r="Q3639" s="26"/>
    </row>
    <row r="3640" spans="1:17" ht="15" x14ac:dyDescent="0.15">
      <c r="A3640" s="22"/>
      <c r="B3640" s="26" t="str">
        <f t="shared" si="224"/>
        <v/>
      </c>
      <c r="C3640" s="26" t="str">
        <f t="shared" si="225"/>
        <v/>
      </c>
      <c r="D3640" s="26" t="str">
        <f t="shared" si="226"/>
        <v/>
      </c>
      <c r="E3640" s="29"/>
      <c r="F3640" s="22"/>
      <c r="G3640" s="22"/>
      <c r="H3640" s="22"/>
      <c r="I3640" s="24"/>
      <c r="J3640" s="24"/>
      <c r="K3640" s="24"/>
      <c r="L3640" s="24"/>
      <c r="M3640" s="27" t="str">
        <f t="shared" si="227"/>
        <v/>
      </c>
      <c r="N3640" s="25"/>
      <c r="O3640" s="22"/>
      <c r="P3640" s="24"/>
      <c r="Q3640" s="26"/>
    </row>
    <row r="3641" spans="1:17" ht="15" x14ac:dyDescent="0.15">
      <c r="A3641" s="22"/>
      <c r="B3641" s="26" t="str">
        <f t="shared" si="224"/>
        <v/>
      </c>
      <c r="C3641" s="26" t="str">
        <f t="shared" si="225"/>
        <v/>
      </c>
      <c r="D3641" s="26" t="str">
        <f t="shared" si="226"/>
        <v/>
      </c>
      <c r="E3641" s="29"/>
      <c r="F3641" s="22"/>
      <c r="G3641" s="22"/>
      <c r="H3641" s="22"/>
      <c r="I3641" s="24"/>
      <c r="J3641" s="24"/>
      <c r="K3641" s="24"/>
      <c r="L3641" s="24"/>
      <c r="M3641" s="27" t="str">
        <f t="shared" si="227"/>
        <v/>
      </c>
      <c r="N3641" s="25"/>
      <c r="O3641" s="22"/>
      <c r="P3641" s="24"/>
      <c r="Q3641" s="26"/>
    </row>
    <row r="3642" spans="1:17" ht="15" x14ac:dyDescent="0.15">
      <c r="A3642" s="22"/>
      <c r="B3642" s="26" t="str">
        <f t="shared" si="224"/>
        <v/>
      </c>
      <c r="C3642" s="26" t="str">
        <f t="shared" si="225"/>
        <v/>
      </c>
      <c r="D3642" s="26" t="str">
        <f t="shared" si="226"/>
        <v/>
      </c>
      <c r="E3642" s="29"/>
      <c r="F3642" s="22"/>
      <c r="G3642" s="22"/>
      <c r="H3642" s="22"/>
      <c r="I3642" s="24"/>
      <c r="J3642" s="24"/>
      <c r="K3642" s="24"/>
      <c r="L3642" s="24"/>
      <c r="M3642" s="27" t="str">
        <f t="shared" si="227"/>
        <v/>
      </c>
      <c r="N3642" s="25"/>
      <c r="O3642" s="22"/>
      <c r="P3642" s="24"/>
      <c r="Q3642" s="26"/>
    </row>
    <row r="3643" spans="1:17" ht="15" x14ac:dyDescent="0.15">
      <c r="A3643" s="22"/>
      <c r="B3643" s="26" t="str">
        <f t="shared" si="224"/>
        <v/>
      </c>
      <c r="C3643" s="26" t="str">
        <f t="shared" si="225"/>
        <v/>
      </c>
      <c r="D3643" s="26" t="str">
        <f t="shared" si="226"/>
        <v/>
      </c>
      <c r="E3643" s="29"/>
      <c r="F3643" s="22"/>
      <c r="G3643" s="22"/>
      <c r="H3643" s="22"/>
      <c r="I3643" s="24"/>
      <c r="J3643" s="24"/>
      <c r="K3643" s="24"/>
      <c r="L3643" s="24"/>
      <c r="M3643" s="27" t="str">
        <f t="shared" si="227"/>
        <v/>
      </c>
      <c r="N3643" s="25"/>
      <c r="O3643" s="22"/>
      <c r="P3643" s="24"/>
      <c r="Q3643" s="26"/>
    </row>
    <row r="3644" spans="1:17" ht="15" x14ac:dyDescent="0.15">
      <c r="A3644" s="22"/>
      <c r="B3644" s="26" t="str">
        <f t="shared" si="224"/>
        <v/>
      </c>
      <c r="C3644" s="26" t="str">
        <f t="shared" si="225"/>
        <v/>
      </c>
      <c r="D3644" s="26" t="str">
        <f t="shared" si="226"/>
        <v/>
      </c>
      <c r="E3644" s="29"/>
      <c r="F3644" s="22"/>
      <c r="G3644" s="22"/>
      <c r="H3644" s="22"/>
      <c r="I3644" s="24"/>
      <c r="J3644" s="24"/>
      <c r="K3644" s="24"/>
      <c r="L3644" s="24"/>
      <c r="M3644" s="27" t="str">
        <f t="shared" si="227"/>
        <v/>
      </c>
      <c r="N3644" s="25"/>
      <c r="O3644" s="22"/>
      <c r="P3644" s="24"/>
      <c r="Q3644" s="26"/>
    </row>
    <row r="3645" spans="1:17" ht="15" x14ac:dyDescent="0.15">
      <c r="A3645" s="22"/>
      <c r="B3645" s="26" t="str">
        <f t="shared" si="224"/>
        <v/>
      </c>
      <c r="C3645" s="26" t="str">
        <f t="shared" si="225"/>
        <v/>
      </c>
      <c r="D3645" s="26" t="str">
        <f t="shared" si="226"/>
        <v/>
      </c>
      <c r="E3645" s="29"/>
      <c r="F3645" s="22"/>
      <c r="G3645" s="22"/>
      <c r="H3645" s="22"/>
      <c r="I3645" s="24"/>
      <c r="J3645" s="24"/>
      <c r="K3645" s="24"/>
      <c r="L3645" s="24"/>
      <c r="M3645" s="27" t="str">
        <f t="shared" si="227"/>
        <v/>
      </c>
      <c r="N3645" s="25"/>
      <c r="O3645" s="22"/>
      <c r="P3645" s="24"/>
      <c r="Q3645" s="26"/>
    </row>
    <row r="3646" spans="1:17" ht="15" x14ac:dyDescent="0.15">
      <c r="A3646" s="22"/>
      <c r="B3646" s="26" t="str">
        <f t="shared" si="224"/>
        <v/>
      </c>
      <c r="C3646" s="26" t="str">
        <f t="shared" si="225"/>
        <v/>
      </c>
      <c r="D3646" s="26" t="str">
        <f t="shared" si="226"/>
        <v/>
      </c>
      <c r="E3646" s="29"/>
      <c r="F3646" s="22"/>
      <c r="G3646" s="22"/>
      <c r="H3646" s="22"/>
      <c r="I3646" s="24"/>
      <c r="J3646" s="24"/>
      <c r="K3646" s="24"/>
      <c r="L3646" s="24"/>
      <c r="M3646" s="27" t="str">
        <f t="shared" si="227"/>
        <v/>
      </c>
      <c r="N3646" s="25"/>
      <c r="O3646" s="22"/>
      <c r="P3646" s="24"/>
      <c r="Q3646" s="26"/>
    </row>
    <row r="3647" spans="1:17" ht="15" x14ac:dyDescent="0.15">
      <c r="A3647" s="22"/>
      <c r="B3647" s="26" t="str">
        <f t="shared" si="224"/>
        <v/>
      </c>
      <c r="C3647" s="26" t="str">
        <f t="shared" si="225"/>
        <v/>
      </c>
      <c r="D3647" s="26" t="str">
        <f t="shared" si="226"/>
        <v/>
      </c>
      <c r="E3647" s="29"/>
      <c r="F3647" s="22"/>
      <c r="G3647" s="22"/>
      <c r="H3647" s="22"/>
      <c r="I3647" s="24"/>
      <c r="J3647" s="24"/>
      <c r="K3647" s="24"/>
      <c r="L3647" s="24"/>
      <c r="M3647" s="27" t="str">
        <f t="shared" si="227"/>
        <v/>
      </c>
      <c r="N3647" s="25"/>
      <c r="O3647" s="22"/>
      <c r="P3647" s="24"/>
      <c r="Q3647" s="26"/>
    </row>
    <row r="3648" spans="1:17" ht="15" x14ac:dyDescent="0.15">
      <c r="A3648" s="22"/>
      <c r="B3648" s="26" t="str">
        <f t="shared" si="224"/>
        <v/>
      </c>
      <c r="C3648" s="26" t="str">
        <f t="shared" si="225"/>
        <v/>
      </c>
      <c r="D3648" s="26" t="str">
        <f t="shared" si="226"/>
        <v/>
      </c>
      <c r="E3648" s="29"/>
      <c r="F3648" s="22"/>
      <c r="G3648" s="22"/>
      <c r="H3648" s="22"/>
      <c r="I3648" s="24"/>
      <c r="J3648" s="24"/>
      <c r="K3648" s="24"/>
      <c r="L3648" s="24"/>
      <c r="M3648" s="27" t="str">
        <f t="shared" si="227"/>
        <v/>
      </c>
      <c r="N3648" s="25"/>
      <c r="O3648" s="22"/>
      <c r="P3648" s="24"/>
      <c r="Q3648" s="26"/>
    </row>
    <row r="3649" spans="1:17" ht="15" x14ac:dyDescent="0.15">
      <c r="A3649" s="22"/>
      <c r="B3649" s="26" t="str">
        <f t="shared" si="224"/>
        <v/>
      </c>
      <c r="C3649" s="26" t="str">
        <f t="shared" si="225"/>
        <v/>
      </c>
      <c r="D3649" s="26" t="str">
        <f t="shared" si="226"/>
        <v/>
      </c>
      <c r="E3649" s="29"/>
      <c r="F3649" s="22"/>
      <c r="G3649" s="22"/>
      <c r="H3649" s="22"/>
      <c r="I3649" s="24"/>
      <c r="J3649" s="24"/>
      <c r="K3649" s="24"/>
      <c r="L3649" s="24"/>
      <c r="M3649" s="27" t="str">
        <f t="shared" si="227"/>
        <v/>
      </c>
      <c r="N3649" s="25"/>
      <c r="O3649" s="22"/>
      <c r="P3649" s="24"/>
      <c r="Q3649" s="26"/>
    </row>
    <row r="3650" spans="1:17" ht="15" x14ac:dyDescent="0.15">
      <c r="A3650" s="22"/>
      <c r="B3650" s="26" t="str">
        <f t="shared" si="224"/>
        <v/>
      </c>
      <c r="C3650" s="26" t="str">
        <f t="shared" si="225"/>
        <v/>
      </c>
      <c r="D3650" s="26" t="str">
        <f t="shared" si="226"/>
        <v/>
      </c>
      <c r="E3650" s="29"/>
      <c r="F3650" s="22"/>
      <c r="G3650" s="22"/>
      <c r="H3650" s="22"/>
      <c r="I3650" s="24"/>
      <c r="J3650" s="24"/>
      <c r="K3650" s="24"/>
      <c r="L3650" s="24"/>
      <c r="M3650" s="27" t="str">
        <f t="shared" si="227"/>
        <v/>
      </c>
      <c r="N3650" s="25"/>
      <c r="O3650" s="22"/>
      <c r="P3650" s="24"/>
      <c r="Q3650" s="26"/>
    </row>
    <row r="3651" spans="1:17" ht="15" x14ac:dyDescent="0.15">
      <c r="A3651" s="22"/>
      <c r="B3651" s="26" t="str">
        <f t="shared" si="224"/>
        <v/>
      </c>
      <c r="C3651" s="26" t="str">
        <f t="shared" si="225"/>
        <v/>
      </c>
      <c r="D3651" s="26" t="str">
        <f t="shared" si="226"/>
        <v/>
      </c>
      <c r="E3651" s="29"/>
      <c r="F3651" s="22"/>
      <c r="G3651" s="22"/>
      <c r="H3651" s="22"/>
      <c r="I3651" s="24"/>
      <c r="J3651" s="24"/>
      <c r="K3651" s="24"/>
      <c r="L3651" s="24"/>
      <c r="M3651" s="27" t="str">
        <f t="shared" si="227"/>
        <v/>
      </c>
      <c r="N3651" s="25"/>
      <c r="O3651" s="22"/>
      <c r="P3651" s="24"/>
      <c r="Q3651" s="26"/>
    </row>
    <row r="3652" spans="1:17" ht="15" x14ac:dyDescent="0.15">
      <c r="A3652" s="22"/>
      <c r="B3652" s="26" t="str">
        <f t="shared" si="224"/>
        <v/>
      </c>
      <c r="C3652" s="26" t="str">
        <f t="shared" si="225"/>
        <v/>
      </c>
      <c r="D3652" s="26" t="str">
        <f t="shared" si="226"/>
        <v/>
      </c>
      <c r="E3652" s="29"/>
      <c r="F3652" s="22"/>
      <c r="G3652" s="22"/>
      <c r="H3652" s="22"/>
      <c r="I3652" s="24"/>
      <c r="J3652" s="24"/>
      <c r="K3652" s="24"/>
      <c r="L3652" s="24"/>
      <c r="M3652" s="27" t="str">
        <f t="shared" si="227"/>
        <v/>
      </c>
      <c r="N3652" s="25"/>
      <c r="O3652" s="22"/>
      <c r="P3652" s="24"/>
      <c r="Q3652" s="26"/>
    </row>
    <row r="3653" spans="1:17" ht="15" x14ac:dyDescent="0.15">
      <c r="A3653" s="22"/>
      <c r="B3653" s="26" t="str">
        <f t="shared" si="224"/>
        <v/>
      </c>
      <c r="C3653" s="26" t="str">
        <f t="shared" si="225"/>
        <v/>
      </c>
      <c r="D3653" s="26" t="str">
        <f t="shared" si="226"/>
        <v/>
      </c>
      <c r="E3653" s="29"/>
      <c r="F3653" s="22"/>
      <c r="G3653" s="22"/>
      <c r="H3653" s="22"/>
      <c r="I3653" s="24"/>
      <c r="J3653" s="24"/>
      <c r="K3653" s="24"/>
      <c r="L3653" s="24"/>
      <c r="M3653" s="27" t="str">
        <f t="shared" si="227"/>
        <v/>
      </c>
      <c r="N3653" s="25"/>
      <c r="O3653" s="22"/>
      <c r="P3653" s="24"/>
      <c r="Q3653" s="26"/>
    </row>
    <row r="3654" spans="1:17" ht="15" x14ac:dyDescent="0.15">
      <c r="A3654" s="22"/>
      <c r="B3654" s="26" t="str">
        <f t="shared" si="224"/>
        <v/>
      </c>
      <c r="C3654" s="26" t="str">
        <f t="shared" si="225"/>
        <v/>
      </c>
      <c r="D3654" s="26" t="str">
        <f t="shared" si="226"/>
        <v/>
      </c>
      <c r="E3654" s="29"/>
      <c r="F3654" s="22"/>
      <c r="G3654" s="22"/>
      <c r="H3654" s="22"/>
      <c r="I3654" s="24"/>
      <c r="J3654" s="24"/>
      <c r="K3654" s="24"/>
      <c r="L3654" s="24"/>
      <c r="M3654" s="27" t="str">
        <f t="shared" si="227"/>
        <v/>
      </c>
      <c r="N3654" s="25"/>
      <c r="O3654" s="22"/>
      <c r="P3654" s="24"/>
      <c r="Q3654" s="26"/>
    </row>
    <row r="3655" spans="1:17" ht="15" x14ac:dyDescent="0.15">
      <c r="A3655" s="22"/>
      <c r="B3655" s="26" t="str">
        <f t="shared" ref="B3655:B3718" si="228">IFERROR(IF($A3655="","",LEFT($A3655,FIND(" | ",$A3655)-1)),"")</f>
        <v/>
      </c>
      <c r="C3655" s="26" t="str">
        <f t="shared" ref="C3655:C3718" si="229">IFERROR(IF($A3655="","",MID($A3655,FIND(" | ",$A3655)+3,FIND(" | ",$A3655,FIND(" | ",$A3655)+3)-FIND(" | ",$A3655)-3)),"")</f>
        <v/>
      </c>
      <c r="D3655" s="26" t="str">
        <f t="shared" ref="D3655:D3718" si="230">IFERROR(IF($A3655="","",RIGHT($A3655,LEN($A3655)-FIND(" | ",$A3655,FIND(" | ",$A3655)+3)-2)),"")</f>
        <v/>
      </c>
      <c r="E3655" s="29"/>
      <c r="F3655" s="22"/>
      <c r="G3655" s="22"/>
      <c r="H3655" s="22"/>
      <c r="I3655" s="24"/>
      <c r="J3655" s="24"/>
      <c r="K3655" s="24"/>
      <c r="L3655" s="24"/>
      <c r="M3655" s="27" t="str">
        <f t="shared" ref="M3655:M3718" si="231">IF($B3655="","",SUM($J3655,-$K3655,$L3655))</f>
        <v/>
      </c>
      <c r="N3655" s="25"/>
      <c r="O3655" s="22"/>
      <c r="P3655" s="24"/>
      <c r="Q3655" s="26"/>
    </row>
    <row r="3656" spans="1:17" ht="15" x14ac:dyDescent="0.15">
      <c r="A3656" s="22"/>
      <c r="B3656" s="26" t="str">
        <f t="shared" si="228"/>
        <v/>
      </c>
      <c r="C3656" s="26" t="str">
        <f t="shared" si="229"/>
        <v/>
      </c>
      <c r="D3656" s="26" t="str">
        <f t="shared" si="230"/>
        <v/>
      </c>
      <c r="E3656" s="29"/>
      <c r="F3656" s="22"/>
      <c r="G3656" s="22"/>
      <c r="H3656" s="22"/>
      <c r="I3656" s="24"/>
      <c r="J3656" s="24"/>
      <c r="K3656" s="24"/>
      <c r="L3656" s="24"/>
      <c r="M3656" s="27" t="str">
        <f t="shared" si="231"/>
        <v/>
      </c>
      <c r="N3656" s="25"/>
      <c r="O3656" s="22"/>
      <c r="P3656" s="24"/>
      <c r="Q3656" s="26"/>
    </row>
    <row r="3657" spans="1:17" ht="15" x14ac:dyDescent="0.15">
      <c r="A3657" s="22"/>
      <c r="B3657" s="26" t="str">
        <f t="shared" si="228"/>
        <v/>
      </c>
      <c r="C3657" s="26" t="str">
        <f t="shared" si="229"/>
        <v/>
      </c>
      <c r="D3657" s="26" t="str">
        <f t="shared" si="230"/>
        <v/>
      </c>
      <c r="E3657" s="29"/>
      <c r="F3657" s="22"/>
      <c r="G3657" s="22"/>
      <c r="H3657" s="22"/>
      <c r="I3657" s="24"/>
      <c r="J3657" s="24"/>
      <c r="K3657" s="24"/>
      <c r="L3657" s="24"/>
      <c r="M3657" s="27" t="str">
        <f t="shared" si="231"/>
        <v/>
      </c>
      <c r="N3657" s="25"/>
      <c r="O3657" s="22"/>
      <c r="P3657" s="24"/>
      <c r="Q3657" s="26"/>
    </row>
    <row r="3658" spans="1:17" ht="15" x14ac:dyDescent="0.15">
      <c r="A3658" s="22"/>
      <c r="B3658" s="26" t="str">
        <f t="shared" si="228"/>
        <v/>
      </c>
      <c r="C3658" s="26" t="str">
        <f t="shared" si="229"/>
        <v/>
      </c>
      <c r="D3658" s="26" t="str">
        <f t="shared" si="230"/>
        <v/>
      </c>
      <c r="E3658" s="29"/>
      <c r="F3658" s="22"/>
      <c r="G3658" s="22"/>
      <c r="H3658" s="22"/>
      <c r="I3658" s="24"/>
      <c r="J3658" s="24"/>
      <c r="K3658" s="24"/>
      <c r="L3658" s="24"/>
      <c r="M3658" s="27" t="str">
        <f t="shared" si="231"/>
        <v/>
      </c>
      <c r="N3658" s="25"/>
      <c r="O3658" s="22"/>
      <c r="P3658" s="24"/>
      <c r="Q3658" s="26"/>
    </row>
    <row r="3659" spans="1:17" ht="15" x14ac:dyDescent="0.15">
      <c r="A3659" s="22"/>
      <c r="B3659" s="26" t="str">
        <f t="shared" si="228"/>
        <v/>
      </c>
      <c r="C3659" s="26" t="str">
        <f t="shared" si="229"/>
        <v/>
      </c>
      <c r="D3659" s="26" t="str">
        <f t="shared" si="230"/>
        <v/>
      </c>
      <c r="E3659" s="29"/>
      <c r="F3659" s="22"/>
      <c r="G3659" s="22"/>
      <c r="H3659" s="22"/>
      <c r="I3659" s="24"/>
      <c r="J3659" s="24"/>
      <c r="K3659" s="24"/>
      <c r="L3659" s="24"/>
      <c r="M3659" s="27" t="str">
        <f t="shared" si="231"/>
        <v/>
      </c>
      <c r="N3659" s="25"/>
      <c r="O3659" s="22"/>
      <c r="P3659" s="24"/>
      <c r="Q3659" s="26"/>
    </row>
    <row r="3660" spans="1:17" ht="15" x14ac:dyDescent="0.15">
      <c r="A3660" s="22"/>
      <c r="B3660" s="26" t="str">
        <f t="shared" si="228"/>
        <v/>
      </c>
      <c r="C3660" s="26" t="str">
        <f t="shared" si="229"/>
        <v/>
      </c>
      <c r="D3660" s="26" t="str">
        <f t="shared" si="230"/>
        <v/>
      </c>
      <c r="E3660" s="29"/>
      <c r="F3660" s="22"/>
      <c r="G3660" s="22"/>
      <c r="H3660" s="22"/>
      <c r="I3660" s="24"/>
      <c r="J3660" s="24"/>
      <c r="K3660" s="24"/>
      <c r="L3660" s="24"/>
      <c r="M3660" s="27" t="str">
        <f t="shared" si="231"/>
        <v/>
      </c>
      <c r="N3660" s="25"/>
      <c r="O3660" s="22"/>
      <c r="P3660" s="24"/>
      <c r="Q3660" s="26"/>
    </row>
    <row r="3661" spans="1:17" ht="15" x14ac:dyDescent="0.15">
      <c r="A3661" s="22"/>
      <c r="B3661" s="26" t="str">
        <f t="shared" si="228"/>
        <v/>
      </c>
      <c r="C3661" s="26" t="str">
        <f t="shared" si="229"/>
        <v/>
      </c>
      <c r="D3661" s="26" t="str">
        <f t="shared" si="230"/>
        <v/>
      </c>
      <c r="E3661" s="29"/>
      <c r="F3661" s="22"/>
      <c r="G3661" s="22"/>
      <c r="H3661" s="22"/>
      <c r="I3661" s="24"/>
      <c r="J3661" s="24"/>
      <c r="K3661" s="24"/>
      <c r="L3661" s="24"/>
      <c r="M3661" s="27" t="str">
        <f t="shared" si="231"/>
        <v/>
      </c>
      <c r="N3661" s="25"/>
      <c r="O3661" s="22"/>
      <c r="P3661" s="24"/>
      <c r="Q3661" s="26"/>
    </row>
    <row r="3662" spans="1:17" ht="15" x14ac:dyDescent="0.15">
      <c r="A3662" s="22"/>
      <c r="B3662" s="26" t="str">
        <f t="shared" si="228"/>
        <v/>
      </c>
      <c r="C3662" s="26" t="str">
        <f t="shared" si="229"/>
        <v/>
      </c>
      <c r="D3662" s="26" t="str">
        <f t="shared" si="230"/>
        <v/>
      </c>
      <c r="E3662" s="29"/>
      <c r="F3662" s="22"/>
      <c r="G3662" s="22"/>
      <c r="H3662" s="22"/>
      <c r="I3662" s="24"/>
      <c r="J3662" s="24"/>
      <c r="K3662" s="24"/>
      <c r="L3662" s="24"/>
      <c r="M3662" s="27" t="str">
        <f t="shared" si="231"/>
        <v/>
      </c>
      <c r="N3662" s="25"/>
      <c r="O3662" s="22"/>
      <c r="P3662" s="24"/>
      <c r="Q3662" s="26"/>
    </row>
    <row r="3663" spans="1:17" ht="15" x14ac:dyDescent="0.15">
      <c r="A3663" s="22"/>
      <c r="B3663" s="26" t="str">
        <f t="shared" si="228"/>
        <v/>
      </c>
      <c r="C3663" s="26" t="str">
        <f t="shared" si="229"/>
        <v/>
      </c>
      <c r="D3663" s="26" t="str">
        <f t="shared" si="230"/>
        <v/>
      </c>
      <c r="E3663" s="29"/>
      <c r="F3663" s="22"/>
      <c r="G3663" s="22"/>
      <c r="H3663" s="22"/>
      <c r="I3663" s="24"/>
      <c r="J3663" s="24"/>
      <c r="K3663" s="24"/>
      <c r="L3663" s="24"/>
      <c r="M3663" s="27" t="str">
        <f t="shared" si="231"/>
        <v/>
      </c>
      <c r="N3663" s="25"/>
      <c r="O3663" s="22"/>
      <c r="P3663" s="24"/>
      <c r="Q3663" s="26"/>
    </row>
    <row r="3664" spans="1:17" ht="15" x14ac:dyDescent="0.15">
      <c r="A3664" s="22"/>
      <c r="B3664" s="26" t="str">
        <f t="shared" si="228"/>
        <v/>
      </c>
      <c r="C3664" s="26" t="str">
        <f t="shared" si="229"/>
        <v/>
      </c>
      <c r="D3664" s="26" t="str">
        <f t="shared" si="230"/>
        <v/>
      </c>
      <c r="E3664" s="29"/>
      <c r="F3664" s="22"/>
      <c r="G3664" s="22"/>
      <c r="H3664" s="22"/>
      <c r="I3664" s="24"/>
      <c r="J3664" s="24"/>
      <c r="K3664" s="24"/>
      <c r="L3664" s="24"/>
      <c r="M3664" s="27" t="str">
        <f t="shared" si="231"/>
        <v/>
      </c>
      <c r="N3664" s="25"/>
      <c r="O3664" s="22"/>
      <c r="P3664" s="24"/>
      <c r="Q3664" s="26"/>
    </row>
    <row r="3665" spans="1:17" ht="15" x14ac:dyDescent="0.15">
      <c r="A3665" s="22"/>
      <c r="B3665" s="26" t="str">
        <f t="shared" si="228"/>
        <v/>
      </c>
      <c r="C3665" s="26" t="str">
        <f t="shared" si="229"/>
        <v/>
      </c>
      <c r="D3665" s="26" t="str">
        <f t="shared" si="230"/>
        <v/>
      </c>
      <c r="E3665" s="29"/>
      <c r="F3665" s="22"/>
      <c r="G3665" s="22"/>
      <c r="H3665" s="22"/>
      <c r="I3665" s="24"/>
      <c r="J3665" s="24"/>
      <c r="K3665" s="24"/>
      <c r="L3665" s="24"/>
      <c r="M3665" s="27" t="str">
        <f t="shared" si="231"/>
        <v/>
      </c>
      <c r="N3665" s="25"/>
      <c r="O3665" s="22"/>
      <c r="P3665" s="24"/>
      <c r="Q3665" s="26"/>
    </row>
    <row r="3666" spans="1:17" ht="15" x14ac:dyDescent="0.15">
      <c r="A3666" s="22"/>
      <c r="B3666" s="26" t="str">
        <f t="shared" si="228"/>
        <v/>
      </c>
      <c r="C3666" s="26" t="str">
        <f t="shared" si="229"/>
        <v/>
      </c>
      <c r="D3666" s="26" t="str">
        <f t="shared" si="230"/>
        <v/>
      </c>
      <c r="E3666" s="29"/>
      <c r="F3666" s="22"/>
      <c r="G3666" s="22"/>
      <c r="H3666" s="22"/>
      <c r="I3666" s="24"/>
      <c r="J3666" s="24"/>
      <c r="K3666" s="24"/>
      <c r="L3666" s="24"/>
      <c r="M3666" s="27" t="str">
        <f t="shared" si="231"/>
        <v/>
      </c>
      <c r="N3666" s="25"/>
      <c r="O3666" s="22"/>
      <c r="P3666" s="24"/>
      <c r="Q3666" s="26"/>
    </row>
    <row r="3667" spans="1:17" ht="15" x14ac:dyDescent="0.15">
      <c r="A3667" s="22"/>
      <c r="B3667" s="26" t="str">
        <f t="shared" si="228"/>
        <v/>
      </c>
      <c r="C3667" s="26" t="str">
        <f t="shared" si="229"/>
        <v/>
      </c>
      <c r="D3667" s="26" t="str">
        <f t="shared" si="230"/>
        <v/>
      </c>
      <c r="E3667" s="29"/>
      <c r="F3667" s="22"/>
      <c r="G3667" s="22"/>
      <c r="H3667" s="22"/>
      <c r="I3667" s="24"/>
      <c r="J3667" s="24"/>
      <c r="K3667" s="24"/>
      <c r="L3667" s="24"/>
      <c r="M3667" s="27" t="str">
        <f t="shared" si="231"/>
        <v/>
      </c>
      <c r="N3667" s="25"/>
      <c r="O3667" s="22"/>
      <c r="P3667" s="24"/>
      <c r="Q3667" s="26"/>
    </row>
    <row r="3668" spans="1:17" ht="15" x14ac:dyDescent="0.15">
      <c r="A3668" s="22"/>
      <c r="B3668" s="26" t="str">
        <f t="shared" si="228"/>
        <v/>
      </c>
      <c r="C3668" s="26" t="str">
        <f t="shared" si="229"/>
        <v/>
      </c>
      <c r="D3668" s="26" t="str">
        <f t="shared" si="230"/>
        <v/>
      </c>
      <c r="E3668" s="29"/>
      <c r="F3668" s="22"/>
      <c r="G3668" s="22"/>
      <c r="H3668" s="22"/>
      <c r="I3668" s="24"/>
      <c r="J3668" s="24"/>
      <c r="K3668" s="24"/>
      <c r="L3668" s="24"/>
      <c r="M3668" s="27" t="str">
        <f t="shared" si="231"/>
        <v/>
      </c>
      <c r="N3668" s="25"/>
      <c r="O3668" s="22"/>
      <c r="P3668" s="24"/>
      <c r="Q3668" s="26"/>
    </row>
    <row r="3669" spans="1:17" ht="15" x14ac:dyDescent="0.15">
      <c r="A3669" s="22"/>
      <c r="B3669" s="26" t="str">
        <f t="shared" si="228"/>
        <v/>
      </c>
      <c r="C3669" s="26" t="str">
        <f t="shared" si="229"/>
        <v/>
      </c>
      <c r="D3669" s="26" t="str">
        <f t="shared" si="230"/>
        <v/>
      </c>
      <c r="E3669" s="29"/>
      <c r="F3669" s="22"/>
      <c r="G3669" s="22"/>
      <c r="H3669" s="22"/>
      <c r="I3669" s="24"/>
      <c r="J3669" s="24"/>
      <c r="K3669" s="24"/>
      <c r="L3669" s="24"/>
      <c r="M3669" s="27" t="str">
        <f t="shared" si="231"/>
        <v/>
      </c>
      <c r="N3669" s="25"/>
      <c r="O3669" s="22"/>
      <c r="P3669" s="24"/>
      <c r="Q3669" s="26"/>
    </row>
    <row r="3670" spans="1:17" ht="15" x14ac:dyDescent="0.15">
      <c r="A3670" s="22"/>
      <c r="B3670" s="26" t="str">
        <f t="shared" si="228"/>
        <v/>
      </c>
      <c r="C3670" s="26" t="str">
        <f t="shared" si="229"/>
        <v/>
      </c>
      <c r="D3670" s="26" t="str">
        <f t="shared" si="230"/>
        <v/>
      </c>
      <c r="E3670" s="29"/>
      <c r="F3670" s="22"/>
      <c r="G3670" s="22"/>
      <c r="H3670" s="22"/>
      <c r="I3670" s="24"/>
      <c r="J3670" s="24"/>
      <c r="K3670" s="24"/>
      <c r="L3670" s="24"/>
      <c r="M3670" s="27" t="str">
        <f t="shared" si="231"/>
        <v/>
      </c>
      <c r="N3670" s="25"/>
      <c r="O3670" s="22"/>
      <c r="P3670" s="24"/>
      <c r="Q3670" s="26"/>
    </row>
    <row r="3671" spans="1:17" ht="15" x14ac:dyDescent="0.15">
      <c r="A3671" s="22"/>
      <c r="B3671" s="26" t="str">
        <f t="shared" si="228"/>
        <v/>
      </c>
      <c r="C3671" s="26" t="str">
        <f t="shared" si="229"/>
        <v/>
      </c>
      <c r="D3671" s="26" t="str">
        <f t="shared" si="230"/>
        <v/>
      </c>
      <c r="E3671" s="29"/>
      <c r="F3671" s="22"/>
      <c r="G3671" s="22"/>
      <c r="H3671" s="22"/>
      <c r="I3671" s="24"/>
      <c r="J3671" s="24"/>
      <c r="K3671" s="24"/>
      <c r="L3671" s="24"/>
      <c r="M3671" s="27" t="str">
        <f t="shared" si="231"/>
        <v/>
      </c>
      <c r="N3671" s="25"/>
      <c r="O3671" s="22"/>
      <c r="P3671" s="24"/>
      <c r="Q3671" s="26"/>
    </row>
    <row r="3672" spans="1:17" ht="15" x14ac:dyDescent="0.15">
      <c r="A3672" s="22"/>
      <c r="B3672" s="26" t="str">
        <f t="shared" si="228"/>
        <v/>
      </c>
      <c r="C3672" s="26" t="str">
        <f t="shared" si="229"/>
        <v/>
      </c>
      <c r="D3672" s="26" t="str">
        <f t="shared" si="230"/>
        <v/>
      </c>
      <c r="E3672" s="29"/>
      <c r="F3672" s="22"/>
      <c r="G3672" s="22"/>
      <c r="H3672" s="22"/>
      <c r="I3672" s="24"/>
      <c r="J3672" s="24"/>
      <c r="K3672" s="24"/>
      <c r="L3672" s="24"/>
      <c r="M3672" s="27" t="str">
        <f t="shared" si="231"/>
        <v/>
      </c>
      <c r="N3672" s="25"/>
      <c r="O3672" s="22"/>
      <c r="P3672" s="24"/>
      <c r="Q3672" s="26"/>
    </row>
    <row r="3673" spans="1:17" ht="15" x14ac:dyDescent="0.15">
      <c r="A3673" s="22"/>
      <c r="B3673" s="26" t="str">
        <f t="shared" si="228"/>
        <v/>
      </c>
      <c r="C3673" s="26" t="str">
        <f t="shared" si="229"/>
        <v/>
      </c>
      <c r="D3673" s="26" t="str">
        <f t="shared" si="230"/>
        <v/>
      </c>
      <c r="E3673" s="29"/>
      <c r="F3673" s="22"/>
      <c r="G3673" s="22"/>
      <c r="H3673" s="22"/>
      <c r="I3673" s="24"/>
      <c r="J3673" s="24"/>
      <c r="K3673" s="24"/>
      <c r="L3673" s="24"/>
      <c r="M3673" s="27" t="str">
        <f t="shared" si="231"/>
        <v/>
      </c>
      <c r="N3673" s="25"/>
      <c r="O3673" s="22"/>
      <c r="P3673" s="24"/>
      <c r="Q3673" s="26"/>
    </row>
    <row r="3674" spans="1:17" ht="15" x14ac:dyDescent="0.15">
      <c r="A3674" s="22"/>
      <c r="B3674" s="26" t="str">
        <f t="shared" si="228"/>
        <v/>
      </c>
      <c r="C3674" s="26" t="str">
        <f t="shared" si="229"/>
        <v/>
      </c>
      <c r="D3674" s="26" t="str">
        <f t="shared" si="230"/>
        <v/>
      </c>
      <c r="E3674" s="29"/>
      <c r="F3674" s="22"/>
      <c r="G3674" s="22"/>
      <c r="H3674" s="22"/>
      <c r="I3674" s="24"/>
      <c r="J3674" s="24"/>
      <c r="K3674" s="24"/>
      <c r="L3674" s="24"/>
      <c r="M3674" s="27" t="str">
        <f t="shared" si="231"/>
        <v/>
      </c>
      <c r="N3674" s="25"/>
      <c r="O3674" s="22"/>
      <c r="P3674" s="24"/>
      <c r="Q3674" s="26"/>
    </row>
    <row r="3675" spans="1:17" ht="15" x14ac:dyDescent="0.15">
      <c r="A3675" s="22"/>
      <c r="B3675" s="26" t="str">
        <f t="shared" si="228"/>
        <v/>
      </c>
      <c r="C3675" s="26" t="str">
        <f t="shared" si="229"/>
        <v/>
      </c>
      <c r="D3675" s="26" t="str">
        <f t="shared" si="230"/>
        <v/>
      </c>
      <c r="E3675" s="29"/>
      <c r="F3675" s="22"/>
      <c r="G3675" s="22"/>
      <c r="H3675" s="22"/>
      <c r="I3675" s="24"/>
      <c r="J3675" s="24"/>
      <c r="K3675" s="24"/>
      <c r="L3675" s="24"/>
      <c r="M3675" s="27" t="str">
        <f t="shared" si="231"/>
        <v/>
      </c>
      <c r="N3675" s="25"/>
      <c r="O3675" s="22"/>
      <c r="P3675" s="24"/>
      <c r="Q3675" s="26"/>
    </row>
    <row r="3676" spans="1:17" ht="15" x14ac:dyDescent="0.15">
      <c r="A3676" s="22"/>
      <c r="B3676" s="26" t="str">
        <f t="shared" si="228"/>
        <v/>
      </c>
      <c r="C3676" s="26" t="str">
        <f t="shared" si="229"/>
        <v/>
      </c>
      <c r="D3676" s="26" t="str">
        <f t="shared" si="230"/>
        <v/>
      </c>
      <c r="E3676" s="29"/>
      <c r="F3676" s="22"/>
      <c r="G3676" s="22"/>
      <c r="H3676" s="22"/>
      <c r="I3676" s="24"/>
      <c r="J3676" s="24"/>
      <c r="K3676" s="24"/>
      <c r="L3676" s="24"/>
      <c r="M3676" s="27" t="str">
        <f t="shared" si="231"/>
        <v/>
      </c>
      <c r="N3676" s="25"/>
      <c r="O3676" s="22"/>
      <c r="P3676" s="24"/>
      <c r="Q3676" s="26"/>
    </row>
    <row r="3677" spans="1:17" ht="15" x14ac:dyDescent="0.15">
      <c r="A3677" s="22"/>
      <c r="B3677" s="26" t="str">
        <f t="shared" si="228"/>
        <v/>
      </c>
      <c r="C3677" s="26" t="str">
        <f t="shared" si="229"/>
        <v/>
      </c>
      <c r="D3677" s="26" t="str">
        <f t="shared" si="230"/>
        <v/>
      </c>
      <c r="E3677" s="29"/>
      <c r="F3677" s="22"/>
      <c r="G3677" s="22"/>
      <c r="H3677" s="22"/>
      <c r="I3677" s="24"/>
      <c r="J3677" s="24"/>
      <c r="K3677" s="24"/>
      <c r="L3677" s="24"/>
      <c r="M3677" s="27" t="str">
        <f t="shared" si="231"/>
        <v/>
      </c>
      <c r="N3677" s="25"/>
      <c r="O3677" s="22"/>
      <c r="P3677" s="24"/>
      <c r="Q3677" s="26"/>
    </row>
    <row r="3678" spans="1:17" ht="15" x14ac:dyDescent="0.15">
      <c r="A3678" s="22"/>
      <c r="B3678" s="26" t="str">
        <f t="shared" si="228"/>
        <v/>
      </c>
      <c r="C3678" s="26" t="str">
        <f t="shared" si="229"/>
        <v/>
      </c>
      <c r="D3678" s="26" t="str">
        <f t="shared" si="230"/>
        <v/>
      </c>
      <c r="E3678" s="29"/>
      <c r="F3678" s="22"/>
      <c r="G3678" s="22"/>
      <c r="H3678" s="22"/>
      <c r="I3678" s="24"/>
      <c r="J3678" s="24"/>
      <c r="K3678" s="24"/>
      <c r="L3678" s="24"/>
      <c r="M3678" s="27" t="str">
        <f t="shared" si="231"/>
        <v/>
      </c>
      <c r="N3678" s="25"/>
      <c r="O3678" s="22"/>
      <c r="P3678" s="24"/>
      <c r="Q3678" s="26"/>
    </row>
    <row r="3679" spans="1:17" ht="15" x14ac:dyDescent="0.15">
      <c r="A3679" s="22"/>
      <c r="B3679" s="26" t="str">
        <f t="shared" si="228"/>
        <v/>
      </c>
      <c r="C3679" s="26" t="str">
        <f t="shared" si="229"/>
        <v/>
      </c>
      <c r="D3679" s="26" t="str">
        <f t="shared" si="230"/>
        <v/>
      </c>
      <c r="E3679" s="29"/>
      <c r="F3679" s="22"/>
      <c r="G3679" s="22"/>
      <c r="H3679" s="22"/>
      <c r="I3679" s="24"/>
      <c r="J3679" s="24"/>
      <c r="K3679" s="24"/>
      <c r="L3679" s="24"/>
      <c r="M3679" s="27" t="str">
        <f t="shared" si="231"/>
        <v/>
      </c>
      <c r="N3679" s="25"/>
      <c r="O3679" s="22"/>
      <c r="P3679" s="24"/>
      <c r="Q3679" s="26"/>
    </row>
    <row r="3680" spans="1:17" ht="15" x14ac:dyDescent="0.15">
      <c r="A3680" s="22"/>
      <c r="B3680" s="26" t="str">
        <f t="shared" si="228"/>
        <v/>
      </c>
      <c r="C3680" s="26" t="str">
        <f t="shared" si="229"/>
        <v/>
      </c>
      <c r="D3680" s="26" t="str">
        <f t="shared" si="230"/>
        <v/>
      </c>
      <c r="E3680" s="29"/>
      <c r="F3680" s="22"/>
      <c r="G3680" s="22"/>
      <c r="H3680" s="22"/>
      <c r="I3680" s="24"/>
      <c r="J3680" s="24"/>
      <c r="K3680" s="24"/>
      <c r="L3680" s="24"/>
      <c r="M3680" s="27" t="str">
        <f t="shared" si="231"/>
        <v/>
      </c>
      <c r="N3680" s="25"/>
      <c r="O3680" s="22"/>
      <c r="P3680" s="24"/>
      <c r="Q3680" s="26"/>
    </row>
    <row r="3681" spans="1:17" ht="15" x14ac:dyDescent="0.15">
      <c r="A3681" s="22"/>
      <c r="B3681" s="26" t="str">
        <f t="shared" si="228"/>
        <v/>
      </c>
      <c r="C3681" s="26" t="str">
        <f t="shared" si="229"/>
        <v/>
      </c>
      <c r="D3681" s="26" t="str">
        <f t="shared" si="230"/>
        <v/>
      </c>
      <c r="E3681" s="29"/>
      <c r="F3681" s="22"/>
      <c r="G3681" s="22"/>
      <c r="H3681" s="22"/>
      <c r="I3681" s="24"/>
      <c r="J3681" s="24"/>
      <c r="K3681" s="24"/>
      <c r="L3681" s="24"/>
      <c r="M3681" s="27" t="str">
        <f t="shared" si="231"/>
        <v/>
      </c>
      <c r="N3681" s="25"/>
      <c r="O3681" s="22"/>
      <c r="P3681" s="24"/>
      <c r="Q3681" s="26"/>
    </row>
    <row r="3682" spans="1:17" ht="15" x14ac:dyDescent="0.15">
      <c r="A3682" s="22"/>
      <c r="B3682" s="26" t="str">
        <f t="shared" si="228"/>
        <v/>
      </c>
      <c r="C3682" s="26" t="str">
        <f t="shared" si="229"/>
        <v/>
      </c>
      <c r="D3682" s="26" t="str">
        <f t="shared" si="230"/>
        <v/>
      </c>
      <c r="E3682" s="29"/>
      <c r="F3682" s="22"/>
      <c r="G3682" s="22"/>
      <c r="H3682" s="22"/>
      <c r="I3682" s="24"/>
      <c r="J3682" s="24"/>
      <c r="K3682" s="24"/>
      <c r="L3682" s="24"/>
      <c r="M3682" s="27" t="str">
        <f t="shared" si="231"/>
        <v/>
      </c>
      <c r="N3682" s="25"/>
      <c r="O3682" s="22"/>
      <c r="P3682" s="24"/>
      <c r="Q3682" s="26"/>
    </row>
    <row r="3683" spans="1:17" ht="15" x14ac:dyDescent="0.15">
      <c r="A3683" s="22"/>
      <c r="B3683" s="26" t="str">
        <f t="shared" si="228"/>
        <v/>
      </c>
      <c r="C3683" s="26" t="str">
        <f t="shared" si="229"/>
        <v/>
      </c>
      <c r="D3683" s="26" t="str">
        <f t="shared" si="230"/>
        <v/>
      </c>
      <c r="E3683" s="29"/>
      <c r="F3683" s="22"/>
      <c r="G3683" s="22"/>
      <c r="H3683" s="22"/>
      <c r="I3683" s="24"/>
      <c r="J3683" s="24"/>
      <c r="K3683" s="24"/>
      <c r="L3683" s="24"/>
      <c r="M3683" s="27" t="str">
        <f t="shared" si="231"/>
        <v/>
      </c>
      <c r="N3683" s="25"/>
      <c r="O3683" s="22"/>
      <c r="P3683" s="24"/>
      <c r="Q3683" s="26"/>
    </row>
    <row r="3684" spans="1:17" ht="15" x14ac:dyDescent="0.15">
      <c r="A3684" s="22"/>
      <c r="B3684" s="26" t="str">
        <f t="shared" si="228"/>
        <v/>
      </c>
      <c r="C3684" s="26" t="str">
        <f t="shared" si="229"/>
        <v/>
      </c>
      <c r="D3684" s="26" t="str">
        <f t="shared" si="230"/>
        <v/>
      </c>
      <c r="E3684" s="29"/>
      <c r="F3684" s="22"/>
      <c r="G3684" s="22"/>
      <c r="H3684" s="22"/>
      <c r="I3684" s="24"/>
      <c r="J3684" s="24"/>
      <c r="K3684" s="24"/>
      <c r="L3684" s="24"/>
      <c r="M3684" s="27" t="str">
        <f t="shared" si="231"/>
        <v/>
      </c>
      <c r="N3684" s="25"/>
      <c r="O3684" s="22"/>
      <c r="P3684" s="24"/>
      <c r="Q3684" s="26"/>
    </row>
    <row r="3685" spans="1:17" ht="15" x14ac:dyDescent="0.15">
      <c r="A3685" s="22"/>
      <c r="B3685" s="26" t="str">
        <f t="shared" si="228"/>
        <v/>
      </c>
      <c r="C3685" s="26" t="str">
        <f t="shared" si="229"/>
        <v/>
      </c>
      <c r="D3685" s="26" t="str">
        <f t="shared" si="230"/>
        <v/>
      </c>
      <c r="E3685" s="29"/>
      <c r="F3685" s="22"/>
      <c r="G3685" s="22"/>
      <c r="H3685" s="22"/>
      <c r="I3685" s="24"/>
      <c r="J3685" s="24"/>
      <c r="K3685" s="24"/>
      <c r="L3685" s="24"/>
      <c r="M3685" s="27" t="str">
        <f t="shared" si="231"/>
        <v/>
      </c>
      <c r="N3685" s="25"/>
      <c r="O3685" s="22"/>
      <c r="P3685" s="24"/>
      <c r="Q3685" s="26"/>
    </row>
    <row r="3686" spans="1:17" ht="15" x14ac:dyDescent="0.15">
      <c r="A3686" s="22"/>
      <c r="B3686" s="26" t="str">
        <f t="shared" si="228"/>
        <v/>
      </c>
      <c r="C3686" s="26" t="str">
        <f t="shared" si="229"/>
        <v/>
      </c>
      <c r="D3686" s="26" t="str">
        <f t="shared" si="230"/>
        <v/>
      </c>
      <c r="E3686" s="29"/>
      <c r="F3686" s="22"/>
      <c r="G3686" s="22"/>
      <c r="H3686" s="22"/>
      <c r="I3686" s="24"/>
      <c r="J3686" s="24"/>
      <c r="K3686" s="24"/>
      <c r="L3686" s="24"/>
      <c r="M3686" s="27" t="str">
        <f t="shared" si="231"/>
        <v/>
      </c>
      <c r="N3686" s="25"/>
      <c r="O3686" s="22"/>
      <c r="P3686" s="24"/>
      <c r="Q3686" s="26"/>
    </row>
    <row r="3687" spans="1:17" ht="15" x14ac:dyDescent="0.15">
      <c r="A3687" s="22"/>
      <c r="B3687" s="26" t="str">
        <f t="shared" si="228"/>
        <v/>
      </c>
      <c r="C3687" s="26" t="str">
        <f t="shared" si="229"/>
        <v/>
      </c>
      <c r="D3687" s="26" t="str">
        <f t="shared" si="230"/>
        <v/>
      </c>
      <c r="E3687" s="29"/>
      <c r="F3687" s="22"/>
      <c r="G3687" s="22"/>
      <c r="H3687" s="22"/>
      <c r="I3687" s="24"/>
      <c r="J3687" s="24"/>
      <c r="K3687" s="24"/>
      <c r="L3687" s="24"/>
      <c r="M3687" s="27" t="str">
        <f t="shared" si="231"/>
        <v/>
      </c>
      <c r="N3687" s="25"/>
      <c r="O3687" s="22"/>
      <c r="P3687" s="24"/>
      <c r="Q3687" s="26"/>
    </row>
    <row r="3688" spans="1:17" ht="15" x14ac:dyDescent="0.15">
      <c r="A3688" s="22"/>
      <c r="B3688" s="26" t="str">
        <f t="shared" si="228"/>
        <v/>
      </c>
      <c r="C3688" s="26" t="str">
        <f t="shared" si="229"/>
        <v/>
      </c>
      <c r="D3688" s="26" t="str">
        <f t="shared" si="230"/>
        <v/>
      </c>
      <c r="E3688" s="29"/>
      <c r="F3688" s="22"/>
      <c r="G3688" s="22"/>
      <c r="H3688" s="22"/>
      <c r="I3688" s="24"/>
      <c r="J3688" s="24"/>
      <c r="K3688" s="24"/>
      <c r="L3688" s="24"/>
      <c r="M3688" s="27" t="str">
        <f t="shared" si="231"/>
        <v/>
      </c>
      <c r="N3688" s="25"/>
      <c r="O3688" s="22"/>
      <c r="P3688" s="24"/>
      <c r="Q3688" s="26"/>
    </row>
    <row r="3689" spans="1:17" ht="15" x14ac:dyDescent="0.15">
      <c r="A3689" s="22"/>
      <c r="B3689" s="26" t="str">
        <f t="shared" si="228"/>
        <v/>
      </c>
      <c r="C3689" s="26" t="str">
        <f t="shared" si="229"/>
        <v/>
      </c>
      <c r="D3689" s="26" t="str">
        <f t="shared" si="230"/>
        <v/>
      </c>
      <c r="E3689" s="29"/>
      <c r="F3689" s="22"/>
      <c r="G3689" s="22"/>
      <c r="H3689" s="22"/>
      <c r="I3689" s="24"/>
      <c r="J3689" s="24"/>
      <c r="K3689" s="24"/>
      <c r="L3689" s="24"/>
      <c r="M3689" s="27" t="str">
        <f t="shared" si="231"/>
        <v/>
      </c>
      <c r="N3689" s="25"/>
      <c r="O3689" s="22"/>
      <c r="P3689" s="24"/>
      <c r="Q3689" s="26"/>
    </row>
    <row r="3690" spans="1:17" ht="15" x14ac:dyDescent="0.15">
      <c r="A3690" s="22"/>
      <c r="B3690" s="26" t="str">
        <f t="shared" si="228"/>
        <v/>
      </c>
      <c r="C3690" s="26" t="str">
        <f t="shared" si="229"/>
        <v/>
      </c>
      <c r="D3690" s="26" t="str">
        <f t="shared" si="230"/>
        <v/>
      </c>
      <c r="E3690" s="29"/>
      <c r="F3690" s="22"/>
      <c r="G3690" s="22"/>
      <c r="H3690" s="22"/>
      <c r="I3690" s="24"/>
      <c r="J3690" s="24"/>
      <c r="K3690" s="24"/>
      <c r="L3690" s="24"/>
      <c r="M3690" s="27" t="str">
        <f t="shared" si="231"/>
        <v/>
      </c>
      <c r="N3690" s="25"/>
      <c r="O3690" s="22"/>
      <c r="P3690" s="24"/>
      <c r="Q3690" s="26"/>
    </row>
    <row r="3691" spans="1:17" ht="15" x14ac:dyDescent="0.15">
      <c r="A3691" s="22"/>
      <c r="B3691" s="26" t="str">
        <f t="shared" si="228"/>
        <v/>
      </c>
      <c r="C3691" s="26" t="str">
        <f t="shared" si="229"/>
        <v/>
      </c>
      <c r="D3691" s="26" t="str">
        <f t="shared" si="230"/>
        <v/>
      </c>
      <c r="E3691" s="29"/>
      <c r="F3691" s="22"/>
      <c r="G3691" s="22"/>
      <c r="H3691" s="22"/>
      <c r="I3691" s="24"/>
      <c r="J3691" s="24"/>
      <c r="K3691" s="24"/>
      <c r="L3691" s="24"/>
      <c r="M3691" s="27" t="str">
        <f t="shared" si="231"/>
        <v/>
      </c>
      <c r="N3691" s="25"/>
      <c r="O3691" s="22"/>
      <c r="P3691" s="24"/>
      <c r="Q3691" s="26"/>
    </row>
    <row r="3692" spans="1:17" ht="15" x14ac:dyDescent="0.15">
      <c r="A3692" s="22"/>
      <c r="B3692" s="26" t="str">
        <f t="shared" si="228"/>
        <v/>
      </c>
      <c r="C3692" s="26" t="str">
        <f t="shared" si="229"/>
        <v/>
      </c>
      <c r="D3692" s="26" t="str">
        <f t="shared" si="230"/>
        <v/>
      </c>
      <c r="E3692" s="29"/>
      <c r="F3692" s="22"/>
      <c r="G3692" s="22"/>
      <c r="H3692" s="22"/>
      <c r="I3692" s="24"/>
      <c r="J3692" s="24"/>
      <c r="K3692" s="24"/>
      <c r="L3692" s="24"/>
      <c r="M3692" s="27" t="str">
        <f t="shared" si="231"/>
        <v/>
      </c>
      <c r="N3692" s="25"/>
      <c r="O3692" s="22"/>
      <c r="P3692" s="24"/>
      <c r="Q3692" s="26"/>
    </row>
    <row r="3693" spans="1:17" ht="15" x14ac:dyDescent="0.15">
      <c r="A3693" s="22"/>
      <c r="B3693" s="26" t="str">
        <f t="shared" si="228"/>
        <v/>
      </c>
      <c r="C3693" s="26" t="str">
        <f t="shared" si="229"/>
        <v/>
      </c>
      <c r="D3693" s="26" t="str">
        <f t="shared" si="230"/>
        <v/>
      </c>
      <c r="E3693" s="29"/>
      <c r="F3693" s="22"/>
      <c r="G3693" s="22"/>
      <c r="H3693" s="22"/>
      <c r="I3693" s="24"/>
      <c r="J3693" s="24"/>
      <c r="K3693" s="24"/>
      <c r="L3693" s="24"/>
      <c r="M3693" s="27" t="str">
        <f t="shared" si="231"/>
        <v/>
      </c>
      <c r="N3693" s="25"/>
      <c r="O3693" s="22"/>
      <c r="P3693" s="24"/>
      <c r="Q3693" s="26"/>
    </row>
    <row r="3694" spans="1:17" ht="15" x14ac:dyDescent="0.15">
      <c r="A3694" s="22"/>
      <c r="B3694" s="26" t="str">
        <f t="shared" si="228"/>
        <v/>
      </c>
      <c r="C3694" s="26" t="str">
        <f t="shared" si="229"/>
        <v/>
      </c>
      <c r="D3694" s="26" t="str">
        <f t="shared" si="230"/>
        <v/>
      </c>
      <c r="E3694" s="29"/>
      <c r="F3694" s="22"/>
      <c r="G3694" s="22"/>
      <c r="H3694" s="22"/>
      <c r="I3694" s="24"/>
      <c r="J3694" s="24"/>
      <c r="K3694" s="24"/>
      <c r="L3694" s="24"/>
      <c r="M3694" s="27" t="str">
        <f t="shared" si="231"/>
        <v/>
      </c>
      <c r="N3694" s="25"/>
      <c r="O3694" s="22"/>
      <c r="P3694" s="24"/>
      <c r="Q3694" s="26"/>
    </row>
    <row r="3695" spans="1:17" ht="15" x14ac:dyDescent="0.15">
      <c r="A3695" s="22"/>
      <c r="B3695" s="26" t="str">
        <f t="shared" si="228"/>
        <v/>
      </c>
      <c r="C3695" s="26" t="str">
        <f t="shared" si="229"/>
        <v/>
      </c>
      <c r="D3695" s="26" t="str">
        <f t="shared" si="230"/>
        <v/>
      </c>
      <c r="E3695" s="29"/>
      <c r="F3695" s="22"/>
      <c r="G3695" s="22"/>
      <c r="H3695" s="22"/>
      <c r="I3695" s="24"/>
      <c r="J3695" s="24"/>
      <c r="K3695" s="24"/>
      <c r="L3695" s="24"/>
      <c r="M3695" s="27" t="str">
        <f t="shared" si="231"/>
        <v/>
      </c>
      <c r="N3695" s="25"/>
      <c r="O3695" s="22"/>
      <c r="P3695" s="24"/>
      <c r="Q3695" s="26"/>
    </row>
    <row r="3696" spans="1:17" ht="15" x14ac:dyDescent="0.15">
      <c r="A3696" s="22"/>
      <c r="B3696" s="26" t="str">
        <f t="shared" si="228"/>
        <v/>
      </c>
      <c r="C3696" s="26" t="str">
        <f t="shared" si="229"/>
        <v/>
      </c>
      <c r="D3696" s="26" t="str">
        <f t="shared" si="230"/>
        <v/>
      </c>
      <c r="E3696" s="29"/>
      <c r="F3696" s="22"/>
      <c r="G3696" s="22"/>
      <c r="H3696" s="22"/>
      <c r="I3696" s="24"/>
      <c r="J3696" s="24"/>
      <c r="K3696" s="24"/>
      <c r="L3696" s="24"/>
      <c r="M3696" s="27" t="str">
        <f t="shared" si="231"/>
        <v/>
      </c>
      <c r="N3696" s="25"/>
      <c r="O3696" s="22"/>
      <c r="P3696" s="24"/>
      <c r="Q3696" s="26"/>
    </row>
    <row r="3697" spans="1:17" ht="15" x14ac:dyDescent="0.15">
      <c r="A3697" s="22"/>
      <c r="B3697" s="26" t="str">
        <f t="shared" si="228"/>
        <v/>
      </c>
      <c r="C3697" s="26" t="str">
        <f t="shared" si="229"/>
        <v/>
      </c>
      <c r="D3697" s="26" t="str">
        <f t="shared" si="230"/>
        <v/>
      </c>
      <c r="E3697" s="29"/>
      <c r="F3697" s="22"/>
      <c r="G3697" s="22"/>
      <c r="H3697" s="22"/>
      <c r="I3697" s="24"/>
      <c r="J3697" s="24"/>
      <c r="K3697" s="24"/>
      <c r="L3697" s="24"/>
      <c r="M3697" s="27" t="str">
        <f t="shared" si="231"/>
        <v/>
      </c>
      <c r="N3697" s="25"/>
      <c r="O3697" s="22"/>
      <c r="P3697" s="24"/>
      <c r="Q3697" s="26"/>
    </row>
    <row r="3698" spans="1:17" ht="15" x14ac:dyDescent="0.15">
      <c r="A3698" s="22"/>
      <c r="B3698" s="26" t="str">
        <f t="shared" si="228"/>
        <v/>
      </c>
      <c r="C3698" s="26" t="str">
        <f t="shared" si="229"/>
        <v/>
      </c>
      <c r="D3698" s="26" t="str">
        <f t="shared" si="230"/>
        <v/>
      </c>
      <c r="E3698" s="29"/>
      <c r="F3698" s="22"/>
      <c r="G3698" s="22"/>
      <c r="H3698" s="22"/>
      <c r="I3698" s="24"/>
      <c r="J3698" s="24"/>
      <c r="K3698" s="24"/>
      <c r="L3698" s="24"/>
      <c r="M3698" s="27" t="str">
        <f t="shared" si="231"/>
        <v/>
      </c>
      <c r="N3698" s="25"/>
      <c r="O3698" s="22"/>
      <c r="P3698" s="24"/>
      <c r="Q3698" s="26"/>
    </row>
    <row r="3699" spans="1:17" ht="15" x14ac:dyDescent="0.15">
      <c r="A3699" s="22"/>
      <c r="B3699" s="26" t="str">
        <f t="shared" si="228"/>
        <v/>
      </c>
      <c r="C3699" s="26" t="str">
        <f t="shared" si="229"/>
        <v/>
      </c>
      <c r="D3699" s="26" t="str">
        <f t="shared" si="230"/>
        <v/>
      </c>
      <c r="E3699" s="29"/>
      <c r="F3699" s="22"/>
      <c r="G3699" s="22"/>
      <c r="H3699" s="22"/>
      <c r="I3699" s="24"/>
      <c r="J3699" s="24"/>
      <c r="K3699" s="24"/>
      <c r="L3699" s="24"/>
      <c r="M3699" s="27" t="str">
        <f t="shared" si="231"/>
        <v/>
      </c>
      <c r="N3699" s="25"/>
      <c r="O3699" s="22"/>
      <c r="P3699" s="24"/>
      <c r="Q3699" s="26"/>
    </row>
    <row r="3700" spans="1:17" ht="15" x14ac:dyDescent="0.15">
      <c r="A3700" s="22"/>
      <c r="B3700" s="26" t="str">
        <f t="shared" si="228"/>
        <v/>
      </c>
      <c r="C3700" s="26" t="str">
        <f t="shared" si="229"/>
        <v/>
      </c>
      <c r="D3700" s="26" t="str">
        <f t="shared" si="230"/>
        <v/>
      </c>
      <c r="E3700" s="29"/>
      <c r="F3700" s="22"/>
      <c r="G3700" s="22"/>
      <c r="H3700" s="22"/>
      <c r="I3700" s="24"/>
      <c r="J3700" s="24"/>
      <c r="K3700" s="24"/>
      <c r="L3700" s="24"/>
      <c r="M3700" s="27" t="str">
        <f t="shared" si="231"/>
        <v/>
      </c>
      <c r="N3700" s="25"/>
      <c r="O3700" s="22"/>
      <c r="P3700" s="24"/>
      <c r="Q3700" s="26"/>
    </row>
    <row r="3701" spans="1:17" ht="15" x14ac:dyDescent="0.15">
      <c r="A3701" s="22"/>
      <c r="B3701" s="26" t="str">
        <f t="shared" si="228"/>
        <v/>
      </c>
      <c r="C3701" s="26" t="str">
        <f t="shared" si="229"/>
        <v/>
      </c>
      <c r="D3701" s="26" t="str">
        <f t="shared" si="230"/>
        <v/>
      </c>
      <c r="E3701" s="29"/>
      <c r="F3701" s="22"/>
      <c r="G3701" s="22"/>
      <c r="H3701" s="22"/>
      <c r="I3701" s="24"/>
      <c r="J3701" s="24"/>
      <c r="K3701" s="24"/>
      <c r="L3701" s="24"/>
      <c r="M3701" s="27" t="str">
        <f t="shared" si="231"/>
        <v/>
      </c>
      <c r="N3701" s="25"/>
      <c r="O3701" s="22"/>
      <c r="P3701" s="24"/>
      <c r="Q3701" s="26"/>
    </row>
    <row r="3702" spans="1:17" ht="15" x14ac:dyDescent="0.15">
      <c r="A3702" s="22"/>
      <c r="B3702" s="26" t="str">
        <f t="shared" si="228"/>
        <v/>
      </c>
      <c r="C3702" s="26" t="str">
        <f t="shared" si="229"/>
        <v/>
      </c>
      <c r="D3702" s="26" t="str">
        <f t="shared" si="230"/>
        <v/>
      </c>
      <c r="E3702" s="29"/>
      <c r="F3702" s="22"/>
      <c r="G3702" s="22"/>
      <c r="H3702" s="22"/>
      <c r="I3702" s="24"/>
      <c r="J3702" s="24"/>
      <c r="K3702" s="24"/>
      <c r="L3702" s="24"/>
      <c r="M3702" s="27" t="str">
        <f t="shared" si="231"/>
        <v/>
      </c>
      <c r="N3702" s="25"/>
      <c r="O3702" s="22"/>
      <c r="P3702" s="24"/>
      <c r="Q3702" s="26"/>
    </row>
    <row r="3703" spans="1:17" ht="15" x14ac:dyDescent="0.15">
      <c r="A3703" s="22"/>
      <c r="B3703" s="26" t="str">
        <f t="shared" si="228"/>
        <v/>
      </c>
      <c r="C3703" s="26" t="str">
        <f t="shared" si="229"/>
        <v/>
      </c>
      <c r="D3703" s="26" t="str">
        <f t="shared" si="230"/>
        <v/>
      </c>
      <c r="E3703" s="29"/>
      <c r="F3703" s="22"/>
      <c r="G3703" s="22"/>
      <c r="H3703" s="22"/>
      <c r="I3703" s="24"/>
      <c r="J3703" s="24"/>
      <c r="K3703" s="24"/>
      <c r="L3703" s="24"/>
      <c r="M3703" s="27" t="str">
        <f t="shared" si="231"/>
        <v/>
      </c>
      <c r="N3703" s="25"/>
      <c r="O3703" s="22"/>
      <c r="P3703" s="24"/>
      <c r="Q3703" s="26"/>
    </row>
    <row r="3704" spans="1:17" ht="15" x14ac:dyDescent="0.15">
      <c r="A3704" s="22"/>
      <c r="B3704" s="26" t="str">
        <f t="shared" si="228"/>
        <v/>
      </c>
      <c r="C3704" s="26" t="str">
        <f t="shared" si="229"/>
        <v/>
      </c>
      <c r="D3704" s="26" t="str">
        <f t="shared" si="230"/>
        <v/>
      </c>
      <c r="E3704" s="29"/>
      <c r="F3704" s="22"/>
      <c r="G3704" s="22"/>
      <c r="H3704" s="22"/>
      <c r="I3704" s="24"/>
      <c r="J3704" s="24"/>
      <c r="K3704" s="24"/>
      <c r="L3704" s="24"/>
      <c r="M3704" s="27" t="str">
        <f t="shared" si="231"/>
        <v/>
      </c>
      <c r="N3704" s="25"/>
      <c r="O3704" s="22"/>
      <c r="P3704" s="24"/>
      <c r="Q3704" s="26"/>
    </row>
    <row r="3705" spans="1:17" ht="15" x14ac:dyDescent="0.15">
      <c r="A3705" s="22"/>
      <c r="B3705" s="26" t="str">
        <f t="shared" si="228"/>
        <v/>
      </c>
      <c r="C3705" s="26" t="str">
        <f t="shared" si="229"/>
        <v/>
      </c>
      <c r="D3705" s="26" t="str">
        <f t="shared" si="230"/>
        <v/>
      </c>
      <c r="E3705" s="29"/>
      <c r="F3705" s="22"/>
      <c r="G3705" s="22"/>
      <c r="H3705" s="22"/>
      <c r="I3705" s="24"/>
      <c r="J3705" s="24"/>
      <c r="K3705" s="24"/>
      <c r="L3705" s="24"/>
      <c r="M3705" s="27" t="str">
        <f t="shared" si="231"/>
        <v/>
      </c>
      <c r="N3705" s="25"/>
      <c r="O3705" s="22"/>
      <c r="P3705" s="24"/>
      <c r="Q3705" s="26"/>
    </row>
    <row r="3706" spans="1:17" ht="15" x14ac:dyDescent="0.15">
      <c r="A3706" s="22"/>
      <c r="B3706" s="26" t="str">
        <f t="shared" si="228"/>
        <v/>
      </c>
      <c r="C3706" s="26" t="str">
        <f t="shared" si="229"/>
        <v/>
      </c>
      <c r="D3706" s="26" t="str">
        <f t="shared" si="230"/>
        <v/>
      </c>
      <c r="E3706" s="29"/>
      <c r="F3706" s="22"/>
      <c r="G3706" s="22"/>
      <c r="H3706" s="22"/>
      <c r="I3706" s="24"/>
      <c r="J3706" s="24"/>
      <c r="K3706" s="24"/>
      <c r="L3706" s="24"/>
      <c r="M3706" s="27" t="str">
        <f t="shared" si="231"/>
        <v/>
      </c>
      <c r="N3706" s="25"/>
      <c r="O3706" s="22"/>
      <c r="P3706" s="24"/>
      <c r="Q3706" s="26"/>
    </row>
    <row r="3707" spans="1:17" ht="15" x14ac:dyDescent="0.15">
      <c r="A3707" s="22"/>
      <c r="B3707" s="26" t="str">
        <f t="shared" si="228"/>
        <v/>
      </c>
      <c r="C3707" s="26" t="str">
        <f t="shared" si="229"/>
        <v/>
      </c>
      <c r="D3707" s="26" t="str">
        <f t="shared" si="230"/>
        <v/>
      </c>
      <c r="E3707" s="29"/>
      <c r="F3707" s="22"/>
      <c r="G3707" s="22"/>
      <c r="H3707" s="22"/>
      <c r="I3707" s="24"/>
      <c r="J3707" s="24"/>
      <c r="K3707" s="24"/>
      <c r="L3707" s="24"/>
      <c r="M3707" s="27" t="str">
        <f t="shared" si="231"/>
        <v/>
      </c>
      <c r="N3707" s="25"/>
      <c r="O3707" s="22"/>
      <c r="P3707" s="24"/>
      <c r="Q3707" s="26"/>
    </row>
    <row r="3708" spans="1:17" ht="15" x14ac:dyDescent="0.15">
      <c r="A3708" s="22"/>
      <c r="B3708" s="26" t="str">
        <f t="shared" si="228"/>
        <v/>
      </c>
      <c r="C3708" s="26" t="str">
        <f t="shared" si="229"/>
        <v/>
      </c>
      <c r="D3708" s="26" t="str">
        <f t="shared" si="230"/>
        <v/>
      </c>
      <c r="E3708" s="29"/>
      <c r="F3708" s="22"/>
      <c r="G3708" s="22"/>
      <c r="H3708" s="22"/>
      <c r="I3708" s="24"/>
      <c r="J3708" s="24"/>
      <c r="K3708" s="24"/>
      <c r="L3708" s="24"/>
      <c r="M3708" s="27" t="str">
        <f t="shared" si="231"/>
        <v/>
      </c>
      <c r="N3708" s="25"/>
      <c r="O3708" s="22"/>
      <c r="P3708" s="24"/>
      <c r="Q3708" s="26"/>
    </row>
    <row r="3709" spans="1:17" ht="15" x14ac:dyDescent="0.15">
      <c r="A3709" s="22"/>
      <c r="B3709" s="26" t="str">
        <f t="shared" si="228"/>
        <v/>
      </c>
      <c r="C3709" s="26" t="str">
        <f t="shared" si="229"/>
        <v/>
      </c>
      <c r="D3709" s="26" t="str">
        <f t="shared" si="230"/>
        <v/>
      </c>
      <c r="E3709" s="29"/>
      <c r="F3709" s="22"/>
      <c r="G3709" s="22"/>
      <c r="H3709" s="22"/>
      <c r="I3709" s="24"/>
      <c r="J3709" s="24"/>
      <c r="K3709" s="24"/>
      <c r="L3709" s="24"/>
      <c r="M3709" s="27" t="str">
        <f t="shared" si="231"/>
        <v/>
      </c>
      <c r="N3709" s="25"/>
      <c r="O3709" s="22"/>
      <c r="P3709" s="24"/>
      <c r="Q3709" s="26"/>
    </row>
    <row r="3710" spans="1:17" ht="15" x14ac:dyDescent="0.15">
      <c r="A3710" s="22"/>
      <c r="B3710" s="26" t="str">
        <f t="shared" si="228"/>
        <v/>
      </c>
      <c r="C3710" s="26" t="str">
        <f t="shared" si="229"/>
        <v/>
      </c>
      <c r="D3710" s="26" t="str">
        <f t="shared" si="230"/>
        <v/>
      </c>
      <c r="E3710" s="29"/>
      <c r="F3710" s="22"/>
      <c r="G3710" s="22"/>
      <c r="H3710" s="22"/>
      <c r="I3710" s="24"/>
      <c r="J3710" s="24"/>
      <c r="K3710" s="24"/>
      <c r="L3710" s="24"/>
      <c r="M3710" s="27" t="str">
        <f t="shared" si="231"/>
        <v/>
      </c>
      <c r="N3710" s="25"/>
      <c r="O3710" s="22"/>
      <c r="P3710" s="24"/>
      <c r="Q3710" s="26"/>
    </row>
    <row r="3711" spans="1:17" ht="15" x14ac:dyDescent="0.15">
      <c r="A3711" s="22"/>
      <c r="B3711" s="26" t="str">
        <f t="shared" si="228"/>
        <v/>
      </c>
      <c r="C3711" s="26" t="str">
        <f t="shared" si="229"/>
        <v/>
      </c>
      <c r="D3711" s="26" t="str">
        <f t="shared" si="230"/>
        <v/>
      </c>
      <c r="E3711" s="29"/>
      <c r="F3711" s="22"/>
      <c r="G3711" s="22"/>
      <c r="H3711" s="22"/>
      <c r="I3711" s="24"/>
      <c r="J3711" s="24"/>
      <c r="K3711" s="24"/>
      <c r="L3711" s="24"/>
      <c r="M3711" s="27" t="str">
        <f t="shared" si="231"/>
        <v/>
      </c>
      <c r="N3711" s="25"/>
      <c r="O3711" s="22"/>
      <c r="P3711" s="24"/>
      <c r="Q3711" s="26"/>
    </row>
    <row r="3712" spans="1:17" ht="15" x14ac:dyDescent="0.15">
      <c r="A3712" s="22"/>
      <c r="B3712" s="26" t="str">
        <f t="shared" si="228"/>
        <v/>
      </c>
      <c r="C3712" s="26" t="str">
        <f t="shared" si="229"/>
        <v/>
      </c>
      <c r="D3712" s="26" t="str">
        <f t="shared" si="230"/>
        <v/>
      </c>
      <c r="E3712" s="29"/>
      <c r="F3712" s="22"/>
      <c r="G3712" s="22"/>
      <c r="H3712" s="22"/>
      <c r="I3712" s="24"/>
      <c r="J3712" s="24"/>
      <c r="K3712" s="24"/>
      <c r="L3712" s="24"/>
      <c r="M3712" s="27" t="str">
        <f t="shared" si="231"/>
        <v/>
      </c>
      <c r="N3712" s="25"/>
      <c r="O3712" s="22"/>
      <c r="P3712" s="24"/>
      <c r="Q3712" s="26"/>
    </row>
    <row r="3713" spans="1:17" ht="15" x14ac:dyDescent="0.15">
      <c r="A3713" s="22"/>
      <c r="B3713" s="26" t="str">
        <f t="shared" si="228"/>
        <v/>
      </c>
      <c r="C3713" s="26" t="str">
        <f t="shared" si="229"/>
        <v/>
      </c>
      <c r="D3713" s="26" t="str">
        <f t="shared" si="230"/>
        <v/>
      </c>
      <c r="E3713" s="29"/>
      <c r="F3713" s="22"/>
      <c r="G3713" s="22"/>
      <c r="H3713" s="22"/>
      <c r="I3713" s="24"/>
      <c r="J3713" s="24"/>
      <c r="K3713" s="24"/>
      <c r="L3713" s="24"/>
      <c r="M3713" s="27" t="str">
        <f t="shared" si="231"/>
        <v/>
      </c>
      <c r="N3713" s="25"/>
      <c r="O3713" s="22"/>
      <c r="P3713" s="24"/>
      <c r="Q3713" s="26"/>
    </row>
    <row r="3714" spans="1:17" ht="15" x14ac:dyDescent="0.15">
      <c r="A3714" s="22"/>
      <c r="B3714" s="26" t="str">
        <f t="shared" si="228"/>
        <v/>
      </c>
      <c r="C3714" s="26" t="str">
        <f t="shared" si="229"/>
        <v/>
      </c>
      <c r="D3714" s="26" t="str">
        <f t="shared" si="230"/>
        <v/>
      </c>
      <c r="E3714" s="29"/>
      <c r="F3714" s="22"/>
      <c r="G3714" s="22"/>
      <c r="H3714" s="22"/>
      <c r="I3714" s="24"/>
      <c r="J3714" s="24"/>
      <c r="K3714" s="24"/>
      <c r="L3714" s="24"/>
      <c r="M3714" s="27" t="str">
        <f t="shared" si="231"/>
        <v/>
      </c>
      <c r="N3714" s="25"/>
      <c r="O3714" s="22"/>
      <c r="P3714" s="24"/>
      <c r="Q3714" s="26"/>
    </row>
    <row r="3715" spans="1:17" ht="15" x14ac:dyDescent="0.15">
      <c r="A3715" s="22"/>
      <c r="B3715" s="26" t="str">
        <f t="shared" si="228"/>
        <v/>
      </c>
      <c r="C3715" s="26" t="str">
        <f t="shared" si="229"/>
        <v/>
      </c>
      <c r="D3715" s="26" t="str">
        <f t="shared" si="230"/>
        <v/>
      </c>
      <c r="E3715" s="29"/>
      <c r="F3715" s="22"/>
      <c r="G3715" s="22"/>
      <c r="H3715" s="22"/>
      <c r="I3715" s="24"/>
      <c r="J3715" s="24"/>
      <c r="K3715" s="24"/>
      <c r="L3715" s="24"/>
      <c r="M3715" s="27" t="str">
        <f t="shared" si="231"/>
        <v/>
      </c>
      <c r="N3715" s="25"/>
      <c r="O3715" s="22"/>
      <c r="P3715" s="24"/>
      <c r="Q3715" s="26"/>
    </row>
    <row r="3716" spans="1:17" ht="15" x14ac:dyDescent="0.15">
      <c r="A3716" s="22"/>
      <c r="B3716" s="26" t="str">
        <f t="shared" si="228"/>
        <v/>
      </c>
      <c r="C3716" s="26" t="str">
        <f t="shared" si="229"/>
        <v/>
      </c>
      <c r="D3716" s="26" t="str">
        <f t="shared" si="230"/>
        <v/>
      </c>
      <c r="E3716" s="29"/>
      <c r="F3716" s="22"/>
      <c r="G3716" s="22"/>
      <c r="H3716" s="22"/>
      <c r="I3716" s="24"/>
      <c r="J3716" s="24"/>
      <c r="K3716" s="24"/>
      <c r="L3716" s="24"/>
      <c r="M3716" s="27" t="str">
        <f t="shared" si="231"/>
        <v/>
      </c>
      <c r="N3716" s="25"/>
      <c r="O3716" s="22"/>
      <c r="P3716" s="24"/>
      <c r="Q3716" s="26"/>
    </row>
    <row r="3717" spans="1:17" ht="15" x14ac:dyDescent="0.15">
      <c r="A3717" s="22"/>
      <c r="B3717" s="26" t="str">
        <f t="shared" si="228"/>
        <v/>
      </c>
      <c r="C3717" s="26" t="str">
        <f t="shared" si="229"/>
        <v/>
      </c>
      <c r="D3717" s="26" t="str">
        <f t="shared" si="230"/>
        <v/>
      </c>
      <c r="E3717" s="29"/>
      <c r="F3717" s="22"/>
      <c r="G3717" s="22"/>
      <c r="H3717" s="22"/>
      <c r="I3717" s="24"/>
      <c r="J3717" s="24"/>
      <c r="K3717" s="24"/>
      <c r="L3717" s="24"/>
      <c r="M3717" s="27" t="str">
        <f t="shared" si="231"/>
        <v/>
      </c>
      <c r="N3717" s="25"/>
      <c r="O3717" s="22"/>
      <c r="P3717" s="24"/>
      <c r="Q3717" s="26"/>
    </row>
    <row r="3718" spans="1:17" ht="15" x14ac:dyDescent="0.15">
      <c r="A3718" s="22"/>
      <c r="B3718" s="26" t="str">
        <f t="shared" si="228"/>
        <v/>
      </c>
      <c r="C3718" s="26" t="str">
        <f t="shared" si="229"/>
        <v/>
      </c>
      <c r="D3718" s="26" t="str">
        <f t="shared" si="230"/>
        <v/>
      </c>
      <c r="E3718" s="29"/>
      <c r="F3718" s="22"/>
      <c r="G3718" s="22"/>
      <c r="H3718" s="22"/>
      <c r="I3718" s="24"/>
      <c r="J3718" s="24"/>
      <c r="K3718" s="24"/>
      <c r="L3718" s="24"/>
      <c r="M3718" s="27" t="str">
        <f t="shared" si="231"/>
        <v/>
      </c>
      <c r="N3718" s="25"/>
      <c r="O3718" s="22"/>
      <c r="P3718" s="24"/>
      <c r="Q3718" s="26"/>
    </row>
    <row r="3719" spans="1:17" ht="15" x14ac:dyDescent="0.15">
      <c r="A3719" s="22"/>
      <c r="B3719" s="26" t="str">
        <f t="shared" ref="B3719:B3782" si="232">IFERROR(IF($A3719="","",LEFT($A3719,FIND(" | ",$A3719)-1)),"")</f>
        <v/>
      </c>
      <c r="C3719" s="26" t="str">
        <f t="shared" ref="C3719:C3782" si="233">IFERROR(IF($A3719="","",MID($A3719,FIND(" | ",$A3719)+3,FIND(" | ",$A3719,FIND(" | ",$A3719)+3)-FIND(" | ",$A3719)-3)),"")</f>
        <v/>
      </c>
      <c r="D3719" s="26" t="str">
        <f t="shared" ref="D3719:D3782" si="234">IFERROR(IF($A3719="","",RIGHT($A3719,LEN($A3719)-FIND(" | ",$A3719,FIND(" | ",$A3719)+3)-2)),"")</f>
        <v/>
      </c>
      <c r="E3719" s="29"/>
      <c r="F3719" s="22"/>
      <c r="G3719" s="22"/>
      <c r="H3719" s="22"/>
      <c r="I3719" s="24"/>
      <c r="J3719" s="24"/>
      <c r="K3719" s="24"/>
      <c r="L3719" s="24"/>
      <c r="M3719" s="27" t="str">
        <f t="shared" ref="M3719:M3782" si="235">IF($B3719="","",SUM($J3719,-$K3719,$L3719))</f>
        <v/>
      </c>
      <c r="N3719" s="25"/>
      <c r="O3719" s="22"/>
      <c r="P3719" s="24"/>
      <c r="Q3719" s="26"/>
    </row>
    <row r="3720" spans="1:17" ht="15" x14ac:dyDescent="0.15">
      <c r="A3720" s="22"/>
      <c r="B3720" s="26" t="str">
        <f t="shared" si="232"/>
        <v/>
      </c>
      <c r="C3720" s="26" t="str">
        <f t="shared" si="233"/>
        <v/>
      </c>
      <c r="D3720" s="26" t="str">
        <f t="shared" si="234"/>
        <v/>
      </c>
      <c r="E3720" s="29"/>
      <c r="F3720" s="22"/>
      <c r="G3720" s="22"/>
      <c r="H3720" s="22"/>
      <c r="I3720" s="24"/>
      <c r="J3720" s="24"/>
      <c r="K3720" s="24"/>
      <c r="L3720" s="24"/>
      <c r="M3720" s="27" t="str">
        <f t="shared" si="235"/>
        <v/>
      </c>
      <c r="N3720" s="25"/>
      <c r="O3720" s="22"/>
      <c r="P3720" s="24"/>
      <c r="Q3720" s="26"/>
    </row>
    <row r="3721" spans="1:17" ht="15" x14ac:dyDescent="0.15">
      <c r="A3721" s="22"/>
      <c r="B3721" s="26" t="str">
        <f t="shared" si="232"/>
        <v/>
      </c>
      <c r="C3721" s="26" t="str">
        <f t="shared" si="233"/>
        <v/>
      </c>
      <c r="D3721" s="26" t="str">
        <f t="shared" si="234"/>
        <v/>
      </c>
      <c r="E3721" s="29"/>
      <c r="F3721" s="22"/>
      <c r="G3721" s="22"/>
      <c r="H3721" s="22"/>
      <c r="I3721" s="24"/>
      <c r="J3721" s="24"/>
      <c r="K3721" s="24"/>
      <c r="L3721" s="24"/>
      <c r="M3721" s="27" t="str">
        <f t="shared" si="235"/>
        <v/>
      </c>
      <c r="N3721" s="25"/>
      <c r="O3721" s="22"/>
      <c r="P3721" s="24"/>
      <c r="Q3721" s="26"/>
    </row>
    <row r="3722" spans="1:17" ht="15" x14ac:dyDescent="0.15">
      <c r="A3722" s="22"/>
      <c r="B3722" s="26" t="str">
        <f t="shared" si="232"/>
        <v/>
      </c>
      <c r="C3722" s="26" t="str">
        <f t="shared" si="233"/>
        <v/>
      </c>
      <c r="D3722" s="26" t="str">
        <f t="shared" si="234"/>
        <v/>
      </c>
      <c r="E3722" s="29"/>
      <c r="F3722" s="22"/>
      <c r="G3722" s="22"/>
      <c r="H3722" s="22"/>
      <c r="I3722" s="24"/>
      <c r="J3722" s="24"/>
      <c r="K3722" s="24"/>
      <c r="L3722" s="24"/>
      <c r="M3722" s="27" t="str">
        <f t="shared" si="235"/>
        <v/>
      </c>
      <c r="N3722" s="25"/>
      <c r="O3722" s="22"/>
      <c r="P3722" s="24"/>
      <c r="Q3722" s="26"/>
    </row>
    <row r="3723" spans="1:17" ht="15" x14ac:dyDescent="0.15">
      <c r="A3723" s="22"/>
      <c r="B3723" s="26" t="str">
        <f t="shared" si="232"/>
        <v/>
      </c>
      <c r="C3723" s="26" t="str">
        <f t="shared" si="233"/>
        <v/>
      </c>
      <c r="D3723" s="26" t="str">
        <f t="shared" si="234"/>
        <v/>
      </c>
      <c r="E3723" s="29"/>
      <c r="F3723" s="22"/>
      <c r="G3723" s="22"/>
      <c r="H3723" s="22"/>
      <c r="I3723" s="24"/>
      <c r="J3723" s="24"/>
      <c r="K3723" s="24"/>
      <c r="L3723" s="24"/>
      <c r="M3723" s="27" t="str">
        <f t="shared" si="235"/>
        <v/>
      </c>
      <c r="N3723" s="25"/>
      <c r="O3723" s="22"/>
      <c r="P3723" s="24"/>
      <c r="Q3723" s="26"/>
    </row>
    <row r="3724" spans="1:17" ht="15" x14ac:dyDescent="0.15">
      <c r="A3724" s="22"/>
      <c r="B3724" s="26" t="str">
        <f t="shared" si="232"/>
        <v/>
      </c>
      <c r="C3724" s="26" t="str">
        <f t="shared" si="233"/>
        <v/>
      </c>
      <c r="D3724" s="26" t="str">
        <f t="shared" si="234"/>
        <v/>
      </c>
      <c r="E3724" s="29"/>
      <c r="F3724" s="22"/>
      <c r="G3724" s="22"/>
      <c r="H3724" s="22"/>
      <c r="I3724" s="24"/>
      <c r="J3724" s="24"/>
      <c r="K3724" s="24"/>
      <c r="L3724" s="24"/>
      <c r="M3724" s="27" t="str">
        <f t="shared" si="235"/>
        <v/>
      </c>
      <c r="N3724" s="25"/>
      <c r="O3724" s="22"/>
      <c r="P3724" s="24"/>
      <c r="Q3724" s="26"/>
    </row>
    <row r="3725" spans="1:17" ht="15" x14ac:dyDescent="0.15">
      <c r="A3725" s="22"/>
      <c r="B3725" s="26" t="str">
        <f t="shared" si="232"/>
        <v/>
      </c>
      <c r="C3725" s="26" t="str">
        <f t="shared" si="233"/>
        <v/>
      </c>
      <c r="D3725" s="26" t="str">
        <f t="shared" si="234"/>
        <v/>
      </c>
      <c r="E3725" s="29"/>
      <c r="F3725" s="22"/>
      <c r="G3725" s="22"/>
      <c r="H3725" s="22"/>
      <c r="I3725" s="24"/>
      <c r="J3725" s="24"/>
      <c r="K3725" s="24"/>
      <c r="L3725" s="24"/>
      <c r="M3725" s="27" t="str">
        <f t="shared" si="235"/>
        <v/>
      </c>
      <c r="N3725" s="25"/>
      <c r="O3725" s="22"/>
      <c r="P3725" s="24"/>
      <c r="Q3725" s="26"/>
    </row>
    <row r="3726" spans="1:17" ht="15" x14ac:dyDescent="0.15">
      <c r="A3726" s="22"/>
      <c r="B3726" s="26" t="str">
        <f t="shared" si="232"/>
        <v/>
      </c>
      <c r="C3726" s="26" t="str">
        <f t="shared" si="233"/>
        <v/>
      </c>
      <c r="D3726" s="26" t="str">
        <f t="shared" si="234"/>
        <v/>
      </c>
      <c r="E3726" s="29"/>
      <c r="F3726" s="22"/>
      <c r="G3726" s="22"/>
      <c r="H3726" s="22"/>
      <c r="I3726" s="24"/>
      <c r="J3726" s="24"/>
      <c r="K3726" s="24"/>
      <c r="L3726" s="24"/>
      <c r="M3726" s="27" t="str">
        <f t="shared" si="235"/>
        <v/>
      </c>
      <c r="N3726" s="25"/>
      <c r="O3726" s="22"/>
      <c r="P3726" s="24"/>
      <c r="Q3726" s="26"/>
    </row>
    <row r="3727" spans="1:17" ht="15" x14ac:dyDescent="0.15">
      <c r="A3727" s="22"/>
      <c r="B3727" s="26" t="str">
        <f t="shared" si="232"/>
        <v/>
      </c>
      <c r="C3727" s="26" t="str">
        <f t="shared" si="233"/>
        <v/>
      </c>
      <c r="D3727" s="26" t="str">
        <f t="shared" si="234"/>
        <v/>
      </c>
      <c r="E3727" s="29"/>
      <c r="F3727" s="22"/>
      <c r="G3727" s="22"/>
      <c r="H3727" s="22"/>
      <c r="I3727" s="24"/>
      <c r="J3727" s="24"/>
      <c r="K3727" s="24"/>
      <c r="L3727" s="24"/>
      <c r="M3727" s="27" t="str">
        <f t="shared" si="235"/>
        <v/>
      </c>
      <c r="N3727" s="25"/>
      <c r="O3727" s="22"/>
      <c r="P3727" s="24"/>
      <c r="Q3727" s="26"/>
    </row>
    <row r="3728" spans="1:17" ht="15" x14ac:dyDescent="0.15">
      <c r="A3728" s="22"/>
      <c r="B3728" s="26" t="str">
        <f t="shared" si="232"/>
        <v/>
      </c>
      <c r="C3728" s="26" t="str">
        <f t="shared" si="233"/>
        <v/>
      </c>
      <c r="D3728" s="26" t="str">
        <f t="shared" si="234"/>
        <v/>
      </c>
      <c r="E3728" s="29"/>
      <c r="F3728" s="22"/>
      <c r="G3728" s="22"/>
      <c r="H3728" s="22"/>
      <c r="I3728" s="24"/>
      <c r="J3728" s="24"/>
      <c r="K3728" s="24"/>
      <c r="L3728" s="24"/>
      <c r="M3728" s="27" t="str">
        <f t="shared" si="235"/>
        <v/>
      </c>
      <c r="N3728" s="25"/>
      <c r="O3728" s="22"/>
      <c r="P3728" s="24"/>
      <c r="Q3728" s="26"/>
    </row>
    <row r="3729" spans="1:17" ht="15" x14ac:dyDescent="0.15">
      <c r="A3729" s="22"/>
      <c r="B3729" s="26" t="str">
        <f t="shared" si="232"/>
        <v/>
      </c>
      <c r="C3729" s="26" t="str">
        <f t="shared" si="233"/>
        <v/>
      </c>
      <c r="D3729" s="26" t="str">
        <f t="shared" si="234"/>
        <v/>
      </c>
      <c r="E3729" s="29"/>
      <c r="F3729" s="22"/>
      <c r="G3729" s="22"/>
      <c r="H3729" s="22"/>
      <c r="I3729" s="24"/>
      <c r="J3729" s="24"/>
      <c r="K3729" s="24"/>
      <c r="L3729" s="24"/>
      <c r="M3729" s="27" t="str">
        <f t="shared" si="235"/>
        <v/>
      </c>
      <c r="N3729" s="25"/>
      <c r="O3729" s="22"/>
      <c r="P3729" s="24"/>
      <c r="Q3729" s="26"/>
    </row>
    <row r="3730" spans="1:17" ht="15" x14ac:dyDescent="0.15">
      <c r="A3730" s="22"/>
      <c r="B3730" s="26" t="str">
        <f t="shared" si="232"/>
        <v/>
      </c>
      <c r="C3730" s="26" t="str">
        <f t="shared" si="233"/>
        <v/>
      </c>
      <c r="D3730" s="26" t="str">
        <f t="shared" si="234"/>
        <v/>
      </c>
      <c r="E3730" s="29"/>
      <c r="F3730" s="22"/>
      <c r="G3730" s="22"/>
      <c r="H3730" s="22"/>
      <c r="I3730" s="24"/>
      <c r="J3730" s="24"/>
      <c r="K3730" s="24"/>
      <c r="L3730" s="24"/>
      <c r="M3730" s="27" t="str">
        <f t="shared" si="235"/>
        <v/>
      </c>
      <c r="N3730" s="25"/>
      <c r="O3730" s="22"/>
      <c r="P3730" s="24"/>
      <c r="Q3730" s="26"/>
    </row>
    <row r="3731" spans="1:17" ht="15" x14ac:dyDescent="0.15">
      <c r="A3731" s="22"/>
      <c r="B3731" s="26" t="str">
        <f t="shared" si="232"/>
        <v/>
      </c>
      <c r="C3731" s="26" t="str">
        <f t="shared" si="233"/>
        <v/>
      </c>
      <c r="D3731" s="26" t="str">
        <f t="shared" si="234"/>
        <v/>
      </c>
      <c r="E3731" s="29"/>
      <c r="F3731" s="22"/>
      <c r="G3731" s="22"/>
      <c r="H3731" s="22"/>
      <c r="I3731" s="24"/>
      <c r="J3731" s="24"/>
      <c r="K3731" s="24"/>
      <c r="L3731" s="24"/>
      <c r="M3731" s="27" t="str">
        <f t="shared" si="235"/>
        <v/>
      </c>
      <c r="N3731" s="25"/>
      <c r="O3731" s="22"/>
      <c r="P3731" s="24"/>
      <c r="Q3731" s="26"/>
    </row>
    <row r="3732" spans="1:17" ht="15" x14ac:dyDescent="0.15">
      <c r="A3732" s="22"/>
      <c r="B3732" s="26" t="str">
        <f t="shared" si="232"/>
        <v/>
      </c>
      <c r="C3732" s="26" t="str">
        <f t="shared" si="233"/>
        <v/>
      </c>
      <c r="D3732" s="26" t="str">
        <f t="shared" si="234"/>
        <v/>
      </c>
      <c r="E3732" s="29"/>
      <c r="F3732" s="22"/>
      <c r="G3732" s="22"/>
      <c r="H3732" s="22"/>
      <c r="I3732" s="24"/>
      <c r="J3732" s="24"/>
      <c r="K3732" s="24"/>
      <c r="L3732" s="24"/>
      <c r="M3732" s="27" t="str">
        <f t="shared" si="235"/>
        <v/>
      </c>
      <c r="N3732" s="25"/>
      <c r="O3732" s="22"/>
      <c r="P3732" s="24"/>
      <c r="Q3732" s="26"/>
    </row>
    <row r="3733" spans="1:17" ht="15" x14ac:dyDescent="0.15">
      <c r="A3733" s="22"/>
      <c r="B3733" s="26" t="str">
        <f t="shared" si="232"/>
        <v/>
      </c>
      <c r="C3733" s="26" t="str">
        <f t="shared" si="233"/>
        <v/>
      </c>
      <c r="D3733" s="26" t="str">
        <f t="shared" si="234"/>
        <v/>
      </c>
      <c r="E3733" s="29"/>
      <c r="F3733" s="22"/>
      <c r="G3733" s="22"/>
      <c r="H3733" s="22"/>
      <c r="I3733" s="24"/>
      <c r="J3733" s="24"/>
      <c r="K3733" s="24"/>
      <c r="L3733" s="24"/>
      <c r="M3733" s="27" t="str">
        <f t="shared" si="235"/>
        <v/>
      </c>
      <c r="N3733" s="25"/>
      <c r="O3733" s="22"/>
      <c r="P3733" s="24"/>
      <c r="Q3733" s="26"/>
    </row>
    <row r="3734" spans="1:17" ht="15" x14ac:dyDescent="0.15">
      <c r="A3734" s="22"/>
      <c r="B3734" s="26" t="str">
        <f t="shared" si="232"/>
        <v/>
      </c>
      <c r="C3734" s="26" t="str">
        <f t="shared" si="233"/>
        <v/>
      </c>
      <c r="D3734" s="26" t="str">
        <f t="shared" si="234"/>
        <v/>
      </c>
      <c r="E3734" s="29"/>
      <c r="F3734" s="22"/>
      <c r="G3734" s="22"/>
      <c r="H3734" s="22"/>
      <c r="I3734" s="24"/>
      <c r="J3734" s="24"/>
      <c r="K3734" s="24"/>
      <c r="L3734" s="24"/>
      <c r="M3734" s="27" t="str">
        <f t="shared" si="235"/>
        <v/>
      </c>
      <c r="N3734" s="25"/>
      <c r="O3734" s="22"/>
      <c r="P3734" s="24"/>
      <c r="Q3734" s="26"/>
    </row>
    <row r="3735" spans="1:17" ht="15" x14ac:dyDescent="0.15">
      <c r="A3735" s="22"/>
      <c r="B3735" s="26" t="str">
        <f t="shared" si="232"/>
        <v/>
      </c>
      <c r="C3735" s="26" t="str">
        <f t="shared" si="233"/>
        <v/>
      </c>
      <c r="D3735" s="26" t="str">
        <f t="shared" si="234"/>
        <v/>
      </c>
      <c r="E3735" s="29"/>
      <c r="F3735" s="22"/>
      <c r="G3735" s="22"/>
      <c r="H3735" s="22"/>
      <c r="I3735" s="24"/>
      <c r="J3735" s="24"/>
      <c r="K3735" s="24"/>
      <c r="L3735" s="24"/>
      <c r="M3735" s="27" t="str">
        <f t="shared" si="235"/>
        <v/>
      </c>
      <c r="N3735" s="25"/>
      <c r="O3735" s="22"/>
      <c r="P3735" s="24"/>
      <c r="Q3735" s="26"/>
    </row>
    <row r="3736" spans="1:17" ht="15" x14ac:dyDescent="0.15">
      <c r="A3736" s="22"/>
      <c r="B3736" s="26" t="str">
        <f t="shared" si="232"/>
        <v/>
      </c>
      <c r="C3736" s="26" t="str">
        <f t="shared" si="233"/>
        <v/>
      </c>
      <c r="D3736" s="26" t="str">
        <f t="shared" si="234"/>
        <v/>
      </c>
      <c r="E3736" s="29"/>
      <c r="F3736" s="22"/>
      <c r="G3736" s="22"/>
      <c r="H3736" s="22"/>
      <c r="I3736" s="24"/>
      <c r="J3736" s="24"/>
      <c r="K3736" s="24"/>
      <c r="L3736" s="24"/>
      <c r="M3736" s="27" t="str">
        <f t="shared" si="235"/>
        <v/>
      </c>
      <c r="N3736" s="25"/>
      <c r="O3736" s="22"/>
      <c r="P3736" s="24"/>
      <c r="Q3736" s="26"/>
    </row>
    <row r="3737" spans="1:17" ht="15" x14ac:dyDescent="0.15">
      <c r="A3737" s="22"/>
      <c r="B3737" s="26" t="str">
        <f t="shared" si="232"/>
        <v/>
      </c>
      <c r="C3737" s="26" t="str">
        <f t="shared" si="233"/>
        <v/>
      </c>
      <c r="D3737" s="26" t="str">
        <f t="shared" si="234"/>
        <v/>
      </c>
      <c r="E3737" s="29"/>
      <c r="F3737" s="22"/>
      <c r="G3737" s="22"/>
      <c r="H3737" s="22"/>
      <c r="I3737" s="24"/>
      <c r="J3737" s="24"/>
      <c r="K3737" s="24"/>
      <c r="L3737" s="24"/>
      <c r="M3737" s="27" t="str">
        <f t="shared" si="235"/>
        <v/>
      </c>
      <c r="N3737" s="25"/>
      <c r="O3737" s="22"/>
      <c r="P3737" s="24"/>
      <c r="Q3737" s="26"/>
    </row>
    <row r="3738" spans="1:17" ht="15" x14ac:dyDescent="0.15">
      <c r="A3738" s="22"/>
      <c r="B3738" s="26" t="str">
        <f t="shared" si="232"/>
        <v/>
      </c>
      <c r="C3738" s="26" t="str">
        <f t="shared" si="233"/>
        <v/>
      </c>
      <c r="D3738" s="26" t="str">
        <f t="shared" si="234"/>
        <v/>
      </c>
      <c r="E3738" s="29"/>
      <c r="F3738" s="22"/>
      <c r="G3738" s="22"/>
      <c r="H3738" s="22"/>
      <c r="I3738" s="24"/>
      <c r="J3738" s="24"/>
      <c r="K3738" s="24"/>
      <c r="L3738" s="24"/>
      <c r="M3738" s="27" t="str">
        <f t="shared" si="235"/>
        <v/>
      </c>
      <c r="N3738" s="25"/>
      <c r="O3738" s="22"/>
      <c r="P3738" s="24"/>
      <c r="Q3738" s="26"/>
    </row>
    <row r="3739" spans="1:17" ht="15" x14ac:dyDescent="0.15">
      <c r="A3739" s="22"/>
      <c r="B3739" s="26" t="str">
        <f t="shared" si="232"/>
        <v/>
      </c>
      <c r="C3739" s="26" t="str">
        <f t="shared" si="233"/>
        <v/>
      </c>
      <c r="D3739" s="26" t="str">
        <f t="shared" si="234"/>
        <v/>
      </c>
      <c r="E3739" s="29"/>
      <c r="F3739" s="22"/>
      <c r="G3739" s="22"/>
      <c r="H3739" s="22"/>
      <c r="I3739" s="24"/>
      <c r="J3739" s="24"/>
      <c r="K3739" s="24"/>
      <c r="L3739" s="24"/>
      <c r="M3739" s="27" t="str">
        <f t="shared" si="235"/>
        <v/>
      </c>
      <c r="N3739" s="25"/>
      <c r="O3739" s="22"/>
      <c r="P3739" s="24"/>
      <c r="Q3739" s="26"/>
    </row>
    <row r="3740" spans="1:17" ht="15" x14ac:dyDescent="0.15">
      <c r="A3740" s="22"/>
      <c r="B3740" s="26" t="str">
        <f t="shared" si="232"/>
        <v/>
      </c>
      <c r="C3740" s="26" t="str">
        <f t="shared" si="233"/>
        <v/>
      </c>
      <c r="D3740" s="26" t="str">
        <f t="shared" si="234"/>
        <v/>
      </c>
      <c r="E3740" s="29"/>
      <c r="F3740" s="22"/>
      <c r="G3740" s="22"/>
      <c r="H3740" s="22"/>
      <c r="I3740" s="24"/>
      <c r="J3740" s="24"/>
      <c r="K3740" s="24"/>
      <c r="L3740" s="24"/>
      <c r="M3740" s="27" t="str">
        <f t="shared" si="235"/>
        <v/>
      </c>
      <c r="N3740" s="25"/>
      <c r="O3740" s="22"/>
      <c r="P3740" s="24"/>
      <c r="Q3740" s="26"/>
    </row>
    <row r="3741" spans="1:17" ht="15" x14ac:dyDescent="0.15">
      <c r="A3741" s="22"/>
      <c r="B3741" s="26" t="str">
        <f t="shared" si="232"/>
        <v/>
      </c>
      <c r="C3741" s="26" t="str">
        <f t="shared" si="233"/>
        <v/>
      </c>
      <c r="D3741" s="26" t="str">
        <f t="shared" si="234"/>
        <v/>
      </c>
      <c r="E3741" s="29"/>
      <c r="F3741" s="22"/>
      <c r="G3741" s="22"/>
      <c r="H3741" s="22"/>
      <c r="I3741" s="24"/>
      <c r="J3741" s="24"/>
      <c r="K3741" s="24"/>
      <c r="L3741" s="24"/>
      <c r="M3741" s="27" t="str">
        <f t="shared" si="235"/>
        <v/>
      </c>
      <c r="N3741" s="25"/>
      <c r="O3741" s="22"/>
      <c r="P3741" s="24"/>
      <c r="Q3741" s="26"/>
    </row>
    <row r="3742" spans="1:17" ht="15" x14ac:dyDescent="0.15">
      <c r="A3742" s="22"/>
      <c r="B3742" s="26" t="str">
        <f t="shared" si="232"/>
        <v/>
      </c>
      <c r="C3742" s="26" t="str">
        <f t="shared" si="233"/>
        <v/>
      </c>
      <c r="D3742" s="26" t="str">
        <f t="shared" si="234"/>
        <v/>
      </c>
      <c r="E3742" s="29"/>
      <c r="F3742" s="22"/>
      <c r="G3742" s="22"/>
      <c r="H3742" s="22"/>
      <c r="I3742" s="24"/>
      <c r="J3742" s="24"/>
      <c r="K3742" s="24"/>
      <c r="L3742" s="24"/>
      <c r="M3742" s="27" t="str">
        <f t="shared" si="235"/>
        <v/>
      </c>
      <c r="N3742" s="25"/>
      <c r="O3742" s="22"/>
      <c r="P3742" s="24"/>
      <c r="Q3742" s="26"/>
    </row>
    <row r="3743" spans="1:17" ht="15" x14ac:dyDescent="0.15">
      <c r="A3743" s="22"/>
      <c r="B3743" s="26" t="str">
        <f t="shared" si="232"/>
        <v/>
      </c>
      <c r="C3743" s="26" t="str">
        <f t="shared" si="233"/>
        <v/>
      </c>
      <c r="D3743" s="26" t="str">
        <f t="shared" si="234"/>
        <v/>
      </c>
      <c r="E3743" s="29"/>
      <c r="F3743" s="22"/>
      <c r="G3743" s="22"/>
      <c r="H3743" s="22"/>
      <c r="I3743" s="24"/>
      <c r="J3743" s="24"/>
      <c r="K3743" s="24"/>
      <c r="L3743" s="24"/>
      <c r="M3743" s="27" t="str">
        <f t="shared" si="235"/>
        <v/>
      </c>
      <c r="N3743" s="25"/>
      <c r="O3743" s="22"/>
      <c r="P3743" s="24"/>
      <c r="Q3743" s="26"/>
    </row>
    <row r="3744" spans="1:17" ht="15" x14ac:dyDescent="0.15">
      <c r="A3744" s="22"/>
      <c r="B3744" s="26" t="str">
        <f t="shared" si="232"/>
        <v/>
      </c>
      <c r="C3744" s="26" t="str">
        <f t="shared" si="233"/>
        <v/>
      </c>
      <c r="D3744" s="26" t="str">
        <f t="shared" si="234"/>
        <v/>
      </c>
      <c r="E3744" s="29"/>
      <c r="F3744" s="22"/>
      <c r="G3744" s="22"/>
      <c r="H3744" s="22"/>
      <c r="I3744" s="24"/>
      <c r="J3744" s="24"/>
      <c r="K3744" s="24"/>
      <c r="L3744" s="24"/>
      <c r="M3744" s="27" t="str">
        <f t="shared" si="235"/>
        <v/>
      </c>
      <c r="N3744" s="25"/>
      <c r="O3744" s="22"/>
      <c r="P3744" s="24"/>
      <c r="Q3744" s="26"/>
    </row>
    <row r="3745" spans="1:17" ht="15" x14ac:dyDescent="0.15">
      <c r="A3745" s="22"/>
      <c r="B3745" s="26" t="str">
        <f t="shared" si="232"/>
        <v/>
      </c>
      <c r="C3745" s="26" t="str">
        <f t="shared" si="233"/>
        <v/>
      </c>
      <c r="D3745" s="26" t="str">
        <f t="shared" si="234"/>
        <v/>
      </c>
      <c r="E3745" s="29"/>
      <c r="F3745" s="22"/>
      <c r="G3745" s="22"/>
      <c r="H3745" s="22"/>
      <c r="I3745" s="24"/>
      <c r="J3745" s="24"/>
      <c r="K3745" s="24"/>
      <c r="L3745" s="24"/>
      <c r="M3745" s="27" t="str">
        <f t="shared" si="235"/>
        <v/>
      </c>
      <c r="N3745" s="25"/>
      <c r="O3745" s="22"/>
      <c r="P3745" s="24"/>
      <c r="Q3745" s="26"/>
    </row>
    <row r="3746" spans="1:17" ht="15" x14ac:dyDescent="0.15">
      <c r="A3746" s="22"/>
      <c r="B3746" s="26" t="str">
        <f t="shared" si="232"/>
        <v/>
      </c>
      <c r="C3746" s="26" t="str">
        <f t="shared" si="233"/>
        <v/>
      </c>
      <c r="D3746" s="26" t="str">
        <f t="shared" si="234"/>
        <v/>
      </c>
      <c r="E3746" s="29"/>
      <c r="F3746" s="22"/>
      <c r="G3746" s="22"/>
      <c r="H3746" s="22"/>
      <c r="I3746" s="24"/>
      <c r="J3746" s="24"/>
      <c r="K3746" s="24"/>
      <c r="L3746" s="24"/>
      <c r="M3746" s="27" t="str">
        <f t="shared" si="235"/>
        <v/>
      </c>
      <c r="N3746" s="25"/>
      <c r="O3746" s="22"/>
      <c r="P3746" s="24"/>
      <c r="Q3746" s="26"/>
    </row>
    <row r="3747" spans="1:17" ht="15" x14ac:dyDescent="0.15">
      <c r="A3747" s="22"/>
      <c r="B3747" s="26" t="str">
        <f t="shared" si="232"/>
        <v/>
      </c>
      <c r="C3747" s="26" t="str">
        <f t="shared" si="233"/>
        <v/>
      </c>
      <c r="D3747" s="26" t="str">
        <f t="shared" si="234"/>
        <v/>
      </c>
      <c r="E3747" s="29"/>
      <c r="F3747" s="22"/>
      <c r="G3747" s="22"/>
      <c r="H3747" s="22"/>
      <c r="I3747" s="24"/>
      <c r="J3747" s="24"/>
      <c r="K3747" s="24"/>
      <c r="L3747" s="24"/>
      <c r="M3747" s="27" t="str">
        <f t="shared" si="235"/>
        <v/>
      </c>
      <c r="N3747" s="25"/>
      <c r="O3747" s="22"/>
      <c r="P3747" s="24"/>
      <c r="Q3747" s="26"/>
    </row>
    <row r="3748" spans="1:17" ht="15" x14ac:dyDescent="0.15">
      <c r="A3748" s="22"/>
      <c r="B3748" s="26" t="str">
        <f t="shared" si="232"/>
        <v/>
      </c>
      <c r="C3748" s="26" t="str">
        <f t="shared" si="233"/>
        <v/>
      </c>
      <c r="D3748" s="26" t="str">
        <f t="shared" si="234"/>
        <v/>
      </c>
      <c r="E3748" s="29"/>
      <c r="F3748" s="22"/>
      <c r="G3748" s="22"/>
      <c r="H3748" s="22"/>
      <c r="I3748" s="24"/>
      <c r="J3748" s="24"/>
      <c r="K3748" s="24"/>
      <c r="L3748" s="24"/>
      <c r="M3748" s="27" t="str">
        <f t="shared" si="235"/>
        <v/>
      </c>
      <c r="N3748" s="25"/>
      <c r="O3748" s="22"/>
      <c r="P3748" s="24"/>
      <c r="Q3748" s="26"/>
    </row>
    <row r="3749" spans="1:17" ht="15" x14ac:dyDescent="0.15">
      <c r="A3749" s="22"/>
      <c r="B3749" s="26" t="str">
        <f t="shared" si="232"/>
        <v/>
      </c>
      <c r="C3749" s="26" t="str">
        <f t="shared" si="233"/>
        <v/>
      </c>
      <c r="D3749" s="26" t="str">
        <f t="shared" si="234"/>
        <v/>
      </c>
      <c r="E3749" s="29"/>
      <c r="F3749" s="22"/>
      <c r="G3749" s="22"/>
      <c r="H3749" s="22"/>
      <c r="I3749" s="24"/>
      <c r="J3749" s="24"/>
      <c r="K3749" s="24"/>
      <c r="L3749" s="24"/>
      <c r="M3749" s="27" t="str">
        <f t="shared" si="235"/>
        <v/>
      </c>
      <c r="N3749" s="25"/>
      <c r="O3749" s="22"/>
      <c r="P3749" s="24"/>
      <c r="Q3749" s="26"/>
    </row>
    <row r="3750" spans="1:17" ht="15" x14ac:dyDescent="0.15">
      <c r="A3750" s="22"/>
      <c r="B3750" s="26" t="str">
        <f t="shared" si="232"/>
        <v/>
      </c>
      <c r="C3750" s="26" t="str">
        <f t="shared" si="233"/>
        <v/>
      </c>
      <c r="D3750" s="26" t="str">
        <f t="shared" si="234"/>
        <v/>
      </c>
      <c r="E3750" s="29"/>
      <c r="F3750" s="22"/>
      <c r="G3750" s="22"/>
      <c r="H3750" s="22"/>
      <c r="I3750" s="24"/>
      <c r="J3750" s="24"/>
      <c r="K3750" s="24"/>
      <c r="L3750" s="24"/>
      <c r="M3750" s="27" t="str">
        <f t="shared" si="235"/>
        <v/>
      </c>
      <c r="N3750" s="25"/>
      <c r="O3750" s="22"/>
      <c r="P3750" s="24"/>
      <c r="Q3750" s="26"/>
    </row>
    <row r="3751" spans="1:17" ht="15" x14ac:dyDescent="0.15">
      <c r="A3751" s="22"/>
      <c r="B3751" s="26" t="str">
        <f t="shared" si="232"/>
        <v/>
      </c>
      <c r="C3751" s="26" t="str">
        <f t="shared" si="233"/>
        <v/>
      </c>
      <c r="D3751" s="26" t="str">
        <f t="shared" si="234"/>
        <v/>
      </c>
      <c r="E3751" s="29"/>
      <c r="F3751" s="22"/>
      <c r="G3751" s="22"/>
      <c r="H3751" s="22"/>
      <c r="I3751" s="24"/>
      <c r="J3751" s="24"/>
      <c r="K3751" s="24"/>
      <c r="L3751" s="24"/>
      <c r="M3751" s="27" t="str">
        <f t="shared" si="235"/>
        <v/>
      </c>
      <c r="N3751" s="25"/>
      <c r="O3751" s="22"/>
      <c r="P3751" s="24"/>
      <c r="Q3751" s="26"/>
    </row>
    <row r="3752" spans="1:17" ht="15" x14ac:dyDescent="0.15">
      <c r="A3752" s="22"/>
      <c r="B3752" s="26" t="str">
        <f t="shared" si="232"/>
        <v/>
      </c>
      <c r="C3752" s="26" t="str">
        <f t="shared" si="233"/>
        <v/>
      </c>
      <c r="D3752" s="26" t="str">
        <f t="shared" si="234"/>
        <v/>
      </c>
      <c r="E3752" s="29"/>
      <c r="F3752" s="22"/>
      <c r="G3752" s="22"/>
      <c r="H3752" s="22"/>
      <c r="I3752" s="24"/>
      <c r="J3752" s="24"/>
      <c r="K3752" s="24"/>
      <c r="L3752" s="24"/>
      <c r="M3752" s="27" t="str">
        <f t="shared" si="235"/>
        <v/>
      </c>
      <c r="N3752" s="25"/>
      <c r="O3752" s="22"/>
      <c r="P3752" s="24"/>
      <c r="Q3752" s="26"/>
    </row>
    <row r="3753" spans="1:17" ht="15" x14ac:dyDescent="0.15">
      <c r="A3753" s="22"/>
      <c r="B3753" s="26" t="str">
        <f t="shared" si="232"/>
        <v/>
      </c>
      <c r="C3753" s="26" t="str">
        <f t="shared" si="233"/>
        <v/>
      </c>
      <c r="D3753" s="26" t="str">
        <f t="shared" si="234"/>
        <v/>
      </c>
      <c r="E3753" s="29"/>
      <c r="F3753" s="22"/>
      <c r="G3753" s="22"/>
      <c r="H3753" s="22"/>
      <c r="I3753" s="24"/>
      <c r="J3753" s="24"/>
      <c r="K3753" s="24"/>
      <c r="L3753" s="24"/>
      <c r="M3753" s="27" t="str">
        <f t="shared" si="235"/>
        <v/>
      </c>
      <c r="N3753" s="25"/>
      <c r="O3753" s="22"/>
      <c r="P3753" s="24"/>
      <c r="Q3753" s="26"/>
    </row>
    <row r="3754" spans="1:17" ht="15" x14ac:dyDescent="0.15">
      <c r="A3754" s="22"/>
      <c r="B3754" s="26" t="str">
        <f t="shared" si="232"/>
        <v/>
      </c>
      <c r="C3754" s="26" t="str">
        <f t="shared" si="233"/>
        <v/>
      </c>
      <c r="D3754" s="26" t="str">
        <f t="shared" si="234"/>
        <v/>
      </c>
      <c r="E3754" s="29"/>
      <c r="F3754" s="22"/>
      <c r="G3754" s="22"/>
      <c r="H3754" s="22"/>
      <c r="I3754" s="24"/>
      <c r="J3754" s="24"/>
      <c r="K3754" s="24"/>
      <c r="L3754" s="24"/>
      <c r="M3754" s="27" t="str">
        <f t="shared" si="235"/>
        <v/>
      </c>
      <c r="N3754" s="25"/>
      <c r="O3754" s="22"/>
      <c r="P3754" s="24"/>
      <c r="Q3754" s="26"/>
    </row>
    <row r="3755" spans="1:17" ht="15" x14ac:dyDescent="0.15">
      <c r="A3755" s="22"/>
      <c r="B3755" s="26" t="str">
        <f t="shared" si="232"/>
        <v/>
      </c>
      <c r="C3755" s="26" t="str">
        <f t="shared" si="233"/>
        <v/>
      </c>
      <c r="D3755" s="26" t="str">
        <f t="shared" si="234"/>
        <v/>
      </c>
      <c r="E3755" s="29"/>
      <c r="F3755" s="22"/>
      <c r="G3755" s="22"/>
      <c r="H3755" s="22"/>
      <c r="I3755" s="24"/>
      <c r="J3755" s="24"/>
      <c r="K3755" s="24"/>
      <c r="L3755" s="24"/>
      <c r="M3755" s="27" t="str">
        <f t="shared" si="235"/>
        <v/>
      </c>
      <c r="N3755" s="25"/>
      <c r="O3755" s="22"/>
      <c r="P3755" s="24"/>
      <c r="Q3755" s="26"/>
    </row>
    <row r="3756" spans="1:17" ht="15" x14ac:dyDescent="0.15">
      <c r="A3756" s="22"/>
      <c r="B3756" s="26" t="str">
        <f t="shared" si="232"/>
        <v/>
      </c>
      <c r="C3756" s="26" t="str">
        <f t="shared" si="233"/>
        <v/>
      </c>
      <c r="D3756" s="26" t="str">
        <f t="shared" si="234"/>
        <v/>
      </c>
      <c r="E3756" s="29"/>
      <c r="F3756" s="22"/>
      <c r="G3756" s="22"/>
      <c r="H3756" s="22"/>
      <c r="I3756" s="24"/>
      <c r="J3756" s="24"/>
      <c r="K3756" s="24"/>
      <c r="L3756" s="24"/>
      <c r="M3756" s="27" t="str">
        <f t="shared" si="235"/>
        <v/>
      </c>
      <c r="N3756" s="25"/>
      <c r="O3756" s="22"/>
      <c r="P3756" s="24"/>
      <c r="Q3756" s="26"/>
    </row>
    <row r="3757" spans="1:17" ht="15" x14ac:dyDescent="0.15">
      <c r="A3757" s="22"/>
      <c r="B3757" s="26" t="str">
        <f t="shared" si="232"/>
        <v/>
      </c>
      <c r="C3757" s="26" t="str">
        <f t="shared" si="233"/>
        <v/>
      </c>
      <c r="D3757" s="26" t="str">
        <f t="shared" si="234"/>
        <v/>
      </c>
      <c r="E3757" s="29"/>
      <c r="F3757" s="22"/>
      <c r="G3757" s="22"/>
      <c r="H3757" s="22"/>
      <c r="I3757" s="24"/>
      <c r="J3757" s="24"/>
      <c r="K3757" s="24"/>
      <c r="L3757" s="24"/>
      <c r="M3757" s="27" t="str">
        <f t="shared" si="235"/>
        <v/>
      </c>
      <c r="N3757" s="25"/>
      <c r="O3757" s="22"/>
      <c r="P3757" s="24"/>
      <c r="Q3757" s="26"/>
    </row>
    <row r="3758" spans="1:17" ht="15" x14ac:dyDescent="0.15">
      <c r="A3758" s="22"/>
      <c r="B3758" s="26" t="str">
        <f t="shared" si="232"/>
        <v/>
      </c>
      <c r="C3758" s="26" t="str">
        <f t="shared" si="233"/>
        <v/>
      </c>
      <c r="D3758" s="26" t="str">
        <f t="shared" si="234"/>
        <v/>
      </c>
      <c r="E3758" s="29"/>
      <c r="F3758" s="22"/>
      <c r="G3758" s="22"/>
      <c r="H3758" s="22"/>
      <c r="I3758" s="24"/>
      <c r="J3758" s="24"/>
      <c r="K3758" s="24"/>
      <c r="L3758" s="24"/>
      <c r="M3758" s="27" t="str">
        <f t="shared" si="235"/>
        <v/>
      </c>
      <c r="N3758" s="25"/>
      <c r="O3758" s="22"/>
      <c r="P3758" s="24"/>
      <c r="Q3758" s="26"/>
    </row>
    <row r="3759" spans="1:17" ht="15" x14ac:dyDescent="0.15">
      <c r="A3759" s="22"/>
      <c r="B3759" s="26" t="str">
        <f t="shared" si="232"/>
        <v/>
      </c>
      <c r="C3759" s="26" t="str">
        <f t="shared" si="233"/>
        <v/>
      </c>
      <c r="D3759" s="26" t="str">
        <f t="shared" si="234"/>
        <v/>
      </c>
      <c r="E3759" s="29"/>
      <c r="F3759" s="22"/>
      <c r="G3759" s="22"/>
      <c r="H3759" s="22"/>
      <c r="I3759" s="24"/>
      <c r="J3759" s="24"/>
      <c r="K3759" s="24"/>
      <c r="L3759" s="24"/>
      <c r="M3759" s="27" t="str">
        <f t="shared" si="235"/>
        <v/>
      </c>
      <c r="N3759" s="25"/>
      <c r="O3759" s="22"/>
      <c r="P3759" s="24"/>
      <c r="Q3759" s="26"/>
    </row>
    <row r="3760" spans="1:17" ht="15" x14ac:dyDescent="0.15">
      <c r="A3760" s="22"/>
      <c r="B3760" s="26" t="str">
        <f t="shared" si="232"/>
        <v/>
      </c>
      <c r="C3760" s="26" t="str">
        <f t="shared" si="233"/>
        <v/>
      </c>
      <c r="D3760" s="26" t="str">
        <f t="shared" si="234"/>
        <v/>
      </c>
      <c r="E3760" s="29"/>
      <c r="F3760" s="22"/>
      <c r="G3760" s="22"/>
      <c r="H3760" s="22"/>
      <c r="I3760" s="24"/>
      <c r="J3760" s="24"/>
      <c r="K3760" s="24"/>
      <c r="L3760" s="24"/>
      <c r="M3760" s="27" t="str">
        <f t="shared" si="235"/>
        <v/>
      </c>
      <c r="N3760" s="25"/>
      <c r="O3760" s="22"/>
      <c r="P3760" s="24"/>
      <c r="Q3760" s="26"/>
    </row>
    <row r="3761" spans="1:17" ht="15" x14ac:dyDescent="0.15">
      <c r="A3761" s="22"/>
      <c r="B3761" s="26" t="str">
        <f t="shared" si="232"/>
        <v/>
      </c>
      <c r="C3761" s="26" t="str">
        <f t="shared" si="233"/>
        <v/>
      </c>
      <c r="D3761" s="26" t="str">
        <f t="shared" si="234"/>
        <v/>
      </c>
      <c r="E3761" s="29"/>
      <c r="F3761" s="22"/>
      <c r="G3761" s="22"/>
      <c r="H3761" s="22"/>
      <c r="I3761" s="24"/>
      <c r="J3761" s="24"/>
      <c r="K3761" s="24"/>
      <c r="L3761" s="24"/>
      <c r="M3761" s="27" t="str">
        <f t="shared" si="235"/>
        <v/>
      </c>
      <c r="N3761" s="25"/>
      <c r="O3761" s="22"/>
      <c r="P3761" s="24"/>
      <c r="Q3761" s="26"/>
    </row>
    <row r="3762" spans="1:17" ht="15" x14ac:dyDescent="0.15">
      <c r="A3762" s="22"/>
      <c r="B3762" s="26" t="str">
        <f t="shared" si="232"/>
        <v/>
      </c>
      <c r="C3762" s="26" t="str">
        <f t="shared" si="233"/>
        <v/>
      </c>
      <c r="D3762" s="26" t="str">
        <f t="shared" si="234"/>
        <v/>
      </c>
      <c r="E3762" s="29"/>
      <c r="F3762" s="22"/>
      <c r="G3762" s="22"/>
      <c r="H3762" s="22"/>
      <c r="I3762" s="24"/>
      <c r="J3762" s="24"/>
      <c r="K3762" s="24"/>
      <c r="L3762" s="24"/>
      <c r="M3762" s="27" t="str">
        <f t="shared" si="235"/>
        <v/>
      </c>
      <c r="N3762" s="25"/>
      <c r="O3762" s="22"/>
      <c r="P3762" s="24"/>
      <c r="Q3762" s="26"/>
    </row>
    <row r="3763" spans="1:17" ht="15" x14ac:dyDescent="0.15">
      <c r="A3763" s="22"/>
      <c r="B3763" s="26" t="str">
        <f t="shared" si="232"/>
        <v/>
      </c>
      <c r="C3763" s="26" t="str">
        <f t="shared" si="233"/>
        <v/>
      </c>
      <c r="D3763" s="26" t="str">
        <f t="shared" si="234"/>
        <v/>
      </c>
      <c r="E3763" s="29"/>
      <c r="F3763" s="22"/>
      <c r="G3763" s="22"/>
      <c r="H3763" s="22"/>
      <c r="I3763" s="24"/>
      <c r="J3763" s="24"/>
      <c r="K3763" s="24"/>
      <c r="L3763" s="24"/>
      <c r="M3763" s="27" t="str">
        <f t="shared" si="235"/>
        <v/>
      </c>
      <c r="N3763" s="25"/>
      <c r="O3763" s="22"/>
      <c r="P3763" s="24"/>
      <c r="Q3763" s="26"/>
    </row>
    <row r="3764" spans="1:17" ht="15" x14ac:dyDescent="0.15">
      <c r="A3764" s="22"/>
      <c r="B3764" s="26" t="str">
        <f t="shared" si="232"/>
        <v/>
      </c>
      <c r="C3764" s="26" t="str">
        <f t="shared" si="233"/>
        <v/>
      </c>
      <c r="D3764" s="26" t="str">
        <f t="shared" si="234"/>
        <v/>
      </c>
      <c r="E3764" s="29"/>
      <c r="F3764" s="22"/>
      <c r="G3764" s="22"/>
      <c r="H3764" s="22"/>
      <c r="I3764" s="24"/>
      <c r="J3764" s="24"/>
      <c r="K3764" s="24"/>
      <c r="L3764" s="24"/>
      <c r="M3764" s="27" t="str">
        <f t="shared" si="235"/>
        <v/>
      </c>
      <c r="N3764" s="25"/>
      <c r="O3764" s="22"/>
      <c r="P3764" s="24"/>
      <c r="Q3764" s="26"/>
    </row>
    <row r="3765" spans="1:17" ht="15" x14ac:dyDescent="0.15">
      <c r="A3765" s="22"/>
      <c r="B3765" s="26" t="str">
        <f t="shared" si="232"/>
        <v/>
      </c>
      <c r="C3765" s="26" t="str">
        <f t="shared" si="233"/>
        <v/>
      </c>
      <c r="D3765" s="26" t="str">
        <f t="shared" si="234"/>
        <v/>
      </c>
      <c r="E3765" s="29"/>
      <c r="F3765" s="22"/>
      <c r="G3765" s="22"/>
      <c r="H3765" s="22"/>
      <c r="I3765" s="24"/>
      <c r="J3765" s="24"/>
      <c r="K3765" s="24"/>
      <c r="L3765" s="24"/>
      <c r="M3765" s="27" t="str">
        <f t="shared" si="235"/>
        <v/>
      </c>
      <c r="N3765" s="25"/>
      <c r="O3765" s="22"/>
      <c r="P3765" s="24"/>
      <c r="Q3765" s="26"/>
    </row>
    <row r="3766" spans="1:17" ht="15" x14ac:dyDescent="0.15">
      <c r="A3766" s="22"/>
      <c r="B3766" s="26" t="str">
        <f t="shared" si="232"/>
        <v/>
      </c>
      <c r="C3766" s="26" t="str">
        <f t="shared" si="233"/>
        <v/>
      </c>
      <c r="D3766" s="26" t="str">
        <f t="shared" si="234"/>
        <v/>
      </c>
      <c r="E3766" s="29"/>
      <c r="F3766" s="22"/>
      <c r="G3766" s="22"/>
      <c r="H3766" s="22"/>
      <c r="I3766" s="24"/>
      <c r="J3766" s="24"/>
      <c r="K3766" s="24"/>
      <c r="L3766" s="24"/>
      <c r="M3766" s="27" t="str">
        <f t="shared" si="235"/>
        <v/>
      </c>
      <c r="N3766" s="25"/>
      <c r="O3766" s="22"/>
      <c r="P3766" s="24"/>
      <c r="Q3766" s="26"/>
    </row>
    <row r="3767" spans="1:17" ht="15" x14ac:dyDescent="0.15">
      <c r="A3767" s="22"/>
      <c r="B3767" s="26" t="str">
        <f t="shared" si="232"/>
        <v/>
      </c>
      <c r="C3767" s="26" t="str">
        <f t="shared" si="233"/>
        <v/>
      </c>
      <c r="D3767" s="26" t="str">
        <f t="shared" si="234"/>
        <v/>
      </c>
      <c r="E3767" s="29"/>
      <c r="F3767" s="22"/>
      <c r="G3767" s="22"/>
      <c r="H3767" s="22"/>
      <c r="I3767" s="24"/>
      <c r="J3767" s="24"/>
      <c r="K3767" s="24"/>
      <c r="L3767" s="24"/>
      <c r="M3767" s="27" t="str">
        <f t="shared" si="235"/>
        <v/>
      </c>
      <c r="N3767" s="25"/>
      <c r="O3767" s="22"/>
      <c r="P3767" s="24"/>
      <c r="Q3767" s="26"/>
    </row>
    <row r="3768" spans="1:17" ht="15" x14ac:dyDescent="0.15">
      <c r="A3768" s="22"/>
      <c r="B3768" s="26" t="str">
        <f t="shared" si="232"/>
        <v/>
      </c>
      <c r="C3768" s="26" t="str">
        <f t="shared" si="233"/>
        <v/>
      </c>
      <c r="D3768" s="26" t="str">
        <f t="shared" si="234"/>
        <v/>
      </c>
      <c r="E3768" s="29"/>
      <c r="F3768" s="22"/>
      <c r="G3768" s="22"/>
      <c r="H3768" s="22"/>
      <c r="I3768" s="24"/>
      <c r="J3768" s="24"/>
      <c r="K3768" s="24"/>
      <c r="L3768" s="24"/>
      <c r="M3768" s="27" t="str">
        <f t="shared" si="235"/>
        <v/>
      </c>
      <c r="N3768" s="25"/>
      <c r="O3768" s="22"/>
      <c r="P3768" s="24"/>
      <c r="Q3768" s="26"/>
    </row>
    <row r="3769" spans="1:17" ht="15" x14ac:dyDescent="0.15">
      <c r="A3769" s="22"/>
      <c r="B3769" s="26" t="str">
        <f t="shared" si="232"/>
        <v/>
      </c>
      <c r="C3769" s="26" t="str">
        <f t="shared" si="233"/>
        <v/>
      </c>
      <c r="D3769" s="26" t="str">
        <f t="shared" si="234"/>
        <v/>
      </c>
      <c r="E3769" s="29"/>
      <c r="F3769" s="22"/>
      <c r="G3769" s="22"/>
      <c r="H3769" s="22"/>
      <c r="I3769" s="24"/>
      <c r="J3769" s="24"/>
      <c r="K3769" s="24"/>
      <c r="L3769" s="24"/>
      <c r="M3769" s="27" t="str">
        <f t="shared" si="235"/>
        <v/>
      </c>
      <c r="N3769" s="25"/>
      <c r="O3769" s="22"/>
      <c r="P3769" s="24"/>
      <c r="Q3769" s="26"/>
    </row>
    <row r="3770" spans="1:17" ht="15" x14ac:dyDescent="0.15">
      <c r="A3770" s="22"/>
      <c r="B3770" s="26" t="str">
        <f t="shared" si="232"/>
        <v/>
      </c>
      <c r="C3770" s="26" t="str">
        <f t="shared" si="233"/>
        <v/>
      </c>
      <c r="D3770" s="26" t="str">
        <f t="shared" si="234"/>
        <v/>
      </c>
      <c r="E3770" s="29"/>
      <c r="F3770" s="22"/>
      <c r="G3770" s="22"/>
      <c r="H3770" s="22"/>
      <c r="I3770" s="24"/>
      <c r="J3770" s="24"/>
      <c r="K3770" s="24"/>
      <c r="L3770" s="24"/>
      <c r="M3770" s="27" t="str">
        <f t="shared" si="235"/>
        <v/>
      </c>
      <c r="N3770" s="25"/>
      <c r="O3770" s="22"/>
      <c r="P3770" s="24"/>
      <c r="Q3770" s="26"/>
    </row>
    <row r="3771" spans="1:17" ht="15" x14ac:dyDescent="0.15">
      <c r="A3771" s="22"/>
      <c r="B3771" s="26" t="str">
        <f t="shared" si="232"/>
        <v/>
      </c>
      <c r="C3771" s="26" t="str">
        <f t="shared" si="233"/>
        <v/>
      </c>
      <c r="D3771" s="26" t="str">
        <f t="shared" si="234"/>
        <v/>
      </c>
      <c r="E3771" s="29"/>
      <c r="F3771" s="22"/>
      <c r="G3771" s="22"/>
      <c r="H3771" s="22"/>
      <c r="I3771" s="24"/>
      <c r="J3771" s="24"/>
      <c r="K3771" s="24"/>
      <c r="L3771" s="24"/>
      <c r="M3771" s="27" t="str">
        <f t="shared" si="235"/>
        <v/>
      </c>
      <c r="N3771" s="25"/>
      <c r="O3771" s="22"/>
      <c r="P3771" s="24"/>
      <c r="Q3771" s="26"/>
    </row>
    <row r="3772" spans="1:17" ht="15" x14ac:dyDescent="0.15">
      <c r="A3772" s="22"/>
      <c r="B3772" s="26" t="str">
        <f t="shared" si="232"/>
        <v/>
      </c>
      <c r="C3772" s="26" t="str">
        <f t="shared" si="233"/>
        <v/>
      </c>
      <c r="D3772" s="26" t="str">
        <f t="shared" si="234"/>
        <v/>
      </c>
      <c r="E3772" s="29"/>
      <c r="F3772" s="22"/>
      <c r="G3772" s="22"/>
      <c r="H3772" s="22"/>
      <c r="I3772" s="24"/>
      <c r="J3772" s="24"/>
      <c r="K3772" s="24"/>
      <c r="L3772" s="24"/>
      <c r="M3772" s="27" t="str">
        <f t="shared" si="235"/>
        <v/>
      </c>
      <c r="N3772" s="25"/>
      <c r="O3772" s="22"/>
      <c r="P3772" s="24"/>
      <c r="Q3772" s="26"/>
    </row>
    <row r="3773" spans="1:17" ht="15" x14ac:dyDescent="0.15">
      <c r="A3773" s="22"/>
      <c r="B3773" s="26" t="str">
        <f t="shared" si="232"/>
        <v/>
      </c>
      <c r="C3773" s="26" t="str">
        <f t="shared" si="233"/>
        <v/>
      </c>
      <c r="D3773" s="26" t="str">
        <f t="shared" si="234"/>
        <v/>
      </c>
      <c r="E3773" s="29"/>
      <c r="F3773" s="22"/>
      <c r="G3773" s="22"/>
      <c r="H3773" s="22"/>
      <c r="I3773" s="24"/>
      <c r="J3773" s="24"/>
      <c r="K3773" s="24"/>
      <c r="L3773" s="24"/>
      <c r="M3773" s="27" t="str">
        <f t="shared" si="235"/>
        <v/>
      </c>
      <c r="N3773" s="25"/>
      <c r="O3773" s="22"/>
      <c r="P3773" s="24"/>
      <c r="Q3773" s="26"/>
    </row>
    <row r="3774" spans="1:17" ht="15" x14ac:dyDescent="0.15">
      <c r="A3774" s="22"/>
      <c r="B3774" s="26" t="str">
        <f t="shared" si="232"/>
        <v/>
      </c>
      <c r="C3774" s="26" t="str">
        <f t="shared" si="233"/>
        <v/>
      </c>
      <c r="D3774" s="26" t="str">
        <f t="shared" si="234"/>
        <v/>
      </c>
      <c r="E3774" s="29"/>
      <c r="F3774" s="22"/>
      <c r="G3774" s="22"/>
      <c r="H3774" s="22"/>
      <c r="I3774" s="24"/>
      <c r="J3774" s="24"/>
      <c r="K3774" s="24"/>
      <c r="L3774" s="24"/>
      <c r="M3774" s="27" t="str">
        <f t="shared" si="235"/>
        <v/>
      </c>
      <c r="N3774" s="25"/>
      <c r="O3774" s="22"/>
      <c r="P3774" s="24"/>
      <c r="Q3774" s="26"/>
    </row>
    <row r="3775" spans="1:17" ht="15" x14ac:dyDescent="0.15">
      <c r="A3775" s="22"/>
      <c r="B3775" s="26" t="str">
        <f t="shared" si="232"/>
        <v/>
      </c>
      <c r="C3775" s="26" t="str">
        <f t="shared" si="233"/>
        <v/>
      </c>
      <c r="D3775" s="26" t="str">
        <f t="shared" si="234"/>
        <v/>
      </c>
      <c r="E3775" s="29"/>
      <c r="F3775" s="22"/>
      <c r="G3775" s="22"/>
      <c r="H3775" s="22"/>
      <c r="I3775" s="24"/>
      <c r="J3775" s="24"/>
      <c r="K3775" s="24"/>
      <c r="L3775" s="24"/>
      <c r="M3775" s="27" t="str">
        <f t="shared" si="235"/>
        <v/>
      </c>
      <c r="N3775" s="25"/>
      <c r="O3775" s="22"/>
      <c r="P3775" s="24"/>
      <c r="Q3775" s="26"/>
    </row>
    <row r="3776" spans="1:17" ht="15" x14ac:dyDescent="0.15">
      <c r="A3776" s="22"/>
      <c r="B3776" s="26" t="str">
        <f t="shared" si="232"/>
        <v/>
      </c>
      <c r="C3776" s="26" t="str">
        <f t="shared" si="233"/>
        <v/>
      </c>
      <c r="D3776" s="26" t="str">
        <f t="shared" si="234"/>
        <v/>
      </c>
      <c r="E3776" s="29"/>
      <c r="F3776" s="22"/>
      <c r="G3776" s="22"/>
      <c r="H3776" s="22"/>
      <c r="I3776" s="24"/>
      <c r="J3776" s="24"/>
      <c r="K3776" s="24"/>
      <c r="L3776" s="24"/>
      <c r="M3776" s="27" t="str">
        <f t="shared" si="235"/>
        <v/>
      </c>
      <c r="N3776" s="25"/>
      <c r="O3776" s="22"/>
      <c r="P3776" s="24"/>
      <c r="Q3776" s="26"/>
    </row>
    <row r="3777" spans="1:17" ht="15" x14ac:dyDescent="0.15">
      <c r="A3777" s="22"/>
      <c r="B3777" s="26" t="str">
        <f t="shared" si="232"/>
        <v/>
      </c>
      <c r="C3777" s="26" t="str">
        <f t="shared" si="233"/>
        <v/>
      </c>
      <c r="D3777" s="26" t="str">
        <f t="shared" si="234"/>
        <v/>
      </c>
      <c r="E3777" s="29"/>
      <c r="F3777" s="22"/>
      <c r="G3777" s="22"/>
      <c r="H3777" s="22"/>
      <c r="I3777" s="24"/>
      <c r="J3777" s="24"/>
      <c r="K3777" s="24"/>
      <c r="L3777" s="24"/>
      <c r="M3777" s="27" t="str">
        <f t="shared" si="235"/>
        <v/>
      </c>
      <c r="N3777" s="25"/>
      <c r="O3777" s="22"/>
      <c r="P3777" s="24"/>
      <c r="Q3777" s="26"/>
    </row>
    <row r="3778" spans="1:17" ht="15" x14ac:dyDescent="0.15">
      <c r="A3778" s="22"/>
      <c r="B3778" s="26" t="str">
        <f t="shared" si="232"/>
        <v/>
      </c>
      <c r="C3778" s="26" t="str">
        <f t="shared" si="233"/>
        <v/>
      </c>
      <c r="D3778" s="26" t="str">
        <f t="shared" si="234"/>
        <v/>
      </c>
      <c r="E3778" s="29"/>
      <c r="F3778" s="22"/>
      <c r="G3778" s="22"/>
      <c r="H3778" s="22"/>
      <c r="I3778" s="24"/>
      <c r="J3778" s="24"/>
      <c r="K3778" s="24"/>
      <c r="L3778" s="24"/>
      <c r="M3778" s="27" t="str">
        <f t="shared" si="235"/>
        <v/>
      </c>
      <c r="N3778" s="25"/>
      <c r="O3778" s="22"/>
      <c r="P3778" s="24"/>
      <c r="Q3778" s="26"/>
    </row>
    <row r="3779" spans="1:17" ht="15" x14ac:dyDescent="0.15">
      <c r="A3779" s="22"/>
      <c r="B3779" s="26" t="str">
        <f t="shared" si="232"/>
        <v/>
      </c>
      <c r="C3779" s="26" t="str">
        <f t="shared" si="233"/>
        <v/>
      </c>
      <c r="D3779" s="26" t="str">
        <f t="shared" si="234"/>
        <v/>
      </c>
      <c r="E3779" s="29"/>
      <c r="F3779" s="22"/>
      <c r="G3779" s="22"/>
      <c r="H3779" s="22"/>
      <c r="I3779" s="24"/>
      <c r="J3779" s="24"/>
      <c r="K3779" s="24"/>
      <c r="L3779" s="24"/>
      <c r="M3779" s="27" t="str">
        <f t="shared" si="235"/>
        <v/>
      </c>
      <c r="N3779" s="25"/>
      <c r="O3779" s="22"/>
      <c r="P3779" s="24"/>
      <c r="Q3779" s="26"/>
    </row>
    <row r="3780" spans="1:17" ht="15" x14ac:dyDescent="0.15">
      <c r="A3780" s="22"/>
      <c r="B3780" s="26" t="str">
        <f t="shared" si="232"/>
        <v/>
      </c>
      <c r="C3780" s="26" t="str">
        <f t="shared" si="233"/>
        <v/>
      </c>
      <c r="D3780" s="26" t="str">
        <f t="shared" si="234"/>
        <v/>
      </c>
      <c r="E3780" s="29"/>
      <c r="F3780" s="22"/>
      <c r="G3780" s="22"/>
      <c r="H3780" s="22"/>
      <c r="I3780" s="24"/>
      <c r="J3780" s="24"/>
      <c r="K3780" s="24"/>
      <c r="L3780" s="24"/>
      <c r="M3780" s="27" t="str">
        <f t="shared" si="235"/>
        <v/>
      </c>
      <c r="N3780" s="25"/>
      <c r="O3780" s="22"/>
      <c r="P3780" s="24"/>
      <c r="Q3780" s="26"/>
    </row>
    <row r="3781" spans="1:17" ht="15" x14ac:dyDescent="0.15">
      <c r="A3781" s="22"/>
      <c r="B3781" s="26" t="str">
        <f t="shared" si="232"/>
        <v/>
      </c>
      <c r="C3781" s="26" t="str">
        <f t="shared" si="233"/>
        <v/>
      </c>
      <c r="D3781" s="26" t="str">
        <f t="shared" si="234"/>
        <v/>
      </c>
      <c r="E3781" s="29"/>
      <c r="F3781" s="22"/>
      <c r="G3781" s="22"/>
      <c r="H3781" s="22"/>
      <c r="I3781" s="24"/>
      <c r="J3781" s="24"/>
      <c r="K3781" s="24"/>
      <c r="L3781" s="24"/>
      <c r="M3781" s="27" t="str">
        <f t="shared" si="235"/>
        <v/>
      </c>
      <c r="N3781" s="25"/>
      <c r="O3781" s="22"/>
      <c r="P3781" s="24"/>
      <c r="Q3781" s="26"/>
    </row>
    <row r="3782" spans="1:17" ht="15" x14ac:dyDescent="0.15">
      <c r="A3782" s="22"/>
      <c r="B3782" s="26" t="str">
        <f t="shared" si="232"/>
        <v/>
      </c>
      <c r="C3782" s="26" t="str">
        <f t="shared" si="233"/>
        <v/>
      </c>
      <c r="D3782" s="26" t="str">
        <f t="shared" si="234"/>
        <v/>
      </c>
      <c r="E3782" s="29"/>
      <c r="F3782" s="22"/>
      <c r="G3782" s="22"/>
      <c r="H3782" s="22"/>
      <c r="I3782" s="24"/>
      <c r="J3782" s="24"/>
      <c r="K3782" s="24"/>
      <c r="L3782" s="24"/>
      <c r="M3782" s="27" t="str">
        <f t="shared" si="235"/>
        <v/>
      </c>
      <c r="N3782" s="25"/>
      <c r="O3782" s="22"/>
      <c r="P3782" s="24"/>
      <c r="Q3782" s="26"/>
    </row>
    <row r="3783" spans="1:17" ht="15" x14ac:dyDescent="0.15">
      <c r="A3783" s="22"/>
      <c r="B3783" s="26" t="str">
        <f t="shared" ref="B3783:B3846" si="236">IFERROR(IF($A3783="","",LEFT($A3783,FIND(" | ",$A3783)-1)),"")</f>
        <v/>
      </c>
      <c r="C3783" s="26" t="str">
        <f t="shared" ref="C3783:C3846" si="237">IFERROR(IF($A3783="","",MID($A3783,FIND(" | ",$A3783)+3,FIND(" | ",$A3783,FIND(" | ",$A3783)+3)-FIND(" | ",$A3783)-3)),"")</f>
        <v/>
      </c>
      <c r="D3783" s="26" t="str">
        <f t="shared" ref="D3783:D3846" si="238">IFERROR(IF($A3783="","",RIGHT($A3783,LEN($A3783)-FIND(" | ",$A3783,FIND(" | ",$A3783)+3)-2)),"")</f>
        <v/>
      </c>
      <c r="E3783" s="29"/>
      <c r="F3783" s="22"/>
      <c r="G3783" s="22"/>
      <c r="H3783" s="22"/>
      <c r="I3783" s="24"/>
      <c r="J3783" s="24"/>
      <c r="K3783" s="24"/>
      <c r="L3783" s="24"/>
      <c r="M3783" s="27" t="str">
        <f t="shared" ref="M3783:M3846" si="239">IF($B3783="","",SUM($J3783,-$K3783,$L3783))</f>
        <v/>
      </c>
      <c r="N3783" s="25"/>
      <c r="O3783" s="22"/>
      <c r="P3783" s="24"/>
      <c r="Q3783" s="26"/>
    </row>
    <row r="3784" spans="1:17" ht="15" x14ac:dyDescent="0.15">
      <c r="A3784" s="22"/>
      <c r="B3784" s="26" t="str">
        <f t="shared" si="236"/>
        <v/>
      </c>
      <c r="C3784" s="26" t="str">
        <f t="shared" si="237"/>
        <v/>
      </c>
      <c r="D3784" s="26" t="str">
        <f t="shared" si="238"/>
        <v/>
      </c>
      <c r="E3784" s="29"/>
      <c r="F3784" s="22"/>
      <c r="G3784" s="22"/>
      <c r="H3784" s="22"/>
      <c r="I3784" s="24"/>
      <c r="J3784" s="24"/>
      <c r="K3784" s="24"/>
      <c r="L3784" s="24"/>
      <c r="M3784" s="27" t="str">
        <f t="shared" si="239"/>
        <v/>
      </c>
      <c r="N3784" s="25"/>
      <c r="O3784" s="22"/>
      <c r="P3784" s="24"/>
      <c r="Q3784" s="26"/>
    </row>
    <row r="3785" spans="1:17" ht="15" x14ac:dyDescent="0.15">
      <c r="A3785" s="22"/>
      <c r="B3785" s="26" t="str">
        <f t="shared" si="236"/>
        <v/>
      </c>
      <c r="C3785" s="26" t="str">
        <f t="shared" si="237"/>
        <v/>
      </c>
      <c r="D3785" s="26" t="str">
        <f t="shared" si="238"/>
        <v/>
      </c>
      <c r="E3785" s="29"/>
      <c r="F3785" s="22"/>
      <c r="G3785" s="22"/>
      <c r="H3785" s="22"/>
      <c r="I3785" s="24"/>
      <c r="J3785" s="24"/>
      <c r="K3785" s="24"/>
      <c r="L3785" s="24"/>
      <c r="M3785" s="27" t="str">
        <f t="shared" si="239"/>
        <v/>
      </c>
      <c r="N3785" s="25"/>
      <c r="O3785" s="22"/>
      <c r="P3785" s="24"/>
      <c r="Q3785" s="26"/>
    </row>
    <row r="3786" spans="1:17" ht="15" x14ac:dyDescent="0.15">
      <c r="A3786" s="22"/>
      <c r="B3786" s="26" t="str">
        <f t="shared" si="236"/>
        <v/>
      </c>
      <c r="C3786" s="26" t="str">
        <f t="shared" si="237"/>
        <v/>
      </c>
      <c r="D3786" s="26" t="str">
        <f t="shared" si="238"/>
        <v/>
      </c>
      <c r="E3786" s="29"/>
      <c r="F3786" s="22"/>
      <c r="G3786" s="22"/>
      <c r="H3786" s="22"/>
      <c r="I3786" s="24"/>
      <c r="J3786" s="24"/>
      <c r="K3786" s="24"/>
      <c r="L3786" s="24"/>
      <c r="M3786" s="27" t="str">
        <f t="shared" si="239"/>
        <v/>
      </c>
      <c r="N3786" s="25"/>
      <c r="O3786" s="22"/>
      <c r="P3786" s="24"/>
      <c r="Q3786" s="26"/>
    </row>
    <row r="3787" spans="1:17" ht="15" x14ac:dyDescent="0.15">
      <c r="A3787" s="22"/>
      <c r="B3787" s="26" t="str">
        <f t="shared" si="236"/>
        <v/>
      </c>
      <c r="C3787" s="26" t="str">
        <f t="shared" si="237"/>
        <v/>
      </c>
      <c r="D3787" s="26" t="str">
        <f t="shared" si="238"/>
        <v/>
      </c>
      <c r="E3787" s="29"/>
      <c r="F3787" s="22"/>
      <c r="G3787" s="22"/>
      <c r="H3787" s="22"/>
      <c r="I3787" s="24"/>
      <c r="J3787" s="24"/>
      <c r="K3787" s="24"/>
      <c r="L3787" s="24"/>
      <c r="M3787" s="27" t="str">
        <f t="shared" si="239"/>
        <v/>
      </c>
      <c r="N3787" s="25"/>
      <c r="O3787" s="22"/>
      <c r="P3787" s="24"/>
      <c r="Q3787" s="26"/>
    </row>
    <row r="3788" spans="1:17" ht="15" x14ac:dyDescent="0.15">
      <c r="A3788" s="22"/>
      <c r="B3788" s="26" t="str">
        <f t="shared" si="236"/>
        <v/>
      </c>
      <c r="C3788" s="26" t="str">
        <f t="shared" si="237"/>
        <v/>
      </c>
      <c r="D3788" s="26" t="str">
        <f t="shared" si="238"/>
        <v/>
      </c>
      <c r="E3788" s="29"/>
      <c r="F3788" s="22"/>
      <c r="G3788" s="22"/>
      <c r="H3788" s="22"/>
      <c r="I3788" s="24"/>
      <c r="J3788" s="24"/>
      <c r="K3788" s="24"/>
      <c r="L3788" s="24"/>
      <c r="M3788" s="27" t="str">
        <f t="shared" si="239"/>
        <v/>
      </c>
      <c r="N3788" s="25"/>
      <c r="O3788" s="22"/>
      <c r="P3788" s="24"/>
      <c r="Q3788" s="26"/>
    </row>
    <row r="3789" spans="1:17" ht="15" x14ac:dyDescent="0.15">
      <c r="A3789" s="22"/>
      <c r="B3789" s="26" t="str">
        <f t="shared" si="236"/>
        <v/>
      </c>
      <c r="C3789" s="26" t="str">
        <f t="shared" si="237"/>
        <v/>
      </c>
      <c r="D3789" s="26" t="str">
        <f t="shared" si="238"/>
        <v/>
      </c>
      <c r="E3789" s="29"/>
      <c r="F3789" s="22"/>
      <c r="G3789" s="22"/>
      <c r="H3789" s="22"/>
      <c r="I3789" s="24"/>
      <c r="J3789" s="24"/>
      <c r="K3789" s="24"/>
      <c r="L3789" s="24"/>
      <c r="M3789" s="27" t="str">
        <f t="shared" si="239"/>
        <v/>
      </c>
      <c r="N3789" s="25"/>
      <c r="O3789" s="22"/>
      <c r="P3789" s="24"/>
      <c r="Q3789" s="26"/>
    </row>
    <row r="3790" spans="1:17" ht="15" x14ac:dyDescent="0.15">
      <c r="A3790" s="22"/>
      <c r="B3790" s="26" t="str">
        <f t="shared" si="236"/>
        <v/>
      </c>
      <c r="C3790" s="26" t="str">
        <f t="shared" si="237"/>
        <v/>
      </c>
      <c r="D3790" s="26" t="str">
        <f t="shared" si="238"/>
        <v/>
      </c>
      <c r="E3790" s="29"/>
      <c r="F3790" s="22"/>
      <c r="G3790" s="22"/>
      <c r="H3790" s="22"/>
      <c r="I3790" s="24"/>
      <c r="J3790" s="24"/>
      <c r="K3790" s="24"/>
      <c r="L3790" s="24"/>
      <c r="M3790" s="27" t="str">
        <f t="shared" si="239"/>
        <v/>
      </c>
      <c r="N3790" s="25"/>
      <c r="O3790" s="22"/>
      <c r="P3790" s="24"/>
      <c r="Q3790" s="26"/>
    </row>
    <row r="3791" spans="1:17" ht="15" x14ac:dyDescent="0.15">
      <c r="A3791" s="22"/>
      <c r="B3791" s="26" t="str">
        <f t="shared" si="236"/>
        <v/>
      </c>
      <c r="C3791" s="26" t="str">
        <f t="shared" si="237"/>
        <v/>
      </c>
      <c r="D3791" s="26" t="str">
        <f t="shared" si="238"/>
        <v/>
      </c>
      <c r="E3791" s="29"/>
      <c r="F3791" s="22"/>
      <c r="G3791" s="22"/>
      <c r="H3791" s="22"/>
      <c r="I3791" s="24"/>
      <c r="J3791" s="24"/>
      <c r="K3791" s="24"/>
      <c r="L3791" s="24"/>
      <c r="M3791" s="27" t="str">
        <f t="shared" si="239"/>
        <v/>
      </c>
      <c r="N3791" s="25"/>
      <c r="O3791" s="22"/>
      <c r="P3791" s="24"/>
      <c r="Q3791" s="26"/>
    </row>
    <row r="3792" spans="1:17" ht="15" x14ac:dyDescent="0.15">
      <c r="A3792" s="22"/>
      <c r="B3792" s="26" t="str">
        <f t="shared" si="236"/>
        <v/>
      </c>
      <c r="C3792" s="26" t="str">
        <f t="shared" si="237"/>
        <v/>
      </c>
      <c r="D3792" s="26" t="str">
        <f t="shared" si="238"/>
        <v/>
      </c>
      <c r="E3792" s="29"/>
      <c r="F3792" s="22"/>
      <c r="G3792" s="22"/>
      <c r="H3792" s="22"/>
      <c r="I3792" s="24"/>
      <c r="J3792" s="24"/>
      <c r="K3792" s="24"/>
      <c r="L3792" s="24"/>
      <c r="M3792" s="27" t="str">
        <f t="shared" si="239"/>
        <v/>
      </c>
      <c r="N3792" s="25"/>
      <c r="O3792" s="22"/>
      <c r="P3792" s="24"/>
      <c r="Q3792" s="26"/>
    </row>
    <row r="3793" spans="1:17" ht="15" x14ac:dyDescent="0.15">
      <c r="A3793" s="22"/>
      <c r="B3793" s="26" t="str">
        <f t="shared" si="236"/>
        <v/>
      </c>
      <c r="C3793" s="26" t="str">
        <f t="shared" si="237"/>
        <v/>
      </c>
      <c r="D3793" s="26" t="str">
        <f t="shared" si="238"/>
        <v/>
      </c>
      <c r="E3793" s="29"/>
      <c r="F3793" s="22"/>
      <c r="G3793" s="22"/>
      <c r="H3793" s="22"/>
      <c r="I3793" s="24"/>
      <c r="J3793" s="24"/>
      <c r="K3793" s="24"/>
      <c r="L3793" s="24"/>
      <c r="M3793" s="27" t="str">
        <f t="shared" si="239"/>
        <v/>
      </c>
      <c r="N3793" s="25"/>
      <c r="O3793" s="22"/>
      <c r="P3793" s="24"/>
      <c r="Q3793" s="26"/>
    </row>
    <row r="3794" spans="1:17" ht="15" x14ac:dyDescent="0.15">
      <c r="A3794" s="22"/>
      <c r="B3794" s="26" t="str">
        <f t="shared" si="236"/>
        <v/>
      </c>
      <c r="C3794" s="26" t="str">
        <f t="shared" si="237"/>
        <v/>
      </c>
      <c r="D3794" s="26" t="str">
        <f t="shared" si="238"/>
        <v/>
      </c>
      <c r="E3794" s="29"/>
      <c r="F3794" s="22"/>
      <c r="G3794" s="22"/>
      <c r="H3794" s="22"/>
      <c r="I3794" s="24"/>
      <c r="J3794" s="24"/>
      <c r="K3794" s="24"/>
      <c r="L3794" s="24"/>
      <c r="M3794" s="27" t="str">
        <f t="shared" si="239"/>
        <v/>
      </c>
      <c r="N3794" s="25"/>
      <c r="O3794" s="22"/>
      <c r="P3794" s="24"/>
      <c r="Q3794" s="26"/>
    </row>
    <row r="3795" spans="1:17" ht="15" x14ac:dyDescent="0.15">
      <c r="A3795" s="22"/>
      <c r="B3795" s="26" t="str">
        <f t="shared" si="236"/>
        <v/>
      </c>
      <c r="C3795" s="26" t="str">
        <f t="shared" si="237"/>
        <v/>
      </c>
      <c r="D3795" s="26" t="str">
        <f t="shared" si="238"/>
        <v/>
      </c>
      <c r="E3795" s="29"/>
      <c r="F3795" s="22"/>
      <c r="G3795" s="22"/>
      <c r="H3795" s="22"/>
      <c r="I3795" s="24"/>
      <c r="J3795" s="24"/>
      <c r="K3795" s="24"/>
      <c r="L3795" s="24"/>
      <c r="M3795" s="27" t="str">
        <f t="shared" si="239"/>
        <v/>
      </c>
      <c r="N3795" s="25"/>
      <c r="O3795" s="22"/>
      <c r="P3795" s="24"/>
      <c r="Q3795" s="26"/>
    </row>
    <row r="3796" spans="1:17" ht="15" x14ac:dyDescent="0.15">
      <c r="A3796" s="22"/>
      <c r="B3796" s="26" t="str">
        <f t="shared" si="236"/>
        <v/>
      </c>
      <c r="C3796" s="26" t="str">
        <f t="shared" si="237"/>
        <v/>
      </c>
      <c r="D3796" s="26" t="str">
        <f t="shared" si="238"/>
        <v/>
      </c>
      <c r="E3796" s="29"/>
      <c r="F3796" s="22"/>
      <c r="G3796" s="22"/>
      <c r="H3796" s="22"/>
      <c r="I3796" s="24"/>
      <c r="J3796" s="24"/>
      <c r="K3796" s="24"/>
      <c r="L3796" s="24"/>
      <c r="M3796" s="27" t="str">
        <f t="shared" si="239"/>
        <v/>
      </c>
      <c r="N3796" s="25"/>
      <c r="O3796" s="22"/>
      <c r="P3796" s="24"/>
      <c r="Q3796" s="26"/>
    </row>
    <row r="3797" spans="1:17" ht="15" x14ac:dyDescent="0.15">
      <c r="A3797" s="22"/>
      <c r="B3797" s="26" t="str">
        <f t="shared" si="236"/>
        <v/>
      </c>
      <c r="C3797" s="26" t="str">
        <f t="shared" si="237"/>
        <v/>
      </c>
      <c r="D3797" s="26" t="str">
        <f t="shared" si="238"/>
        <v/>
      </c>
      <c r="E3797" s="29"/>
      <c r="F3797" s="22"/>
      <c r="G3797" s="22"/>
      <c r="H3797" s="22"/>
      <c r="I3797" s="24"/>
      <c r="J3797" s="24"/>
      <c r="K3797" s="24"/>
      <c r="L3797" s="24"/>
      <c r="M3797" s="27" t="str">
        <f t="shared" si="239"/>
        <v/>
      </c>
      <c r="N3797" s="25"/>
      <c r="O3797" s="22"/>
      <c r="P3797" s="24"/>
      <c r="Q3797" s="26"/>
    </row>
    <row r="3798" spans="1:17" ht="15" x14ac:dyDescent="0.15">
      <c r="A3798" s="22"/>
      <c r="B3798" s="26" t="str">
        <f t="shared" si="236"/>
        <v/>
      </c>
      <c r="C3798" s="26" t="str">
        <f t="shared" si="237"/>
        <v/>
      </c>
      <c r="D3798" s="26" t="str">
        <f t="shared" si="238"/>
        <v/>
      </c>
      <c r="E3798" s="29"/>
      <c r="F3798" s="22"/>
      <c r="G3798" s="22"/>
      <c r="H3798" s="22"/>
      <c r="I3798" s="24"/>
      <c r="J3798" s="24"/>
      <c r="K3798" s="24"/>
      <c r="L3798" s="24"/>
      <c r="M3798" s="27" t="str">
        <f t="shared" si="239"/>
        <v/>
      </c>
      <c r="N3798" s="25"/>
      <c r="O3798" s="22"/>
      <c r="P3798" s="24"/>
      <c r="Q3798" s="26"/>
    </row>
    <row r="3799" spans="1:17" ht="15" x14ac:dyDescent="0.15">
      <c r="A3799" s="22"/>
      <c r="B3799" s="26" t="str">
        <f t="shared" si="236"/>
        <v/>
      </c>
      <c r="C3799" s="26" t="str">
        <f t="shared" si="237"/>
        <v/>
      </c>
      <c r="D3799" s="26" t="str">
        <f t="shared" si="238"/>
        <v/>
      </c>
      <c r="E3799" s="29"/>
      <c r="F3799" s="22"/>
      <c r="G3799" s="22"/>
      <c r="H3799" s="22"/>
      <c r="I3799" s="24"/>
      <c r="J3799" s="24"/>
      <c r="K3799" s="24"/>
      <c r="L3799" s="24"/>
      <c r="M3799" s="27" t="str">
        <f t="shared" si="239"/>
        <v/>
      </c>
      <c r="N3799" s="25"/>
      <c r="O3799" s="22"/>
      <c r="P3799" s="24"/>
      <c r="Q3799" s="26"/>
    </row>
    <row r="3800" spans="1:17" ht="15" x14ac:dyDescent="0.15">
      <c r="A3800" s="22"/>
      <c r="B3800" s="26" t="str">
        <f t="shared" si="236"/>
        <v/>
      </c>
      <c r="C3800" s="26" t="str">
        <f t="shared" si="237"/>
        <v/>
      </c>
      <c r="D3800" s="26" t="str">
        <f t="shared" si="238"/>
        <v/>
      </c>
      <c r="E3800" s="29"/>
      <c r="F3800" s="22"/>
      <c r="G3800" s="22"/>
      <c r="H3800" s="22"/>
      <c r="I3800" s="24"/>
      <c r="J3800" s="24"/>
      <c r="K3800" s="24"/>
      <c r="L3800" s="24"/>
      <c r="M3800" s="27" t="str">
        <f t="shared" si="239"/>
        <v/>
      </c>
      <c r="N3800" s="25"/>
      <c r="O3800" s="22"/>
      <c r="P3800" s="24"/>
      <c r="Q3800" s="26"/>
    </row>
    <row r="3801" spans="1:17" ht="15" x14ac:dyDescent="0.15">
      <c r="A3801" s="22"/>
      <c r="B3801" s="26" t="str">
        <f t="shared" si="236"/>
        <v/>
      </c>
      <c r="C3801" s="26" t="str">
        <f t="shared" si="237"/>
        <v/>
      </c>
      <c r="D3801" s="26" t="str">
        <f t="shared" si="238"/>
        <v/>
      </c>
      <c r="E3801" s="29"/>
      <c r="F3801" s="22"/>
      <c r="G3801" s="22"/>
      <c r="H3801" s="22"/>
      <c r="I3801" s="24"/>
      <c r="J3801" s="24"/>
      <c r="K3801" s="24"/>
      <c r="L3801" s="24"/>
      <c r="M3801" s="27" t="str">
        <f t="shared" si="239"/>
        <v/>
      </c>
      <c r="N3801" s="25"/>
      <c r="O3801" s="22"/>
      <c r="P3801" s="24"/>
      <c r="Q3801" s="26"/>
    </row>
    <row r="3802" spans="1:17" ht="15" x14ac:dyDescent="0.15">
      <c r="A3802" s="22"/>
      <c r="B3802" s="26" t="str">
        <f t="shared" si="236"/>
        <v/>
      </c>
      <c r="C3802" s="26" t="str">
        <f t="shared" si="237"/>
        <v/>
      </c>
      <c r="D3802" s="26" t="str">
        <f t="shared" si="238"/>
        <v/>
      </c>
      <c r="E3802" s="29"/>
      <c r="F3802" s="22"/>
      <c r="G3802" s="22"/>
      <c r="H3802" s="22"/>
      <c r="I3802" s="24"/>
      <c r="J3802" s="24"/>
      <c r="K3802" s="24"/>
      <c r="L3802" s="24"/>
      <c r="M3802" s="27" t="str">
        <f t="shared" si="239"/>
        <v/>
      </c>
      <c r="N3802" s="25"/>
      <c r="O3802" s="22"/>
      <c r="P3802" s="24"/>
      <c r="Q3802" s="26"/>
    </row>
    <row r="3803" spans="1:17" ht="15" x14ac:dyDescent="0.15">
      <c r="A3803" s="22"/>
      <c r="B3803" s="26" t="str">
        <f t="shared" si="236"/>
        <v/>
      </c>
      <c r="C3803" s="26" t="str">
        <f t="shared" si="237"/>
        <v/>
      </c>
      <c r="D3803" s="26" t="str">
        <f t="shared" si="238"/>
        <v/>
      </c>
      <c r="E3803" s="29"/>
      <c r="F3803" s="22"/>
      <c r="G3803" s="22"/>
      <c r="H3803" s="22"/>
      <c r="I3803" s="24"/>
      <c r="J3803" s="24"/>
      <c r="K3803" s="24"/>
      <c r="L3803" s="24"/>
      <c r="M3803" s="27" t="str">
        <f t="shared" si="239"/>
        <v/>
      </c>
      <c r="N3803" s="25"/>
      <c r="O3803" s="22"/>
      <c r="P3803" s="24"/>
      <c r="Q3803" s="26"/>
    </row>
    <row r="3804" spans="1:17" ht="15" x14ac:dyDescent="0.15">
      <c r="A3804" s="22"/>
      <c r="B3804" s="26" t="str">
        <f t="shared" si="236"/>
        <v/>
      </c>
      <c r="C3804" s="26" t="str">
        <f t="shared" si="237"/>
        <v/>
      </c>
      <c r="D3804" s="26" t="str">
        <f t="shared" si="238"/>
        <v/>
      </c>
      <c r="E3804" s="29"/>
      <c r="F3804" s="22"/>
      <c r="G3804" s="22"/>
      <c r="H3804" s="22"/>
      <c r="I3804" s="24"/>
      <c r="J3804" s="24"/>
      <c r="K3804" s="24"/>
      <c r="L3804" s="24"/>
      <c r="M3804" s="27" t="str">
        <f t="shared" si="239"/>
        <v/>
      </c>
      <c r="N3804" s="25"/>
      <c r="O3804" s="22"/>
      <c r="P3804" s="24"/>
      <c r="Q3804" s="26"/>
    </row>
    <row r="3805" spans="1:17" ht="15" x14ac:dyDescent="0.15">
      <c r="A3805" s="22"/>
      <c r="B3805" s="26" t="str">
        <f t="shared" si="236"/>
        <v/>
      </c>
      <c r="C3805" s="26" t="str">
        <f t="shared" si="237"/>
        <v/>
      </c>
      <c r="D3805" s="26" t="str">
        <f t="shared" si="238"/>
        <v/>
      </c>
      <c r="E3805" s="29"/>
      <c r="F3805" s="22"/>
      <c r="G3805" s="22"/>
      <c r="H3805" s="22"/>
      <c r="I3805" s="24"/>
      <c r="J3805" s="24"/>
      <c r="K3805" s="24"/>
      <c r="L3805" s="24"/>
      <c r="M3805" s="27" t="str">
        <f t="shared" si="239"/>
        <v/>
      </c>
      <c r="N3805" s="25"/>
      <c r="O3805" s="22"/>
      <c r="P3805" s="24"/>
      <c r="Q3805" s="26"/>
    </row>
    <row r="3806" spans="1:17" ht="15" x14ac:dyDescent="0.15">
      <c r="A3806" s="22"/>
      <c r="B3806" s="26" t="str">
        <f t="shared" si="236"/>
        <v/>
      </c>
      <c r="C3806" s="26" t="str">
        <f t="shared" si="237"/>
        <v/>
      </c>
      <c r="D3806" s="26" t="str">
        <f t="shared" si="238"/>
        <v/>
      </c>
      <c r="E3806" s="29"/>
      <c r="F3806" s="22"/>
      <c r="G3806" s="22"/>
      <c r="H3806" s="22"/>
      <c r="I3806" s="24"/>
      <c r="J3806" s="24"/>
      <c r="K3806" s="24"/>
      <c r="L3806" s="24"/>
      <c r="M3806" s="27" t="str">
        <f t="shared" si="239"/>
        <v/>
      </c>
      <c r="N3806" s="25"/>
      <c r="O3806" s="22"/>
      <c r="P3806" s="24"/>
      <c r="Q3806" s="26"/>
    </row>
    <row r="3807" spans="1:17" ht="15" x14ac:dyDescent="0.15">
      <c r="A3807" s="22"/>
      <c r="B3807" s="26" t="str">
        <f t="shared" si="236"/>
        <v/>
      </c>
      <c r="C3807" s="26" t="str">
        <f t="shared" si="237"/>
        <v/>
      </c>
      <c r="D3807" s="26" t="str">
        <f t="shared" si="238"/>
        <v/>
      </c>
      <c r="E3807" s="29"/>
      <c r="F3807" s="22"/>
      <c r="G3807" s="22"/>
      <c r="H3807" s="22"/>
      <c r="I3807" s="24"/>
      <c r="J3807" s="24"/>
      <c r="K3807" s="24"/>
      <c r="L3807" s="24"/>
      <c r="M3807" s="27" t="str">
        <f t="shared" si="239"/>
        <v/>
      </c>
      <c r="N3807" s="25"/>
      <c r="O3807" s="22"/>
      <c r="P3807" s="24"/>
      <c r="Q3807" s="26"/>
    </row>
    <row r="3808" spans="1:17" ht="15" x14ac:dyDescent="0.15">
      <c r="A3808" s="22"/>
      <c r="B3808" s="26" t="str">
        <f t="shared" si="236"/>
        <v/>
      </c>
      <c r="C3808" s="26" t="str">
        <f t="shared" si="237"/>
        <v/>
      </c>
      <c r="D3808" s="26" t="str">
        <f t="shared" si="238"/>
        <v/>
      </c>
      <c r="E3808" s="29"/>
      <c r="F3808" s="22"/>
      <c r="G3808" s="22"/>
      <c r="H3808" s="22"/>
      <c r="I3808" s="24"/>
      <c r="J3808" s="24"/>
      <c r="K3808" s="24"/>
      <c r="L3808" s="24"/>
      <c r="M3808" s="27" t="str">
        <f t="shared" si="239"/>
        <v/>
      </c>
      <c r="N3808" s="25"/>
      <c r="O3808" s="22"/>
      <c r="P3808" s="24"/>
      <c r="Q3808" s="26"/>
    </row>
    <row r="3809" spans="1:17" ht="15" x14ac:dyDescent="0.15">
      <c r="A3809" s="22"/>
      <c r="B3809" s="26" t="str">
        <f t="shared" si="236"/>
        <v/>
      </c>
      <c r="C3809" s="26" t="str">
        <f t="shared" si="237"/>
        <v/>
      </c>
      <c r="D3809" s="26" t="str">
        <f t="shared" si="238"/>
        <v/>
      </c>
      <c r="E3809" s="29"/>
      <c r="F3809" s="22"/>
      <c r="G3809" s="22"/>
      <c r="H3809" s="22"/>
      <c r="I3809" s="24"/>
      <c r="J3809" s="24"/>
      <c r="K3809" s="24"/>
      <c r="L3809" s="24"/>
      <c r="M3809" s="27" t="str">
        <f t="shared" si="239"/>
        <v/>
      </c>
      <c r="N3809" s="25"/>
      <c r="O3809" s="22"/>
      <c r="P3809" s="24"/>
      <c r="Q3809" s="26"/>
    </row>
    <row r="3810" spans="1:17" ht="15" x14ac:dyDescent="0.15">
      <c r="A3810" s="22"/>
      <c r="B3810" s="26" t="str">
        <f t="shared" si="236"/>
        <v/>
      </c>
      <c r="C3810" s="26" t="str">
        <f t="shared" si="237"/>
        <v/>
      </c>
      <c r="D3810" s="26" t="str">
        <f t="shared" si="238"/>
        <v/>
      </c>
      <c r="E3810" s="29"/>
      <c r="F3810" s="22"/>
      <c r="G3810" s="22"/>
      <c r="H3810" s="22"/>
      <c r="I3810" s="24"/>
      <c r="J3810" s="24"/>
      <c r="K3810" s="24"/>
      <c r="L3810" s="24"/>
      <c r="M3810" s="27" t="str">
        <f t="shared" si="239"/>
        <v/>
      </c>
      <c r="N3810" s="25"/>
      <c r="O3810" s="22"/>
      <c r="P3810" s="24"/>
      <c r="Q3810" s="26"/>
    </row>
    <row r="3811" spans="1:17" ht="15" x14ac:dyDescent="0.15">
      <c r="A3811" s="22"/>
      <c r="B3811" s="26" t="str">
        <f t="shared" si="236"/>
        <v/>
      </c>
      <c r="C3811" s="26" t="str">
        <f t="shared" si="237"/>
        <v/>
      </c>
      <c r="D3811" s="26" t="str">
        <f t="shared" si="238"/>
        <v/>
      </c>
      <c r="E3811" s="29"/>
      <c r="F3811" s="22"/>
      <c r="G3811" s="22"/>
      <c r="H3811" s="22"/>
      <c r="I3811" s="24"/>
      <c r="J3811" s="24"/>
      <c r="K3811" s="24"/>
      <c r="L3811" s="24"/>
      <c r="M3811" s="27" t="str">
        <f t="shared" si="239"/>
        <v/>
      </c>
      <c r="N3811" s="25"/>
      <c r="O3811" s="22"/>
      <c r="P3811" s="24"/>
      <c r="Q3811" s="26"/>
    </row>
    <row r="3812" spans="1:17" ht="15" x14ac:dyDescent="0.15">
      <c r="A3812" s="22"/>
      <c r="B3812" s="26" t="str">
        <f t="shared" si="236"/>
        <v/>
      </c>
      <c r="C3812" s="26" t="str">
        <f t="shared" si="237"/>
        <v/>
      </c>
      <c r="D3812" s="26" t="str">
        <f t="shared" si="238"/>
        <v/>
      </c>
      <c r="E3812" s="29"/>
      <c r="F3812" s="22"/>
      <c r="G3812" s="22"/>
      <c r="H3812" s="22"/>
      <c r="I3812" s="24"/>
      <c r="J3812" s="24"/>
      <c r="K3812" s="24"/>
      <c r="L3812" s="24"/>
      <c r="M3812" s="27" t="str">
        <f t="shared" si="239"/>
        <v/>
      </c>
      <c r="N3812" s="25"/>
      <c r="O3812" s="22"/>
      <c r="P3812" s="24"/>
      <c r="Q3812" s="26"/>
    </row>
    <row r="3813" spans="1:17" ht="15" x14ac:dyDescent="0.15">
      <c r="A3813" s="22"/>
      <c r="B3813" s="26" t="str">
        <f t="shared" si="236"/>
        <v/>
      </c>
      <c r="C3813" s="26" t="str">
        <f t="shared" si="237"/>
        <v/>
      </c>
      <c r="D3813" s="26" t="str">
        <f t="shared" si="238"/>
        <v/>
      </c>
      <c r="E3813" s="29"/>
      <c r="F3813" s="22"/>
      <c r="G3813" s="22"/>
      <c r="H3813" s="22"/>
      <c r="I3813" s="24"/>
      <c r="J3813" s="24"/>
      <c r="K3813" s="24"/>
      <c r="L3813" s="24"/>
      <c r="M3813" s="27" t="str">
        <f t="shared" si="239"/>
        <v/>
      </c>
      <c r="N3813" s="25"/>
      <c r="O3813" s="22"/>
      <c r="P3813" s="24"/>
      <c r="Q3813" s="26"/>
    </row>
    <row r="3814" spans="1:17" ht="15" x14ac:dyDescent="0.15">
      <c r="A3814" s="22"/>
      <c r="B3814" s="26" t="str">
        <f t="shared" si="236"/>
        <v/>
      </c>
      <c r="C3814" s="26" t="str">
        <f t="shared" si="237"/>
        <v/>
      </c>
      <c r="D3814" s="26" t="str">
        <f t="shared" si="238"/>
        <v/>
      </c>
      <c r="E3814" s="29"/>
      <c r="F3814" s="22"/>
      <c r="G3814" s="22"/>
      <c r="H3814" s="22"/>
      <c r="I3814" s="24"/>
      <c r="J3814" s="24"/>
      <c r="K3814" s="24"/>
      <c r="L3814" s="24"/>
      <c r="M3814" s="27" t="str">
        <f t="shared" si="239"/>
        <v/>
      </c>
      <c r="N3814" s="25"/>
      <c r="O3814" s="22"/>
      <c r="P3814" s="24"/>
      <c r="Q3814" s="26"/>
    </row>
    <row r="3815" spans="1:17" ht="15" x14ac:dyDescent="0.15">
      <c r="A3815" s="22"/>
      <c r="B3815" s="26" t="str">
        <f t="shared" si="236"/>
        <v/>
      </c>
      <c r="C3815" s="26" t="str">
        <f t="shared" si="237"/>
        <v/>
      </c>
      <c r="D3815" s="26" t="str">
        <f t="shared" si="238"/>
        <v/>
      </c>
      <c r="E3815" s="29"/>
      <c r="F3815" s="22"/>
      <c r="G3815" s="22"/>
      <c r="H3815" s="22"/>
      <c r="I3815" s="24"/>
      <c r="J3815" s="24"/>
      <c r="K3815" s="24"/>
      <c r="L3815" s="24"/>
      <c r="M3815" s="27" t="str">
        <f t="shared" si="239"/>
        <v/>
      </c>
      <c r="N3815" s="25"/>
      <c r="O3815" s="22"/>
      <c r="P3815" s="24"/>
      <c r="Q3815" s="26"/>
    </row>
    <row r="3816" spans="1:17" ht="15" x14ac:dyDescent="0.15">
      <c r="A3816" s="22"/>
      <c r="B3816" s="26" t="str">
        <f t="shared" si="236"/>
        <v/>
      </c>
      <c r="C3816" s="26" t="str">
        <f t="shared" si="237"/>
        <v/>
      </c>
      <c r="D3816" s="26" t="str">
        <f t="shared" si="238"/>
        <v/>
      </c>
      <c r="E3816" s="29"/>
      <c r="F3816" s="22"/>
      <c r="G3816" s="22"/>
      <c r="H3816" s="22"/>
      <c r="I3816" s="24"/>
      <c r="J3816" s="24"/>
      <c r="K3816" s="24"/>
      <c r="L3816" s="24"/>
      <c r="M3816" s="27" t="str">
        <f t="shared" si="239"/>
        <v/>
      </c>
      <c r="N3816" s="25"/>
      <c r="O3816" s="22"/>
      <c r="P3816" s="24"/>
      <c r="Q3816" s="26"/>
    </row>
    <row r="3817" spans="1:17" ht="15" x14ac:dyDescent="0.15">
      <c r="A3817" s="22"/>
      <c r="B3817" s="26" t="str">
        <f t="shared" si="236"/>
        <v/>
      </c>
      <c r="C3817" s="26" t="str">
        <f t="shared" si="237"/>
        <v/>
      </c>
      <c r="D3817" s="26" t="str">
        <f t="shared" si="238"/>
        <v/>
      </c>
      <c r="E3817" s="29"/>
      <c r="F3817" s="22"/>
      <c r="G3817" s="22"/>
      <c r="H3817" s="22"/>
      <c r="I3817" s="24"/>
      <c r="J3817" s="24"/>
      <c r="K3817" s="24"/>
      <c r="L3817" s="24"/>
      <c r="M3817" s="27" t="str">
        <f t="shared" si="239"/>
        <v/>
      </c>
      <c r="N3817" s="25"/>
      <c r="O3817" s="22"/>
      <c r="P3817" s="24"/>
      <c r="Q3817" s="26"/>
    </row>
    <row r="3818" spans="1:17" ht="15" x14ac:dyDescent="0.15">
      <c r="A3818" s="22"/>
      <c r="B3818" s="26" t="str">
        <f t="shared" si="236"/>
        <v/>
      </c>
      <c r="C3818" s="26" t="str">
        <f t="shared" si="237"/>
        <v/>
      </c>
      <c r="D3818" s="26" t="str">
        <f t="shared" si="238"/>
        <v/>
      </c>
      <c r="E3818" s="29"/>
      <c r="F3818" s="22"/>
      <c r="G3818" s="22"/>
      <c r="H3818" s="22"/>
      <c r="I3818" s="24"/>
      <c r="J3818" s="24"/>
      <c r="K3818" s="24"/>
      <c r="L3818" s="24"/>
      <c r="M3818" s="27" t="str">
        <f t="shared" si="239"/>
        <v/>
      </c>
      <c r="N3818" s="25"/>
      <c r="O3818" s="22"/>
      <c r="P3818" s="24"/>
      <c r="Q3818" s="26"/>
    </row>
    <row r="3819" spans="1:17" ht="15" x14ac:dyDescent="0.15">
      <c r="A3819" s="22"/>
      <c r="B3819" s="26" t="str">
        <f t="shared" si="236"/>
        <v/>
      </c>
      <c r="C3819" s="26" t="str">
        <f t="shared" si="237"/>
        <v/>
      </c>
      <c r="D3819" s="26" t="str">
        <f t="shared" si="238"/>
        <v/>
      </c>
      <c r="E3819" s="29"/>
      <c r="F3819" s="22"/>
      <c r="G3819" s="22"/>
      <c r="H3819" s="22"/>
      <c r="I3819" s="24"/>
      <c r="J3819" s="24"/>
      <c r="K3819" s="24"/>
      <c r="L3819" s="24"/>
      <c r="M3819" s="27" t="str">
        <f t="shared" si="239"/>
        <v/>
      </c>
      <c r="N3819" s="25"/>
      <c r="O3819" s="22"/>
      <c r="P3819" s="24"/>
      <c r="Q3819" s="26"/>
    </row>
    <row r="3820" spans="1:17" ht="15" x14ac:dyDescent="0.15">
      <c r="A3820" s="22"/>
      <c r="B3820" s="26" t="str">
        <f t="shared" si="236"/>
        <v/>
      </c>
      <c r="C3820" s="26" t="str">
        <f t="shared" si="237"/>
        <v/>
      </c>
      <c r="D3820" s="26" t="str">
        <f t="shared" si="238"/>
        <v/>
      </c>
      <c r="E3820" s="29"/>
      <c r="F3820" s="22"/>
      <c r="G3820" s="22"/>
      <c r="H3820" s="22"/>
      <c r="I3820" s="24"/>
      <c r="J3820" s="24"/>
      <c r="K3820" s="24"/>
      <c r="L3820" s="24"/>
      <c r="M3820" s="27" t="str">
        <f t="shared" si="239"/>
        <v/>
      </c>
      <c r="N3820" s="25"/>
      <c r="O3820" s="22"/>
      <c r="P3820" s="24"/>
      <c r="Q3820" s="26"/>
    </row>
    <row r="3821" spans="1:17" ht="15" x14ac:dyDescent="0.15">
      <c r="A3821" s="22"/>
      <c r="B3821" s="26" t="str">
        <f t="shared" si="236"/>
        <v/>
      </c>
      <c r="C3821" s="26" t="str">
        <f t="shared" si="237"/>
        <v/>
      </c>
      <c r="D3821" s="26" t="str">
        <f t="shared" si="238"/>
        <v/>
      </c>
      <c r="E3821" s="29"/>
      <c r="F3821" s="22"/>
      <c r="G3821" s="22"/>
      <c r="H3821" s="22"/>
      <c r="I3821" s="24"/>
      <c r="J3821" s="24"/>
      <c r="K3821" s="24"/>
      <c r="L3821" s="24"/>
      <c r="M3821" s="27" t="str">
        <f t="shared" si="239"/>
        <v/>
      </c>
      <c r="N3821" s="25"/>
      <c r="O3821" s="22"/>
      <c r="P3821" s="24"/>
      <c r="Q3821" s="26"/>
    </row>
    <row r="3822" spans="1:17" ht="15" x14ac:dyDescent="0.15">
      <c r="A3822" s="22"/>
      <c r="B3822" s="26" t="str">
        <f t="shared" si="236"/>
        <v/>
      </c>
      <c r="C3822" s="26" t="str">
        <f t="shared" si="237"/>
        <v/>
      </c>
      <c r="D3822" s="26" t="str">
        <f t="shared" si="238"/>
        <v/>
      </c>
      <c r="E3822" s="29"/>
      <c r="F3822" s="22"/>
      <c r="G3822" s="22"/>
      <c r="H3822" s="22"/>
      <c r="I3822" s="24"/>
      <c r="J3822" s="24"/>
      <c r="K3822" s="24"/>
      <c r="L3822" s="24"/>
      <c r="M3822" s="27" t="str">
        <f t="shared" si="239"/>
        <v/>
      </c>
      <c r="N3822" s="25"/>
      <c r="O3822" s="22"/>
      <c r="P3822" s="24"/>
      <c r="Q3822" s="26"/>
    </row>
    <row r="3823" spans="1:17" ht="15" x14ac:dyDescent="0.15">
      <c r="A3823" s="22"/>
      <c r="B3823" s="26" t="str">
        <f t="shared" si="236"/>
        <v/>
      </c>
      <c r="C3823" s="26" t="str">
        <f t="shared" si="237"/>
        <v/>
      </c>
      <c r="D3823" s="26" t="str">
        <f t="shared" si="238"/>
        <v/>
      </c>
      <c r="E3823" s="29"/>
      <c r="F3823" s="22"/>
      <c r="G3823" s="22"/>
      <c r="H3823" s="22"/>
      <c r="I3823" s="24"/>
      <c r="J3823" s="24"/>
      <c r="K3823" s="24"/>
      <c r="L3823" s="24"/>
      <c r="M3823" s="27" t="str">
        <f t="shared" si="239"/>
        <v/>
      </c>
      <c r="N3823" s="25"/>
      <c r="O3823" s="22"/>
      <c r="P3823" s="24"/>
      <c r="Q3823" s="26"/>
    </row>
    <row r="3824" spans="1:17" ht="15" x14ac:dyDescent="0.15">
      <c r="A3824" s="22"/>
      <c r="B3824" s="26" t="str">
        <f t="shared" si="236"/>
        <v/>
      </c>
      <c r="C3824" s="26" t="str">
        <f t="shared" si="237"/>
        <v/>
      </c>
      <c r="D3824" s="26" t="str">
        <f t="shared" si="238"/>
        <v/>
      </c>
      <c r="E3824" s="29"/>
      <c r="F3824" s="22"/>
      <c r="G3824" s="22"/>
      <c r="H3824" s="22"/>
      <c r="I3824" s="24"/>
      <c r="J3824" s="24"/>
      <c r="K3824" s="24"/>
      <c r="L3824" s="24"/>
      <c r="M3824" s="27" t="str">
        <f t="shared" si="239"/>
        <v/>
      </c>
      <c r="N3824" s="25"/>
      <c r="O3824" s="22"/>
      <c r="P3824" s="24"/>
      <c r="Q3824" s="26"/>
    </row>
    <row r="3825" spans="1:17" ht="15" x14ac:dyDescent="0.15">
      <c r="A3825" s="22"/>
      <c r="B3825" s="26" t="str">
        <f t="shared" si="236"/>
        <v/>
      </c>
      <c r="C3825" s="26" t="str">
        <f t="shared" si="237"/>
        <v/>
      </c>
      <c r="D3825" s="26" t="str">
        <f t="shared" si="238"/>
        <v/>
      </c>
      <c r="E3825" s="29"/>
      <c r="F3825" s="22"/>
      <c r="G3825" s="22"/>
      <c r="H3825" s="22"/>
      <c r="I3825" s="24"/>
      <c r="J3825" s="24"/>
      <c r="K3825" s="24"/>
      <c r="L3825" s="24"/>
      <c r="M3825" s="27" t="str">
        <f t="shared" si="239"/>
        <v/>
      </c>
      <c r="N3825" s="25"/>
      <c r="O3825" s="22"/>
      <c r="P3825" s="24"/>
      <c r="Q3825" s="26"/>
    </row>
    <row r="3826" spans="1:17" ht="15" x14ac:dyDescent="0.15">
      <c r="A3826" s="22"/>
      <c r="B3826" s="26" t="str">
        <f t="shared" si="236"/>
        <v/>
      </c>
      <c r="C3826" s="26" t="str">
        <f t="shared" si="237"/>
        <v/>
      </c>
      <c r="D3826" s="26" t="str">
        <f t="shared" si="238"/>
        <v/>
      </c>
      <c r="E3826" s="29"/>
      <c r="F3826" s="22"/>
      <c r="G3826" s="22"/>
      <c r="H3826" s="22"/>
      <c r="I3826" s="24"/>
      <c r="J3826" s="24"/>
      <c r="K3826" s="24"/>
      <c r="L3826" s="24"/>
      <c r="M3826" s="27" t="str">
        <f t="shared" si="239"/>
        <v/>
      </c>
      <c r="N3826" s="25"/>
      <c r="O3826" s="22"/>
      <c r="P3826" s="24"/>
      <c r="Q3826" s="26"/>
    </row>
    <row r="3827" spans="1:17" ht="15" x14ac:dyDescent="0.15">
      <c r="A3827" s="22"/>
      <c r="B3827" s="26" t="str">
        <f t="shared" si="236"/>
        <v/>
      </c>
      <c r="C3827" s="26" t="str">
        <f t="shared" si="237"/>
        <v/>
      </c>
      <c r="D3827" s="26" t="str">
        <f t="shared" si="238"/>
        <v/>
      </c>
      <c r="E3827" s="29"/>
      <c r="F3827" s="22"/>
      <c r="G3827" s="22"/>
      <c r="H3827" s="22"/>
      <c r="I3827" s="24"/>
      <c r="J3827" s="24"/>
      <c r="K3827" s="24"/>
      <c r="L3827" s="24"/>
      <c r="M3827" s="27" t="str">
        <f t="shared" si="239"/>
        <v/>
      </c>
      <c r="N3827" s="25"/>
      <c r="O3827" s="22"/>
      <c r="P3827" s="24"/>
      <c r="Q3827" s="26"/>
    </row>
    <row r="3828" spans="1:17" ht="15" x14ac:dyDescent="0.15">
      <c r="A3828" s="22"/>
      <c r="B3828" s="26" t="str">
        <f t="shared" si="236"/>
        <v/>
      </c>
      <c r="C3828" s="26" t="str">
        <f t="shared" si="237"/>
        <v/>
      </c>
      <c r="D3828" s="26" t="str">
        <f t="shared" si="238"/>
        <v/>
      </c>
      <c r="E3828" s="29"/>
      <c r="F3828" s="22"/>
      <c r="G3828" s="22"/>
      <c r="H3828" s="22"/>
      <c r="I3828" s="24"/>
      <c r="J3828" s="24"/>
      <c r="K3828" s="24"/>
      <c r="L3828" s="24"/>
      <c r="M3828" s="27" t="str">
        <f t="shared" si="239"/>
        <v/>
      </c>
      <c r="N3828" s="25"/>
      <c r="O3828" s="22"/>
      <c r="P3828" s="24"/>
      <c r="Q3828" s="26"/>
    </row>
    <row r="3829" spans="1:17" ht="15" x14ac:dyDescent="0.15">
      <c r="A3829" s="22"/>
      <c r="B3829" s="26" t="str">
        <f t="shared" si="236"/>
        <v/>
      </c>
      <c r="C3829" s="26" t="str">
        <f t="shared" si="237"/>
        <v/>
      </c>
      <c r="D3829" s="26" t="str">
        <f t="shared" si="238"/>
        <v/>
      </c>
      <c r="E3829" s="29"/>
      <c r="F3829" s="22"/>
      <c r="G3829" s="22"/>
      <c r="H3829" s="22"/>
      <c r="I3829" s="24"/>
      <c r="J3829" s="24"/>
      <c r="K3829" s="24"/>
      <c r="L3829" s="24"/>
      <c r="M3829" s="27" t="str">
        <f t="shared" si="239"/>
        <v/>
      </c>
      <c r="N3829" s="25"/>
      <c r="O3829" s="22"/>
      <c r="P3829" s="24"/>
      <c r="Q3829" s="26"/>
    </row>
    <row r="3830" spans="1:17" ht="15" x14ac:dyDescent="0.15">
      <c r="A3830" s="22"/>
      <c r="B3830" s="26" t="str">
        <f t="shared" si="236"/>
        <v/>
      </c>
      <c r="C3830" s="26" t="str">
        <f t="shared" si="237"/>
        <v/>
      </c>
      <c r="D3830" s="26" t="str">
        <f t="shared" si="238"/>
        <v/>
      </c>
      <c r="E3830" s="29"/>
      <c r="F3830" s="22"/>
      <c r="G3830" s="22"/>
      <c r="H3830" s="22"/>
      <c r="I3830" s="24"/>
      <c r="J3830" s="24"/>
      <c r="K3830" s="24"/>
      <c r="L3830" s="24"/>
      <c r="M3830" s="27" t="str">
        <f t="shared" si="239"/>
        <v/>
      </c>
      <c r="N3830" s="25"/>
      <c r="O3830" s="22"/>
      <c r="P3830" s="24"/>
      <c r="Q3830" s="26"/>
    </row>
    <row r="3831" spans="1:17" ht="15" x14ac:dyDescent="0.15">
      <c r="A3831" s="22"/>
      <c r="B3831" s="26" t="str">
        <f t="shared" si="236"/>
        <v/>
      </c>
      <c r="C3831" s="26" t="str">
        <f t="shared" si="237"/>
        <v/>
      </c>
      <c r="D3831" s="26" t="str">
        <f t="shared" si="238"/>
        <v/>
      </c>
      <c r="E3831" s="29"/>
      <c r="F3831" s="22"/>
      <c r="G3831" s="22"/>
      <c r="H3831" s="22"/>
      <c r="I3831" s="24"/>
      <c r="J3831" s="24"/>
      <c r="K3831" s="24"/>
      <c r="L3831" s="24"/>
      <c r="M3831" s="27" t="str">
        <f t="shared" si="239"/>
        <v/>
      </c>
      <c r="N3831" s="25"/>
      <c r="O3831" s="22"/>
      <c r="P3831" s="24"/>
      <c r="Q3831" s="26"/>
    </row>
    <row r="3832" spans="1:17" ht="15" x14ac:dyDescent="0.15">
      <c r="A3832" s="22"/>
      <c r="B3832" s="26" t="str">
        <f t="shared" si="236"/>
        <v/>
      </c>
      <c r="C3832" s="26" t="str">
        <f t="shared" si="237"/>
        <v/>
      </c>
      <c r="D3832" s="26" t="str">
        <f t="shared" si="238"/>
        <v/>
      </c>
      <c r="E3832" s="29"/>
      <c r="F3832" s="22"/>
      <c r="G3832" s="22"/>
      <c r="H3832" s="22"/>
      <c r="I3832" s="24"/>
      <c r="J3832" s="24"/>
      <c r="K3832" s="24"/>
      <c r="L3832" s="24"/>
      <c r="M3832" s="27" t="str">
        <f t="shared" si="239"/>
        <v/>
      </c>
      <c r="N3832" s="25"/>
      <c r="O3832" s="22"/>
      <c r="P3832" s="24"/>
      <c r="Q3832" s="26"/>
    </row>
    <row r="3833" spans="1:17" ht="15" x14ac:dyDescent="0.15">
      <c r="A3833" s="22"/>
      <c r="B3833" s="26" t="str">
        <f t="shared" si="236"/>
        <v/>
      </c>
      <c r="C3833" s="26" t="str">
        <f t="shared" si="237"/>
        <v/>
      </c>
      <c r="D3833" s="26" t="str">
        <f t="shared" si="238"/>
        <v/>
      </c>
      <c r="E3833" s="29"/>
      <c r="F3833" s="22"/>
      <c r="G3833" s="22"/>
      <c r="H3833" s="22"/>
      <c r="I3833" s="24"/>
      <c r="J3833" s="24"/>
      <c r="K3833" s="24"/>
      <c r="L3833" s="24"/>
      <c r="M3833" s="27" t="str">
        <f t="shared" si="239"/>
        <v/>
      </c>
      <c r="N3833" s="25"/>
      <c r="O3833" s="22"/>
      <c r="P3833" s="24"/>
      <c r="Q3833" s="26"/>
    </row>
    <row r="3834" spans="1:17" ht="15" x14ac:dyDescent="0.15">
      <c r="A3834" s="22"/>
      <c r="B3834" s="26" t="str">
        <f t="shared" si="236"/>
        <v/>
      </c>
      <c r="C3834" s="26" t="str">
        <f t="shared" si="237"/>
        <v/>
      </c>
      <c r="D3834" s="26" t="str">
        <f t="shared" si="238"/>
        <v/>
      </c>
      <c r="E3834" s="29"/>
      <c r="F3834" s="22"/>
      <c r="G3834" s="22"/>
      <c r="H3834" s="22"/>
      <c r="I3834" s="24"/>
      <c r="J3834" s="24"/>
      <c r="K3834" s="24"/>
      <c r="L3834" s="24"/>
      <c r="M3834" s="27" t="str">
        <f t="shared" si="239"/>
        <v/>
      </c>
      <c r="N3834" s="25"/>
      <c r="O3834" s="22"/>
      <c r="P3834" s="24"/>
      <c r="Q3834" s="26"/>
    </row>
    <row r="3835" spans="1:17" ht="15" x14ac:dyDescent="0.15">
      <c r="A3835" s="22"/>
      <c r="B3835" s="26" t="str">
        <f t="shared" si="236"/>
        <v/>
      </c>
      <c r="C3835" s="26" t="str">
        <f t="shared" si="237"/>
        <v/>
      </c>
      <c r="D3835" s="26" t="str">
        <f t="shared" si="238"/>
        <v/>
      </c>
      <c r="E3835" s="29"/>
      <c r="F3835" s="22"/>
      <c r="G3835" s="22"/>
      <c r="H3835" s="22"/>
      <c r="I3835" s="24"/>
      <c r="J3835" s="24"/>
      <c r="K3835" s="24"/>
      <c r="L3835" s="24"/>
      <c r="M3835" s="27" t="str">
        <f t="shared" si="239"/>
        <v/>
      </c>
      <c r="N3835" s="25"/>
      <c r="O3835" s="22"/>
      <c r="P3835" s="24"/>
      <c r="Q3835" s="26"/>
    </row>
    <row r="3836" spans="1:17" ht="15" x14ac:dyDescent="0.15">
      <c r="A3836" s="22"/>
      <c r="B3836" s="26" t="str">
        <f t="shared" si="236"/>
        <v/>
      </c>
      <c r="C3836" s="26" t="str">
        <f t="shared" si="237"/>
        <v/>
      </c>
      <c r="D3836" s="26" t="str">
        <f t="shared" si="238"/>
        <v/>
      </c>
      <c r="E3836" s="29"/>
      <c r="F3836" s="22"/>
      <c r="G3836" s="22"/>
      <c r="H3836" s="22"/>
      <c r="I3836" s="24"/>
      <c r="J3836" s="24"/>
      <c r="K3836" s="24"/>
      <c r="L3836" s="24"/>
      <c r="M3836" s="27" t="str">
        <f t="shared" si="239"/>
        <v/>
      </c>
      <c r="N3836" s="25"/>
      <c r="O3836" s="22"/>
      <c r="P3836" s="24"/>
      <c r="Q3836" s="26"/>
    </row>
    <row r="3837" spans="1:17" ht="15" x14ac:dyDescent="0.15">
      <c r="A3837" s="22"/>
      <c r="B3837" s="26" t="str">
        <f t="shared" si="236"/>
        <v/>
      </c>
      <c r="C3837" s="26" t="str">
        <f t="shared" si="237"/>
        <v/>
      </c>
      <c r="D3837" s="26" t="str">
        <f t="shared" si="238"/>
        <v/>
      </c>
      <c r="E3837" s="29"/>
      <c r="F3837" s="22"/>
      <c r="G3837" s="22"/>
      <c r="H3837" s="22"/>
      <c r="I3837" s="24"/>
      <c r="J3837" s="24"/>
      <c r="K3837" s="24"/>
      <c r="L3837" s="24"/>
      <c r="M3837" s="27" t="str">
        <f t="shared" si="239"/>
        <v/>
      </c>
      <c r="N3837" s="25"/>
      <c r="O3837" s="22"/>
      <c r="P3837" s="24"/>
      <c r="Q3837" s="26"/>
    </row>
    <row r="3838" spans="1:17" ht="15" x14ac:dyDescent="0.15">
      <c r="A3838" s="22"/>
      <c r="B3838" s="26" t="str">
        <f t="shared" si="236"/>
        <v/>
      </c>
      <c r="C3838" s="26" t="str">
        <f t="shared" si="237"/>
        <v/>
      </c>
      <c r="D3838" s="26" t="str">
        <f t="shared" si="238"/>
        <v/>
      </c>
      <c r="E3838" s="29"/>
      <c r="F3838" s="22"/>
      <c r="G3838" s="22"/>
      <c r="H3838" s="22"/>
      <c r="I3838" s="24"/>
      <c r="J3838" s="24"/>
      <c r="K3838" s="24"/>
      <c r="L3838" s="24"/>
      <c r="M3838" s="27" t="str">
        <f t="shared" si="239"/>
        <v/>
      </c>
      <c r="N3838" s="25"/>
      <c r="O3838" s="22"/>
      <c r="P3838" s="24"/>
      <c r="Q3838" s="26"/>
    </row>
    <row r="3839" spans="1:17" ht="15" x14ac:dyDescent="0.15">
      <c r="A3839" s="22"/>
      <c r="B3839" s="26" t="str">
        <f t="shared" si="236"/>
        <v/>
      </c>
      <c r="C3839" s="26" t="str">
        <f t="shared" si="237"/>
        <v/>
      </c>
      <c r="D3839" s="26" t="str">
        <f t="shared" si="238"/>
        <v/>
      </c>
      <c r="E3839" s="29"/>
      <c r="F3839" s="22"/>
      <c r="G3839" s="22"/>
      <c r="H3839" s="22"/>
      <c r="I3839" s="24"/>
      <c r="J3839" s="24"/>
      <c r="K3839" s="24"/>
      <c r="L3839" s="24"/>
      <c r="M3839" s="27" t="str">
        <f t="shared" si="239"/>
        <v/>
      </c>
      <c r="N3839" s="25"/>
      <c r="O3839" s="22"/>
      <c r="P3839" s="24"/>
      <c r="Q3839" s="26"/>
    </row>
    <row r="3840" spans="1:17" ht="15" x14ac:dyDescent="0.15">
      <c r="A3840" s="22"/>
      <c r="B3840" s="26" t="str">
        <f t="shared" si="236"/>
        <v/>
      </c>
      <c r="C3840" s="26" t="str">
        <f t="shared" si="237"/>
        <v/>
      </c>
      <c r="D3840" s="26" t="str">
        <f t="shared" si="238"/>
        <v/>
      </c>
      <c r="E3840" s="29"/>
      <c r="F3840" s="22"/>
      <c r="G3840" s="22"/>
      <c r="H3840" s="22"/>
      <c r="I3840" s="24"/>
      <c r="J3840" s="24"/>
      <c r="K3840" s="24"/>
      <c r="L3840" s="24"/>
      <c r="M3840" s="27" t="str">
        <f t="shared" si="239"/>
        <v/>
      </c>
      <c r="N3840" s="25"/>
      <c r="O3840" s="22"/>
      <c r="P3840" s="24"/>
      <c r="Q3840" s="26"/>
    </row>
    <row r="3841" spans="1:17" ht="15" x14ac:dyDescent="0.15">
      <c r="A3841" s="22"/>
      <c r="B3841" s="26" t="str">
        <f t="shared" si="236"/>
        <v/>
      </c>
      <c r="C3841" s="26" t="str">
        <f t="shared" si="237"/>
        <v/>
      </c>
      <c r="D3841" s="26" t="str">
        <f t="shared" si="238"/>
        <v/>
      </c>
      <c r="E3841" s="29"/>
      <c r="F3841" s="22"/>
      <c r="G3841" s="22"/>
      <c r="H3841" s="22"/>
      <c r="I3841" s="24"/>
      <c r="J3841" s="24"/>
      <c r="K3841" s="24"/>
      <c r="L3841" s="24"/>
      <c r="M3841" s="27" t="str">
        <f t="shared" si="239"/>
        <v/>
      </c>
      <c r="N3841" s="25"/>
      <c r="O3841" s="22"/>
      <c r="P3841" s="24"/>
      <c r="Q3841" s="26"/>
    </row>
    <row r="3842" spans="1:17" ht="15" x14ac:dyDescent="0.15">
      <c r="A3842" s="22"/>
      <c r="B3842" s="26" t="str">
        <f t="shared" si="236"/>
        <v/>
      </c>
      <c r="C3842" s="26" t="str">
        <f t="shared" si="237"/>
        <v/>
      </c>
      <c r="D3842" s="26" t="str">
        <f t="shared" si="238"/>
        <v/>
      </c>
      <c r="E3842" s="29"/>
      <c r="F3842" s="22"/>
      <c r="G3842" s="22"/>
      <c r="H3842" s="22"/>
      <c r="I3842" s="24"/>
      <c r="J3842" s="24"/>
      <c r="K3842" s="24"/>
      <c r="L3842" s="24"/>
      <c r="M3842" s="27" t="str">
        <f t="shared" si="239"/>
        <v/>
      </c>
      <c r="N3842" s="25"/>
      <c r="O3842" s="22"/>
      <c r="P3842" s="24"/>
      <c r="Q3842" s="26"/>
    </row>
    <row r="3843" spans="1:17" ht="15" x14ac:dyDescent="0.15">
      <c r="A3843" s="22"/>
      <c r="B3843" s="26" t="str">
        <f t="shared" si="236"/>
        <v/>
      </c>
      <c r="C3843" s="26" t="str">
        <f t="shared" si="237"/>
        <v/>
      </c>
      <c r="D3843" s="26" t="str">
        <f t="shared" si="238"/>
        <v/>
      </c>
      <c r="E3843" s="29"/>
      <c r="F3843" s="22"/>
      <c r="G3843" s="22"/>
      <c r="H3843" s="22"/>
      <c r="I3843" s="24"/>
      <c r="J3843" s="24"/>
      <c r="K3843" s="24"/>
      <c r="L3843" s="24"/>
      <c r="M3843" s="27" t="str">
        <f t="shared" si="239"/>
        <v/>
      </c>
      <c r="N3843" s="25"/>
      <c r="O3843" s="22"/>
      <c r="P3843" s="24"/>
      <c r="Q3843" s="26"/>
    </row>
    <row r="3844" spans="1:17" ht="15" x14ac:dyDescent="0.15">
      <c r="A3844" s="22"/>
      <c r="B3844" s="26" t="str">
        <f t="shared" si="236"/>
        <v/>
      </c>
      <c r="C3844" s="26" t="str">
        <f t="shared" si="237"/>
        <v/>
      </c>
      <c r="D3844" s="26" t="str">
        <f t="shared" si="238"/>
        <v/>
      </c>
      <c r="E3844" s="29"/>
      <c r="F3844" s="22"/>
      <c r="G3844" s="22"/>
      <c r="H3844" s="22"/>
      <c r="I3844" s="24"/>
      <c r="J3844" s="24"/>
      <c r="K3844" s="24"/>
      <c r="L3844" s="24"/>
      <c r="M3844" s="27" t="str">
        <f t="shared" si="239"/>
        <v/>
      </c>
      <c r="N3844" s="25"/>
      <c r="O3844" s="22"/>
      <c r="P3844" s="24"/>
      <c r="Q3844" s="26"/>
    </row>
    <row r="3845" spans="1:17" ht="15" x14ac:dyDescent="0.15">
      <c r="A3845" s="22"/>
      <c r="B3845" s="26" t="str">
        <f t="shared" si="236"/>
        <v/>
      </c>
      <c r="C3845" s="26" t="str">
        <f t="shared" si="237"/>
        <v/>
      </c>
      <c r="D3845" s="26" t="str">
        <f t="shared" si="238"/>
        <v/>
      </c>
      <c r="E3845" s="29"/>
      <c r="F3845" s="22"/>
      <c r="G3845" s="22"/>
      <c r="H3845" s="22"/>
      <c r="I3845" s="24"/>
      <c r="J3845" s="24"/>
      <c r="K3845" s="24"/>
      <c r="L3845" s="24"/>
      <c r="M3845" s="27" t="str">
        <f t="shared" si="239"/>
        <v/>
      </c>
      <c r="N3845" s="25"/>
      <c r="O3845" s="22"/>
      <c r="P3845" s="24"/>
      <c r="Q3845" s="26"/>
    </row>
    <row r="3846" spans="1:17" ht="15" x14ac:dyDescent="0.15">
      <c r="A3846" s="22"/>
      <c r="B3846" s="26" t="str">
        <f t="shared" si="236"/>
        <v/>
      </c>
      <c r="C3846" s="26" t="str">
        <f t="shared" si="237"/>
        <v/>
      </c>
      <c r="D3846" s="26" t="str">
        <f t="shared" si="238"/>
        <v/>
      </c>
      <c r="E3846" s="29"/>
      <c r="F3846" s="22"/>
      <c r="G3846" s="22"/>
      <c r="H3846" s="22"/>
      <c r="I3846" s="24"/>
      <c r="J3846" s="24"/>
      <c r="K3846" s="24"/>
      <c r="L3846" s="24"/>
      <c r="M3846" s="27" t="str">
        <f t="shared" si="239"/>
        <v/>
      </c>
      <c r="N3846" s="25"/>
      <c r="O3846" s="22"/>
      <c r="P3846" s="24"/>
      <c r="Q3846" s="26"/>
    </row>
    <row r="3847" spans="1:17" ht="15" x14ac:dyDescent="0.15">
      <c r="A3847" s="22"/>
      <c r="B3847" s="26" t="str">
        <f t="shared" ref="B3847:B3910" si="240">IFERROR(IF($A3847="","",LEFT($A3847,FIND(" | ",$A3847)-1)),"")</f>
        <v/>
      </c>
      <c r="C3847" s="26" t="str">
        <f t="shared" ref="C3847:C3910" si="241">IFERROR(IF($A3847="","",MID($A3847,FIND(" | ",$A3847)+3,FIND(" | ",$A3847,FIND(" | ",$A3847)+3)-FIND(" | ",$A3847)-3)),"")</f>
        <v/>
      </c>
      <c r="D3847" s="26" t="str">
        <f t="shared" ref="D3847:D3910" si="242">IFERROR(IF($A3847="","",RIGHT($A3847,LEN($A3847)-FIND(" | ",$A3847,FIND(" | ",$A3847)+3)-2)),"")</f>
        <v/>
      </c>
      <c r="E3847" s="29"/>
      <c r="F3847" s="22"/>
      <c r="G3847" s="22"/>
      <c r="H3847" s="22"/>
      <c r="I3847" s="24"/>
      <c r="J3847" s="24"/>
      <c r="K3847" s="24"/>
      <c r="L3847" s="24"/>
      <c r="M3847" s="27" t="str">
        <f t="shared" ref="M3847:M3910" si="243">IF($B3847="","",SUM($J3847,-$K3847,$L3847))</f>
        <v/>
      </c>
      <c r="N3847" s="25"/>
      <c r="O3847" s="22"/>
      <c r="P3847" s="24"/>
      <c r="Q3847" s="26"/>
    </row>
    <row r="3848" spans="1:17" ht="15" x14ac:dyDescent="0.15">
      <c r="A3848" s="22"/>
      <c r="B3848" s="26" t="str">
        <f t="shared" si="240"/>
        <v/>
      </c>
      <c r="C3848" s="26" t="str">
        <f t="shared" si="241"/>
        <v/>
      </c>
      <c r="D3848" s="26" t="str">
        <f t="shared" si="242"/>
        <v/>
      </c>
      <c r="E3848" s="29"/>
      <c r="F3848" s="22"/>
      <c r="G3848" s="22"/>
      <c r="H3848" s="22"/>
      <c r="I3848" s="24"/>
      <c r="J3848" s="24"/>
      <c r="K3848" s="24"/>
      <c r="L3848" s="24"/>
      <c r="M3848" s="27" t="str">
        <f t="shared" si="243"/>
        <v/>
      </c>
      <c r="N3848" s="25"/>
      <c r="O3848" s="22"/>
      <c r="P3848" s="24"/>
      <c r="Q3848" s="26"/>
    </row>
    <row r="3849" spans="1:17" ht="15" x14ac:dyDescent="0.15">
      <c r="A3849" s="22"/>
      <c r="B3849" s="26" t="str">
        <f t="shared" si="240"/>
        <v/>
      </c>
      <c r="C3849" s="26" t="str">
        <f t="shared" si="241"/>
        <v/>
      </c>
      <c r="D3849" s="26" t="str">
        <f t="shared" si="242"/>
        <v/>
      </c>
      <c r="E3849" s="29"/>
      <c r="F3849" s="22"/>
      <c r="G3849" s="22"/>
      <c r="H3849" s="22"/>
      <c r="I3849" s="24"/>
      <c r="J3849" s="24"/>
      <c r="K3849" s="24"/>
      <c r="L3849" s="24"/>
      <c r="M3849" s="27" t="str">
        <f t="shared" si="243"/>
        <v/>
      </c>
      <c r="N3849" s="25"/>
      <c r="O3849" s="22"/>
      <c r="P3849" s="24"/>
      <c r="Q3849" s="26"/>
    </row>
    <row r="3850" spans="1:17" ht="15" x14ac:dyDescent="0.15">
      <c r="A3850" s="22"/>
      <c r="B3850" s="26" t="str">
        <f t="shared" si="240"/>
        <v/>
      </c>
      <c r="C3850" s="26" t="str">
        <f t="shared" si="241"/>
        <v/>
      </c>
      <c r="D3850" s="26" t="str">
        <f t="shared" si="242"/>
        <v/>
      </c>
      <c r="E3850" s="29"/>
      <c r="F3850" s="22"/>
      <c r="G3850" s="22"/>
      <c r="H3850" s="22"/>
      <c r="I3850" s="24"/>
      <c r="J3850" s="24"/>
      <c r="K3850" s="24"/>
      <c r="L3850" s="24"/>
      <c r="M3850" s="27" t="str">
        <f t="shared" si="243"/>
        <v/>
      </c>
      <c r="N3850" s="25"/>
      <c r="O3850" s="22"/>
      <c r="P3850" s="24"/>
      <c r="Q3850" s="26"/>
    </row>
    <row r="3851" spans="1:17" ht="15" x14ac:dyDescent="0.15">
      <c r="A3851" s="22"/>
      <c r="B3851" s="26" t="str">
        <f t="shared" si="240"/>
        <v/>
      </c>
      <c r="C3851" s="26" t="str">
        <f t="shared" si="241"/>
        <v/>
      </c>
      <c r="D3851" s="26" t="str">
        <f t="shared" si="242"/>
        <v/>
      </c>
      <c r="E3851" s="29"/>
      <c r="F3851" s="22"/>
      <c r="G3851" s="22"/>
      <c r="H3851" s="22"/>
      <c r="I3851" s="24"/>
      <c r="J3851" s="24"/>
      <c r="K3851" s="24"/>
      <c r="L3851" s="24"/>
      <c r="M3851" s="27" t="str">
        <f t="shared" si="243"/>
        <v/>
      </c>
      <c r="N3851" s="25"/>
      <c r="O3851" s="22"/>
      <c r="P3851" s="24"/>
      <c r="Q3851" s="26"/>
    </row>
    <row r="3852" spans="1:17" ht="15" x14ac:dyDescent="0.15">
      <c r="A3852" s="22"/>
      <c r="B3852" s="26" t="str">
        <f t="shared" si="240"/>
        <v/>
      </c>
      <c r="C3852" s="26" t="str">
        <f t="shared" si="241"/>
        <v/>
      </c>
      <c r="D3852" s="26" t="str">
        <f t="shared" si="242"/>
        <v/>
      </c>
      <c r="E3852" s="29"/>
      <c r="F3852" s="22"/>
      <c r="G3852" s="22"/>
      <c r="H3852" s="22"/>
      <c r="I3852" s="24"/>
      <c r="J3852" s="24"/>
      <c r="K3852" s="24"/>
      <c r="L3852" s="24"/>
      <c r="M3852" s="27" t="str">
        <f t="shared" si="243"/>
        <v/>
      </c>
      <c r="N3852" s="25"/>
      <c r="O3852" s="22"/>
      <c r="P3852" s="24"/>
      <c r="Q3852" s="26"/>
    </row>
    <row r="3853" spans="1:17" ht="15" x14ac:dyDescent="0.15">
      <c r="A3853" s="22"/>
      <c r="B3853" s="26" t="str">
        <f t="shared" si="240"/>
        <v/>
      </c>
      <c r="C3853" s="26" t="str">
        <f t="shared" si="241"/>
        <v/>
      </c>
      <c r="D3853" s="26" t="str">
        <f t="shared" si="242"/>
        <v/>
      </c>
      <c r="E3853" s="29"/>
      <c r="F3853" s="22"/>
      <c r="G3853" s="22"/>
      <c r="H3853" s="22"/>
      <c r="I3853" s="24"/>
      <c r="J3853" s="24"/>
      <c r="K3853" s="24"/>
      <c r="L3853" s="24"/>
      <c r="M3853" s="27" t="str">
        <f t="shared" si="243"/>
        <v/>
      </c>
      <c r="N3853" s="25"/>
      <c r="O3853" s="22"/>
      <c r="P3853" s="24"/>
      <c r="Q3853" s="26"/>
    </row>
    <row r="3854" spans="1:17" ht="15" x14ac:dyDescent="0.15">
      <c r="A3854" s="22"/>
      <c r="B3854" s="26" t="str">
        <f t="shared" si="240"/>
        <v/>
      </c>
      <c r="C3854" s="26" t="str">
        <f t="shared" si="241"/>
        <v/>
      </c>
      <c r="D3854" s="26" t="str">
        <f t="shared" si="242"/>
        <v/>
      </c>
      <c r="E3854" s="29"/>
      <c r="F3854" s="22"/>
      <c r="G3854" s="22"/>
      <c r="H3854" s="22"/>
      <c r="I3854" s="24"/>
      <c r="J3854" s="24"/>
      <c r="K3854" s="24"/>
      <c r="L3854" s="24"/>
      <c r="M3854" s="27" t="str">
        <f t="shared" si="243"/>
        <v/>
      </c>
      <c r="N3854" s="25"/>
      <c r="O3854" s="22"/>
      <c r="P3854" s="24"/>
      <c r="Q3854" s="26"/>
    </row>
    <row r="3855" spans="1:17" ht="15" x14ac:dyDescent="0.15">
      <c r="A3855" s="22"/>
      <c r="B3855" s="26" t="str">
        <f t="shared" si="240"/>
        <v/>
      </c>
      <c r="C3855" s="26" t="str">
        <f t="shared" si="241"/>
        <v/>
      </c>
      <c r="D3855" s="26" t="str">
        <f t="shared" si="242"/>
        <v/>
      </c>
      <c r="E3855" s="29"/>
      <c r="F3855" s="22"/>
      <c r="G3855" s="22"/>
      <c r="H3855" s="22"/>
      <c r="I3855" s="24"/>
      <c r="J3855" s="24"/>
      <c r="K3855" s="24"/>
      <c r="L3855" s="24"/>
      <c r="M3855" s="27" t="str">
        <f t="shared" si="243"/>
        <v/>
      </c>
      <c r="N3855" s="25"/>
      <c r="O3855" s="22"/>
      <c r="P3855" s="24"/>
      <c r="Q3855" s="26"/>
    </row>
    <row r="3856" spans="1:17" ht="15" x14ac:dyDescent="0.15">
      <c r="A3856" s="22"/>
      <c r="B3856" s="26" t="str">
        <f t="shared" si="240"/>
        <v/>
      </c>
      <c r="C3856" s="26" t="str">
        <f t="shared" si="241"/>
        <v/>
      </c>
      <c r="D3856" s="26" t="str">
        <f t="shared" si="242"/>
        <v/>
      </c>
      <c r="E3856" s="29"/>
      <c r="F3856" s="22"/>
      <c r="G3856" s="22"/>
      <c r="H3856" s="22"/>
      <c r="I3856" s="24"/>
      <c r="J3856" s="24"/>
      <c r="K3856" s="24"/>
      <c r="L3856" s="24"/>
      <c r="M3856" s="27" t="str">
        <f t="shared" si="243"/>
        <v/>
      </c>
      <c r="N3856" s="25"/>
      <c r="O3856" s="22"/>
      <c r="P3856" s="24"/>
      <c r="Q3856" s="26"/>
    </row>
    <row r="3857" spans="1:17" ht="15" x14ac:dyDescent="0.15">
      <c r="A3857" s="22"/>
      <c r="B3857" s="26" t="str">
        <f t="shared" si="240"/>
        <v/>
      </c>
      <c r="C3857" s="26" t="str">
        <f t="shared" si="241"/>
        <v/>
      </c>
      <c r="D3857" s="26" t="str">
        <f t="shared" si="242"/>
        <v/>
      </c>
      <c r="E3857" s="29"/>
      <c r="F3857" s="22"/>
      <c r="G3857" s="22"/>
      <c r="H3857" s="22"/>
      <c r="I3857" s="24"/>
      <c r="J3857" s="24"/>
      <c r="K3857" s="24"/>
      <c r="L3857" s="24"/>
      <c r="M3857" s="27" t="str">
        <f t="shared" si="243"/>
        <v/>
      </c>
      <c r="N3857" s="25"/>
      <c r="O3857" s="22"/>
      <c r="P3857" s="24"/>
      <c r="Q3857" s="26"/>
    </row>
    <row r="3858" spans="1:17" ht="15" x14ac:dyDescent="0.15">
      <c r="A3858" s="22"/>
      <c r="B3858" s="26" t="str">
        <f t="shared" si="240"/>
        <v/>
      </c>
      <c r="C3858" s="26" t="str">
        <f t="shared" si="241"/>
        <v/>
      </c>
      <c r="D3858" s="26" t="str">
        <f t="shared" si="242"/>
        <v/>
      </c>
      <c r="E3858" s="29"/>
      <c r="F3858" s="22"/>
      <c r="G3858" s="22"/>
      <c r="H3858" s="22"/>
      <c r="I3858" s="24"/>
      <c r="J3858" s="24"/>
      <c r="K3858" s="24"/>
      <c r="L3858" s="24"/>
      <c r="M3858" s="27" t="str">
        <f t="shared" si="243"/>
        <v/>
      </c>
      <c r="N3858" s="25"/>
      <c r="O3858" s="22"/>
      <c r="P3858" s="24"/>
      <c r="Q3858" s="26"/>
    </row>
    <row r="3859" spans="1:17" ht="15" x14ac:dyDescent="0.15">
      <c r="A3859" s="22"/>
      <c r="B3859" s="26" t="str">
        <f t="shared" si="240"/>
        <v/>
      </c>
      <c r="C3859" s="26" t="str">
        <f t="shared" si="241"/>
        <v/>
      </c>
      <c r="D3859" s="26" t="str">
        <f t="shared" si="242"/>
        <v/>
      </c>
      <c r="E3859" s="29"/>
      <c r="F3859" s="22"/>
      <c r="G3859" s="22"/>
      <c r="H3859" s="22"/>
      <c r="I3859" s="24"/>
      <c r="J3859" s="24"/>
      <c r="K3859" s="24"/>
      <c r="L3859" s="24"/>
      <c r="M3859" s="27" t="str">
        <f t="shared" si="243"/>
        <v/>
      </c>
      <c r="N3859" s="25"/>
      <c r="O3859" s="22"/>
      <c r="P3859" s="24"/>
      <c r="Q3859" s="26"/>
    </row>
    <row r="3860" spans="1:17" ht="15" x14ac:dyDescent="0.15">
      <c r="A3860" s="22"/>
      <c r="B3860" s="26" t="str">
        <f t="shared" si="240"/>
        <v/>
      </c>
      <c r="C3860" s="26" t="str">
        <f t="shared" si="241"/>
        <v/>
      </c>
      <c r="D3860" s="26" t="str">
        <f t="shared" si="242"/>
        <v/>
      </c>
      <c r="E3860" s="29"/>
      <c r="F3860" s="22"/>
      <c r="G3860" s="22"/>
      <c r="H3860" s="22"/>
      <c r="I3860" s="24"/>
      <c r="J3860" s="24"/>
      <c r="K3860" s="24"/>
      <c r="L3860" s="24"/>
      <c r="M3860" s="27" t="str">
        <f t="shared" si="243"/>
        <v/>
      </c>
      <c r="N3860" s="25"/>
      <c r="O3860" s="22"/>
      <c r="P3860" s="24"/>
      <c r="Q3860" s="26"/>
    </row>
    <row r="3861" spans="1:17" ht="15" x14ac:dyDescent="0.15">
      <c r="A3861" s="22"/>
      <c r="B3861" s="26" t="str">
        <f t="shared" si="240"/>
        <v/>
      </c>
      <c r="C3861" s="26" t="str">
        <f t="shared" si="241"/>
        <v/>
      </c>
      <c r="D3861" s="26" t="str">
        <f t="shared" si="242"/>
        <v/>
      </c>
      <c r="E3861" s="29"/>
      <c r="F3861" s="22"/>
      <c r="G3861" s="22"/>
      <c r="H3861" s="22"/>
      <c r="I3861" s="24"/>
      <c r="J3861" s="24"/>
      <c r="K3861" s="24"/>
      <c r="L3861" s="24"/>
      <c r="M3861" s="27" t="str">
        <f t="shared" si="243"/>
        <v/>
      </c>
      <c r="N3861" s="25"/>
      <c r="O3861" s="22"/>
      <c r="P3861" s="24"/>
      <c r="Q3861" s="26"/>
    </row>
    <row r="3862" spans="1:17" ht="15" x14ac:dyDescent="0.15">
      <c r="A3862" s="22"/>
      <c r="B3862" s="26" t="str">
        <f t="shared" si="240"/>
        <v/>
      </c>
      <c r="C3862" s="26" t="str">
        <f t="shared" si="241"/>
        <v/>
      </c>
      <c r="D3862" s="26" t="str">
        <f t="shared" si="242"/>
        <v/>
      </c>
      <c r="E3862" s="29"/>
      <c r="F3862" s="22"/>
      <c r="G3862" s="22"/>
      <c r="H3862" s="22"/>
      <c r="I3862" s="24"/>
      <c r="J3862" s="24"/>
      <c r="K3862" s="24"/>
      <c r="L3862" s="24"/>
      <c r="M3862" s="27" t="str">
        <f t="shared" si="243"/>
        <v/>
      </c>
      <c r="N3862" s="25"/>
      <c r="O3862" s="22"/>
      <c r="P3862" s="24"/>
      <c r="Q3862" s="26"/>
    </row>
    <row r="3863" spans="1:17" ht="15" x14ac:dyDescent="0.15">
      <c r="A3863" s="22"/>
      <c r="B3863" s="26" t="str">
        <f t="shared" si="240"/>
        <v/>
      </c>
      <c r="C3863" s="26" t="str">
        <f t="shared" si="241"/>
        <v/>
      </c>
      <c r="D3863" s="26" t="str">
        <f t="shared" si="242"/>
        <v/>
      </c>
      <c r="E3863" s="29"/>
      <c r="F3863" s="22"/>
      <c r="G3863" s="22"/>
      <c r="H3863" s="22"/>
      <c r="I3863" s="24"/>
      <c r="J3863" s="24"/>
      <c r="K3863" s="24"/>
      <c r="L3863" s="24"/>
      <c r="M3863" s="27" t="str">
        <f t="shared" si="243"/>
        <v/>
      </c>
      <c r="N3863" s="25"/>
      <c r="O3863" s="22"/>
      <c r="P3863" s="24"/>
      <c r="Q3863" s="26"/>
    </row>
    <row r="3864" spans="1:17" ht="15" x14ac:dyDescent="0.15">
      <c r="A3864" s="22"/>
      <c r="B3864" s="26" t="str">
        <f t="shared" si="240"/>
        <v/>
      </c>
      <c r="C3864" s="26" t="str">
        <f t="shared" si="241"/>
        <v/>
      </c>
      <c r="D3864" s="26" t="str">
        <f t="shared" si="242"/>
        <v/>
      </c>
      <c r="E3864" s="29"/>
      <c r="F3864" s="22"/>
      <c r="G3864" s="22"/>
      <c r="H3864" s="22"/>
      <c r="I3864" s="24"/>
      <c r="J3864" s="24"/>
      <c r="K3864" s="24"/>
      <c r="L3864" s="24"/>
      <c r="M3864" s="27" t="str">
        <f t="shared" si="243"/>
        <v/>
      </c>
      <c r="N3864" s="25"/>
      <c r="O3864" s="22"/>
      <c r="P3864" s="24"/>
      <c r="Q3864" s="26"/>
    </row>
    <row r="3865" spans="1:17" ht="15" x14ac:dyDescent="0.15">
      <c r="A3865" s="22"/>
      <c r="B3865" s="26" t="str">
        <f t="shared" si="240"/>
        <v/>
      </c>
      <c r="C3865" s="26" t="str">
        <f t="shared" si="241"/>
        <v/>
      </c>
      <c r="D3865" s="26" t="str">
        <f t="shared" si="242"/>
        <v/>
      </c>
      <c r="E3865" s="29"/>
      <c r="F3865" s="22"/>
      <c r="G3865" s="22"/>
      <c r="H3865" s="22"/>
      <c r="I3865" s="24"/>
      <c r="J3865" s="24"/>
      <c r="K3865" s="24"/>
      <c r="L3865" s="24"/>
      <c r="M3865" s="27" t="str">
        <f t="shared" si="243"/>
        <v/>
      </c>
      <c r="N3865" s="25"/>
      <c r="O3865" s="22"/>
      <c r="P3865" s="24"/>
      <c r="Q3865" s="26"/>
    </row>
    <row r="3866" spans="1:17" ht="15" x14ac:dyDescent="0.15">
      <c r="A3866" s="22"/>
      <c r="B3866" s="26" t="str">
        <f t="shared" si="240"/>
        <v/>
      </c>
      <c r="C3866" s="26" t="str">
        <f t="shared" si="241"/>
        <v/>
      </c>
      <c r="D3866" s="26" t="str">
        <f t="shared" si="242"/>
        <v/>
      </c>
      <c r="E3866" s="29"/>
      <c r="F3866" s="22"/>
      <c r="G3866" s="22"/>
      <c r="H3866" s="22"/>
      <c r="I3866" s="24"/>
      <c r="J3866" s="24"/>
      <c r="K3866" s="24"/>
      <c r="L3866" s="24"/>
      <c r="M3866" s="27" t="str">
        <f t="shared" si="243"/>
        <v/>
      </c>
      <c r="N3866" s="25"/>
      <c r="O3866" s="22"/>
      <c r="P3866" s="24"/>
      <c r="Q3866" s="26"/>
    </row>
    <row r="3867" spans="1:17" ht="15" x14ac:dyDescent="0.15">
      <c r="A3867" s="22"/>
      <c r="B3867" s="26" t="str">
        <f t="shared" si="240"/>
        <v/>
      </c>
      <c r="C3867" s="26" t="str">
        <f t="shared" si="241"/>
        <v/>
      </c>
      <c r="D3867" s="26" t="str">
        <f t="shared" si="242"/>
        <v/>
      </c>
      <c r="E3867" s="29"/>
      <c r="F3867" s="22"/>
      <c r="G3867" s="22"/>
      <c r="H3867" s="22"/>
      <c r="I3867" s="24"/>
      <c r="J3867" s="24"/>
      <c r="K3867" s="24"/>
      <c r="L3867" s="24"/>
      <c r="M3867" s="27" t="str">
        <f t="shared" si="243"/>
        <v/>
      </c>
      <c r="N3867" s="25"/>
      <c r="O3867" s="22"/>
      <c r="P3867" s="24"/>
      <c r="Q3867" s="26"/>
    </row>
    <row r="3868" spans="1:17" ht="15" x14ac:dyDescent="0.15">
      <c r="A3868" s="22"/>
      <c r="B3868" s="26" t="str">
        <f t="shared" si="240"/>
        <v/>
      </c>
      <c r="C3868" s="26" t="str">
        <f t="shared" si="241"/>
        <v/>
      </c>
      <c r="D3868" s="26" t="str">
        <f t="shared" si="242"/>
        <v/>
      </c>
      <c r="E3868" s="29"/>
      <c r="F3868" s="22"/>
      <c r="G3868" s="22"/>
      <c r="H3868" s="22"/>
      <c r="I3868" s="24"/>
      <c r="J3868" s="24"/>
      <c r="K3868" s="24"/>
      <c r="L3868" s="24"/>
      <c r="M3868" s="27" t="str">
        <f t="shared" si="243"/>
        <v/>
      </c>
      <c r="N3868" s="25"/>
      <c r="O3868" s="22"/>
      <c r="P3868" s="24"/>
      <c r="Q3868" s="26"/>
    </row>
    <row r="3869" spans="1:17" ht="15" x14ac:dyDescent="0.15">
      <c r="A3869" s="22"/>
      <c r="B3869" s="26" t="str">
        <f t="shared" si="240"/>
        <v/>
      </c>
      <c r="C3869" s="26" t="str">
        <f t="shared" si="241"/>
        <v/>
      </c>
      <c r="D3869" s="26" t="str">
        <f t="shared" si="242"/>
        <v/>
      </c>
      <c r="E3869" s="29"/>
      <c r="F3869" s="22"/>
      <c r="G3869" s="22"/>
      <c r="H3869" s="22"/>
      <c r="I3869" s="24"/>
      <c r="J3869" s="24"/>
      <c r="K3869" s="24"/>
      <c r="L3869" s="24"/>
      <c r="M3869" s="27" t="str">
        <f t="shared" si="243"/>
        <v/>
      </c>
      <c r="N3869" s="25"/>
      <c r="O3869" s="22"/>
      <c r="P3869" s="24"/>
      <c r="Q3869" s="26"/>
    </row>
    <row r="3870" spans="1:17" ht="15" x14ac:dyDescent="0.15">
      <c r="A3870" s="22"/>
      <c r="B3870" s="26" t="str">
        <f t="shared" si="240"/>
        <v/>
      </c>
      <c r="C3870" s="26" t="str">
        <f t="shared" si="241"/>
        <v/>
      </c>
      <c r="D3870" s="26" t="str">
        <f t="shared" si="242"/>
        <v/>
      </c>
      <c r="E3870" s="29"/>
      <c r="F3870" s="22"/>
      <c r="G3870" s="22"/>
      <c r="H3870" s="22"/>
      <c r="I3870" s="24"/>
      <c r="J3870" s="24"/>
      <c r="K3870" s="24"/>
      <c r="L3870" s="24"/>
      <c r="M3870" s="27" t="str">
        <f t="shared" si="243"/>
        <v/>
      </c>
      <c r="N3870" s="25"/>
      <c r="O3870" s="22"/>
      <c r="P3870" s="24"/>
      <c r="Q3870" s="26"/>
    </row>
    <row r="3871" spans="1:17" ht="15" x14ac:dyDescent="0.15">
      <c r="A3871" s="22"/>
      <c r="B3871" s="26" t="str">
        <f t="shared" si="240"/>
        <v/>
      </c>
      <c r="C3871" s="26" t="str">
        <f t="shared" si="241"/>
        <v/>
      </c>
      <c r="D3871" s="26" t="str">
        <f t="shared" si="242"/>
        <v/>
      </c>
      <c r="E3871" s="29"/>
      <c r="F3871" s="22"/>
      <c r="G3871" s="22"/>
      <c r="H3871" s="22"/>
      <c r="I3871" s="24"/>
      <c r="J3871" s="24"/>
      <c r="K3871" s="24"/>
      <c r="L3871" s="24"/>
      <c r="M3871" s="27" t="str">
        <f t="shared" si="243"/>
        <v/>
      </c>
      <c r="N3871" s="25"/>
      <c r="O3871" s="22"/>
      <c r="P3871" s="24"/>
      <c r="Q3871" s="26"/>
    </row>
    <row r="3872" spans="1:17" ht="15" x14ac:dyDescent="0.15">
      <c r="A3872" s="22"/>
      <c r="B3872" s="26" t="str">
        <f t="shared" si="240"/>
        <v/>
      </c>
      <c r="C3872" s="26" t="str">
        <f t="shared" si="241"/>
        <v/>
      </c>
      <c r="D3872" s="26" t="str">
        <f t="shared" si="242"/>
        <v/>
      </c>
      <c r="E3872" s="29"/>
      <c r="F3872" s="22"/>
      <c r="G3872" s="22"/>
      <c r="H3872" s="22"/>
      <c r="I3872" s="24"/>
      <c r="J3872" s="24"/>
      <c r="K3872" s="24"/>
      <c r="L3872" s="24"/>
      <c r="M3872" s="27" t="str">
        <f t="shared" si="243"/>
        <v/>
      </c>
      <c r="N3872" s="25"/>
      <c r="O3872" s="22"/>
      <c r="P3872" s="24"/>
      <c r="Q3872" s="26"/>
    </row>
    <row r="3873" spans="1:17" ht="15" x14ac:dyDescent="0.15">
      <c r="A3873" s="22"/>
      <c r="B3873" s="26" t="str">
        <f t="shared" si="240"/>
        <v/>
      </c>
      <c r="C3873" s="26" t="str">
        <f t="shared" si="241"/>
        <v/>
      </c>
      <c r="D3873" s="26" t="str">
        <f t="shared" si="242"/>
        <v/>
      </c>
      <c r="E3873" s="29"/>
      <c r="F3873" s="22"/>
      <c r="G3873" s="22"/>
      <c r="H3873" s="22"/>
      <c r="I3873" s="24"/>
      <c r="J3873" s="24"/>
      <c r="K3873" s="24"/>
      <c r="L3873" s="24"/>
      <c r="M3873" s="27" t="str">
        <f t="shared" si="243"/>
        <v/>
      </c>
      <c r="N3873" s="25"/>
      <c r="O3873" s="22"/>
      <c r="P3873" s="24"/>
      <c r="Q3873" s="26"/>
    </row>
    <row r="3874" spans="1:17" ht="15" x14ac:dyDescent="0.15">
      <c r="A3874" s="22"/>
      <c r="B3874" s="26" t="str">
        <f t="shared" si="240"/>
        <v/>
      </c>
      <c r="C3874" s="26" t="str">
        <f t="shared" si="241"/>
        <v/>
      </c>
      <c r="D3874" s="26" t="str">
        <f t="shared" si="242"/>
        <v/>
      </c>
      <c r="E3874" s="29"/>
      <c r="F3874" s="22"/>
      <c r="G3874" s="22"/>
      <c r="H3874" s="22"/>
      <c r="I3874" s="24"/>
      <c r="J3874" s="24"/>
      <c r="K3874" s="24"/>
      <c r="L3874" s="24"/>
      <c r="M3874" s="27" t="str">
        <f t="shared" si="243"/>
        <v/>
      </c>
      <c r="N3874" s="25"/>
      <c r="O3874" s="22"/>
      <c r="P3874" s="24"/>
      <c r="Q3874" s="26"/>
    </row>
    <row r="3875" spans="1:17" ht="15" x14ac:dyDescent="0.15">
      <c r="A3875" s="22"/>
      <c r="B3875" s="26" t="str">
        <f t="shared" si="240"/>
        <v/>
      </c>
      <c r="C3875" s="26" t="str">
        <f t="shared" si="241"/>
        <v/>
      </c>
      <c r="D3875" s="26" t="str">
        <f t="shared" si="242"/>
        <v/>
      </c>
      <c r="E3875" s="29"/>
      <c r="F3875" s="22"/>
      <c r="G3875" s="22"/>
      <c r="H3875" s="22"/>
      <c r="I3875" s="24"/>
      <c r="J3875" s="24"/>
      <c r="K3875" s="24"/>
      <c r="L3875" s="24"/>
      <c r="M3875" s="27" t="str">
        <f t="shared" si="243"/>
        <v/>
      </c>
      <c r="N3875" s="25"/>
      <c r="O3875" s="22"/>
      <c r="P3875" s="24"/>
      <c r="Q3875" s="26"/>
    </row>
    <row r="3876" spans="1:17" ht="15" x14ac:dyDescent="0.15">
      <c r="A3876" s="22"/>
      <c r="B3876" s="26" t="str">
        <f t="shared" si="240"/>
        <v/>
      </c>
      <c r="C3876" s="26" t="str">
        <f t="shared" si="241"/>
        <v/>
      </c>
      <c r="D3876" s="26" t="str">
        <f t="shared" si="242"/>
        <v/>
      </c>
      <c r="E3876" s="29"/>
      <c r="F3876" s="22"/>
      <c r="G3876" s="22"/>
      <c r="H3876" s="22"/>
      <c r="I3876" s="24"/>
      <c r="J3876" s="24"/>
      <c r="K3876" s="24"/>
      <c r="L3876" s="24"/>
      <c r="M3876" s="27" t="str">
        <f t="shared" si="243"/>
        <v/>
      </c>
      <c r="N3876" s="25"/>
      <c r="O3876" s="22"/>
      <c r="P3876" s="24"/>
      <c r="Q3876" s="26"/>
    </row>
    <row r="3877" spans="1:17" ht="15" x14ac:dyDescent="0.15">
      <c r="A3877" s="22"/>
      <c r="B3877" s="26" t="str">
        <f t="shared" si="240"/>
        <v/>
      </c>
      <c r="C3877" s="26" t="str">
        <f t="shared" si="241"/>
        <v/>
      </c>
      <c r="D3877" s="26" t="str">
        <f t="shared" si="242"/>
        <v/>
      </c>
      <c r="E3877" s="29"/>
      <c r="F3877" s="22"/>
      <c r="G3877" s="22"/>
      <c r="H3877" s="22"/>
      <c r="I3877" s="24"/>
      <c r="J3877" s="24"/>
      <c r="K3877" s="24"/>
      <c r="L3877" s="24"/>
      <c r="M3877" s="27" t="str">
        <f t="shared" si="243"/>
        <v/>
      </c>
      <c r="N3877" s="25"/>
      <c r="O3877" s="22"/>
      <c r="P3877" s="24"/>
      <c r="Q3877" s="26"/>
    </row>
    <row r="3878" spans="1:17" ht="15" x14ac:dyDescent="0.15">
      <c r="A3878" s="22"/>
      <c r="B3878" s="26" t="str">
        <f t="shared" si="240"/>
        <v/>
      </c>
      <c r="C3878" s="26" t="str">
        <f t="shared" si="241"/>
        <v/>
      </c>
      <c r="D3878" s="26" t="str">
        <f t="shared" si="242"/>
        <v/>
      </c>
      <c r="E3878" s="29"/>
      <c r="F3878" s="22"/>
      <c r="G3878" s="22"/>
      <c r="H3878" s="22"/>
      <c r="I3878" s="24"/>
      <c r="J3878" s="24"/>
      <c r="K3878" s="24"/>
      <c r="L3878" s="24"/>
      <c r="M3878" s="27" t="str">
        <f t="shared" si="243"/>
        <v/>
      </c>
      <c r="N3878" s="25"/>
      <c r="O3878" s="22"/>
      <c r="P3878" s="24"/>
      <c r="Q3878" s="26"/>
    </row>
    <row r="3879" spans="1:17" ht="15" x14ac:dyDescent="0.15">
      <c r="A3879" s="22"/>
      <c r="B3879" s="26" t="str">
        <f t="shared" si="240"/>
        <v/>
      </c>
      <c r="C3879" s="26" t="str">
        <f t="shared" si="241"/>
        <v/>
      </c>
      <c r="D3879" s="26" t="str">
        <f t="shared" si="242"/>
        <v/>
      </c>
      <c r="E3879" s="29"/>
      <c r="F3879" s="22"/>
      <c r="G3879" s="22"/>
      <c r="H3879" s="22"/>
      <c r="I3879" s="24"/>
      <c r="J3879" s="24"/>
      <c r="K3879" s="24"/>
      <c r="L3879" s="24"/>
      <c r="M3879" s="27" t="str">
        <f t="shared" si="243"/>
        <v/>
      </c>
      <c r="N3879" s="25"/>
      <c r="O3879" s="22"/>
      <c r="P3879" s="24"/>
      <c r="Q3879" s="26"/>
    </row>
    <row r="3880" spans="1:17" ht="15" x14ac:dyDescent="0.15">
      <c r="A3880" s="22"/>
      <c r="B3880" s="26" t="str">
        <f t="shared" si="240"/>
        <v/>
      </c>
      <c r="C3880" s="26" t="str">
        <f t="shared" si="241"/>
        <v/>
      </c>
      <c r="D3880" s="26" t="str">
        <f t="shared" si="242"/>
        <v/>
      </c>
      <c r="E3880" s="29"/>
      <c r="F3880" s="22"/>
      <c r="G3880" s="22"/>
      <c r="H3880" s="22"/>
      <c r="I3880" s="24"/>
      <c r="J3880" s="24"/>
      <c r="K3880" s="24"/>
      <c r="L3880" s="24"/>
      <c r="M3880" s="27" t="str">
        <f t="shared" si="243"/>
        <v/>
      </c>
      <c r="N3880" s="25"/>
      <c r="O3880" s="22"/>
      <c r="P3880" s="24"/>
      <c r="Q3880" s="26"/>
    </row>
    <row r="3881" spans="1:17" ht="15" x14ac:dyDescent="0.15">
      <c r="A3881" s="22"/>
      <c r="B3881" s="26" t="str">
        <f t="shared" si="240"/>
        <v/>
      </c>
      <c r="C3881" s="26" t="str">
        <f t="shared" si="241"/>
        <v/>
      </c>
      <c r="D3881" s="26" t="str">
        <f t="shared" si="242"/>
        <v/>
      </c>
      <c r="E3881" s="29"/>
      <c r="F3881" s="22"/>
      <c r="G3881" s="22"/>
      <c r="H3881" s="22"/>
      <c r="I3881" s="24"/>
      <c r="J3881" s="24"/>
      <c r="K3881" s="24"/>
      <c r="L3881" s="24"/>
      <c r="M3881" s="27" t="str">
        <f t="shared" si="243"/>
        <v/>
      </c>
      <c r="N3881" s="25"/>
      <c r="O3881" s="22"/>
      <c r="P3881" s="24"/>
      <c r="Q3881" s="26"/>
    </row>
    <row r="3882" spans="1:17" ht="15" x14ac:dyDescent="0.15">
      <c r="A3882" s="22"/>
      <c r="B3882" s="26" t="str">
        <f t="shared" si="240"/>
        <v/>
      </c>
      <c r="C3882" s="26" t="str">
        <f t="shared" si="241"/>
        <v/>
      </c>
      <c r="D3882" s="26" t="str">
        <f t="shared" si="242"/>
        <v/>
      </c>
      <c r="E3882" s="29"/>
      <c r="F3882" s="22"/>
      <c r="G3882" s="22"/>
      <c r="H3882" s="22"/>
      <c r="I3882" s="24"/>
      <c r="J3882" s="24"/>
      <c r="K3882" s="24"/>
      <c r="L3882" s="24"/>
      <c r="M3882" s="27" t="str">
        <f t="shared" si="243"/>
        <v/>
      </c>
      <c r="N3882" s="25"/>
      <c r="O3882" s="22"/>
      <c r="P3882" s="24"/>
      <c r="Q3882" s="26"/>
    </row>
    <row r="3883" spans="1:17" ht="15" x14ac:dyDescent="0.15">
      <c r="A3883" s="22"/>
      <c r="B3883" s="26" t="str">
        <f t="shared" si="240"/>
        <v/>
      </c>
      <c r="C3883" s="26" t="str">
        <f t="shared" si="241"/>
        <v/>
      </c>
      <c r="D3883" s="26" t="str">
        <f t="shared" si="242"/>
        <v/>
      </c>
      <c r="E3883" s="29"/>
      <c r="F3883" s="22"/>
      <c r="G3883" s="22"/>
      <c r="H3883" s="22"/>
      <c r="I3883" s="24"/>
      <c r="J3883" s="24"/>
      <c r="K3883" s="24"/>
      <c r="L3883" s="24"/>
      <c r="M3883" s="27" t="str">
        <f t="shared" si="243"/>
        <v/>
      </c>
      <c r="N3883" s="25"/>
      <c r="O3883" s="22"/>
      <c r="P3883" s="24"/>
      <c r="Q3883" s="26"/>
    </row>
    <row r="3884" spans="1:17" ht="15" x14ac:dyDescent="0.15">
      <c r="A3884" s="22"/>
      <c r="B3884" s="26" t="str">
        <f t="shared" si="240"/>
        <v/>
      </c>
      <c r="C3884" s="26" t="str">
        <f t="shared" si="241"/>
        <v/>
      </c>
      <c r="D3884" s="26" t="str">
        <f t="shared" si="242"/>
        <v/>
      </c>
      <c r="E3884" s="29"/>
      <c r="F3884" s="22"/>
      <c r="G3884" s="22"/>
      <c r="H3884" s="22"/>
      <c r="I3884" s="24"/>
      <c r="J3884" s="24"/>
      <c r="K3884" s="24"/>
      <c r="L3884" s="24"/>
      <c r="M3884" s="27" t="str">
        <f t="shared" si="243"/>
        <v/>
      </c>
      <c r="N3884" s="25"/>
      <c r="O3884" s="22"/>
      <c r="P3884" s="24"/>
      <c r="Q3884" s="26"/>
    </row>
    <row r="3885" spans="1:17" ht="15" x14ac:dyDescent="0.15">
      <c r="A3885" s="22"/>
      <c r="B3885" s="26" t="str">
        <f t="shared" si="240"/>
        <v/>
      </c>
      <c r="C3885" s="26" t="str">
        <f t="shared" si="241"/>
        <v/>
      </c>
      <c r="D3885" s="26" t="str">
        <f t="shared" si="242"/>
        <v/>
      </c>
      <c r="E3885" s="29"/>
      <c r="F3885" s="22"/>
      <c r="G3885" s="22"/>
      <c r="H3885" s="22"/>
      <c r="I3885" s="24"/>
      <c r="J3885" s="24"/>
      <c r="K3885" s="24"/>
      <c r="L3885" s="24"/>
      <c r="M3885" s="27" t="str">
        <f t="shared" si="243"/>
        <v/>
      </c>
      <c r="N3885" s="25"/>
      <c r="O3885" s="22"/>
      <c r="P3885" s="24"/>
      <c r="Q3885" s="26"/>
    </row>
    <row r="3886" spans="1:17" ht="15" x14ac:dyDescent="0.15">
      <c r="A3886" s="22"/>
      <c r="B3886" s="26" t="str">
        <f t="shared" si="240"/>
        <v/>
      </c>
      <c r="C3886" s="26" t="str">
        <f t="shared" si="241"/>
        <v/>
      </c>
      <c r="D3886" s="26" t="str">
        <f t="shared" si="242"/>
        <v/>
      </c>
      <c r="E3886" s="29"/>
      <c r="F3886" s="22"/>
      <c r="G3886" s="22"/>
      <c r="H3886" s="22"/>
      <c r="I3886" s="24"/>
      <c r="J3886" s="24"/>
      <c r="K3886" s="24"/>
      <c r="L3886" s="24"/>
      <c r="M3886" s="27" t="str">
        <f t="shared" si="243"/>
        <v/>
      </c>
      <c r="N3886" s="25"/>
      <c r="O3886" s="22"/>
      <c r="P3886" s="24"/>
      <c r="Q3886" s="26"/>
    </row>
    <row r="3887" spans="1:17" ht="15" x14ac:dyDescent="0.15">
      <c r="A3887" s="22"/>
      <c r="B3887" s="26" t="str">
        <f t="shared" si="240"/>
        <v/>
      </c>
      <c r="C3887" s="26" t="str">
        <f t="shared" si="241"/>
        <v/>
      </c>
      <c r="D3887" s="26" t="str">
        <f t="shared" si="242"/>
        <v/>
      </c>
      <c r="E3887" s="29"/>
      <c r="F3887" s="22"/>
      <c r="G3887" s="22"/>
      <c r="H3887" s="22"/>
      <c r="I3887" s="24"/>
      <c r="J3887" s="24"/>
      <c r="K3887" s="24"/>
      <c r="L3887" s="24"/>
      <c r="M3887" s="27" t="str">
        <f t="shared" si="243"/>
        <v/>
      </c>
      <c r="N3887" s="25"/>
      <c r="O3887" s="22"/>
      <c r="P3887" s="24"/>
      <c r="Q3887" s="26"/>
    </row>
    <row r="3888" spans="1:17" ht="15" x14ac:dyDescent="0.15">
      <c r="A3888" s="22"/>
      <c r="B3888" s="26" t="str">
        <f t="shared" si="240"/>
        <v/>
      </c>
      <c r="C3888" s="26" t="str">
        <f t="shared" si="241"/>
        <v/>
      </c>
      <c r="D3888" s="26" t="str">
        <f t="shared" si="242"/>
        <v/>
      </c>
      <c r="E3888" s="29"/>
      <c r="F3888" s="22"/>
      <c r="G3888" s="22"/>
      <c r="H3888" s="22"/>
      <c r="I3888" s="24"/>
      <c r="J3888" s="24"/>
      <c r="K3888" s="24"/>
      <c r="L3888" s="24"/>
      <c r="M3888" s="27" t="str">
        <f t="shared" si="243"/>
        <v/>
      </c>
      <c r="N3888" s="25"/>
      <c r="O3888" s="22"/>
      <c r="P3888" s="24"/>
      <c r="Q3888" s="26"/>
    </row>
    <row r="3889" spans="1:17" ht="15" x14ac:dyDescent="0.15">
      <c r="A3889" s="22"/>
      <c r="B3889" s="26" t="str">
        <f t="shared" si="240"/>
        <v/>
      </c>
      <c r="C3889" s="26" t="str">
        <f t="shared" si="241"/>
        <v/>
      </c>
      <c r="D3889" s="26" t="str">
        <f t="shared" si="242"/>
        <v/>
      </c>
      <c r="E3889" s="29"/>
      <c r="F3889" s="22"/>
      <c r="G3889" s="22"/>
      <c r="H3889" s="22"/>
      <c r="I3889" s="24"/>
      <c r="J3889" s="24"/>
      <c r="K3889" s="24"/>
      <c r="L3889" s="24"/>
      <c r="M3889" s="27" t="str">
        <f t="shared" si="243"/>
        <v/>
      </c>
      <c r="N3889" s="25"/>
      <c r="O3889" s="22"/>
      <c r="P3889" s="24"/>
      <c r="Q3889" s="26"/>
    </row>
    <row r="3890" spans="1:17" ht="15" x14ac:dyDescent="0.15">
      <c r="A3890" s="22"/>
      <c r="B3890" s="26" t="str">
        <f t="shared" si="240"/>
        <v/>
      </c>
      <c r="C3890" s="26" t="str">
        <f t="shared" si="241"/>
        <v/>
      </c>
      <c r="D3890" s="26" t="str">
        <f t="shared" si="242"/>
        <v/>
      </c>
      <c r="E3890" s="29"/>
      <c r="F3890" s="22"/>
      <c r="G3890" s="22"/>
      <c r="H3890" s="22"/>
      <c r="I3890" s="24"/>
      <c r="J3890" s="24"/>
      <c r="K3890" s="24"/>
      <c r="L3890" s="24"/>
      <c r="M3890" s="27" t="str">
        <f t="shared" si="243"/>
        <v/>
      </c>
      <c r="N3890" s="25"/>
      <c r="O3890" s="22"/>
      <c r="P3890" s="24"/>
      <c r="Q3890" s="26"/>
    </row>
    <row r="3891" spans="1:17" ht="15" x14ac:dyDescent="0.15">
      <c r="A3891" s="22"/>
      <c r="B3891" s="26" t="str">
        <f t="shared" si="240"/>
        <v/>
      </c>
      <c r="C3891" s="26" t="str">
        <f t="shared" si="241"/>
        <v/>
      </c>
      <c r="D3891" s="26" t="str">
        <f t="shared" si="242"/>
        <v/>
      </c>
      <c r="E3891" s="29"/>
      <c r="F3891" s="22"/>
      <c r="G3891" s="22"/>
      <c r="H3891" s="22"/>
      <c r="I3891" s="24"/>
      <c r="J3891" s="24"/>
      <c r="K3891" s="24"/>
      <c r="L3891" s="24"/>
      <c r="M3891" s="27" t="str">
        <f t="shared" si="243"/>
        <v/>
      </c>
      <c r="N3891" s="25"/>
      <c r="O3891" s="22"/>
      <c r="P3891" s="24"/>
      <c r="Q3891" s="26"/>
    </row>
    <row r="3892" spans="1:17" ht="15" x14ac:dyDescent="0.15">
      <c r="A3892" s="22"/>
      <c r="B3892" s="26" t="str">
        <f t="shared" si="240"/>
        <v/>
      </c>
      <c r="C3892" s="26" t="str">
        <f t="shared" si="241"/>
        <v/>
      </c>
      <c r="D3892" s="26" t="str">
        <f t="shared" si="242"/>
        <v/>
      </c>
      <c r="E3892" s="29"/>
      <c r="F3892" s="22"/>
      <c r="G3892" s="22"/>
      <c r="H3892" s="22"/>
      <c r="I3892" s="24"/>
      <c r="J3892" s="24"/>
      <c r="K3892" s="24"/>
      <c r="L3892" s="24"/>
      <c r="M3892" s="27" t="str">
        <f t="shared" si="243"/>
        <v/>
      </c>
      <c r="N3892" s="25"/>
      <c r="O3892" s="22"/>
      <c r="P3892" s="24"/>
      <c r="Q3892" s="26"/>
    </row>
    <row r="3893" spans="1:17" ht="15" x14ac:dyDescent="0.15">
      <c r="A3893" s="22"/>
      <c r="B3893" s="26" t="str">
        <f t="shared" si="240"/>
        <v/>
      </c>
      <c r="C3893" s="26" t="str">
        <f t="shared" si="241"/>
        <v/>
      </c>
      <c r="D3893" s="26" t="str">
        <f t="shared" si="242"/>
        <v/>
      </c>
      <c r="E3893" s="29"/>
      <c r="F3893" s="22"/>
      <c r="G3893" s="22"/>
      <c r="H3893" s="22"/>
      <c r="I3893" s="24"/>
      <c r="J3893" s="24"/>
      <c r="K3893" s="24"/>
      <c r="L3893" s="24"/>
      <c r="M3893" s="27" t="str">
        <f t="shared" si="243"/>
        <v/>
      </c>
      <c r="N3893" s="25"/>
      <c r="O3893" s="22"/>
      <c r="P3893" s="24"/>
      <c r="Q3893" s="26"/>
    </row>
    <row r="3894" spans="1:17" ht="15" x14ac:dyDescent="0.15">
      <c r="A3894" s="22"/>
      <c r="B3894" s="26" t="str">
        <f t="shared" si="240"/>
        <v/>
      </c>
      <c r="C3894" s="26" t="str">
        <f t="shared" si="241"/>
        <v/>
      </c>
      <c r="D3894" s="26" t="str">
        <f t="shared" si="242"/>
        <v/>
      </c>
      <c r="E3894" s="29"/>
      <c r="F3894" s="22"/>
      <c r="G3894" s="22"/>
      <c r="H3894" s="22"/>
      <c r="I3894" s="24"/>
      <c r="J3894" s="24"/>
      <c r="K3894" s="24"/>
      <c r="L3894" s="24"/>
      <c r="M3894" s="27" t="str">
        <f t="shared" si="243"/>
        <v/>
      </c>
      <c r="N3894" s="25"/>
      <c r="O3894" s="22"/>
      <c r="P3894" s="24"/>
      <c r="Q3894" s="26"/>
    </row>
    <row r="3895" spans="1:17" ht="15" x14ac:dyDescent="0.15">
      <c r="A3895" s="22"/>
      <c r="B3895" s="26" t="str">
        <f t="shared" si="240"/>
        <v/>
      </c>
      <c r="C3895" s="26" t="str">
        <f t="shared" si="241"/>
        <v/>
      </c>
      <c r="D3895" s="26" t="str">
        <f t="shared" si="242"/>
        <v/>
      </c>
      <c r="E3895" s="29"/>
      <c r="F3895" s="22"/>
      <c r="G3895" s="22"/>
      <c r="H3895" s="22"/>
      <c r="I3895" s="24"/>
      <c r="J3895" s="24"/>
      <c r="K3895" s="24"/>
      <c r="L3895" s="24"/>
      <c r="M3895" s="27" t="str">
        <f t="shared" si="243"/>
        <v/>
      </c>
      <c r="N3895" s="25"/>
      <c r="O3895" s="22"/>
      <c r="P3895" s="24"/>
      <c r="Q3895" s="26"/>
    </row>
    <row r="3896" spans="1:17" ht="15" x14ac:dyDescent="0.15">
      <c r="A3896" s="22"/>
      <c r="B3896" s="26" t="str">
        <f t="shared" si="240"/>
        <v/>
      </c>
      <c r="C3896" s="26" t="str">
        <f t="shared" si="241"/>
        <v/>
      </c>
      <c r="D3896" s="26" t="str">
        <f t="shared" si="242"/>
        <v/>
      </c>
      <c r="E3896" s="29"/>
      <c r="F3896" s="22"/>
      <c r="G3896" s="22"/>
      <c r="H3896" s="22"/>
      <c r="I3896" s="24"/>
      <c r="J3896" s="24"/>
      <c r="K3896" s="24"/>
      <c r="L3896" s="24"/>
      <c r="M3896" s="27" t="str">
        <f t="shared" si="243"/>
        <v/>
      </c>
      <c r="N3896" s="25"/>
      <c r="O3896" s="22"/>
      <c r="P3896" s="24"/>
      <c r="Q3896" s="26"/>
    </row>
    <row r="3897" spans="1:17" ht="15" x14ac:dyDescent="0.15">
      <c r="A3897" s="22"/>
      <c r="B3897" s="26" t="str">
        <f t="shared" si="240"/>
        <v/>
      </c>
      <c r="C3897" s="26" t="str">
        <f t="shared" si="241"/>
        <v/>
      </c>
      <c r="D3897" s="26" t="str">
        <f t="shared" si="242"/>
        <v/>
      </c>
      <c r="E3897" s="29"/>
      <c r="F3897" s="22"/>
      <c r="G3897" s="22"/>
      <c r="H3897" s="22"/>
      <c r="I3897" s="24"/>
      <c r="J3897" s="24"/>
      <c r="K3897" s="24"/>
      <c r="L3897" s="24"/>
      <c r="M3897" s="27" t="str">
        <f t="shared" si="243"/>
        <v/>
      </c>
      <c r="N3897" s="25"/>
      <c r="O3897" s="22"/>
      <c r="P3897" s="24"/>
      <c r="Q3897" s="26"/>
    </row>
    <row r="3898" spans="1:17" ht="15" x14ac:dyDescent="0.15">
      <c r="A3898" s="22"/>
      <c r="B3898" s="26" t="str">
        <f t="shared" si="240"/>
        <v/>
      </c>
      <c r="C3898" s="26" t="str">
        <f t="shared" si="241"/>
        <v/>
      </c>
      <c r="D3898" s="26" t="str">
        <f t="shared" si="242"/>
        <v/>
      </c>
      <c r="E3898" s="29"/>
      <c r="F3898" s="22"/>
      <c r="G3898" s="22"/>
      <c r="H3898" s="22"/>
      <c r="I3898" s="24"/>
      <c r="J3898" s="24"/>
      <c r="K3898" s="24"/>
      <c r="L3898" s="24"/>
      <c r="M3898" s="27" t="str">
        <f t="shared" si="243"/>
        <v/>
      </c>
      <c r="N3898" s="25"/>
      <c r="O3898" s="22"/>
      <c r="P3898" s="24"/>
      <c r="Q3898" s="26"/>
    </row>
    <row r="3899" spans="1:17" ht="15" x14ac:dyDescent="0.15">
      <c r="A3899" s="22"/>
      <c r="B3899" s="26" t="str">
        <f t="shared" si="240"/>
        <v/>
      </c>
      <c r="C3899" s="26" t="str">
        <f t="shared" si="241"/>
        <v/>
      </c>
      <c r="D3899" s="26" t="str">
        <f t="shared" si="242"/>
        <v/>
      </c>
      <c r="E3899" s="29"/>
      <c r="F3899" s="22"/>
      <c r="G3899" s="22"/>
      <c r="H3899" s="22"/>
      <c r="I3899" s="24"/>
      <c r="J3899" s="24"/>
      <c r="K3899" s="24"/>
      <c r="L3899" s="24"/>
      <c r="M3899" s="27" t="str">
        <f t="shared" si="243"/>
        <v/>
      </c>
      <c r="N3899" s="25"/>
      <c r="O3899" s="22"/>
      <c r="P3899" s="24"/>
      <c r="Q3899" s="26"/>
    </row>
    <row r="3900" spans="1:17" ht="15" x14ac:dyDescent="0.15">
      <c r="A3900" s="22"/>
      <c r="B3900" s="26" t="str">
        <f t="shared" si="240"/>
        <v/>
      </c>
      <c r="C3900" s="26" t="str">
        <f t="shared" si="241"/>
        <v/>
      </c>
      <c r="D3900" s="26" t="str">
        <f t="shared" si="242"/>
        <v/>
      </c>
      <c r="E3900" s="29"/>
      <c r="F3900" s="22"/>
      <c r="G3900" s="22"/>
      <c r="H3900" s="22"/>
      <c r="I3900" s="24"/>
      <c r="J3900" s="24"/>
      <c r="K3900" s="24"/>
      <c r="L3900" s="24"/>
      <c r="M3900" s="27" t="str">
        <f t="shared" si="243"/>
        <v/>
      </c>
      <c r="N3900" s="25"/>
      <c r="O3900" s="22"/>
      <c r="P3900" s="24"/>
      <c r="Q3900" s="26"/>
    </row>
    <row r="3901" spans="1:17" ht="15" x14ac:dyDescent="0.15">
      <c r="A3901" s="22"/>
      <c r="B3901" s="26" t="str">
        <f t="shared" si="240"/>
        <v/>
      </c>
      <c r="C3901" s="26" t="str">
        <f t="shared" si="241"/>
        <v/>
      </c>
      <c r="D3901" s="26" t="str">
        <f t="shared" si="242"/>
        <v/>
      </c>
      <c r="E3901" s="29"/>
      <c r="F3901" s="22"/>
      <c r="G3901" s="22"/>
      <c r="H3901" s="22"/>
      <c r="I3901" s="24"/>
      <c r="J3901" s="24"/>
      <c r="K3901" s="24"/>
      <c r="L3901" s="24"/>
      <c r="M3901" s="27" t="str">
        <f t="shared" si="243"/>
        <v/>
      </c>
      <c r="N3901" s="25"/>
      <c r="O3901" s="22"/>
      <c r="P3901" s="24"/>
      <c r="Q3901" s="26"/>
    </row>
    <row r="3902" spans="1:17" ht="15" x14ac:dyDescent="0.15">
      <c r="A3902" s="22"/>
      <c r="B3902" s="26" t="str">
        <f t="shared" si="240"/>
        <v/>
      </c>
      <c r="C3902" s="26" t="str">
        <f t="shared" si="241"/>
        <v/>
      </c>
      <c r="D3902" s="26" t="str">
        <f t="shared" si="242"/>
        <v/>
      </c>
      <c r="E3902" s="29"/>
      <c r="F3902" s="22"/>
      <c r="G3902" s="22"/>
      <c r="H3902" s="22"/>
      <c r="I3902" s="24"/>
      <c r="J3902" s="24"/>
      <c r="K3902" s="24"/>
      <c r="L3902" s="24"/>
      <c r="M3902" s="27" t="str">
        <f t="shared" si="243"/>
        <v/>
      </c>
      <c r="N3902" s="25"/>
      <c r="O3902" s="22"/>
      <c r="P3902" s="24"/>
      <c r="Q3902" s="26"/>
    </row>
    <row r="3903" spans="1:17" ht="15" x14ac:dyDescent="0.15">
      <c r="A3903" s="22"/>
      <c r="B3903" s="26" t="str">
        <f t="shared" si="240"/>
        <v/>
      </c>
      <c r="C3903" s="26" t="str">
        <f t="shared" si="241"/>
        <v/>
      </c>
      <c r="D3903" s="26" t="str">
        <f t="shared" si="242"/>
        <v/>
      </c>
      <c r="E3903" s="29"/>
      <c r="F3903" s="22"/>
      <c r="G3903" s="22"/>
      <c r="H3903" s="22"/>
      <c r="I3903" s="24"/>
      <c r="J3903" s="24"/>
      <c r="K3903" s="24"/>
      <c r="L3903" s="24"/>
      <c r="M3903" s="27" t="str">
        <f t="shared" si="243"/>
        <v/>
      </c>
      <c r="N3903" s="25"/>
      <c r="O3903" s="22"/>
      <c r="P3903" s="24"/>
      <c r="Q3903" s="26"/>
    </row>
    <row r="3904" spans="1:17" ht="15" x14ac:dyDescent="0.15">
      <c r="A3904" s="22"/>
      <c r="B3904" s="26" t="str">
        <f t="shared" si="240"/>
        <v/>
      </c>
      <c r="C3904" s="26" t="str">
        <f t="shared" si="241"/>
        <v/>
      </c>
      <c r="D3904" s="26" t="str">
        <f t="shared" si="242"/>
        <v/>
      </c>
      <c r="E3904" s="29"/>
      <c r="F3904" s="22"/>
      <c r="G3904" s="22"/>
      <c r="H3904" s="22"/>
      <c r="I3904" s="24"/>
      <c r="J3904" s="24"/>
      <c r="K3904" s="24"/>
      <c r="L3904" s="24"/>
      <c r="M3904" s="27" t="str">
        <f t="shared" si="243"/>
        <v/>
      </c>
      <c r="N3904" s="25"/>
      <c r="O3904" s="22"/>
      <c r="P3904" s="24"/>
      <c r="Q3904" s="26"/>
    </row>
    <row r="3905" spans="1:17" ht="15" x14ac:dyDescent="0.15">
      <c r="A3905" s="22"/>
      <c r="B3905" s="26" t="str">
        <f t="shared" si="240"/>
        <v/>
      </c>
      <c r="C3905" s="26" t="str">
        <f t="shared" si="241"/>
        <v/>
      </c>
      <c r="D3905" s="26" t="str">
        <f t="shared" si="242"/>
        <v/>
      </c>
      <c r="E3905" s="29"/>
      <c r="F3905" s="22"/>
      <c r="G3905" s="22"/>
      <c r="H3905" s="22"/>
      <c r="I3905" s="24"/>
      <c r="J3905" s="24"/>
      <c r="K3905" s="24"/>
      <c r="L3905" s="24"/>
      <c r="M3905" s="27" t="str">
        <f t="shared" si="243"/>
        <v/>
      </c>
      <c r="N3905" s="25"/>
      <c r="O3905" s="22"/>
      <c r="P3905" s="24"/>
      <c r="Q3905" s="26"/>
    </row>
    <row r="3906" spans="1:17" ht="15" x14ac:dyDescent="0.15">
      <c r="A3906" s="22"/>
      <c r="B3906" s="26" t="str">
        <f t="shared" si="240"/>
        <v/>
      </c>
      <c r="C3906" s="26" t="str">
        <f t="shared" si="241"/>
        <v/>
      </c>
      <c r="D3906" s="26" t="str">
        <f t="shared" si="242"/>
        <v/>
      </c>
      <c r="E3906" s="29"/>
      <c r="F3906" s="22"/>
      <c r="G3906" s="22"/>
      <c r="H3906" s="22"/>
      <c r="I3906" s="24"/>
      <c r="J3906" s="24"/>
      <c r="K3906" s="24"/>
      <c r="L3906" s="24"/>
      <c r="M3906" s="27" t="str">
        <f t="shared" si="243"/>
        <v/>
      </c>
      <c r="N3906" s="25"/>
      <c r="O3906" s="22"/>
      <c r="P3906" s="24"/>
      <c r="Q3906" s="26"/>
    </row>
    <row r="3907" spans="1:17" ht="15" x14ac:dyDescent="0.15">
      <c r="A3907" s="22"/>
      <c r="B3907" s="26" t="str">
        <f t="shared" si="240"/>
        <v/>
      </c>
      <c r="C3907" s="26" t="str">
        <f t="shared" si="241"/>
        <v/>
      </c>
      <c r="D3907" s="26" t="str">
        <f t="shared" si="242"/>
        <v/>
      </c>
      <c r="E3907" s="29"/>
      <c r="F3907" s="22"/>
      <c r="G3907" s="22"/>
      <c r="H3907" s="22"/>
      <c r="I3907" s="24"/>
      <c r="J3907" s="24"/>
      <c r="K3907" s="24"/>
      <c r="L3907" s="24"/>
      <c r="M3907" s="27" t="str">
        <f t="shared" si="243"/>
        <v/>
      </c>
      <c r="N3907" s="25"/>
      <c r="O3907" s="22"/>
      <c r="P3907" s="24"/>
      <c r="Q3907" s="26"/>
    </row>
    <row r="3908" spans="1:17" ht="15" x14ac:dyDescent="0.15">
      <c r="A3908" s="22"/>
      <c r="B3908" s="26" t="str">
        <f t="shared" si="240"/>
        <v/>
      </c>
      <c r="C3908" s="26" t="str">
        <f t="shared" si="241"/>
        <v/>
      </c>
      <c r="D3908" s="26" t="str">
        <f t="shared" si="242"/>
        <v/>
      </c>
      <c r="E3908" s="29"/>
      <c r="F3908" s="22"/>
      <c r="G3908" s="22"/>
      <c r="H3908" s="22"/>
      <c r="I3908" s="24"/>
      <c r="J3908" s="24"/>
      <c r="K3908" s="24"/>
      <c r="L3908" s="24"/>
      <c r="M3908" s="27" t="str">
        <f t="shared" si="243"/>
        <v/>
      </c>
      <c r="N3908" s="25"/>
      <c r="O3908" s="22"/>
      <c r="P3908" s="24"/>
      <c r="Q3908" s="26"/>
    </row>
    <row r="3909" spans="1:17" ht="15" x14ac:dyDescent="0.15">
      <c r="A3909" s="22"/>
      <c r="B3909" s="26" t="str">
        <f t="shared" si="240"/>
        <v/>
      </c>
      <c r="C3909" s="26" t="str">
        <f t="shared" si="241"/>
        <v/>
      </c>
      <c r="D3909" s="26" t="str">
        <f t="shared" si="242"/>
        <v/>
      </c>
      <c r="E3909" s="29"/>
      <c r="F3909" s="22"/>
      <c r="G3909" s="22"/>
      <c r="H3909" s="22"/>
      <c r="I3909" s="24"/>
      <c r="J3909" s="24"/>
      <c r="K3909" s="24"/>
      <c r="L3909" s="24"/>
      <c r="M3909" s="27" t="str">
        <f t="shared" si="243"/>
        <v/>
      </c>
      <c r="N3909" s="25"/>
      <c r="O3909" s="22"/>
      <c r="P3909" s="24"/>
      <c r="Q3909" s="26"/>
    </row>
    <row r="3910" spans="1:17" ht="15" x14ac:dyDescent="0.15">
      <c r="A3910" s="22"/>
      <c r="B3910" s="26" t="str">
        <f t="shared" si="240"/>
        <v/>
      </c>
      <c r="C3910" s="26" t="str">
        <f t="shared" si="241"/>
        <v/>
      </c>
      <c r="D3910" s="26" t="str">
        <f t="shared" si="242"/>
        <v/>
      </c>
      <c r="E3910" s="29"/>
      <c r="F3910" s="22"/>
      <c r="G3910" s="22"/>
      <c r="H3910" s="22"/>
      <c r="I3910" s="24"/>
      <c r="J3910" s="24"/>
      <c r="K3910" s="24"/>
      <c r="L3910" s="24"/>
      <c r="M3910" s="27" t="str">
        <f t="shared" si="243"/>
        <v/>
      </c>
      <c r="N3910" s="25"/>
      <c r="O3910" s="22"/>
      <c r="P3910" s="24"/>
      <c r="Q3910" s="26"/>
    </row>
    <row r="3911" spans="1:17" ht="15" x14ac:dyDescent="0.15">
      <c r="A3911" s="22"/>
      <c r="B3911" s="26" t="str">
        <f t="shared" ref="B3911:B3974" si="244">IFERROR(IF($A3911="","",LEFT($A3911,FIND(" | ",$A3911)-1)),"")</f>
        <v/>
      </c>
      <c r="C3911" s="26" t="str">
        <f t="shared" ref="C3911:C3974" si="245">IFERROR(IF($A3911="","",MID($A3911,FIND(" | ",$A3911)+3,FIND(" | ",$A3911,FIND(" | ",$A3911)+3)-FIND(" | ",$A3911)-3)),"")</f>
        <v/>
      </c>
      <c r="D3911" s="26" t="str">
        <f t="shared" ref="D3911:D3974" si="246">IFERROR(IF($A3911="","",RIGHT($A3911,LEN($A3911)-FIND(" | ",$A3911,FIND(" | ",$A3911)+3)-2)),"")</f>
        <v/>
      </c>
      <c r="E3911" s="29"/>
      <c r="F3911" s="22"/>
      <c r="G3911" s="22"/>
      <c r="H3911" s="22"/>
      <c r="I3911" s="24"/>
      <c r="J3911" s="24"/>
      <c r="K3911" s="24"/>
      <c r="L3911" s="24"/>
      <c r="M3911" s="27" t="str">
        <f t="shared" ref="M3911:M3974" si="247">IF($B3911="","",SUM($J3911,-$K3911,$L3911))</f>
        <v/>
      </c>
      <c r="N3911" s="25"/>
      <c r="O3911" s="22"/>
      <c r="P3911" s="24"/>
      <c r="Q3911" s="26"/>
    </row>
    <row r="3912" spans="1:17" ht="15" x14ac:dyDescent="0.15">
      <c r="A3912" s="22"/>
      <c r="B3912" s="26" t="str">
        <f t="shared" si="244"/>
        <v/>
      </c>
      <c r="C3912" s="26" t="str">
        <f t="shared" si="245"/>
        <v/>
      </c>
      <c r="D3912" s="26" t="str">
        <f t="shared" si="246"/>
        <v/>
      </c>
      <c r="E3912" s="29"/>
      <c r="F3912" s="22"/>
      <c r="G3912" s="22"/>
      <c r="H3912" s="22"/>
      <c r="I3912" s="24"/>
      <c r="J3912" s="24"/>
      <c r="K3912" s="24"/>
      <c r="L3912" s="24"/>
      <c r="M3912" s="27" t="str">
        <f t="shared" si="247"/>
        <v/>
      </c>
      <c r="N3912" s="25"/>
      <c r="O3912" s="22"/>
      <c r="P3912" s="24"/>
      <c r="Q3912" s="26"/>
    </row>
    <row r="3913" spans="1:17" ht="15" x14ac:dyDescent="0.15">
      <c r="A3913" s="22"/>
      <c r="B3913" s="26" t="str">
        <f t="shared" si="244"/>
        <v/>
      </c>
      <c r="C3913" s="26" t="str">
        <f t="shared" si="245"/>
        <v/>
      </c>
      <c r="D3913" s="26" t="str">
        <f t="shared" si="246"/>
        <v/>
      </c>
      <c r="E3913" s="29"/>
      <c r="F3913" s="22"/>
      <c r="G3913" s="22"/>
      <c r="H3913" s="22"/>
      <c r="I3913" s="24"/>
      <c r="J3913" s="24"/>
      <c r="K3913" s="24"/>
      <c r="L3913" s="24"/>
      <c r="M3913" s="27" t="str">
        <f t="shared" si="247"/>
        <v/>
      </c>
      <c r="N3913" s="25"/>
      <c r="O3913" s="22"/>
      <c r="P3913" s="24"/>
      <c r="Q3913" s="26"/>
    </row>
    <row r="3914" spans="1:17" ht="15" x14ac:dyDescent="0.15">
      <c r="A3914" s="22"/>
      <c r="B3914" s="26" t="str">
        <f t="shared" si="244"/>
        <v/>
      </c>
      <c r="C3914" s="26" t="str">
        <f t="shared" si="245"/>
        <v/>
      </c>
      <c r="D3914" s="26" t="str">
        <f t="shared" si="246"/>
        <v/>
      </c>
      <c r="E3914" s="29"/>
      <c r="F3914" s="22"/>
      <c r="G3914" s="22"/>
      <c r="H3914" s="22"/>
      <c r="I3914" s="24"/>
      <c r="J3914" s="24"/>
      <c r="K3914" s="24"/>
      <c r="L3914" s="24"/>
      <c r="M3914" s="27" t="str">
        <f t="shared" si="247"/>
        <v/>
      </c>
      <c r="N3914" s="25"/>
      <c r="O3914" s="22"/>
      <c r="P3914" s="24"/>
      <c r="Q3914" s="26"/>
    </row>
    <row r="3915" spans="1:17" ht="15" x14ac:dyDescent="0.15">
      <c r="A3915" s="22"/>
      <c r="B3915" s="26" t="str">
        <f t="shared" si="244"/>
        <v/>
      </c>
      <c r="C3915" s="26" t="str">
        <f t="shared" si="245"/>
        <v/>
      </c>
      <c r="D3915" s="26" t="str">
        <f t="shared" si="246"/>
        <v/>
      </c>
      <c r="E3915" s="29"/>
      <c r="F3915" s="22"/>
      <c r="G3915" s="22"/>
      <c r="H3915" s="22"/>
      <c r="I3915" s="24"/>
      <c r="J3915" s="24"/>
      <c r="K3915" s="24"/>
      <c r="L3915" s="24"/>
      <c r="M3915" s="27" t="str">
        <f t="shared" si="247"/>
        <v/>
      </c>
      <c r="N3915" s="25"/>
      <c r="O3915" s="22"/>
      <c r="P3915" s="24"/>
      <c r="Q3915" s="26"/>
    </row>
    <row r="3916" spans="1:17" ht="15" x14ac:dyDescent="0.15">
      <c r="A3916" s="22"/>
      <c r="B3916" s="26" t="str">
        <f t="shared" si="244"/>
        <v/>
      </c>
      <c r="C3916" s="26" t="str">
        <f t="shared" si="245"/>
        <v/>
      </c>
      <c r="D3916" s="26" t="str">
        <f t="shared" si="246"/>
        <v/>
      </c>
      <c r="E3916" s="29"/>
      <c r="F3916" s="22"/>
      <c r="G3916" s="22"/>
      <c r="H3916" s="22"/>
      <c r="I3916" s="24"/>
      <c r="J3916" s="24"/>
      <c r="K3916" s="24"/>
      <c r="L3916" s="24"/>
      <c r="M3916" s="27" t="str">
        <f t="shared" si="247"/>
        <v/>
      </c>
      <c r="N3916" s="25"/>
      <c r="O3916" s="22"/>
      <c r="P3916" s="24"/>
      <c r="Q3916" s="26"/>
    </row>
    <row r="3917" spans="1:17" ht="15" x14ac:dyDescent="0.15">
      <c r="A3917" s="22"/>
      <c r="B3917" s="26" t="str">
        <f t="shared" si="244"/>
        <v/>
      </c>
      <c r="C3917" s="26" t="str">
        <f t="shared" si="245"/>
        <v/>
      </c>
      <c r="D3917" s="26" t="str">
        <f t="shared" si="246"/>
        <v/>
      </c>
      <c r="E3917" s="29"/>
      <c r="F3917" s="22"/>
      <c r="G3917" s="22"/>
      <c r="H3917" s="22"/>
      <c r="I3917" s="24"/>
      <c r="J3917" s="24"/>
      <c r="K3917" s="24"/>
      <c r="L3917" s="24"/>
      <c r="M3917" s="27" t="str">
        <f t="shared" si="247"/>
        <v/>
      </c>
      <c r="N3917" s="25"/>
      <c r="O3917" s="22"/>
      <c r="P3917" s="24"/>
      <c r="Q3917" s="26"/>
    </row>
    <row r="3918" spans="1:17" ht="15" x14ac:dyDescent="0.15">
      <c r="A3918" s="22"/>
      <c r="B3918" s="26" t="str">
        <f t="shared" si="244"/>
        <v/>
      </c>
      <c r="C3918" s="26" t="str">
        <f t="shared" si="245"/>
        <v/>
      </c>
      <c r="D3918" s="26" t="str">
        <f t="shared" si="246"/>
        <v/>
      </c>
      <c r="E3918" s="29"/>
      <c r="F3918" s="22"/>
      <c r="G3918" s="22"/>
      <c r="H3918" s="22"/>
      <c r="I3918" s="24"/>
      <c r="J3918" s="24"/>
      <c r="K3918" s="24"/>
      <c r="L3918" s="24"/>
      <c r="M3918" s="27" t="str">
        <f t="shared" si="247"/>
        <v/>
      </c>
      <c r="N3918" s="25"/>
      <c r="O3918" s="22"/>
      <c r="P3918" s="24"/>
      <c r="Q3918" s="26"/>
    </row>
    <row r="3919" spans="1:17" ht="15" x14ac:dyDescent="0.15">
      <c r="A3919" s="22"/>
      <c r="B3919" s="26" t="str">
        <f t="shared" si="244"/>
        <v/>
      </c>
      <c r="C3919" s="26" t="str">
        <f t="shared" si="245"/>
        <v/>
      </c>
      <c r="D3919" s="26" t="str">
        <f t="shared" si="246"/>
        <v/>
      </c>
      <c r="E3919" s="29"/>
      <c r="F3919" s="22"/>
      <c r="G3919" s="22"/>
      <c r="H3919" s="22"/>
      <c r="I3919" s="24"/>
      <c r="J3919" s="24"/>
      <c r="K3919" s="24"/>
      <c r="L3919" s="24"/>
      <c r="M3919" s="27" t="str">
        <f t="shared" si="247"/>
        <v/>
      </c>
      <c r="N3919" s="25"/>
      <c r="O3919" s="22"/>
      <c r="P3919" s="24"/>
      <c r="Q3919" s="26"/>
    </row>
    <row r="3920" spans="1:17" ht="15" x14ac:dyDescent="0.15">
      <c r="A3920" s="22"/>
      <c r="B3920" s="26" t="str">
        <f t="shared" si="244"/>
        <v/>
      </c>
      <c r="C3920" s="26" t="str">
        <f t="shared" si="245"/>
        <v/>
      </c>
      <c r="D3920" s="26" t="str">
        <f t="shared" si="246"/>
        <v/>
      </c>
      <c r="E3920" s="29"/>
      <c r="F3920" s="22"/>
      <c r="G3920" s="22"/>
      <c r="H3920" s="22"/>
      <c r="I3920" s="24"/>
      <c r="J3920" s="24"/>
      <c r="K3920" s="24"/>
      <c r="L3920" s="24"/>
      <c r="M3920" s="27" t="str">
        <f t="shared" si="247"/>
        <v/>
      </c>
      <c r="N3920" s="25"/>
      <c r="O3920" s="22"/>
      <c r="P3920" s="24"/>
      <c r="Q3920" s="26"/>
    </row>
    <row r="3921" spans="1:17" ht="15" x14ac:dyDescent="0.15">
      <c r="A3921" s="22"/>
      <c r="B3921" s="26" t="str">
        <f t="shared" si="244"/>
        <v/>
      </c>
      <c r="C3921" s="26" t="str">
        <f t="shared" si="245"/>
        <v/>
      </c>
      <c r="D3921" s="26" t="str">
        <f t="shared" si="246"/>
        <v/>
      </c>
      <c r="E3921" s="29"/>
      <c r="F3921" s="22"/>
      <c r="G3921" s="22"/>
      <c r="H3921" s="22"/>
      <c r="I3921" s="24"/>
      <c r="J3921" s="24"/>
      <c r="K3921" s="24"/>
      <c r="L3921" s="24"/>
      <c r="M3921" s="27" t="str">
        <f t="shared" si="247"/>
        <v/>
      </c>
      <c r="N3921" s="25"/>
      <c r="O3921" s="22"/>
      <c r="P3921" s="24"/>
      <c r="Q3921" s="26"/>
    </row>
    <row r="3922" spans="1:17" ht="15" x14ac:dyDescent="0.15">
      <c r="A3922" s="22"/>
      <c r="B3922" s="26" t="str">
        <f t="shared" si="244"/>
        <v/>
      </c>
      <c r="C3922" s="26" t="str">
        <f t="shared" si="245"/>
        <v/>
      </c>
      <c r="D3922" s="26" t="str">
        <f t="shared" si="246"/>
        <v/>
      </c>
      <c r="E3922" s="29"/>
      <c r="F3922" s="22"/>
      <c r="G3922" s="22"/>
      <c r="H3922" s="22"/>
      <c r="I3922" s="24"/>
      <c r="J3922" s="24"/>
      <c r="K3922" s="24"/>
      <c r="L3922" s="24"/>
      <c r="M3922" s="27" t="str">
        <f t="shared" si="247"/>
        <v/>
      </c>
      <c r="N3922" s="25"/>
      <c r="O3922" s="22"/>
      <c r="P3922" s="24"/>
      <c r="Q3922" s="26"/>
    </row>
    <row r="3923" spans="1:17" ht="15" x14ac:dyDescent="0.15">
      <c r="A3923" s="22"/>
      <c r="B3923" s="26" t="str">
        <f t="shared" si="244"/>
        <v/>
      </c>
      <c r="C3923" s="26" t="str">
        <f t="shared" si="245"/>
        <v/>
      </c>
      <c r="D3923" s="26" t="str">
        <f t="shared" si="246"/>
        <v/>
      </c>
      <c r="E3923" s="29"/>
      <c r="F3923" s="22"/>
      <c r="G3923" s="22"/>
      <c r="H3923" s="22"/>
      <c r="I3923" s="24"/>
      <c r="J3923" s="24"/>
      <c r="K3923" s="24"/>
      <c r="L3923" s="24"/>
      <c r="M3923" s="27" t="str">
        <f t="shared" si="247"/>
        <v/>
      </c>
      <c r="N3923" s="25"/>
      <c r="O3923" s="22"/>
      <c r="P3923" s="24"/>
      <c r="Q3923" s="26"/>
    </row>
    <row r="3924" spans="1:17" ht="15" x14ac:dyDescent="0.15">
      <c r="A3924" s="22"/>
      <c r="B3924" s="26" t="str">
        <f t="shared" si="244"/>
        <v/>
      </c>
      <c r="C3924" s="26" t="str">
        <f t="shared" si="245"/>
        <v/>
      </c>
      <c r="D3924" s="26" t="str">
        <f t="shared" si="246"/>
        <v/>
      </c>
      <c r="E3924" s="29"/>
      <c r="F3924" s="22"/>
      <c r="G3924" s="22"/>
      <c r="H3924" s="22"/>
      <c r="I3924" s="24"/>
      <c r="J3924" s="24"/>
      <c r="K3924" s="24"/>
      <c r="L3924" s="24"/>
      <c r="M3924" s="27" t="str">
        <f t="shared" si="247"/>
        <v/>
      </c>
      <c r="N3924" s="25"/>
      <c r="O3924" s="22"/>
      <c r="P3924" s="24"/>
      <c r="Q3924" s="26"/>
    </row>
    <row r="3925" spans="1:17" ht="15" x14ac:dyDescent="0.15">
      <c r="A3925" s="22"/>
      <c r="B3925" s="26" t="str">
        <f t="shared" si="244"/>
        <v/>
      </c>
      <c r="C3925" s="26" t="str">
        <f t="shared" si="245"/>
        <v/>
      </c>
      <c r="D3925" s="26" t="str">
        <f t="shared" si="246"/>
        <v/>
      </c>
      <c r="E3925" s="29"/>
      <c r="F3925" s="22"/>
      <c r="G3925" s="22"/>
      <c r="H3925" s="22"/>
      <c r="I3925" s="24"/>
      <c r="J3925" s="24"/>
      <c r="K3925" s="24"/>
      <c r="L3925" s="24"/>
      <c r="M3925" s="27" t="str">
        <f t="shared" si="247"/>
        <v/>
      </c>
      <c r="N3925" s="25"/>
      <c r="O3925" s="22"/>
      <c r="P3925" s="24"/>
      <c r="Q3925" s="26"/>
    </row>
    <row r="3926" spans="1:17" ht="15" x14ac:dyDescent="0.15">
      <c r="A3926" s="22"/>
      <c r="B3926" s="26" t="str">
        <f t="shared" si="244"/>
        <v/>
      </c>
      <c r="C3926" s="26" t="str">
        <f t="shared" si="245"/>
        <v/>
      </c>
      <c r="D3926" s="26" t="str">
        <f t="shared" si="246"/>
        <v/>
      </c>
      <c r="E3926" s="29"/>
      <c r="F3926" s="22"/>
      <c r="G3926" s="22"/>
      <c r="H3926" s="22"/>
      <c r="I3926" s="24"/>
      <c r="J3926" s="24"/>
      <c r="K3926" s="24"/>
      <c r="L3926" s="24"/>
      <c r="M3926" s="27" t="str">
        <f t="shared" si="247"/>
        <v/>
      </c>
      <c r="N3926" s="25"/>
      <c r="O3926" s="22"/>
      <c r="P3926" s="24"/>
      <c r="Q3926" s="26"/>
    </row>
    <row r="3927" spans="1:17" ht="15" x14ac:dyDescent="0.15">
      <c r="A3927" s="22"/>
      <c r="B3927" s="26" t="str">
        <f t="shared" si="244"/>
        <v/>
      </c>
      <c r="C3927" s="26" t="str">
        <f t="shared" si="245"/>
        <v/>
      </c>
      <c r="D3927" s="26" t="str">
        <f t="shared" si="246"/>
        <v/>
      </c>
      <c r="E3927" s="29"/>
      <c r="F3927" s="22"/>
      <c r="G3927" s="22"/>
      <c r="H3927" s="22"/>
      <c r="I3927" s="24"/>
      <c r="J3927" s="24"/>
      <c r="K3927" s="24"/>
      <c r="L3927" s="24"/>
      <c r="M3927" s="27" t="str">
        <f t="shared" si="247"/>
        <v/>
      </c>
      <c r="N3927" s="25"/>
      <c r="O3927" s="22"/>
      <c r="P3927" s="24"/>
      <c r="Q3927" s="26"/>
    </row>
    <row r="3928" spans="1:17" ht="15" x14ac:dyDescent="0.15">
      <c r="A3928" s="22"/>
      <c r="B3928" s="26" t="str">
        <f t="shared" si="244"/>
        <v/>
      </c>
      <c r="C3928" s="26" t="str">
        <f t="shared" si="245"/>
        <v/>
      </c>
      <c r="D3928" s="26" t="str">
        <f t="shared" si="246"/>
        <v/>
      </c>
      <c r="E3928" s="29"/>
      <c r="F3928" s="22"/>
      <c r="G3928" s="22"/>
      <c r="H3928" s="22"/>
      <c r="I3928" s="24"/>
      <c r="J3928" s="24"/>
      <c r="K3928" s="24"/>
      <c r="L3928" s="24"/>
      <c r="M3928" s="27" t="str">
        <f t="shared" si="247"/>
        <v/>
      </c>
      <c r="N3928" s="25"/>
      <c r="O3928" s="22"/>
      <c r="P3928" s="24"/>
      <c r="Q3928" s="26"/>
    </row>
    <row r="3929" spans="1:17" ht="15" x14ac:dyDescent="0.15">
      <c r="A3929" s="22"/>
      <c r="B3929" s="26" t="str">
        <f t="shared" si="244"/>
        <v/>
      </c>
      <c r="C3929" s="26" t="str">
        <f t="shared" si="245"/>
        <v/>
      </c>
      <c r="D3929" s="26" t="str">
        <f t="shared" si="246"/>
        <v/>
      </c>
      <c r="E3929" s="29"/>
      <c r="F3929" s="22"/>
      <c r="G3929" s="22"/>
      <c r="H3929" s="22"/>
      <c r="I3929" s="24"/>
      <c r="J3929" s="24"/>
      <c r="K3929" s="24"/>
      <c r="L3929" s="24"/>
      <c r="M3929" s="27" t="str">
        <f t="shared" si="247"/>
        <v/>
      </c>
      <c r="N3929" s="25"/>
      <c r="O3929" s="22"/>
      <c r="P3929" s="24"/>
      <c r="Q3929" s="26"/>
    </row>
    <row r="3930" spans="1:17" ht="15" x14ac:dyDescent="0.15">
      <c r="A3930" s="22"/>
      <c r="B3930" s="26" t="str">
        <f t="shared" si="244"/>
        <v/>
      </c>
      <c r="C3930" s="26" t="str">
        <f t="shared" si="245"/>
        <v/>
      </c>
      <c r="D3930" s="26" t="str">
        <f t="shared" si="246"/>
        <v/>
      </c>
      <c r="E3930" s="29"/>
      <c r="F3930" s="22"/>
      <c r="G3930" s="22"/>
      <c r="H3930" s="22"/>
      <c r="I3930" s="24"/>
      <c r="J3930" s="24"/>
      <c r="K3930" s="24"/>
      <c r="L3930" s="24"/>
      <c r="M3930" s="27" t="str">
        <f t="shared" si="247"/>
        <v/>
      </c>
      <c r="N3930" s="25"/>
      <c r="O3930" s="22"/>
      <c r="P3930" s="24"/>
      <c r="Q3930" s="26"/>
    </row>
    <row r="3931" spans="1:17" ht="15" x14ac:dyDescent="0.15">
      <c r="A3931" s="22"/>
      <c r="B3931" s="26" t="str">
        <f t="shared" si="244"/>
        <v/>
      </c>
      <c r="C3931" s="26" t="str">
        <f t="shared" si="245"/>
        <v/>
      </c>
      <c r="D3931" s="26" t="str">
        <f t="shared" si="246"/>
        <v/>
      </c>
      <c r="E3931" s="29"/>
      <c r="F3931" s="22"/>
      <c r="G3931" s="22"/>
      <c r="H3931" s="22"/>
      <c r="I3931" s="24"/>
      <c r="J3931" s="24"/>
      <c r="K3931" s="24"/>
      <c r="L3931" s="24"/>
      <c r="M3931" s="27" t="str">
        <f t="shared" si="247"/>
        <v/>
      </c>
      <c r="N3931" s="25"/>
      <c r="O3931" s="22"/>
      <c r="P3931" s="24"/>
      <c r="Q3931" s="26"/>
    </row>
    <row r="3932" spans="1:17" ht="15" x14ac:dyDescent="0.15">
      <c r="A3932" s="22"/>
      <c r="B3932" s="26" t="str">
        <f t="shared" si="244"/>
        <v/>
      </c>
      <c r="C3932" s="26" t="str">
        <f t="shared" si="245"/>
        <v/>
      </c>
      <c r="D3932" s="26" t="str">
        <f t="shared" si="246"/>
        <v/>
      </c>
      <c r="E3932" s="29"/>
      <c r="F3932" s="22"/>
      <c r="G3932" s="22"/>
      <c r="H3932" s="22"/>
      <c r="I3932" s="24"/>
      <c r="J3932" s="24"/>
      <c r="K3932" s="24"/>
      <c r="L3932" s="24"/>
      <c r="M3932" s="27" t="str">
        <f t="shared" si="247"/>
        <v/>
      </c>
      <c r="N3932" s="25"/>
      <c r="O3932" s="22"/>
      <c r="P3932" s="24"/>
      <c r="Q3932" s="26"/>
    </row>
    <row r="3933" spans="1:17" ht="15" x14ac:dyDescent="0.15">
      <c r="A3933" s="22"/>
      <c r="B3933" s="26" t="str">
        <f t="shared" si="244"/>
        <v/>
      </c>
      <c r="C3933" s="26" t="str">
        <f t="shared" si="245"/>
        <v/>
      </c>
      <c r="D3933" s="26" t="str">
        <f t="shared" si="246"/>
        <v/>
      </c>
      <c r="E3933" s="29"/>
      <c r="F3933" s="22"/>
      <c r="G3933" s="22"/>
      <c r="H3933" s="22"/>
      <c r="I3933" s="24"/>
      <c r="J3933" s="24"/>
      <c r="K3933" s="24"/>
      <c r="L3933" s="24"/>
      <c r="M3933" s="27" t="str">
        <f t="shared" si="247"/>
        <v/>
      </c>
      <c r="N3933" s="25"/>
      <c r="O3933" s="22"/>
      <c r="P3933" s="24"/>
      <c r="Q3933" s="26"/>
    </row>
    <row r="3934" spans="1:17" ht="15" x14ac:dyDescent="0.15">
      <c r="A3934" s="22"/>
      <c r="B3934" s="26" t="str">
        <f t="shared" si="244"/>
        <v/>
      </c>
      <c r="C3934" s="26" t="str">
        <f t="shared" si="245"/>
        <v/>
      </c>
      <c r="D3934" s="26" t="str">
        <f t="shared" si="246"/>
        <v/>
      </c>
      <c r="E3934" s="29"/>
      <c r="F3934" s="22"/>
      <c r="G3934" s="22"/>
      <c r="H3934" s="22"/>
      <c r="I3934" s="24"/>
      <c r="J3934" s="24"/>
      <c r="K3934" s="24"/>
      <c r="L3934" s="24"/>
      <c r="M3934" s="27" t="str">
        <f t="shared" si="247"/>
        <v/>
      </c>
      <c r="N3934" s="25"/>
      <c r="O3934" s="22"/>
      <c r="P3934" s="24"/>
      <c r="Q3934" s="26"/>
    </row>
    <row r="3935" spans="1:17" ht="15" x14ac:dyDescent="0.15">
      <c r="A3935" s="22"/>
      <c r="B3935" s="26" t="str">
        <f t="shared" si="244"/>
        <v/>
      </c>
      <c r="C3935" s="26" t="str">
        <f t="shared" si="245"/>
        <v/>
      </c>
      <c r="D3935" s="26" t="str">
        <f t="shared" si="246"/>
        <v/>
      </c>
      <c r="E3935" s="29"/>
      <c r="F3935" s="22"/>
      <c r="G3935" s="22"/>
      <c r="H3935" s="22"/>
      <c r="I3935" s="24"/>
      <c r="J3935" s="24"/>
      <c r="K3935" s="24"/>
      <c r="L3935" s="24"/>
      <c r="M3935" s="27" t="str">
        <f t="shared" si="247"/>
        <v/>
      </c>
      <c r="N3935" s="25"/>
      <c r="O3935" s="22"/>
      <c r="P3935" s="24"/>
      <c r="Q3935" s="26"/>
    </row>
    <row r="3936" spans="1:17" ht="15" x14ac:dyDescent="0.15">
      <c r="A3936" s="22"/>
      <c r="B3936" s="26" t="str">
        <f t="shared" si="244"/>
        <v/>
      </c>
      <c r="C3936" s="26" t="str">
        <f t="shared" si="245"/>
        <v/>
      </c>
      <c r="D3936" s="26" t="str">
        <f t="shared" si="246"/>
        <v/>
      </c>
      <c r="E3936" s="29"/>
      <c r="F3936" s="22"/>
      <c r="G3936" s="22"/>
      <c r="H3936" s="22"/>
      <c r="I3936" s="24"/>
      <c r="J3936" s="24"/>
      <c r="K3936" s="24"/>
      <c r="L3936" s="24"/>
      <c r="M3936" s="27" t="str">
        <f t="shared" si="247"/>
        <v/>
      </c>
      <c r="N3936" s="25"/>
      <c r="O3936" s="22"/>
      <c r="P3936" s="24"/>
      <c r="Q3936" s="26"/>
    </row>
    <row r="3937" spans="1:17" ht="15" x14ac:dyDescent="0.15">
      <c r="A3937" s="22"/>
      <c r="B3937" s="26" t="str">
        <f t="shared" si="244"/>
        <v/>
      </c>
      <c r="C3937" s="26" t="str">
        <f t="shared" si="245"/>
        <v/>
      </c>
      <c r="D3937" s="26" t="str">
        <f t="shared" si="246"/>
        <v/>
      </c>
      <c r="E3937" s="29"/>
      <c r="F3937" s="22"/>
      <c r="G3937" s="22"/>
      <c r="H3937" s="22"/>
      <c r="I3937" s="24"/>
      <c r="J3937" s="24"/>
      <c r="K3937" s="24"/>
      <c r="L3937" s="24"/>
      <c r="M3937" s="27" t="str">
        <f t="shared" si="247"/>
        <v/>
      </c>
      <c r="N3937" s="25"/>
      <c r="O3937" s="22"/>
      <c r="P3937" s="24"/>
      <c r="Q3937" s="26"/>
    </row>
    <row r="3938" spans="1:17" ht="15" x14ac:dyDescent="0.15">
      <c r="A3938" s="22"/>
      <c r="B3938" s="26" t="str">
        <f t="shared" si="244"/>
        <v/>
      </c>
      <c r="C3938" s="26" t="str">
        <f t="shared" si="245"/>
        <v/>
      </c>
      <c r="D3938" s="26" t="str">
        <f t="shared" si="246"/>
        <v/>
      </c>
      <c r="E3938" s="29"/>
      <c r="F3938" s="22"/>
      <c r="G3938" s="22"/>
      <c r="H3938" s="22"/>
      <c r="I3938" s="24"/>
      <c r="J3938" s="24"/>
      <c r="K3938" s="24"/>
      <c r="L3938" s="24"/>
      <c r="M3938" s="27" t="str">
        <f t="shared" si="247"/>
        <v/>
      </c>
      <c r="N3938" s="25"/>
      <c r="O3938" s="22"/>
      <c r="P3938" s="24"/>
      <c r="Q3938" s="26"/>
    </row>
    <row r="3939" spans="1:17" ht="15" x14ac:dyDescent="0.15">
      <c r="A3939" s="22"/>
      <c r="B3939" s="26" t="str">
        <f t="shared" si="244"/>
        <v/>
      </c>
      <c r="C3939" s="26" t="str">
        <f t="shared" si="245"/>
        <v/>
      </c>
      <c r="D3939" s="26" t="str">
        <f t="shared" si="246"/>
        <v/>
      </c>
      <c r="E3939" s="29"/>
      <c r="F3939" s="22"/>
      <c r="G3939" s="22"/>
      <c r="H3939" s="22"/>
      <c r="I3939" s="24"/>
      <c r="J3939" s="24"/>
      <c r="K3939" s="24"/>
      <c r="L3939" s="24"/>
      <c r="M3939" s="27" t="str">
        <f t="shared" si="247"/>
        <v/>
      </c>
      <c r="N3939" s="25"/>
      <c r="O3939" s="22"/>
      <c r="P3939" s="24"/>
      <c r="Q3939" s="26"/>
    </row>
    <row r="3940" spans="1:17" ht="15" x14ac:dyDescent="0.15">
      <c r="A3940" s="22"/>
      <c r="B3940" s="26" t="str">
        <f t="shared" si="244"/>
        <v/>
      </c>
      <c r="C3940" s="26" t="str">
        <f t="shared" si="245"/>
        <v/>
      </c>
      <c r="D3940" s="26" t="str">
        <f t="shared" si="246"/>
        <v/>
      </c>
      <c r="E3940" s="29"/>
      <c r="F3940" s="22"/>
      <c r="G3940" s="22"/>
      <c r="H3940" s="22"/>
      <c r="I3940" s="24"/>
      <c r="J3940" s="24"/>
      <c r="K3940" s="24"/>
      <c r="L3940" s="24"/>
      <c r="M3940" s="27" t="str">
        <f t="shared" si="247"/>
        <v/>
      </c>
      <c r="N3940" s="25"/>
      <c r="O3940" s="22"/>
      <c r="P3940" s="24"/>
      <c r="Q3940" s="26"/>
    </row>
    <row r="3941" spans="1:17" ht="15" x14ac:dyDescent="0.15">
      <c r="A3941" s="22"/>
      <c r="B3941" s="26" t="str">
        <f t="shared" si="244"/>
        <v/>
      </c>
      <c r="C3941" s="26" t="str">
        <f t="shared" si="245"/>
        <v/>
      </c>
      <c r="D3941" s="26" t="str">
        <f t="shared" si="246"/>
        <v/>
      </c>
      <c r="E3941" s="29"/>
      <c r="F3941" s="22"/>
      <c r="G3941" s="22"/>
      <c r="H3941" s="22"/>
      <c r="I3941" s="24"/>
      <c r="J3941" s="24"/>
      <c r="K3941" s="24"/>
      <c r="L3941" s="24"/>
      <c r="M3941" s="27" t="str">
        <f t="shared" si="247"/>
        <v/>
      </c>
      <c r="N3941" s="25"/>
      <c r="O3941" s="22"/>
      <c r="P3941" s="24"/>
      <c r="Q3941" s="26"/>
    </row>
    <row r="3942" spans="1:17" ht="15" x14ac:dyDescent="0.15">
      <c r="A3942" s="22"/>
      <c r="B3942" s="26" t="str">
        <f t="shared" si="244"/>
        <v/>
      </c>
      <c r="C3942" s="26" t="str">
        <f t="shared" si="245"/>
        <v/>
      </c>
      <c r="D3942" s="26" t="str">
        <f t="shared" si="246"/>
        <v/>
      </c>
      <c r="E3942" s="29"/>
      <c r="F3942" s="22"/>
      <c r="G3942" s="22"/>
      <c r="H3942" s="22"/>
      <c r="I3942" s="24"/>
      <c r="J3942" s="24"/>
      <c r="K3942" s="24"/>
      <c r="L3942" s="24"/>
      <c r="M3942" s="27" t="str">
        <f t="shared" si="247"/>
        <v/>
      </c>
      <c r="N3942" s="25"/>
      <c r="O3942" s="22"/>
      <c r="P3942" s="24"/>
      <c r="Q3942" s="26"/>
    </row>
    <row r="3943" spans="1:17" ht="15" x14ac:dyDescent="0.15">
      <c r="A3943" s="22"/>
      <c r="B3943" s="26" t="str">
        <f t="shared" si="244"/>
        <v/>
      </c>
      <c r="C3943" s="26" t="str">
        <f t="shared" si="245"/>
        <v/>
      </c>
      <c r="D3943" s="26" t="str">
        <f t="shared" si="246"/>
        <v/>
      </c>
      <c r="E3943" s="29"/>
      <c r="F3943" s="22"/>
      <c r="G3943" s="22"/>
      <c r="H3943" s="22"/>
      <c r="I3943" s="24"/>
      <c r="J3943" s="24"/>
      <c r="K3943" s="24"/>
      <c r="L3943" s="24"/>
      <c r="M3943" s="27" t="str">
        <f t="shared" si="247"/>
        <v/>
      </c>
      <c r="N3943" s="25"/>
      <c r="O3943" s="22"/>
      <c r="P3943" s="24"/>
      <c r="Q3943" s="26"/>
    </row>
    <row r="3944" spans="1:17" ht="15" x14ac:dyDescent="0.15">
      <c r="A3944" s="22"/>
      <c r="B3944" s="26" t="str">
        <f t="shared" si="244"/>
        <v/>
      </c>
      <c r="C3944" s="26" t="str">
        <f t="shared" si="245"/>
        <v/>
      </c>
      <c r="D3944" s="26" t="str">
        <f t="shared" si="246"/>
        <v/>
      </c>
      <c r="E3944" s="29"/>
      <c r="F3944" s="22"/>
      <c r="G3944" s="22"/>
      <c r="H3944" s="22"/>
      <c r="I3944" s="24"/>
      <c r="J3944" s="24"/>
      <c r="K3944" s="24"/>
      <c r="L3944" s="24"/>
      <c r="M3944" s="27" t="str">
        <f t="shared" si="247"/>
        <v/>
      </c>
      <c r="N3944" s="25"/>
      <c r="O3944" s="22"/>
      <c r="P3944" s="24"/>
      <c r="Q3944" s="26"/>
    </row>
    <row r="3945" spans="1:17" ht="15" x14ac:dyDescent="0.15">
      <c r="A3945" s="22"/>
      <c r="B3945" s="26" t="str">
        <f t="shared" si="244"/>
        <v/>
      </c>
      <c r="C3945" s="26" t="str">
        <f t="shared" si="245"/>
        <v/>
      </c>
      <c r="D3945" s="26" t="str">
        <f t="shared" si="246"/>
        <v/>
      </c>
      <c r="E3945" s="29"/>
      <c r="F3945" s="22"/>
      <c r="G3945" s="22"/>
      <c r="H3945" s="22"/>
      <c r="I3945" s="24"/>
      <c r="J3945" s="24"/>
      <c r="K3945" s="24"/>
      <c r="L3945" s="24"/>
      <c r="M3945" s="27" t="str">
        <f t="shared" si="247"/>
        <v/>
      </c>
      <c r="N3945" s="25"/>
      <c r="O3945" s="22"/>
      <c r="P3945" s="24"/>
      <c r="Q3945" s="26"/>
    </row>
    <row r="3946" spans="1:17" ht="15" x14ac:dyDescent="0.15">
      <c r="A3946" s="22"/>
      <c r="B3946" s="26" t="str">
        <f t="shared" si="244"/>
        <v/>
      </c>
      <c r="C3946" s="26" t="str">
        <f t="shared" si="245"/>
        <v/>
      </c>
      <c r="D3946" s="26" t="str">
        <f t="shared" si="246"/>
        <v/>
      </c>
      <c r="E3946" s="29"/>
      <c r="F3946" s="22"/>
      <c r="G3946" s="22"/>
      <c r="H3946" s="22"/>
      <c r="I3946" s="24"/>
      <c r="J3946" s="24"/>
      <c r="K3946" s="24"/>
      <c r="L3946" s="24"/>
      <c r="M3946" s="27" t="str">
        <f t="shared" si="247"/>
        <v/>
      </c>
      <c r="N3946" s="25"/>
      <c r="O3946" s="22"/>
      <c r="P3946" s="24"/>
      <c r="Q3946" s="26"/>
    </row>
    <row r="3947" spans="1:17" ht="15" x14ac:dyDescent="0.15">
      <c r="A3947" s="22"/>
      <c r="B3947" s="26" t="str">
        <f t="shared" si="244"/>
        <v/>
      </c>
      <c r="C3947" s="26" t="str">
        <f t="shared" si="245"/>
        <v/>
      </c>
      <c r="D3947" s="26" t="str">
        <f t="shared" si="246"/>
        <v/>
      </c>
      <c r="E3947" s="29"/>
      <c r="F3947" s="22"/>
      <c r="G3947" s="22"/>
      <c r="H3947" s="22"/>
      <c r="I3947" s="24"/>
      <c r="J3947" s="24"/>
      <c r="K3947" s="24"/>
      <c r="L3947" s="24"/>
      <c r="M3947" s="27" t="str">
        <f t="shared" si="247"/>
        <v/>
      </c>
      <c r="N3947" s="25"/>
      <c r="O3947" s="22"/>
      <c r="P3947" s="24"/>
      <c r="Q3947" s="26"/>
    </row>
    <row r="3948" spans="1:17" ht="15" x14ac:dyDescent="0.15">
      <c r="A3948" s="22"/>
      <c r="B3948" s="26" t="str">
        <f t="shared" si="244"/>
        <v/>
      </c>
      <c r="C3948" s="26" t="str">
        <f t="shared" si="245"/>
        <v/>
      </c>
      <c r="D3948" s="26" t="str">
        <f t="shared" si="246"/>
        <v/>
      </c>
      <c r="E3948" s="29"/>
      <c r="F3948" s="22"/>
      <c r="G3948" s="22"/>
      <c r="H3948" s="22"/>
      <c r="I3948" s="24"/>
      <c r="J3948" s="24"/>
      <c r="K3948" s="24"/>
      <c r="L3948" s="24"/>
      <c r="M3948" s="27" t="str">
        <f t="shared" si="247"/>
        <v/>
      </c>
      <c r="N3948" s="25"/>
      <c r="O3948" s="22"/>
      <c r="P3948" s="24"/>
      <c r="Q3948" s="26"/>
    </row>
    <row r="3949" spans="1:17" ht="15" x14ac:dyDescent="0.15">
      <c r="A3949" s="22"/>
      <c r="B3949" s="26" t="str">
        <f t="shared" si="244"/>
        <v/>
      </c>
      <c r="C3949" s="26" t="str">
        <f t="shared" si="245"/>
        <v/>
      </c>
      <c r="D3949" s="26" t="str">
        <f t="shared" si="246"/>
        <v/>
      </c>
      <c r="E3949" s="29"/>
      <c r="F3949" s="22"/>
      <c r="G3949" s="22"/>
      <c r="H3949" s="22"/>
      <c r="I3949" s="24"/>
      <c r="J3949" s="24"/>
      <c r="K3949" s="24"/>
      <c r="L3949" s="24"/>
      <c r="M3949" s="27" t="str">
        <f t="shared" si="247"/>
        <v/>
      </c>
      <c r="N3949" s="25"/>
      <c r="O3949" s="22"/>
      <c r="P3949" s="24"/>
      <c r="Q3949" s="26"/>
    </row>
    <row r="3950" spans="1:17" ht="15" x14ac:dyDescent="0.15">
      <c r="A3950" s="22"/>
      <c r="B3950" s="26" t="str">
        <f t="shared" si="244"/>
        <v/>
      </c>
      <c r="C3950" s="26" t="str">
        <f t="shared" si="245"/>
        <v/>
      </c>
      <c r="D3950" s="26" t="str">
        <f t="shared" si="246"/>
        <v/>
      </c>
      <c r="E3950" s="29"/>
      <c r="F3950" s="22"/>
      <c r="G3950" s="22"/>
      <c r="H3950" s="22"/>
      <c r="I3950" s="24"/>
      <c r="J3950" s="24"/>
      <c r="K3950" s="24"/>
      <c r="L3950" s="24"/>
      <c r="M3950" s="27" t="str">
        <f t="shared" si="247"/>
        <v/>
      </c>
      <c r="N3950" s="25"/>
      <c r="O3950" s="22"/>
      <c r="P3950" s="24"/>
      <c r="Q3950" s="26"/>
    </row>
    <row r="3951" spans="1:17" ht="15" x14ac:dyDescent="0.15">
      <c r="A3951" s="22"/>
      <c r="B3951" s="26" t="str">
        <f t="shared" si="244"/>
        <v/>
      </c>
      <c r="C3951" s="26" t="str">
        <f t="shared" si="245"/>
        <v/>
      </c>
      <c r="D3951" s="26" t="str">
        <f t="shared" si="246"/>
        <v/>
      </c>
      <c r="E3951" s="29"/>
      <c r="F3951" s="22"/>
      <c r="G3951" s="22"/>
      <c r="H3951" s="22"/>
      <c r="I3951" s="24"/>
      <c r="J3951" s="24"/>
      <c r="K3951" s="24"/>
      <c r="L3951" s="24"/>
      <c r="M3951" s="27" t="str">
        <f t="shared" si="247"/>
        <v/>
      </c>
      <c r="N3951" s="25"/>
      <c r="O3951" s="22"/>
      <c r="P3951" s="24"/>
      <c r="Q3951" s="26"/>
    </row>
    <row r="3952" spans="1:17" ht="15" x14ac:dyDescent="0.15">
      <c r="A3952" s="22"/>
      <c r="B3952" s="26" t="str">
        <f t="shared" si="244"/>
        <v/>
      </c>
      <c r="C3952" s="26" t="str">
        <f t="shared" si="245"/>
        <v/>
      </c>
      <c r="D3952" s="26" t="str">
        <f t="shared" si="246"/>
        <v/>
      </c>
      <c r="E3952" s="29"/>
      <c r="F3952" s="22"/>
      <c r="G3952" s="22"/>
      <c r="H3952" s="22"/>
      <c r="I3952" s="24"/>
      <c r="J3952" s="24"/>
      <c r="K3952" s="24"/>
      <c r="L3952" s="24"/>
      <c r="M3952" s="27" t="str">
        <f t="shared" si="247"/>
        <v/>
      </c>
      <c r="N3952" s="25"/>
      <c r="O3952" s="22"/>
      <c r="P3952" s="24"/>
      <c r="Q3952" s="26"/>
    </row>
    <row r="3953" spans="1:17" ht="15" x14ac:dyDescent="0.15">
      <c r="A3953" s="22"/>
      <c r="B3953" s="26" t="str">
        <f t="shared" si="244"/>
        <v/>
      </c>
      <c r="C3953" s="26" t="str">
        <f t="shared" si="245"/>
        <v/>
      </c>
      <c r="D3953" s="26" t="str">
        <f t="shared" si="246"/>
        <v/>
      </c>
      <c r="E3953" s="29"/>
      <c r="F3953" s="22"/>
      <c r="G3953" s="22"/>
      <c r="H3953" s="22"/>
      <c r="I3953" s="24"/>
      <c r="J3953" s="24"/>
      <c r="K3953" s="24"/>
      <c r="L3953" s="24"/>
      <c r="M3953" s="27" t="str">
        <f t="shared" si="247"/>
        <v/>
      </c>
      <c r="N3953" s="25"/>
      <c r="O3953" s="22"/>
      <c r="P3953" s="24"/>
      <c r="Q3953" s="26"/>
    </row>
    <row r="3954" spans="1:17" ht="15" x14ac:dyDescent="0.15">
      <c r="A3954" s="22"/>
      <c r="B3954" s="26" t="str">
        <f t="shared" si="244"/>
        <v/>
      </c>
      <c r="C3954" s="26" t="str">
        <f t="shared" si="245"/>
        <v/>
      </c>
      <c r="D3954" s="26" t="str">
        <f t="shared" si="246"/>
        <v/>
      </c>
      <c r="E3954" s="29"/>
      <c r="F3954" s="22"/>
      <c r="G3954" s="22"/>
      <c r="H3954" s="22"/>
      <c r="I3954" s="24"/>
      <c r="J3954" s="24"/>
      <c r="K3954" s="24"/>
      <c r="L3954" s="24"/>
      <c r="M3954" s="27" t="str">
        <f t="shared" si="247"/>
        <v/>
      </c>
      <c r="N3954" s="25"/>
      <c r="O3954" s="22"/>
      <c r="P3954" s="24"/>
      <c r="Q3954" s="26"/>
    </row>
    <row r="3955" spans="1:17" ht="15" x14ac:dyDescent="0.15">
      <c r="A3955" s="22"/>
      <c r="B3955" s="26" t="str">
        <f t="shared" si="244"/>
        <v/>
      </c>
      <c r="C3955" s="26" t="str">
        <f t="shared" si="245"/>
        <v/>
      </c>
      <c r="D3955" s="26" t="str">
        <f t="shared" si="246"/>
        <v/>
      </c>
      <c r="E3955" s="29"/>
      <c r="F3955" s="22"/>
      <c r="G3955" s="22"/>
      <c r="H3955" s="22"/>
      <c r="I3955" s="24"/>
      <c r="J3955" s="24"/>
      <c r="K3955" s="24"/>
      <c r="L3955" s="24"/>
      <c r="M3955" s="27" t="str">
        <f t="shared" si="247"/>
        <v/>
      </c>
      <c r="N3955" s="25"/>
      <c r="O3955" s="22"/>
      <c r="P3955" s="24"/>
      <c r="Q3955" s="26"/>
    </row>
    <row r="3956" spans="1:17" ht="15" x14ac:dyDescent="0.15">
      <c r="A3956" s="22"/>
      <c r="B3956" s="26" t="str">
        <f t="shared" si="244"/>
        <v/>
      </c>
      <c r="C3956" s="26" t="str">
        <f t="shared" si="245"/>
        <v/>
      </c>
      <c r="D3956" s="26" t="str">
        <f t="shared" si="246"/>
        <v/>
      </c>
      <c r="E3956" s="29"/>
      <c r="F3956" s="22"/>
      <c r="G3956" s="22"/>
      <c r="H3956" s="22"/>
      <c r="I3956" s="24"/>
      <c r="J3956" s="24"/>
      <c r="K3956" s="24"/>
      <c r="L3956" s="24"/>
      <c r="M3956" s="27" t="str">
        <f t="shared" si="247"/>
        <v/>
      </c>
      <c r="N3956" s="25"/>
      <c r="O3956" s="22"/>
      <c r="P3956" s="24"/>
      <c r="Q3956" s="26"/>
    </row>
    <row r="3957" spans="1:17" ht="15" x14ac:dyDescent="0.15">
      <c r="A3957" s="22"/>
      <c r="B3957" s="26" t="str">
        <f t="shared" si="244"/>
        <v/>
      </c>
      <c r="C3957" s="26" t="str">
        <f t="shared" si="245"/>
        <v/>
      </c>
      <c r="D3957" s="26" t="str">
        <f t="shared" si="246"/>
        <v/>
      </c>
      <c r="E3957" s="29"/>
      <c r="F3957" s="22"/>
      <c r="G3957" s="22"/>
      <c r="H3957" s="22"/>
      <c r="I3957" s="24"/>
      <c r="J3957" s="24"/>
      <c r="K3957" s="24"/>
      <c r="L3957" s="24"/>
      <c r="M3957" s="27" t="str">
        <f t="shared" si="247"/>
        <v/>
      </c>
      <c r="N3957" s="25"/>
      <c r="O3957" s="22"/>
      <c r="P3957" s="24"/>
      <c r="Q3957" s="26"/>
    </row>
    <row r="3958" spans="1:17" ht="15" x14ac:dyDescent="0.15">
      <c r="A3958" s="22"/>
      <c r="B3958" s="26" t="str">
        <f t="shared" si="244"/>
        <v/>
      </c>
      <c r="C3958" s="26" t="str">
        <f t="shared" si="245"/>
        <v/>
      </c>
      <c r="D3958" s="26" t="str">
        <f t="shared" si="246"/>
        <v/>
      </c>
      <c r="E3958" s="29"/>
      <c r="F3958" s="22"/>
      <c r="G3958" s="22"/>
      <c r="H3958" s="22"/>
      <c r="I3958" s="24"/>
      <c r="J3958" s="24"/>
      <c r="K3958" s="24"/>
      <c r="L3958" s="24"/>
      <c r="M3958" s="27" t="str">
        <f t="shared" si="247"/>
        <v/>
      </c>
      <c r="N3958" s="25"/>
      <c r="O3958" s="22"/>
      <c r="P3958" s="24"/>
      <c r="Q3958" s="26"/>
    </row>
    <row r="3959" spans="1:17" ht="15" x14ac:dyDescent="0.15">
      <c r="A3959" s="22"/>
      <c r="B3959" s="26" t="str">
        <f t="shared" si="244"/>
        <v/>
      </c>
      <c r="C3959" s="26" t="str">
        <f t="shared" si="245"/>
        <v/>
      </c>
      <c r="D3959" s="26" t="str">
        <f t="shared" si="246"/>
        <v/>
      </c>
      <c r="E3959" s="29"/>
      <c r="F3959" s="22"/>
      <c r="G3959" s="22"/>
      <c r="H3959" s="22"/>
      <c r="I3959" s="24"/>
      <c r="J3959" s="24"/>
      <c r="K3959" s="24"/>
      <c r="L3959" s="24"/>
      <c r="M3959" s="27" t="str">
        <f t="shared" si="247"/>
        <v/>
      </c>
      <c r="N3959" s="25"/>
      <c r="O3959" s="22"/>
      <c r="P3959" s="24"/>
      <c r="Q3959" s="26"/>
    </row>
    <row r="3960" spans="1:17" ht="15" x14ac:dyDescent="0.15">
      <c r="A3960" s="22"/>
      <c r="B3960" s="26" t="str">
        <f t="shared" si="244"/>
        <v/>
      </c>
      <c r="C3960" s="26" t="str">
        <f t="shared" si="245"/>
        <v/>
      </c>
      <c r="D3960" s="26" t="str">
        <f t="shared" si="246"/>
        <v/>
      </c>
      <c r="E3960" s="29"/>
      <c r="F3960" s="22"/>
      <c r="G3960" s="22"/>
      <c r="H3960" s="22"/>
      <c r="I3960" s="24"/>
      <c r="J3960" s="24"/>
      <c r="K3960" s="24"/>
      <c r="L3960" s="24"/>
      <c r="M3960" s="27" t="str">
        <f t="shared" si="247"/>
        <v/>
      </c>
      <c r="N3960" s="25"/>
      <c r="O3960" s="22"/>
      <c r="P3960" s="24"/>
      <c r="Q3960" s="26"/>
    </row>
    <row r="3961" spans="1:17" ht="15" x14ac:dyDescent="0.15">
      <c r="A3961" s="22"/>
      <c r="B3961" s="26" t="str">
        <f t="shared" si="244"/>
        <v/>
      </c>
      <c r="C3961" s="26" t="str">
        <f t="shared" si="245"/>
        <v/>
      </c>
      <c r="D3961" s="26" t="str">
        <f t="shared" si="246"/>
        <v/>
      </c>
      <c r="E3961" s="29"/>
      <c r="F3961" s="22"/>
      <c r="G3961" s="22"/>
      <c r="H3961" s="22"/>
      <c r="I3961" s="24"/>
      <c r="J3961" s="24"/>
      <c r="K3961" s="24"/>
      <c r="L3961" s="24"/>
      <c r="M3961" s="27" t="str">
        <f t="shared" si="247"/>
        <v/>
      </c>
      <c r="N3961" s="25"/>
      <c r="O3961" s="22"/>
      <c r="P3961" s="24"/>
      <c r="Q3961" s="26"/>
    </row>
    <row r="3962" spans="1:17" ht="15" x14ac:dyDescent="0.15">
      <c r="A3962" s="22"/>
      <c r="B3962" s="26" t="str">
        <f t="shared" si="244"/>
        <v/>
      </c>
      <c r="C3962" s="26" t="str">
        <f t="shared" si="245"/>
        <v/>
      </c>
      <c r="D3962" s="26" t="str">
        <f t="shared" si="246"/>
        <v/>
      </c>
      <c r="E3962" s="29"/>
      <c r="F3962" s="22"/>
      <c r="G3962" s="22"/>
      <c r="H3962" s="22"/>
      <c r="I3962" s="24"/>
      <c r="J3962" s="24"/>
      <c r="K3962" s="24"/>
      <c r="L3962" s="24"/>
      <c r="M3962" s="27" t="str">
        <f t="shared" si="247"/>
        <v/>
      </c>
      <c r="N3962" s="25"/>
      <c r="O3962" s="22"/>
      <c r="P3962" s="24"/>
      <c r="Q3962" s="26"/>
    </row>
    <row r="3963" spans="1:17" ht="15" x14ac:dyDescent="0.15">
      <c r="A3963" s="22"/>
      <c r="B3963" s="26" t="str">
        <f t="shared" si="244"/>
        <v/>
      </c>
      <c r="C3963" s="26" t="str">
        <f t="shared" si="245"/>
        <v/>
      </c>
      <c r="D3963" s="26" t="str">
        <f t="shared" si="246"/>
        <v/>
      </c>
      <c r="E3963" s="29"/>
      <c r="F3963" s="22"/>
      <c r="G3963" s="22"/>
      <c r="H3963" s="22"/>
      <c r="I3963" s="24"/>
      <c r="J3963" s="24"/>
      <c r="K3963" s="24"/>
      <c r="L3963" s="24"/>
      <c r="M3963" s="27" t="str">
        <f t="shared" si="247"/>
        <v/>
      </c>
      <c r="N3963" s="25"/>
      <c r="O3963" s="22"/>
      <c r="P3963" s="24"/>
      <c r="Q3963" s="26"/>
    </row>
    <row r="3964" spans="1:17" ht="15" x14ac:dyDescent="0.15">
      <c r="A3964" s="22"/>
      <c r="B3964" s="26" t="str">
        <f t="shared" si="244"/>
        <v/>
      </c>
      <c r="C3964" s="26" t="str">
        <f t="shared" si="245"/>
        <v/>
      </c>
      <c r="D3964" s="26" t="str">
        <f t="shared" si="246"/>
        <v/>
      </c>
      <c r="E3964" s="29"/>
      <c r="F3964" s="22"/>
      <c r="G3964" s="22"/>
      <c r="H3964" s="22"/>
      <c r="I3964" s="24"/>
      <c r="J3964" s="24"/>
      <c r="K3964" s="24"/>
      <c r="L3964" s="24"/>
      <c r="M3964" s="27" t="str">
        <f t="shared" si="247"/>
        <v/>
      </c>
      <c r="N3964" s="25"/>
      <c r="O3964" s="22"/>
      <c r="P3964" s="24"/>
      <c r="Q3964" s="26"/>
    </row>
    <row r="3965" spans="1:17" ht="15" x14ac:dyDescent="0.15">
      <c r="A3965" s="22"/>
      <c r="B3965" s="26" t="str">
        <f t="shared" si="244"/>
        <v/>
      </c>
      <c r="C3965" s="26" t="str">
        <f t="shared" si="245"/>
        <v/>
      </c>
      <c r="D3965" s="26" t="str">
        <f t="shared" si="246"/>
        <v/>
      </c>
      <c r="E3965" s="29"/>
      <c r="F3965" s="22"/>
      <c r="G3965" s="22"/>
      <c r="H3965" s="22"/>
      <c r="I3965" s="24"/>
      <c r="J3965" s="24"/>
      <c r="K3965" s="24"/>
      <c r="L3965" s="24"/>
      <c r="M3965" s="27" t="str">
        <f t="shared" si="247"/>
        <v/>
      </c>
      <c r="N3965" s="25"/>
      <c r="O3965" s="22"/>
      <c r="P3965" s="24"/>
      <c r="Q3965" s="26"/>
    </row>
    <row r="3966" spans="1:17" ht="15" x14ac:dyDescent="0.15">
      <c r="A3966" s="22"/>
      <c r="B3966" s="26" t="str">
        <f t="shared" si="244"/>
        <v/>
      </c>
      <c r="C3966" s="26" t="str">
        <f t="shared" si="245"/>
        <v/>
      </c>
      <c r="D3966" s="26" t="str">
        <f t="shared" si="246"/>
        <v/>
      </c>
      <c r="E3966" s="29"/>
      <c r="F3966" s="22"/>
      <c r="G3966" s="22"/>
      <c r="H3966" s="22"/>
      <c r="I3966" s="24"/>
      <c r="J3966" s="24"/>
      <c r="K3966" s="24"/>
      <c r="L3966" s="24"/>
      <c r="M3966" s="27" t="str">
        <f t="shared" si="247"/>
        <v/>
      </c>
      <c r="N3966" s="25"/>
      <c r="O3966" s="22"/>
      <c r="P3966" s="24"/>
      <c r="Q3966" s="26"/>
    </row>
    <row r="3967" spans="1:17" ht="15" x14ac:dyDescent="0.15">
      <c r="A3967" s="22"/>
      <c r="B3967" s="26" t="str">
        <f t="shared" si="244"/>
        <v/>
      </c>
      <c r="C3967" s="26" t="str">
        <f t="shared" si="245"/>
        <v/>
      </c>
      <c r="D3967" s="26" t="str">
        <f t="shared" si="246"/>
        <v/>
      </c>
      <c r="E3967" s="29"/>
      <c r="F3967" s="22"/>
      <c r="G3967" s="22"/>
      <c r="H3967" s="22"/>
      <c r="I3967" s="24"/>
      <c r="J3967" s="24"/>
      <c r="K3967" s="24"/>
      <c r="L3967" s="24"/>
      <c r="M3967" s="27" t="str">
        <f t="shared" si="247"/>
        <v/>
      </c>
      <c r="N3967" s="25"/>
      <c r="O3967" s="22"/>
      <c r="P3967" s="24"/>
      <c r="Q3967" s="26"/>
    </row>
    <row r="3968" spans="1:17" ht="15" x14ac:dyDescent="0.15">
      <c r="A3968" s="22"/>
      <c r="B3968" s="26" t="str">
        <f t="shared" si="244"/>
        <v/>
      </c>
      <c r="C3968" s="26" t="str">
        <f t="shared" si="245"/>
        <v/>
      </c>
      <c r="D3968" s="26" t="str">
        <f t="shared" si="246"/>
        <v/>
      </c>
      <c r="E3968" s="29"/>
      <c r="F3968" s="22"/>
      <c r="G3968" s="22"/>
      <c r="H3968" s="22"/>
      <c r="I3968" s="24"/>
      <c r="J3968" s="24"/>
      <c r="K3968" s="24"/>
      <c r="L3968" s="24"/>
      <c r="M3968" s="27" t="str">
        <f t="shared" si="247"/>
        <v/>
      </c>
      <c r="N3968" s="25"/>
      <c r="O3968" s="22"/>
      <c r="P3968" s="24"/>
      <c r="Q3968" s="26"/>
    </row>
    <row r="3969" spans="1:17" ht="15" x14ac:dyDescent="0.15">
      <c r="A3969" s="22"/>
      <c r="B3969" s="26" t="str">
        <f t="shared" si="244"/>
        <v/>
      </c>
      <c r="C3969" s="26" t="str">
        <f t="shared" si="245"/>
        <v/>
      </c>
      <c r="D3969" s="26" t="str">
        <f t="shared" si="246"/>
        <v/>
      </c>
      <c r="E3969" s="29"/>
      <c r="F3969" s="22"/>
      <c r="G3969" s="22"/>
      <c r="H3969" s="22"/>
      <c r="I3969" s="24"/>
      <c r="J3969" s="24"/>
      <c r="K3969" s="24"/>
      <c r="L3969" s="24"/>
      <c r="M3969" s="27" t="str">
        <f t="shared" si="247"/>
        <v/>
      </c>
      <c r="N3969" s="25"/>
      <c r="O3969" s="22"/>
      <c r="P3969" s="24"/>
      <c r="Q3969" s="26"/>
    </row>
    <row r="3970" spans="1:17" ht="15" x14ac:dyDescent="0.15">
      <c r="A3970" s="22"/>
      <c r="B3970" s="26" t="str">
        <f t="shared" si="244"/>
        <v/>
      </c>
      <c r="C3970" s="26" t="str">
        <f t="shared" si="245"/>
        <v/>
      </c>
      <c r="D3970" s="26" t="str">
        <f t="shared" si="246"/>
        <v/>
      </c>
      <c r="E3970" s="29"/>
      <c r="F3970" s="22"/>
      <c r="G3970" s="22"/>
      <c r="H3970" s="22"/>
      <c r="I3970" s="24"/>
      <c r="J3970" s="24"/>
      <c r="K3970" s="24"/>
      <c r="L3970" s="24"/>
      <c r="M3970" s="27" t="str">
        <f t="shared" si="247"/>
        <v/>
      </c>
      <c r="N3970" s="25"/>
      <c r="O3970" s="22"/>
      <c r="P3970" s="24"/>
      <c r="Q3970" s="26"/>
    </row>
    <row r="3971" spans="1:17" ht="15" x14ac:dyDescent="0.15">
      <c r="A3971" s="22"/>
      <c r="B3971" s="26" t="str">
        <f t="shared" si="244"/>
        <v/>
      </c>
      <c r="C3971" s="26" t="str">
        <f t="shared" si="245"/>
        <v/>
      </c>
      <c r="D3971" s="26" t="str">
        <f t="shared" si="246"/>
        <v/>
      </c>
      <c r="E3971" s="29"/>
      <c r="F3971" s="22"/>
      <c r="G3971" s="22"/>
      <c r="H3971" s="22"/>
      <c r="I3971" s="24"/>
      <c r="J3971" s="24"/>
      <c r="K3971" s="24"/>
      <c r="L3971" s="24"/>
      <c r="M3971" s="27" t="str">
        <f t="shared" si="247"/>
        <v/>
      </c>
      <c r="N3971" s="25"/>
      <c r="O3971" s="22"/>
      <c r="P3971" s="24"/>
      <c r="Q3971" s="26"/>
    </row>
    <row r="3972" spans="1:17" ht="15" x14ac:dyDescent="0.15">
      <c r="A3972" s="22"/>
      <c r="B3972" s="26" t="str">
        <f t="shared" si="244"/>
        <v/>
      </c>
      <c r="C3972" s="26" t="str">
        <f t="shared" si="245"/>
        <v/>
      </c>
      <c r="D3972" s="26" t="str">
        <f t="shared" si="246"/>
        <v/>
      </c>
      <c r="E3972" s="29"/>
      <c r="F3972" s="22"/>
      <c r="G3972" s="22"/>
      <c r="H3972" s="22"/>
      <c r="I3972" s="24"/>
      <c r="J3972" s="24"/>
      <c r="K3972" s="24"/>
      <c r="L3972" s="24"/>
      <c r="M3972" s="27" t="str">
        <f t="shared" si="247"/>
        <v/>
      </c>
      <c r="N3972" s="25"/>
      <c r="O3972" s="22"/>
      <c r="P3972" s="24"/>
      <c r="Q3972" s="26"/>
    </row>
    <row r="3973" spans="1:17" ht="15" x14ac:dyDescent="0.15">
      <c r="A3973" s="22"/>
      <c r="B3973" s="26" t="str">
        <f t="shared" si="244"/>
        <v/>
      </c>
      <c r="C3973" s="26" t="str">
        <f t="shared" si="245"/>
        <v/>
      </c>
      <c r="D3973" s="26" t="str">
        <f t="shared" si="246"/>
        <v/>
      </c>
      <c r="E3973" s="29"/>
      <c r="F3973" s="22"/>
      <c r="G3973" s="22"/>
      <c r="H3973" s="22"/>
      <c r="I3973" s="24"/>
      <c r="J3973" s="24"/>
      <c r="K3973" s="24"/>
      <c r="L3973" s="24"/>
      <c r="M3973" s="27" t="str">
        <f t="shared" si="247"/>
        <v/>
      </c>
      <c r="N3973" s="25"/>
      <c r="O3973" s="22"/>
      <c r="P3973" s="24"/>
      <c r="Q3973" s="26"/>
    </row>
    <row r="3974" spans="1:17" ht="15" x14ac:dyDescent="0.15">
      <c r="A3974" s="22"/>
      <c r="B3974" s="26" t="str">
        <f t="shared" si="244"/>
        <v/>
      </c>
      <c r="C3974" s="26" t="str">
        <f t="shared" si="245"/>
        <v/>
      </c>
      <c r="D3974" s="26" t="str">
        <f t="shared" si="246"/>
        <v/>
      </c>
      <c r="E3974" s="29"/>
      <c r="F3974" s="22"/>
      <c r="G3974" s="22"/>
      <c r="H3974" s="22"/>
      <c r="I3974" s="24"/>
      <c r="J3974" s="24"/>
      <c r="K3974" s="24"/>
      <c r="L3974" s="24"/>
      <c r="M3974" s="27" t="str">
        <f t="shared" si="247"/>
        <v/>
      </c>
      <c r="N3974" s="25"/>
      <c r="O3974" s="22"/>
      <c r="P3974" s="24"/>
      <c r="Q3974" s="26"/>
    </row>
    <row r="3975" spans="1:17" ht="15" x14ac:dyDescent="0.15">
      <c r="A3975" s="22"/>
      <c r="B3975" s="26" t="str">
        <f t="shared" ref="B3975:B4038" si="248">IFERROR(IF($A3975="","",LEFT($A3975,FIND(" | ",$A3975)-1)),"")</f>
        <v/>
      </c>
      <c r="C3975" s="26" t="str">
        <f t="shared" ref="C3975:C4038" si="249">IFERROR(IF($A3975="","",MID($A3975,FIND(" | ",$A3975)+3,FIND(" | ",$A3975,FIND(" | ",$A3975)+3)-FIND(" | ",$A3975)-3)),"")</f>
        <v/>
      </c>
      <c r="D3975" s="26" t="str">
        <f t="shared" ref="D3975:D4038" si="250">IFERROR(IF($A3975="","",RIGHT($A3975,LEN($A3975)-FIND(" | ",$A3975,FIND(" | ",$A3975)+3)-2)),"")</f>
        <v/>
      </c>
      <c r="E3975" s="29"/>
      <c r="F3975" s="22"/>
      <c r="G3975" s="22"/>
      <c r="H3975" s="22"/>
      <c r="I3975" s="24"/>
      <c r="J3975" s="24"/>
      <c r="K3975" s="24"/>
      <c r="L3975" s="24"/>
      <c r="M3975" s="27" t="str">
        <f t="shared" ref="M3975:M4038" si="251">IF($B3975="","",SUM($J3975,-$K3975,$L3975))</f>
        <v/>
      </c>
      <c r="N3975" s="25"/>
      <c r="O3975" s="22"/>
      <c r="P3975" s="24"/>
      <c r="Q3975" s="26"/>
    </row>
    <row r="3976" spans="1:17" ht="15" x14ac:dyDescent="0.15">
      <c r="A3976" s="22"/>
      <c r="B3976" s="26" t="str">
        <f t="shared" si="248"/>
        <v/>
      </c>
      <c r="C3976" s="26" t="str">
        <f t="shared" si="249"/>
        <v/>
      </c>
      <c r="D3976" s="26" t="str">
        <f t="shared" si="250"/>
        <v/>
      </c>
      <c r="E3976" s="29"/>
      <c r="F3976" s="22"/>
      <c r="G3976" s="22"/>
      <c r="H3976" s="22"/>
      <c r="I3976" s="24"/>
      <c r="J3976" s="24"/>
      <c r="K3976" s="24"/>
      <c r="L3976" s="24"/>
      <c r="M3976" s="27" t="str">
        <f t="shared" si="251"/>
        <v/>
      </c>
      <c r="N3976" s="25"/>
      <c r="O3976" s="22"/>
      <c r="P3976" s="24"/>
      <c r="Q3976" s="26"/>
    </row>
    <row r="3977" spans="1:17" ht="15" x14ac:dyDescent="0.15">
      <c r="A3977" s="22"/>
      <c r="B3977" s="26" t="str">
        <f t="shared" si="248"/>
        <v/>
      </c>
      <c r="C3977" s="26" t="str">
        <f t="shared" si="249"/>
        <v/>
      </c>
      <c r="D3977" s="26" t="str">
        <f t="shared" si="250"/>
        <v/>
      </c>
      <c r="E3977" s="29"/>
      <c r="F3977" s="22"/>
      <c r="G3977" s="22"/>
      <c r="H3977" s="22"/>
      <c r="I3977" s="24"/>
      <c r="J3977" s="24"/>
      <c r="K3977" s="24"/>
      <c r="L3977" s="24"/>
      <c r="M3977" s="27" t="str">
        <f t="shared" si="251"/>
        <v/>
      </c>
      <c r="N3977" s="25"/>
      <c r="O3977" s="22"/>
      <c r="P3977" s="24"/>
      <c r="Q3977" s="26"/>
    </row>
    <row r="3978" spans="1:17" ht="15" x14ac:dyDescent="0.15">
      <c r="A3978" s="22"/>
      <c r="B3978" s="26" t="str">
        <f t="shared" si="248"/>
        <v/>
      </c>
      <c r="C3978" s="26" t="str">
        <f t="shared" si="249"/>
        <v/>
      </c>
      <c r="D3978" s="26" t="str">
        <f t="shared" si="250"/>
        <v/>
      </c>
      <c r="E3978" s="29"/>
      <c r="F3978" s="22"/>
      <c r="G3978" s="22"/>
      <c r="H3978" s="22"/>
      <c r="I3978" s="24"/>
      <c r="J3978" s="24"/>
      <c r="K3978" s="24"/>
      <c r="L3978" s="24"/>
      <c r="M3978" s="27" t="str">
        <f t="shared" si="251"/>
        <v/>
      </c>
      <c r="N3978" s="25"/>
      <c r="O3978" s="22"/>
      <c r="P3978" s="24"/>
      <c r="Q3978" s="26"/>
    </row>
    <row r="3979" spans="1:17" ht="15" x14ac:dyDescent="0.15">
      <c r="A3979" s="22"/>
      <c r="B3979" s="26" t="str">
        <f t="shared" si="248"/>
        <v/>
      </c>
      <c r="C3979" s="26" t="str">
        <f t="shared" si="249"/>
        <v/>
      </c>
      <c r="D3979" s="26" t="str">
        <f t="shared" si="250"/>
        <v/>
      </c>
      <c r="E3979" s="29"/>
      <c r="F3979" s="22"/>
      <c r="G3979" s="22"/>
      <c r="H3979" s="22"/>
      <c r="I3979" s="24"/>
      <c r="J3979" s="24"/>
      <c r="K3979" s="24"/>
      <c r="L3979" s="24"/>
      <c r="M3979" s="27" t="str">
        <f t="shared" si="251"/>
        <v/>
      </c>
      <c r="N3979" s="25"/>
      <c r="O3979" s="22"/>
      <c r="P3979" s="24"/>
      <c r="Q3979" s="26"/>
    </row>
    <row r="3980" spans="1:17" ht="15" x14ac:dyDescent="0.15">
      <c r="A3980" s="22"/>
      <c r="B3980" s="26" t="str">
        <f t="shared" si="248"/>
        <v/>
      </c>
      <c r="C3980" s="26" t="str">
        <f t="shared" si="249"/>
        <v/>
      </c>
      <c r="D3980" s="26" t="str">
        <f t="shared" si="250"/>
        <v/>
      </c>
      <c r="E3980" s="29"/>
      <c r="F3980" s="22"/>
      <c r="G3980" s="22"/>
      <c r="H3980" s="22"/>
      <c r="I3980" s="24"/>
      <c r="J3980" s="24"/>
      <c r="K3980" s="24"/>
      <c r="L3980" s="24"/>
      <c r="M3980" s="27" t="str">
        <f t="shared" si="251"/>
        <v/>
      </c>
      <c r="N3980" s="25"/>
      <c r="O3980" s="22"/>
      <c r="P3980" s="24"/>
      <c r="Q3980" s="26"/>
    </row>
    <row r="3981" spans="1:17" ht="15" x14ac:dyDescent="0.15">
      <c r="A3981" s="22"/>
      <c r="B3981" s="26" t="str">
        <f t="shared" si="248"/>
        <v/>
      </c>
      <c r="C3981" s="26" t="str">
        <f t="shared" si="249"/>
        <v/>
      </c>
      <c r="D3981" s="26" t="str">
        <f t="shared" si="250"/>
        <v/>
      </c>
      <c r="E3981" s="29"/>
      <c r="F3981" s="22"/>
      <c r="G3981" s="22"/>
      <c r="H3981" s="22"/>
      <c r="I3981" s="24"/>
      <c r="J3981" s="24"/>
      <c r="K3981" s="24"/>
      <c r="L3981" s="24"/>
      <c r="M3981" s="27" t="str">
        <f t="shared" si="251"/>
        <v/>
      </c>
      <c r="N3981" s="25"/>
      <c r="O3981" s="22"/>
      <c r="P3981" s="24"/>
      <c r="Q3981" s="26"/>
    </row>
    <row r="3982" spans="1:17" ht="15" x14ac:dyDescent="0.15">
      <c r="A3982" s="22"/>
      <c r="B3982" s="26" t="str">
        <f t="shared" si="248"/>
        <v/>
      </c>
      <c r="C3982" s="26" t="str">
        <f t="shared" si="249"/>
        <v/>
      </c>
      <c r="D3982" s="26" t="str">
        <f t="shared" si="250"/>
        <v/>
      </c>
      <c r="E3982" s="29"/>
      <c r="F3982" s="22"/>
      <c r="G3982" s="22"/>
      <c r="H3982" s="22"/>
      <c r="I3982" s="24"/>
      <c r="J3982" s="24"/>
      <c r="K3982" s="24"/>
      <c r="L3982" s="24"/>
      <c r="M3982" s="27" t="str">
        <f t="shared" si="251"/>
        <v/>
      </c>
      <c r="N3982" s="25"/>
      <c r="O3982" s="22"/>
      <c r="P3982" s="24"/>
      <c r="Q3982" s="26"/>
    </row>
    <row r="3983" spans="1:17" ht="15" x14ac:dyDescent="0.15">
      <c r="A3983" s="22"/>
      <c r="B3983" s="26" t="str">
        <f t="shared" si="248"/>
        <v/>
      </c>
      <c r="C3983" s="26" t="str">
        <f t="shared" si="249"/>
        <v/>
      </c>
      <c r="D3983" s="26" t="str">
        <f t="shared" si="250"/>
        <v/>
      </c>
      <c r="E3983" s="29"/>
      <c r="F3983" s="22"/>
      <c r="G3983" s="22"/>
      <c r="H3983" s="22"/>
      <c r="I3983" s="24"/>
      <c r="J3983" s="24"/>
      <c r="K3983" s="24"/>
      <c r="L3983" s="24"/>
      <c r="M3983" s="27" t="str">
        <f t="shared" si="251"/>
        <v/>
      </c>
      <c r="N3983" s="25"/>
      <c r="O3983" s="22"/>
      <c r="P3983" s="24"/>
      <c r="Q3983" s="26"/>
    </row>
    <row r="3984" spans="1:17" ht="15" x14ac:dyDescent="0.15">
      <c r="A3984" s="22"/>
      <c r="B3984" s="26" t="str">
        <f t="shared" si="248"/>
        <v/>
      </c>
      <c r="C3984" s="26" t="str">
        <f t="shared" si="249"/>
        <v/>
      </c>
      <c r="D3984" s="26" t="str">
        <f t="shared" si="250"/>
        <v/>
      </c>
      <c r="E3984" s="29"/>
      <c r="F3984" s="22"/>
      <c r="G3984" s="22"/>
      <c r="H3984" s="22"/>
      <c r="I3984" s="24"/>
      <c r="J3984" s="24"/>
      <c r="K3984" s="24"/>
      <c r="L3984" s="24"/>
      <c r="M3984" s="27" t="str">
        <f t="shared" si="251"/>
        <v/>
      </c>
      <c r="N3984" s="25"/>
      <c r="O3984" s="22"/>
      <c r="P3984" s="24"/>
      <c r="Q3984" s="26"/>
    </row>
    <row r="3985" spans="1:17" ht="15" x14ac:dyDescent="0.15">
      <c r="A3985" s="22"/>
      <c r="B3985" s="26" t="str">
        <f t="shared" si="248"/>
        <v/>
      </c>
      <c r="C3985" s="26" t="str">
        <f t="shared" si="249"/>
        <v/>
      </c>
      <c r="D3985" s="26" t="str">
        <f t="shared" si="250"/>
        <v/>
      </c>
      <c r="E3985" s="29"/>
      <c r="F3985" s="22"/>
      <c r="G3985" s="22"/>
      <c r="H3985" s="22"/>
      <c r="I3985" s="24"/>
      <c r="J3985" s="24"/>
      <c r="K3985" s="24"/>
      <c r="L3985" s="24"/>
      <c r="M3985" s="27" t="str">
        <f t="shared" si="251"/>
        <v/>
      </c>
      <c r="N3985" s="25"/>
      <c r="O3985" s="22"/>
      <c r="P3985" s="24"/>
      <c r="Q3985" s="26"/>
    </row>
    <row r="3986" spans="1:17" ht="15" x14ac:dyDescent="0.15">
      <c r="A3986" s="22"/>
      <c r="B3986" s="26" t="str">
        <f t="shared" si="248"/>
        <v/>
      </c>
      <c r="C3986" s="26" t="str">
        <f t="shared" si="249"/>
        <v/>
      </c>
      <c r="D3986" s="26" t="str">
        <f t="shared" si="250"/>
        <v/>
      </c>
      <c r="E3986" s="29"/>
      <c r="F3986" s="22"/>
      <c r="G3986" s="22"/>
      <c r="H3986" s="22"/>
      <c r="I3986" s="24"/>
      <c r="J3986" s="24"/>
      <c r="K3986" s="24"/>
      <c r="L3986" s="24"/>
      <c r="M3986" s="27" t="str">
        <f t="shared" si="251"/>
        <v/>
      </c>
      <c r="N3986" s="25"/>
      <c r="O3986" s="22"/>
      <c r="P3986" s="24"/>
      <c r="Q3986" s="26"/>
    </row>
    <row r="3987" spans="1:17" ht="15" x14ac:dyDescent="0.15">
      <c r="A3987" s="22"/>
      <c r="B3987" s="26" t="str">
        <f t="shared" si="248"/>
        <v/>
      </c>
      <c r="C3987" s="26" t="str">
        <f t="shared" si="249"/>
        <v/>
      </c>
      <c r="D3987" s="26" t="str">
        <f t="shared" si="250"/>
        <v/>
      </c>
      <c r="E3987" s="29"/>
      <c r="F3987" s="22"/>
      <c r="G3987" s="22"/>
      <c r="H3987" s="22"/>
      <c r="I3987" s="24"/>
      <c r="J3987" s="24"/>
      <c r="K3987" s="24"/>
      <c r="L3987" s="24"/>
      <c r="M3987" s="27" t="str">
        <f t="shared" si="251"/>
        <v/>
      </c>
      <c r="N3987" s="25"/>
      <c r="O3987" s="22"/>
      <c r="P3987" s="24"/>
      <c r="Q3987" s="26"/>
    </row>
    <row r="3988" spans="1:17" ht="15" x14ac:dyDescent="0.15">
      <c r="A3988" s="22"/>
      <c r="B3988" s="26" t="str">
        <f t="shared" si="248"/>
        <v/>
      </c>
      <c r="C3988" s="26" t="str">
        <f t="shared" si="249"/>
        <v/>
      </c>
      <c r="D3988" s="26" t="str">
        <f t="shared" si="250"/>
        <v/>
      </c>
      <c r="E3988" s="29"/>
      <c r="F3988" s="22"/>
      <c r="G3988" s="22"/>
      <c r="H3988" s="22"/>
      <c r="I3988" s="24"/>
      <c r="J3988" s="24"/>
      <c r="K3988" s="24"/>
      <c r="L3988" s="24"/>
      <c r="M3988" s="27" t="str">
        <f t="shared" si="251"/>
        <v/>
      </c>
      <c r="N3988" s="25"/>
      <c r="O3988" s="22"/>
      <c r="P3988" s="24"/>
      <c r="Q3988" s="26"/>
    </row>
    <row r="3989" spans="1:17" ht="15" x14ac:dyDescent="0.15">
      <c r="A3989" s="22"/>
      <c r="B3989" s="26" t="str">
        <f t="shared" si="248"/>
        <v/>
      </c>
      <c r="C3989" s="26" t="str">
        <f t="shared" si="249"/>
        <v/>
      </c>
      <c r="D3989" s="26" t="str">
        <f t="shared" si="250"/>
        <v/>
      </c>
      <c r="E3989" s="29"/>
      <c r="F3989" s="22"/>
      <c r="G3989" s="22"/>
      <c r="H3989" s="22"/>
      <c r="I3989" s="24"/>
      <c r="J3989" s="24"/>
      <c r="K3989" s="24"/>
      <c r="L3989" s="24"/>
      <c r="M3989" s="27" t="str">
        <f t="shared" si="251"/>
        <v/>
      </c>
      <c r="N3989" s="25"/>
      <c r="O3989" s="22"/>
      <c r="P3989" s="24"/>
      <c r="Q3989" s="26"/>
    </row>
    <row r="3990" spans="1:17" ht="15" x14ac:dyDescent="0.15">
      <c r="A3990" s="22"/>
      <c r="B3990" s="26" t="str">
        <f t="shared" si="248"/>
        <v/>
      </c>
      <c r="C3990" s="26" t="str">
        <f t="shared" si="249"/>
        <v/>
      </c>
      <c r="D3990" s="26" t="str">
        <f t="shared" si="250"/>
        <v/>
      </c>
      <c r="E3990" s="29"/>
      <c r="F3990" s="22"/>
      <c r="G3990" s="22"/>
      <c r="H3990" s="22"/>
      <c r="I3990" s="24"/>
      <c r="J3990" s="24"/>
      <c r="K3990" s="24"/>
      <c r="L3990" s="24"/>
      <c r="M3990" s="27" t="str">
        <f t="shared" si="251"/>
        <v/>
      </c>
      <c r="N3990" s="25"/>
      <c r="O3990" s="22"/>
      <c r="P3990" s="24"/>
      <c r="Q3990" s="26"/>
    </row>
    <row r="3991" spans="1:17" ht="15" x14ac:dyDescent="0.15">
      <c r="A3991" s="22"/>
      <c r="B3991" s="26" t="str">
        <f t="shared" si="248"/>
        <v/>
      </c>
      <c r="C3991" s="26" t="str">
        <f t="shared" si="249"/>
        <v/>
      </c>
      <c r="D3991" s="26" t="str">
        <f t="shared" si="250"/>
        <v/>
      </c>
      <c r="E3991" s="29"/>
      <c r="F3991" s="22"/>
      <c r="G3991" s="22"/>
      <c r="H3991" s="22"/>
      <c r="I3991" s="24"/>
      <c r="J3991" s="24"/>
      <c r="K3991" s="24"/>
      <c r="L3991" s="24"/>
      <c r="M3991" s="27" t="str">
        <f t="shared" si="251"/>
        <v/>
      </c>
      <c r="N3991" s="25"/>
      <c r="O3991" s="22"/>
      <c r="P3991" s="24"/>
      <c r="Q3991" s="26"/>
    </row>
    <row r="3992" spans="1:17" ht="15" x14ac:dyDescent="0.15">
      <c r="A3992" s="22"/>
      <c r="B3992" s="26" t="str">
        <f t="shared" si="248"/>
        <v/>
      </c>
      <c r="C3992" s="26" t="str">
        <f t="shared" si="249"/>
        <v/>
      </c>
      <c r="D3992" s="26" t="str">
        <f t="shared" si="250"/>
        <v/>
      </c>
      <c r="E3992" s="29"/>
      <c r="F3992" s="22"/>
      <c r="G3992" s="22"/>
      <c r="H3992" s="22"/>
      <c r="I3992" s="24"/>
      <c r="J3992" s="24"/>
      <c r="K3992" s="24"/>
      <c r="L3992" s="24"/>
      <c r="M3992" s="27" t="str">
        <f t="shared" si="251"/>
        <v/>
      </c>
      <c r="N3992" s="25"/>
      <c r="O3992" s="22"/>
      <c r="P3992" s="24"/>
      <c r="Q3992" s="26"/>
    </row>
    <row r="3993" spans="1:17" ht="15" x14ac:dyDescent="0.15">
      <c r="A3993" s="22"/>
      <c r="B3993" s="26" t="str">
        <f t="shared" si="248"/>
        <v/>
      </c>
      <c r="C3993" s="26" t="str">
        <f t="shared" si="249"/>
        <v/>
      </c>
      <c r="D3993" s="26" t="str">
        <f t="shared" si="250"/>
        <v/>
      </c>
      <c r="E3993" s="29"/>
      <c r="F3993" s="22"/>
      <c r="G3993" s="22"/>
      <c r="H3993" s="22"/>
      <c r="I3993" s="24"/>
      <c r="J3993" s="24"/>
      <c r="K3993" s="24"/>
      <c r="L3993" s="24"/>
      <c r="M3993" s="27" t="str">
        <f t="shared" si="251"/>
        <v/>
      </c>
      <c r="N3993" s="25"/>
      <c r="O3993" s="22"/>
      <c r="P3993" s="24"/>
      <c r="Q3993" s="26"/>
    </row>
    <row r="3994" spans="1:17" ht="15" x14ac:dyDescent="0.15">
      <c r="A3994" s="22"/>
      <c r="B3994" s="26" t="str">
        <f t="shared" si="248"/>
        <v/>
      </c>
      <c r="C3994" s="26" t="str">
        <f t="shared" si="249"/>
        <v/>
      </c>
      <c r="D3994" s="26" t="str">
        <f t="shared" si="250"/>
        <v/>
      </c>
      <c r="E3994" s="29"/>
      <c r="F3994" s="22"/>
      <c r="G3994" s="22"/>
      <c r="H3994" s="22"/>
      <c r="I3994" s="24"/>
      <c r="J3994" s="24"/>
      <c r="K3994" s="24"/>
      <c r="L3994" s="24"/>
      <c r="M3994" s="27" t="str">
        <f t="shared" si="251"/>
        <v/>
      </c>
      <c r="N3994" s="25"/>
      <c r="O3994" s="22"/>
      <c r="P3994" s="24"/>
      <c r="Q3994" s="26"/>
    </row>
    <row r="3995" spans="1:17" ht="15" x14ac:dyDescent="0.15">
      <c r="A3995" s="22"/>
      <c r="B3995" s="26" t="str">
        <f t="shared" si="248"/>
        <v/>
      </c>
      <c r="C3995" s="26" t="str">
        <f t="shared" si="249"/>
        <v/>
      </c>
      <c r="D3995" s="26" t="str">
        <f t="shared" si="250"/>
        <v/>
      </c>
      <c r="E3995" s="29"/>
      <c r="F3995" s="22"/>
      <c r="G3995" s="22"/>
      <c r="H3995" s="22"/>
      <c r="I3995" s="24"/>
      <c r="J3995" s="24"/>
      <c r="K3995" s="24"/>
      <c r="L3995" s="24"/>
      <c r="M3995" s="27" t="str">
        <f t="shared" si="251"/>
        <v/>
      </c>
      <c r="N3995" s="25"/>
      <c r="O3995" s="22"/>
      <c r="P3995" s="24"/>
      <c r="Q3995" s="26"/>
    </row>
    <row r="3996" spans="1:17" ht="15" x14ac:dyDescent="0.15">
      <c r="A3996" s="22"/>
      <c r="B3996" s="26" t="str">
        <f t="shared" si="248"/>
        <v/>
      </c>
      <c r="C3996" s="26" t="str">
        <f t="shared" si="249"/>
        <v/>
      </c>
      <c r="D3996" s="26" t="str">
        <f t="shared" si="250"/>
        <v/>
      </c>
      <c r="E3996" s="29"/>
      <c r="F3996" s="22"/>
      <c r="G3996" s="22"/>
      <c r="H3996" s="22"/>
      <c r="I3996" s="24"/>
      <c r="J3996" s="24"/>
      <c r="K3996" s="24"/>
      <c r="L3996" s="24"/>
      <c r="M3996" s="27" t="str">
        <f t="shared" si="251"/>
        <v/>
      </c>
      <c r="N3996" s="25"/>
      <c r="O3996" s="22"/>
      <c r="P3996" s="24"/>
      <c r="Q3996" s="26"/>
    </row>
    <row r="3997" spans="1:17" ht="15" x14ac:dyDescent="0.15">
      <c r="A3997" s="22"/>
      <c r="B3997" s="26" t="str">
        <f t="shared" si="248"/>
        <v/>
      </c>
      <c r="C3997" s="26" t="str">
        <f t="shared" si="249"/>
        <v/>
      </c>
      <c r="D3997" s="26" t="str">
        <f t="shared" si="250"/>
        <v/>
      </c>
      <c r="E3997" s="29"/>
      <c r="F3997" s="22"/>
      <c r="G3997" s="22"/>
      <c r="H3997" s="22"/>
      <c r="I3997" s="24"/>
      <c r="J3997" s="24"/>
      <c r="K3997" s="24"/>
      <c r="L3997" s="24"/>
      <c r="M3997" s="27" t="str">
        <f t="shared" si="251"/>
        <v/>
      </c>
      <c r="N3997" s="25"/>
      <c r="O3997" s="22"/>
      <c r="P3997" s="24"/>
      <c r="Q3997" s="26"/>
    </row>
    <row r="3998" spans="1:17" ht="15" x14ac:dyDescent="0.15">
      <c r="A3998" s="22"/>
      <c r="B3998" s="26" t="str">
        <f t="shared" si="248"/>
        <v/>
      </c>
      <c r="C3998" s="26" t="str">
        <f t="shared" si="249"/>
        <v/>
      </c>
      <c r="D3998" s="26" t="str">
        <f t="shared" si="250"/>
        <v/>
      </c>
      <c r="E3998" s="29"/>
      <c r="F3998" s="22"/>
      <c r="G3998" s="22"/>
      <c r="H3998" s="22"/>
      <c r="I3998" s="24"/>
      <c r="J3998" s="24"/>
      <c r="K3998" s="24"/>
      <c r="L3998" s="24"/>
      <c r="M3998" s="27" t="str">
        <f t="shared" si="251"/>
        <v/>
      </c>
      <c r="N3998" s="25"/>
      <c r="O3998" s="22"/>
      <c r="P3998" s="24"/>
      <c r="Q3998" s="26"/>
    </row>
    <row r="3999" spans="1:17" ht="15" x14ac:dyDescent="0.15">
      <c r="A3999" s="22"/>
      <c r="B3999" s="26" t="str">
        <f t="shared" si="248"/>
        <v/>
      </c>
      <c r="C3999" s="26" t="str">
        <f t="shared" si="249"/>
        <v/>
      </c>
      <c r="D3999" s="26" t="str">
        <f t="shared" si="250"/>
        <v/>
      </c>
      <c r="E3999" s="29"/>
      <c r="F3999" s="22"/>
      <c r="G3999" s="22"/>
      <c r="H3999" s="22"/>
      <c r="I3999" s="24"/>
      <c r="J3999" s="24"/>
      <c r="K3999" s="24"/>
      <c r="L3999" s="24"/>
      <c r="M3999" s="27" t="str">
        <f t="shared" si="251"/>
        <v/>
      </c>
      <c r="N3999" s="25"/>
      <c r="O3999" s="22"/>
      <c r="P3999" s="24"/>
      <c r="Q3999" s="26"/>
    </row>
    <row r="4000" spans="1:17" ht="15" x14ac:dyDescent="0.15">
      <c r="A4000" s="22"/>
      <c r="B4000" s="26" t="str">
        <f t="shared" si="248"/>
        <v/>
      </c>
      <c r="C4000" s="26" t="str">
        <f t="shared" si="249"/>
        <v/>
      </c>
      <c r="D4000" s="26" t="str">
        <f t="shared" si="250"/>
        <v/>
      </c>
      <c r="E4000" s="29"/>
      <c r="F4000" s="22"/>
      <c r="G4000" s="22"/>
      <c r="H4000" s="22"/>
      <c r="I4000" s="24"/>
      <c r="J4000" s="24"/>
      <c r="K4000" s="24"/>
      <c r="L4000" s="24"/>
      <c r="M4000" s="27" t="str">
        <f t="shared" si="251"/>
        <v/>
      </c>
      <c r="N4000" s="25"/>
      <c r="O4000" s="22"/>
      <c r="P4000" s="24"/>
      <c r="Q4000" s="26"/>
    </row>
    <row r="4001" spans="1:17" ht="15" x14ac:dyDescent="0.15">
      <c r="A4001" s="22"/>
      <c r="B4001" s="26" t="str">
        <f t="shared" si="248"/>
        <v/>
      </c>
      <c r="C4001" s="26" t="str">
        <f t="shared" si="249"/>
        <v/>
      </c>
      <c r="D4001" s="26" t="str">
        <f t="shared" si="250"/>
        <v/>
      </c>
      <c r="E4001" s="29"/>
      <c r="F4001" s="22"/>
      <c r="G4001" s="22"/>
      <c r="H4001" s="22"/>
      <c r="I4001" s="24"/>
      <c r="J4001" s="24"/>
      <c r="K4001" s="24"/>
      <c r="L4001" s="24"/>
      <c r="M4001" s="27" t="str">
        <f t="shared" si="251"/>
        <v/>
      </c>
      <c r="N4001" s="25"/>
      <c r="O4001" s="22"/>
      <c r="P4001" s="24"/>
      <c r="Q4001" s="26"/>
    </row>
    <row r="4002" spans="1:17" ht="15" x14ac:dyDescent="0.15">
      <c r="A4002" s="22"/>
      <c r="B4002" s="26" t="str">
        <f t="shared" si="248"/>
        <v/>
      </c>
      <c r="C4002" s="26" t="str">
        <f t="shared" si="249"/>
        <v/>
      </c>
      <c r="D4002" s="26" t="str">
        <f t="shared" si="250"/>
        <v/>
      </c>
      <c r="E4002" s="29"/>
      <c r="F4002" s="22"/>
      <c r="G4002" s="22"/>
      <c r="H4002" s="22"/>
      <c r="I4002" s="24"/>
      <c r="J4002" s="24"/>
      <c r="K4002" s="24"/>
      <c r="L4002" s="24"/>
      <c r="M4002" s="27" t="str">
        <f t="shared" si="251"/>
        <v/>
      </c>
      <c r="N4002" s="25"/>
      <c r="O4002" s="22"/>
      <c r="P4002" s="24"/>
      <c r="Q4002" s="26"/>
    </row>
    <row r="4003" spans="1:17" ht="15" x14ac:dyDescent="0.15">
      <c r="A4003" s="22"/>
      <c r="B4003" s="26" t="str">
        <f t="shared" si="248"/>
        <v/>
      </c>
      <c r="C4003" s="26" t="str">
        <f t="shared" si="249"/>
        <v/>
      </c>
      <c r="D4003" s="26" t="str">
        <f t="shared" si="250"/>
        <v/>
      </c>
      <c r="E4003" s="29"/>
      <c r="F4003" s="22"/>
      <c r="G4003" s="22"/>
      <c r="H4003" s="22"/>
      <c r="I4003" s="24"/>
      <c r="J4003" s="24"/>
      <c r="K4003" s="24"/>
      <c r="L4003" s="24"/>
      <c r="M4003" s="27" t="str">
        <f t="shared" si="251"/>
        <v/>
      </c>
      <c r="N4003" s="25"/>
      <c r="O4003" s="22"/>
      <c r="P4003" s="24"/>
      <c r="Q4003" s="26"/>
    </row>
    <row r="4004" spans="1:17" ht="15" x14ac:dyDescent="0.15">
      <c r="A4004" s="22"/>
      <c r="B4004" s="26" t="str">
        <f t="shared" si="248"/>
        <v/>
      </c>
      <c r="C4004" s="26" t="str">
        <f t="shared" si="249"/>
        <v/>
      </c>
      <c r="D4004" s="26" t="str">
        <f t="shared" si="250"/>
        <v/>
      </c>
      <c r="E4004" s="29"/>
      <c r="F4004" s="22"/>
      <c r="G4004" s="22"/>
      <c r="H4004" s="22"/>
      <c r="I4004" s="24"/>
      <c r="J4004" s="24"/>
      <c r="K4004" s="24"/>
      <c r="L4004" s="24"/>
      <c r="M4004" s="27" t="str">
        <f t="shared" si="251"/>
        <v/>
      </c>
      <c r="N4004" s="25"/>
      <c r="O4004" s="22"/>
      <c r="P4004" s="24"/>
      <c r="Q4004" s="26"/>
    </row>
    <row r="4005" spans="1:17" ht="15" x14ac:dyDescent="0.15">
      <c r="A4005" s="22"/>
      <c r="B4005" s="26" t="str">
        <f t="shared" si="248"/>
        <v/>
      </c>
      <c r="C4005" s="26" t="str">
        <f t="shared" si="249"/>
        <v/>
      </c>
      <c r="D4005" s="26" t="str">
        <f t="shared" si="250"/>
        <v/>
      </c>
      <c r="E4005" s="29"/>
      <c r="F4005" s="22"/>
      <c r="G4005" s="22"/>
      <c r="H4005" s="22"/>
      <c r="I4005" s="24"/>
      <c r="J4005" s="24"/>
      <c r="K4005" s="24"/>
      <c r="L4005" s="24"/>
      <c r="M4005" s="27" t="str">
        <f t="shared" si="251"/>
        <v/>
      </c>
      <c r="N4005" s="25"/>
      <c r="O4005" s="22"/>
      <c r="P4005" s="24"/>
      <c r="Q4005" s="26"/>
    </row>
    <row r="4006" spans="1:17" ht="15" x14ac:dyDescent="0.15">
      <c r="A4006" s="22"/>
      <c r="B4006" s="26" t="str">
        <f t="shared" si="248"/>
        <v/>
      </c>
      <c r="C4006" s="26" t="str">
        <f t="shared" si="249"/>
        <v/>
      </c>
      <c r="D4006" s="26" t="str">
        <f t="shared" si="250"/>
        <v/>
      </c>
      <c r="E4006" s="29"/>
      <c r="F4006" s="22"/>
      <c r="G4006" s="22"/>
      <c r="H4006" s="22"/>
      <c r="I4006" s="24"/>
      <c r="J4006" s="24"/>
      <c r="K4006" s="24"/>
      <c r="L4006" s="24"/>
      <c r="M4006" s="27" t="str">
        <f t="shared" si="251"/>
        <v/>
      </c>
      <c r="N4006" s="25"/>
      <c r="O4006" s="22"/>
      <c r="P4006" s="24"/>
      <c r="Q4006" s="26"/>
    </row>
    <row r="4007" spans="1:17" ht="15" x14ac:dyDescent="0.15">
      <c r="A4007" s="22"/>
      <c r="B4007" s="26" t="str">
        <f t="shared" si="248"/>
        <v/>
      </c>
      <c r="C4007" s="26" t="str">
        <f t="shared" si="249"/>
        <v/>
      </c>
      <c r="D4007" s="26" t="str">
        <f t="shared" si="250"/>
        <v/>
      </c>
      <c r="E4007" s="29"/>
      <c r="F4007" s="22"/>
      <c r="G4007" s="22"/>
      <c r="H4007" s="22"/>
      <c r="I4007" s="24"/>
      <c r="J4007" s="24"/>
      <c r="K4007" s="24"/>
      <c r="L4007" s="24"/>
      <c r="M4007" s="27" t="str">
        <f t="shared" si="251"/>
        <v/>
      </c>
      <c r="N4007" s="25"/>
      <c r="O4007" s="22"/>
      <c r="P4007" s="24"/>
      <c r="Q4007" s="26"/>
    </row>
    <row r="4008" spans="1:17" ht="15" x14ac:dyDescent="0.15">
      <c r="A4008" s="22"/>
      <c r="B4008" s="26" t="str">
        <f t="shared" si="248"/>
        <v/>
      </c>
      <c r="C4008" s="26" t="str">
        <f t="shared" si="249"/>
        <v/>
      </c>
      <c r="D4008" s="26" t="str">
        <f t="shared" si="250"/>
        <v/>
      </c>
      <c r="E4008" s="29"/>
      <c r="F4008" s="22"/>
      <c r="G4008" s="22"/>
      <c r="H4008" s="22"/>
      <c r="I4008" s="24"/>
      <c r="J4008" s="24"/>
      <c r="K4008" s="24"/>
      <c r="L4008" s="24"/>
      <c r="M4008" s="27" t="str">
        <f t="shared" si="251"/>
        <v/>
      </c>
      <c r="N4008" s="25"/>
      <c r="O4008" s="22"/>
      <c r="P4008" s="24"/>
      <c r="Q4008" s="26"/>
    </row>
    <row r="4009" spans="1:17" ht="15" x14ac:dyDescent="0.15">
      <c r="A4009" s="22"/>
      <c r="B4009" s="26" t="str">
        <f t="shared" si="248"/>
        <v/>
      </c>
      <c r="C4009" s="26" t="str">
        <f t="shared" si="249"/>
        <v/>
      </c>
      <c r="D4009" s="26" t="str">
        <f t="shared" si="250"/>
        <v/>
      </c>
      <c r="E4009" s="29"/>
      <c r="F4009" s="22"/>
      <c r="G4009" s="22"/>
      <c r="H4009" s="22"/>
      <c r="I4009" s="24"/>
      <c r="J4009" s="24"/>
      <c r="K4009" s="24"/>
      <c r="L4009" s="24"/>
      <c r="M4009" s="27" t="str">
        <f t="shared" si="251"/>
        <v/>
      </c>
      <c r="N4009" s="25"/>
      <c r="O4009" s="22"/>
      <c r="P4009" s="24"/>
      <c r="Q4009" s="26"/>
    </row>
    <row r="4010" spans="1:17" ht="15" x14ac:dyDescent="0.15">
      <c r="A4010" s="22"/>
      <c r="B4010" s="26" t="str">
        <f t="shared" si="248"/>
        <v/>
      </c>
      <c r="C4010" s="26" t="str">
        <f t="shared" si="249"/>
        <v/>
      </c>
      <c r="D4010" s="26" t="str">
        <f t="shared" si="250"/>
        <v/>
      </c>
      <c r="E4010" s="29"/>
      <c r="F4010" s="22"/>
      <c r="G4010" s="22"/>
      <c r="H4010" s="22"/>
      <c r="I4010" s="24"/>
      <c r="J4010" s="24"/>
      <c r="K4010" s="24"/>
      <c r="L4010" s="24"/>
      <c r="M4010" s="27" t="str">
        <f t="shared" si="251"/>
        <v/>
      </c>
      <c r="N4010" s="25"/>
      <c r="O4010" s="22"/>
      <c r="P4010" s="24"/>
      <c r="Q4010" s="26"/>
    </row>
    <row r="4011" spans="1:17" ht="15" x14ac:dyDescent="0.15">
      <c r="A4011" s="22"/>
      <c r="B4011" s="26" t="str">
        <f t="shared" si="248"/>
        <v/>
      </c>
      <c r="C4011" s="26" t="str">
        <f t="shared" si="249"/>
        <v/>
      </c>
      <c r="D4011" s="26" t="str">
        <f t="shared" si="250"/>
        <v/>
      </c>
      <c r="E4011" s="29"/>
      <c r="F4011" s="22"/>
      <c r="G4011" s="22"/>
      <c r="H4011" s="22"/>
      <c r="I4011" s="24"/>
      <c r="J4011" s="24"/>
      <c r="K4011" s="24"/>
      <c r="L4011" s="24"/>
      <c r="M4011" s="27" t="str">
        <f t="shared" si="251"/>
        <v/>
      </c>
      <c r="N4011" s="25"/>
      <c r="O4011" s="22"/>
      <c r="P4011" s="24"/>
      <c r="Q4011" s="26"/>
    </row>
    <row r="4012" spans="1:17" ht="15" x14ac:dyDescent="0.15">
      <c r="A4012" s="22"/>
      <c r="B4012" s="26" t="str">
        <f t="shared" si="248"/>
        <v/>
      </c>
      <c r="C4012" s="26" t="str">
        <f t="shared" si="249"/>
        <v/>
      </c>
      <c r="D4012" s="26" t="str">
        <f t="shared" si="250"/>
        <v/>
      </c>
      <c r="E4012" s="29"/>
      <c r="F4012" s="22"/>
      <c r="G4012" s="22"/>
      <c r="H4012" s="22"/>
      <c r="I4012" s="24"/>
      <c r="J4012" s="24"/>
      <c r="K4012" s="24"/>
      <c r="L4012" s="24"/>
      <c r="M4012" s="27" t="str">
        <f t="shared" si="251"/>
        <v/>
      </c>
      <c r="N4012" s="25"/>
      <c r="O4012" s="22"/>
      <c r="P4012" s="24"/>
      <c r="Q4012" s="26"/>
    </row>
    <row r="4013" spans="1:17" ht="15" x14ac:dyDescent="0.15">
      <c r="A4013" s="22"/>
      <c r="B4013" s="26" t="str">
        <f t="shared" si="248"/>
        <v/>
      </c>
      <c r="C4013" s="26" t="str">
        <f t="shared" si="249"/>
        <v/>
      </c>
      <c r="D4013" s="26" t="str">
        <f t="shared" si="250"/>
        <v/>
      </c>
      <c r="E4013" s="29"/>
      <c r="F4013" s="22"/>
      <c r="G4013" s="22"/>
      <c r="H4013" s="22"/>
      <c r="I4013" s="24"/>
      <c r="J4013" s="24"/>
      <c r="K4013" s="24"/>
      <c r="L4013" s="24"/>
      <c r="M4013" s="27" t="str">
        <f t="shared" si="251"/>
        <v/>
      </c>
      <c r="N4013" s="25"/>
      <c r="O4013" s="22"/>
      <c r="P4013" s="24"/>
      <c r="Q4013" s="26"/>
    </row>
    <row r="4014" spans="1:17" ht="15" x14ac:dyDescent="0.15">
      <c r="A4014" s="22"/>
      <c r="B4014" s="26" t="str">
        <f t="shared" si="248"/>
        <v/>
      </c>
      <c r="C4014" s="26" t="str">
        <f t="shared" si="249"/>
        <v/>
      </c>
      <c r="D4014" s="26" t="str">
        <f t="shared" si="250"/>
        <v/>
      </c>
      <c r="E4014" s="29"/>
      <c r="F4014" s="22"/>
      <c r="G4014" s="22"/>
      <c r="H4014" s="22"/>
      <c r="I4014" s="24"/>
      <c r="J4014" s="24"/>
      <c r="K4014" s="24"/>
      <c r="L4014" s="24"/>
      <c r="M4014" s="27" t="str">
        <f t="shared" si="251"/>
        <v/>
      </c>
      <c r="N4014" s="25"/>
      <c r="O4014" s="22"/>
      <c r="P4014" s="24"/>
      <c r="Q4014" s="26"/>
    </row>
    <row r="4015" spans="1:17" ht="15" x14ac:dyDescent="0.15">
      <c r="A4015" s="22"/>
      <c r="B4015" s="26" t="str">
        <f t="shared" si="248"/>
        <v/>
      </c>
      <c r="C4015" s="26" t="str">
        <f t="shared" si="249"/>
        <v/>
      </c>
      <c r="D4015" s="26" t="str">
        <f t="shared" si="250"/>
        <v/>
      </c>
      <c r="E4015" s="29"/>
      <c r="F4015" s="22"/>
      <c r="G4015" s="22"/>
      <c r="H4015" s="22"/>
      <c r="I4015" s="24"/>
      <c r="J4015" s="24"/>
      <c r="K4015" s="24"/>
      <c r="L4015" s="24"/>
      <c r="M4015" s="27" t="str">
        <f t="shared" si="251"/>
        <v/>
      </c>
      <c r="N4015" s="25"/>
      <c r="O4015" s="22"/>
      <c r="P4015" s="24"/>
      <c r="Q4015" s="26"/>
    </row>
    <row r="4016" spans="1:17" ht="15" x14ac:dyDescent="0.15">
      <c r="A4016" s="22"/>
      <c r="B4016" s="26" t="str">
        <f t="shared" si="248"/>
        <v/>
      </c>
      <c r="C4016" s="26" t="str">
        <f t="shared" si="249"/>
        <v/>
      </c>
      <c r="D4016" s="26" t="str">
        <f t="shared" si="250"/>
        <v/>
      </c>
      <c r="E4016" s="29"/>
      <c r="F4016" s="22"/>
      <c r="G4016" s="22"/>
      <c r="H4016" s="22"/>
      <c r="I4016" s="24"/>
      <c r="J4016" s="24"/>
      <c r="K4016" s="24"/>
      <c r="L4016" s="24"/>
      <c r="M4016" s="27" t="str">
        <f t="shared" si="251"/>
        <v/>
      </c>
      <c r="N4016" s="25"/>
      <c r="O4016" s="22"/>
      <c r="P4016" s="24"/>
      <c r="Q4016" s="26"/>
    </row>
    <row r="4017" spans="1:17" ht="15" x14ac:dyDescent="0.15">
      <c r="A4017" s="22"/>
      <c r="B4017" s="26" t="str">
        <f t="shared" si="248"/>
        <v/>
      </c>
      <c r="C4017" s="26" t="str">
        <f t="shared" si="249"/>
        <v/>
      </c>
      <c r="D4017" s="26" t="str">
        <f t="shared" si="250"/>
        <v/>
      </c>
      <c r="E4017" s="29"/>
      <c r="F4017" s="22"/>
      <c r="G4017" s="22"/>
      <c r="H4017" s="22"/>
      <c r="I4017" s="24"/>
      <c r="J4017" s="24"/>
      <c r="K4017" s="24"/>
      <c r="L4017" s="24"/>
      <c r="M4017" s="27" t="str">
        <f t="shared" si="251"/>
        <v/>
      </c>
      <c r="N4017" s="25"/>
      <c r="O4017" s="22"/>
      <c r="P4017" s="24"/>
      <c r="Q4017" s="26"/>
    </row>
    <row r="4018" spans="1:17" ht="15" x14ac:dyDescent="0.15">
      <c r="A4018" s="22"/>
      <c r="B4018" s="26" t="str">
        <f t="shared" si="248"/>
        <v/>
      </c>
      <c r="C4018" s="26" t="str">
        <f t="shared" si="249"/>
        <v/>
      </c>
      <c r="D4018" s="26" t="str">
        <f t="shared" si="250"/>
        <v/>
      </c>
      <c r="E4018" s="29"/>
      <c r="F4018" s="22"/>
      <c r="G4018" s="22"/>
      <c r="H4018" s="22"/>
      <c r="I4018" s="24"/>
      <c r="J4018" s="24"/>
      <c r="K4018" s="24"/>
      <c r="L4018" s="24"/>
      <c r="M4018" s="27" t="str">
        <f t="shared" si="251"/>
        <v/>
      </c>
      <c r="N4018" s="25"/>
      <c r="O4018" s="22"/>
      <c r="P4018" s="24"/>
      <c r="Q4018" s="26"/>
    </row>
    <row r="4019" spans="1:17" ht="15" x14ac:dyDescent="0.15">
      <c r="A4019" s="22"/>
      <c r="B4019" s="26" t="str">
        <f t="shared" si="248"/>
        <v/>
      </c>
      <c r="C4019" s="26" t="str">
        <f t="shared" si="249"/>
        <v/>
      </c>
      <c r="D4019" s="26" t="str">
        <f t="shared" si="250"/>
        <v/>
      </c>
      <c r="E4019" s="29"/>
      <c r="F4019" s="22"/>
      <c r="G4019" s="22"/>
      <c r="H4019" s="22"/>
      <c r="I4019" s="24"/>
      <c r="J4019" s="24"/>
      <c r="K4019" s="24"/>
      <c r="L4019" s="24"/>
      <c r="M4019" s="27" t="str">
        <f t="shared" si="251"/>
        <v/>
      </c>
      <c r="N4019" s="25"/>
      <c r="O4019" s="22"/>
      <c r="P4019" s="24"/>
      <c r="Q4019" s="26"/>
    </row>
    <row r="4020" spans="1:17" ht="15" x14ac:dyDescent="0.15">
      <c r="A4020" s="22"/>
      <c r="B4020" s="26" t="str">
        <f t="shared" si="248"/>
        <v/>
      </c>
      <c r="C4020" s="26" t="str">
        <f t="shared" si="249"/>
        <v/>
      </c>
      <c r="D4020" s="26" t="str">
        <f t="shared" si="250"/>
        <v/>
      </c>
      <c r="E4020" s="29"/>
      <c r="F4020" s="22"/>
      <c r="G4020" s="22"/>
      <c r="H4020" s="22"/>
      <c r="I4020" s="24"/>
      <c r="J4020" s="24"/>
      <c r="K4020" s="24"/>
      <c r="L4020" s="24"/>
      <c r="M4020" s="27" t="str">
        <f t="shared" si="251"/>
        <v/>
      </c>
      <c r="N4020" s="25"/>
      <c r="O4020" s="22"/>
      <c r="P4020" s="24"/>
      <c r="Q4020" s="26"/>
    </row>
    <row r="4021" spans="1:17" ht="15" x14ac:dyDescent="0.15">
      <c r="A4021" s="22"/>
      <c r="B4021" s="26" t="str">
        <f t="shared" si="248"/>
        <v/>
      </c>
      <c r="C4021" s="26" t="str">
        <f t="shared" si="249"/>
        <v/>
      </c>
      <c r="D4021" s="26" t="str">
        <f t="shared" si="250"/>
        <v/>
      </c>
      <c r="E4021" s="29"/>
      <c r="F4021" s="22"/>
      <c r="G4021" s="22"/>
      <c r="H4021" s="22"/>
      <c r="I4021" s="24"/>
      <c r="J4021" s="24"/>
      <c r="K4021" s="24"/>
      <c r="L4021" s="24"/>
      <c r="M4021" s="27" t="str">
        <f t="shared" si="251"/>
        <v/>
      </c>
      <c r="N4021" s="25"/>
      <c r="O4021" s="22"/>
      <c r="P4021" s="24"/>
      <c r="Q4021" s="26"/>
    </row>
    <row r="4022" spans="1:17" ht="15" x14ac:dyDescent="0.15">
      <c r="A4022" s="22"/>
      <c r="B4022" s="26" t="str">
        <f t="shared" si="248"/>
        <v/>
      </c>
      <c r="C4022" s="26" t="str">
        <f t="shared" si="249"/>
        <v/>
      </c>
      <c r="D4022" s="26" t="str">
        <f t="shared" si="250"/>
        <v/>
      </c>
      <c r="E4022" s="29"/>
      <c r="F4022" s="22"/>
      <c r="G4022" s="22"/>
      <c r="H4022" s="22"/>
      <c r="I4022" s="24"/>
      <c r="J4022" s="24"/>
      <c r="K4022" s="24"/>
      <c r="L4022" s="24"/>
      <c r="M4022" s="27" t="str">
        <f t="shared" si="251"/>
        <v/>
      </c>
      <c r="N4022" s="25"/>
      <c r="O4022" s="22"/>
      <c r="P4022" s="24"/>
      <c r="Q4022" s="26"/>
    </row>
    <row r="4023" spans="1:17" ht="15" x14ac:dyDescent="0.15">
      <c r="A4023" s="22"/>
      <c r="B4023" s="26" t="str">
        <f t="shared" si="248"/>
        <v/>
      </c>
      <c r="C4023" s="26" t="str">
        <f t="shared" si="249"/>
        <v/>
      </c>
      <c r="D4023" s="26" t="str">
        <f t="shared" si="250"/>
        <v/>
      </c>
      <c r="E4023" s="29"/>
      <c r="F4023" s="22"/>
      <c r="G4023" s="22"/>
      <c r="H4023" s="22"/>
      <c r="I4023" s="24"/>
      <c r="J4023" s="24"/>
      <c r="K4023" s="24"/>
      <c r="L4023" s="24"/>
      <c r="M4023" s="27" t="str">
        <f t="shared" si="251"/>
        <v/>
      </c>
      <c r="N4023" s="25"/>
      <c r="O4023" s="22"/>
      <c r="P4023" s="24"/>
      <c r="Q4023" s="26"/>
    </row>
    <row r="4024" spans="1:17" ht="15" x14ac:dyDescent="0.15">
      <c r="A4024" s="22"/>
      <c r="B4024" s="26" t="str">
        <f t="shared" si="248"/>
        <v/>
      </c>
      <c r="C4024" s="26" t="str">
        <f t="shared" si="249"/>
        <v/>
      </c>
      <c r="D4024" s="26" t="str">
        <f t="shared" si="250"/>
        <v/>
      </c>
      <c r="E4024" s="29"/>
      <c r="F4024" s="22"/>
      <c r="G4024" s="22"/>
      <c r="H4024" s="22"/>
      <c r="I4024" s="24"/>
      <c r="J4024" s="24"/>
      <c r="K4024" s="24"/>
      <c r="L4024" s="24"/>
      <c r="M4024" s="27" t="str">
        <f t="shared" si="251"/>
        <v/>
      </c>
      <c r="N4024" s="25"/>
      <c r="O4024" s="22"/>
      <c r="P4024" s="24"/>
      <c r="Q4024" s="26"/>
    </row>
    <row r="4025" spans="1:17" ht="15" x14ac:dyDescent="0.15">
      <c r="A4025" s="22"/>
      <c r="B4025" s="26" t="str">
        <f t="shared" si="248"/>
        <v/>
      </c>
      <c r="C4025" s="26" t="str">
        <f t="shared" si="249"/>
        <v/>
      </c>
      <c r="D4025" s="26" t="str">
        <f t="shared" si="250"/>
        <v/>
      </c>
      <c r="E4025" s="29"/>
      <c r="F4025" s="22"/>
      <c r="G4025" s="22"/>
      <c r="H4025" s="22"/>
      <c r="I4025" s="24"/>
      <c r="J4025" s="24"/>
      <c r="K4025" s="24"/>
      <c r="L4025" s="24"/>
      <c r="M4025" s="27" t="str">
        <f t="shared" si="251"/>
        <v/>
      </c>
      <c r="N4025" s="25"/>
      <c r="O4025" s="22"/>
      <c r="P4025" s="24"/>
      <c r="Q4025" s="26"/>
    </row>
    <row r="4026" spans="1:17" ht="15" x14ac:dyDescent="0.15">
      <c r="A4026" s="22"/>
      <c r="B4026" s="26" t="str">
        <f t="shared" si="248"/>
        <v/>
      </c>
      <c r="C4026" s="26" t="str">
        <f t="shared" si="249"/>
        <v/>
      </c>
      <c r="D4026" s="26" t="str">
        <f t="shared" si="250"/>
        <v/>
      </c>
      <c r="E4026" s="29"/>
      <c r="F4026" s="22"/>
      <c r="G4026" s="22"/>
      <c r="H4026" s="22"/>
      <c r="I4026" s="24"/>
      <c r="J4026" s="24"/>
      <c r="K4026" s="24"/>
      <c r="L4026" s="24"/>
      <c r="M4026" s="27" t="str">
        <f t="shared" si="251"/>
        <v/>
      </c>
      <c r="N4026" s="25"/>
      <c r="O4026" s="22"/>
      <c r="P4026" s="24"/>
      <c r="Q4026" s="26"/>
    </row>
    <row r="4027" spans="1:17" ht="15" x14ac:dyDescent="0.15">
      <c r="A4027" s="22"/>
      <c r="B4027" s="26" t="str">
        <f t="shared" si="248"/>
        <v/>
      </c>
      <c r="C4027" s="26" t="str">
        <f t="shared" si="249"/>
        <v/>
      </c>
      <c r="D4027" s="26" t="str">
        <f t="shared" si="250"/>
        <v/>
      </c>
      <c r="E4027" s="29"/>
      <c r="F4027" s="22"/>
      <c r="G4027" s="22"/>
      <c r="H4027" s="22"/>
      <c r="I4027" s="24"/>
      <c r="J4027" s="24"/>
      <c r="K4027" s="24"/>
      <c r="L4027" s="24"/>
      <c r="M4027" s="27" t="str">
        <f t="shared" si="251"/>
        <v/>
      </c>
      <c r="N4027" s="25"/>
      <c r="O4027" s="22"/>
      <c r="P4027" s="24"/>
      <c r="Q4027" s="26"/>
    </row>
    <row r="4028" spans="1:17" ht="15" x14ac:dyDescent="0.15">
      <c r="A4028" s="22"/>
      <c r="B4028" s="26" t="str">
        <f t="shared" si="248"/>
        <v/>
      </c>
      <c r="C4028" s="26" t="str">
        <f t="shared" si="249"/>
        <v/>
      </c>
      <c r="D4028" s="26" t="str">
        <f t="shared" si="250"/>
        <v/>
      </c>
      <c r="E4028" s="29"/>
      <c r="F4028" s="22"/>
      <c r="G4028" s="22"/>
      <c r="H4028" s="22"/>
      <c r="I4028" s="24"/>
      <c r="J4028" s="24"/>
      <c r="K4028" s="24"/>
      <c r="L4028" s="24"/>
      <c r="M4028" s="27" t="str">
        <f t="shared" si="251"/>
        <v/>
      </c>
      <c r="N4028" s="25"/>
      <c r="O4028" s="22"/>
      <c r="P4028" s="24"/>
      <c r="Q4028" s="26"/>
    </row>
    <row r="4029" spans="1:17" ht="15" x14ac:dyDescent="0.15">
      <c r="A4029" s="22"/>
      <c r="B4029" s="26" t="str">
        <f t="shared" si="248"/>
        <v/>
      </c>
      <c r="C4029" s="26" t="str">
        <f t="shared" si="249"/>
        <v/>
      </c>
      <c r="D4029" s="26" t="str">
        <f t="shared" si="250"/>
        <v/>
      </c>
      <c r="E4029" s="29"/>
      <c r="F4029" s="22"/>
      <c r="G4029" s="22"/>
      <c r="H4029" s="22"/>
      <c r="I4029" s="24"/>
      <c r="J4029" s="24"/>
      <c r="K4029" s="24"/>
      <c r="L4029" s="24"/>
      <c r="M4029" s="27" t="str">
        <f t="shared" si="251"/>
        <v/>
      </c>
      <c r="N4029" s="25"/>
      <c r="O4029" s="22"/>
      <c r="P4029" s="24"/>
      <c r="Q4029" s="26"/>
    </row>
    <row r="4030" spans="1:17" ht="15" x14ac:dyDescent="0.15">
      <c r="A4030" s="22"/>
      <c r="B4030" s="26" t="str">
        <f t="shared" si="248"/>
        <v/>
      </c>
      <c r="C4030" s="26" t="str">
        <f t="shared" si="249"/>
        <v/>
      </c>
      <c r="D4030" s="26" t="str">
        <f t="shared" si="250"/>
        <v/>
      </c>
      <c r="E4030" s="29"/>
      <c r="F4030" s="22"/>
      <c r="G4030" s="22"/>
      <c r="H4030" s="22"/>
      <c r="I4030" s="24"/>
      <c r="J4030" s="24"/>
      <c r="K4030" s="24"/>
      <c r="L4030" s="24"/>
      <c r="M4030" s="27" t="str">
        <f t="shared" si="251"/>
        <v/>
      </c>
      <c r="N4030" s="25"/>
      <c r="O4030" s="22"/>
      <c r="P4030" s="24"/>
      <c r="Q4030" s="26"/>
    </row>
    <row r="4031" spans="1:17" ht="15" x14ac:dyDescent="0.15">
      <c r="A4031" s="22"/>
      <c r="B4031" s="26" t="str">
        <f t="shared" si="248"/>
        <v/>
      </c>
      <c r="C4031" s="26" t="str">
        <f t="shared" si="249"/>
        <v/>
      </c>
      <c r="D4031" s="26" t="str">
        <f t="shared" si="250"/>
        <v/>
      </c>
      <c r="E4031" s="29"/>
      <c r="F4031" s="22"/>
      <c r="G4031" s="22"/>
      <c r="H4031" s="22"/>
      <c r="I4031" s="24"/>
      <c r="J4031" s="24"/>
      <c r="K4031" s="24"/>
      <c r="L4031" s="24"/>
      <c r="M4031" s="27" t="str">
        <f t="shared" si="251"/>
        <v/>
      </c>
      <c r="N4031" s="25"/>
      <c r="O4031" s="22"/>
      <c r="P4031" s="24"/>
      <c r="Q4031" s="26"/>
    </row>
    <row r="4032" spans="1:17" ht="15" x14ac:dyDescent="0.15">
      <c r="A4032" s="22"/>
      <c r="B4032" s="26" t="str">
        <f t="shared" si="248"/>
        <v/>
      </c>
      <c r="C4032" s="26" t="str">
        <f t="shared" si="249"/>
        <v/>
      </c>
      <c r="D4032" s="26" t="str">
        <f t="shared" si="250"/>
        <v/>
      </c>
      <c r="E4032" s="29"/>
      <c r="F4032" s="22"/>
      <c r="G4032" s="22"/>
      <c r="H4032" s="22"/>
      <c r="I4032" s="24"/>
      <c r="J4032" s="24"/>
      <c r="K4032" s="24"/>
      <c r="L4032" s="24"/>
      <c r="M4032" s="27" t="str">
        <f t="shared" si="251"/>
        <v/>
      </c>
      <c r="N4032" s="25"/>
      <c r="O4032" s="22"/>
      <c r="P4032" s="24"/>
      <c r="Q4032" s="26"/>
    </row>
    <row r="4033" spans="1:17" ht="15" x14ac:dyDescent="0.15">
      <c r="A4033" s="22"/>
      <c r="B4033" s="26" t="str">
        <f t="shared" si="248"/>
        <v/>
      </c>
      <c r="C4033" s="26" t="str">
        <f t="shared" si="249"/>
        <v/>
      </c>
      <c r="D4033" s="26" t="str">
        <f t="shared" si="250"/>
        <v/>
      </c>
      <c r="E4033" s="29"/>
      <c r="F4033" s="22"/>
      <c r="G4033" s="22"/>
      <c r="H4033" s="22"/>
      <c r="I4033" s="24"/>
      <c r="J4033" s="24"/>
      <c r="K4033" s="24"/>
      <c r="L4033" s="24"/>
      <c r="M4033" s="27" t="str">
        <f t="shared" si="251"/>
        <v/>
      </c>
      <c r="N4033" s="25"/>
      <c r="O4033" s="22"/>
      <c r="P4033" s="24"/>
      <c r="Q4033" s="26"/>
    </row>
    <row r="4034" spans="1:17" ht="15" x14ac:dyDescent="0.15">
      <c r="A4034" s="22"/>
      <c r="B4034" s="26" t="str">
        <f t="shared" si="248"/>
        <v/>
      </c>
      <c r="C4034" s="26" t="str">
        <f t="shared" si="249"/>
        <v/>
      </c>
      <c r="D4034" s="26" t="str">
        <f t="shared" si="250"/>
        <v/>
      </c>
      <c r="E4034" s="29"/>
      <c r="F4034" s="22"/>
      <c r="G4034" s="22"/>
      <c r="H4034" s="22"/>
      <c r="I4034" s="24"/>
      <c r="J4034" s="24"/>
      <c r="K4034" s="24"/>
      <c r="L4034" s="24"/>
      <c r="M4034" s="27" t="str">
        <f t="shared" si="251"/>
        <v/>
      </c>
      <c r="N4034" s="25"/>
      <c r="O4034" s="22"/>
      <c r="P4034" s="24"/>
      <c r="Q4034" s="26"/>
    </row>
    <row r="4035" spans="1:17" ht="15" x14ac:dyDescent="0.15">
      <c r="A4035" s="22"/>
      <c r="B4035" s="26" t="str">
        <f t="shared" si="248"/>
        <v/>
      </c>
      <c r="C4035" s="26" t="str">
        <f t="shared" si="249"/>
        <v/>
      </c>
      <c r="D4035" s="26" t="str">
        <f t="shared" si="250"/>
        <v/>
      </c>
      <c r="E4035" s="29"/>
      <c r="F4035" s="22"/>
      <c r="G4035" s="22"/>
      <c r="H4035" s="22"/>
      <c r="I4035" s="24"/>
      <c r="J4035" s="24"/>
      <c r="K4035" s="24"/>
      <c r="L4035" s="24"/>
      <c r="M4035" s="27" t="str">
        <f t="shared" si="251"/>
        <v/>
      </c>
      <c r="N4035" s="25"/>
      <c r="O4035" s="22"/>
      <c r="P4035" s="24"/>
      <c r="Q4035" s="26"/>
    </row>
    <row r="4036" spans="1:17" ht="15" x14ac:dyDescent="0.15">
      <c r="A4036" s="22"/>
      <c r="B4036" s="26" t="str">
        <f t="shared" si="248"/>
        <v/>
      </c>
      <c r="C4036" s="26" t="str">
        <f t="shared" si="249"/>
        <v/>
      </c>
      <c r="D4036" s="26" t="str">
        <f t="shared" si="250"/>
        <v/>
      </c>
      <c r="E4036" s="29"/>
      <c r="F4036" s="22"/>
      <c r="G4036" s="22"/>
      <c r="H4036" s="22"/>
      <c r="I4036" s="24"/>
      <c r="J4036" s="24"/>
      <c r="K4036" s="24"/>
      <c r="L4036" s="24"/>
      <c r="M4036" s="27" t="str">
        <f t="shared" si="251"/>
        <v/>
      </c>
      <c r="N4036" s="25"/>
      <c r="O4036" s="22"/>
      <c r="P4036" s="24"/>
      <c r="Q4036" s="26"/>
    </row>
    <row r="4037" spans="1:17" ht="15" x14ac:dyDescent="0.15">
      <c r="A4037" s="22"/>
      <c r="B4037" s="26" t="str">
        <f t="shared" si="248"/>
        <v/>
      </c>
      <c r="C4037" s="26" t="str">
        <f t="shared" si="249"/>
        <v/>
      </c>
      <c r="D4037" s="26" t="str">
        <f t="shared" si="250"/>
        <v/>
      </c>
      <c r="E4037" s="29"/>
      <c r="F4037" s="22"/>
      <c r="G4037" s="22"/>
      <c r="H4037" s="22"/>
      <c r="I4037" s="24"/>
      <c r="J4037" s="24"/>
      <c r="K4037" s="24"/>
      <c r="L4037" s="24"/>
      <c r="M4037" s="27" t="str">
        <f t="shared" si="251"/>
        <v/>
      </c>
      <c r="N4037" s="25"/>
      <c r="O4037" s="22"/>
      <c r="P4037" s="24"/>
      <c r="Q4037" s="26"/>
    </row>
    <row r="4038" spans="1:17" ht="15" x14ac:dyDescent="0.15">
      <c r="A4038" s="22"/>
      <c r="B4038" s="26" t="str">
        <f t="shared" si="248"/>
        <v/>
      </c>
      <c r="C4038" s="26" t="str">
        <f t="shared" si="249"/>
        <v/>
      </c>
      <c r="D4038" s="26" t="str">
        <f t="shared" si="250"/>
        <v/>
      </c>
      <c r="E4038" s="29"/>
      <c r="F4038" s="22"/>
      <c r="G4038" s="22"/>
      <c r="H4038" s="22"/>
      <c r="I4038" s="24"/>
      <c r="J4038" s="24"/>
      <c r="K4038" s="24"/>
      <c r="L4038" s="24"/>
      <c r="M4038" s="27" t="str">
        <f t="shared" si="251"/>
        <v/>
      </c>
      <c r="N4038" s="25"/>
      <c r="O4038" s="22"/>
      <c r="P4038" s="24"/>
      <c r="Q4038" s="26"/>
    </row>
    <row r="4039" spans="1:17" ht="15" x14ac:dyDescent="0.15">
      <c r="A4039" s="22"/>
      <c r="B4039" s="26" t="str">
        <f t="shared" ref="B4039:B4102" si="252">IFERROR(IF($A4039="","",LEFT($A4039,FIND(" | ",$A4039)-1)),"")</f>
        <v/>
      </c>
      <c r="C4039" s="26" t="str">
        <f t="shared" ref="C4039:C4102" si="253">IFERROR(IF($A4039="","",MID($A4039,FIND(" | ",$A4039)+3,FIND(" | ",$A4039,FIND(" | ",$A4039)+3)-FIND(" | ",$A4039)-3)),"")</f>
        <v/>
      </c>
      <c r="D4039" s="26" t="str">
        <f t="shared" ref="D4039:D4102" si="254">IFERROR(IF($A4039="","",RIGHT($A4039,LEN($A4039)-FIND(" | ",$A4039,FIND(" | ",$A4039)+3)-2)),"")</f>
        <v/>
      </c>
      <c r="E4039" s="29"/>
      <c r="F4039" s="22"/>
      <c r="G4039" s="22"/>
      <c r="H4039" s="22"/>
      <c r="I4039" s="24"/>
      <c r="J4039" s="24"/>
      <c r="K4039" s="24"/>
      <c r="L4039" s="24"/>
      <c r="M4039" s="27" t="str">
        <f t="shared" ref="M4039:M4102" si="255">IF($B4039="","",SUM($J4039,-$K4039,$L4039))</f>
        <v/>
      </c>
      <c r="N4039" s="25"/>
      <c r="O4039" s="22"/>
      <c r="P4039" s="24"/>
      <c r="Q4039" s="26"/>
    </row>
    <row r="4040" spans="1:17" ht="15" x14ac:dyDescent="0.15">
      <c r="A4040" s="22"/>
      <c r="B4040" s="26" t="str">
        <f t="shared" si="252"/>
        <v/>
      </c>
      <c r="C4040" s="26" t="str">
        <f t="shared" si="253"/>
        <v/>
      </c>
      <c r="D4040" s="26" t="str">
        <f t="shared" si="254"/>
        <v/>
      </c>
      <c r="E4040" s="29"/>
      <c r="F4040" s="22"/>
      <c r="G4040" s="22"/>
      <c r="H4040" s="22"/>
      <c r="I4040" s="24"/>
      <c r="J4040" s="24"/>
      <c r="K4040" s="24"/>
      <c r="L4040" s="24"/>
      <c r="M4040" s="27" t="str">
        <f t="shared" si="255"/>
        <v/>
      </c>
      <c r="N4040" s="25"/>
      <c r="O4040" s="22"/>
      <c r="P4040" s="24"/>
      <c r="Q4040" s="26"/>
    </row>
    <row r="4041" spans="1:17" ht="15" x14ac:dyDescent="0.15">
      <c r="A4041" s="22"/>
      <c r="B4041" s="26" t="str">
        <f t="shared" si="252"/>
        <v/>
      </c>
      <c r="C4041" s="26" t="str">
        <f t="shared" si="253"/>
        <v/>
      </c>
      <c r="D4041" s="26" t="str">
        <f t="shared" si="254"/>
        <v/>
      </c>
      <c r="E4041" s="29"/>
      <c r="F4041" s="22"/>
      <c r="G4041" s="22"/>
      <c r="H4041" s="22"/>
      <c r="I4041" s="24"/>
      <c r="J4041" s="24"/>
      <c r="K4041" s="24"/>
      <c r="L4041" s="24"/>
      <c r="M4041" s="27" t="str">
        <f t="shared" si="255"/>
        <v/>
      </c>
      <c r="N4041" s="25"/>
      <c r="O4041" s="22"/>
      <c r="P4041" s="24"/>
      <c r="Q4041" s="26"/>
    </row>
    <row r="4042" spans="1:17" ht="15" x14ac:dyDescent="0.15">
      <c r="A4042" s="22"/>
      <c r="B4042" s="26" t="str">
        <f t="shared" si="252"/>
        <v/>
      </c>
      <c r="C4042" s="26" t="str">
        <f t="shared" si="253"/>
        <v/>
      </c>
      <c r="D4042" s="26" t="str">
        <f t="shared" si="254"/>
        <v/>
      </c>
      <c r="E4042" s="29"/>
      <c r="F4042" s="22"/>
      <c r="G4042" s="22"/>
      <c r="H4042" s="22"/>
      <c r="I4042" s="24"/>
      <c r="J4042" s="24"/>
      <c r="K4042" s="24"/>
      <c r="L4042" s="24"/>
      <c r="M4042" s="27" t="str">
        <f t="shared" si="255"/>
        <v/>
      </c>
      <c r="N4042" s="25"/>
      <c r="O4042" s="22"/>
      <c r="P4042" s="24"/>
      <c r="Q4042" s="26"/>
    </row>
    <row r="4043" spans="1:17" ht="15" x14ac:dyDescent="0.15">
      <c r="A4043" s="22"/>
      <c r="B4043" s="26" t="str">
        <f t="shared" si="252"/>
        <v/>
      </c>
      <c r="C4043" s="26" t="str">
        <f t="shared" si="253"/>
        <v/>
      </c>
      <c r="D4043" s="26" t="str">
        <f t="shared" si="254"/>
        <v/>
      </c>
      <c r="E4043" s="29"/>
      <c r="F4043" s="22"/>
      <c r="G4043" s="22"/>
      <c r="H4043" s="22"/>
      <c r="I4043" s="24"/>
      <c r="J4043" s="24"/>
      <c r="K4043" s="24"/>
      <c r="L4043" s="24"/>
      <c r="M4043" s="27" t="str">
        <f t="shared" si="255"/>
        <v/>
      </c>
      <c r="N4043" s="25"/>
      <c r="O4043" s="22"/>
      <c r="P4043" s="24"/>
      <c r="Q4043" s="26"/>
    </row>
    <row r="4044" spans="1:17" ht="15" x14ac:dyDescent="0.15">
      <c r="A4044" s="22"/>
      <c r="B4044" s="26" t="str">
        <f t="shared" si="252"/>
        <v/>
      </c>
      <c r="C4044" s="26" t="str">
        <f t="shared" si="253"/>
        <v/>
      </c>
      <c r="D4044" s="26" t="str">
        <f t="shared" si="254"/>
        <v/>
      </c>
      <c r="E4044" s="29"/>
      <c r="F4044" s="22"/>
      <c r="G4044" s="22"/>
      <c r="H4044" s="22"/>
      <c r="I4044" s="24"/>
      <c r="J4044" s="24"/>
      <c r="K4044" s="24"/>
      <c r="L4044" s="24"/>
      <c r="M4044" s="27" t="str">
        <f t="shared" si="255"/>
        <v/>
      </c>
      <c r="N4044" s="25"/>
      <c r="O4044" s="22"/>
      <c r="P4044" s="24"/>
      <c r="Q4044" s="26"/>
    </row>
    <row r="4045" spans="1:17" ht="15" x14ac:dyDescent="0.15">
      <c r="A4045" s="22"/>
      <c r="B4045" s="26" t="str">
        <f t="shared" si="252"/>
        <v/>
      </c>
      <c r="C4045" s="26" t="str">
        <f t="shared" si="253"/>
        <v/>
      </c>
      <c r="D4045" s="26" t="str">
        <f t="shared" si="254"/>
        <v/>
      </c>
      <c r="E4045" s="29"/>
      <c r="F4045" s="22"/>
      <c r="G4045" s="22"/>
      <c r="H4045" s="22"/>
      <c r="I4045" s="24"/>
      <c r="J4045" s="24"/>
      <c r="K4045" s="24"/>
      <c r="L4045" s="24"/>
      <c r="M4045" s="27" t="str">
        <f t="shared" si="255"/>
        <v/>
      </c>
      <c r="N4045" s="25"/>
      <c r="O4045" s="22"/>
      <c r="P4045" s="24"/>
      <c r="Q4045" s="26"/>
    </row>
    <row r="4046" spans="1:17" ht="15" x14ac:dyDescent="0.15">
      <c r="A4046" s="22"/>
      <c r="B4046" s="26" t="str">
        <f t="shared" si="252"/>
        <v/>
      </c>
      <c r="C4046" s="26" t="str">
        <f t="shared" si="253"/>
        <v/>
      </c>
      <c r="D4046" s="26" t="str">
        <f t="shared" si="254"/>
        <v/>
      </c>
      <c r="E4046" s="29"/>
      <c r="F4046" s="22"/>
      <c r="G4046" s="22"/>
      <c r="H4046" s="22"/>
      <c r="I4046" s="24"/>
      <c r="J4046" s="24"/>
      <c r="K4046" s="24"/>
      <c r="L4046" s="24"/>
      <c r="M4046" s="27" t="str">
        <f t="shared" si="255"/>
        <v/>
      </c>
      <c r="N4046" s="25"/>
      <c r="O4046" s="22"/>
      <c r="P4046" s="24"/>
      <c r="Q4046" s="26"/>
    </row>
    <row r="4047" spans="1:17" ht="15" x14ac:dyDescent="0.15">
      <c r="A4047" s="22"/>
      <c r="B4047" s="26" t="str">
        <f t="shared" si="252"/>
        <v/>
      </c>
      <c r="C4047" s="26" t="str">
        <f t="shared" si="253"/>
        <v/>
      </c>
      <c r="D4047" s="26" t="str">
        <f t="shared" si="254"/>
        <v/>
      </c>
      <c r="E4047" s="29"/>
      <c r="F4047" s="22"/>
      <c r="G4047" s="22"/>
      <c r="H4047" s="22"/>
      <c r="I4047" s="24"/>
      <c r="J4047" s="24"/>
      <c r="K4047" s="24"/>
      <c r="L4047" s="24"/>
      <c r="M4047" s="27" t="str">
        <f t="shared" si="255"/>
        <v/>
      </c>
      <c r="N4047" s="25"/>
      <c r="O4047" s="22"/>
      <c r="P4047" s="24"/>
      <c r="Q4047" s="26"/>
    </row>
    <row r="4048" spans="1:17" ht="15" x14ac:dyDescent="0.15">
      <c r="A4048" s="22"/>
      <c r="B4048" s="26" t="str">
        <f t="shared" si="252"/>
        <v/>
      </c>
      <c r="C4048" s="26" t="str">
        <f t="shared" si="253"/>
        <v/>
      </c>
      <c r="D4048" s="26" t="str">
        <f t="shared" si="254"/>
        <v/>
      </c>
      <c r="E4048" s="29"/>
      <c r="F4048" s="22"/>
      <c r="G4048" s="22"/>
      <c r="H4048" s="22"/>
      <c r="I4048" s="24"/>
      <c r="J4048" s="24"/>
      <c r="K4048" s="24"/>
      <c r="L4048" s="24"/>
      <c r="M4048" s="27" t="str">
        <f t="shared" si="255"/>
        <v/>
      </c>
      <c r="N4048" s="25"/>
      <c r="O4048" s="22"/>
      <c r="P4048" s="24"/>
      <c r="Q4048" s="26"/>
    </row>
    <row r="4049" spans="1:17" ht="15" x14ac:dyDescent="0.15">
      <c r="A4049" s="22"/>
      <c r="B4049" s="26" t="str">
        <f t="shared" si="252"/>
        <v/>
      </c>
      <c r="C4049" s="26" t="str">
        <f t="shared" si="253"/>
        <v/>
      </c>
      <c r="D4049" s="26" t="str">
        <f t="shared" si="254"/>
        <v/>
      </c>
      <c r="E4049" s="29"/>
      <c r="F4049" s="22"/>
      <c r="G4049" s="22"/>
      <c r="H4049" s="22"/>
      <c r="I4049" s="24"/>
      <c r="J4049" s="24"/>
      <c r="K4049" s="24"/>
      <c r="L4049" s="24"/>
      <c r="M4049" s="27" t="str">
        <f t="shared" si="255"/>
        <v/>
      </c>
      <c r="N4049" s="25"/>
      <c r="O4049" s="22"/>
      <c r="P4049" s="24"/>
      <c r="Q4049" s="26"/>
    </row>
    <row r="4050" spans="1:17" ht="15" x14ac:dyDescent="0.15">
      <c r="A4050" s="22"/>
      <c r="B4050" s="26" t="str">
        <f t="shared" si="252"/>
        <v/>
      </c>
      <c r="C4050" s="26" t="str">
        <f t="shared" si="253"/>
        <v/>
      </c>
      <c r="D4050" s="26" t="str">
        <f t="shared" si="254"/>
        <v/>
      </c>
      <c r="E4050" s="29"/>
      <c r="F4050" s="22"/>
      <c r="G4050" s="22"/>
      <c r="H4050" s="22"/>
      <c r="I4050" s="24"/>
      <c r="J4050" s="24"/>
      <c r="K4050" s="24"/>
      <c r="L4050" s="24"/>
      <c r="M4050" s="27" t="str">
        <f t="shared" si="255"/>
        <v/>
      </c>
      <c r="N4050" s="25"/>
      <c r="O4050" s="22"/>
      <c r="P4050" s="24"/>
      <c r="Q4050" s="26"/>
    </row>
    <row r="4051" spans="1:17" ht="15" x14ac:dyDescent="0.15">
      <c r="A4051" s="22"/>
      <c r="B4051" s="26" t="str">
        <f t="shared" si="252"/>
        <v/>
      </c>
      <c r="C4051" s="26" t="str">
        <f t="shared" si="253"/>
        <v/>
      </c>
      <c r="D4051" s="26" t="str">
        <f t="shared" si="254"/>
        <v/>
      </c>
      <c r="E4051" s="29"/>
      <c r="F4051" s="22"/>
      <c r="G4051" s="22"/>
      <c r="H4051" s="22"/>
      <c r="I4051" s="24"/>
      <c r="J4051" s="24"/>
      <c r="K4051" s="24"/>
      <c r="L4051" s="24"/>
      <c r="M4051" s="27" t="str">
        <f t="shared" si="255"/>
        <v/>
      </c>
      <c r="N4051" s="25"/>
      <c r="O4051" s="22"/>
      <c r="P4051" s="24"/>
      <c r="Q4051" s="26"/>
    </row>
    <row r="4052" spans="1:17" ht="15" x14ac:dyDescent="0.15">
      <c r="A4052" s="22"/>
      <c r="B4052" s="26" t="str">
        <f t="shared" si="252"/>
        <v/>
      </c>
      <c r="C4052" s="26" t="str">
        <f t="shared" si="253"/>
        <v/>
      </c>
      <c r="D4052" s="26" t="str">
        <f t="shared" si="254"/>
        <v/>
      </c>
      <c r="E4052" s="29"/>
      <c r="F4052" s="22"/>
      <c r="G4052" s="22"/>
      <c r="H4052" s="22"/>
      <c r="I4052" s="24"/>
      <c r="J4052" s="24"/>
      <c r="K4052" s="24"/>
      <c r="L4052" s="24"/>
      <c r="M4052" s="27" t="str">
        <f t="shared" si="255"/>
        <v/>
      </c>
      <c r="N4052" s="25"/>
      <c r="O4052" s="22"/>
      <c r="P4052" s="24"/>
      <c r="Q4052" s="26"/>
    </row>
    <row r="4053" spans="1:17" ht="15" x14ac:dyDescent="0.15">
      <c r="A4053" s="22"/>
      <c r="B4053" s="26" t="str">
        <f t="shared" si="252"/>
        <v/>
      </c>
      <c r="C4053" s="26" t="str">
        <f t="shared" si="253"/>
        <v/>
      </c>
      <c r="D4053" s="26" t="str">
        <f t="shared" si="254"/>
        <v/>
      </c>
      <c r="E4053" s="29"/>
      <c r="F4053" s="22"/>
      <c r="G4053" s="22"/>
      <c r="H4053" s="22"/>
      <c r="I4053" s="24"/>
      <c r="J4053" s="24"/>
      <c r="K4053" s="24"/>
      <c r="L4053" s="24"/>
      <c r="M4053" s="27" t="str">
        <f t="shared" si="255"/>
        <v/>
      </c>
      <c r="N4053" s="25"/>
      <c r="O4053" s="22"/>
      <c r="P4053" s="24"/>
      <c r="Q4053" s="26"/>
    </row>
    <row r="4054" spans="1:17" ht="15" x14ac:dyDescent="0.15">
      <c r="A4054" s="22"/>
      <c r="B4054" s="26" t="str">
        <f t="shared" si="252"/>
        <v/>
      </c>
      <c r="C4054" s="26" t="str">
        <f t="shared" si="253"/>
        <v/>
      </c>
      <c r="D4054" s="26" t="str">
        <f t="shared" si="254"/>
        <v/>
      </c>
      <c r="E4054" s="29"/>
      <c r="F4054" s="22"/>
      <c r="G4054" s="22"/>
      <c r="H4054" s="22"/>
      <c r="I4054" s="24"/>
      <c r="J4054" s="24"/>
      <c r="K4054" s="24"/>
      <c r="L4054" s="24"/>
      <c r="M4054" s="27" t="str">
        <f t="shared" si="255"/>
        <v/>
      </c>
      <c r="N4054" s="25"/>
      <c r="O4054" s="22"/>
      <c r="P4054" s="24"/>
      <c r="Q4054" s="26"/>
    </row>
    <row r="4055" spans="1:17" ht="15" x14ac:dyDescent="0.15">
      <c r="A4055" s="22"/>
      <c r="B4055" s="26" t="str">
        <f t="shared" si="252"/>
        <v/>
      </c>
      <c r="C4055" s="26" t="str">
        <f t="shared" si="253"/>
        <v/>
      </c>
      <c r="D4055" s="26" t="str">
        <f t="shared" si="254"/>
        <v/>
      </c>
      <c r="E4055" s="29"/>
      <c r="F4055" s="22"/>
      <c r="G4055" s="22"/>
      <c r="H4055" s="22"/>
      <c r="I4055" s="24"/>
      <c r="J4055" s="24"/>
      <c r="K4055" s="24"/>
      <c r="L4055" s="24"/>
      <c r="M4055" s="27" t="str">
        <f t="shared" si="255"/>
        <v/>
      </c>
      <c r="N4055" s="25"/>
      <c r="O4055" s="22"/>
      <c r="P4055" s="24"/>
      <c r="Q4055" s="26"/>
    </row>
    <row r="4056" spans="1:17" ht="15" x14ac:dyDescent="0.15">
      <c r="A4056" s="22"/>
      <c r="B4056" s="26" t="str">
        <f t="shared" si="252"/>
        <v/>
      </c>
      <c r="C4056" s="26" t="str">
        <f t="shared" si="253"/>
        <v/>
      </c>
      <c r="D4056" s="26" t="str">
        <f t="shared" si="254"/>
        <v/>
      </c>
      <c r="E4056" s="29"/>
      <c r="F4056" s="22"/>
      <c r="G4056" s="22"/>
      <c r="H4056" s="22"/>
      <c r="I4056" s="24"/>
      <c r="J4056" s="24"/>
      <c r="K4056" s="24"/>
      <c r="L4056" s="24"/>
      <c r="M4056" s="27" t="str">
        <f t="shared" si="255"/>
        <v/>
      </c>
      <c r="N4056" s="25"/>
      <c r="O4056" s="22"/>
      <c r="P4056" s="24"/>
      <c r="Q4056" s="26"/>
    </row>
    <row r="4057" spans="1:17" ht="15" x14ac:dyDescent="0.15">
      <c r="A4057" s="22"/>
      <c r="B4057" s="26" t="str">
        <f t="shared" si="252"/>
        <v/>
      </c>
      <c r="C4057" s="26" t="str">
        <f t="shared" si="253"/>
        <v/>
      </c>
      <c r="D4057" s="26" t="str">
        <f t="shared" si="254"/>
        <v/>
      </c>
      <c r="E4057" s="29"/>
      <c r="F4057" s="22"/>
      <c r="G4057" s="22"/>
      <c r="H4057" s="22"/>
      <c r="I4057" s="24"/>
      <c r="J4057" s="24"/>
      <c r="K4057" s="24"/>
      <c r="L4057" s="24"/>
      <c r="M4057" s="27" t="str">
        <f t="shared" si="255"/>
        <v/>
      </c>
      <c r="N4057" s="25"/>
      <c r="O4057" s="22"/>
      <c r="P4057" s="24"/>
      <c r="Q4057" s="26"/>
    </row>
    <row r="4058" spans="1:17" ht="15" x14ac:dyDescent="0.15">
      <c r="A4058" s="22"/>
      <c r="B4058" s="26" t="str">
        <f t="shared" si="252"/>
        <v/>
      </c>
      <c r="C4058" s="26" t="str">
        <f t="shared" si="253"/>
        <v/>
      </c>
      <c r="D4058" s="26" t="str">
        <f t="shared" si="254"/>
        <v/>
      </c>
      <c r="E4058" s="29"/>
      <c r="F4058" s="22"/>
      <c r="G4058" s="22"/>
      <c r="H4058" s="22"/>
      <c r="I4058" s="24"/>
      <c r="J4058" s="24"/>
      <c r="K4058" s="24"/>
      <c r="L4058" s="24"/>
      <c r="M4058" s="27" t="str">
        <f t="shared" si="255"/>
        <v/>
      </c>
      <c r="N4058" s="25"/>
      <c r="O4058" s="22"/>
      <c r="P4058" s="24"/>
      <c r="Q4058" s="26"/>
    </row>
    <row r="4059" spans="1:17" ht="15" x14ac:dyDescent="0.15">
      <c r="A4059" s="22"/>
      <c r="B4059" s="26" t="str">
        <f t="shared" si="252"/>
        <v/>
      </c>
      <c r="C4059" s="26" t="str">
        <f t="shared" si="253"/>
        <v/>
      </c>
      <c r="D4059" s="26" t="str">
        <f t="shared" si="254"/>
        <v/>
      </c>
      <c r="E4059" s="29"/>
      <c r="F4059" s="22"/>
      <c r="G4059" s="22"/>
      <c r="H4059" s="22"/>
      <c r="I4059" s="24"/>
      <c r="J4059" s="24"/>
      <c r="K4059" s="24"/>
      <c r="L4059" s="24"/>
      <c r="M4059" s="27" t="str">
        <f t="shared" si="255"/>
        <v/>
      </c>
      <c r="N4059" s="25"/>
      <c r="O4059" s="22"/>
      <c r="P4059" s="24"/>
      <c r="Q4059" s="26"/>
    </row>
    <row r="4060" spans="1:17" ht="15" x14ac:dyDescent="0.15">
      <c r="A4060" s="22"/>
      <c r="B4060" s="26" t="str">
        <f t="shared" si="252"/>
        <v/>
      </c>
      <c r="C4060" s="26" t="str">
        <f t="shared" si="253"/>
        <v/>
      </c>
      <c r="D4060" s="26" t="str">
        <f t="shared" si="254"/>
        <v/>
      </c>
      <c r="E4060" s="29"/>
      <c r="F4060" s="22"/>
      <c r="G4060" s="22"/>
      <c r="H4060" s="22"/>
      <c r="I4060" s="24"/>
      <c r="J4060" s="24"/>
      <c r="K4060" s="24"/>
      <c r="L4060" s="24"/>
      <c r="M4060" s="27" t="str">
        <f t="shared" si="255"/>
        <v/>
      </c>
      <c r="N4060" s="25"/>
      <c r="O4060" s="22"/>
      <c r="P4060" s="24"/>
      <c r="Q4060" s="26"/>
    </row>
    <row r="4061" spans="1:17" ht="15" x14ac:dyDescent="0.15">
      <c r="A4061" s="22"/>
      <c r="B4061" s="26" t="str">
        <f t="shared" si="252"/>
        <v/>
      </c>
      <c r="C4061" s="26" t="str">
        <f t="shared" si="253"/>
        <v/>
      </c>
      <c r="D4061" s="26" t="str">
        <f t="shared" si="254"/>
        <v/>
      </c>
      <c r="E4061" s="29"/>
      <c r="F4061" s="22"/>
      <c r="G4061" s="22"/>
      <c r="H4061" s="22"/>
      <c r="I4061" s="24"/>
      <c r="J4061" s="24"/>
      <c r="K4061" s="24"/>
      <c r="L4061" s="24"/>
      <c r="M4061" s="27" t="str">
        <f t="shared" si="255"/>
        <v/>
      </c>
      <c r="N4061" s="25"/>
      <c r="O4061" s="22"/>
      <c r="P4061" s="24"/>
      <c r="Q4061" s="26"/>
    </row>
    <row r="4062" spans="1:17" ht="15" x14ac:dyDescent="0.15">
      <c r="A4062" s="22"/>
      <c r="B4062" s="26" t="str">
        <f t="shared" si="252"/>
        <v/>
      </c>
      <c r="C4062" s="26" t="str">
        <f t="shared" si="253"/>
        <v/>
      </c>
      <c r="D4062" s="26" t="str">
        <f t="shared" si="254"/>
        <v/>
      </c>
      <c r="E4062" s="29"/>
      <c r="F4062" s="22"/>
      <c r="G4062" s="22"/>
      <c r="H4062" s="22"/>
      <c r="I4062" s="24"/>
      <c r="J4062" s="24"/>
      <c r="K4062" s="24"/>
      <c r="L4062" s="24"/>
      <c r="M4062" s="27" t="str">
        <f t="shared" si="255"/>
        <v/>
      </c>
      <c r="N4062" s="25"/>
      <c r="O4062" s="22"/>
      <c r="P4062" s="24"/>
      <c r="Q4062" s="26"/>
    </row>
    <row r="4063" spans="1:17" ht="15" x14ac:dyDescent="0.15">
      <c r="A4063" s="22"/>
      <c r="B4063" s="26" t="str">
        <f t="shared" si="252"/>
        <v/>
      </c>
      <c r="C4063" s="26" t="str">
        <f t="shared" si="253"/>
        <v/>
      </c>
      <c r="D4063" s="26" t="str">
        <f t="shared" si="254"/>
        <v/>
      </c>
      <c r="E4063" s="29"/>
      <c r="F4063" s="22"/>
      <c r="G4063" s="22"/>
      <c r="H4063" s="22"/>
      <c r="I4063" s="24"/>
      <c r="J4063" s="24"/>
      <c r="K4063" s="24"/>
      <c r="L4063" s="24"/>
      <c r="M4063" s="27" t="str">
        <f t="shared" si="255"/>
        <v/>
      </c>
      <c r="N4063" s="25"/>
      <c r="O4063" s="22"/>
      <c r="P4063" s="24"/>
      <c r="Q4063" s="26"/>
    </row>
    <row r="4064" spans="1:17" ht="15" x14ac:dyDescent="0.15">
      <c r="A4064" s="22"/>
      <c r="B4064" s="26" t="str">
        <f t="shared" si="252"/>
        <v/>
      </c>
      <c r="C4064" s="26" t="str">
        <f t="shared" si="253"/>
        <v/>
      </c>
      <c r="D4064" s="26" t="str">
        <f t="shared" si="254"/>
        <v/>
      </c>
      <c r="E4064" s="29"/>
      <c r="F4064" s="22"/>
      <c r="G4064" s="22"/>
      <c r="H4064" s="22"/>
      <c r="I4064" s="24"/>
      <c r="J4064" s="24"/>
      <c r="K4064" s="24"/>
      <c r="L4064" s="24"/>
      <c r="M4064" s="27" t="str">
        <f t="shared" si="255"/>
        <v/>
      </c>
      <c r="N4064" s="25"/>
      <c r="O4064" s="22"/>
      <c r="P4064" s="24"/>
      <c r="Q4064" s="26"/>
    </row>
    <row r="4065" spans="1:17" ht="15" x14ac:dyDescent="0.15">
      <c r="A4065" s="22"/>
      <c r="B4065" s="26" t="str">
        <f t="shared" si="252"/>
        <v/>
      </c>
      <c r="C4065" s="26" t="str">
        <f t="shared" si="253"/>
        <v/>
      </c>
      <c r="D4065" s="26" t="str">
        <f t="shared" si="254"/>
        <v/>
      </c>
      <c r="E4065" s="29"/>
      <c r="F4065" s="22"/>
      <c r="G4065" s="22"/>
      <c r="H4065" s="22"/>
      <c r="I4065" s="24"/>
      <c r="J4065" s="24"/>
      <c r="K4065" s="24"/>
      <c r="L4065" s="24"/>
      <c r="M4065" s="27" t="str">
        <f t="shared" si="255"/>
        <v/>
      </c>
      <c r="N4065" s="25"/>
      <c r="O4065" s="22"/>
      <c r="P4065" s="24"/>
      <c r="Q4065" s="26"/>
    </row>
    <row r="4066" spans="1:17" ht="15" x14ac:dyDescent="0.15">
      <c r="A4066" s="22"/>
      <c r="B4066" s="26" t="str">
        <f t="shared" si="252"/>
        <v/>
      </c>
      <c r="C4066" s="26" t="str">
        <f t="shared" si="253"/>
        <v/>
      </c>
      <c r="D4066" s="26" t="str">
        <f t="shared" si="254"/>
        <v/>
      </c>
      <c r="E4066" s="29"/>
      <c r="F4066" s="22"/>
      <c r="G4066" s="22"/>
      <c r="H4066" s="22"/>
      <c r="I4066" s="24"/>
      <c r="J4066" s="24"/>
      <c r="K4066" s="24"/>
      <c r="L4066" s="24"/>
      <c r="M4066" s="27" t="str">
        <f t="shared" si="255"/>
        <v/>
      </c>
      <c r="N4066" s="25"/>
      <c r="O4066" s="22"/>
      <c r="P4066" s="24"/>
      <c r="Q4066" s="26"/>
    </row>
    <row r="4067" spans="1:17" ht="15" x14ac:dyDescent="0.15">
      <c r="A4067" s="22"/>
      <c r="B4067" s="26" t="str">
        <f t="shared" si="252"/>
        <v/>
      </c>
      <c r="C4067" s="26" t="str">
        <f t="shared" si="253"/>
        <v/>
      </c>
      <c r="D4067" s="26" t="str">
        <f t="shared" si="254"/>
        <v/>
      </c>
      <c r="E4067" s="29"/>
      <c r="F4067" s="22"/>
      <c r="G4067" s="22"/>
      <c r="H4067" s="22"/>
      <c r="I4067" s="24"/>
      <c r="J4067" s="24"/>
      <c r="K4067" s="24"/>
      <c r="L4067" s="24"/>
      <c r="M4067" s="27" t="str">
        <f t="shared" si="255"/>
        <v/>
      </c>
      <c r="N4067" s="25"/>
      <c r="O4067" s="22"/>
      <c r="P4067" s="24"/>
      <c r="Q4067" s="26"/>
    </row>
    <row r="4068" spans="1:17" ht="15" x14ac:dyDescent="0.15">
      <c r="A4068" s="22"/>
      <c r="B4068" s="26" t="str">
        <f t="shared" si="252"/>
        <v/>
      </c>
      <c r="C4068" s="26" t="str">
        <f t="shared" si="253"/>
        <v/>
      </c>
      <c r="D4068" s="26" t="str">
        <f t="shared" si="254"/>
        <v/>
      </c>
      <c r="E4068" s="29"/>
      <c r="F4068" s="22"/>
      <c r="G4068" s="22"/>
      <c r="H4068" s="22"/>
      <c r="I4068" s="24"/>
      <c r="J4068" s="24"/>
      <c r="K4068" s="24"/>
      <c r="L4068" s="24"/>
      <c r="M4068" s="27" t="str">
        <f t="shared" si="255"/>
        <v/>
      </c>
      <c r="N4068" s="25"/>
      <c r="O4068" s="22"/>
      <c r="P4068" s="24"/>
      <c r="Q4068" s="26"/>
    </row>
    <row r="4069" spans="1:17" ht="15" x14ac:dyDescent="0.15">
      <c r="A4069" s="22"/>
      <c r="B4069" s="26" t="str">
        <f t="shared" si="252"/>
        <v/>
      </c>
      <c r="C4069" s="26" t="str">
        <f t="shared" si="253"/>
        <v/>
      </c>
      <c r="D4069" s="26" t="str">
        <f t="shared" si="254"/>
        <v/>
      </c>
      <c r="E4069" s="29"/>
      <c r="F4069" s="22"/>
      <c r="G4069" s="22"/>
      <c r="H4069" s="22"/>
      <c r="I4069" s="24"/>
      <c r="J4069" s="24"/>
      <c r="K4069" s="24"/>
      <c r="L4069" s="24"/>
      <c r="M4069" s="27" t="str">
        <f t="shared" si="255"/>
        <v/>
      </c>
      <c r="N4069" s="25"/>
      <c r="O4069" s="22"/>
      <c r="P4069" s="24"/>
      <c r="Q4069" s="26"/>
    </row>
    <row r="4070" spans="1:17" ht="15" x14ac:dyDescent="0.15">
      <c r="A4070" s="22"/>
      <c r="B4070" s="26" t="str">
        <f t="shared" si="252"/>
        <v/>
      </c>
      <c r="C4070" s="26" t="str">
        <f t="shared" si="253"/>
        <v/>
      </c>
      <c r="D4070" s="26" t="str">
        <f t="shared" si="254"/>
        <v/>
      </c>
      <c r="E4070" s="29"/>
      <c r="F4070" s="22"/>
      <c r="G4070" s="22"/>
      <c r="H4070" s="22"/>
      <c r="I4070" s="24"/>
      <c r="J4070" s="24"/>
      <c r="K4070" s="24"/>
      <c r="L4070" s="24"/>
      <c r="M4070" s="27" t="str">
        <f t="shared" si="255"/>
        <v/>
      </c>
      <c r="N4070" s="25"/>
      <c r="O4070" s="22"/>
      <c r="P4070" s="24"/>
      <c r="Q4070" s="26"/>
    </row>
    <row r="4071" spans="1:17" ht="15" x14ac:dyDescent="0.15">
      <c r="A4071" s="22"/>
      <c r="B4071" s="26" t="str">
        <f t="shared" si="252"/>
        <v/>
      </c>
      <c r="C4071" s="26" t="str">
        <f t="shared" si="253"/>
        <v/>
      </c>
      <c r="D4071" s="26" t="str">
        <f t="shared" si="254"/>
        <v/>
      </c>
      <c r="E4071" s="29"/>
      <c r="F4071" s="22"/>
      <c r="G4071" s="22"/>
      <c r="H4071" s="22"/>
      <c r="I4071" s="24"/>
      <c r="J4071" s="24"/>
      <c r="K4071" s="24"/>
      <c r="L4071" s="24"/>
      <c r="M4071" s="27" t="str">
        <f t="shared" si="255"/>
        <v/>
      </c>
      <c r="N4071" s="25"/>
      <c r="O4071" s="22"/>
      <c r="P4071" s="24"/>
      <c r="Q4071" s="26"/>
    </row>
    <row r="4072" spans="1:17" ht="15" x14ac:dyDescent="0.15">
      <c r="A4072" s="22"/>
      <c r="B4072" s="26" t="str">
        <f t="shared" si="252"/>
        <v/>
      </c>
      <c r="C4072" s="26" t="str">
        <f t="shared" si="253"/>
        <v/>
      </c>
      <c r="D4072" s="26" t="str">
        <f t="shared" si="254"/>
        <v/>
      </c>
      <c r="E4072" s="29"/>
      <c r="F4072" s="22"/>
      <c r="G4072" s="22"/>
      <c r="H4072" s="22"/>
      <c r="I4072" s="24"/>
      <c r="J4072" s="24"/>
      <c r="K4072" s="24"/>
      <c r="L4072" s="24"/>
      <c r="M4072" s="27" t="str">
        <f t="shared" si="255"/>
        <v/>
      </c>
      <c r="N4072" s="25"/>
      <c r="O4072" s="22"/>
      <c r="P4072" s="24"/>
      <c r="Q4072" s="26"/>
    </row>
    <row r="4073" spans="1:17" ht="15" x14ac:dyDescent="0.15">
      <c r="A4073" s="22"/>
      <c r="B4073" s="26" t="str">
        <f t="shared" si="252"/>
        <v/>
      </c>
      <c r="C4073" s="26" t="str">
        <f t="shared" si="253"/>
        <v/>
      </c>
      <c r="D4073" s="26" t="str">
        <f t="shared" si="254"/>
        <v/>
      </c>
      <c r="E4073" s="29"/>
      <c r="F4073" s="22"/>
      <c r="G4073" s="22"/>
      <c r="H4073" s="22"/>
      <c r="I4073" s="24"/>
      <c r="J4073" s="24"/>
      <c r="K4073" s="24"/>
      <c r="L4073" s="24"/>
      <c r="M4073" s="27" t="str">
        <f t="shared" si="255"/>
        <v/>
      </c>
      <c r="N4073" s="25"/>
      <c r="O4073" s="22"/>
      <c r="P4073" s="24"/>
      <c r="Q4073" s="26"/>
    </row>
    <row r="4074" spans="1:17" ht="15" x14ac:dyDescent="0.15">
      <c r="A4074" s="22"/>
      <c r="B4074" s="26" t="str">
        <f t="shared" si="252"/>
        <v/>
      </c>
      <c r="C4074" s="26" t="str">
        <f t="shared" si="253"/>
        <v/>
      </c>
      <c r="D4074" s="26" t="str">
        <f t="shared" si="254"/>
        <v/>
      </c>
      <c r="E4074" s="29"/>
      <c r="F4074" s="22"/>
      <c r="G4074" s="22"/>
      <c r="H4074" s="22"/>
      <c r="I4074" s="24"/>
      <c r="J4074" s="24"/>
      <c r="K4074" s="24"/>
      <c r="L4074" s="24"/>
      <c r="M4074" s="27" t="str">
        <f t="shared" si="255"/>
        <v/>
      </c>
      <c r="N4074" s="25"/>
      <c r="O4074" s="22"/>
      <c r="P4074" s="24"/>
      <c r="Q4074" s="26"/>
    </row>
    <row r="4075" spans="1:17" ht="15" x14ac:dyDescent="0.15">
      <c r="A4075" s="22"/>
      <c r="B4075" s="26" t="str">
        <f t="shared" si="252"/>
        <v/>
      </c>
      <c r="C4075" s="26" t="str">
        <f t="shared" si="253"/>
        <v/>
      </c>
      <c r="D4075" s="26" t="str">
        <f t="shared" si="254"/>
        <v/>
      </c>
      <c r="E4075" s="29"/>
      <c r="F4075" s="22"/>
      <c r="G4075" s="22"/>
      <c r="H4075" s="22"/>
      <c r="I4075" s="24"/>
      <c r="J4075" s="24"/>
      <c r="K4075" s="24"/>
      <c r="L4075" s="24"/>
      <c r="M4075" s="27" t="str">
        <f t="shared" si="255"/>
        <v/>
      </c>
      <c r="N4075" s="25"/>
      <c r="O4075" s="22"/>
      <c r="P4075" s="24"/>
      <c r="Q4075" s="26"/>
    </row>
    <row r="4076" spans="1:17" ht="15" x14ac:dyDescent="0.15">
      <c r="A4076" s="22"/>
      <c r="B4076" s="26" t="str">
        <f t="shared" si="252"/>
        <v/>
      </c>
      <c r="C4076" s="26" t="str">
        <f t="shared" si="253"/>
        <v/>
      </c>
      <c r="D4076" s="26" t="str">
        <f t="shared" si="254"/>
        <v/>
      </c>
      <c r="E4076" s="29"/>
      <c r="F4076" s="22"/>
      <c r="G4076" s="22"/>
      <c r="H4076" s="22"/>
      <c r="I4076" s="24"/>
      <c r="J4076" s="24"/>
      <c r="K4076" s="24"/>
      <c r="L4076" s="24"/>
      <c r="M4076" s="27" t="str">
        <f t="shared" si="255"/>
        <v/>
      </c>
      <c r="N4076" s="25"/>
      <c r="O4076" s="22"/>
      <c r="P4076" s="24"/>
      <c r="Q4076" s="26"/>
    </row>
    <row r="4077" spans="1:17" ht="15" x14ac:dyDescent="0.15">
      <c r="A4077" s="22"/>
      <c r="B4077" s="26" t="str">
        <f t="shared" si="252"/>
        <v/>
      </c>
      <c r="C4077" s="26" t="str">
        <f t="shared" si="253"/>
        <v/>
      </c>
      <c r="D4077" s="26" t="str">
        <f t="shared" si="254"/>
        <v/>
      </c>
      <c r="E4077" s="29"/>
      <c r="F4077" s="22"/>
      <c r="G4077" s="22"/>
      <c r="H4077" s="22"/>
      <c r="I4077" s="24"/>
      <c r="J4077" s="24"/>
      <c r="K4077" s="24"/>
      <c r="L4077" s="24"/>
      <c r="M4077" s="27" t="str">
        <f t="shared" si="255"/>
        <v/>
      </c>
      <c r="N4077" s="25"/>
      <c r="O4077" s="22"/>
      <c r="P4077" s="24"/>
      <c r="Q4077" s="26"/>
    </row>
    <row r="4078" spans="1:17" ht="15" x14ac:dyDescent="0.15">
      <c r="A4078" s="22"/>
      <c r="B4078" s="26" t="str">
        <f t="shared" si="252"/>
        <v/>
      </c>
      <c r="C4078" s="26" t="str">
        <f t="shared" si="253"/>
        <v/>
      </c>
      <c r="D4078" s="26" t="str">
        <f t="shared" si="254"/>
        <v/>
      </c>
      <c r="E4078" s="29"/>
      <c r="F4078" s="22"/>
      <c r="G4078" s="22"/>
      <c r="H4078" s="22"/>
      <c r="I4078" s="24"/>
      <c r="J4078" s="24"/>
      <c r="K4078" s="24"/>
      <c r="L4078" s="24"/>
      <c r="M4078" s="27" t="str">
        <f t="shared" si="255"/>
        <v/>
      </c>
      <c r="N4078" s="25"/>
      <c r="O4078" s="22"/>
      <c r="P4078" s="24"/>
      <c r="Q4078" s="26"/>
    </row>
    <row r="4079" spans="1:17" ht="15" x14ac:dyDescent="0.15">
      <c r="A4079" s="22"/>
      <c r="B4079" s="26" t="str">
        <f t="shared" si="252"/>
        <v/>
      </c>
      <c r="C4079" s="26" t="str">
        <f t="shared" si="253"/>
        <v/>
      </c>
      <c r="D4079" s="26" t="str">
        <f t="shared" si="254"/>
        <v/>
      </c>
      <c r="E4079" s="29"/>
      <c r="F4079" s="22"/>
      <c r="G4079" s="22"/>
      <c r="H4079" s="22"/>
      <c r="I4079" s="24"/>
      <c r="J4079" s="24"/>
      <c r="K4079" s="24"/>
      <c r="L4079" s="24"/>
      <c r="M4079" s="27" t="str">
        <f t="shared" si="255"/>
        <v/>
      </c>
      <c r="N4079" s="25"/>
      <c r="O4079" s="22"/>
      <c r="P4079" s="24"/>
      <c r="Q4079" s="26"/>
    </row>
    <row r="4080" spans="1:17" ht="15" x14ac:dyDescent="0.15">
      <c r="A4080" s="22"/>
      <c r="B4080" s="26" t="str">
        <f t="shared" si="252"/>
        <v/>
      </c>
      <c r="C4080" s="26" t="str">
        <f t="shared" si="253"/>
        <v/>
      </c>
      <c r="D4080" s="26" t="str">
        <f t="shared" si="254"/>
        <v/>
      </c>
      <c r="E4080" s="29"/>
      <c r="F4080" s="22"/>
      <c r="G4080" s="22"/>
      <c r="H4080" s="22"/>
      <c r="I4080" s="24"/>
      <c r="J4080" s="24"/>
      <c r="K4080" s="24"/>
      <c r="L4080" s="24"/>
      <c r="M4080" s="27" t="str">
        <f t="shared" si="255"/>
        <v/>
      </c>
      <c r="N4080" s="25"/>
      <c r="O4080" s="22"/>
      <c r="P4080" s="24"/>
      <c r="Q4080" s="26"/>
    </row>
    <row r="4081" spans="1:17" ht="15" x14ac:dyDescent="0.15">
      <c r="A4081" s="22"/>
      <c r="B4081" s="26" t="str">
        <f t="shared" si="252"/>
        <v/>
      </c>
      <c r="C4081" s="26" t="str">
        <f t="shared" si="253"/>
        <v/>
      </c>
      <c r="D4081" s="26" t="str">
        <f t="shared" si="254"/>
        <v/>
      </c>
      <c r="E4081" s="29"/>
      <c r="F4081" s="22"/>
      <c r="G4081" s="22"/>
      <c r="H4081" s="22"/>
      <c r="I4081" s="24"/>
      <c r="J4081" s="24"/>
      <c r="K4081" s="24"/>
      <c r="L4081" s="24"/>
      <c r="M4081" s="27" t="str">
        <f t="shared" si="255"/>
        <v/>
      </c>
      <c r="N4081" s="25"/>
      <c r="O4081" s="22"/>
      <c r="P4081" s="24"/>
      <c r="Q4081" s="26"/>
    </row>
    <row r="4082" spans="1:17" ht="15" x14ac:dyDescent="0.15">
      <c r="A4082" s="22"/>
      <c r="B4082" s="26" t="str">
        <f t="shared" si="252"/>
        <v/>
      </c>
      <c r="C4082" s="26" t="str">
        <f t="shared" si="253"/>
        <v/>
      </c>
      <c r="D4082" s="26" t="str">
        <f t="shared" si="254"/>
        <v/>
      </c>
      <c r="E4082" s="29"/>
      <c r="F4082" s="22"/>
      <c r="G4082" s="22"/>
      <c r="H4082" s="22"/>
      <c r="I4082" s="24"/>
      <c r="J4082" s="24"/>
      <c r="K4082" s="24"/>
      <c r="L4082" s="24"/>
      <c r="M4082" s="27" t="str">
        <f t="shared" si="255"/>
        <v/>
      </c>
      <c r="N4082" s="25"/>
      <c r="O4082" s="22"/>
      <c r="P4082" s="24"/>
      <c r="Q4082" s="26"/>
    </row>
    <row r="4083" spans="1:17" ht="15" x14ac:dyDescent="0.15">
      <c r="A4083" s="22"/>
      <c r="B4083" s="26" t="str">
        <f t="shared" si="252"/>
        <v/>
      </c>
      <c r="C4083" s="26" t="str">
        <f t="shared" si="253"/>
        <v/>
      </c>
      <c r="D4083" s="26" t="str">
        <f t="shared" si="254"/>
        <v/>
      </c>
      <c r="E4083" s="29"/>
      <c r="F4083" s="22"/>
      <c r="G4083" s="22"/>
      <c r="H4083" s="22"/>
      <c r="I4083" s="24"/>
      <c r="J4083" s="24"/>
      <c r="K4083" s="24"/>
      <c r="L4083" s="24"/>
      <c r="M4083" s="27" t="str">
        <f t="shared" si="255"/>
        <v/>
      </c>
      <c r="N4083" s="25"/>
      <c r="O4083" s="22"/>
      <c r="P4083" s="24"/>
      <c r="Q4083" s="26"/>
    </row>
    <row r="4084" spans="1:17" ht="15" x14ac:dyDescent="0.15">
      <c r="A4084" s="22"/>
      <c r="B4084" s="26" t="str">
        <f t="shared" si="252"/>
        <v/>
      </c>
      <c r="C4084" s="26" t="str">
        <f t="shared" si="253"/>
        <v/>
      </c>
      <c r="D4084" s="26" t="str">
        <f t="shared" si="254"/>
        <v/>
      </c>
      <c r="E4084" s="29"/>
      <c r="F4084" s="22"/>
      <c r="G4084" s="22"/>
      <c r="H4084" s="22"/>
      <c r="I4084" s="24"/>
      <c r="J4084" s="24"/>
      <c r="K4084" s="24"/>
      <c r="L4084" s="24"/>
      <c r="M4084" s="27" t="str">
        <f t="shared" si="255"/>
        <v/>
      </c>
      <c r="N4084" s="25"/>
      <c r="O4084" s="22"/>
      <c r="P4084" s="24"/>
      <c r="Q4084" s="26"/>
    </row>
    <row r="4085" spans="1:17" ht="15" x14ac:dyDescent="0.15">
      <c r="A4085" s="22"/>
      <c r="B4085" s="26" t="str">
        <f t="shared" si="252"/>
        <v/>
      </c>
      <c r="C4085" s="26" t="str">
        <f t="shared" si="253"/>
        <v/>
      </c>
      <c r="D4085" s="26" t="str">
        <f t="shared" si="254"/>
        <v/>
      </c>
      <c r="E4085" s="29"/>
      <c r="F4085" s="22"/>
      <c r="G4085" s="22"/>
      <c r="H4085" s="22"/>
      <c r="I4085" s="24"/>
      <c r="J4085" s="24"/>
      <c r="K4085" s="24"/>
      <c r="L4085" s="24"/>
      <c r="M4085" s="27" t="str">
        <f t="shared" si="255"/>
        <v/>
      </c>
      <c r="N4085" s="25"/>
      <c r="O4085" s="22"/>
      <c r="P4085" s="24"/>
      <c r="Q4085" s="26"/>
    </row>
    <row r="4086" spans="1:17" ht="15" x14ac:dyDescent="0.15">
      <c r="A4086" s="22"/>
      <c r="B4086" s="26" t="str">
        <f t="shared" si="252"/>
        <v/>
      </c>
      <c r="C4086" s="26" t="str">
        <f t="shared" si="253"/>
        <v/>
      </c>
      <c r="D4086" s="26" t="str">
        <f t="shared" si="254"/>
        <v/>
      </c>
      <c r="E4086" s="29"/>
      <c r="F4086" s="22"/>
      <c r="G4086" s="22"/>
      <c r="H4086" s="22"/>
      <c r="I4086" s="24"/>
      <c r="J4086" s="24"/>
      <c r="K4086" s="24"/>
      <c r="L4086" s="24"/>
      <c r="M4086" s="27" t="str">
        <f t="shared" si="255"/>
        <v/>
      </c>
      <c r="N4086" s="25"/>
      <c r="O4086" s="22"/>
      <c r="P4086" s="24"/>
      <c r="Q4086" s="26"/>
    </row>
    <row r="4087" spans="1:17" ht="15" x14ac:dyDescent="0.15">
      <c r="A4087" s="22"/>
      <c r="B4087" s="26" t="str">
        <f t="shared" si="252"/>
        <v/>
      </c>
      <c r="C4087" s="26" t="str">
        <f t="shared" si="253"/>
        <v/>
      </c>
      <c r="D4087" s="26" t="str">
        <f t="shared" si="254"/>
        <v/>
      </c>
      <c r="E4087" s="29"/>
      <c r="F4087" s="22"/>
      <c r="G4087" s="22"/>
      <c r="H4087" s="22"/>
      <c r="I4087" s="24"/>
      <c r="J4087" s="24"/>
      <c r="K4087" s="24"/>
      <c r="L4087" s="24"/>
      <c r="M4087" s="27" t="str">
        <f t="shared" si="255"/>
        <v/>
      </c>
      <c r="N4087" s="25"/>
      <c r="O4087" s="22"/>
      <c r="P4087" s="24"/>
      <c r="Q4087" s="26"/>
    </row>
    <row r="4088" spans="1:17" ht="15" x14ac:dyDescent="0.15">
      <c r="A4088" s="22"/>
      <c r="B4088" s="26" t="str">
        <f t="shared" si="252"/>
        <v/>
      </c>
      <c r="C4088" s="26" t="str">
        <f t="shared" si="253"/>
        <v/>
      </c>
      <c r="D4088" s="26" t="str">
        <f t="shared" si="254"/>
        <v/>
      </c>
      <c r="E4088" s="29"/>
      <c r="F4088" s="22"/>
      <c r="G4088" s="22"/>
      <c r="H4088" s="22"/>
      <c r="I4088" s="24"/>
      <c r="J4088" s="24"/>
      <c r="K4088" s="24"/>
      <c r="L4088" s="24"/>
      <c r="M4088" s="27" t="str">
        <f t="shared" si="255"/>
        <v/>
      </c>
      <c r="N4088" s="25"/>
      <c r="O4088" s="22"/>
      <c r="P4088" s="24"/>
      <c r="Q4088" s="26"/>
    </row>
    <row r="4089" spans="1:17" ht="15" x14ac:dyDescent="0.15">
      <c r="A4089" s="22"/>
      <c r="B4089" s="26" t="str">
        <f t="shared" si="252"/>
        <v/>
      </c>
      <c r="C4089" s="26" t="str">
        <f t="shared" si="253"/>
        <v/>
      </c>
      <c r="D4089" s="26" t="str">
        <f t="shared" si="254"/>
        <v/>
      </c>
      <c r="E4089" s="29"/>
      <c r="F4089" s="22"/>
      <c r="G4089" s="22"/>
      <c r="H4089" s="22"/>
      <c r="I4089" s="24"/>
      <c r="J4089" s="24"/>
      <c r="K4089" s="24"/>
      <c r="L4089" s="24"/>
      <c r="M4089" s="27" t="str">
        <f t="shared" si="255"/>
        <v/>
      </c>
      <c r="N4089" s="25"/>
      <c r="O4089" s="22"/>
      <c r="P4089" s="24"/>
      <c r="Q4089" s="26"/>
    </row>
    <row r="4090" spans="1:17" ht="15" x14ac:dyDescent="0.15">
      <c r="A4090" s="22"/>
      <c r="B4090" s="26" t="str">
        <f t="shared" si="252"/>
        <v/>
      </c>
      <c r="C4090" s="26" t="str">
        <f t="shared" si="253"/>
        <v/>
      </c>
      <c r="D4090" s="26" t="str">
        <f t="shared" si="254"/>
        <v/>
      </c>
      <c r="E4090" s="29"/>
      <c r="F4090" s="22"/>
      <c r="G4090" s="22"/>
      <c r="H4090" s="22"/>
      <c r="I4090" s="24"/>
      <c r="J4090" s="24"/>
      <c r="K4090" s="24"/>
      <c r="L4090" s="24"/>
      <c r="M4090" s="27" t="str">
        <f t="shared" si="255"/>
        <v/>
      </c>
      <c r="N4090" s="25"/>
      <c r="O4090" s="22"/>
      <c r="P4090" s="24"/>
      <c r="Q4090" s="26"/>
    </row>
    <row r="4091" spans="1:17" ht="15" x14ac:dyDescent="0.15">
      <c r="A4091" s="22"/>
      <c r="B4091" s="26" t="str">
        <f t="shared" si="252"/>
        <v/>
      </c>
      <c r="C4091" s="26" t="str">
        <f t="shared" si="253"/>
        <v/>
      </c>
      <c r="D4091" s="26" t="str">
        <f t="shared" si="254"/>
        <v/>
      </c>
      <c r="E4091" s="29"/>
      <c r="F4091" s="22"/>
      <c r="G4091" s="22"/>
      <c r="H4091" s="22"/>
      <c r="I4091" s="24"/>
      <c r="J4091" s="24"/>
      <c r="K4091" s="24"/>
      <c r="L4091" s="24"/>
      <c r="M4091" s="27" t="str">
        <f t="shared" si="255"/>
        <v/>
      </c>
      <c r="N4091" s="25"/>
      <c r="O4091" s="22"/>
      <c r="P4091" s="24"/>
      <c r="Q4091" s="26"/>
    </row>
    <row r="4092" spans="1:17" ht="15" x14ac:dyDescent="0.15">
      <c r="A4092" s="22"/>
      <c r="B4092" s="26" t="str">
        <f t="shared" si="252"/>
        <v/>
      </c>
      <c r="C4092" s="26" t="str">
        <f t="shared" si="253"/>
        <v/>
      </c>
      <c r="D4092" s="26" t="str">
        <f t="shared" si="254"/>
        <v/>
      </c>
      <c r="E4092" s="29"/>
      <c r="F4092" s="22"/>
      <c r="G4092" s="22"/>
      <c r="H4092" s="22"/>
      <c r="I4092" s="24"/>
      <c r="J4092" s="24"/>
      <c r="K4092" s="24"/>
      <c r="L4092" s="24"/>
      <c r="M4092" s="27" t="str">
        <f t="shared" si="255"/>
        <v/>
      </c>
      <c r="N4092" s="25"/>
      <c r="O4092" s="22"/>
      <c r="P4092" s="24"/>
      <c r="Q4092" s="26"/>
    </row>
    <row r="4093" spans="1:17" ht="15" x14ac:dyDescent="0.15">
      <c r="A4093" s="22"/>
      <c r="B4093" s="26" t="str">
        <f t="shared" si="252"/>
        <v/>
      </c>
      <c r="C4093" s="26" t="str">
        <f t="shared" si="253"/>
        <v/>
      </c>
      <c r="D4093" s="26" t="str">
        <f t="shared" si="254"/>
        <v/>
      </c>
      <c r="E4093" s="29"/>
      <c r="F4093" s="22"/>
      <c r="G4093" s="22"/>
      <c r="H4093" s="22"/>
      <c r="I4093" s="24"/>
      <c r="J4093" s="24"/>
      <c r="K4093" s="24"/>
      <c r="L4093" s="24"/>
      <c r="M4093" s="27" t="str">
        <f t="shared" si="255"/>
        <v/>
      </c>
      <c r="N4093" s="25"/>
      <c r="O4093" s="22"/>
      <c r="P4093" s="24"/>
      <c r="Q4093" s="26"/>
    </row>
    <row r="4094" spans="1:17" ht="15" x14ac:dyDescent="0.15">
      <c r="A4094" s="22"/>
      <c r="B4094" s="26" t="str">
        <f t="shared" si="252"/>
        <v/>
      </c>
      <c r="C4094" s="26" t="str">
        <f t="shared" si="253"/>
        <v/>
      </c>
      <c r="D4094" s="26" t="str">
        <f t="shared" si="254"/>
        <v/>
      </c>
      <c r="E4094" s="29"/>
      <c r="F4094" s="22"/>
      <c r="G4094" s="22"/>
      <c r="H4094" s="22"/>
      <c r="I4094" s="24"/>
      <c r="J4094" s="24"/>
      <c r="K4094" s="24"/>
      <c r="L4094" s="24"/>
      <c r="M4094" s="27" t="str">
        <f t="shared" si="255"/>
        <v/>
      </c>
      <c r="N4094" s="25"/>
      <c r="O4094" s="22"/>
      <c r="P4094" s="24"/>
      <c r="Q4094" s="26"/>
    </row>
    <row r="4095" spans="1:17" ht="15" x14ac:dyDescent="0.15">
      <c r="A4095" s="22"/>
      <c r="B4095" s="26" t="str">
        <f t="shared" si="252"/>
        <v/>
      </c>
      <c r="C4095" s="26" t="str">
        <f t="shared" si="253"/>
        <v/>
      </c>
      <c r="D4095" s="26" t="str">
        <f t="shared" si="254"/>
        <v/>
      </c>
      <c r="E4095" s="29"/>
      <c r="F4095" s="22"/>
      <c r="G4095" s="22"/>
      <c r="H4095" s="22"/>
      <c r="I4095" s="24"/>
      <c r="J4095" s="24"/>
      <c r="K4095" s="24"/>
      <c r="L4095" s="24"/>
      <c r="M4095" s="27" t="str">
        <f t="shared" si="255"/>
        <v/>
      </c>
      <c r="N4095" s="25"/>
      <c r="O4095" s="22"/>
      <c r="P4095" s="24"/>
      <c r="Q4095" s="26"/>
    </row>
    <row r="4096" spans="1:17" ht="15" x14ac:dyDescent="0.15">
      <c r="A4096" s="22"/>
      <c r="B4096" s="26" t="str">
        <f t="shared" si="252"/>
        <v/>
      </c>
      <c r="C4096" s="26" t="str">
        <f t="shared" si="253"/>
        <v/>
      </c>
      <c r="D4096" s="26" t="str">
        <f t="shared" si="254"/>
        <v/>
      </c>
      <c r="E4096" s="29"/>
      <c r="F4096" s="22"/>
      <c r="G4096" s="22"/>
      <c r="H4096" s="22"/>
      <c r="I4096" s="24"/>
      <c r="J4096" s="24"/>
      <c r="K4096" s="24"/>
      <c r="L4096" s="24"/>
      <c r="M4096" s="27" t="str">
        <f t="shared" si="255"/>
        <v/>
      </c>
      <c r="N4096" s="25"/>
      <c r="O4096" s="22"/>
      <c r="P4096" s="24"/>
      <c r="Q4096" s="26"/>
    </row>
    <row r="4097" spans="1:17" ht="15" x14ac:dyDescent="0.15">
      <c r="A4097" s="22"/>
      <c r="B4097" s="26" t="str">
        <f t="shared" si="252"/>
        <v/>
      </c>
      <c r="C4097" s="26" t="str">
        <f t="shared" si="253"/>
        <v/>
      </c>
      <c r="D4097" s="26" t="str">
        <f t="shared" si="254"/>
        <v/>
      </c>
      <c r="E4097" s="29"/>
      <c r="F4097" s="22"/>
      <c r="G4097" s="22"/>
      <c r="H4097" s="22"/>
      <c r="I4097" s="24"/>
      <c r="J4097" s="24"/>
      <c r="K4097" s="24"/>
      <c r="L4097" s="24"/>
      <c r="M4097" s="27" t="str">
        <f t="shared" si="255"/>
        <v/>
      </c>
      <c r="N4097" s="25"/>
      <c r="O4097" s="22"/>
      <c r="P4097" s="24"/>
      <c r="Q4097" s="26"/>
    </row>
    <row r="4098" spans="1:17" ht="15" x14ac:dyDescent="0.15">
      <c r="A4098" s="22"/>
      <c r="B4098" s="26" t="str">
        <f t="shared" si="252"/>
        <v/>
      </c>
      <c r="C4098" s="26" t="str">
        <f t="shared" si="253"/>
        <v/>
      </c>
      <c r="D4098" s="26" t="str">
        <f t="shared" si="254"/>
        <v/>
      </c>
      <c r="E4098" s="29"/>
      <c r="F4098" s="22"/>
      <c r="G4098" s="22"/>
      <c r="H4098" s="22"/>
      <c r="I4098" s="24"/>
      <c r="J4098" s="24"/>
      <c r="K4098" s="24"/>
      <c r="L4098" s="24"/>
      <c r="M4098" s="27" t="str">
        <f t="shared" si="255"/>
        <v/>
      </c>
      <c r="N4098" s="25"/>
      <c r="O4098" s="22"/>
      <c r="P4098" s="24"/>
      <c r="Q4098" s="26"/>
    </row>
    <row r="4099" spans="1:17" ht="15" x14ac:dyDescent="0.15">
      <c r="A4099" s="22"/>
      <c r="B4099" s="26" t="str">
        <f t="shared" si="252"/>
        <v/>
      </c>
      <c r="C4099" s="26" t="str">
        <f t="shared" si="253"/>
        <v/>
      </c>
      <c r="D4099" s="26" t="str">
        <f t="shared" si="254"/>
        <v/>
      </c>
      <c r="E4099" s="29"/>
      <c r="F4099" s="22"/>
      <c r="G4099" s="22"/>
      <c r="H4099" s="22"/>
      <c r="I4099" s="24"/>
      <c r="J4099" s="24"/>
      <c r="K4099" s="24"/>
      <c r="L4099" s="24"/>
      <c r="M4099" s="27" t="str">
        <f t="shared" si="255"/>
        <v/>
      </c>
      <c r="N4099" s="25"/>
      <c r="O4099" s="22"/>
      <c r="P4099" s="24"/>
      <c r="Q4099" s="26"/>
    </row>
    <row r="4100" spans="1:17" ht="15" x14ac:dyDescent="0.15">
      <c r="A4100" s="22"/>
      <c r="B4100" s="26" t="str">
        <f t="shared" si="252"/>
        <v/>
      </c>
      <c r="C4100" s="26" t="str">
        <f t="shared" si="253"/>
        <v/>
      </c>
      <c r="D4100" s="26" t="str">
        <f t="shared" si="254"/>
        <v/>
      </c>
      <c r="E4100" s="29"/>
      <c r="F4100" s="22"/>
      <c r="G4100" s="22"/>
      <c r="H4100" s="22"/>
      <c r="I4100" s="24"/>
      <c r="J4100" s="24"/>
      <c r="K4100" s="24"/>
      <c r="L4100" s="24"/>
      <c r="M4100" s="27" t="str">
        <f t="shared" si="255"/>
        <v/>
      </c>
      <c r="N4100" s="25"/>
      <c r="O4100" s="22"/>
      <c r="P4100" s="24"/>
      <c r="Q4100" s="26"/>
    </row>
    <row r="4101" spans="1:17" ht="15" x14ac:dyDescent="0.15">
      <c r="A4101" s="22"/>
      <c r="B4101" s="26" t="str">
        <f t="shared" si="252"/>
        <v/>
      </c>
      <c r="C4101" s="26" t="str">
        <f t="shared" si="253"/>
        <v/>
      </c>
      <c r="D4101" s="26" t="str">
        <f t="shared" si="254"/>
        <v/>
      </c>
      <c r="E4101" s="29"/>
      <c r="F4101" s="22"/>
      <c r="G4101" s="22"/>
      <c r="H4101" s="22"/>
      <c r="I4101" s="24"/>
      <c r="J4101" s="24"/>
      <c r="K4101" s="24"/>
      <c r="L4101" s="24"/>
      <c r="M4101" s="27" t="str">
        <f t="shared" si="255"/>
        <v/>
      </c>
      <c r="N4101" s="25"/>
      <c r="O4101" s="22"/>
      <c r="P4101" s="24"/>
      <c r="Q4101" s="26"/>
    </row>
    <row r="4102" spans="1:17" ht="15" x14ac:dyDescent="0.15">
      <c r="A4102" s="22"/>
      <c r="B4102" s="26" t="str">
        <f t="shared" si="252"/>
        <v/>
      </c>
      <c r="C4102" s="26" t="str">
        <f t="shared" si="253"/>
        <v/>
      </c>
      <c r="D4102" s="26" t="str">
        <f t="shared" si="254"/>
        <v/>
      </c>
      <c r="E4102" s="29"/>
      <c r="F4102" s="22"/>
      <c r="G4102" s="22"/>
      <c r="H4102" s="22"/>
      <c r="I4102" s="24"/>
      <c r="J4102" s="24"/>
      <c r="K4102" s="24"/>
      <c r="L4102" s="24"/>
      <c r="M4102" s="27" t="str">
        <f t="shared" si="255"/>
        <v/>
      </c>
      <c r="N4102" s="25"/>
      <c r="O4102" s="22"/>
      <c r="P4102" s="24"/>
      <c r="Q4102" s="26"/>
    </row>
    <row r="4103" spans="1:17" ht="15" x14ac:dyDescent="0.15">
      <c r="A4103" s="22"/>
      <c r="B4103" s="26" t="str">
        <f t="shared" ref="B4103:B4166" si="256">IFERROR(IF($A4103="","",LEFT($A4103,FIND(" | ",$A4103)-1)),"")</f>
        <v/>
      </c>
      <c r="C4103" s="26" t="str">
        <f t="shared" ref="C4103:C4166" si="257">IFERROR(IF($A4103="","",MID($A4103,FIND(" | ",$A4103)+3,FIND(" | ",$A4103,FIND(" | ",$A4103)+3)-FIND(" | ",$A4103)-3)),"")</f>
        <v/>
      </c>
      <c r="D4103" s="26" t="str">
        <f t="shared" ref="D4103:D4166" si="258">IFERROR(IF($A4103="","",RIGHT($A4103,LEN($A4103)-FIND(" | ",$A4103,FIND(" | ",$A4103)+3)-2)),"")</f>
        <v/>
      </c>
      <c r="E4103" s="29"/>
      <c r="F4103" s="22"/>
      <c r="G4103" s="22"/>
      <c r="H4103" s="22"/>
      <c r="I4103" s="24"/>
      <c r="J4103" s="24"/>
      <c r="K4103" s="24"/>
      <c r="L4103" s="24"/>
      <c r="M4103" s="27" t="str">
        <f t="shared" ref="M4103:M4166" si="259">IF($B4103="","",SUM($J4103,-$K4103,$L4103))</f>
        <v/>
      </c>
      <c r="N4103" s="25"/>
      <c r="O4103" s="22"/>
      <c r="P4103" s="24"/>
      <c r="Q4103" s="26"/>
    </row>
    <row r="4104" spans="1:17" ht="15" x14ac:dyDescent="0.15">
      <c r="A4104" s="22"/>
      <c r="B4104" s="26" t="str">
        <f t="shared" si="256"/>
        <v/>
      </c>
      <c r="C4104" s="26" t="str">
        <f t="shared" si="257"/>
        <v/>
      </c>
      <c r="D4104" s="26" t="str">
        <f t="shared" si="258"/>
        <v/>
      </c>
      <c r="E4104" s="29"/>
      <c r="F4104" s="22"/>
      <c r="G4104" s="22"/>
      <c r="H4104" s="22"/>
      <c r="I4104" s="24"/>
      <c r="J4104" s="24"/>
      <c r="K4104" s="24"/>
      <c r="L4104" s="24"/>
      <c r="M4104" s="27" t="str">
        <f t="shared" si="259"/>
        <v/>
      </c>
      <c r="N4104" s="25"/>
      <c r="O4104" s="22"/>
      <c r="P4104" s="24"/>
      <c r="Q4104" s="26"/>
    </row>
    <row r="4105" spans="1:17" ht="15" x14ac:dyDescent="0.15">
      <c r="A4105" s="22"/>
      <c r="B4105" s="26" t="str">
        <f t="shared" si="256"/>
        <v/>
      </c>
      <c r="C4105" s="26" t="str">
        <f t="shared" si="257"/>
        <v/>
      </c>
      <c r="D4105" s="26" t="str">
        <f t="shared" si="258"/>
        <v/>
      </c>
      <c r="E4105" s="29"/>
      <c r="F4105" s="22"/>
      <c r="G4105" s="22"/>
      <c r="H4105" s="22"/>
      <c r="I4105" s="24"/>
      <c r="J4105" s="24"/>
      <c r="K4105" s="24"/>
      <c r="L4105" s="24"/>
      <c r="M4105" s="27" t="str">
        <f t="shared" si="259"/>
        <v/>
      </c>
      <c r="N4105" s="25"/>
      <c r="O4105" s="22"/>
      <c r="P4105" s="24"/>
      <c r="Q4105" s="26"/>
    </row>
    <row r="4106" spans="1:17" ht="15" x14ac:dyDescent="0.15">
      <c r="A4106" s="22"/>
      <c r="B4106" s="26" t="str">
        <f t="shared" si="256"/>
        <v/>
      </c>
      <c r="C4106" s="26" t="str">
        <f t="shared" si="257"/>
        <v/>
      </c>
      <c r="D4106" s="26" t="str">
        <f t="shared" si="258"/>
        <v/>
      </c>
      <c r="E4106" s="29"/>
      <c r="F4106" s="22"/>
      <c r="G4106" s="22"/>
      <c r="H4106" s="22"/>
      <c r="I4106" s="24"/>
      <c r="J4106" s="24"/>
      <c r="K4106" s="24"/>
      <c r="L4106" s="24"/>
      <c r="M4106" s="27" t="str">
        <f t="shared" si="259"/>
        <v/>
      </c>
      <c r="N4106" s="25"/>
      <c r="O4106" s="22"/>
      <c r="P4106" s="24"/>
      <c r="Q4106" s="26"/>
    </row>
    <row r="4107" spans="1:17" ht="15" x14ac:dyDescent="0.15">
      <c r="A4107" s="22"/>
      <c r="B4107" s="26" t="str">
        <f t="shared" si="256"/>
        <v/>
      </c>
      <c r="C4107" s="26" t="str">
        <f t="shared" si="257"/>
        <v/>
      </c>
      <c r="D4107" s="26" t="str">
        <f t="shared" si="258"/>
        <v/>
      </c>
      <c r="E4107" s="29"/>
      <c r="F4107" s="22"/>
      <c r="G4107" s="22"/>
      <c r="H4107" s="22"/>
      <c r="I4107" s="24"/>
      <c r="J4107" s="24"/>
      <c r="K4107" s="24"/>
      <c r="L4107" s="24"/>
      <c r="M4107" s="27" t="str">
        <f t="shared" si="259"/>
        <v/>
      </c>
      <c r="N4107" s="25"/>
      <c r="O4107" s="22"/>
      <c r="P4107" s="24"/>
      <c r="Q4107" s="26"/>
    </row>
    <row r="4108" spans="1:17" ht="15" x14ac:dyDescent="0.15">
      <c r="A4108" s="22"/>
      <c r="B4108" s="26" t="str">
        <f t="shared" si="256"/>
        <v/>
      </c>
      <c r="C4108" s="26" t="str">
        <f t="shared" si="257"/>
        <v/>
      </c>
      <c r="D4108" s="26" t="str">
        <f t="shared" si="258"/>
        <v/>
      </c>
      <c r="E4108" s="29"/>
      <c r="F4108" s="22"/>
      <c r="G4108" s="22"/>
      <c r="H4108" s="22"/>
      <c r="I4108" s="24"/>
      <c r="J4108" s="24"/>
      <c r="K4108" s="24"/>
      <c r="L4108" s="24"/>
      <c r="M4108" s="27" t="str">
        <f t="shared" si="259"/>
        <v/>
      </c>
      <c r="N4108" s="25"/>
      <c r="O4108" s="22"/>
      <c r="P4108" s="24"/>
      <c r="Q4108" s="26"/>
    </row>
    <row r="4109" spans="1:17" ht="15" x14ac:dyDescent="0.15">
      <c r="A4109" s="22"/>
      <c r="B4109" s="26" t="str">
        <f t="shared" si="256"/>
        <v/>
      </c>
      <c r="C4109" s="26" t="str">
        <f t="shared" si="257"/>
        <v/>
      </c>
      <c r="D4109" s="26" t="str">
        <f t="shared" si="258"/>
        <v/>
      </c>
      <c r="E4109" s="29"/>
      <c r="F4109" s="22"/>
      <c r="G4109" s="22"/>
      <c r="H4109" s="22"/>
      <c r="I4109" s="24"/>
      <c r="J4109" s="24"/>
      <c r="K4109" s="24"/>
      <c r="L4109" s="24"/>
      <c r="M4109" s="27" t="str">
        <f t="shared" si="259"/>
        <v/>
      </c>
      <c r="N4109" s="25"/>
      <c r="O4109" s="22"/>
      <c r="P4109" s="24"/>
      <c r="Q4109" s="26"/>
    </row>
    <row r="4110" spans="1:17" ht="15" x14ac:dyDescent="0.15">
      <c r="A4110" s="22"/>
      <c r="B4110" s="26" t="str">
        <f t="shared" si="256"/>
        <v/>
      </c>
      <c r="C4110" s="26" t="str">
        <f t="shared" si="257"/>
        <v/>
      </c>
      <c r="D4110" s="26" t="str">
        <f t="shared" si="258"/>
        <v/>
      </c>
      <c r="E4110" s="29"/>
      <c r="F4110" s="22"/>
      <c r="G4110" s="22"/>
      <c r="H4110" s="22"/>
      <c r="I4110" s="24"/>
      <c r="J4110" s="24"/>
      <c r="K4110" s="24"/>
      <c r="L4110" s="24"/>
      <c r="M4110" s="27" t="str">
        <f t="shared" si="259"/>
        <v/>
      </c>
      <c r="N4110" s="25"/>
      <c r="O4110" s="22"/>
      <c r="P4110" s="24"/>
      <c r="Q4110" s="26"/>
    </row>
    <row r="4111" spans="1:17" ht="15" x14ac:dyDescent="0.15">
      <c r="A4111" s="22"/>
      <c r="B4111" s="26" t="str">
        <f t="shared" si="256"/>
        <v/>
      </c>
      <c r="C4111" s="26" t="str">
        <f t="shared" si="257"/>
        <v/>
      </c>
      <c r="D4111" s="26" t="str">
        <f t="shared" si="258"/>
        <v/>
      </c>
      <c r="E4111" s="29"/>
      <c r="F4111" s="22"/>
      <c r="G4111" s="22"/>
      <c r="H4111" s="22"/>
      <c r="I4111" s="24"/>
      <c r="J4111" s="24"/>
      <c r="K4111" s="24"/>
      <c r="L4111" s="24"/>
      <c r="M4111" s="27" t="str">
        <f t="shared" si="259"/>
        <v/>
      </c>
      <c r="N4111" s="25"/>
      <c r="O4111" s="22"/>
      <c r="P4111" s="24"/>
      <c r="Q4111" s="26"/>
    </row>
    <row r="4112" spans="1:17" ht="15" x14ac:dyDescent="0.15">
      <c r="A4112" s="22"/>
      <c r="B4112" s="26" t="str">
        <f t="shared" si="256"/>
        <v/>
      </c>
      <c r="C4112" s="26" t="str">
        <f t="shared" si="257"/>
        <v/>
      </c>
      <c r="D4112" s="26" t="str">
        <f t="shared" si="258"/>
        <v/>
      </c>
      <c r="E4112" s="29"/>
      <c r="F4112" s="22"/>
      <c r="G4112" s="22"/>
      <c r="H4112" s="22"/>
      <c r="I4112" s="24"/>
      <c r="J4112" s="24"/>
      <c r="K4112" s="24"/>
      <c r="L4112" s="24"/>
      <c r="M4112" s="27" t="str">
        <f t="shared" si="259"/>
        <v/>
      </c>
      <c r="N4112" s="25"/>
      <c r="O4112" s="22"/>
      <c r="P4112" s="24"/>
      <c r="Q4112" s="26"/>
    </row>
    <row r="4113" spans="1:17" ht="15" x14ac:dyDescent="0.15">
      <c r="A4113" s="22"/>
      <c r="B4113" s="26" t="str">
        <f t="shared" si="256"/>
        <v/>
      </c>
      <c r="C4113" s="26" t="str">
        <f t="shared" si="257"/>
        <v/>
      </c>
      <c r="D4113" s="26" t="str">
        <f t="shared" si="258"/>
        <v/>
      </c>
      <c r="E4113" s="29"/>
      <c r="F4113" s="22"/>
      <c r="G4113" s="22"/>
      <c r="H4113" s="22"/>
      <c r="I4113" s="24"/>
      <c r="J4113" s="24"/>
      <c r="K4113" s="24"/>
      <c r="L4113" s="24"/>
      <c r="M4113" s="27" t="str">
        <f t="shared" si="259"/>
        <v/>
      </c>
      <c r="N4113" s="25"/>
      <c r="O4113" s="22"/>
      <c r="P4113" s="24"/>
      <c r="Q4113" s="26"/>
    </row>
    <row r="4114" spans="1:17" ht="15" x14ac:dyDescent="0.15">
      <c r="A4114" s="22"/>
      <c r="B4114" s="26" t="str">
        <f t="shared" si="256"/>
        <v/>
      </c>
      <c r="C4114" s="26" t="str">
        <f t="shared" si="257"/>
        <v/>
      </c>
      <c r="D4114" s="26" t="str">
        <f t="shared" si="258"/>
        <v/>
      </c>
      <c r="E4114" s="29"/>
      <c r="F4114" s="22"/>
      <c r="G4114" s="22"/>
      <c r="H4114" s="22"/>
      <c r="I4114" s="24"/>
      <c r="J4114" s="24"/>
      <c r="K4114" s="24"/>
      <c r="L4114" s="24"/>
      <c r="M4114" s="27" t="str">
        <f t="shared" si="259"/>
        <v/>
      </c>
      <c r="N4114" s="25"/>
      <c r="O4114" s="22"/>
      <c r="P4114" s="24"/>
      <c r="Q4114" s="26"/>
    </row>
    <row r="4115" spans="1:17" ht="15" x14ac:dyDescent="0.15">
      <c r="A4115" s="22"/>
      <c r="B4115" s="26" t="str">
        <f t="shared" si="256"/>
        <v/>
      </c>
      <c r="C4115" s="26" t="str">
        <f t="shared" si="257"/>
        <v/>
      </c>
      <c r="D4115" s="26" t="str">
        <f t="shared" si="258"/>
        <v/>
      </c>
      <c r="E4115" s="29"/>
      <c r="F4115" s="22"/>
      <c r="G4115" s="22"/>
      <c r="H4115" s="22"/>
      <c r="I4115" s="24"/>
      <c r="J4115" s="24"/>
      <c r="K4115" s="24"/>
      <c r="L4115" s="24"/>
      <c r="M4115" s="27" t="str">
        <f t="shared" si="259"/>
        <v/>
      </c>
      <c r="N4115" s="25"/>
      <c r="O4115" s="22"/>
      <c r="P4115" s="24"/>
      <c r="Q4115" s="26"/>
    </row>
    <row r="4116" spans="1:17" ht="15" x14ac:dyDescent="0.15">
      <c r="A4116" s="22"/>
      <c r="B4116" s="26" t="str">
        <f t="shared" si="256"/>
        <v/>
      </c>
      <c r="C4116" s="26" t="str">
        <f t="shared" si="257"/>
        <v/>
      </c>
      <c r="D4116" s="26" t="str">
        <f t="shared" si="258"/>
        <v/>
      </c>
      <c r="E4116" s="29"/>
      <c r="F4116" s="22"/>
      <c r="G4116" s="22"/>
      <c r="H4116" s="22"/>
      <c r="I4116" s="24"/>
      <c r="J4116" s="24"/>
      <c r="K4116" s="24"/>
      <c r="L4116" s="24"/>
      <c r="M4116" s="27" t="str">
        <f t="shared" si="259"/>
        <v/>
      </c>
      <c r="N4116" s="25"/>
      <c r="O4116" s="22"/>
      <c r="P4116" s="24"/>
      <c r="Q4116" s="26"/>
    </row>
    <row r="4117" spans="1:17" ht="15" x14ac:dyDescent="0.15">
      <c r="A4117" s="22"/>
      <c r="B4117" s="26" t="str">
        <f t="shared" si="256"/>
        <v/>
      </c>
      <c r="C4117" s="26" t="str">
        <f t="shared" si="257"/>
        <v/>
      </c>
      <c r="D4117" s="26" t="str">
        <f t="shared" si="258"/>
        <v/>
      </c>
      <c r="E4117" s="29"/>
      <c r="F4117" s="22"/>
      <c r="G4117" s="22"/>
      <c r="H4117" s="22"/>
      <c r="I4117" s="24"/>
      <c r="J4117" s="24"/>
      <c r="K4117" s="24"/>
      <c r="L4117" s="24"/>
      <c r="M4117" s="27" t="str">
        <f t="shared" si="259"/>
        <v/>
      </c>
      <c r="N4117" s="25"/>
      <c r="O4117" s="22"/>
      <c r="P4117" s="24"/>
      <c r="Q4117" s="26"/>
    </row>
    <row r="4118" spans="1:17" ht="15" x14ac:dyDescent="0.15">
      <c r="A4118" s="22"/>
      <c r="B4118" s="26" t="str">
        <f t="shared" si="256"/>
        <v/>
      </c>
      <c r="C4118" s="26" t="str">
        <f t="shared" si="257"/>
        <v/>
      </c>
      <c r="D4118" s="26" t="str">
        <f t="shared" si="258"/>
        <v/>
      </c>
      <c r="E4118" s="29"/>
      <c r="F4118" s="22"/>
      <c r="G4118" s="22"/>
      <c r="H4118" s="22"/>
      <c r="I4118" s="24"/>
      <c r="J4118" s="24"/>
      <c r="K4118" s="24"/>
      <c r="L4118" s="24"/>
      <c r="M4118" s="27" t="str">
        <f t="shared" si="259"/>
        <v/>
      </c>
      <c r="N4118" s="25"/>
      <c r="O4118" s="22"/>
      <c r="P4118" s="24"/>
      <c r="Q4118" s="26"/>
    </row>
    <row r="4119" spans="1:17" ht="15" x14ac:dyDescent="0.15">
      <c r="A4119" s="22"/>
      <c r="B4119" s="26" t="str">
        <f t="shared" si="256"/>
        <v/>
      </c>
      <c r="C4119" s="26" t="str">
        <f t="shared" si="257"/>
        <v/>
      </c>
      <c r="D4119" s="26" t="str">
        <f t="shared" si="258"/>
        <v/>
      </c>
      <c r="E4119" s="29"/>
      <c r="F4119" s="22"/>
      <c r="G4119" s="22"/>
      <c r="H4119" s="22"/>
      <c r="I4119" s="24"/>
      <c r="J4119" s="24"/>
      <c r="K4119" s="24"/>
      <c r="L4119" s="24"/>
      <c r="M4119" s="27" t="str">
        <f t="shared" si="259"/>
        <v/>
      </c>
      <c r="N4119" s="25"/>
      <c r="O4119" s="22"/>
      <c r="P4119" s="24"/>
      <c r="Q4119" s="26"/>
    </row>
    <row r="4120" spans="1:17" ht="15" x14ac:dyDescent="0.15">
      <c r="A4120" s="22"/>
      <c r="B4120" s="26" t="str">
        <f t="shared" si="256"/>
        <v/>
      </c>
      <c r="C4120" s="26" t="str">
        <f t="shared" si="257"/>
        <v/>
      </c>
      <c r="D4120" s="26" t="str">
        <f t="shared" si="258"/>
        <v/>
      </c>
      <c r="E4120" s="29"/>
      <c r="F4120" s="22"/>
      <c r="G4120" s="22"/>
      <c r="H4120" s="22"/>
      <c r="I4120" s="24"/>
      <c r="J4120" s="24"/>
      <c r="K4120" s="24"/>
      <c r="L4120" s="24"/>
      <c r="M4120" s="27" t="str">
        <f t="shared" si="259"/>
        <v/>
      </c>
      <c r="N4120" s="25"/>
      <c r="O4120" s="22"/>
      <c r="P4120" s="24"/>
      <c r="Q4120" s="26"/>
    </row>
    <row r="4121" spans="1:17" ht="15" x14ac:dyDescent="0.15">
      <c r="A4121" s="22"/>
      <c r="B4121" s="26" t="str">
        <f t="shared" si="256"/>
        <v/>
      </c>
      <c r="C4121" s="26" t="str">
        <f t="shared" si="257"/>
        <v/>
      </c>
      <c r="D4121" s="26" t="str">
        <f t="shared" si="258"/>
        <v/>
      </c>
      <c r="E4121" s="29"/>
      <c r="F4121" s="22"/>
      <c r="G4121" s="22"/>
      <c r="H4121" s="22"/>
      <c r="I4121" s="24"/>
      <c r="J4121" s="24"/>
      <c r="K4121" s="24"/>
      <c r="L4121" s="24"/>
      <c r="M4121" s="27" t="str">
        <f t="shared" si="259"/>
        <v/>
      </c>
      <c r="N4121" s="25"/>
      <c r="O4121" s="22"/>
      <c r="P4121" s="24"/>
      <c r="Q4121" s="26"/>
    </row>
    <row r="4122" spans="1:17" ht="15" x14ac:dyDescent="0.15">
      <c r="A4122" s="22"/>
      <c r="B4122" s="26" t="str">
        <f t="shared" si="256"/>
        <v/>
      </c>
      <c r="C4122" s="26" t="str">
        <f t="shared" si="257"/>
        <v/>
      </c>
      <c r="D4122" s="26" t="str">
        <f t="shared" si="258"/>
        <v/>
      </c>
      <c r="E4122" s="29"/>
      <c r="F4122" s="22"/>
      <c r="G4122" s="22"/>
      <c r="H4122" s="22"/>
      <c r="I4122" s="24"/>
      <c r="J4122" s="24"/>
      <c r="K4122" s="24"/>
      <c r="L4122" s="24"/>
      <c r="M4122" s="27" t="str">
        <f t="shared" si="259"/>
        <v/>
      </c>
      <c r="N4122" s="25"/>
      <c r="O4122" s="22"/>
      <c r="P4122" s="24"/>
      <c r="Q4122" s="26"/>
    </row>
    <row r="4123" spans="1:17" ht="15" x14ac:dyDescent="0.15">
      <c r="A4123" s="22"/>
      <c r="B4123" s="26" t="str">
        <f t="shared" si="256"/>
        <v/>
      </c>
      <c r="C4123" s="26" t="str">
        <f t="shared" si="257"/>
        <v/>
      </c>
      <c r="D4123" s="26" t="str">
        <f t="shared" si="258"/>
        <v/>
      </c>
      <c r="E4123" s="29"/>
      <c r="F4123" s="22"/>
      <c r="G4123" s="22"/>
      <c r="H4123" s="22"/>
      <c r="I4123" s="24"/>
      <c r="J4123" s="24"/>
      <c r="K4123" s="24"/>
      <c r="L4123" s="24"/>
      <c r="M4123" s="27" t="str">
        <f t="shared" si="259"/>
        <v/>
      </c>
      <c r="N4123" s="25"/>
      <c r="O4123" s="22"/>
      <c r="P4123" s="24"/>
      <c r="Q4123" s="26"/>
    </row>
    <row r="4124" spans="1:17" ht="15" x14ac:dyDescent="0.15">
      <c r="A4124" s="22"/>
      <c r="B4124" s="26" t="str">
        <f t="shared" si="256"/>
        <v/>
      </c>
      <c r="C4124" s="26" t="str">
        <f t="shared" si="257"/>
        <v/>
      </c>
      <c r="D4124" s="26" t="str">
        <f t="shared" si="258"/>
        <v/>
      </c>
      <c r="E4124" s="29"/>
      <c r="F4124" s="22"/>
      <c r="G4124" s="22"/>
      <c r="H4124" s="22"/>
      <c r="I4124" s="24"/>
      <c r="J4124" s="24"/>
      <c r="K4124" s="24"/>
      <c r="L4124" s="24"/>
      <c r="M4124" s="27" t="str">
        <f t="shared" si="259"/>
        <v/>
      </c>
      <c r="N4124" s="25"/>
      <c r="O4124" s="22"/>
      <c r="P4124" s="24"/>
      <c r="Q4124" s="26"/>
    </row>
    <row r="4125" spans="1:17" ht="15" x14ac:dyDescent="0.15">
      <c r="A4125" s="22"/>
      <c r="B4125" s="26" t="str">
        <f t="shared" si="256"/>
        <v/>
      </c>
      <c r="C4125" s="26" t="str">
        <f t="shared" si="257"/>
        <v/>
      </c>
      <c r="D4125" s="26" t="str">
        <f t="shared" si="258"/>
        <v/>
      </c>
      <c r="E4125" s="29"/>
      <c r="F4125" s="22"/>
      <c r="G4125" s="22"/>
      <c r="H4125" s="22"/>
      <c r="I4125" s="24"/>
      <c r="J4125" s="24"/>
      <c r="K4125" s="24"/>
      <c r="L4125" s="24"/>
      <c r="M4125" s="27" t="str">
        <f t="shared" si="259"/>
        <v/>
      </c>
      <c r="N4125" s="25"/>
      <c r="O4125" s="22"/>
      <c r="P4125" s="24"/>
      <c r="Q4125" s="26"/>
    </row>
    <row r="4126" spans="1:17" ht="15" x14ac:dyDescent="0.15">
      <c r="A4126" s="22"/>
      <c r="B4126" s="26" t="str">
        <f t="shared" si="256"/>
        <v/>
      </c>
      <c r="C4126" s="26" t="str">
        <f t="shared" si="257"/>
        <v/>
      </c>
      <c r="D4126" s="26" t="str">
        <f t="shared" si="258"/>
        <v/>
      </c>
      <c r="E4126" s="29"/>
      <c r="F4126" s="22"/>
      <c r="G4126" s="22"/>
      <c r="H4126" s="22"/>
      <c r="I4126" s="24"/>
      <c r="J4126" s="24"/>
      <c r="K4126" s="24"/>
      <c r="L4126" s="24"/>
      <c r="M4126" s="27" t="str">
        <f t="shared" si="259"/>
        <v/>
      </c>
      <c r="N4126" s="25"/>
      <c r="O4126" s="22"/>
      <c r="P4126" s="24"/>
      <c r="Q4126" s="26"/>
    </row>
    <row r="4127" spans="1:17" ht="15" x14ac:dyDescent="0.15">
      <c r="A4127" s="22"/>
      <c r="B4127" s="26" t="str">
        <f t="shared" si="256"/>
        <v/>
      </c>
      <c r="C4127" s="26" t="str">
        <f t="shared" si="257"/>
        <v/>
      </c>
      <c r="D4127" s="26" t="str">
        <f t="shared" si="258"/>
        <v/>
      </c>
      <c r="E4127" s="29"/>
      <c r="F4127" s="22"/>
      <c r="G4127" s="22"/>
      <c r="H4127" s="22"/>
      <c r="I4127" s="24"/>
      <c r="J4127" s="24"/>
      <c r="K4127" s="24"/>
      <c r="L4127" s="24"/>
      <c r="M4127" s="27" t="str">
        <f t="shared" si="259"/>
        <v/>
      </c>
      <c r="N4127" s="25"/>
      <c r="O4127" s="22"/>
      <c r="P4127" s="24"/>
      <c r="Q4127" s="26"/>
    </row>
    <row r="4128" spans="1:17" ht="15" x14ac:dyDescent="0.15">
      <c r="A4128" s="22"/>
      <c r="B4128" s="26" t="str">
        <f t="shared" si="256"/>
        <v/>
      </c>
      <c r="C4128" s="26" t="str">
        <f t="shared" si="257"/>
        <v/>
      </c>
      <c r="D4128" s="26" t="str">
        <f t="shared" si="258"/>
        <v/>
      </c>
      <c r="E4128" s="29"/>
      <c r="F4128" s="22"/>
      <c r="G4128" s="22"/>
      <c r="H4128" s="22"/>
      <c r="I4128" s="24"/>
      <c r="J4128" s="24"/>
      <c r="K4128" s="24"/>
      <c r="L4128" s="24"/>
      <c r="M4128" s="27" t="str">
        <f t="shared" si="259"/>
        <v/>
      </c>
      <c r="N4128" s="25"/>
      <c r="O4128" s="22"/>
      <c r="P4128" s="24"/>
      <c r="Q4128" s="26"/>
    </row>
    <row r="4129" spans="1:17" ht="15" x14ac:dyDescent="0.15">
      <c r="A4129" s="22"/>
      <c r="B4129" s="26" t="str">
        <f t="shared" si="256"/>
        <v/>
      </c>
      <c r="C4129" s="26" t="str">
        <f t="shared" si="257"/>
        <v/>
      </c>
      <c r="D4129" s="26" t="str">
        <f t="shared" si="258"/>
        <v/>
      </c>
      <c r="E4129" s="29"/>
      <c r="F4129" s="22"/>
      <c r="G4129" s="22"/>
      <c r="H4129" s="22"/>
      <c r="I4129" s="24"/>
      <c r="J4129" s="24"/>
      <c r="K4129" s="24"/>
      <c r="L4129" s="24"/>
      <c r="M4129" s="27" t="str">
        <f t="shared" si="259"/>
        <v/>
      </c>
      <c r="N4129" s="25"/>
      <c r="O4129" s="22"/>
      <c r="P4129" s="24"/>
      <c r="Q4129" s="26"/>
    </row>
    <row r="4130" spans="1:17" ht="15" x14ac:dyDescent="0.15">
      <c r="A4130" s="22"/>
      <c r="B4130" s="26" t="str">
        <f t="shared" si="256"/>
        <v/>
      </c>
      <c r="C4130" s="26" t="str">
        <f t="shared" si="257"/>
        <v/>
      </c>
      <c r="D4130" s="26" t="str">
        <f t="shared" si="258"/>
        <v/>
      </c>
      <c r="E4130" s="29"/>
      <c r="F4130" s="22"/>
      <c r="G4130" s="22"/>
      <c r="H4130" s="22"/>
      <c r="I4130" s="24"/>
      <c r="J4130" s="24"/>
      <c r="K4130" s="24"/>
      <c r="L4130" s="24"/>
      <c r="M4130" s="27" t="str">
        <f t="shared" si="259"/>
        <v/>
      </c>
      <c r="N4130" s="25"/>
      <c r="O4130" s="22"/>
      <c r="P4130" s="24"/>
      <c r="Q4130" s="26"/>
    </row>
    <row r="4131" spans="1:17" ht="15" x14ac:dyDescent="0.15">
      <c r="A4131" s="22"/>
      <c r="B4131" s="26" t="str">
        <f t="shared" si="256"/>
        <v/>
      </c>
      <c r="C4131" s="26" t="str">
        <f t="shared" si="257"/>
        <v/>
      </c>
      <c r="D4131" s="26" t="str">
        <f t="shared" si="258"/>
        <v/>
      </c>
      <c r="E4131" s="29"/>
      <c r="F4131" s="22"/>
      <c r="G4131" s="22"/>
      <c r="H4131" s="22"/>
      <c r="I4131" s="24"/>
      <c r="J4131" s="24"/>
      <c r="K4131" s="24"/>
      <c r="L4131" s="24"/>
      <c r="M4131" s="27" t="str">
        <f t="shared" si="259"/>
        <v/>
      </c>
      <c r="N4131" s="25"/>
      <c r="O4131" s="22"/>
      <c r="P4131" s="24"/>
      <c r="Q4131" s="26"/>
    </row>
    <row r="4132" spans="1:17" ht="15" x14ac:dyDescent="0.15">
      <c r="A4132" s="22"/>
      <c r="B4132" s="26" t="str">
        <f t="shared" si="256"/>
        <v/>
      </c>
      <c r="C4132" s="26" t="str">
        <f t="shared" si="257"/>
        <v/>
      </c>
      <c r="D4132" s="26" t="str">
        <f t="shared" si="258"/>
        <v/>
      </c>
      <c r="E4132" s="29"/>
      <c r="F4132" s="22"/>
      <c r="G4132" s="22"/>
      <c r="H4132" s="22"/>
      <c r="I4132" s="24"/>
      <c r="J4132" s="24"/>
      <c r="K4132" s="24"/>
      <c r="L4132" s="24"/>
      <c r="M4132" s="27" t="str">
        <f t="shared" si="259"/>
        <v/>
      </c>
      <c r="N4132" s="25"/>
      <c r="O4132" s="22"/>
      <c r="P4132" s="24"/>
      <c r="Q4132" s="26"/>
    </row>
    <row r="4133" spans="1:17" ht="15" x14ac:dyDescent="0.15">
      <c r="A4133" s="22"/>
      <c r="B4133" s="26" t="str">
        <f t="shared" si="256"/>
        <v/>
      </c>
      <c r="C4133" s="26" t="str">
        <f t="shared" si="257"/>
        <v/>
      </c>
      <c r="D4133" s="26" t="str">
        <f t="shared" si="258"/>
        <v/>
      </c>
      <c r="E4133" s="29"/>
      <c r="F4133" s="22"/>
      <c r="G4133" s="22"/>
      <c r="H4133" s="22"/>
      <c r="I4133" s="24"/>
      <c r="J4133" s="24"/>
      <c r="K4133" s="24"/>
      <c r="L4133" s="24"/>
      <c r="M4133" s="27" t="str">
        <f t="shared" si="259"/>
        <v/>
      </c>
      <c r="N4133" s="25"/>
      <c r="O4133" s="22"/>
      <c r="P4133" s="24"/>
      <c r="Q4133" s="26"/>
    </row>
    <row r="4134" spans="1:17" ht="15" x14ac:dyDescent="0.15">
      <c r="A4134" s="22"/>
      <c r="B4134" s="26" t="str">
        <f t="shared" si="256"/>
        <v/>
      </c>
      <c r="C4134" s="26" t="str">
        <f t="shared" si="257"/>
        <v/>
      </c>
      <c r="D4134" s="26" t="str">
        <f t="shared" si="258"/>
        <v/>
      </c>
      <c r="E4134" s="29"/>
      <c r="F4134" s="22"/>
      <c r="G4134" s="22"/>
      <c r="H4134" s="22"/>
      <c r="I4134" s="24"/>
      <c r="J4134" s="24"/>
      <c r="K4134" s="24"/>
      <c r="L4134" s="24"/>
      <c r="M4134" s="27" t="str">
        <f t="shared" si="259"/>
        <v/>
      </c>
      <c r="N4134" s="25"/>
      <c r="O4134" s="22"/>
      <c r="P4134" s="24"/>
      <c r="Q4134" s="26"/>
    </row>
    <row r="4135" spans="1:17" ht="15" x14ac:dyDescent="0.15">
      <c r="A4135" s="22"/>
      <c r="B4135" s="26" t="str">
        <f t="shared" si="256"/>
        <v/>
      </c>
      <c r="C4135" s="26" t="str">
        <f t="shared" si="257"/>
        <v/>
      </c>
      <c r="D4135" s="26" t="str">
        <f t="shared" si="258"/>
        <v/>
      </c>
      <c r="E4135" s="29"/>
      <c r="F4135" s="22"/>
      <c r="G4135" s="22"/>
      <c r="H4135" s="22"/>
      <c r="I4135" s="24"/>
      <c r="J4135" s="24"/>
      <c r="K4135" s="24"/>
      <c r="L4135" s="24"/>
      <c r="M4135" s="27" t="str">
        <f t="shared" si="259"/>
        <v/>
      </c>
      <c r="N4135" s="25"/>
      <c r="O4135" s="22"/>
      <c r="P4135" s="24"/>
      <c r="Q4135" s="26"/>
    </row>
    <row r="4136" spans="1:17" ht="15" x14ac:dyDescent="0.15">
      <c r="A4136" s="22"/>
      <c r="B4136" s="26" t="str">
        <f t="shared" si="256"/>
        <v/>
      </c>
      <c r="C4136" s="26" t="str">
        <f t="shared" si="257"/>
        <v/>
      </c>
      <c r="D4136" s="26" t="str">
        <f t="shared" si="258"/>
        <v/>
      </c>
      <c r="E4136" s="29"/>
      <c r="F4136" s="22"/>
      <c r="G4136" s="22"/>
      <c r="H4136" s="22"/>
      <c r="I4136" s="24"/>
      <c r="J4136" s="24"/>
      <c r="K4136" s="24"/>
      <c r="L4136" s="24"/>
      <c r="M4136" s="27" t="str">
        <f t="shared" si="259"/>
        <v/>
      </c>
      <c r="N4136" s="25"/>
      <c r="O4136" s="22"/>
      <c r="P4136" s="24"/>
      <c r="Q4136" s="26"/>
    </row>
    <row r="4137" spans="1:17" ht="15" x14ac:dyDescent="0.15">
      <c r="A4137" s="22"/>
      <c r="B4137" s="26" t="str">
        <f t="shared" si="256"/>
        <v/>
      </c>
      <c r="C4137" s="26" t="str">
        <f t="shared" si="257"/>
        <v/>
      </c>
      <c r="D4137" s="26" t="str">
        <f t="shared" si="258"/>
        <v/>
      </c>
      <c r="E4137" s="29"/>
      <c r="F4137" s="22"/>
      <c r="G4137" s="22"/>
      <c r="H4137" s="22"/>
      <c r="I4137" s="24"/>
      <c r="J4137" s="24"/>
      <c r="K4137" s="24"/>
      <c r="L4137" s="24"/>
      <c r="M4137" s="27" t="str">
        <f t="shared" si="259"/>
        <v/>
      </c>
      <c r="N4137" s="25"/>
      <c r="O4137" s="22"/>
      <c r="P4137" s="24"/>
      <c r="Q4137" s="26"/>
    </row>
    <row r="4138" spans="1:17" ht="15" x14ac:dyDescent="0.15">
      <c r="A4138" s="22"/>
      <c r="B4138" s="26" t="str">
        <f t="shared" si="256"/>
        <v/>
      </c>
      <c r="C4138" s="26" t="str">
        <f t="shared" si="257"/>
        <v/>
      </c>
      <c r="D4138" s="26" t="str">
        <f t="shared" si="258"/>
        <v/>
      </c>
      <c r="E4138" s="29"/>
      <c r="F4138" s="22"/>
      <c r="G4138" s="22"/>
      <c r="H4138" s="22"/>
      <c r="I4138" s="24"/>
      <c r="J4138" s="24"/>
      <c r="K4138" s="24"/>
      <c r="L4138" s="24"/>
      <c r="M4138" s="27" t="str">
        <f t="shared" si="259"/>
        <v/>
      </c>
      <c r="N4138" s="25"/>
      <c r="O4138" s="22"/>
      <c r="P4138" s="24"/>
      <c r="Q4138" s="26"/>
    </row>
    <row r="4139" spans="1:17" ht="15" x14ac:dyDescent="0.15">
      <c r="A4139" s="22"/>
      <c r="B4139" s="26" t="str">
        <f t="shared" si="256"/>
        <v/>
      </c>
      <c r="C4139" s="26" t="str">
        <f t="shared" si="257"/>
        <v/>
      </c>
      <c r="D4139" s="26" t="str">
        <f t="shared" si="258"/>
        <v/>
      </c>
      <c r="E4139" s="29"/>
      <c r="F4139" s="22"/>
      <c r="G4139" s="22"/>
      <c r="H4139" s="22"/>
      <c r="I4139" s="24"/>
      <c r="J4139" s="24"/>
      <c r="K4139" s="24"/>
      <c r="L4139" s="24"/>
      <c r="M4139" s="27" t="str">
        <f t="shared" si="259"/>
        <v/>
      </c>
      <c r="N4139" s="25"/>
      <c r="O4139" s="22"/>
      <c r="P4139" s="24"/>
      <c r="Q4139" s="26"/>
    </row>
    <row r="4140" spans="1:17" ht="15" x14ac:dyDescent="0.15">
      <c r="A4140" s="22"/>
      <c r="B4140" s="26" t="str">
        <f t="shared" si="256"/>
        <v/>
      </c>
      <c r="C4140" s="26" t="str">
        <f t="shared" si="257"/>
        <v/>
      </c>
      <c r="D4140" s="26" t="str">
        <f t="shared" si="258"/>
        <v/>
      </c>
      <c r="E4140" s="29"/>
      <c r="F4140" s="22"/>
      <c r="G4140" s="22"/>
      <c r="H4140" s="22"/>
      <c r="I4140" s="24"/>
      <c r="J4140" s="24"/>
      <c r="K4140" s="24"/>
      <c r="L4140" s="24"/>
      <c r="M4140" s="27" t="str">
        <f t="shared" si="259"/>
        <v/>
      </c>
      <c r="N4140" s="25"/>
      <c r="O4140" s="22"/>
      <c r="P4140" s="24"/>
      <c r="Q4140" s="26"/>
    </row>
    <row r="4141" spans="1:17" ht="15" x14ac:dyDescent="0.15">
      <c r="A4141" s="22"/>
      <c r="B4141" s="26" t="str">
        <f t="shared" si="256"/>
        <v/>
      </c>
      <c r="C4141" s="26" t="str">
        <f t="shared" si="257"/>
        <v/>
      </c>
      <c r="D4141" s="26" t="str">
        <f t="shared" si="258"/>
        <v/>
      </c>
      <c r="E4141" s="29"/>
      <c r="F4141" s="22"/>
      <c r="G4141" s="22"/>
      <c r="H4141" s="22"/>
      <c r="I4141" s="24"/>
      <c r="J4141" s="24"/>
      <c r="K4141" s="24"/>
      <c r="L4141" s="24"/>
      <c r="M4141" s="27" t="str">
        <f t="shared" si="259"/>
        <v/>
      </c>
      <c r="N4141" s="25"/>
      <c r="O4141" s="22"/>
      <c r="P4141" s="24"/>
      <c r="Q4141" s="26"/>
    </row>
    <row r="4142" spans="1:17" ht="15" x14ac:dyDescent="0.15">
      <c r="A4142" s="22"/>
      <c r="B4142" s="26" t="str">
        <f t="shared" si="256"/>
        <v/>
      </c>
      <c r="C4142" s="26" t="str">
        <f t="shared" si="257"/>
        <v/>
      </c>
      <c r="D4142" s="26" t="str">
        <f t="shared" si="258"/>
        <v/>
      </c>
      <c r="E4142" s="29"/>
      <c r="F4142" s="22"/>
      <c r="G4142" s="22"/>
      <c r="H4142" s="22"/>
      <c r="I4142" s="24"/>
      <c r="J4142" s="24"/>
      <c r="K4142" s="24"/>
      <c r="L4142" s="24"/>
      <c r="M4142" s="27" t="str">
        <f t="shared" si="259"/>
        <v/>
      </c>
      <c r="N4142" s="25"/>
      <c r="O4142" s="22"/>
      <c r="P4142" s="24"/>
      <c r="Q4142" s="26"/>
    </row>
    <row r="4143" spans="1:17" ht="15" x14ac:dyDescent="0.15">
      <c r="A4143" s="22"/>
      <c r="B4143" s="26" t="str">
        <f t="shared" si="256"/>
        <v/>
      </c>
      <c r="C4143" s="26" t="str">
        <f t="shared" si="257"/>
        <v/>
      </c>
      <c r="D4143" s="26" t="str">
        <f t="shared" si="258"/>
        <v/>
      </c>
      <c r="E4143" s="29"/>
      <c r="F4143" s="22"/>
      <c r="G4143" s="22"/>
      <c r="H4143" s="22"/>
      <c r="I4143" s="24"/>
      <c r="J4143" s="24"/>
      <c r="K4143" s="24"/>
      <c r="L4143" s="24"/>
      <c r="M4143" s="27" t="str">
        <f t="shared" si="259"/>
        <v/>
      </c>
      <c r="N4143" s="25"/>
      <c r="O4143" s="22"/>
      <c r="P4143" s="24"/>
      <c r="Q4143" s="26"/>
    </row>
    <row r="4144" spans="1:17" ht="15" x14ac:dyDescent="0.15">
      <c r="A4144" s="22"/>
      <c r="B4144" s="26" t="str">
        <f t="shared" si="256"/>
        <v/>
      </c>
      <c r="C4144" s="26" t="str">
        <f t="shared" si="257"/>
        <v/>
      </c>
      <c r="D4144" s="26" t="str">
        <f t="shared" si="258"/>
        <v/>
      </c>
      <c r="E4144" s="29"/>
      <c r="F4144" s="22"/>
      <c r="G4144" s="22"/>
      <c r="H4144" s="22"/>
      <c r="I4144" s="24"/>
      <c r="J4144" s="24"/>
      <c r="K4144" s="24"/>
      <c r="L4144" s="24"/>
      <c r="M4144" s="27" t="str">
        <f t="shared" si="259"/>
        <v/>
      </c>
      <c r="N4144" s="25"/>
      <c r="O4144" s="22"/>
      <c r="P4144" s="24"/>
      <c r="Q4144" s="26"/>
    </row>
    <row r="4145" spans="1:17" ht="15" x14ac:dyDescent="0.15">
      <c r="A4145" s="22"/>
      <c r="B4145" s="26" t="str">
        <f t="shared" si="256"/>
        <v/>
      </c>
      <c r="C4145" s="26" t="str">
        <f t="shared" si="257"/>
        <v/>
      </c>
      <c r="D4145" s="26" t="str">
        <f t="shared" si="258"/>
        <v/>
      </c>
      <c r="E4145" s="29"/>
      <c r="F4145" s="22"/>
      <c r="G4145" s="22"/>
      <c r="H4145" s="22"/>
      <c r="I4145" s="24"/>
      <c r="J4145" s="24"/>
      <c r="K4145" s="24"/>
      <c r="L4145" s="24"/>
      <c r="M4145" s="27" t="str">
        <f t="shared" si="259"/>
        <v/>
      </c>
      <c r="N4145" s="25"/>
      <c r="O4145" s="22"/>
      <c r="P4145" s="24"/>
      <c r="Q4145" s="26"/>
    </row>
    <row r="4146" spans="1:17" ht="15" x14ac:dyDescent="0.15">
      <c r="A4146" s="22"/>
      <c r="B4146" s="26" t="str">
        <f t="shared" si="256"/>
        <v/>
      </c>
      <c r="C4146" s="26" t="str">
        <f t="shared" si="257"/>
        <v/>
      </c>
      <c r="D4146" s="26" t="str">
        <f t="shared" si="258"/>
        <v/>
      </c>
      <c r="E4146" s="29"/>
      <c r="F4146" s="22"/>
      <c r="G4146" s="22"/>
      <c r="H4146" s="22"/>
      <c r="I4146" s="24"/>
      <c r="J4146" s="24"/>
      <c r="K4146" s="24"/>
      <c r="L4146" s="24"/>
      <c r="M4146" s="27" t="str">
        <f t="shared" si="259"/>
        <v/>
      </c>
      <c r="N4146" s="25"/>
      <c r="O4146" s="22"/>
      <c r="P4146" s="24"/>
      <c r="Q4146" s="26"/>
    </row>
    <row r="4147" spans="1:17" ht="15" x14ac:dyDescent="0.15">
      <c r="A4147" s="22"/>
      <c r="B4147" s="26" t="str">
        <f t="shared" si="256"/>
        <v/>
      </c>
      <c r="C4147" s="26" t="str">
        <f t="shared" si="257"/>
        <v/>
      </c>
      <c r="D4147" s="26" t="str">
        <f t="shared" si="258"/>
        <v/>
      </c>
      <c r="E4147" s="29"/>
      <c r="F4147" s="22"/>
      <c r="G4147" s="22"/>
      <c r="H4147" s="22"/>
      <c r="I4147" s="24"/>
      <c r="J4147" s="24"/>
      <c r="K4147" s="24"/>
      <c r="L4147" s="24"/>
      <c r="M4147" s="27" t="str">
        <f t="shared" si="259"/>
        <v/>
      </c>
      <c r="N4147" s="25"/>
      <c r="O4147" s="22"/>
      <c r="P4147" s="24"/>
      <c r="Q4147" s="26"/>
    </row>
    <row r="4148" spans="1:17" ht="15" x14ac:dyDescent="0.15">
      <c r="A4148" s="22"/>
      <c r="B4148" s="26" t="str">
        <f t="shared" si="256"/>
        <v/>
      </c>
      <c r="C4148" s="26" t="str">
        <f t="shared" si="257"/>
        <v/>
      </c>
      <c r="D4148" s="26" t="str">
        <f t="shared" si="258"/>
        <v/>
      </c>
      <c r="E4148" s="29"/>
      <c r="F4148" s="22"/>
      <c r="G4148" s="22"/>
      <c r="H4148" s="22"/>
      <c r="I4148" s="24"/>
      <c r="J4148" s="24"/>
      <c r="K4148" s="24"/>
      <c r="L4148" s="24"/>
      <c r="M4148" s="27" t="str">
        <f t="shared" si="259"/>
        <v/>
      </c>
      <c r="N4148" s="25"/>
      <c r="O4148" s="22"/>
      <c r="P4148" s="24"/>
      <c r="Q4148" s="26"/>
    </row>
    <row r="4149" spans="1:17" ht="15" x14ac:dyDescent="0.15">
      <c r="A4149" s="22"/>
      <c r="B4149" s="26" t="str">
        <f t="shared" si="256"/>
        <v/>
      </c>
      <c r="C4149" s="26" t="str">
        <f t="shared" si="257"/>
        <v/>
      </c>
      <c r="D4149" s="26" t="str">
        <f t="shared" si="258"/>
        <v/>
      </c>
      <c r="E4149" s="29"/>
      <c r="F4149" s="22"/>
      <c r="G4149" s="22"/>
      <c r="H4149" s="22"/>
      <c r="I4149" s="24"/>
      <c r="J4149" s="24"/>
      <c r="K4149" s="24"/>
      <c r="L4149" s="24"/>
      <c r="M4149" s="27" t="str">
        <f t="shared" si="259"/>
        <v/>
      </c>
      <c r="N4149" s="25"/>
      <c r="O4149" s="22"/>
      <c r="P4149" s="24"/>
      <c r="Q4149" s="26"/>
    </row>
    <row r="4150" spans="1:17" ht="15" x14ac:dyDescent="0.15">
      <c r="A4150" s="22"/>
      <c r="B4150" s="26" t="str">
        <f t="shared" si="256"/>
        <v/>
      </c>
      <c r="C4150" s="26" t="str">
        <f t="shared" si="257"/>
        <v/>
      </c>
      <c r="D4150" s="26" t="str">
        <f t="shared" si="258"/>
        <v/>
      </c>
      <c r="E4150" s="29"/>
      <c r="F4150" s="22"/>
      <c r="G4150" s="22"/>
      <c r="H4150" s="22"/>
      <c r="I4150" s="24"/>
      <c r="J4150" s="24"/>
      <c r="K4150" s="24"/>
      <c r="L4150" s="24"/>
      <c r="M4150" s="27" t="str">
        <f t="shared" si="259"/>
        <v/>
      </c>
      <c r="N4150" s="25"/>
      <c r="O4150" s="22"/>
      <c r="P4150" s="24"/>
      <c r="Q4150" s="26"/>
    </row>
    <row r="4151" spans="1:17" ht="15" x14ac:dyDescent="0.15">
      <c r="A4151" s="22"/>
      <c r="B4151" s="26" t="str">
        <f t="shared" si="256"/>
        <v/>
      </c>
      <c r="C4151" s="26" t="str">
        <f t="shared" si="257"/>
        <v/>
      </c>
      <c r="D4151" s="26" t="str">
        <f t="shared" si="258"/>
        <v/>
      </c>
      <c r="E4151" s="29"/>
      <c r="F4151" s="22"/>
      <c r="G4151" s="22"/>
      <c r="H4151" s="22"/>
      <c r="I4151" s="24"/>
      <c r="J4151" s="24"/>
      <c r="K4151" s="24"/>
      <c r="L4151" s="24"/>
      <c r="M4151" s="27" t="str">
        <f t="shared" si="259"/>
        <v/>
      </c>
      <c r="N4151" s="25"/>
      <c r="O4151" s="22"/>
      <c r="P4151" s="24"/>
      <c r="Q4151" s="26"/>
    </row>
    <row r="4152" spans="1:17" ht="15" x14ac:dyDescent="0.15">
      <c r="A4152" s="22"/>
      <c r="B4152" s="26" t="str">
        <f t="shared" si="256"/>
        <v/>
      </c>
      <c r="C4152" s="26" t="str">
        <f t="shared" si="257"/>
        <v/>
      </c>
      <c r="D4152" s="26" t="str">
        <f t="shared" si="258"/>
        <v/>
      </c>
      <c r="E4152" s="29"/>
      <c r="F4152" s="22"/>
      <c r="G4152" s="22"/>
      <c r="H4152" s="22"/>
      <c r="I4152" s="24"/>
      <c r="J4152" s="24"/>
      <c r="K4152" s="24"/>
      <c r="L4152" s="24"/>
      <c r="M4152" s="27" t="str">
        <f t="shared" si="259"/>
        <v/>
      </c>
      <c r="N4152" s="25"/>
      <c r="O4152" s="22"/>
      <c r="P4152" s="24"/>
      <c r="Q4152" s="26"/>
    </row>
    <row r="4153" spans="1:17" ht="15" x14ac:dyDescent="0.15">
      <c r="A4153" s="22"/>
      <c r="B4153" s="26" t="str">
        <f t="shared" si="256"/>
        <v/>
      </c>
      <c r="C4153" s="26" t="str">
        <f t="shared" si="257"/>
        <v/>
      </c>
      <c r="D4153" s="26" t="str">
        <f t="shared" si="258"/>
        <v/>
      </c>
      <c r="E4153" s="29"/>
      <c r="F4153" s="22"/>
      <c r="G4153" s="22"/>
      <c r="H4153" s="22"/>
      <c r="I4153" s="24"/>
      <c r="J4153" s="24"/>
      <c r="K4153" s="24"/>
      <c r="L4153" s="24"/>
      <c r="M4153" s="27" t="str">
        <f t="shared" si="259"/>
        <v/>
      </c>
      <c r="N4153" s="25"/>
      <c r="O4153" s="22"/>
      <c r="P4153" s="24"/>
      <c r="Q4153" s="26"/>
    </row>
    <row r="4154" spans="1:17" ht="15" x14ac:dyDescent="0.15">
      <c r="A4154" s="22"/>
      <c r="B4154" s="26" t="str">
        <f t="shared" si="256"/>
        <v/>
      </c>
      <c r="C4154" s="26" t="str">
        <f t="shared" si="257"/>
        <v/>
      </c>
      <c r="D4154" s="26" t="str">
        <f t="shared" si="258"/>
        <v/>
      </c>
      <c r="E4154" s="29"/>
      <c r="F4154" s="22"/>
      <c r="G4154" s="22"/>
      <c r="H4154" s="22"/>
      <c r="I4154" s="24"/>
      <c r="J4154" s="24"/>
      <c r="K4154" s="24"/>
      <c r="L4154" s="24"/>
      <c r="M4154" s="27" t="str">
        <f t="shared" si="259"/>
        <v/>
      </c>
      <c r="N4154" s="25"/>
      <c r="O4154" s="22"/>
      <c r="P4154" s="24"/>
      <c r="Q4154" s="26"/>
    </row>
    <row r="4155" spans="1:17" ht="15" x14ac:dyDescent="0.15">
      <c r="A4155" s="22"/>
      <c r="B4155" s="26" t="str">
        <f t="shared" si="256"/>
        <v/>
      </c>
      <c r="C4155" s="26" t="str">
        <f t="shared" si="257"/>
        <v/>
      </c>
      <c r="D4155" s="26" t="str">
        <f t="shared" si="258"/>
        <v/>
      </c>
      <c r="E4155" s="29"/>
      <c r="F4155" s="22"/>
      <c r="G4155" s="22"/>
      <c r="H4155" s="22"/>
      <c r="I4155" s="24"/>
      <c r="J4155" s="24"/>
      <c r="K4155" s="24"/>
      <c r="L4155" s="24"/>
      <c r="M4155" s="27" t="str">
        <f t="shared" si="259"/>
        <v/>
      </c>
      <c r="N4155" s="25"/>
      <c r="O4155" s="22"/>
      <c r="P4155" s="24"/>
      <c r="Q4155" s="26"/>
    </row>
    <row r="4156" spans="1:17" ht="15" x14ac:dyDescent="0.15">
      <c r="A4156" s="22"/>
      <c r="B4156" s="26" t="str">
        <f t="shared" si="256"/>
        <v/>
      </c>
      <c r="C4156" s="26" t="str">
        <f t="shared" si="257"/>
        <v/>
      </c>
      <c r="D4156" s="26" t="str">
        <f t="shared" si="258"/>
        <v/>
      </c>
      <c r="E4156" s="29"/>
      <c r="F4156" s="22"/>
      <c r="G4156" s="22"/>
      <c r="H4156" s="22"/>
      <c r="I4156" s="24"/>
      <c r="J4156" s="24"/>
      <c r="K4156" s="24"/>
      <c r="L4156" s="24"/>
      <c r="M4156" s="27" t="str">
        <f t="shared" si="259"/>
        <v/>
      </c>
      <c r="N4156" s="25"/>
      <c r="O4156" s="22"/>
      <c r="P4156" s="24"/>
      <c r="Q4156" s="26"/>
    </row>
    <row r="4157" spans="1:17" ht="15" x14ac:dyDescent="0.15">
      <c r="A4157" s="22"/>
      <c r="B4157" s="26" t="str">
        <f t="shared" si="256"/>
        <v/>
      </c>
      <c r="C4157" s="26" t="str">
        <f t="shared" si="257"/>
        <v/>
      </c>
      <c r="D4157" s="26" t="str">
        <f t="shared" si="258"/>
        <v/>
      </c>
      <c r="E4157" s="29"/>
      <c r="F4157" s="22"/>
      <c r="G4157" s="22"/>
      <c r="H4157" s="22"/>
      <c r="I4157" s="24"/>
      <c r="J4157" s="24"/>
      <c r="K4157" s="24"/>
      <c r="L4157" s="24"/>
      <c r="M4157" s="27" t="str">
        <f t="shared" si="259"/>
        <v/>
      </c>
      <c r="N4157" s="25"/>
      <c r="O4157" s="22"/>
      <c r="P4157" s="24"/>
      <c r="Q4157" s="26"/>
    </row>
    <row r="4158" spans="1:17" ht="15" x14ac:dyDescent="0.15">
      <c r="A4158" s="22"/>
      <c r="B4158" s="26" t="str">
        <f t="shared" si="256"/>
        <v/>
      </c>
      <c r="C4158" s="26" t="str">
        <f t="shared" si="257"/>
        <v/>
      </c>
      <c r="D4158" s="26" t="str">
        <f t="shared" si="258"/>
        <v/>
      </c>
      <c r="E4158" s="29"/>
      <c r="F4158" s="22"/>
      <c r="G4158" s="22"/>
      <c r="H4158" s="22"/>
      <c r="I4158" s="24"/>
      <c r="J4158" s="24"/>
      <c r="K4158" s="24"/>
      <c r="L4158" s="24"/>
      <c r="M4158" s="27" t="str">
        <f t="shared" si="259"/>
        <v/>
      </c>
      <c r="N4158" s="25"/>
      <c r="O4158" s="22"/>
      <c r="P4158" s="24"/>
      <c r="Q4158" s="26"/>
    </row>
    <row r="4159" spans="1:17" ht="15" x14ac:dyDescent="0.15">
      <c r="A4159" s="22"/>
      <c r="B4159" s="26" t="str">
        <f t="shared" si="256"/>
        <v/>
      </c>
      <c r="C4159" s="26" t="str">
        <f t="shared" si="257"/>
        <v/>
      </c>
      <c r="D4159" s="26" t="str">
        <f t="shared" si="258"/>
        <v/>
      </c>
      <c r="E4159" s="29"/>
      <c r="F4159" s="22"/>
      <c r="G4159" s="22"/>
      <c r="H4159" s="22"/>
      <c r="I4159" s="24"/>
      <c r="J4159" s="24"/>
      <c r="K4159" s="24"/>
      <c r="L4159" s="24"/>
      <c r="M4159" s="27" t="str">
        <f t="shared" si="259"/>
        <v/>
      </c>
      <c r="N4159" s="25"/>
      <c r="O4159" s="22"/>
      <c r="P4159" s="24"/>
      <c r="Q4159" s="26"/>
    </row>
    <row r="4160" spans="1:17" ht="15" x14ac:dyDescent="0.15">
      <c r="A4160" s="22"/>
      <c r="B4160" s="26" t="str">
        <f t="shared" si="256"/>
        <v/>
      </c>
      <c r="C4160" s="26" t="str">
        <f t="shared" si="257"/>
        <v/>
      </c>
      <c r="D4160" s="26" t="str">
        <f t="shared" si="258"/>
        <v/>
      </c>
      <c r="E4160" s="29"/>
      <c r="F4160" s="22"/>
      <c r="G4160" s="22"/>
      <c r="H4160" s="22"/>
      <c r="I4160" s="24"/>
      <c r="J4160" s="24"/>
      <c r="K4160" s="24"/>
      <c r="L4160" s="24"/>
      <c r="M4160" s="27" t="str">
        <f t="shared" si="259"/>
        <v/>
      </c>
      <c r="N4160" s="25"/>
      <c r="O4160" s="22"/>
      <c r="P4160" s="24"/>
      <c r="Q4160" s="26"/>
    </row>
    <row r="4161" spans="1:17" ht="15" x14ac:dyDescent="0.15">
      <c r="A4161" s="22"/>
      <c r="B4161" s="26" t="str">
        <f t="shared" si="256"/>
        <v/>
      </c>
      <c r="C4161" s="26" t="str">
        <f t="shared" si="257"/>
        <v/>
      </c>
      <c r="D4161" s="26" t="str">
        <f t="shared" si="258"/>
        <v/>
      </c>
      <c r="E4161" s="29"/>
      <c r="F4161" s="22"/>
      <c r="G4161" s="22"/>
      <c r="H4161" s="22"/>
      <c r="I4161" s="24"/>
      <c r="J4161" s="24"/>
      <c r="K4161" s="24"/>
      <c r="L4161" s="24"/>
      <c r="M4161" s="27" t="str">
        <f t="shared" si="259"/>
        <v/>
      </c>
      <c r="N4161" s="25"/>
      <c r="O4161" s="22"/>
      <c r="P4161" s="24"/>
      <c r="Q4161" s="26"/>
    </row>
    <row r="4162" spans="1:17" ht="15" x14ac:dyDescent="0.15">
      <c r="A4162" s="22"/>
      <c r="B4162" s="26" t="str">
        <f t="shared" si="256"/>
        <v/>
      </c>
      <c r="C4162" s="26" t="str">
        <f t="shared" si="257"/>
        <v/>
      </c>
      <c r="D4162" s="26" t="str">
        <f t="shared" si="258"/>
        <v/>
      </c>
      <c r="E4162" s="29"/>
      <c r="F4162" s="22"/>
      <c r="G4162" s="22"/>
      <c r="H4162" s="22"/>
      <c r="I4162" s="24"/>
      <c r="J4162" s="24"/>
      <c r="K4162" s="24"/>
      <c r="L4162" s="24"/>
      <c r="M4162" s="27" t="str">
        <f t="shared" si="259"/>
        <v/>
      </c>
      <c r="N4162" s="25"/>
      <c r="O4162" s="22"/>
      <c r="P4162" s="24"/>
      <c r="Q4162" s="26"/>
    </row>
    <row r="4163" spans="1:17" ht="15" x14ac:dyDescent="0.15">
      <c r="A4163" s="22"/>
      <c r="B4163" s="26" t="str">
        <f t="shared" si="256"/>
        <v/>
      </c>
      <c r="C4163" s="26" t="str">
        <f t="shared" si="257"/>
        <v/>
      </c>
      <c r="D4163" s="26" t="str">
        <f t="shared" si="258"/>
        <v/>
      </c>
      <c r="E4163" s="29"/>
      <c r="F4163" s="22"/>
      <c r="G4163" s="22"/>
      <c r="H4163" s="22"/>
      <c r="I4163" s="24"/>
      <c r="J4163" s="24"/>
      <c r="K4163" s="24"/>
      <c r="L4163" s="24"/>
      <c r="M4163" s="27" t="str">
        <f t="shared" si="259"/>
        <v/>
      </c>
      <c r="N4163" s="25"/>
      <c r="O4163" s="22"/>
      <c r="P4163" s="24"/>
      <c r="Q4163" s="26"/>
    </row>
    <row r="4164" spans="1:17" ht="15" x14ac:dyDescent="0.15">
      <c r="A4164" s="22"/>
      <c r="B4164" s="26" t="str">
        <f t="shared" si="256"/>
        <v/>
      </c>
      <c r="C4164" s="26" t="str">
        <f t="shared" si="257"/>
        <v/>
      </c>
      <c r="D4164" s="26" t="str">
        <f t="shared" si="258"/>
        <v/>
      </c>
      <c r="E4164" s="29"/>
      <c r="F4164" s="22"/>
      <c r="G4164" s="22"/>
      <c r="H4164" s="22"/>
      <c r="I4164" s="24"/>
      <c r="J4164" s="24"/>
      <c r="K4164" s="24"/>
      <c r="L4164" s="24"/>
      <c r="M4164" s="27" t="str">
        <f t="shared" si="259"/>
        <v/>
      </c>
      <c r="N4164" s="25"/>
      <c r="O4164" s="22"/>
      <c r="P4164" s="24"/>
      <c r="Q4164" s="26"/>
    </row>
    <row r="4165" spans="1:17" ht="15" x14ac:dyDescent="0.15">
      <c r="A4165" s="22"/>
      <c r="B4165" s="26" t="str">
        <f t="shared" si="256"/>
        <v/>
      </c>
      <c r="C4165" s="26" t="str">
        <f t="shared" si="257"/>
        <v/>
      </c>
      <c r="D4165" s="26" t="str">
        <f t="shared" si="258"/>
        <v/>
      </c>
      <c r="E4165" s="29"/>
      <c r="F4165" s="22"/>
      <c r="G4165" s="22"/>
      <c r="H4165" s="22"/>
      <c r="I4165" s="24"/>
      <c r="J4165" s="24"/>
      <c r="K4165" s="24"/>
      <c r="L4165" s="24"/>
      <c r="M4165" s="27" t="str">
        <f t="shared" si="259"/>
        <v/>
      </c>
      <c r="N4165" s="25"/>
      <c r="O4165" s="22"/>
      <c r="P4165" s="24"/>
      <c r="Q4165" s="26"/>
    </row>
    <row r="4166" spans="1:17" ht="15" x14ac:dyDescent="0.15">
      <c r="A4166" s="22"/>
      <c r="B4166" s="26" t="str">
        <f t="shared" si="256"/>
        <v/>
      </c>
      <c r="C4166" s="26" t="str">
        <f t="shared" si="257"/>
        <v/>
      </c>
      <c r="D4166" s="26" t="str">
        <f t="shared" si="258"/>
        <v/>
      </c>
      <c r="E4166" s="29"/>
      <c r="F4166" s="22"/>
      <c r="G4166" s="22"/>
      <c r="H4166" s="22"/>
      <c r="I4166" s="24"/>
      <c r="J4166" s="24"/>
      <c r="K4166" s="24"/>
      <c r="L4166" s="24"/>
      <c r="M4166" s="27" t="str">
        <f t="shared" si="259"/>
        <v/>
      </c>
      <c r="N4166" s="25"/>
      <c r="O4166" s="22"/>
      <c r="P4166" s="24"/>
      <c r="Q4166" s="26"/>
    </row>
    <row r="4167" spans="1:17" ht="15" x14ac:dyDescent="0.15">
      <c r="A4167" s="22"/>
      <c r="B4167" s="26" t="str">
        <f t="shared" ref="B4167:B4206" si="260">IFERROR(IF($A4167="","",LEFT($A4167,FIND(" | ",$A4167)-1)),"")</f>
        <v/>
      </c>
      <c r="C4167" s="26" t="str">
        <f t="shared" ref="C4167:C4206" si="261">IFERROR(IF($A4167="","",MID($A4167,FIND(" | ",$A4167)+3,FIND(" | ",$A4167,FIND(" | ",$A4167)+3)-FIND(" | ",$A4167)-3)),"")</f>
        <v/>
      </c>
      <c r="D4167" s="26" t="str">
        <f t="shared" ref="D4167:D4206" si="262">IFERROR(IF($A4167="","",RIGHT($A4167,LEN($A4167)-FIND(" | ",$A4167,FIND(" | ",$A4167)+3)-2)),"")</f>
        <v/>
      </c>
      <c r="E4167" s="29"/>
      <c r="F4167" s="22"/>
      <c r="G4167" s="22"/>
      <c r="H4167" s="22"/>
      <c r="I4167" s="24"/>
      <c r="J4167" s="24"/>
      <c r="K4167" s="24"/>
      <c r="L4167" s="24"/>
      <c r="M4167" s="27" t="str">
        <f t="shared" ref="M4167:M4206" si="263">IF($B4167="","",SUM($J4167,-$K4167,$L4167))</f>
        <v/>
      </c>
      <c r="N4167" s="25"/>
      <c r="O4167" s="22"/>
      <c r="P4167" s="24"/>
      <c r="Q4167" s="26"/>
    </row>
    <row r="4168" spans="1:17" ht="15" x14ac:dyDescent="0.15">
      <c r="A4168" s="22"/>
      <c r="B4168" s="26" t="str">
        <f t="shared" si="260"/>
        <v/>
      </c>
      <c r="C4168" s="26" t="str">
        <f t="shared" si="261"/>
        <v/>
      </c>
      <c r="D4168" s="26" t="str">
        <f t="shared" si="262"/>
        <v/>
      </c>
      <c r="E4168" s="29"/>
      <c r="F4168" s="22"/>
      <c r="G4168" s="22"/>
      <c r="H4168" s="22"/>
      <c r="I4168" s="24"/>
      <c r="J4168" s="24"/>
      <c r="K4168" s="24"/>
      <c r="L4168" s="24"/>
      <c r="M4168" s="27" t="str">
        <f t="shared" si="263"/>
        <v/>
      </c>
      <c r="N4168" s="25"/>
      <c r="O4168" s="22"/>
      <c r="P4168" s="24"/>
      <c r="Q4168" s="26"/>
    </row>
    <row r="4169" spans="1:17" ht="15" x14ac:dyDescent="0.15">
      <c r="A4169" s="22"/>
      <c r="B4169" s="26" t="str">
        <f t="shared" si="260"/>
        <v/>
      </c>
      <c r="C4169" s="26" t="str">
        <f t="shared" si="261"/>
        <v/>
      </c>
      <c r="D4169" s="26" t="str">
        <f t="shared" si="262"/>
        <v/>
      </c>
      <c r="E4169" s="29"/>
      <c r="F4169" s="22"/>
      <c r="G4169" s="22"/>
      <c r="H4169" s="22"/>
      <c r="I4169" s="24"/>
      <c r="J4169" s="24"/>
      <c r="K4169" s="24"/>
      <c r="L4169" s="24"/>
      <c r="M4169" s="27" t="str">
        <f t="shared" si="263"/>
        <v/>
      </c>
      <c r="N4169" s="25"/>
      <c r="O4169" s="22"/>
      <c r="P4169" s="24"/>
      <c r="Q4169" s="26"/>
    </row>
    <row r="4170" spans="1:17" ht="15" x14ac:dyDescent="0.15">
      <c r="A4170" s="22"/>
      <c r="B4170" s="26" t="str">
        <f t="shared" si="260"/>
        <v/>
      </c>
      <c r="C4170" s="26" t="str">
        <f t="shared" si="261"/>
        <v/>
      </c>
      <c r="D4170" s="26" t="str">
        <f t="shared" si="262"/>
        <v/>
      </c>
      <c r="E4170" s="29"/>
      <c r="F4170" s="22"/>
      <c r="G4170" s="22"/>
      <c r="H4170" s="22"/>
      <c r="I4170" s="24"/>
      <c r="J4170" s="24"/>
      <c r="K4170" s="24"/>
      <c r="L4170" s="24"/>
      <c r="M4170" s="27" t="str">
        <f t="shared" si="263"/>
        <v/>
      </c>
      <c r="N4170" s="25"/>
      <c r="O4170" s="22"/>
      <c r="P4170" s="24"/>
      <c r="Q4170" s="26"/>
    </row>
    <row r="4171" spans="1:17" ht="15" x14ac:dyDescent="0.15">
      <c r="A4171" s="22"/>
      <c r="B4171" s="26" t="str">
        <f t="shared" si="260"/>
        <v/>
      </c>
      <c r="C4171" s="26" t="str">
        <f t="shared" si="261"/>
        <v/>
      </c>
      <c r="D4171" s="26" t="str">
        <f t="shared" si="262"/>
        <v/>
      </c>
      <c r="E4171" s="29"/>
      <c r="F4171" s="22"/>
      <c r="G4171" s="22"/>
      <c r="H4171" s="22"/>
      <c r="I4171" s="24"/>
      <c r="J4171" s="24"/>
      <c r="K4171" s="24"/>
      <c r="L4171" s="24"/>
      <c r="M4171" s="27" t="str">
        <f t="shared" si="263"/>
        <v/>
      </c>
      <c r="N4171" s="25"/>
      <c r="O4171" s="22"/>
      <c r="P4171" s="24"/>
      <c r="Q4171" s="26"/>
    </row>
    <row r="4172" spans="1:17" ht="15" x14ac:dyDescent="0.15">
      <c r="A4172" s="22"/>
      <c r="B4172" s="26" t="str">
        <f t="shared" si="260"/>
        <v/>
      </c>
      <c r="C4172" s="26" t="str">
        <f t="shared" si="261"/>
        <v/>
      </c>
      <c r="D4172" s="26" t="str">
        <f t="shared" si="262"/>
        <v/>
      </c>
      <c r="E4172" s="29"/>
      <c r="F4172" s="22"/>
      <c r="G4172" s="22"/>
      <c r="H4172" s="22"/>
      <c r="I4172" s="24"/>
      <c r="J4172" s="24"/>
      <c r="K4172" s="24"/>
      <c r="L4172" s="24"/>
      <c r="M4172" s="27" t="str">
        <f t="shared" si="263"/>
        <v/>
      </c>
      <c r="N4172" s="25"/>
      <c r="O4172" s="22"/>
      <c r="P4172" s="24"/>
      <c r="Q4172" s="26"/>
    </row>
    <row r="4173" spans="1:17" ht="15" x14ac:dyDescent="0.15">
      <c r="A4173" s="22"/>
      <c r="B4173" s="26" t="str">
        <f t="shared" si="260"/>
        <v/>
      </c>
      <c r="C4173" s="26" t="str">
        <f t="shared" si="261"/>
        <v/>
      </c>
      <c r="D4173" s="26" t="str">
        <f t="shared" si="262"/>
        <v/>
      </c>
      <c r="E4173" s="29"/>
      <c r="F4173" s="22"/>
      <c r="G4173" s="22"/>
      <c r="H4173" s="22"/>
      <c r="I4173" s="24"/>
      <c r="J4173" s="24"/>
      <c r="K4173" s="24"/>
      <c r="L4173" s="24"/>
      <c r="M4173" s="27" t="str">
        <f t="shared" si="263"/>
        <v/>
      </c>
      <c r="N4173" s="25"/>
      <c r="O4173" s="22"/>
      <c r="P4173" s="24"/>
      <c r="Q4173" s="26"/>
    </row>
    <row r="4174" spans="1:17" ht="15" x14ac:dyDescent="0.15">
      <c r="A4174" s="22"/>
      <c r="B4174" s="26" t="str">
        <f t="shared" si="260"/>
        <v/>
      </c>
      <c r="C4174" s="26" t="str">
        <f t="shared" si="261"/>
        <v/>
      </c>
      <c r="D4174" s="26" t="str">
        <f t="shared" si="262"/>
        <v/>
      </c>
      <c r="E4174" s="29"/>
      <c r="F4174" s="22"/>
      <c r="G4174" s="22"/>
      <c r="H4174" s="22"/>
      <c r="I4174" s="24"/>
      <c r="J4174" s="24"/>
      <c r="K4174" s="24"/>
      <c r="L4174" s="24"/>
      <c r="M4174" s="27" t="str">
        <f t="shared" si="263"/>
        <v/>
      </c>
      <c r="N4174" s="25"/>
      <c r="O4174" s="22"/>
      <c r="P4174" s="24"/>
      <c r="Q4174" s="26"/>
    </row>
    <row r="4175" spans="1:17" ht="15" x14ac:dyDescent="0.15">
      <c r="A4175" s="22"/>
      <c r="B4175" s="26" t="str">
        <f t="shared" si="260"/>
        <v/>
      </c>
      <c r="C4175" s="26" t="str">
        <f t="shared" si="261"/>
        <v/>
      </c>
      <c r="D4175" s="26" t="str">
        <f t="shared" si="262"/>
        <v/>
      </c>
      <c r="E4175" s="29"/>
      <c r="F4175" s="22"/>
      <c r="G4175" s="22"/>
      <c r="H4175" s="22"/>
      <c r="I4175" s="24"/>
      <c r="J4175" s="24"/>
      <c r="K4175" s="24"/>
      <c r="L4175" s="24"/>
      <c r="M4175" s="27" t="str">
        <f t="shared" si="263"/>
        <v/>
      </c>
      <c r="N4175" s="25"/>
      <c r="O4175" s="22"/>
      <c r="P4175" s="24"/>
      <c r="Q4175" s="26"/>
    </row>
    <row r="4176" spans="1:17" ht="15" x14ac:dyDescent="0.15">
      <c r="A4176" s="22"/>
      <c r="B4176" s="26" t="str">
        <f t="shared" si="260"/>
        <v/>
      </c>
      <c r="C4176" s="26" t="str">
        <f t="shared" si="261"/>
        <v/>
      </c>
      <c r="D4176" s="26" t="str">
        <f t="shared" si="262"/>
        <v/>
      </c>
      <c r="E4176" s="29"/>
      <c r="F4176" s="22"/>
      <c r="G4176" s="22"/>
      <c r="H4176" s="22"/>
      <c r="I4176" s="24"/>
      <c r="J4176" s="24"/>
      <c r="K4176" s="24"/>
      <c r="L4176" s="24"/>
      <c r="M4176" s="27" t="str">
        <f t="shared" si="263"/>
        <v/>
      </c>
      <c r="N4176" s="25"/>
      <c r="O4176" s="22"/>
      <c r="P4176" s="24"/>
      <c r="Q4176" s="26"/>
    </row>
    <row r="4177" spans="1:17" ht="15" x14ac:dyDescent="0.15">
      <c r="A4177" s="22"/>
      <c r="B4177" s="26" t="str">
        <f t="shared" si="260"/>
        <v/>
      </c>
      <c r="C4177" s="26" t="str">
        <f t="shared" si="261"/>
        <v/>
      </c>
      <c r="D4177" s="26" t="str">
        <f t="shared" si="262"/>
        <v/>
      </c>
      <c r="E4177" s="29"/>
      <c r="F4177" s="22"/>
      <c r="G4177" s="22"/>
      <c r="H4177" s="22"/>
      <c r="I4177" s="24"/>
      <c r="J4177" s="24"/>
      <c r="K4177" s="24"/>
      <c r="L4177" s="24"/>
      <c r="M4177" s="27" t="str">
        <f t="shared" si="263"/>
        <v/>
      </c>
      <c r="N4177" s="25"/>
      <c r="O4177" s="22"/>
      <c r="P4177" s="24"/>
      <c r="Q4177" s="26"/>
    </row>
    <row r="4178" spans="1:17" ht="15" x14ac:dyDescent="0.15">
      <c r="A4178" s="22"/>
      <c r="B4178" s="26" t="str">
        <f t="shared" si="260"/>
        <v/>
      </c>
      <c r="C4178" s="26" t="str">
        <f t="shared" si="261"/>
        <v/>
      </c>
      <c r="D4178" s="26" t="str">
        <f t="shared" si="262"/>
        <v/>
      </c>
      <c r="E4178" s="29"/>
      <c r="F4178" s="22"/>
      <c r="G4178" s="22"/>
      <c r="H4178" s="22"/>
      <c r="I4178" s="24"/>
      <c r="J4178" s="24"/>
      <c r="K4178" s="24"/>
      <c r="L4178" s="24"/>
      <c r="M4178" s="27" t="str">
        <f t="shared" si="263"/>
        <v/>
      </c>
      <c r="N4178" s="25"/>
      <c r="O4178" s="22"/>
      <c r="P4178" s="24"/>
      <c r="Q4178" s="26"/>
    </row>
    <row r="4179" spans="1:17" ht="15" x14ac:dyDescent="0.15">
      <c r="A4179" s="22"/>
      <c r="B4179" s="26" t="str">
        <f t="shared" si="260"/>
        <v/>
      </c>
      <c r="C4179" s="26" t="str">
        <f t="shared" si="261"/>
        <v/>
      </c>
      <c r="D4179" s="26" t="str">
        <f t="shared" si="262"/>
        <v/>
      </c>
      <c r="E4179" s="29"/>
      <c r="F4179" s="22"/>
      <c r="G4179" s="22"/>
      <c r="H4179" s="22"/>
      <c r="I4179" s="24"/>
      <c r="J4179" s="24"/>
      <c r="K4179" s="24"/>
      <c r="L4179" s="24"/>
      <c r="M4179" s="27" t="str">
        <f t="shared" si="263"/>
        <v/>
      </c>
      <c r="N4179" s="25"/>
      <c r="O4179" s="22"/>
      <c r="P4179" s="24"/>
      <c r="Q4179" s="26"/>
    </row>
    <row r="4180" spans="1:17" ht="15" x14ac:dyDescent="0.15">
      <c r="A4180" s="22"/>
      <c r="B4180" s="26" t="str">
        <f t="shared" si="260"/>
        <v/>
      </c>
      <c r="C4180" s="26" t="str">
        <f t="shared" si="261"/>
        <v/>
      </c>
      <c r="D4180" s="26" t="str">
        <f t="shared" si="262"/>
        <v/>
      </c>
      <c r="E4180" s="29"/>
      <c r="F4180" s="22"/>
      <c r="G4180" s="22"/>
      <c r="H4180" s="22"/>
      <c r="I4180" s="24"/>
      <c r="J4180" s="24"/>
      <c r="K4180" s="24"/>
      <c r="L4180" s="24"/>
      <c r="M4180" s="27" t="str">
        <f t="shared" si="263"/>
        <v/>
      </c>
      <c r="N4180" s="25"/>
      <c r="O4180" s="22"/>
      <c r="P4180" s="24"/>
      <c r="Q4180" s="26"/>
    </row>
    <row r="4181" spans="1:17" ht="15" x14ac:dyDescent="0.15">
      <c r="A4181" s="22"/>
      <c r="B4181" s="26" t="str">
        <f t="shared" si="260"/>
        <v/>
      </c>
      <c r="C4181" s="26" t="str">
        <f t="shared" si="261"/>
        <v/>
      </c>
      <c r="D4181" s="26" t="str">
        <f t="shared" si="262"/>
        <v/>
      </c>
      <c r="E4181" s="29"/>
      <c r="F4181" s="22"/>
      <c r="G4181" s="22"/>
      <c r="H4181" s="22"/>
      <c r="I4181" s="24"/>
      <c r="J4181" s="24"/>
      <c r="K4181" s="24"/>
      <c r="L4181" s="24"/>
      <c r="M4181" s="27" t="str">
        <f t="shared" si="263"/>
        <v/>
      </c>
      <c r="N4181" s="25"/>
      <c r="O4181" s="22"/>
      <c r="P4181" s="24"/>
      <c r="Q4181" s="26"/>
    </row>
    <row r="4182" spans="1:17" ht="15" x14ac:dyDescent="0.15">
      <c r="A4182" s="22"/>
      <c r="B4182" s="26" t="str">
        <f t="shared" si="260"/>
        <v/>
      </c>
      <c r="C4182" s="26" t="str">
        <f t="shared" si="261"/>
        <v/>
      </c>
      <c r="D4182" s="26" t="str">
        <f t="shared" si="262"/>
        <v/>
      </c>
      <c r="E4182" s="29"/>
      <c r="F4182" s="22"/>
      <c r="G4182" s="22"/>
      <c r="H4182" s="22"/>
      <c r="I4182" s="24"/>
      <c r="J4182" s="24"/>
      <c r="K4182" s="24"/>
      <c r="L4182" s="24"/>
      <c r="M4182" s="27" t="str">
        <f t="shared" si="263"/>
        <v/>
      </c>
      <c r="N4182" s="25"/>
      <c r="O4182" s="22"/>
      <c r="P4182" s="24"/>
      <c r="Q4182" s="26"/>
    </row>
    <row r="4183" spans="1:17" ht="15" x14ac:dyDescent="0.15">
      <c r="A4183" s="22"/>
      <c r="B4183" s="26" t="str">
        <f t="shared" si="260"/>
        <v/>
      </c>
      <c r="C4183" s="26" t="str">
        <f t="shared" si="261"/>
        <v/>
      </c>
      <c r="D4183" s="26" t="str">
        <f t="shared" si="262"/>
        <v/>
      </c>
      <c r="E4183" s="29"/>
      <c r="F4183" s="22"/>
      <c r="G4183" s="22"/>
      <c r="H4183" s="22"/>
      <c r="I4183" s="24"/>
      <c r="J4183" s="24"/>
      <c r="K4183" s="24"/>
      <c r="L4183" s="24"/>
      <c r="M4183" s="27" t="str">
        <f t="shared" si="263"/>
        <v/>
      </c>
      <c r="N4183" s="25"/>
      <c r="O4183" s="22"/>
      <c r="P4183" s="24"/>
      <c r="Q4183" s="26"/>
    </row>
    <row r="4184" spans="1:17" ht="15" x14ac:dyDescent="0.15">
      <c r="A4184" s="22"/>
      <c r="B4184" s="26" t="str">
        <f t="shared" si="260"/>
        <v/>
      </c>
      <c r="C4184" s="26" t="str">
        <f t="shared" si="261"/>
        <v/>
      </c>
      <c r="D4184" s="26" t="str">
        <f t="shared" si="262"/>
        <v/>
      </c>
      <c r="E4184" s="29"/>
      <c r="F4184" s="22"/>
      <c r="G4184" s="22"/>
      <c r="H4184" s="22"/>
      <c r="I4184" s="24"/>
      <c r="J4184" s="24"/>
      <c r="K4184" s="24"/>
      <c r="L4184" s="24"/>
      <c r="M4184" s="27" t="str">
        <f t="shared" si="263"/>
        <v/>
      </c>
      <c r="N4184" s="25"/>
      <c r="O4184" s="22"/>
      <c r="P4184" s="24"/>
      <c r="Q4184" s="26"/>
    </row>
    <row r="4185" spans="1:17" ht="15" x14ac:dyDescent="0.15">
      <c r="A4185" s="22"/>
      <c r="B4185" s="26" t="str">
        <f t="shared" si="260"/>
        <v/>
      </c>
      <c r="C4185" s="26" t="str">
        <f t="shared" si="261"/>
        <v/>
      </c>
      <c r="D4185" s="26" t="str">
        <f t="shared" si="262"/>
        <v/>
      </c>
      <c r="E4185" s="29"/>
      <c r="F4185" s="22"/>
      <c r="G4185" s="22"/>
      <c r="H4185" s="22"/>
      <c r="I4185" s="24"/>
      <c r="J4185" s="24"/>
      <c r="K4185" s="24"/>
      <c r="L4185" s="24"/>
      <c r="M4185" s="27" t="str">
        <f t="shared" si="263"/>
        <v/>
      </c>
      <c r="N4185" s="25"/>
      <c r="O4185" s="22"/>
      <c r="P4185" s="24"/>
      <c r="Q4185" s="26"/>
    </row>
    <row r="4186" spans="1:17" ht="15" x14ac:dyDescent="0.15">
      <c r="A4186" s="22"/>
      <c r="B4186" s="26" t="str">
        <f t="shared" si="260"/>
        <v/>
      </c>
      <c r="C4186" s="26" t="str">
        <f t="shared" si="261"/>
        <v/>
      </c>
      <c r="D4186" s="26" t="str">
        <f t="shared" si="262"/>
        <v/>
      </c>
      <c r="E4186" s="29"/>
      <c r="F4186" s="22"/>
      <c r="G4186" s="22"/>
      <c r="H4186" s="22"/>
      <c r="I4186" s="24"/>
      <c r="J4186" s="24"/>
      <c r="K4186" s="24"/>
      <c r="L4186" s="24"/>
      <c r="M4186" s="27" t="str">
        <f t="shared" si="263"/>
        <v/>
      </c>
      <c r="N4186" s="25"/>
      <c r="O4186" s="22"/>
      <c r="P4186" s="24"/>
      <c r="Q4186" s="26"/>
    </row>
    <row r="4187" spans="1:17" ht="15" x14ac:dyDescent="0.15">
      <c r="A4187" s="22"/>
      <c r="B4187" s="26" t="str">
        <f t="shared" si="260"/>
        <v/>
      </c>
      <c r="C4187" s="26" t="str">
        <f t="shared" si="261"/>
        <v/>
      </c>
      <c r="D4187" s="26" t="str">
        <f t="shared" si="262"/>
        <v/>
      </c>
      <c r="E4187" s="29"/>
      <c r="F4187" s="22"/>
      <c r="G4187" s="22"/>
      <c r="H4187" s="22"/>
      <c r="I4187" s="24"/>
      <c r="J4187" s="24"/>
      <c r="K4187" s="24"/>
      <c r="L4187" s="24"/>
      <c r="M4187" s="27" t="str">
        <f t="shared" si="263"/>
        <v/>
      </c>
      <c r="N4187" s="25"/>
      <c r="O4187" s="22"/>
      <c r="P4187" s="24"/>
      <c r="Q4187" s="26"/>
    </row>
    <row r="4188" spans="1:17" ht="15" x14ac:dyDescent="0.15">
      <c r="A4188" s="22"/>
      <c r="B4188" s="26" t="str">
        <f t="shared" si="260"/>
        <v/>
      </c>
      <c r="C4188" s="26" t="str">
        <f t="shared" si="261"/>
        <v/>
      </c>
      <c r="D4188" s="26" t="str">
        <f t="shared" si="262"/>
        <v/>
      </c>
      <c r="E4188" s="29"/>
      <c r="F4188" s="22"/>
      <c r="G4188" s="22"/>
      <c r="H4188" s="22"/>
      <c r="I4188" s="24"/>
      <c r="J4188" s="24"/>
      <c r="K4188" s="24"/>
      <c r="L4188" s="24"/>
      <c r="M4188" s="27" t="str">
        <f t="shared" si="263"/>
        <v/>
      </c>
      <c r="N4188" s="25"/>
      <c r="O4188" s="22"/>
      <c r="P4188" s="24"/>
      <c r="Q4188" s="26"/>
    </row>
    <row r="4189" spans="1:17" ht="15" x14ac:dyDescent="0.15">
      <c r="A4189" s="22"/>
      <c r="B4189" s="26" t="str">
        <f t="shared" si="260"/>
        <v/>
      </c>
      <c r="C4189" s="26" t="str">
        <f t="shared" si="261"/>
        <v/>
      </c>
      <c r="D4189" s="26" t="str">
        <f t="shared" si="262"/>
        <v/>
      </c>
      <c r="E4189" s="29"/>
      <c r="F4189" s="22"/>
      <c r="G4189" s="22"/>
      <c r="H4189" s="22"/>
      <c r="I4189" s="24"/>
      <c r="J4189" s="24"/>
      <c r="K4189" s="24"/>
      <c r="L4189" s="24"/>
      <c r="M4189" s="27" t="str">
        <f t="shared" si="263"/>
        <v/>
      </c>
      <c r="N4189" s="25"/>
      <c r="O4189" s="22"/>
      <c r="P4189" s="24"/>
      <c r="Q4189" s="26"/>
    </row>
    <row r="4190" spans="1:17" ht="15" x14ac:dyDescent="0.15">
      <c r="A4190" s="22"/>
      <c r="B4190" s="26" t="str">
        <f t="shared" si="260"/>
        <v/>
      </c>
      <c r="C4190" s="26" t="str">
        <f t="shared" si="261"/>
        <v/>
      </c>
      <c r="D4190" s="26" t="str">
        <f t="shared" si="262"/>
        <v/>
      </c>
      <c r="E4190" s="29"/>
      <c r="F4190" s="22"/>
      <c r="G4190" s="22"/>
      <c r="H4190" s="22"/>
      <c r="I4190" s="24"/>
      <c r="J4190" s="24"/>
      <c r="K4190" s="24"/>
      <c r="L4190" s="24"/>
      <c r="M4190" s="27" t="str">
        <f t="shared" si="263"/>
        <v/>
      </c>
      <c r="N4190" s="25"/>
      <c r="O4190" s="22"/>
      <c r="P4190" s="24"/>
      <c r="Q4190" s="26"/>
    </row>
    <row r="4191" spans="1:17" ht="15" x14ac:dyDescent="0.15">
      <c r="A4191" s="22"/>
      <c r="B4191" s="26" t="str">
        <f t="shared" si="260"/>
        <v/>
      </c>
      <c r="C4191" s="26" t="str">
        <f t="shared" si="261"/>
        <v/>
      </c>
      <c r="D4191" s="26" t="str">
        <f t="shared" si="262"/>
        <v/>
      </c>
      <c r="E4191" s="29"/>
      <c r="F4191" s="22"/>
      <c r="G4191" s="22"/>
      <c r="H4191" s="22"/>
      <c r="I4191" s="24"/>
      <c r="J4191" s="24"/>
      <c r="K4191" s="24"/>
      <c r="L4191" s="24"/>
      <c r="M4191" s="27" t="str">
        <f t="shared" si="263"/>
        <v/>
      </c>
      <c r="N4191" s="25"/>
      <c r="O4191" s="22"/>
      <c r="P4191" s="24"/>
      <c r="Q4191" s="26"/>
    </row>
    <row r="4192" spans="1:17" ht="15" x14ac:dyDescent="0.15">
      <c r="A4192" s="22"/>
      <c r="B4192" s="26" t="str">
        <f t="shared" si="260"/>
        <v/>
      </c>
      <c r="C4192" s="26" t="str">
        <f t="shared" si="261"/>
        <v/>
      </c>
      <c r="D4192" s="26" t="str">
        <f t="shared" si="262"/>
        <v/>
      </c>
      <c r="E4192" s="29"/>
      <c r="F4192" s="22"/>
      <c r="G4192" s="22"/>
      <c r="H4192" s="22"/>
      <c r="I4192" s="24"/>
      <c r="J4192" s="24"/>
      <c r="K4192" s="24"/>
      <c r="L4192" s="24"/>
      <c r="M4192" s="27" t="str">
        <f t="shared" si="263"/>
        <v/>
      </c>
      <c r="N4192" s="25"/>
      <c r="O4192" s="22"/>
      <c r="P4192" s="24"/>
      <c r="Q4192" s="26"/>
    </row>
    <row r="4193" spans="1:17" ht="15" x14ac:dyDescent="0.15">
      <c r="A4193" s="22"/>
      <c r="B4193" s="26" t="str">
        <f t="shared" si="260"/>
        <v/>
      </c>
      <c r="C4193" s="26" t="str">
        <f t="shared" si="261"/>
        <v/>
      </c>
      <c r="D4193" s="26" t="str">
        <f t="shared" si="262"/>
        <v/>
      </c>
      <c r="E4193" s="29"/>
      <c r="F4193" s="22"/>
      <c r="G4193" s="22"/>
      <c r="H4193" s="22"/>
      <c r="I4193" s="24"/>
      <c r="J4193" s="24"/>
      <c r="K4193" s="24"/>
      <c r="L4193" s="24"/>
      <c r="M4193" s="27" t="str">
        <f t="shared" si="263"/>
        <v/>
      </c>
      <c r="N4193" s="25"/>
      <c r="O4193" s="22"/>
      <c r="P4193" s="24"/>
      <c r="Q4193" s="26"/>
    </row>
    <row r="4194" spans="1:17" ht="15" x14ac:dyDescent="0.15">
      <c r="A4194" s="22"/>
      <c r="B4194" s="26" t="str">
        <f t="shared" si="260"/>
        <v/>
      </c>
      <c r="C4194" s="26" t="str">
        <f t="shared" si="261"/>
        <v/>
      </c>
      <c r="D4194" s="26" t="str">
        <f t="shared" si="262"/>
        <v/>
      </c>
      <c r="E4194" s="29"/>
      <c r="F4194" s="22"/>
      <c r="G4194" s="22"/>
      <c r="H4194" s="22"/>
      <c r="I4194" s="24"/>
      <c r="J4194" s="24"/>
      <c r="K4194" s="24"/>
      <c r="L4194" s="24"/>
      <c r="M4194" s="27" t="str">
        <f t="shared" si="263"/>
        <v/>
      </c>
      <c r="N4194" s="25"/>
      <c r="O4194" s="22"/>
      <c r="P4194" s="24"/>
      <c r="Q4194" s="26"/>
    </row>
    <row r="4195" spans="1:17" ht="15" x14ac:dyDescent="0.15">
      <c r="A4195" s="22"/>
      <c r="B4195" s="26" t="str">
        <f t="shared" si="260"/>
        <v/>
      </c>
      <c r="C4195" s="26" t="str">
        <f t="shared" si="261"/>
        <v/>
      </c>
      <c r="D4195" s="26" t="str">
        <f t="shared" si="262"/>
        <v/>
      </c>
      <c r="E4195" s="29"/>
      <c r="F4195" s="22"/>
      <c r="G4195" s="22"/>
      <c r="H4195" s="22"/>
      <c r="I4195" s="24"/>
      <c r="J4195" s="24"/>
      <c r="K4195" s="24"/>
      <c r="L4195" s="24"/>
      <c r="M4195" s="27" t="str">
        <f t="shared" si="263"/>
        <v/>
      </c>
      <c r="N4195" s="25"/>
      <c r="O4195" s="22"/>
      <c r="P4195" s="24"/>
      <c r="Q4195" s="26"/>
    </row>
    <row r="4196" spans="1:17" ht="15" x14ac:dyDescent="0.15">
      <c r="A4196" s="22"/>
      <c r="B4196" s="26" t="str">
        <f t="shared" si="260"/>
        <v/>
      </c>
      <c r="C4196" s="26" t="str">
        <f t="shared" si="261"/>
        <v/>
      </c>
      <c r="D4196" s="26" t="str">
        <f t="shared" si="262"/>
        <v/>
      </c>
      <c r="E4196" s="29"/>
      <c r="F4196" s="22"/>
      <c r="G4196" s="22"/>
      <c r="H4196" s="22"/>
      <c r="I4196" s="24"/>
      <c r="J4196" s="24"/>
      <c r="K4196" s="24"/>
      <c r="L4196" s="24"/>
      <c r="M4196" s="27" t="str">
        <f t="shared" si="263"/>
        <v/>
      </c>
      <c r="N4196" s="25"/>
      <c r="O4196" s="22"/>
      <c r="P4196" s="24"/>
      <c r="Q4196" s="26"/>
    </row>
    <row r="4197" spans="1:17" ht="15" x14ac:dyDescent="0.15">
      <c r="A4197" s="22"/>
      <c r="B4197" s="26" t="str">
        <f t="shared" si="260"/>
        <v/>
      </c>
      <c r="C4197" s="26" t="str">
        <f t="shared" si="261"/>
        <v/>
      </c>
      <c r="D4197" s="26" t="str">
        <f t="shared" si="262"/>
        <v/>
      </c>
      <c r="E4197" s="29"/>
      <c r="F4197" s="22"/>
      <c r="G4197" s="22"/>
      <c r="H4197" s="22"/>
      <c r="I4197" s="24"/>
      <c r="J4197" s="24"/>
      <c r="K4197" s="24"/>
      <c r="L4197" s="24"/>
      <c r="M4197" s="27" t="str">
        <f t="shared" si="263"/>
        <v/>
      </c>
      <c r="N4197" s="25"/>
      <c r="O4197" s="22"/>
      <c r="P4197" s="24"/>
      <c r="Q4197" s="26"/>
    </row>
    <row r="4198" spans="1:17" ht="15" x14ac:dyDescent="0.15">
      <c r="A4198" s="22"/>
      <c r="B4198" s="26" t="str">
        <f t="shared" si="260"/>
        <v/>
      </c>
      <c r="C4198" s="26" t="str">
        <f t="shared" si="261"/>
        <v/>
      </c>
      <c r="D4198" s="26" t="str">
        <f t="shared" si="262"/>
        <v/>
      </c>
      <c r="E4198" s="29"/>
      <c r="F4198" s="22"/>
      <c r="G4198" s="22"/>
      <c r="H4198" s="22"/>
      <c r="I4198" s="24"/>
      <c r="J4198" s="24"/>
      <c r="K4198" s="24"/>
      <c r="L4198" s="24"/>
      <c r="M4198" s="27" t="str">
        <f t="shared" si="263"/>
        <v/>
      </c>
      <c r="N4198" s="25"/>
      <c r="O4198" s="22"/>
      <c r="P4198" s="24"/>
      <c r="Q4198" s="26"/>
    </row>
    <row r="4199" spans="1:17" ht="15" x14ac:dyDescent="0.15">
      <c r="A4199" s="22"/>
      <c r="B4199" s="26" t="str">
        <f t="shared" si="260"/>
        <v/>
      </c>
      <c r="C4199" s="26" t="str">
        <f t="shared" si="261"/>
        <v/>
      </c>
      <c r="D4199" s="26" t="str">
        <f t="shared" si="262"/>
        <v/>
      </c>
      <c r="E4199" s="29"/>
      <c r="F4199" s="22"/>
      <c r="G4199" s="22"/>
      <c r="H4199" s="22"/>
      <c r="I4199" s="24"/>
      <c r="J4199" s="24"/>
      <c r="K4199" s="24"/>
      <c r="L4199" s="24"/>
      <c r="M4199" s="27" t="str">
        <f t="shared" si="263"/>
        <v/>
      </c>
      <c r="N4199" s="25"/>
      <c r="O4199" s="22"/>
      <c r="P4199" s="24"/>
      <c r="Q4199" s="26"/>
    </row>
    <row r="4200" spans="1:17" ht="15" x14ac:dyDescent="0.15">
      <c r="A4200" s="22"/>
      <c r="B4200" s="26" t="str">
        <f t="shared" si="260"/>
        <v/>
      </c>
      <c r="C4200" s="26" t="str">
        <f t="shared" si="261"/>
        <v/>
      </c>
      <c r="D4200" s="26" t="str">
        <f t="shared" si="262"/>
        <v/>
      </c>
      <c r="E4200" s="29"/>
      <c r="F4200" s="22"/>
      <c r="G4200" s="22"/>
      <c r="H4200" s="22"/>
      <c r="I4200" s="24"/>
      <c r="J4200" s="24"/>
      <c r="K4200" s="24"/>
      <c r="L4200" s="24"/>
      <c r="M4200" s="27" t="str">
        <f t="shared" si="263"/>
        <v/>
      </c>
      <c r="N4200" s="25"/>
      <c r="O4200" s="22"/>
      <c r="P4200" s="24"/>
      <c r="Q4200" s="26"/>
    </row>
    <row r="4201" spans="1:17" ht="15" x14ac:dyDescent="0.15">
      <c r="A4201" s="22"/>
      <c r="B4201" s="26" t="str">
        <f t="shared" si="260"/>
        <v/>
      </c>
      <c r="C4201" s="26" t="str">
        <f t="shared" si="261"/>
        <v/>
      </c>
      <c r="D4201" s="26" t="str">
        <f t="shared" si="262"/>
        <v/>
      </c>
      <c r="E4201" s="29"/>
      <c r="F4201" s="22"/>
      <c r="G4201" s="22"/>
      <c r="H4201" s="22"/>
      <c r="I4201" s="24"/>
      <c r="J4201" s="24"/>
      <c r="K4201" s="24"/>
      <c r="L4201" s="24"/>
      <c r="M4201" s="27" t="str">
        <f t="shared" si="263"/>
        <v/>
      </c>
      <c r="N4201" s="25"/>
      <c r="O4201" s="22"/>
      <c r="P4201" s="24"/>
      <c r="Q4201" s="26"/>
    </row>
    <row r="4202" spans="1:17" ht="15" x14ac:dyDescent="0.15">
      <c r="A4202" s="22"/>
      <c r="B4202" s="26" t="str">
        <f t="shared" si="260"/>
        <v/>
      </c>
      <c r="C4202" s="26" t="str">
        <f t="shared" si="261"/>
        <v/>
      </c>
      <c r="D4202" s="26" t="str">
        <f t="shared" si="262"/>
        <v/>
      </c>
      <c r="E4202" s="29"/>
      <c r="F4202" s="22"/>
      <c r="G4202" s="22"/>
      <c r="H4202" s="22"/>
      <c r="I4202" s="24"/>
      <c r="J4202" s="24"/>
      <c r="K4202" s="24"/>
      <c r="L4202" s="24"/>
      <c r="M4202" s="27" t="str">
        <f t="shared" si="263"/>
        <v/>
      </c>
      <c r="N4202" s="25"/>
      <c r="O4202" s="22"/>
      <c r="P4202" s="24"/>
      <c r="Q4202" s="26"/>
    </row>
    <row r="4203" spans="1:17" ht="15" x14ac:dyDescent="0.15">
      <c r="A4203" s="22"/>
      <c r="B4203" s="26" t="str">
        <f t="shared" si="260"/>
        <v/>
      </c>
      <c r="C4203" s="26" t="str">
        <f t="shared" si="261"/>
        <v/>
      </c>
      <c r="D4203" s="26" t="str">
        <f t="shared" si="262"/>
        <v/>
      </c>
      <c r="E4203" s="29"/>
      <c r="F4203" s="22"/>
      <c r="G4203" s="22"/>
      <c r="H4203" s="22"/>
      <c r="I4203" s="24"/>
      <c r="J4203" s="24"/>
      <c r="K4203" s="24"/>
      <c r="L4203" s="24"/>
      <c r="M4203" s="27" t="str">
        <f t="shared" si="263"/>
        <v/>
      </c>
      <c r="N4203" s="25"/>
      <c r="O4203" s="22"/>
      <c r="P4203" s="24"/>
      <c r="Q4203" s="26"/>
    </row>
    <row r="4204" spans="1:17" ht="15" x14ac:dyDescent="0.15">
      <c r="A4204" s="22"/>
      <c r="B4204" s="26" t="str">
        <f t="shared" si="260"/>
        <v/>
      </c>
      <c r="C4204" s="26" t="str">
        <f t="shared" si="261"/>
        <v/>
      </c>
      <c r="D4204" s="26" t="str">
        <f t="shared" si="262"/>
        <v/>
      </c>
      <c r="E4204" s="29"/>
      <c r="F4204" s="22"/>
      <c r="G4204" s="22"/>
      <c r="H4204" s="22"/>
      <c r="I4204" s="24"/>
      <c r="J4204" s="24"/>
      <c r="K4204" s="24"/>
      <c r="L4204" s="24"/>
      <c r="M4204" s="27" t="str">
        <f t="shared" si="263"/>
        <v/>
      </c>
      <c r="N4204" s="25"/>
      <c r="O4204" s="22"/>
      <c r="P4204" s="24"/>
      <c r="Q4204" s="26"/>
    </row>
    <row r="4205" spans="1:17" ht="15" x14ac:dyDescent="0.15">
      <c r="A4205" s="22"/>
      <c r="B4205" s="26" t="str">
        <f t="shared" si="260"/>
        <v/>
      </c>
      <c r="C4205" s="26" t="str">
        <f t="shared" si="261"/>
        <v/>
      </c>
      <c r="D4205" s="26" t="str">
        <f t="shared" si="262"/>
        <v/>
      </c>
      <c r="E4205" s="29"/>
      <c r="F4205" s="22"/>
      <c r="G4205" s="22"/>
      <c r="H4205" s="22"/>
      <c r="I4205" s="24"/>
      <c r="J4205" s="24"/>
      <c r="K4205" s="24"/>
      <c r="L4205" s="24"/>
      <c r="M4205" s="27" t="str">
        <f t="shared" si="263"/>
        <v/>
      </c>
      <c r="N4205" s="25"/>
      <c r="O4205" s="22"/>
      <c r="P4205" s="24"/>
      <c r="Q4205" s="26"/>
    </row>
    <row r="4206" spans="1:17" ht="15" x14ac:dyDescent="0.15">
      <c r="A4206" s="22"/>
      <c r="B4206" s="26" t="str">
        <f t="shared" si="260"/>
        <v/>
      </c>
      <c r="C4206" s="26" t="str">
        <f t="shared" si="261"/>
        <v/>
      </c>
      <c r="D4206" s="26" t="str">
        <f t="shared" si="262"/>
        <v/>
      </c>
      <c r="E4206" s="29"/>
      <c r="F4206" s="22"/>
      <c r="G4206" s="22"/>
      <c r="H4206" s="22"/>
      <c r="I4206" s="24"/>
      <c r="J4206" s="24"/>
      <c r="K4206" s="24"/>
      <c r="L4206" s="24"/>
      <c r="M4206" s="27" t="str">
        <f t="shared" si="263"/>
        <v/>
      </c>
      <c r="N4206" s="25"/>
      <c r="O4206" s="22"/>
      <c r="P4206" s="24"/>
      <c r="Q4206" s="26"/>
    </row>
  </sheetData>
  <mergeCells count="5">
    <mergeCell ref="A1:Q1"/>
    <mergeCell ref="A3:B3"/>
    <mergeCell ref="C3:D3"/>
    <mergeCell ref="E3:F3"/>
    <mergeCell ref="A4:Q4"/>
  </mergeCells>
  <conditionalFormatting sqref="E7:E4206">
    <cfRule type="expression" dxfId="5" priority="2">
      <formula>AND($B7&lt;&gt;"",$E7="")</formula>
    </cfRule>
  </conditionalFormatting>
  <dataValidations count="5">
    <dataValidation type="list" showErrorMessage="1" errorTitle="Valore non valido" error="Selezionare un valore presente nell'elenco." sqref="A3" xr:uid="{00000000-0002-0000-0300-000000000000}">
      <formula1>ListaCommesseDashboard</formula1>
    </dataValidation>
    <dataValidation type="list" showErrorMessage="1" errorTitle="Valore non valido" error="Selezionare un valore presente nell'elenco." sqref="C3 E3" xr:uid="{00000000-0002-0000-0300-000001000000}">
      <formula1>ListaMesi</formula1>
    </dataValidation>
    <dataValidation type="list" allowBlank="1" showErrorMessage="1" errorTitle="Valore non valido" error="Selezionare un valore presente nell'elenco." sqref="A7:A4206" xr:uid="{00000000-0002-0000-0300-000003000000}">
      <formula1>ListaCommesseSelezione</formula1>
    </dataValidation>
    <dataValidation type="list" allowBlank="1" showErrorMessage="1" errorTitle="Valore non valido" error="Selezionare un valore presente nell'elenco." sqref="F7:F4206" xr:uid="{00000000-0002-0000-0300-000004000000}">
      <formula1>ListaTipiMovimento</formula1>
    </dataValidation>
    <dataValidation type="date" showErrorMessage="1" errorTitle="Data obbligatoria" error="Inserire una data valida dell'anno di gestione prima di registrare il movimento." sqref="E7:E4206" xr:uid="{00000000-0002-0000-0300-000005000000}">
      <formula1>DATE(AnnoGestione,1,1)</formula1>
      <formula2>DATE(AnnoGestione,12,31)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5"/>
  <sheetViews>
    <sheetView workbookViewId="0">
      <pane ySplit="5" topLeftCell="A6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2" width="42" customWidth="1"/>
    <col min="3" max="3" width="16" customWidth="1"/>
    <col min="4" max="4" width="24" customWidth="1"/>
    <col min="5" max="5" width="42" customWidth="1"/>
    <col min="6" max="6" width="24" customWidth="1"/>
    <col min="7" max="7" width="18" customWidth="1"/>
    <col min="8" max="8" width="16" customWidth="1"/>
    <col min="9" max="9" width="24" customWidth="1"/>
    <col min="10" max="10" width="32" customWidth="1"/>
  </cols>
  <sheetData>
    <row r="1" spans="1:10" ht="15" x14ac:dyDescent="0.15">
      <c r="A1" s="10" t="s">
        <v>181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5" customHeight="1" x14ac:dyDescent="0.15">
      <c r="A2" s="9" t="s">
        <v>93</v>
      </c>
      <c r="B2" s="9"/>
      <c r="C2" s="9"/>
      <c r="D2" s="9"/>
      <c r="E2" s="9"/>
      <c r="F2" s="9"/>
      <c r="G2" s="9"/>
      <c r="H2" s="9"/>
      <c r="I2" s="9"/>
      <c r="J2" s="9"/>
    </row>
    <row r="3" spans="1:10" ht="15" x14ac:dyDescent="0.15">
      <c r="G3" s="21" t="s">
        <v>94</v>
      </c>
      <c r="H3" s="19">
        <f>SUM($H$6:$H$505)</f>
        <v>38308</v>
      </c>
      <c r="I3" s="21" t="s">
        <v>95</v>
      </c>
      <c r="J3" s="30">
        <f>IF(COUNT($A$6:$A$505)=0,"",MAX($A$6:$A$505))</f>
        <v>46254</v>
      </c>
    </row>
    <row r="5" spans="1:10" ht="32" x14ac:dyDescent="0.15">
      <c r="A5" s="12" t="s">
        <v>182</v>
      </c>
      <c r="B5" s="12" t="s">
        <v>176</v>
      </c>
      <c r="C5" s="12" t="s">
        <v>0</v>
      </c>
      <c r="D5" s="12" t="s">
        <v>1</v>
      </c>
      <c r="E5" s="12" t="s">
        <v>66</v>
      </c>
      <c r="F5" s="12" t="s">
        <v>183</v>
      </c>
      <c r="G5" s="12" t="s">
        <v>69</v>
      </c>
      <c r="H5" s="12" t="s">
        <v>96</v>
      </c>
      <c r="I5" s="12" t="s">
        <v>184</v>
      </c>
      <c r="J5" s="12" t="s">
        <v>57</v>
      </c>
    </row>
    <row r="6" spans="1:10" ht="15" x14ac:dyDescent="0.15">
      <c r="A6" s="29">
        <v>46215</v>
      </c>
      <c r="B6" s="22" t="s">
        <v>179</v>
      </c>
      <c r="C6" s="26" t="str">
        <f t="shared" ref="C6:C69" si="0">IFERROR(IF($B6="","",LEFT($B6,FIND(" | ",$B6)-1)),"")</f>
        <v>C042</v>
      </c>
      <c r="D6" s="26" t="str">
        <f t="shared" ref="D6:D69" si="1">IFERROR(IF($B6="","",MID($B6,FIND(" | ",$B6)+3,FIND(" | ",$B6,FIND(" | ",$B6)+3)-FIND(" | ",$B6)-3)),"")</f>
        <v>CARRON BAU</v>
      </c>
      <c r="E6" s="26" t="str">
        <f t="shared" ref="E6:E69" si="2">IFERROR(IF($B6="","",RIGHT($B6,LEN($B6)-FIND(" | ",$B6,FIND(" | ",$B6)+3)-2)),"")</f>
        <v>MURATURE IN LATERIZIO C/O COSMO SPA - PESCHIERA DEL GARDA</v>
      </c>
      <c r="F6" s="22" t="s">
        <v>97</v>
      </c>
      <c r="G6" s="22" t="s">
        <v>98</v>
      </c>
      <c r="H6" s="24">
        <v>5000</v>
      </c>
      <c r="I6" s="22" t="s">
        <v>99</v>
      </c>
      <c r="J6" s="22" t="s">
        <v>100</v>
      </c>
    </row>
    <row r="7" spans="1:10" ht="15" x14ac:dyDescent="0.15">
      <c r="A7" s="29">
        <v>46227</v>
      </c>
      <c r="B7" s="22" t="s">
        <v>179</v>
      </c>
      <c r="C7" s="26" t="str">
        <f t="shared" si="0"/>
        <v>C042</v>
      </c>
      <c r="D7" s="26" t="str">
        <f t="shared" si="1"/>
        <v>CARRON BAU</v>
      </c>
      <c r="E7" s="26" t="str">
        <f t="shared" si="2"/>
        <v>MURATURE IN LATERIZIO C/O COSMO SPA - PESCHIERA DEL GARDA</v>
      </c>
      <c r="F7" s="22" t="s">
        <v>97</v>
      </c>
      <c r="G7" s="22" t="s">
        <v>101</v>
      </c>
      <c r="H7" s="24">
        <v>2000</v>
      </c>
      <c r="I7" s="22" t="s">
        <v>102</v>
      </c>
      <c r="J7" s="22" t="s">
        <v>100</v>
      </c>
    </row>
    <row r="8" spans="1:10" ht="15" x14ac:dyDescent="0.15">
      <c r="A8" s="29">
        <v>46239</v>
      </c>
      <c r="B8" s="22" t="s">
        <v>179</v>
      </c>
      <c r="C8" s="26" t="str">
        <f t="shared" si="0"/>
        <v>C042</v>
      </c>
      <c r="D8" s="26" t="str">
        <f t="shared" si="1"/>
        <v>CARRON BAU</v>
      </c>
      <c r="E8" s="26" t="str">
        <f t="shared" si="2"/>
        <v>MURATURE IN LATERIZIO C/O COSMO SPA - PESCHIERA DEL GARDA</v>
      </c>
      <c r="F8" s="22" t="s">
        <v>97</v>
      </c>
      <c r="G8" s="22" t="s">
        <v>103</v>
      </c>
      <c r="H8" s="24">
        <v>1000</v>
      </c>
      <c r="I8" s="22" t="s">
        <v>104</v>
      </c>
      <c r="J8" s="22" t="s">
        <v>100</v>
      </c>
    </row>
    <row r="9" spans="1:10" ht="15" x14ac:dyDescent="0.15">
      <c r="A9" s="29">
        <v>46254</v>
      </c>
      <c r="B9" s="22" t="s">
        <v>179</v>
      </c>
      <c r="C9" s="26" t="str">
        <f t="shared" si="0"/>
        <v>C042</v>
      </c>
      <c r="D9" s="26" t="str">
        <f t="shared" si="1"/>
        <v>CARRON BAU</v>
      </c>
      <c r="E9" s="26" t="str">
        <f t="shared" si="2"/>
        <v>MURATURE IN LATERIZIO C/O COSMO SPA - PESCHIERA DEL GARDA</v>
      </c>
      <c r="F9" s="22" t="s">
        <v>97</v>
      </c>
      <c r="G9" s="22" t="s">
        <v>105</v>
      </c>
      <c r="H9" s="24">
        <v>24308</v>
      </c>
      <c r="I9" s="22" t="s">
        <v>99</v>
      </c>
      <c r="J9" s="22" t="s">
        <v>106</v>
      </c>
    </row>
    <row r="10" spans="1:10" ht="15" x14ac:dyDescent="0.15">
      <c r="A10" s="29">
        <v>46042</v>
      </c>
      <c r="B10" s="22" t="s">
        <v>178</v>
      </c>
      <c r="C10" s="26" t="str">
        <f t="shared" si="0"/>
        <v>TEST10</v>
      </c>
      <c r="D10" s="26" t="str">
        <f t="shared" si="1"/>
        <v>COMMESSA DIMOSTRATIVA</v>
      </c>
      <c r="E10" s="26" t="str">
        <f t="shared" si="2"/>
        <v>TEST REV.10 - PERDITE SAL E COSTI MENSILI</v>
      </c>
      <c r="F10" s="22" t="s">
        <v>97</v>
      </c>
      <c r="G10" s="22" t="s">
        <v>107</v>
      </c>
      <c r="H10" s="24">
        <v>1000</v>
      </c>
      <c r="I10" s="22"/>
      <c r="J10" s="22"/>
    </row>
    <row r="11" spans="1:10" ht="15" x14ac:dyDescent="0.15">
      <c r="A11" s="29">
        <v>46073</v>
      </c>
      <c r="B11" s="22" t="s">
        <v>178</v>
      </c>
      <c r="C11" s="26" t="str">
        <f t="shared" si="0"/>
        <v>TEST10</v>
      </c>
      <c r="D11" s="26" t="str">
        <f t="shared" si="1"/>
        <v>COMMESSA DIMOSTRATIVA</v>
      </c>
      <c r="E11" s="26" t="str">
        <f t="shared" si="2"/>
        <v>TEST REV.10 - PERDITE SAL E COSTI MENSILI</v>
      </c>
      <c r="F11" s="22" t="s">
        <v>97</v>
      </c>
      <c r="G11" s="22" t="s">
        <v>108</v>
      </c>
      <c r="H11" s="24">
        <v>2000</v>
      </c>
      <c r="I11" s="22"/>
      <c r="J11" s="22"/>
    </row>
    <row r="12" spans="1:10" ht="15" x14ac:dyDescent="0.15">
      <c r="A12" s="29">
        <v>46132</v>
      </c>
      <c r="B12" s="22" t="s">
        <v>178</v>
      </c>
      <c r="C12" s="26" t="str">
        <f t="shared" si="0"/>
        <v>TEST10</v>
      </c>
      <c r="D12" s="26" t="str">
        <f t="shared" si="1"/>
        <v>COMMESSA DIMOSTRATIVA</v>
      </c>
      <c r="E12" s="26" t="str">
        <f t="shared" si="2"/>
        <v>TEST REV.10 - PERDITE SAL E COSTI MENSILI</v>
      </c>
      <c r="F12" s="22" t="s">
        <v>97</v>
      </c>
      <c r="G12" s="22" t="s">
        <v>109</v>
      </c>
      <c r="H12" s="24">
        <v>3000</v>
      </c>
      <c r="I12" s="22"/>
      <c r="J12" s="22"/>
    </row>
    <row r="13" spans="1:10" ht="15" x14ac:dyDescent="0.15">
      <c r="A13" s="29"/>
      <c r="B13" s="22"/>
      <c r="C13" s="26" t="str">
        <f t="shared" si="0"/>
        <v/>
      </c>
      <c r="D13" s="26" t="str">
        <f t="shared" si="1"/>
        <v/>
      </c>
      <c r="E13" s="26" t="str">
        <f t="shared" si="2"/>
        <v/>
      </c>
      <c r="F13" s="22"/>
      <c r="G13" s="22"/>
      <c r="H13" s="24"/>
      <c r="I13" s="22"/>
      <c r="J13" s="22"/>
    </row>
    <row r="14" spans="1:10" ht="15" x14ac:dyDescent="0.15">
      <c r="A14" s="29"/>
      <c r="B14" s="22"/>
      <c r="C14" s="26" t="str">
        <f t="shared" si="0"/>
        <v/>
      </c>
      <c r="D14" s="26" t="str">
        <f t="shared" si="1"/>
        <v/>
      </c>
      <c r="E14" s="26" t="str">
        <f t="shared" si="2"/>
        <v/>
      </c>
      <c r="F14" s="22"/>
      <c r="G14" s="22"/>
      <c r="H14" s="24"/>
      <c r="I14" s="22"/>
      <c r="J14" s="22"/>
    </row>
    <row r="15" spans="1:10" ht="15" x14ac:dyDescent="0.15">
      <c r="A15" s="29"/>
      <c r="B15" s="22"/>
      <c r="C15" s="26" t="str">
        <f t="shared" si="0"/>
        <v/>
      </c>
      <c r="D15" s="26" t="str">
        <f t="shared" si="1"/>
        <v/>
      </c>
      <c r="E15" s="26" t="str">
        <f t="shared" si="2"/>
        <v/>
      </c>
      <c r="F15" s="22"/>
      <c r="G15" s="22"/>
      <c r="H15" s="24"/>
      <c r="I15" s="22"/>
      <c r="J15" s="22"/>
    </row>
    <row r="16" spans="1:10" ht="15" x14ac:dyDescent="0.15">
      <c r="A16" s="29"/>
      <c r="B16" s="22"/>
      <c r="C16" s="26" t="str">
        <f t="shared" si="0"/>
        <v/>
      </c>
      <c r="D16" s="26" t="str">
        <f t="shared" si="1"/>
        <v/>
      </c>
      <c r="E16" s="26" t="str">
        <f t="shared" si="2"/>
        <v/>
      </c>
      <c r="F16" s="22"/>
      <c r="G16" s="22"/>
      <c r="H16" s="24"/>
      <c r="I16" s="22"/>
      <c r="J16" s="22"/>
    </row>
    <row r="17" spans="1:10" ht="15" x14ac:dyDescent="0.15">
      <c r="A17" s="29"/>
      <c r="B17" s="22"/>
      <c r="C17" s="26" t="str">
        <f t="shared" si="0"/>
        <v/>
      </c>
      <c r="D17" s="26" t="str">
        <f t="shared" si="1"/>
        <v/>
      </c>
      <c r="E17" s="26" t="str">
        <f t="shared" si="2"/>
        <v/>
      </c>
      <c r="F17" s="22"/>
      <c r="G17" s="22"/>
      <c r="H17" s="24"/>
      <c r="I17" s="22"/>
      <c r="J17" s="22"/>
    </row>
    <row r="18" spans="1:10" ht="15" x14ac:dyDescent="0.15">
      <c r="A18" s="29"/>
      <c r="B18" s="22"/>
      <c r="C18" s="26" t="str">
        <f t="shared" si="0"/>
        <v/>
      </c>
      <c r="D18" s="26" t="str">
        <f t="shared" si="1"/>
        <v/>
      </c>
      <c r="E18" s="26" t="str">
        <f t="shared" si="2"/>
        <v/>
      </c>
      <c r="F18" s="22"/>
      <c r="G18" s="22"/>
      <c r="H18" s="24"/>
      <c r="I18" s="22"/>
      <c r="J18" s="22"/>
    </row>
    <row r="19" spans="1:10" ht="15" x14ac:dyDescent="0.15">
      <c r="A19" s="29"/>
      <c r="B19" s="22"/>
      <c r="C19" s="26" t="str">
        <f t="shared" si="0"/>
        <v/>
      </c>
      <c r="D19" s="26" t="str">
        <f t="shared" si="1"/>
        <v/>
      </c>
      <c r="E19" s="26" t="str">
        <f t="shared" si="2"/>
        <v/>
      </c>
      <c r="F19" s="22"/>
      <c r="G19" s="22"/>
      <c r="H19" s="24"/>
      <c r="I19" s="22"/>
      <c r="J19" s="22"/>
    </row>
    <row r="20" spans="1:10" ht="15" x14ac:dyDescent="0.15">
      <c r="A20" s="29"/>
      <c r="B20" s="22"/>
      <c r="C20" s="26" t="str">
        <f t="shared" si="0"/>
        <v/>
      </c>
      <c r="D20" s="26" t="str">
        <f t="shared" si="1"/>
        <v/>
      </c>
      <c r="E20" s="26" t="str">
        <f t="shared" si="2"/>
        <v/>
      </c>
      <c r="F20" s="22"/>
      <c r="G20" s="22"/>
      <c r="H20" s="24"/>
      <c r="I20" s="22"/>
      <c r="J20" s="22"/>
    </row>
    <row r="21" spans="1:10" ht="15" x14ac:dyDescent="0.15">
      <c r="A21" s="29"/>
      <c r="B21" s="22"/>
      <c r="C21" s="26" t="str">
        <f t="shared" si="0"/>
        <v/>
      </c>
      <c r="D21" s="26" t="str">
        <f t="shared" si="1"/>
        <v/>
      </c>
      <c r="E21" s="26" t="str">
        <f t="shared" si="2"/>
        <v/>
      </c>
      <c r="F21" s="22"/>
      <c r="G21" s="22"/>
      <c r="H21" s="24"/>
      <c r="I21" s="22"/>
      <c r="J21" s="22"/>
    </row>
    <row r="22" spans="1:10" ht="15" x14ac:dyDescent="0.15">
      <c r="A22" s="29"/>
      <c r="B22" s="22"/>
      <c r="C22" s="26" t="str">
        <f t="shared" si="0"/>
        <v/>
      </c>
      <c r="D22" s="26" t="str">
        <f t="shared" si="1"/>
        <v/>
      </c>
      <c r="E22" s="26" t="str">
        <f t="shared" si="2"/>
        <v/>
      </c>
      <c r="F22" s="22"/>
      <c r="G22" s="22"/>
      <c r="H22" s="24"/>
      <c r="I22" s="22"/>
      <c r="J22" s="22"/>
    </row>
    <row r="23" spans="1:10" ht="15" x14ac:dyDescent="0.15">
      <c r="A23" s="29"/>
      <c r="B23" s="22"/>
      <c r="C23" s="26" t="str">
        <f t="shared" si="0"/>
        <v/>
      </c>
      <c r="D23" s="26" t="str">
        <f t="shared" si="1"/>
        <v/>
      </c>
      <c r="E23" s="26" t="str">
        <f t="shared" si="2"/>
        <v/>
      </c>
      <c r="F23" s="22"/>
      <c r="G23" s="22"/>
      <c r="H23" s="24"/>
      <c r="I23" s="22"/>
      <c r="J23" s="22"/>
    </row>
    <row r="24" spans="1:10" ht="15" x14ac:dyDescent="0.15">
      <c r="A24" s="29"/>
      <c r="B24" s="22"/>
      <c r="C24" s="26" t="str">
        <f t="shared" si="0"/>
        <v/>
      </c>
      <c r="D24" s="26" t="str">
        <f t="shared" si="1"/>
        <v/>
      </c>
      <c r="E24" s="26" t="str">
        <f t="shared" si="2"/>
        <v/>
      </c>
      <c r="F24" s="22"/>
      <c r="G24" s="22"/>
      <c r="H24" s="24"/>
      <c r="I24" s="22"/>
      <c r="J24" s="22"/>
    </row>
    <row r="25" spans="1:10" ht="15" x14ac:dyDescent="0.15">
      <c r="A25" s="29"/>
      <c r="B25" s="22"/>
      <c r="C25" s="26" t="str">
        <f t="shared" si="0"/>
        <v/>
      </c>
      <c r="D25" s="26" t="str">
        <f t="shared" si="1"/>
        <v/>
      </c>
      <c r="E25" s="26" t="str">
        <f t="shared" si="2"/>
        <v/>
      </c>
      <c r="F25" s="22"/>
      <c r="G25" s="22"/>
      <c r="H25" s="24"/>
      <c r="I25" s="22"/>
      <c r="J25" s="22"/>
    </row>
    <row r="26" spans="1:10" ht="15" x14ac:dyDescent="0.15">
      <c r="A26" s="29"/>
      <c r="B26" s="22"/>
      <c r="C26" s="26" t="str">
        <f t="shared" si="0"/>
        <v/>
      </c>
      <c r="D26" s="26" t="str">
        <f t="shared" si="1"/>
        <v/>
      </c>
      <c r="E26" s="26" t="str">
        <f t="shared" si="2"/>
        <v/>
      </c>
      <c r="F26" s="22"/>
      <c r="G26" s="22"/>
      <c r="H26" s="24"/>
      <c r="I26" s="22"/>
      <c r="J26" s="22"/>
    </row>
    <row r="27" spans="1:10" ht="15" x14ac:dyDescent="0.15">
      <c r="A27" s="29"/>
      <c r="B27" s="22"/>
      <c r="C27" s="26" t="str">
        <f t="shared" si="0"/>
        <v/>
      </c>
      <c r="D27" s="26" t="str">
        <f t="shared" si="1"/>
        <v/>
      </c>
      <c r="E27" s="26" t="str">
        <f t="shared" si="2"/>
        <v/>
      </c>
      <c r="F27" s="22"/>
      <c r="G27" s="22"/>
      <c r="H27" s="24"/>
      <c r="I27" s="22"/>
      <c r="J27" s="22"/>
    </row>
    <row r="28" spans="1:10" ht="15" x14ac:dyDescent="0.15">
      <c r="A28" s="29"/>
      <c r="B28" s="22"/>
      <c r="C28" s="26" t="str">
        <f t="shared" si="0"/>
        <v/>
      </c>
      <c r="D28" s="26" t="str">
        <f t="shared" si="1"/>
        <v/>
      </c>
      <c r="E28" s="26" t="str">
        <f t="shared" si="2"/>
        <v/>
      </c>
      <c r="F28" s="22"/>
      <c r="G28" s="22"/>
      <c r="H28" s="24"/>
      <c r="I28" s="22"/>
      <c r="J28" s="22"/>
    </row>
    <row r="29" spans="1:10" ht="15" x14ac:dyDescent="0.15">
      <c r="A29" s="29"/>
      <c r="B29" s="22"/>
      <c r="C29" s="26" t="str">
        <f t="shared" si="0"/>
        <v/>
      </c>
      <c r="D29" s="26" t="str">
        <f t="shared" si="1"/>
        <v/>
      </c>
      <c r="E29" s="26" t="str">
        <f t="shared" si="2"/>
        <v/>
      </c>
      <c r="F29" s="22"/>
      <c r="G29" s="22"/>
      <c r="H29" s="24"/>
      <c r="I29" s="22"/>
      <c r="J29" s="22"/>
    </row>
    <row r="30" spans="1:10" ht="15" x14ac:dyDescent="0.15">
      <c r="A30" s="29"/>
      <c r="B30" s="22"/>
      <c r="C30" s="26" t="str">
        <f t="shared" si="0"/>
        <v/>
      </c>
      <c r="D30" s="26" t="str">
        <f t="shared" si="1"/>
        <v/>
      </c>
      <c r="E30" s="26" t="str">
        <f t="shared" si="2"/>
        <v/>
      </c>
      <c r="F30" s="22"/>
      <c r="G30" s="22"/>
      <c r="H30" s="24"/>
      <c r="I30" s="22"/>
      <c r="J30" s="22"/>
    </row>
    <row r="31" spans="1:10" ht="15" x14ac:dyDescent="0.15">
      <c r="A31" s="29"/>
      <c r="B31" s="22"/>
      <c r="C31" s="26" t="str">
        <f t="shared" si="0"/>
        <v/>
      </c>
      <c r="D31" s="26" t="str">
        <f t="shared" si="1"/>
        <v/>
      </c>
      <c r="E31" s="26" t="str">
        <f t="shared" si="2"/>
        <v/>
      </c>
      <c r="F31" s="22"/>
      <c r="G31" s="22"/>
      <c r="H31" s="24"/>
      <c r="I31" s="22"/>
      <c r="J31" s="22"/>
    </row>
    <row r="32" spans="1:10" ht="15" x14ac:dyDescent="0.15">
      <c r="A32" s="29"/>
      <c r="B32" s="22"/>
      <c r="C32" s="26" t="str">
        <f t="shared" si="0"/>
        <v/>
      </c>
      <c r="D32" s="26" t="str">
        <f t="shared" si="1"/>
        <v/>
      </c>
      <c r="E32" s="26" t="str">
        <f t="shared" si="2"/>
        <v/>
      </c>
      <c r="F32" s="22"/>
      <c r="G32" s="22"/>
      <c r="H32" s="24"/>
      <c r="I32" s="22"/>
      <c r="J32" s="22"/>
    </row>
    <row r="33" spans="1:10" ht="15" x14ac:dyDescent="0.15">
      <c r="A33" s="29"/>
      <c r="B33" s="22"/>
      <c r="C33" s="26" t="str">
        <f t="shared" si="0"/>
        <v/>
      </c>
      <c r="D33" s="26" t="str">
        <f t="shared" si="1"/>
        <v/>
      </c>
      <c r="E33" s="26" t="str">
        <f t="shared" si="2"/>
        <v/>
      </c>
      <c r="F33" s="22"/>
      <c r="G33" s="22"/>
      <c r="H33" s="24"/>
      <c r="I33" s="22"/>
      <c r="J33" s="22"/>
    </row>
    <row r="34" spans="1:10" ht="15" x14ac:dyDescent="0.15">
      <c r="A34" s="29"/>
      <c r="B34" s="22"/>
      <c r="C34" s="26" t="str">
        <f t="shared" si="0"/>
        <v/>
      </c>
      <c r="D34" s="26" t="str">
        <f t="shared" si="1"/>
        <v/>
      </c>
      <c r="E34" s="26" t="str">
        <f t="shared" si="2"/>
        <v/>
      </c>
      <c r="F34" s="22"/>
      <c r="G34" s="22"/>
      <c r="H34" s="24"/>
      <c r="I34" s="22"/>
      <c r="J34" s="22"/>
    </row>
    <row r="35" spans="1:10" ht="15" x14ac:dyDescent="0.15">
      <c r="A35" s="29"/>
      <c r="B35" s="22"/>
      <c r="C35" s="26" t="str">
        <f t="shared" si="0"/>
        <v/>
      </c>
      <c r="D35" s="26" t="str">
        <f t="shared" si="1"/>
        <v/>
      </c>
      <c r="E35" s="26" t="str">
        <f t="shared" si="2"/>
        <v/>
      </c>
      <c r="F35" s="22"/>
      <c r="G35" s="22"/>
      <c r="H35" s="24"/>
      <c r="I35" s="22"/>
      <c r="J35" s="22"/>
    </row>
    <row r="36" spans="1:10" ht="15" x14ac:dyDescent="0.15">
      <c r="A36" s="29"/>
      <c r="B36" s="22"/>
      <c r="C36" s="26" t="str">
        <f t="shared" si="0"/>
        <v/>
      </c>
      <c r="D36" s="26" t="str">
        <f t="shared" si="1"/>
        <v/>
      </c>
      <c r="E36" s="26" t="str">
        <f t="shared" si="2"/>
        <v/>
      </c>
      <c r="F36" s="22"/>
      <c r="G36" s="22"/>
      <c r="H36" s="24"/>
      <c r="I36" s="22"/>
      <c r="J36" s="22"/>
    </row>
    <row r="37" spans="1:10" ht="15" x14ac:dyDescent="0.15">
      <c r="A37" s="29"/>
      <c r="B37" s="22"/>
      <c r="C37" s="26" t="str">
        <f t="shared" si="0"/>
        <v/>
      </c>
      <c r="D37" s="26" t="str">
        <f t="shared" si="1"/>
        <v/>
      </c>
      <c r="E37" s="26" t="str">
        <f t="shared" si="2"/>
        <v/>
      </c>
      <c r="F37" s="22"/>
      <c r="G37" s="22"/>
      <c r="H37" s="24"/>
      <c r="I37" s="22"/>
      <c r="J37" s="22"/>
    </row>
    <row r="38" spans="1:10" ht="15" x14ac:dyDescent="0.15">
      <c r="A38" s="29"/>
      <c r="B38" s="22"/>
      <c r="C38" s="26" t="str">
        <f t="shared" si="0"/>
        <v/>
      </c>
      <c r="D38" s="26" t="str">
        <f t="shared" si="1"/>
        <v/>
      </c>
      <c r="E38" s="26" t="str">
        <f t="shared" si="2"/>
        <v/>
      </c>
      <c r="F38" s="22"/>
      <c r="G38" s="22"/>
      <c r="H38" s="24"/>
      <c r="I38" s="22"/>
      <c r="J38" s="22"/>
    </row>
    <row r="39" spans="1:10" ht="15" x14ac:dyDescent="0.15">
      <c r="A39" s="29"/>
      <c r="B39" s="22"/>
      <c r="C39" s="26" t="str">
        <f t="shared" si="0"/>
        <v/>
      </c>
      <c r="D39" s="26" t="str">
        <f t="shared" si="1"/>
        <v/>
      </c>
      <c r="E39" s="26" t="str">
        <f t="shared" si="2"/>
        <v/>
      </c>
      <c r="F39" s="22"/>
      <c r="G39" s="22"/>
      <c r="H39" s="24"/>
      <c r="I39" s="22"/>
      <c r="J39" s="22"/>
    </row>
    <row r="40" spans="1:10" ht="15" x14ac:dyDescent="0.15">
      <c r="A40" s="29"/>
      <c r="B40" s="22"/>
      <c r="C40" s="26" t="str">
        <f t="shared" si="0"/>
        <v/>
      </c>
      <c r="D40" s="26" t="str">
        <f t="shared" si="1"/>
        <v/>
      </c>
      <c r="E40" s="26" t="str">
        <f t="shared" si="2"/>
        <v/>
      </c>
      <c r="F40" s="22"/>
      <c r="G40" s="22"/>
      <c r="H40" s="24"/>
      <c r="I40" s="22"/>
      <c r="J40" s="22"/>
    </row>
    <row r="41" spans="1:10" ht="15" x14ac:dyDescent="0.15">
      <c r="A41" s="29"/>
      <c r="B41" s="22"/>
      <c r="C41" s="26" t="str">
        <f t="shared" si="0"/>
        <v/>
      </c>
      <c r="D41" s="26" t="str">
        <f t="shared" si="1"/>
        <v/>
      </c>
      <c r="E41" s="26" t="str">
        <f t="shared" si="2"/>
        <v/>
      </c>
      <c r="F41" s="22"/>
      <c r="G41" s="22"/>
      <c r="H41" s="24"/>
      <c r="I41" s="22"/>
      <c r="J41" s="22"/>
    </row>
    <row r="42" spans="1:10" ht="15" x14ac:dyDescent="0.15">
      <c r="A42" s="29"/>
      <c r="B42" s="22"/>
      <c r="C42" s="26" t="str">
        <f t="shared" si="0"/>
        <v/>
      </c>
      <c r="D42" s="26" t="str">
        <f t="shared" si="1"/>
        <v/>
      </c>
      <c r="E42" s="26" t="str">
        <f t="shared" si="2"/>
        <v/>
      </c>
      <c r="F42" s="22"/>
      <c r="G42" s="22"/>
      <c r="H42" s="24"/>
      <c r="I42" s="22"/>
      <c r="J42" s="22"/>
    </row>
    <row r="43" spans="1:10" ht="15" x14ac:dyDescent="0.15">
      <c r="A43" s="29"/>
      <c r="B43" s="22"/>
      <c r="C43" s="26" t="str">
        <f t="shared" si="0"/>
        <v/>
      </c>
      <c r="D43" s="26" t="str">
        <f t="shared" si="1"/>
        <v/>
      </c>
      <c r="E43" s="26" t="str">
        <f t="shared" si="2"/>
        <v/>
      </c>
      <c r="F43" s="22"/>
      <c r="G43" s="22"/>
      <c r="H43" s="24"/>
      <c r="I43" s="22"/>
      <c r="J43" s="22"/>
    </row>
    <row r="44" spans="1:10" ht="15" x14ac:dyDescent="0.15">
      <c r="A44" s="29"/>
      <c r="B44" s="22"/>
      <c r="C44" s="26" t="str">
        <f t="shared" si="0"/>
        <v/>
      </c>
      <c r="D44" s="26" t="str">
        <f t="shared" si="1"/>
        <v/>
      </c>
      <c r="E44" s="26" t="str">
        <f t="shared" si="2"/>
        <v/>
      </c>
      <c r="F44" s="22"/>
      <c r="G44" s="22"/>
      <c r="H44" s="24"/>
      <c r="I44" s="22"/>
      <c r="J44" s="22"/>
    </row>
    <row r="45" spans="1:10" ht="15" x14ac:dyDescent="0.15">
      <c r="A45" s="29"/>
      <c r="B45" s="22"/>
      <c r="C45" s="26" t="str">
        <f t="shared" si="0"/>
        <v/>
      </c>
      <c r="D45" s="26" t="str">
        <f t="shared" si="1"/>
        <v/>
      </c>
      <c r="E45" s="26" t="str">
        <f t="shared" si="2"/>
        <v/>
      </c>
      <c r="F45" s="22"/>
      <c r="G45" s="22"/>
      <c r="H45" s="24"/>
      <c r="I45" s="22"/>
      <c r="J45" s="22"/>
    </row>
    <row r="46" spans="1:10" ht="15" x14ac:dyDescent="0.15">
      <c r="A46" s="29"/>
      <c r="B46" s="22"/>
      <c r="C46" s="26" t="str">
        <f t="shared" si="0"/>
        <v/>
      </c>
      <c r="D46" s="26" t="str">
        <f t="shared" si="1"/>
        <v/>
      </c>
      <c r="E46" s="26" t="str">
        <f t="shared" si="2"/>
        <v/>
      </c>
      <c r="F46" s="22"/>
      <c r="G46" s="22"/>
      <c r="H46" s="24"/>
      <c r="I46" s="22"/>
      <c r="J46" s="22"/>
    </row>
    <row r="47" spans="1:10" ht="15" x14ac:dyDescent="0.15">
      <c r="A47" s="29"/>
      <c r="B47" s="22"/>
      <c r="C47" s="26" t="str">
        <f t="shared" si="0"/>
        <v/>
      </c>
      <c r="D47" s="26" t="str">
        <f t="shared" si="1"/>
        <v/>
      </c>
      <c r="E47" s="26" t="str">
        <f t="shared" si="2"/>
        <v/>
      </c>
      <c r="F47" s="22"/>
      <c r="G47" s="22"/>
      <c r="H47" s="24"/>
      <c r="I47" s="22"/>
      <c r="J47" s="22"/>
    </row>
    <row r="48" spans="1:10" ht="15" x14ac:dyDescent="0.15">
      <c r="A48" s="29"/>
      <c r="B48" s="22"/>
      <c r="C48" s="26" t="str">
        <f t="shared" si="0"/>
        <v/>
      </c>
      <c r="D48" s="26" t="str">
        <f t="shared" si="1"/>
        <v/>
      </c>
      <c r="E48" s="26" t="str">
        <f t="shared" si="2"/>
        <v/>
      </c>
      <c r="F48" s="22"/>
      <c r="G48" s="22"/>
      <c r="H48" s="24"/>
      <c r="I48" s="22"/>
      <c r="J48" s="22"/>
    </row>
    <row r="49" spans="1:10" ht="15" x14ac:dyDescent="0.15">
      <c r="A49" s="29"/>
      <c r="B49" s="22"/>
      <c r="C49" s="26" t="str">
        <f t="shared" si="0"/>
        <v/>
      </c>
      <c r="D49" s="26" t="str">
        <f t="shared" si="1"/>
        <v/>
      </c>
      <c r="E49" s="26" t="str">
        <f t="shared" si="2"/>
        <v/>
      </c>
      <c r="F49" s="22"/>
      <c r="G49" s="22"/>
      <c r="H49" s="24"/>
      <c r="I49" s="22"/>
      <c r="J49" s="22"/>
    </row>
    <row r="50" spans="1:10" ht="15" x14ac:dyDescent="0.15">
      <c r="A50" s="29"/>
      <c r="B50" s="22"/>
      <c r="C50" s="26" t="str">
        <f t="shared" si="0"/>
        <v/>
      </c>
      <c r="D50" s="26" t="str">
        <f t="shared" si="1"/>
        <v/>
      </c>
      <c r="E50" s="26" t="str">
        <f t="shared" si="2"/>
        <v/>
      </c>
      <c r="F50" s="22"/>
      <c r="G50" s="22"/>
      <c r="H50" s="24"/>
      <c r="I50" s="22"/>
      <c r="J50" s="22"/>
    </row>
    <row r="51" spans="1:10" ht="15" x14ac:dyDescent="0.15">
      <c r="A51" s="29"/>
      <c r="B51" s="22"/>
      <c r="C51" s="26" t="str">
        <f t="shared" si="0"/>
        <v/>
      </c>
      <c r="D51" s="26" t="str">
        <f t="shared" si="1"/>
        <v/>
      </c>
      <c r="E51" s="26" t="str">
        <f t="shared" si="2"/>
        <v/>
      </c>
      <c r="F51" s="22"/>
      <c r="G51" s="22"/>
      <c r="H51" s="24"/>
      <c r="I51" s="22"/>
      <c r="J51" s="22"/>
    </row>
    <row r="52" spans="1:10" ht="15" x14ac:dyDescent="0.15">
      <c r="A52" s="29"/>
      <c r="B52" s="22"/>
      <c r="C52" s="26" t="str">
        <f t="shared" si="0"/>
        <v/>
      </c>
      <c r="D52" s="26" t="str">
        <f t="shared" si="1"/>
        <v/>
      </c>
      <c r="E52" s="26" t="str">
        <f t="shared" si="2"/>
        <v/>
      </c>
      <c r="F52" s="22"/>
      <c r="G52" s="22"/>
      <c r="H52" s="24"/>
      <c r="I52" s="22"/>
      <c r="J52" s="22"/>
    </row>
    <row r="53" spans="1:10" ht="15" x14ac:dyDescent="0.15">
      <c r="A53" s="29"/>
      <c r="B53" s="22"/>
      <c r="C53" s="26" t="str">
        <f t="shared" si="0"/>
        <v/>
      </c>
      <c r="D53" s="26" t="str">
        <f t="shared" si="1"/>
        <v/>
      </c>
      <c r="E53" s="26" t="str">
        <f t="shared" si="2"/>
        <v/>
      </c>
      <c r="F53" s="22"/>
      <c r="G53" s="22"/>
      <c r="H53" s="24"/>
      <c r="I53" s="22"/>
      <c r="J53" s="22"/>
    </row>
    <row r="54" spans="1:10" ht="15" x14ac:dyDescent="0.15">
      <c r="A54" s="29"/>
      <c r="B54" s="22"/>
      <c r="C54" s="26" t="str">
        <f t="shared" si="0"/>
        <v/>
      </c>
      <c r="D54" s="26" t="str">
        <f t="shared" si="1"/>
        <v/>
      </c>
      <c r="E54" s="26" t="str">
        <f t="shared" si="2"/>
        <v/>
      </c>
      <c r="F54" s="22"/>
      <c r="G54" s="22"/>
      <c r="H54" s="24"/>
      <c r="I54" s="22"/>
      <c r="J54" s="22"/>
    </row>
    <row r="55" spans="1:10" ht="15" x14ac:dyDescent="0.15">
      <c r="A55" s="29"/>
      <c r="B55" s="22"/>
      <c r="C55" s="26" t="str">
        <f t="shared" si="0"/>
        <v/>
      </c>
      <c r="D55" s="26" t="str">
        <f t="shared" si="1"/>
        <v/>
      </c>
      <c r="E55" s="26" t="str">
        <f t="shared" si="2"/>
        <v/>
      </c>
      <c r="F55" s="22"/>
      <c r="G55" s="22"/>
      <c r="H55" s="24"/>
      <c r="I55" s="22"/>
      <c r="J55" s="22"/>
    </row>
    <row r="56" spans="1:10" ht="15" x14ac:dyDescent="0.15">
      <c r="A56" s="29"/>
      <c r="B56" s="22"/>
      <c r="C56" s="26" t="str">
        <f t="shared" si="0"/>
        <v/>
      </c>
      <c r="D56" s="26" t="str">
        <f t="shared" si="1"/>
        <v/>
      </c>
      <c r="E56" s="26" t="str">
        <f t="shared" si="2"/>
        <v/>
      </c>
      <c r="F56" s="22"/>
      <c r="G56" s="22"/>
      <c r="H56" s="24"/>
      <c r="I56" s="22"/>
      <c r="J56" s="22"/>
    </row>
    <row r="57" spans="1:10" ht="15" x14ac:dyDescent="0.15">
      <c r="A57" s="29"/>
      <c r="B57" s="22"/>
      <c r="C57" s="26" t="str">
        <f t="shared" si="0"/>
        <v/>
      </c>
      <c r="D57" s="26" t="str">
        <f t="shared" si="1"/>
        <v/>
      </c>
      <c r="E57" s="26" t="str">
        <f t="shared" si="2"/>
        <v/>
      </c>
      <c r="F57" s="22"/>
      <c r="G57" s="22"/>
      <c r="H57" s="24"/>
      <c r="I57" s="22"/>
      <c r="J57" s="22"/>
    </row>
    <row r="58" spans="1:10" ht="15" x14ac:dyDescent="0.15">
      <c r="A58" s="29"/>
      <c r="B58" s="22"/>
      <c r="C58" s="26" t="str">
        <f t="shared" si="0"/>
        <v/>
      </c>
      <c r="D58" s="26" t="str">
        <f t="shared" si="1"/>
        <v/>
      </c>
      <c r="E58" s="26" t="str">
        <f t="shared" si="2"/>
        <v/>
      </c>
      <c r="F58" s="22"/>
      <c r="G58" s="22"/>
      <c r="H58" s="24"/>
      <c r="I58" s="22"/>
      <c r="J58" s="22"/>
    </row>
    <row r="59" spans="1:10" ht="15" x14ac:dyDescent="0.15">
      <c r="A59" s="29"/>
      <c r="B59" s="22"/>
      <c r="C59" s="26" t="str">
        <f t="shared" si="0"/>
        <v/>
      </c>
      <c r="D59" s="26" t="str">
        <f t="shared" si="1"/>
        <v/>
      </c>
      <c r="E59" s="26" t="str">
        <f t="shared" si="2"/>
        <v/>
      </c>
      <c r="F59" s="22"/>
      <c r="G59" s="22"/>
      <c r="H59" s="24"/>
      <c r="I59" s="22"/>
      <c r="J59" s="22"/>
    </row>
    <row r="60" spans="1:10" ht="15" x14ac:dyDescent="0.15">
      <c r="A60" s="29"/>
      <c r="B60" s="22"/>
      <c r="C60" s="26" t="str">
        <f t="shared" si="0"/>
        <v/>
      </c>
      <c r="D60" s="26" t="str">
        <f t="shared" si="1"/>
        <v/>
      </c>
      <c r="E60" s="26" t="str">
        <f t="shared" si="2"/>
        <v/>
      </c>
      <c r="F60" s="22"/>
      <c r="G60" s="22"/>
      <c r="H60" s="24"/>
      <c r="I60" s="22"/>
      <c r="J60" s="22"/>
    </row>
    <row r="61" spans="1:10" ht="15" x14ac:dyDescent="0.15">
      <c r="A61" s="29"/>
      <c r="B61" s="22"/>
      <c r="C61" s="26" t="str">
        <f t="shared" si="0"/>
        <v/>
      </c>
      <c r="D61" s="26" t="str">
        <f t="shared" si="1"/>
        <v/>
      </c>
      <c r="E61" s="26" t="str">
        <f t="shared" si="2"/>
        <v/>
      </c>
      <c r="F61" s="22"/>
      <c r="G61" s="22"/>
      <c r="H61" s="24"/>
      <c r="I61" s="22"/>
      <c r="J61" s="22"/>
    </row>
    <row r="62" spans="1:10" ht="15" x14ac:dyDescent="0.15">
      <c r="A62" s="29"/>
      <c r="B62" s="22"/>
      <c r="C62" s="26" t="str">
        <f t="shared" si="0"/>
        <v/>
      </c>
      <c r="D62" s="26" t="str">
        <f t="shared" si="1"/>
        <v/>
      </c>
      <c r="E62" s="26" t="str">
        <f t="shared" si="2"/>
        <v/>
      </c>
      <c r="F62" s="22"/>
      <c r="G62" s="22"/>
      <c r="H62" s="24"/>
      <c r="I62" s="22"/>
      <c r="J62" s="22"/>
    </row>
    <row r="63" spans="1:10" ht="15" x14ac:dyDescent="0.15">
      <c r="A63" s="29"/>
      <c r="B63" s="22"/>
      <c r="C63" s="26" t="str">
        <f t="shared" si="0"/>
        <v/>
      </c>
      <c r="D63" s="26" t="str">
        <f t="shared" si="1"/>
        <v/>
      </c>
      <c r="E63" s="26" t="str">
        <f t="shared" si="2"/>
        <v/>
      </c>
      <c r="F63" s="22"/>
      <c r="G63" s="22"/>
      <c r="H63" s="24"/>
      <c r="I63" s="22"/>
      <c r="J63" s="22"/>
    </row>
    <row r="64" spans="1:10" ht="15" x14ac:dyDescent="0.15">
      <c r="A64" s="29"/>
      <c r="B64" s="22"/>
      <c r="C64" s="26" t="str">
        <f t="shared" si="0"/>
        <v/>
      </c>
      <c r="D64" s="26" t="str">
        <f t="shared" si="1"/>
        <v/>
      </c>
      <c r="E64" s="26" t="str">
        <f t="shared" si="2"/>
        <v/>
      </c>
      <c r="F64" s="22"/>
      <c r="G64" s="22"/>
      <c r="H64" s="24"/>
      <c r="I64" s="22"/>
      <c r="J64" s="22"/>
    </row>
    <row r="65" spans="1:10" ht="15" x14ac:dyDescent="0.15">
      <c r="A65" s="29"/>
      <c r="B65" s="22"/>
      <c r="C65" s="26" t="str">
        <f t="shared" si="0"/>
        <v/>
      </c>
      <c r="D65" s="26" t="str">
        <f t="shared" si="1"/>
        <v/>
      </c>
      <c r="E65" s="26" t="str">
        <f t="shared" si="2"/>
        <v/>
      </c>
      <c r="F65" s="22"/>
      <c r="G65" s="22"/>
      <c r="H65" s="24"/>
      <c r="I65" s="22"/>
      <c r="J65" s="22"/>
    </row>
    <row r="66" spans="1:10" ht="15" x14ac:dyDescent="0.15">
      <c r="A66" s="29"/>
      <c r="B66" s="22"/>
      <c r="C66" s="26" t="str">
        <f t="shared" si="0"/>
        <v/>
      </c>
      <c r="D66" s="26" t="str">
        <f t="shared" si="1"/>
        <v/>
      </c>
      <c r="E66" s="26" t="str">
        <f t="shared" si="2"/>
        <v/>
      </c>
      <c r="F66" s="22"/>
      <c r="G66" s="22"/>
      <c r="H66" s="24"/>
      <c r="I66" s="22"/>
      <c r="J66" s="22"/>
    </row>
    <row r="67" spans="1:10" ht="15" x14ac:dyDescent="0.15">
      <c r="A67" s="29"/>
      <c r="B67" s="22"/>
      <c r="C67" s="26" t="str">
        <f t="shared" si="0"/>
        <v/>
      </c>
      <c r="D67" s="26" t="str">
        <f t="shared" si="1"/>
        <v/>
      </c>
      <c r="E67" s="26" t="str">
        <f t="shared" si="2"/>
        <v/>
      </c>
      <c r="F67" s="22"/>
      <c r="G67" s="22"/>
      <c r="H67" s="24"/>
      <c r="I67" s="22"/>
      <c r="J67" s="22"/>
    </row>
    <row r="68" spans="1:10" ht="15" x14ac:dyDescent="0.15">
      <c r="A68" s="29"/>
      <c r="B68" s="22"/>
      <c r="C68" s="26" t="str">
        <f t="shared" si="0"/>
        <v/>
      </c>
      <c r="D68" s="26" t="str">
        <f t="shared" si="1"/>
        <v/>
      </c>
      <c r="E68" s="26" t="str">
        <f t="shared" si="2"/>
        <v/>
      </c>
      <c r="F68" s="22"/>
      <c r="G68" s="22"/>
      <c r="H68" s="24"/>
      <c r="I68" s="22"/>
      <c r="J68" s="22"/>
    </row>
    <row r="69" spans="1:10" ht="15" x14ac:dyDescent="0.15">
      <c r="A69" s="29"/>
      <c r="B69" s="22"/>
      <c r="C69" s="26" t="str">
        <f t="shared" si="0"/>
        <v/>
      </c>
      <c r="D69" s="26" t="str">
        <f t="shared" si="1"/>
        <v/>
      </c>
      <c r="E69" s="26" t="str">
        <f t="shared" si="2"/>
        <v/>
      </c>
      <c r="F69" s="22"/>
      <c r="G69" s="22"/>
      <c r="H69" s="24"/>
      <c r="I69" s="22"/>
      <c r="J69" s="22"/>
    </row>
    <row r="70" spans="1:10" ht="15" x14ac:dyDescent="0.15">
      <c r="A70" s="29"/>
      <c r="B70" s="22"/>
      <c r="C70" s="26" t="str">
        <f t="shared" ref="C70:C133" si="3">IFERROR(IF($B70="","",LEFT($B70,FIND(" | ",$B70)-1)),"")</f>
        <v/>
      </c>
      <c r="D70" s="26" t="str">
        <f t="shared" ref="D70:D133" si="4">IFERROR(IF($B70="","",MID($B70,FIND(" | ",$B70)+3,FIND(" | ",$B70,FIND(" | ",$B70)+3)-FIND(" | ",$B70)-3)),"")</f>
        <v/>
      </c>
      <c r="E70" s="26" t="str">
        <f t="shared" ref="E70:E133" si="5">IFERROR(IF($B70="","",RIGHT($B70,LEN($B70)-FIND(" | ",$B70,FIND(" | ",$B70)+3)-2)),"")</f>
        <v/>
      </c>
      <c r="F70" s="22"/>
      <c r="G70" s="22"/>
      <c r="H70" s="24"/>
      <c r="I70" s="22"/>
      <c r="J70" s="22"/>
    </row>
    <row r="71" spans="1:10" ht="15" x14ac:dyDescent="0.15">
      <c r="A71" s="29"/>
      <c r="B71" s="22"/>
      <c r="C71" s="26" t="str">
        <f t="shared" si="3"/>
        <v/>
      </c>
      <c r="D71" s="26" t="str">
        <f t="shared" si="4"/>
        <v/>
      </c>
      <c r="E71" s="26" t="str">
        <f t="shared" si="5"/>
        <v/>
      </c>
      <c r="F71" s="22"/>
      <c r="G71" s="22"/>
      <c r="H71" s="24"/>
      <c r="I71" s="22"/>
      <c r="J71" s="22"/>
    </row>
    <row r="72" spans="1:10" ht="15" x14ac:dyDescent="0.15">
      <c r="A72" s="29"/>
      <c r="B72" s="22"/>
      <c r="C72" s="26" t="str">
        <f t="shared" si="3"/>
        <v/>
      </c>
      <c r="D72" s="26" t="str">
        <f t="shared" si="4"/>
        <v/>
      </c>
      <c r="E72" s="26" t="str">
        <f t="shared" si="5"/>
        <v/>
      </c>
      <c r="F72" s="22"/>
      <c r="G72" s="22"/>
      <c r="H72" s="24"/>
      <c r="I72" s="22"/>
      <c r="J72" s="22"/>
    </row>
    <row r="73" spans="1:10" ht="15" x14ac:dyDescent="0.15">
      <c r="A73" s="29"/>
      <c r="B73" s="22"/>
      <c r="C73" s="26" t="str">
        <f t="shared" si="3"/>
        <v/>
      </c>
      <c r="D73" s="26" t="str">
        <f t="shared" si="4"/>
        <v/>
      </c>
      <c r="E73" s="26" t="str">
        <f t="shared" si="5"/>
        <v/>
      </c>
      <c r="F73" s="22"/>
      <c r="G73" s="22"/>
      <c r="H73" s="24"/>
      <c r="I73" s="22"/>
      <c r="J73" s="22"/>
    </row>
    <row r="74" spans="1:10" ht="15" x14ac:dyDescent="0.15">
      <c r="A74" s="29"/>
      <c r="B74" s="22"/>
      <c r="C74" s="26" t="str">
        <f t="shared" si="3"/>
        <v/>
      </c>
      <c r="D74" s="26" t="str">
        <f t="shared" si="4"/>
        <v/>
      </c>
      <c r="E74" s="26" t="str">
        <f t="shared" si="5"/>
        <v/>
      </c>
      <c r="F74" s="22"/>
      <c r="G74" s="22"/>
      <c r="H74" s="24"/>
      <c r="I74" s="22"/>
      <c r="J74" s="22"/>
    </row>
    <row r="75" spans="1:10" ht="15" x14ac:dyDescent="0.15">
      <c r="A75" s="29"/>
      <c r="B75" s="22"/>
      <c r="C75" s="26" t="str">
        <f t="shared" si="3"/>
        <v/>
      </c>
      <c r="D75" s="26" t="str">
        <f t="shared" si="4"/>
        <v/>
      </c>
      <c r="E75" s="26" t="str">
        <f t="shared" si="5"/>
        <v/>
      </c>
      <c r="F75" s="22"/>
      <c r="G75" s="22"/>
      <c r="H75" s="24"/>
      <c r="I75" s="22"/>
      <c r="J75" s="22"/>
    </row>
    <row r="76" spans="1:10" ht="15" x14ac:dyDescent="0.15">
      <c r="A76" s="29"/>
      <c r="B76" s="22"/>
      <c r="C76" s="26" t="str">
        <f t="shared" si="3"/>
        <v/>
      </c>
      <c r="D76" s="26" t="str">
        <f t="shared" si="4"/>
        <v/>
      </c>
      <c r="E76" s="26" t="str">
        <f t="shared" si="5"/>
        <v/>
      </c>
      <c r="F76" s="22"/>
      <c r="G76" s="22"/>
      <c r="H76" s="24"/>
      <c r="I76" s="22"/>
      <c r="J76" s="22"/>
    </row>
    <row r="77" spans="1:10" ht="15" x14ac:dyDescent="0.15">
      <c r="A77" s="29"/>
      <c r="B77" s="22"/>
      <c r="C77" s="26" t="str">
        <f t="shared" si="3"/>
        <v/>
      </c>
      <c r="D77" s="26" t="str">
        <f t="shared" si="4"/>
        <v/>
      </c>
      <c r="E77" s="26" t="str">
        <f t="shared" si="5"/>
        <v/>
      </c>
      <c r="F77" s="22"/>
      <c r="G77" s="22"/>
      <c r="H77" s="24"/>
      <c r="I77" s="22"/>
      <c r="J77" s="22"/>
    </row>
    <row r="78" spans="1:10" ht="15" x14ac:dyDescent="0.15">
      <c r="A78" s="29"/>
      <c r="B78" s="22"/>
      <c r="C78" s="26" t="str">
        <f t="shared" si="3"/>
        <v/>
      </c>
      <c r="D78" s="26" t="str">
        <f t="shared" si="4"/>
        <v/>
      </c>
      <c r="E78" s="26" t="str">
        <f t="shared" si="5"/>
        <v/>
      </c>
      <c r="F78" s="22"/>
      <c r="G78" s="22"/>
      <c r="H78" s="24"/>
      <c r="I78" s="22"/>
      <c r="J78" s="22"/>
    </row>
    <row r="79" spans="1:10" ht="15" x14ac:dyDescent="0.15">
      <c r="A79" s="29"/>
      <c r="B79" s="22"/>
      <c r="C79" s="26" t="str">
        <f t="shared" si="3"/>
        <v/>
      </c>
      <c r="D79" s="26" t="str">
        <f t="shared" si="4"/>
        <v/>
      </c>
      <c r="E79" s="26" t="str">
        <f t="shared" si="5"/>
        <v/>
      </c>
      <c r="F79" s="22"/>
      <c r="G79" s="22"/>
      <c r="H79" s="24"/>
      <c r="I79" s="22"/>
      <c r="J79" s="22"/>
    </row>
    <row r="80" spans="1:10" ht="15" x14ac:dyDescent="0.15">
      <c r="A80" s="29"/>
      <c r="B80" s="22"/>
      <c r="C80" s="26" t="str">
        <f t="shared" si="3"/>
        <v/>
      </c>
      <c r="D80" s="26" t="str">
        <f t="shared" si="4"/>
        <v/>
      </c>
      <c r="E80" s="26" t="str">
        <f t="shared" si="5"/>
        <v/>
      </c>
      <c r="F80" s="22"/>
      <c r="G80" s="22"/>
      <c r="H80" s="24"/>
      <c r="I80" s="22"/>
      <c r="J80" s="22"/>
    </row>
    <row r="81" spans="1:10" ht="15" x14ac:dyDescent="0.15">
      <c r="A81" s="29"/>
      <c r="B81" s="22"/>
      <c r="C81" s="26" t="str">
        <f t="shared" si="3"/>
        <v/>
      </c>
      <c r="D81" s="26" t="str">
        <f t="shared" si="4"/>
        <v/>
      </c>
      <c r="E81" s="26" t="str">
        <f t="shared" si="5"/>
        <v/>
      </c>
      <c r="F81" s="22"/>
      <c r="G81" s="22"/>
      <c r="H81" s="24"/>
      <c r="I81" s="22"/>
      <c r="J81" s="22"/>
    </row>
    <row r="82" spans="1:10" ht="15" x14ac:dyDescent="0.15">
      <c r="A82" s="29"/>
      <c r="B82" s="22"/>
      <c r="C82" s="26" t="str">
        <f t="shared" si="3"/>
        <v/>
      </c>
      <c r="D82" s="26" t="str">
        <f t="shared" si="4"/>
        <v/>
      </c>
      <c r="E82" s="26" t="str">
        <f t="shared" si="5"/>
        <v/>
      </c>
      <c r="F82" s="22"/>
      <c r="G82" s="22"/>
      <c r="H82" s="24"/>
      <c r="I82" s="22"/>
      <c r="J82" s="22"/>
    </row>
    <row r="83" spans="1:10" ht="15" x14ac:dyDescent="0.15">
      <c r="A83" s="29"/>
      <c r="B83" s="22"/>
      <c r="C83" s="26" t="str">
        <f t="shared" si="3"/>
        <v/>
      </c>
      <c r="D83" s="26" t="str">
        <f t="shared" si="4"/>
        <v/>
      </c>
      <c r="E83" s="26" t="str">
        <f t="shared" si="5"/>
        <v/>
      </c>
      <c r="F83" s="22"/>
      <c r="G83" s="22"/>
      <c r="H83" s="24"/>
      <c r="I83" s="22"/>
      <c r="J83" s="22"/>
    </row>
    <row r="84" spans="1:10" ht="15" x14ac:dyDescent="0.15">
      <c r="A84" s="29"/>
      <c r="B84" s="22"/>
      <c r="C84" s="26" t="str">
        <f t="shared" si="3"/>
        <v/>
      </c>
      <c r="D84" s="26" t="str">
        <f t="shared" si="4"/>
        <v/>
      </c>
      <c r="E84" s="26" t="str">
        <f t="shared" si="5"/>
        <v/>
      </c>
      <c r="F84" s="22"/>
      <c r="G84" s="22"/>
      <c r="H84" s="24"/>
      <c r="I84" s="22"/>
      <c r="J84" s="22"/>
    </row>
    <row r="85" spans="1:10" ht="15" x14ac:dyDescent="0.15">
      <c r="A85" s="29"/>
      <c r="B85" s="22"/>
      <c r="C85" s="26" t="str">
        <f t="shared" si="3"/>
        <v/>
      </c>
      <c r="D85" s="26" t="str">
        <f t="shared" si="4"/>
        <v/>
      </c>
      <c r="E85" s="26" t="str">
        <f t="shared" si="5"/>
        <v/>
      </c>
      <c r="F85" s="22"/>
      <c r="G85" s="22"/>
      <c r="H85" s="24"/>
      <c r="I85" s="22"/>
      <c r="J85" s="22"/>
    </row>
    <row r="86" spans="1:10" ht="15" x14ac:dyDescent="0.15">
      <c r="A86" s="29"/>
      <c r="B86" s="22"/>
      <c r="C86" s="26" t="str">
        <f t="shared" si="3"/>
        <v/>
      </c>
      <c r="D86" s="26" t="str">
        <f t="shared" si="4"/>
        <v/>
      </c>
      <c r="E86" s="26" t="str">
        <f t="shared" si="5"/>
        <v/>
      </c>
      <c r="F86" s="22"/>
      <c r="G86" s="22"/>
      <c r="H86" s="24"/>
      <c r="I86" s="22"/>
      <c r="J86" s="22"/>
    </row>
    <row r="87" spans="1:10" ht="15" x14ac:dyDescent="0.15">
      <c r="A87" s="29"/>
      <c r="B87" s="22"/>
      <c r="C87" s="26" t="str">
        <f t="shared" si="3"/>
        <v/>
      </c>
      <c r="D87" s="26" t="str">
        <f t="shared" si="4"/>
        <v/>
      </c>
      <c r="E87" s="26" t="str">
        <f t="shared" si="5"/>
        <v/>
      </c>
      <c r="F87" s="22"/>
      <c r="G87" s="22"/>
      <c r="H87" s="24"/>
      <c r="I87" s="22"/>
      <c r="J87" s="22"/>
    </row>
    <row r="88" spans="1:10" ht="15" x14ac:dyDescent="0.15">
      <c r="A88" s="29"/>
      <c r="B88" s="22"/>
      <c r="C88" s="26" t="str">
        <f t="shared" si="3"/>
        <v/>
      </c>
      <c r="D88" s="26" t="str">
        <f t="shared" si="4"/>
        <v/>
      </c>
      <c r="E88" s="26" t="str">
        <f t="shared" si="5"/>
        <v/>
      </c>
      <c r="F88" s="22"/>
      <c r="G88" s="22"/>
      <c r="H88" s="24"/>
      <c r="I88" s="22"/>
      <c r="J88" s="22"/>
    </row>
    <row r="89" spans="1:10" ht="15" x14ac:dyDescent="0.15">
      <c r="A89" s="29"/>
      <c r="B89" s="22"/>
      <c r="C89" s="26" t="str">
        <f t="shared" si="3"/>
        <v/>
      </c>
      <c r="D89" s="26" t="str">
        <f t="shared" si="4"/>
        <v/>
      </c>
      <c r="E89" s="26" t="str">
        <f t="shared" si="5"/>
        <v/>
      </c>
      <c r="F89" s="22"/>
      <c r="G89" s="22"/>
      <c r="H89" s="24"/>
      <c r="I89" s="22"/>
      <c r="J89" s="22"/>
    </row>
    <row r="90" spans="1:10" ht="15" x14ac:dyDescent="0.15">
      <c r="A90" s="29"/>
      <c r="B90" s="22"/>
      <c r="C90" s="26" t="str">
        <f t="shared" si="3"/>
        <v/>
      </c>
      <c r="D90" s="26" t="str">
        <f t="shared" si="4"/>
        <v/>
      </c>
      <c r="E90" s="26" t="str">
        <f t="shared" si="5"/>
        <v/>
      </c>
      <c r="F90" s="22"/>
      <c r="G90" s="22"/>
      <c r="H90" s="24"/>
      <c r="I90" s="22"/>
      <c r="J90" s="22"/>
    </row>
    <row r="91" spans="1:10" ht="15" x14ac:dyDescent="0.15">
      <c r="A91" s="29"/>
      <c r="B91" s="22"/>
      <c r="C91" s="26" t="str">
        <f t="shared" si="3"/>
        <v/>
      </c>
      <c r="D91" s="26" t="str">
        <f t="shared" si="4"/>
        <v/>
      </c>
      <c r="E91" s="26" t="str">
        <f t="shared" si="5"/>
        <v/>
      </c>
      <c r="F91" s="22"/>
      <c r="G91" s="22"/>
      <c r="H91" s="24"/>
      <c r="I91" s="22"/>
      <c r="J91" s="22"/>
    </row>
    <row r="92" spans="1:10" ht="15" x14ac:dyDescent="0.15">
      <c r="A92" s="29"/>
      <c r="B92" s="22"/>
      <c r="C92" s="26" t="str">
        <f t="shared" si="3"/>
        <v/>
      </c>
      <c r="D92" s="26" t="str">
        <f t="shared" si="4"/>
        <v/>
      </c>
      <c r="E92" s="26" t="str">
        <f t="shared" si="5"/>
        <v/>
      </c>
      <c r="F92" s="22"/>
      <c r="G92" s="22"/>
      <c r="H92" s="24"/>
      <c r="I92" s="22"/>
      <c r="J92" s="22"/>
    </row>
    <row r="93" spans="1:10" ht="15" x14ac:dyDescent="0.15">
      <c r="A93" s="29"/>
      <c r="B93" s="22"/>
      <c r="C93" s="26" t="str">
        <f t="shared" si="3"/>
        <v/>
      </c>
      <c r="D93" s="26" t="str">
        <f t="shared" si="4"/>
        <v/>
      </c>
      <c r="E93" s="26" t="str">
        <f t="shared" si="5"/>
        <v/>
      </c>
      <c r="F93" s="22"/>
      <c r="G93" s="22"/>
      <c r="H93" s="24"/>
      <c r="I93" s="22"/>
      <c r="J93" s="22"/>
    </row>
    <row r="94" spans="1:10" ht="15" x14ac:dyDescent="0.15">
      <c r="A94" s="29"/>
      <c r="B94" s="22"/>
      <c r="C94" s="26" t="str">
        <f t="shared" si="3"/>
        <v/>
      </c>
      <c r="D94" s="26" t="str">
        <f t="shared" si="4"/>
        <v/>
      </c>
      <c r="E94" s="26" t="str">
        <f t="shared" si="5"/>
        <v/>
      </c>
      <c r="F94" s="22"/>
      <c r="G94" s="22"/>
      <c r="H94" s="24"/>
      <c r="I94" s="22"/>
      <c r="J94" s="22"/>
    </row>
    <row r="95" spans="1:10" ht="15" x14ac:dyDescent="0.15">
      <c r="A95" s="29"/>
      <c r="B95" s="22"/>
      <c r="C95" s="26" t="str">
        <f t="shared" si="3"/>
        <v/>
      </c>
      <c r="D95" s="26" t="str">
        <f t="shared" si="4"/>
        <v/>
      </c>
      <c r="E95" s="26" t="str">
        <f t="shared" si="5"/>
        <v/>
      </c>
      <c r="F95" s="22"/>
      <c r="G95" s="22"/>
      <c r="H95" s="24"/>
      <c r="I95" s="22"/>
      <c r="J95" s="22"/>
    </row>
    <row r="96" spans="1:10" ht="15" x14ac:dyDescent="0.15">
      <c r="A96" s="29"/>
      <c r="B96" s="22"/>
      <c r="C96" s="26" t="str">
        <f t="shared" si="3"/>
        <v/>
      </c>
      <c r="D96" s="26" t="str">
        <f t="shared" si="4"/>
        <v/>
      </c>
      <c r="E96" s="26" t="str">
        <f t="shared" si="5"/>
        <v/>
      </c>
      <c r="F96" s="22"/>
      <c r="G96" s="22"/>
      <c r="H96" s="24"/>
      <c r="I96" s="22"/>
      <c r="J96" s="22"/>
    </row>
    <row r="97" spans="1:10" ht="15" x14ac:dyDescent="0.15">
      <c r="A97" s="29"/>
      <c r="B97" s="22"/>
      <c r="C97" s="26" t="str">
        <f t="shared" si="3"/>
        <v/>
      </c>
      <c r="D97" s="26" t="str">
        <f t="shared" si="4"/>
        <v/>
      </c>
      <c r="E97" s="26" t="str">
        <f t="shared" si="5"/>
        <v/>
      </c>
      <c r="F97" s="22"/>
      <c r="G97" s="22"/>
      <c r="H97" s="24"/>
      <c r="I97" s="22"/>
      <c r="J97" s="22"/>
    </row>
    <row r="98" spans="1:10" ht="15" x14ac:dyDescent="0.15">
      <c r="A98" s="29"/>
      <c r="B98" s="22"/>
      <c r="C98" s="26" t="str">
        <f t="shared" si="3"/>
        <v/>
      </c>
      <c r="D98" s="26" t="str">
        <f t="shared" si="4"/>
        <v/>
      </c>
      <c r="E98" s="26" t="str">
        <f t="shared" si="5"/>
        <v/>
      </c>
      <c r="F98" s="22"/>
      <c r="G98" s="22"/>
      <c r="H98" s="24"/>
      <c r="I98" s="22"/>
      <c r="J98" s="22"/>
    </row>
    <row r="99" spans="1:10" ht="15" x14ac:dyDescent="0.15">
      <c r="A99" s="29"/>
      <c r="B99" s="22"/>
      <c r="C99" s="26" t="str">
        <f t="shared" si="3"/>
        <v/>
      </c>
      <c r="D99" s="26" t="str">
        <f t="shared" si="4"/>
        <v/>
      </c>
      <c r="E99" s="26" t="str">
        <f t="shared" si="5"/>
        <v/>
      </c>
      <c r="F99" s="22"/>
      <c r="G99" s="22"/>
      <c r="H99" s="24"/>
      <c r="I99" s="22"/>
      <c r="J99" s="22"/>
    </row>
    <row r="100" spans="1:10" ht="15" x14ac:dyDescent="0.15">
      <c r="A100" s="29"/>
      <c r="B100" s="22"/>
      <c r="C100" s="26" t="str">
        <f t="shared" si="3"/>
        <v/>
      </c>
      <c r="D100" s="26" t="str">
        <f t="shared" si="4"/>
        <v/>
      </c>
      <c r="E100" s="26" t="str">
        <f t="shared" si="5"/>
        <v/>
      </c>
      <c r="F100" s="22"/>
      <c r="G100" s="22"/>
      <c r="H100" s="24"/>
      <c r="I100" s="22"/>
      <c r="J100" s="22"/>
    </row>
    <row r="101" spans="1:10" ht="15" x14ac:dyDescent="0.15">
      <c r="A101" s="29"/>
      <c r="B101" s="22"/>
      <c r="C101" s="26" t="str">
        <f t="shared" si="3"/>
        <v/>
      </c>
      <c r="D101" s="26" t="str">
        <f t="shared" si="4"/>
        <v/>
      </c>
      <c r="E101" s="26" t="str">
        <f t="shared" si="5"/>
        <v/>
      </c>
      <c r="F101" s="22"/>
      <c r="G101" s="22"/>
      <c r="H101" s="24"/>
      <c r="I101" s="22"/>
      <c r="J101" s="22"/>
    </row>
    <row r="102" spans="1:10" ht="15" x14ac:dyDescent="0.15">
      <c r="A102" s="29"/>
      <c r="B102" s="22"/>
      <c r="C102" s="26" t="str">
        <f t="shared" si="3"/>
        <v/>
      </c>
      <c r="D102" s="26" t="str">
        <f t="shared" si="4"/>
        <v/>
      </c>
      <c r="E102" s="26" t="str">
        <f t="shared" si="5"/>
        <v/>
      </c>
      <c r="F102" s="22"/>
      <c r="G102" s="22"/>
      <c r="H102" s="24"/>
      <c r="I102" s="22"/>
      <c r="J102" s="22"/>
    </row>
    <row r="103" spans="1:10" ht="15" x14ac:dyDescent="0.15">
      <c r="A103" s="29"/>
      <c r="B103" s="22"/>
      <c r="C103" s="26" t="str">
        <f t="shared" si="3"/>
        <v/>
      </c>
      <c r="D103" s="26" t="str">
        <f t="shared" si="4"/>
        <v/>
      </c>
      <c r="E103" s="26" t="str">
        <f t="shared" si="5"/>
        <v/>
      </c>
      <c r="F103" s="22"/>
      <c r="G103" s="22"/>
      <c r="H103" s="24"/>
      <c r="I103" s="22"/>
      <c r="J103" s="22"/>
    </row>
    <row r="104" spans="1:10" ht="15" x14ac:dyDescent="0.15">
      <c r="A104" s="29"/>
      <c r="B104" s="22"/>
      <c r="C104" s="26" t="str">
        <f t="shared" si="3"/>
        <v/>
      </c>
      <c r="D104" s="26" t="str">
        <f t="shared" si="4"/>
        <v/>
      </c>
      <c r="E104" s="26" t="str">
        <f t="shared" si="5"/>
        <v/>
      </c>
      <c r="F104" s="22"/>
      <c r="G104" s="22"/>
      <c r="H104" s="24"/>
      <c r="I104" s="22"/>
      <c r="J104" s="22"/>
    </row>
    <row r="105" spans="1:10" ht="15" x14ac:dyDescent="0.15">
      <c r="A105" s="29"/>
      <c r="B105" s="22"/>
      <c r="C105" s="26" t="str">
        <f t="shared" si="3"/>
        <v/>
      </c>
      <c r="D105" s="26" t="str">
        <f t="shared" si="4"/>
        <v/>
      </c>
      <c r="E105" s="26" t="str">
        <f t="shared" si="5"/>
        <v/>
      </c>
      <c r="F105" s="22"/>
      <c r="G105" s="22"/>
      <c r="H105" s="24"/>
      <c r="I105" s="22"/>
      <c r="J105" s="22"/>
    </row>
    <row r="106" spans="1:10" ht="15" x14ac:dyDescent="0.15">
      <c r="A106" s="29"/>
      <c r="B106" s="22"/>
      <c r="C106" s="26" t="str">
        <f t="shared" si="3"/>
        <v/>
      </c>
      <c r="D106" s="26" t="str">
        <f t="shared" si="4"/>
        <v/>
      </c>
      <c r="E106" s="26" t="str">
        <f t="shared" si="5"/>
        <v/>
      </c>
      <c r="F106" s="22"/>
      <c r="G106" s="22"/>
      <c r="H106" s="24"/>
      <c r="I106" s="22"/>
      <c r="J106" s="22"/>
    </row>
    <row r="107" spans="1:10" ht="15" x14ac:dyDescent="0.15">
      <c r="A107" s="29"/>
      <c r="B107" s="22"/>
      <c r="C107" s="26" t="str">
        <f t="shared" si="3"/>
        <v/>
      </c>
      <c r="D107" s="26" t="str">
        <f t="shared" si="4"/>
        <v/>
      </c>
      <c r="E107" s="26" t="str">
        <f t="shared" si="5"/>
        <v/>
      </c>
      <c r="F107" s="22"/>
      <c r="G107" s="22"/>
      <c r="H107" s="24"/>
      <c r="I107" s="22"/>
      <c r="J107" s="22"/>
    </row>
    <row r="108" spans="1:10" ht="15" x14ac:dyDescent="0.15">
      <c r="A108" s="29"/>
      <c r="B108" s="22"/>
      <c r="C108" s="26" t="str">
        <f t="shared" si="3"/>
        <v/>
      </c>
      <c r="D108" s="26" t="str">
        <f t="shared" si="4"/>
        <v/>
      </c>
      <c r="E108" s="26" t="str">
        <f t="shared" si="5"/>
        <v/>
      </c>
      <c r="F108" s="22"/>
      <c r="G108" s="22"/>
      <c r="H108" s="24"/>
      <c r="I108" s="22"/>
      <c r="J108" s="22"/>
    </row>
    <row r="109" spans="1:10" ht="15" x14ac:dyDescent="0.15">
      <c r="A109" s="29"/>
      <c r="B109" s="22"/>
      <c r="C109" s="26" t="str">
        <f t="shared" si="3"/>
        <v/>
      </c>
      <c r="D109" s="26" t="str">
        <f t="shared" si="4"/>
        <v/>
      </c>
      <c r="E109" s="26" t="str">
        <f t="shared" si="5"/>
        <v/>
      </c>
      <c r="F109" s="22"/>
      <c r="G109" s="22"/>
      <c r="H109" s="24"/>
      <c r="I109" s="22"/>
      <c r="J109" s="22"/>
    </row>
    <row r="110" spans="1:10" ht="15" x14ac:dyDescent="0.15">
      <c r="A110" s="29"/>
      <c r="B110" s="22"/>
      <c r="C110" s="26" t="str">
        <f t="shared" si="3"/>
        <v/>
      </c>
      <c r="D110" s="26" t="str">
        <f t="shared" si="4"/>
        <v/>
      </c>
      <c r="E110" s="26" t="str">
        <f t="shared" si="5"/>
        <v/>
      </c>
      <c r="F110" s="22"/>
      <c r="G110" s="22"/>
      <c r="H110" s="24"/>
      <c r="I110" s="22"/>
      <c r="J110" s="22"/>
    </row>
    <row r="111" spans="1:10" ht="15" x14ac:dyDescent="0.15">
      <c r="A111" s="29"/>
      <c r="B111" s="22"/>
      <c r="C111" s="26" t="str">
        <f t="shared" si="3"/>
        <v/>
      </c>
      <c r="D111" s="26" t="str">
        <f t="shared" si="4"/>
        <v/>
      </c>
      <c r="E111" s="26" t="str">
        <f t="shared" si="5"/>
        <v/>
      </c>
      <c r="F111" s="22"/>
      <c r="G111" s="22"/>
      <c r="H111" s="24"/>
      <c r="I111" s="22"/>
      <c r="J111" s="22"/>
    </row>
    <row r="112" spans="1:10" ht="15" x14ac:dyDescent="0.15">
      <c r="A112" s="29"/>
      <c r="B112" s="22"/>
      <c r="C112" s="26" t="str">
        <f t="shared" si="3"/>
        <v/>
      </c>
      <c r="D112" s="26" t="str">
        <f t="shared" si="4"/>
        <v/>
      </c>
      <c r="E112" s="26" t="str">
        <f t="shared" si="5"/>
        <v/>
      </c>
      <c r="F112" s="22"/>
      <c r="G112" s="22"/>
      <c r="H112" s="24"/>
      <c r="I112" s="22"/>
      <c r="J112" s="22"/>
    </row>
    <row r="113" spans="1:10" ht="15" x14ac:dyDescent="0.15">
      <c r="A113" s="29"/>
      <c r="B113" s="22"/>
      <c r="C113" s="26" t="str">
        <f t="shared" si="3"/>
        <v/>
      </c>
      <c r="D113" s="26" t="str">
        <f t="shared" si="4"/>
        <v/>
      </c>
      <c r="E113" s="26" t="str">
        <f t="shared" si="5"/>
        <v/>
      </c>
      <c r="F113" s="22"/>
      <c r="G113" s="22"/>
      <c r="H113" s="24"/>
      <c r="I113" s="22"/>
      <c r="J113" s="22"/>
    </row>
    <row r="114" spans="1:10" ht="15" x14ac:dyDescent="0.15">
      <c r="A114" s="29"/>
      <c r="B114" s="22"/>
      <c r="C114" s="26" t="str">
        <f t="shared" si="3"/>
        <v/>
      </c>
      <c r="D114" s="26" t="str">
        <f t="shared" si="4"/>
        <v/>
      </c>
      <c r="E114" s="26" t="str">
        <f t="shared" si="5"/>
        <v/>
      </c>
      <c r="F114" s="22"/>
      <c r="G114" s="22"/>
      <c r="H114" s="24"/>
      <c r="I114" s="22"/>
      <c r="J114" s="22"/>
    </row>
    <row r="115" spans="1:10" ht="15" x14ac:dyDescent="0.15">
      <c r="A115" s="29"/>
      <c r="B115" s="22"/>
      <c r="C115" s="26" t="str">
        <f t="shared" si="3"/>
        <v/>
      </c>
      <c r="D115" s="26" t="str">
        <f t="shared" si="4"/>
        <v/>
      </c>
      <c r="E115" s="26" t="str">
        <f t="shared" si="5"/>
        <v/>
      </c>
      <c r="F115" s="22"/>
      <c r="G115" s="22"/>
      <c r="H115" s="24"/>
      <c r="I115" s="22"/>
      <c r="J115" s="22"/>
    </row>
    <row r="116" spans="1:10" ht="15" x14ac:dyDescent="0.15">
      <c r="A116" s="29"/>
      <c r="B116" s="22"/>
      <c r="C116" s="26" t="str">
        <f t="shared" si="3"/>
        <v/>
      </c>
      <c r="D116" s="26" t="str">
        <f t="shared" si="4"/>
        <v/>
      </c>
      <c r="E116" s="26" t="str">
        <f t="shared" si="5"/>
        <v/>
      </c>
      <c r="F116" s="22"/>
      <c r="G116" s="22"/>
      <c r="H116" s="24"/>
      <c r="I116" s="22"/>
      <c r="J116" s="22"/>
    </row>
    <row r="117" spans="1:10" ht="15" x14ac:dyDescent="0.15">
      <c r="A117" s="29"/>
      <c r="B117" s="22"/>
      <c r="C117" s="26" t="str">
        <f t="shared" si="3"/>
        <v/>
      </c>
      <c r="D117" s="26" t="str">
        <f t="shared" si="4"/>
        <v/>
      </c>
      <c r="E117" s="26" t="str">
        <f t="shared" si="5"/>
        <v/>
      </c>
      <c r="F117" s="22"/>
      <c r="G117" s="22"/>
      <c r="H117" s="24"/>
      <c r="I117" s="22"/>
      <c r="J117" s="22"/>
    </row>
    <row r="118" spans="1:10" ht="15" x14ac:dyDescent="0.15">
      <c r="A118" s="29"/>
      <c r="B118" s="22"/>
      <c r="C118" s="26" t="str">
        <f t="shared" si="3"/>
        <v/>
      </c>
      <c r="D118" s="26" t="str">
        <f t="shared" si="4"/>
        <v/>
      </c>
      <c r="E118" s="26" t="str">
        <f t="shared" si="5"/>
        <v/>
      </c>
      <c r="F118" s="22"/>
      <c r="G118" s="22"/>
      <c r="H118" s="24"/>
      <c r="I118" s="22"/>
      <c r="J118" s="22"/>
    </row>
    <row r="119" spans="1:10" ht="15" x14ac:dyDescent="0.15">
      <c r="A119" s="29"/>
      <c r="B119" s="22"/>
      <c r="C119" s="26" t="str">
        <f t="shared" si="3"/>
        <v/>
      </c>
      <c r="D119" s="26" t="str">
        <f t="shared" si="4"/>
        <v/>
      </c>
      <c r="E119" s="26" t="str">
        <f t="shared" si="5"/>
        <v/>
      </c>
      <c r="F119" s="22"/>
      <c r="G119" s="22"/>
      <c r="H119" s="24"/>
      <c r="I119" s="22"/>
      <c r="J119" s="22"/>
    </row>
    <row r="120" spans="1:10" ht="15" x14ac:dyDescent="0.15">
      <c r="A120" s="29"/>
      <c r="B120" s="22"/>
      <c r="C120" s="26" t="str">
        <f t="shared" si="3"/>
        <v/>
      </c>
      <c r="D120" s="26" t="str">
        <f t="shared" si="4"/>
        <v/>
      </c>
      <c r="E120" s="26" t="str">
        <f t="shared" si="5"/>
        <v/>
      </c>
      <c r="F120" s="22"/>
      <c r="G120" s="22"/>
      <c r="H120" s="24"/>
      <c r="I120" s="22"/>
      <c r="J120" s="22"/>
    </row>
    <row r="121" spans="1:10" ht="15" x14ac:dyDescent="0.15">
      <c r="A121" s="29"/>
      <c r="B121" s="22"/>
      <c r="C121" s="26" t="str">
        <f t="shared" si="3"/>
        <v/>
      </c>
      <c r="D121" s="26" t="str">
        <f t="shared" si="4"/>
        <v/>
      </c>
      <c r="E121" s="26" t="str">
        <f t="shared" si="5"/>
        <v/>
      </c>
      <c r="F121" s="22"/>
      <c r="G121" s="22"/>
      <c r="H121" s="24"/>
      <c r="I121" s="22"/>
      <c r="J121" s="22"/>
    </row>
    <row r="122" spans="1:10" ht="15" x14ac:dyDescent="0.15">
      <c r="A122" s="29"/>
      <c r="B122" s="22"/>
      <c r="C122" s="26" t="str">
        <f t="shared" si="3"/>
        <v/>
      </c>
      <c r="D122" s="26" t="str">
        <f t="shared" si="4"/>
        <v/>
      </c>
      <c r="E122" s="26" t="str">
        <f t="shared" si="5"/>
        <v/>
      </c>
      <c r="F122" s="22"/>
      <c r="G122" s="22"/>
      <c r="H122" s="24"/>
      <c r="I122" s="22"/>
      <c r="J122" s="22"/>
    </row>
    <row r="123" spans="1:10" ht="15" x14ac:dyDescent="0.15">
      <c r="A123" s="29"/>
      <c r="B123" s="22"/>
      <c r="C123" s="26" t="str">
        <f t="shared" si="3"/>
        <v/>
      </c>
      <c r="D123" s="26" t="str">
        <f t="shared" si="4"/>
        <v/>
      </c>
      <c r="E123" s="26" t="str">
        <f t="shared" si="5"/>
        <v/>
      </c>
      <c r="F123" s="22"/>
      <c r="G123" s="22"/>
      <c r="H123" s="24"/>
      <c r="I123" s="22"/>
      <c r="J123" s="22"/>
    </row>
    <row r="124" spans="1:10" ht="15" x14ac:dyDescent="0.15">
      <c r="A124" s="29"/>
      <c r="B124" s="22"/>
      <c r="C124" s="26" t="str">
        <f t="shared" si="3"/>
        <v/>
      </c>
      <c r="D124" s="26" t="str">
        <f t="shared" si="4"/>
        <v/>
      </c>
      <c r="E124" s="26" t="str">
        <f t="shared" si="5"/>
        <v/>
      </c>
      <c r="F124" s="22"/>
      <c r="G124" s="22"/>
      <c r="H124" s="24"/>
      <c r="I124" s="22"/>
      <c r="J124" s="22"/>
    </row>
    <row r="125" spans="1:10" ht="15" x14ac:dyDescent="0.15">
      <c r="A125" s="29"/>
      <c r="B125" s="22"/>
      <c r="C125" s="26" t="str">
        <f t="shared" si="3"/>
        <v/>
      </c>
      <c r="D125" s="26" t="str">
        <f t="shared" si="4"/>
        <v/>
      </c>
      <c r="E125" s="26" t="str">
        <f t="shared" si="5"/>
        <v/>
      </c>
      <c r="F125" s="22"/>
      <c r="G125" s="22"/>
      <c r="H125" s="24"/>
      <c r="I125" s="22"/>
      <c r="J125" s="22"/>
    </row>
    <row r="126" spans="1:10" ht="15" x14ac:dyDescent="0.15">
      <c r="A126" s="29"/>
      <c r="B126" s="22"/>
      <c r="C126" s="26" t="str">
        <f t="shared" si="3"/>
        <v/>
      </c>
      <c r="D126" s="26" t="str">
        <f t="shared" si="4"/>
        <v/>
      </c>
      <c r="E126" s="26" t="str">
        <f t="shared" si="5"/>
        <v/>
      </c>
      <c r="F126" s="22"/>
      <c r="G126" s="22"/>
      <c r="H126" s="24"/>
      <c r="I126" s="22"/>
      <c r="J126" s="22"/>
    </row>
    <row r="127" spans="1:10" ht="15" x14ac:dyDescent="0.15">
      <c r="A127" s="29"/>
      <c r="B127" s="22"/>
      <c r="C127" s="26" t="str">
        <f t="shared" si="3"/>
        <v/>
      </c>
      <c r="D127" s="26" t="str">
        <f t="shared" si="4"/>
        <v/>
      </c>
      <c r="E127" s="26" t="str">
        <f t="shared" si="5"/>
        <v/>
      </c>
      <c r="F127" s="22"/>
      <c r="G127" s="22"/>
      <c r="H127" s="24"/>
      <c r="I127" s="22"/>
      <c r="J127" s="22"/>
    </row>
    <row r="128" spans="1:10" ht="15" x14ac:dyDescent="0.15">
      <c r="A128" s="29"/>
      <c r="B128" s="22"/>
      <c r="C128" s="26" t="str">
        <f t="shared" si="3"/>
        <v/>
      </c>
      <c r="D128" s="26" t="str">
        <f t="shared" si="4"/>
        <v/>
      </c>
      <c r="E128" s="26" t="str">
        <f t="shared" si="5"/>
        <v/>
      </c>
      <c r="F128" s="22"/>
      <c r="G128" s="22"/>
      <c r="H128" s="24"/>
      <c r="I128" s="22"/>
      <c r="J128" s="22"/>
    </row>
    <row r="129" spans="1:10" ht="15" x14ac:dyDescent="0.15">
      <c r="A129" s="29"/>
      <c r="B129" s="22"/>
      <c r="C129" s="26" t="str">
        <f t="shared" si="3"/>
        <v/>
      </c>
      <c r="D129" s="26" t="str">
        <f t="shared" si="4"/>
        <v/>
      </c>
      <c r="E129" s="26" t="str">
        <f t="shared" si="5"/>
        <v/>
      </c>
      <c r="F129" s="22"/>
      <c r="G129" s="22"/>
      <c r="H129" s="24"/>
      <c r="I129" s="22"/>
      <c r="J129" s="22"/>
    </row>
    <row r="130" spans="1:10" ht="15" x14ac:dyDescent="0.15">
      <c r="A130" s="29"/>
      <c r="B130" s="22"/>
      <c r="C130" s="26" t="str">
        <f t="shared" si="3"/>
        <v/>
      </c>
      <c r="D130" s="26" t="str">
        <f t="shared" si="4"/>
        <v/>
      </c>
      <c r="E130" s="26" t="str">
        <f t="shared" si="5"/>
        <v/>
      </c>
      <c r="F130" s="22"/>
      <c r="G130" s="22"/>
      <c r="H130" s="24"/>
      <c r="I130" s="22"/>
      <c r="J130" s="22"/>
    </row>
    <row r="131" spans="1:10" ht="15" x14ac:dyDescent="0.15">
      <c r="A131" s="29"/>
      <c r="B131" s="22"/>
      <c r="C131" s="26" t="str">
        <f t="shared" si="3"/>
        <v/>
      </c>
      <c r="D131" s="26" t="str">
        <f t="shared" si="4"/>
        <v/>
      </c>
      <c r="E131" s="26" t="str">
        <f t="shared" si="5"/>
        <v/>
      </c>
      <c r="F131" s="22"/>
      <c r="G131" s="22"/>
      <c r="H131" s="24"/>
      <c r="I131" s="22"/>
      <c r="J131" s="22"/>
    </row>
    <row r="132" spans="1:10" ht="15" x14ac:dyDescent="0.15">
      <c r="A132" s="29"/>
      <c r="B132" s="22"/>
      <c r="C132" s="26" t="str">
        <f t="shared" si="3"/>
        <v/>
      </c>
      <c r="D132" s="26" t="str">
        <f t="shared" si="4"/>
        <v/>
      </c>
      <c r="E132" s="26" t="str">
        <f t="shared" si="5"/>
        <v/>
      </c>
      <c r="F132" s="22"/>
      <c r="G132" s="22"/>
      <c r="H132" s="24"/>
      <c r="I132" s="22"/>
      <c r="J132" s="22"/>
    </row>
    <row r="133" spans="1:10" ht="15" x14ac:dyDescent="0.15">
      <c r="A133" s="29"/>
      <c r="B133" s="22"/>
      <c r="C133" s="26" t="str">
        <f t="shared" si="3"/>
        <v/>
      </c>
      <c r="D133" s="26" t="str">
        <f t="shared" si="4"/>
        <v/>
      </c>
      <c r="E133" s="26" t="str">
        <f t="shared" si="5"/>
        <v/>
      </c>
      <c r="F133" s="22"/>
      <c r="G133" s="22"/>
      <c r="H133" s="24"/>
      <c r="I133" s="22"/>
      <c r="J133" s="22"/>
    </row>
    <row r="134" spans="1:10" ht="15" x14ac:dyDescent="0.15">
      <c r="A134" s="29"/>
      <c r="B134" s="22"/>
      <c r="C134" s="26" t="str">
        <f t="shared" ref="C134:C197" si="6">IFERROR(IF($B134="","",LEFT($B134,FIND(" | ",$B134)-1)),"")</f>
        <v/>
      </c>
      <c r="D134" s="26" t="str">
        <f t="shared" ref="D134:D197" si="7">IFERROR(IF($B134="","",MID($B134,FIND(" | ",$B134)+3,FIND(" | ",$B134,FIND(" | ",$B134)+3)-FIND(" | ",$B134)-3)),"")</f>
        <v/>
      </c>
      <c r="E134" s="26" t="str">
        <f t="shared" ref="E134:E197" si="8">IFERROR(IF($B134="","",RIGHT($B134,LEN($B134)-FIND(" | ",$B134,FIND(" | ",$B134)+3)-2)),"")</f>
        <v/>
      </c>
      <c r="F134" s="22"/>
      <c r="G134" s="22"/>
      <c r="H134" s="24"/>
      <c r="I134" s="22"/>
      <c r="J134" s="22"/>
    </row>
    <row r="135" spans="1:10" ht="15" x14ac:dyDescent="0.15">
      <c r="A135" s="29"/>
      <c r="B135" s="22"/>
      <c r="C135" s="26" t="str">
        <f t="shared" si="6"/>
        <v/>
      </c>
      <c r="D135" s="26" t="str">
        <f t="shared" si="7"/>
        <v/>
      </c>
      <c r="E135" s="26" t="str">
        <f t="shared" si="8"/>
        <v/>
      </c>
      <c r="F135" s="22"/>
      <c r="G135" s="22"/>
      <c r="H135" s="24"/>
      <c r="I135" s="22"/>
      <c r="J135" s="22"/>
    </row>
    <row r="136" spans="1:10" ht="15" x14ac:dyDescent="0.15">
      <c r="A136" s="29"/>
      <c r="B136" s="22"/>
      <c r="C136" s="26" t="str">
        <f t="shared" si="6"/>
        <v/>
      </c>
      <c r="D136" s="26" t="str">
        <f t="shared" si="7"/>
        <v/>
      </c>
      <c r="E136" s="26" t="str">
        <f t="shared" si="8"/>
        <v/>
      </c>
      <c r="F136" s="22"/>
      <c r="G136" s="22"/>
      <c r="H136" s="24"/>
      <c r="I136" s="22"/>
      <c r="J136" s="22"/>
    </row>
    <row r="137" spans="1:10" ht="15" x14ac:dyDescent="0.15">
      <c r="A137" s="29"/>
      <c r="B137" s="22"/>
      <c r="C137" s="26" t="str">
        <f t="shared" si="6"/>
        <v/>
      </c>
      <c r="D137" s="26" t="str">
        <f t="shared" si="7"/>
        <v/>
      </c>
      <c r="E137" s="26" t="str">
        <f t="shared" si="8"/>
        <v/>
      </c>
      <c r="F137" s="22"/>
      <c r="G137" s="22"/>
      <c r="H137" s="24"/>
      <c r="I137" s="22"/>
      <c r="J137" s="22"/>
    </row>
    <row r="138" spans="1:10" ht="15" x14ac:dyDescent="0.15">
      <c r="A138" s="29"/>
      <c r="B138" s="22"/>
      <c r="C138" s="26" t="str">
        <f t="shared" si="6"/>
        <v/>
      </c>
      <c r="D138" s="26" t="str">
        <f t="shared" si="7"/>
        <v/>
      </c>
      <c r="E138" s="26" t="str">
        <f t="shared" si="8"/>
        <v/>
      </c>
      <c r="F138" s="22"/>
      <c r="G138" s="22"/>
      <c r="H138" s="24"/>
      <c r="I138" s="22"/>
      <c r="J138" s="22"/>
    </row>
    <row r="139" spans="1:10" ht="15" x14ac:dyDescent="0.15">
      <c r="A139" s="29"/>
      <c r="B139" s="22"/>
      <c r="C139" s="26" t="str">
        <f t="shared" si="6"/>
        <v/>
      </c>
      <c r="D139" s="26" t="str">
        <f t="shared" si="7"/>
        <v/>
      </c>
      <c r="E139" s="26" t="str">
        <f t="shared" si="8"/>
        <v/>
      </c>
      <c r="F139" s="22"/>
      <c r="G139" s="22"/>
      <c r="H139" s="24"/>
      <c r="I139" s="22"/>
      <c r="J139" s="22"/>
    </row>
    <row r="140" spans="1:10" ht="15" x14ac:dyDescent="0.15">
      <c r="A140" s="29"/>
      <c r="B140" s="22"/>
      <c r="C140" s="26" t="str">
        <f t="shared" si="6"/>
        <v/>
      </c>
      <c r="D140" s="26" t="str">
        <f t="shared" si="7"/>
        <v/>
      </c>
      <c r="E140" s="26" t="str">
        <f t="shared" si="8"/>
        <v/>
      </c>
      <c r="F140" s="22"/>
      <c r="G140" s="22"/>
      <c r="H140" s="24"/>
      <c r="I140" s="22"/>
      <c r="J140" s="22"/>
    </row>
    <row r="141" spans="1:10" ht="15" x14ac:dyDescent="0.15">
      <c r="A141" s="29"/>
      <c r="B141" s="22"/>
      <c r="C141" s="26" t="str">
        <f t="shared" si="6"/>
        <v/>
      </c>
      <c r="D141" s="26" t="str">
        <f t="shared" si="7"/>
        <v/>
      </c>
      <c r="E141" s="26" t="str">
        <f t="shared" si="8"/>
        <v/>
      </c>
      <c r="F141" s="22"/>
      <c r="G141" s="22"/>
      <c r="H141" s="24"/>
      <c r="I141" s="22"/>
      <c r="J141" s="22"/>
    </row>
    <row r="142" spans="1:10" ht="15" x14ac:dyDescent="0.15">
      <c r="A142" s="29"/>
      <c r="B142" s="22"/>
      <c r="C142" s="26" t="str">
        <f t="shared" si="6"/>
        <v/>
      </c>
      <c r="D142" s="26" t="str">
        <f t="shared" si="7"/>
        <v/>
      </c>
      <c r="E142" s="26" t="str">
        <f t="shared" si="8"/>
        <v/>
      </c>
      <c r="F142" s="22"/>
      <c r="G142" s="22"/>
      <c r="H142" s="24"/>
      <c r="I142" s="22"/>
      <c r="J142" s="22"/>
    </row>
    <row r="143" spans="1:10" ht="15" x14ac:dyDescent="0.15">
      <c r="A143" s="29"/>
      <c r="B143" s="22"/>
      <c r="C143" s="26" t="str">
        <f t="shared" si="6"/>
        <v/>
      </c>
      <c r="D143" s="26" t="str">
        <f t="shared" si="7"/>
        <v/>
      </c>
      <c r="E143" s="26" t="str">
        <f t="shared" si="8"/>
        <v/>
      </c>
      <c r="F143" s="22"/>
      <c r="G143" s="22"/>
      <c r="H143" s="24"/>
      <c r="I143" s="22"/>
      <c r="J143" s="22"/>
    </row>
    <row r="144" spans="1:10" ht="15" x14ac:dyDescent="0.15">
      <c r="A144" s="29"/>
      <c r="B144" s="22"/>
      <c r="C144" s="26" t="str">
        <f t="shared" si="6"/>
        <v/>
      </c>
      <c r="D144" s="26" t="str">
        <f t="shared" si="7"/>
        <v/>
      </c>
      <c r="E144" s="26" t="str">
        <f t="shared" si="8"/>
        <v/>
      </c>
      <c r="F144" s="22"/>
      <c r="G144" s="22"/>
      <c r="H144" s="24"/>
      <c r="I144" s="22"/>
      <c r="J144" s="22"/>
    </row>
    <row r="145" spans="1:10" ht="15" x14ac:dyDescent="0.15">
      <c r="A145" s="29"/>
      <c r="B145" s="22"/>
      <c r="C145" s="26" t="str">
        <f t="shared" si="6"/>
        <v/>
      </c>
      <c r="D145" s="26" t="str">
        <f t="shared" si="7"/>
        <v/>
      </c>
      <c r="E145" s="26" t="str">
        <f t="shared" si="8"/>
        <v/>
      </c>
      <c r="F145" s="22"/>
      <c r="G145" s="22"/>
      <c r="H145" s="24"/>
      <c r="I145" s="22"/>
      <c r="J145" s="22"/>
    </row>
    <row r="146" spans="1:10" ht="15" x14ac:dyDescent="0.15">
      <c r="A146" s="29"/>
      <c r="B146" s="22"/>
      <c r="C146" s="26" t="str">
        <f t="shared" si="6"/>
        <v/>
      </c>
      <c r="D146" s="26" t="str">
        <f t="shared" si="7"/>
        <v/>
      </c>
      <c r="E146" s="26" t="str">
        <f t="shared" si="8"/>
        <v/>
      </c>
      <c r="F146" s="22"/>
      <c r="G146" s="22"/>
      <c r="H146" s="24"/>
      <c r="I146" s="22"/>
      <c r="J146" s="22"/>
    </row>
    <row r="147" spans="1:10" ht="15" x14ac:dyDescent="0.15">
      <c r="A147" s="29"/>
      <c r="B147" s="22"/>
      <c r="C147" s="26" t="str">
        <f t="shared" si="6"/>
        <v/>
      </c>
      <c r="D147" s="26" t="str">
        <f t="shared" si="7"/>
        <v/>
      </c>
      <c r="E147" s="26" t="str">
        <f t="shared" si="8"/>
        <v/>
      </c>
      <c r="F147" s="22"/>
      <c r="G147" s="22"/>
      <c r="H147" s="24"/>
      <c r="I147" s="22"/>
      <c r="J147" s="22"/>
    </row>
    <row r="148" spans="1:10" ht="15" x14ac:dyDescent="0.15">
      <c r="A148" s="29"/>
      <c r="B148" s="22"/>
      <c r="C148" s="26" t="str">
        <f t="shared" si="6"/>
        <v/>
      </c>
      <c r="D148" s="26" t="str">
        <f t="shared" si="7"/>
        <v/>
      </c>
      <c r="E148" s="26" t="str">
        <f t="shared" si="8"/>
        <v/>
      </c>
      <c r="F148" s="22"/>
      <c r="G148" s="22"/>
      <c r="H148" s="24"/>
      <c r="I148" s="22"/>
      <c r="J148" s="22"/>
    </row>
    <row r="149" spans="1:10" ht="15" x14ac:dyDescent="0.15">
      <c r="A149" s="29"/>
      <c r="B149" s="22"/>
      <c r="C149" s="26" t="str">
        <f t="shared" si="6"/>
        <v/>
      </c>
      <c r="D149" s="26" t="str">
        <f t="shared" si="7"/>
        <v/>
      </c>
      <c r="E149" s="26" t="str">
        <f t="shared" si="8"/>
        <v/>
      </c>
      <c r="F149" s="22"/>
      <c r="G149" s="22"/>
      <c r="H149" s="24"/>
      <c r="I149" s="22"/>
      <c r="J149" s="22"/>
    </row>
    <row r="150" spans="1:10" ht="15" x14ac:dyDescent="0.15">
      <c r="A150" s="29"/>
      <c r="B150" s="22"/>
      <c r="C150" s="26" t="str">
        <f t="shared" si="6"/>
        <v/>
      </c>
      <c r="D150" s="26" t="str">
        <f t="shared" si="7"/>
        <v/>
      </c>
      <c r="E150" s="26" t="str">
        <f t="shared" si="8"/>
        <v/>
      </c>
      <c r="F150" s="22"/>
      <c r="G150" s="22"/>
      <c r="H150" s="24"/>
      <c r="I150" s="22"/>
      <c r="J150" s="22"/>
    </row>
    <row r="151" spans="1:10" ht="15" x14ac:dyDescent="0.15">
      <c r="A151" s="29"/>
      <c r="B151" s="22"/>
      <c r="C151" s="26" t="str">
        <f t="shared" si="6"/>
        <v/>
      </c>
      <c r="D151" s="26" t="str">
        <f t="shared" si="7"/>
        <v/>
      </c>
      <c r="E151" s="26" t="str">
        <f t="shared" si="8"/>
        <v/>
      </c>
      <c r="F151" s="22"/>
      <c r="G151" s="22"/>
      <c r="H151" s="24"/>
      <c r="I151" s="22"/>
      <c r="J151" s="22"/>
    </row>
    <row r="152" spans="1:10" ht="15" x14ac:dyDescent="0.15">
      <c r="A152" s="29"/>
      <c r="B152" s="22"/>
      <c r="C152" s="26" t="str">
        <f t="shared" si="6"/>
        <v/>
      </c>
      <c r="D152" s="26" t="str">
        <f t="shared" si="7"/>
        <v/>
      </c>
      <c r="E152" s="26" t="str">
        <f t="shared" si="8"/>
        <v/>
      </c>
      <c r="F152" s="22"/>
      <c r="G152" s="22"/>
      <c r="H152" s="24"/>
      <c r="I152" s="22"/>
      <c r="J152" s="22"/>
    </row>
    <row r="153" spans="1:10" ht="15" x14ac:dyDescent="0.15">
      <c r="A153" s="29"/>
      <c r="B153" s="22"/>
      <c r="C153" s="26" t="str">
        <f t="shared" si="6"/>
        <v/>
      </c>
      <c r="D153" s="26" t="str">
        <f t="shared" si="7"/>
        <v/>
      </c>
      <c r="E153" s="26" t="str">
        <f t="shared" si="8"/>
        <v/>
      </c>
      <c r="F153" s="22"/>
      <c r="G153" s="22"/>
      <c r="H153" s="24"/>
      <c r="I153" s="22"/>
      <c r="J153" s="22"/>
    </row>
    <row r="154" spans="1:10" ht="15" x14ac:dyDescent="0.15">
      <c r="A154" s="29"/>
      <c r="B154" s="22"/>
      <c r="C154" s="26" t="str">
        <f t="shared" si="6"/>
        <v/>
      </c>
      <c r="D154" s="26" t="str">
        <f t="shared" si="7"/>
        <v/>
      </c>
      <c r="E154" s="26" t="str">
        <f t="shared" si="8"/>
        <v/>
      </c>
      <c r="F154" s="22"/>
      <c r="G154" s="22"/>
      <c r="H154" s="24"/>
      <c r="I154" s="22"/>
      <c r="J154" s="22"/>
    </row>
    <row r="155" spans="1:10" ht="15" x14ac:dyDescent="0.15">
      <c r="A155" s="29"/>
      <c r="B155" s="22"/>
      <c r="C155" s="26" t="str">
        <f t="shared" si="6"/>
        <v/>
      </c>
      <c r="D155" s="26" t="str">
        <f t="shared" si="7"/>
        <v/>
      </c>
      <c r="E155" s="26" t="str">
        <f t="shared" si="8"/>
        <v/>
      </c>
      <c r="F155" s="22"/>
      <c r="G155" s="22"/>
      <c r="H155" s="24"/>
      <c r="I155" s="22"/>
      <c r="J155" s="22"/>
    </row>
    <row r="156" spans="1:10" ht="15" x14ac:dyDescent="0.15">
      <c r="A156" s="29"/>
      <c r="B156" s="22"/>
      <c r="C156" s="26" t="str">
        <f t="shared" si="6"/>
        <v/>
      </c>
      <c r="D156" s="26" t="str">
        <f t="shared" si="7"/>
        <v/>
      </c>
      <c r="E156" s="26" t="str">
        <f t="shared" si="8"/>
        <v/>
      </c>
      <c r="F156" s="22"/>
      <c r="G156" s="22"/>
      <c r="H156" s="24"/>
      <c r="I156" s="22"/>
      <c r="J156" s="22"/>
    </row>
    <row r="157" spans="1:10" ht="15" x14ac:dyDescent="0.15">
      <c r="A157" s="29"/>
      <c r="B157" s="22"/>
      <c r="C157" s="26" t="str">
        <f t="shared" si="6"/>
        <v/>
      </c>
      <c r="D157" s="26" t="str">
        <f t="shared" si="7"/>
        <v/>
      </c>
      <c r="E157" s="26" t="str">
        <f t="shared" si="8"/>
        <v/>
      </c>
      <c r="F157" s="22"/>
      <c r="G157" s="22"/>
      <c r="H157" s="24"/>
      <c r="I157" s="22"/>
      <c r="J157" s="22"/>
    </row>
    <row r="158" spans="1:10" ht="15" x14ac:dyDescent="0.15">
      <c r="A158" s="29"/>
      <c r="B158" s="22"/>
      <c r="C158" s="26" t="str">
        <f t="shared" si="6"/>
        <v/>
      </c>
      <c r="D158" s="26" t="str">
        <f t="shared" si="7"/>
        <v/>
      </c>
      <c r="E158" s="26" t="str">
        <f t="shared" si="8"/>
        <v/>
      </c>
      <c r="F158" s="22"/>
      <c r="G158" s="22"/>
      <c r="H158" s="24"/>
      <c r="I158" s="22"/>
      <c r="J158" s="22"/>
    </row>
    <row r="159" spans="1:10" ht="15" x14ac:dyDescent="0.15">
      <c r="A159" s="29"/>
      <c r="B159" s="22"/>
      <c r="C159" s="26" t="str">
        <f t="shared" si="6"/>
        <v/>
      </c>
      <c r="D159" s="26" t="str">
        <f t="shared" si="7"/>
        <v/>
      </c>
      <c r="E159" s="26" t="str">
        <f t="shared" si="8"/>
        <v/>
      </c>
      <c r="F159" s="22"/>
      <c r="G159" s="22"/>
      <c r="H159" s="24"/>
      <c r="I159" s="22"/>
      <c r="J159" s="22"/>
    </row>
    <row r="160" spans="1:10" ht="15" x14ac:dyDescent="0.15">
      <c r="A160" s="29"/>
      <c r="B160" s="22"/>
      <c r="C160" s="26" t="str">
        <f t="shared" si="6"/>
        <v/>
      </c>
      <c r="D160" s="26" t="str">
        <f t="shared" si="7"/>
        <v/>
      </c>
      <c r="E160" s="26" t="str">
        <f t="shared" si="8"/>
        <v/>
      </c>
      <c r="F160" s="22"/>
      <c r="G160" s="22"/>
      <c r="H160" s="24"/>
      <c r="I160" s="22"/>
      <c r="J160" s="22"/>
    </row>
    <row r="161" spans="1:10" ht="15" x14ac:dyDescent="0.15">
      <c r="A161" s="29"/>
      <c r="B161" s="22"/>
      <c r="C161" s="26" t="str">
        <f t="shared" si="6"/>
        <v/>
      </c>
      <c r="D161" s="26" t="str">
        <f t="shared" si="7"/>
        <v/>
      </c>
      <c r="E161" s="26" t="str">
        <f t="shared" si="8"/>
        <v/>
      </c>
      <c r="F161" s="22"/>
      <c r="G161" s="22"/>
      <c r="H161" s="24"/>
      <c r="I161" s="22"/>
      <c r="J161" s="22"/>
    </row>
    <row r="162" spans="1:10" ht="15" x14ac:dyDescent="0.15">
      <c r="A162" s="29"/>
      <c r="B162" s="22"/>
      <c r="C162" s="26" t="str">
        <f t="shared" si="6"/>
        <v/>
      </c>
      <c r="D162" s="26" t="str">
        <f t="shared" si="7"/>
        <v/>
      </c>
      <c r="E162" s="26" t="str">
        <f t="shared" si="8"/>
        <v/>
      </c>
      <c r="F162" s="22"/>
      <c r="G162" s="22"/>
      <c r="H162" s="24"/>
      <c r="I162" s="22"/>
      <c r="J162" s="22"/>
    </row>
    <row r="163" spans="1:10" ht="15" x14ac:dyDescent="0.15">
      <c r="A163" s="29"/>
      <c r="B163" s="22"/>
      <c r="C163" s="26" t="str">
        <f t="shared" si="6"/>
        <v/>
      </c>
      <c r="D163" s="26" t="str">
        <f t="shared" si="7"/>
        <v/>
      </c>
      <c r="E163" s="26" t="str">
        <f t="shared" si="8"/>
        <v/>
      </c>
      <c r="F163" s="22"/>
      <c r="G163" s="22"/>
      <c r="H163" s="24"/>
      <c r="I163" s="22"/>
      <c r="J163" s="22"/>
    </row>
    <row r="164" spans="1:10" ht="15" x14ac:dyDescent="0.15">
      <c r="A164" s="29"/>
      <c r="B164" s="22"/>
      <c r="C164" s="26" t="str">
        <f t="shared" si="6"/>
        <v/>
      </c>
      <c r="D164" s="26" t="str">
        <f t="shared" si="7"/>
        <v/>
      </c>
      <c r="E164" s="26" t="str">
        <f t="shared" si="8"/>
        <v/>
      </c>
      <c r="F164" s="22"/>
      <c r="G164" s="22"/>
      <c r="H164" s="24"/>
      <c r="I164" s="22"/>
      <c r="J164" s="22"/>
    </row>
    <row r="165" spans="1:10" ht="15" x14ac:dyDescent="0.15">
      <c r="A165" s="29"/>
      <c r="B165" s="22"/>
      <c r="C165" s="26" t="str">
        <f t="shared" si="6"/>
        <v/>
      </c>
      <c r="D165" s="26" t="str">
        <f t="shared" si="7"/>
        <v/>
      </c>
      <c r="E165" s="26" t="str">
        <f t="shared" si="8"/>
        <v/>
      </c>
      <c r="F165" s="22"/>
      <c r="G165" s="22"/>
      <c r="H165" s="24"/>
      <c r="I165" s="22"/>
      <c r="J165" s="22"/>
    </row>
    <row r="166" spans="1:10" ht="15" x14ac:dyDescent="0.15">
      <c r="A166" s="29"/>
      <c r="B166" s="22"/>
      <c r="C166" s="26" t="str">
        <f t="shared" si="6"/>
        <v/>
      </c>
      <c r="D166" s="26" t="str">
        <f t="shared" si="7"/>
        <v/>
      </c>
      <c r="E166" s="26" t="str">
        <f t="shared" si="8"/>
        <v/>
      </c>
      <c r="F166" s="22"/>
      <c r="G166" s="22"/>
      <c r="H166" s="24"/>
      <c r="I166" s="22"/>
      <c r="J166" s="22"/>
    </row>
    <row r="167" spans="1:10" ht="15" x14ac:dyDescent="0.15">
      <c r="A167" s="29"/>
      <c r="B167" s="22"/>
      <c r="C167" s="26" t="str">
        <f t="shared" si="6"/>
        <v/>
      </c>
      <c r="D167" s="26" t="str">
        <f t="shared" si="7"/>
        <v/>
      </c>
      <c r="E167" s="26" t="str">
        <f t="shared" si="8"/>
        <v/>
      </c>
      <c r="F167" s="22"/>
      <c r="G167" s="22"/>
      <c r="H167" s="24"/>
      <c r="I167" s="22"/>
      <c r="J167" s="22"/>
    </row>
    <row r="168" spans="1:10" ht="15" x14ac:dyDescent="0.15">
      <c r="A168" s="29"/>
      <c r="B168" s="22"/>
      <c r="C168" s="26" t="str">
        <f t="shared" si="6"/>
        <v/>
      </c>
      <c r="D168" s="26" t="str">
        <f t="shared" si="7"/>
        <v/>
      </c>
      <c r="E168" s="26" t="str">
        <f t="shared" si="8"/>
        <v/>
      </c>
      <c r="F168" s="22"/>
      <c r="G168" s="22"/>
      <c r="H168" s="24"/>
      <c r="I168" s="22"/>
      <c r="J168" s="22"/>
    </row>
    <row r="169" spans="1:10" ht="15" x14ac:dyDescent="0.15">
      <c r="A169" s="29"/>
      <c r="B169" s="22"/>
      <c r="C169" s="26" t="str">
        <f t="shared" si="6"/>
        <v/>
      </c>
      <c r="D169" s="26" t="str">
        <f t="shared" si="7"/>
        <v/>
      </c>
      <c r="E169" s="26" t="str">
        <f t="shared" si="8"/>
        <v/>
      </c>
      <c r="F169" s="22"/>
      <c r="G169" s="22"/>
      <c r="H169" s="24"/>
      <c r="I169" s="22"/>
      <c r="J169" s="22"/>
    </row>
    <row r="170" spans="1:10" ht="15" x14ac:dyDescent="0.15">
      <c r="A170" s="29"/>
      <c r="B170" s="22"/>
      <c r="C170" s="26" t="str">
        <f t="shared" si="6"/>
        <v/>
      </c>
      <c r="D170" s="26" t="str">
        <f t="shared" si="7"/>
        <v/>
      </c>
      <c r="E170" s="26" t="str">
        <f t="shared" si="8"/>
        <v/>
      </c>
      <c r="F170" s="22"/>
      <c r="G170" s="22"/>
      <c r="H170" s="24"/>
      <c r="I170" s="22"/>
      <c r="J170" s="22"/>
    </row>
    <row r="171" spans="1:10" ht="15" x14ac:dyDescent="0.15">
      <c r="A171" s="29"/>
      <c r="B171" s="22"/>
      <c r="C171" s="26" t="str">
        <f t="shared" si="6"/>
        <v/>
      </c>
      <c r="D171" s="26" t="str">
        <f t="shared" si="7"/>
        <v/>
      </c>
      <c r="E171" s="26" t="str">
        <f t="shared" si="8"/>
        <v/>
      </c>
      <c r="F171" s="22"/>
      <c r="G171" s="22"/>
      <c r="H171" s="24"/>
      <c r="I171" s="22"/>
      <c r="J171" s="22"/>
    </row>
    <row r="172" spans="1:10" ht="15" x14ac:dyDescent="0.15">
      <c r="A172" s="29"/>
      <c r="B172" s="22"/>
      <c r="C172" s="26" t="str">
        <f t="shared" si="6"/>
        <v/>
      </c>
      <c r="D172" s="26" t="str">
        <f t="shared" si="7"/>
        <v/>
      </c>
      <c r="E172" s="26" t="str">
        <f t="shared" si="8"/>
        <v/>
      </c>
      <c r="F172" s="22"/>
      <c r="G172" s="22"/>
      <c r="H172" s="24"/>
      <c r="I172" s="22"/>
      <c r="J172" s="22"/>
    </row>
    <row r="173" spans="1:10" ht="15" x14ac:dyDescent="0.15">
      <c r="A173" s="29"/>
      <c r="B173" s="22"/>
      <c r="C173" s="26" t="str">
        <f t="shared" si="6"/>
        <v/>
      </c>
      <c r="D173" s="26" t="str">
        <f t="shared" si="7"/>
        <v/>
      </c>
      <c r="E173" s="26" t="str">
        <f t="shared" si="8"/>
        <v/>
      </c>
      <c r="F173" s="22"/>
      <c r="G173" s="22"/>
      <c r="H173" s="24"/>
      <c r="I173" s="22"/>
      <c r="J173" s="22"/>
    </row>
    <row r="174" spans="1:10" ht="15" x14ac:dyDescent="0.15">
      <c r="A174" s="29"/>
      <c r="B174" s="22"/>
      <c r="C174" s="26" t="str">
        <f t="shared" si="6"/>
        <v/>
      </c>
      <c r="D174" s="26" t="str">
        <f t="shared" si="7"/>
        <v/>
      </c>
      <c r="E174" s="26" t="str">
        <f t="shared" si="8"/>
        <v/>
      </c>
      <c r="F174" s="22"/>
      <c r="G174" s="22"/>
      <c r="H174" s="24"/>
      <c r="I174" s="22"/>
      <c r="J174" s="22"/>
    </row>
    <row r="175" spans="1:10" ht="15" x14ac:dyDescent="0.15">
      <c r="A175" s="29"/>
      <c r="B175" s="22"/>
      <c r="C175" s="26" t="str">
        <f t="shared" si="6"/>
        <v/>
      </c>
      <c r="D175" s="26" t="str">
        <f t="shared" si="7"/>
        <v/>
      </c>
      <c r="E175" s="26" t="str">
        <f t="shared" si="8"/>
        <v/>
      </c>
      <c r="F175" s="22"/>
      <c r="G175" s="22"/>
      <c r="H175" s="24"/>
      <c r="I175" s="22"/>
      <c r="J175" s="22"/>
    </row>
    <row r="176" spans="1:10" ht="15" x14ac:dyDescent="0.15">
      <c r="A176" s="29"/>
      <c r="B176" s="22"/>
      <c r="C176" s="26" t="str">
        <f t="shared" si="6"/>
        <v/>
      </c>
      <c r="D176" s="26" t="str">
        <f t="shared" si="7"/>
        <v/>
      </c>
      <c r="E176" s="26" t="str">
        <f t="shared" si="8"/>
        <v/>
      </c>
      <c r="F176" s="22"/>
      <c r="G176" s="22"/>
      <c r="H176" s="24"/>
      <c r="I176" s="22"/>
      <c r="J176" s="22"/>
    </row>
    <row r="177" spans="1:10" ht="15" x14ac:dyDescent="0.15">
      <c r="A177" s="29"/>
      <c r="B177" s="22"/>
      <c r="C177" s="26" t="str">
        <f t="shared" si="6"/>
        <v/>
      </c>
      <c r="D177" s="26" t="str">
        <f t="shared" si="7"/>
        <v/>
      </c>
      <c r="E177" s="26" t="str">
        <f t="shared" si="8"/>
        <v/>
      </c>
      <c r="F177" s="22"/>
      <c r="G177" s="22"/>
      <c r="H177" s="24"/>
      <c r="I177" s="22"/>
      <c r="J177" s="22"/>
    </row>
    <row r="178" spans="1:10" ht="15" x14ac:dyDescent="0.15">
      <c r="A178" s="29"/>
      <c r="B178" s="22"/>
      <c r="C178" s="26" t="str">
        <f t="shared" si="6"/>
        <v/>
      </c>
      <c r="D178" s="26" t="str">
        <f t="shared" si="7"/>
        <v/>
      </c>
      <c r="E178" s="26" t="str">
        <f t="shared" si="8"/>
        <v/>
      </c>
      <c r="F178" s="22"/>
      <c r="G178" s="22"/>
      <c r="H178" s="24"/>
      <c r="I178" s="22"/>
      <c r="J178" s="22"/>
    </row>
    <row r="179" spans="1:10" ht="15" x14ac:dyDescent="0.15">
      <c r="A179" s="29"/>
      <c r="B179" s="22"/>
      <c r="C179" s="26" t="str">
        <f t="shared" si="6"/>
        <v/>
      </c>
      <c r="D179" s="26" t="str">
        <f t="shared" si="7"/>
        <v/>
      </c>
      <c r="E179" s="26" t="str">
        <f t="shared" si="8"/>
        <v/>
      </c>
      <c r="F179" s="22"/>
      <c r="G179" s="22"/>
      <c r="H179" s="24"/>
      <c r="I179" s="22"/>
      <c r="J179" s="22"/>
    </row>
    <row r="180" spans="1:10" ht="15" x14ac:dyDescent="0.15">
      <c r="A180" s="29"/>
      <c r="B180" s="22"/>
      <c r="C180" s="26" t="str">
        <f t="shared" si="6"/>
        <v/>
      </c>
      <c r="D180" s="26" t="str">
        <f t="shared" si="7"/>
        <v/>
      </c>
      <c r="E180" s="26" t="str">
        <f t="shared" si="8"/>
        <v/>
      </c>
      <c r="F180" s="22"/>
      <c r="G180" s="22"/>
      <c r="H180" s="24"/>
      <c r="I180" s="22"/>
      <c r="J180" s="22"/>
    </row>
    <row r="181" spans="1:10" ht="15" x14ac:dyDescent="0.15">
      <c r="A181" s="29"/>
      <c r="B181" s="22"/>
      <c r="C181" s="26" t="str">
        <f t="shared" si="6"/>
        <v/>
      </c>
      <c r="D181" s="26" t="str">
        <f t="shared" si="7"/>
        <v/>
      </c>
      <c r="E181" s="26" t="str">
        <f t="shared" si="8"/>
        <v/>
      </c>
      <c r="F181" s="22"/>
      <c r="G181" s="22"/>
      <c r="H181" s="24"/>
      <c r="I181" s="22"/>
      <c r="J181" s="22"/>
    </row>
    <row r="182" spans="1:10" ht="15" x14ac:dyDescent="0.15">
      <c r="A182" s="29"/>
      <c r="B182" s="22"/>
      <c r="C182" s="26" t="str">
        <f t="shared" si="6"/>
        <v/>
      </c>
      <c r="D182" s="26" t="str">
        <f t="shared" si="7"/>
        <v/>
      </c>
      <c r="E182" s="26" t="str">
        <f t="shared" si="8"/>
        <v/>
      </c>
      <c r="F182" s="22"/>
      <c r="G182" s="22"/>
      <c r="H182" s="24"/>
      <c r="I182" s="22"/>
      <c r="J182" s="22"/>
    </row>
    <row r="183" spans="1:10" ht="15" x14ac:dyDescent="0.15">
      <c r="A183" s="29"/>
      <c r="B183" s="22"/>
      <c r="C183" s="26" t="str">
        <f t="shared" si="6"/>
        <v/>
      </c>
      <c r="D183" s="26" t="str">
        <f t="shared" si="7"/>
        <v/>
      </c>
      <c r="E183" s="26" t="str">
        <f t="shared" si="8"/>
        <v/>
      </c>
      <c r="F183" s="22"/>
      <c r="G183" s="22"/>
      <c r="H183" s="24"/>
      <c r="I183" s="22"/>
      <c r="J183" s="22"/>
    </row>
    <row r="184" spans="1:10" ht="15" x14ac:dyDescent="0.15">
      <c r="A184" s="29"/>
      <c r="B184" s="22"/>
      <c r="C184" s="26" t="str">
        <f t="shared" si="6"/>
        <v/>
      </c>
      <c r="D184" s="26" t="str">
        <f t="shared" si="7"/>
        <v/>
      </c>
      <c r="E184" s="26" t="str">
        <f t="shared" si="8"/>
        <v/>
      </c>
      <c r="F184" s="22"/>
      <c r="G184" s="22"/>
      <c r="H184" s="24"/>
      <c r="I184" s="22"/>
      <c r="J184" s="22"/>
    </row>
    <row r="185" spans="1:10" ht="15" x14ac:dyDescent="0.15">
      <c r="A185" s="29"/>
      <c r="B185" s="22"/>
      <c r="C185" s="26" t="str">
        <f t="shared" si="6"/>
        <v/>
      </c>
      <c r="D185" s="26" t="str">
        <f t="shared" si="7"/>
        <v/>
      </c>
      <c r="E185" s="26" t="str">
        <f t="shared" si="8"/>
        <v/>
      </c>
      <c r="F185" s="22"/>
      <c r="G185" s="22"/>
      <c r="H185" s="24"/>
      <c r="I185" s="22"/>
      <c r="J185" s="22"/>
    </row>
    <row r="186" spans="1:10" ht="15" x14ac:dyDescent="0.15">
      <c r="A186" s="29"/>
      <c r="B186" s="22"/>
      <c r="C186" s="26" t="str">
        <f t="shared" si="6"/>
        <v/>
      </c>
      <c r="D186" s="26" t="str">
        <f t="shared" si="7"/>
        <v/>
      </c>
      <c r="E186" s="26" t="str">
        <f t="shared" si="8"/>
        <v/>
      </c>
      <c r="F186" s="22"/>
      <c r="G186" s="22"/>
      <c r="H186" s="24"/>
      <c r="I186" s="22"/>
      <c r="J186" s="22"/>
    </row>
    <row r="187" spans="1:10" ht="15" x14ac:dyDescent="0.15">
      <c r="A187" s="29"/>
      <c r="B187" s="22"/>
      <c r="C187" s="26" t="str">
        <f t="shared" si="6"/>
        <v/>
      </c>
      <c r="D187" s="26" t="str">
        <f t="shared" si="7"/>
        <v/>
      </c>
      <c r="E187" s="26" t="str">
        <f t="shared" si="8"/>
        <v/>
      </c>
      <c r="F187" s="22"/>
      <c r="G187" s="22"/>
      <c r="H187" s="24"/>
      <c r="I187" s="22"/>
      <c r="J187" s="22"/>
    </row>
    <row r="188" spans="1:10" ht="15" x14ac:dyDescent="0.15">
      <c r="A188" s="29"/>
      <c r="B188" s="22"/>
      <c r="C188" s="26" t="str">
        <f t="shared" si="6"/>
        <v/>
      </c>
      <c r="D188" s="26" t="str">
        <f t="shared" si="7"/>
        <v/>
      </c>
      <c r="E188" s="26" t="str">
        <f t="shared" si="8"/>
        <v/>
      </c>
      <c r="F188" s="22"/>
      <c r="G188" s="22"/>
      <c r="H188" s="24"/>
      <c r="I188" s="22"/>
      <c r="J188" s="22"/>
    </row>
    <row r="189" spans="1:10" ht="15" x14ac:dyDescent="0.15">
      <c r="A189" s="29"/>
      <c r="B189" s="22"/>
      <c r="C189" s="26" t="str">
        <f t="shared" si="6"/>
        <v/>
      </c>
      <c r="D189" s="26" t="str">
        <f t="shared" si="7"/>
        <v/>
      </c>
      <c r="E189" s="26" t="str">
        <f t="shared" si="8"/>
        <v/>
      </c>
      <c r="F189" s="22"/>
      <c r="G189" s="22"/>
      <c r="H189" s="24"/>
      <c r="I189" s="22"/>
      <c r="J189" s="22"/>
    </row>
    <row r="190" spans="1:10" ht="15" x14ac:dyDescent="0.15">
      <c r="A190" s="29"/>
      <c r="B190" s="22"/>
      <c r="C190" s="26" t="str">
        <f t="shared" si="6"/>
        <v/>
      </c>
      <c r="D190" s="26" t="str">
        <f t="shared" si="7"/>
        <v/>
      </c>
      <c r="E190" s="26" t="str">
        <f t="shared" si="8"/>
        <v/>
      </c>
      <c r="F190" s="22"/>
      <c r="G190" s="22"/>
      <c r="H190" s="24"/>
      <c r="I190" s="22"/>
      <c r="J190" s="22"/>
    </row>
    <row r="191" spans="1:10" ht="15" x14ac:dyDescent="0.15">
      <c r="A191" s="29"/>
      <c r="B191" s="22"/>
      <c r="C191" s="26" t="str">
        <f t="shared" si="6"/>
        <v/>
      </c>
      <c r="D191" s="26" t="str">
        <f t="shared" si="7"/>
        <v/>
      </c>
      <c r="E191" s="26" t="str">
        <f t="shared" si="8"/>
        <v/>
      </c>
      <c r="F191" s="22"/>
      <c r="G191" s="22"/>
      <c r="H191" s="24"/>
      <c r="I191" s="22"/>
      <c r="J191" s="22"/>
    </row>
    <row r="192" spans="1:10" ht="15" x14ac:dyDescent="0.15">
      <c r="A192" s="29"/>
      <c r="B192" s="22"/>
      <c r="C192" s="26" t="str">
        <f t="shared" si="6"/>
        <v/>
      </c>
      <c r="D192" s="26" t="str">
        <f t="shared" si="7"/>
        <v/>
      </c>
      <c r="E192" s="26" t="str">
        <f t="shared" si="8"/>
        <v/>
      </c>
      <c r="F192" s="22"/>
      <c r="G192" s="22"/>
      <c r="H192" s="24"/>
      <c r="I192" s="22"/>
      <c r="J192" s="22"/>
    </row>
    <row r="193" spans="1:10" ht="15" x14ac:dyDescent="0.15">
      <c r="A193" s="29"/>
      <c r="B193" s="22"/>
      <c r="C193" s="26" t="str">
        <f t="shared" si="6"/>
        <v/>
      </c>
      <c r="D193" s="26" t="str">
        <f t="shared" si="7"/>
        <v/>
      </c>
      <c r="E193" s="26" t="str">
        <f t="shared" si="8"/>
        <v/>
      </c>
      <c r="F193" s="22"/>
      <c r="G193" s="22"/>
      <c r="H193" s="24"/>
      <c r="I193" s="22"/>
      <c r="J193" s="22"/>
    </row>
    <row r="194" spans="1:10" ht="15" x14ac:dyDescent="0.15">
      <c r="A194" s="29"/>
      <c r="B194" s="22"/>
      <c r="C194" s="26" t="str">
        <f t="shared" si="6"/>
        <v/>
      </c>
      <c r="D194" s="26" t="str">
        <f t="shared" si="7"/>
        <v/>
      </c>
      <c r="E194" s="26" t="str">
        <f t="shared" si="8"/>
        <v/>
      </c>
      <c r="F194" s="22"/>
      <c r="G194" s="22"/>
      <c r="H194" s="24"/>
      <c r="I194" s="22"/>
      <c r="J194" s="22"/>
    </row>
    <row r="195" spans="1:10" ht="15" x14ac:dyDescent="0.15">
      <c r="A195" s="29"/>
      <c r="B195" s="22"/>
      <c r="C195" s="26" t="str">
        <f t="shared" si="6"/>
        <v/>
      </c>
      <c r="D195" s="26" t="str">
        <f t="shared" si="7"/>
        <v/>
      </c>
      <c r="E195" s="26" t="str">
        <f t="shared" si="8"/>
        <v/>
      </c>
      <c r="F195" s="22"/>
      <c r="G195" s="22"/>
      <c r="H195" s="24"/>
      <c r="I195" s="22"/>
      <c r="J195" s="22"/>
    </row>
    <row r="196" spans="1:10" ht="15" x14ac:dyDescent="0.15">
      <c r="A196" s="29"/>
      <c r="B196" s="22"/>
      <c r="C196" s="26" t="str">
        <f t="shared" si="6"/>
        <v/>
      </c>
      <c r="D196" s="26" t="str">
        <f t="shared" si="7"/>
        <v/>
      </c>
      <c r="E196" s="26" t="str">
        <f t="shared" si="8"/>
        <v/>
      </c>
      <c r="F196" s="22"/>
      <c r="G196" s="22"/>
      <c r="H196" s="24"/>
      <c r="I196" s="22"/>
      <c r="J196" s="22"/>
    </row>
    <row r="197" spans="1:10" ht="15" x14ac:dyDescent="0.15">
      <c r="A197" s="29"/>
      <c r="B197" s="22"/>
      <c r="C197" s="26" t="str">
        <f t="shared" si="6"/>
        <v/>
      </c>
      <c r="D197" s="26" t="str">
        <f t="shared" si="7"/>
        <v/>
      </c>
      <c r="E197" s="26" t="str">
        <f t="shared" si="8"/>
        <v/>
      </c>
      <c r="F197" s="22"/>
      <c r="G197" s="22"/>
      <c r="H197" s="24"/>
      <c r="I197" s="22"/>
      <c r="J197" s="22"/>
    </row>
    <row r="198" spans="1:10" ht="15" x14ac:dyDescent="0.15">
      <c r="A198" s="29"/>
      <c r="B198" s="22"/>
      <c r="C198" s="26" t="str">
        <f t="shared" ref="C198:C261" si="9">IFERROR(IF($B198="","",LEFT($B198,FIND(" | ",$B198)-1)),"")</f>
        <v/>
      </c>
      <c r="D198" s="26" t="str">
        <f t="shared" ref="D198:D261" si="10">IFERROR(IF($B198="","",MID($B198,FIND(" | ",$B198)+3,FIND(" | ",$B198,FIND(" | ",$B198)+3)-FIND(" | ",$B198)-3)),"")</f>
        <v/>
      </c>
      <c r="E198" s="26" t="str">
        <f t="shared" ref="E198:E261" si="11">IFERROR(IF($B198="","",RIGHT($B198,LEN($B198)-FIND(" | ",$B198,FIND(" | ",$B198)+3)-2)),"")</f>
        <v/>
      </c>
      <c r="F198" s="22"/>
      <c r="G198" s="22"/>
      <c r="H198" s="24"/>
      <c r="I198" s="22"/>
      <c r="J198" s="22"/>
    </row>
    <row r="199" spans="1:10" ht="15" x14ac:dyDescent="0.15">
      <c r="A199" s="29"/>
      <c r="B199" s="22"/>
      <c r="C199" s="26" t="str">
        <f t="shared" si="9"/>
        <v/>
      </c>
      <c r="D199" s="26" t="str">
        <f t="shared" si="10"/>
        <v/>
      </c>
      <c r="E199" s="26" t="str">
        <f t="shared" si="11"/>
        <v/>
      </c>
      <c r="F199" s="22"/>
      <c r="G199" s="22"/>
      <c r="H199" s="24"/>
      <c r="I199" s="22"/>
      <c r="J199" s="22"/>
    </row>
    <row r="200" spans="1:10" ht="15" x14ac:dyDescent="0.15">
      <c r="A200" s="29"/>
      <c r="B200" s="22"/>
      <c r="C200" s="26" t="str">
        <f t="shared" si="9"/>
        <v/>
      </c>
      <c r="D200" s="26" t="str">
        <f t="shared" si="10"/>
        <v/>
      </c>
      <c r="E200" s="26" t="str">
        <f t="shared" si="11"/>
        <v/>
      </c>
      <c r="F200" s="22"/>
      <c r="G200" s="22"/>
      <c r="H200" s="24"/>
      <c r="I200" s="22"/>
      <c r="J200" s="22"/>
    </row>
    <row r="201" spans="1:10" ht="15" x14ac:dyDescent="0.15">
      <c r="A201" s="29"/>
      <c r="B201" s="22"/>
      <c r="C201" s="26" t="str">
        <f t="shared" si="9"/>
        <v/>
      </c>
      <c r="D201" s="26" t="str">
        <f t="shared" si="10"/>
        <v/>
      </c>
      <c r="E201" s="26" t="str">
        <f t="shared" si="11"/>
        <v/>
      </c>
      <c r="F201" s="22"/>
      <c r="G201" s="22"/>
      <c r="H201" s="24"/>
      <c r="I201" s="22"/>
      <c r="J201" s="22"/>
    </row>
    <row r="202" spans="1:10" ht="15" x14ac:dyDescent="0.15">
      <c r="A202" s="29"/>
      <c r="B202" s="22"/>
      <c r="C202" s="26" t="str">
        <f t="shared" si="9"/>
        <v/>
      </c>
      <c r="D202" s="26" t="str">
        <f t="shared" si="10"/>
        <v/>
      </c>
      <c r="E202" s="26" t="str">
        <f t="shared" si="11"/>
        <v/>
      </c>
      <c r="F202" s="22"/>
      <c r="G202" s="22"/>
      <c r="H202" s="24"/>
      <c r="I202" s="22"/>
      <c r="J202" s="22"/>
    </row>
    <row r="203" spans="1:10" ht="15" x14ac:dyDescent="0.15">
      <c r="A203" s="29"/>
      <c r="B203" s="22"/>
      <c r="C203" s="26" t="str">
        <f t="shared" si="9"/>
        <v/>
      </c>
      <c r="D203" s="26" t="str">
        <f t="shared" si="10"/>
        <v/>
      </c>
      <c r="E203" s="26" t="str">
        <f t="shared" si="11"/>
        <v/>
      </c>
      <c r="F203" s="22"/>
      <c r="G203" s="22"/>
      <c r="H203" s="24"/>
      <c r="I203" s="22"/>
      <c r="J203" s="22"/>
    </row>
    <row r="204" spans="1:10" ht="15" x14ac:dyDescent="0.15">
      <c r="A204" s="29"/>
      <c r="B204" s="22"/>
      <c r="C204" s="26" t="str">
        <f t="shared" si="9"/>
        <v/>
      </c>
      <c r="D204" s="26" t="str">
        <f t="shared" si="10"/>
        <v/>
      </c>
      <c r="E204" s="26" t="str">
        <f t="shared" si="11"/>
        <v/>
      </c>
      <c r="F204" s="22"/>
      <c r="G204" s="22"/>
      <c r="H204" s="24"/>
      <c r="I204" s="22"/>
      <c r="J204" s="22"/>
    </row>
    <row r="205" spans="1:10" ht="15" x14ac:dyDescent="0.15">
      <c r="A205" s="29"/>
      <c r="B205" s="22"/>
      <c r="C205" s="26" t="str">
        <f t="shared" si="9"/>
        <v/>
      </c>
      <c r="D205" s="26" t="str">
        <f t="shared" si="10"/>
        <v/>
      </c>
      <c r="E205" s="26" t="str">
        <f t="shared" si="11"/>
        <v/>
      </c>
      <c r="F205" s="22"/>
      <c r="G205" s="22"/>
      <c r="H205" s="24"/>
      <c r="I205" s="22"/>
      <c r="J205" s="22"/>
    </row>
    <row r="206" spans="1:10" ht="15" x14ac:dyDescent="0.15">
      <c r="A206" s="29"/>
      <c r="B206" s="22"/>
      <c r="C206" s="26" t="str">
        <f t="shared" si="9"/>
        <v/>
      </c>
      <c r="D206" s="26" t="str">
        <f t="shared" si="10"/>
        <v/>
      </c>
      <c r="E206" s="26" t="str">
        <f t="shared" si="11"/>
        <v/>
      </c>
      <c r="F206" s="22"/>
      <c r="G206" s="22"/>
      <c r="H206" s="24"/>
      <c r="I206" s="22"/>
      <c r="J206" s="22"/>
    </row>
    <row r="207" spans="1:10" ht="15" x14ac:dyDescent="0.15">
      <c r="A207" s="29"/>
      <c r="B207" s="22"/>
      <c r="C207" s="26" t="str">
        <f t="shared" si="9"/>
        <v/>
      </c>
      <c r="D207" s="26" t="str">
        <f t="shared" si="10"/>
        <v/>
      </c>
      <c r="E207" s="26" t="str">
        <f t="shared" si="11"/>
        <v/>
      </c>
      <c r="F207" s="22"/>
      <c r="G207" s="22"/>
      <c r="H207" s="24"/>
      <c r="I207" s="22"/>
      <c r="J207" s="22"/>
    </row>
    <row r="208" spans="1:10" ht="15" x14ac:dyDescent="0.15">
      <c r="A208" s="29"/>
      <c r="B208" s="22"/>
      <c r="C208" s="26" t="str">
        <f t="shared" si="9"/>
        <v/>
      </c>
      <c r="D208" s="26" t="str">
        <f t="shared" si="10"/>
        <v/>
      </c>
      <c r="E208" s="26" t="str">
        <f t="shared" si="11"/>
        <v/>
      </c>
      <c r="F208" s="22"/>
      <c r="G208" s="22"/>
      <c r="H208" s="24"/>
      <c r="I208" s="22"/>
      <c r="J208" s="22"/>
    </row>
    <row r="209" spans="1:10" ht="15" x14ac:dyDescent="0.15">
      <c r="A209" s="29"/>
      <c r="B209" s="22"/>
      <c r="C209" s="26" t="str">
        <f t="shared" si="9"/>
        <v/>
      </c>
      <c r="D209" s="26" t="str">
        <f t="shared" si="10"/>
        <v/>
      </c>
      <c r="E209" s="26" t="str">
        <f t="shared" si="11"/>
        <v/>
      </c>
      <c r="F209" s="22"/>
      <c r="G209" s="22"/>
      <c r="H209" s="24"/>
      <c r="I209" s="22"/>
      <c r="J209" s="22"/>
    </row>
    <row r="210" spans="1:10" ht="15" x14ac:dyDescent="0.15">
      <c r="A210" s="29"/>
      <c r="B210" s="22"/>
      <c r="C210" s="26" t="str">
        <f t="shared" si="9"/>
        <v/>
      </c>
      <c r="D210" s="26" t="str">
        <f t="shared" si="10"/>
        <v/>
      </c>
      <c r="E210" s="26" t="str">
        <f t="shared" si="11"/>
        <v/>
      </c>
      <c r="F210" s="22"/>
      <c r="G210" s="22"/>
      <c r="H210" s="24"/>
      <c r="I210" s="22"/>
      <c r="J210" s="22"/>
    </row>
    <row r="211" spans="1:10" ht="15" x14ac:dyDescent="0.15">
      <c r="A211" s="29"/>
      <c r="B211" s="22"/>
      <c r="C211" s="26" t="str">
        <f t="shared" si="9"/>
        <v/>
      </c>
      <c r="D211" s="26" t="str">
        <f t="shared" si="10"/>
        <v/>
      </c>
      <c r="E211" s="26" t="str">
        <f t="shared" si="11"/>
        <v/>
      </c>
      <c r="F211" s="22"/>
      <c r="G211" s="22"/>
      <c r="H211" s="24"/>
      <c r="I211" s="22"/>
      <c r="J211" s="22"/>
    </row>
    <row r="212" spans="1:10" ht="15" x14ac:dyDescent="0.15">
      <c r="A212" s="29"/>
      <c r="B212" s="22"/>
      <c r="C212" s="26" t="str">
        <f t="shared" si="9"/>
        <v/>
      </c>
      <c r="D212" s="26" t="str">
        <f t="shared" si="10"/>
        <v/>
      </c>
      <c r="E212" s="26" t="str">
        <f t="shared" si="11"/>
        <v/>
      </c>
      <c r="F212" s="22"/>
      <c r="G212" s="22"/>
      <c r="H212" s="24"/>
      <c r="I212" s="22"/>
      <c r="J212" s="22"/>
    </row>
    <row r="213" spans="1:10" ht="15" x14ac:dyDescent="0.15">
      <c r="A213" s="29"/>
      <c r="B213" s="22"/>
      <c r="C213" s="26" t="str">
        <f t="shared" si="9"/>
        <v/>
      </c>
      <c r="D213" s="26" t="str">
        <f t="shared" si="10"/>
        <v/>
      </c>
      <c r="E213" s="26" t="str">
        <f t="shared" si="11"/>
        <v/>
      </c>
      <c r="F213" s="22"/>
      <c r="G213" s="22"/>
      <c r="H213" s="24"/>
      <c r="I213" s="22"/>
      <c r="J213" s="22"/>
    </row>
    <row r="214" spans="1:10" ht="15" x14ac:dyDescent="0.15">
      <c r="A214" s="29"/>
      <c r="B214" s="22"/>
      <c r="C214" s="26" t="str">
        <f t="shared" si="9"/>
        <v/>
      </c>
      <c r="D214" s="26" t="str">
        <f t="shared" si="10"/>
        <v/>
      </c>
      <c r="E214" s="26" t="str">
        <f t="shared" si="11"/>
        <v/>
      </c>
      <c r="F214" s="22"/>
      <c r="G214" s="22"/>
      <c r="H214" s="24"/>
      <c r="I214" s="22"/>
      <c r="J214" s="22"/>
    </row>
    <row r="215" spans="1:10" ht="15" x14ac:dyDescent="0.15">
      <c r="A215" s="29"/>
      <c r="B215" s="22"/>
      <c r="C215" s="26" t="str">
        <f t="shared" si="9"/>
        <v/>
      </c>
      <c r="D215" s="26" t="str">
        <f t="shared" si="10"/>
        <v/>
      </c>
      <c r="E215" s="26" t="str">
        <f t="shared" si="11"/>
        <v/>
      </c>
      <c r="F215" s="22"/>
      <c r="G215" s="22"/>
      <c r="H215" s="24"/>
      <c r="I215" s="22"/>
      <c r="J215" s="22"/>
    </row>
    <row r="216" spans="1:10" ht="15" x14ac:dyDescent="0.15">
      <c r="A216" s="29"/>
      <c r="B216" s="22"/>
      <c r="C216" s="26" t="str">
        <f t="shared" si="9"/>
        <v/>
      </c>
      <c r="D216" s="26" t="str">
        <f t="shared" si="10"/>
        <v/>
      </c>
      <c r="E216" s="26" t="str">
        <f t="shared" si="11"/>
        <v/>
      </c>
      <c r="F216" s="22"/>
      <c r="G216" s="22"/>
      <c r="H216" s="24"/>
      <c r="I216" s="22"/>
      <c r="J216" s="22"/>
    </row>
    <row r="217" spans="1:10" ht="15" x14ac:dyDescent="0.15">
      <c r="A217" s="29"/>
      <c r="B217" s="22"/>
      <c r="C217" s="26" t="str">
        <f t="shared" si="9"/>
        <v/>
      </c>
      <c r="D217" s="26" t="str">
        <f t="shared" si="10"/>
        <v/>
      </c>
      <c r="E217" s="26" t="str">
        <f t="shared" si="11"/>
        <v/>
      </c>
      <c r="F217" s="22"/>
      <c r="G217" s="22"/>
      <c r="H217" s="24"/>
      <c r="I217" s="22"/>
      <c r="J217" s="22"/>
    </row>
    <row r="218" spans="1:10" ht="15" x14ac:dyDescent="0.15">
      <c r="A218" s="29"/>
      <c r="B218" s="22"/>
      <c r="C218" s="26" t="str">
        <f t="shared" si="9"/>
        <v/>
      </c>
      <c r="D218" s="26" t="str">
        <f t="shared" si="10"/>
        <v/>
      </c>
      <c r="E218" s="26" t="str">
        <f t="shared" si="11"/>
        <v/>
      </c>
      <c r="F218" s="22"/>
      <c r="G218" s="22"/>
      <c r="H218" s="24"/>
      <c r="I218" s="22"/>
      <c r="J218" s="22"/>
    </row>
    <row r="219" spans="1:10" ht="15" x14ac:dyDescent="0.15">
      <c r="A219" s="29"/>
      <c r="B219" s="22"/>
      <c r="C219" s="26" t="str">
        <f t="shared" si="9"/>
        <v/>
      </c>
      <c r="D219" s="26" t="str">
        <f t="shared" si="10"/>
        <v/>
      </c>
      <c r="E219" s="26" t="str">
        <f t="shared" si="11"/>
        <v/>
      </c>
      <c r="F219" s="22"/>
      <c r="G219" s="22"/>
      <c r="H219" s="24"/>
      <c r="I219" s="22"/>
      <c r="J219" s="22"/>
    </row>
    <row r="220" spans="1:10" ht="15" x14ac:dyDescent="0.15">
      <c r="A220" s="29"/>
      <c r="B220" s="22"/>
      <c r="C220" s="26" t="str">
        <f t="shared" si="9"/>
        <v/>
      </c>
      <c r="D220" s="26" t="str">
        <f t="shared" si="10"/>
        <v/>
      </c>
      <c r="E220" s="26" t="str">
        <f t="shared" si="11"/>
        <v/>
      </c>
      <c r="F220" s="22"/>
      <c r="G220" s="22"/>
      <c r="H220" s="24"/>
      <c r="I220" s="22"/>
      <c r="J220" s="22"/>
    </row>
    <row r="221" spans="1:10" ht="15" x14ac:dyDescent="0.15">
      <c r="A221" s="29"/>
      <c r="B221" s="22"/>
      <c r="C221" s="26" t="str">
        <f t="shared" si="9"/>
        <v/>
      </c>
      <c r="D221" s="26" t="str">
        <f t="shared" si="10"/>
        <v/>
      </c>
      <c r="E221" s="26" t="str">
        <f t="shared" si="11"/>
        <v/>
      </c>
      <c r="F221" s="22"/>
      <c r="G221" s="22"/>
      <c r="H221" s="24"/>
      <c r="I221" s="22"/>
      <c r="J221" s="22"/>
    </row>
    <row r="222" spans="1:10" ht="15" x14ac:dyDescent="0.15">
      <c r="A222" s="29"/>
      <c r="B222" s="22"/>
      <c r="C222" s="26" t="str">
        <f t="shared" si="9"/>
        <v/>
      </c>
      <c r="D222" s="26" t="str">
        <f t="shared" si="10"/>
        <v/>
      </c>
      <c r="E222" s="26" t="str">
        <f t="shared" si="11"/>
        <v/>
      </c>
      <c r="F222" s="22"/>
      <c r="G222" s="22"/>
      <c r="H222" s="24"/>
      <c r="I222" s="22"/>
      <c r="J222" s="22"/>
    </row>
    <row r="223" spans="1:10" ht="15" x14ac:dyDescent="0.15">
      <c r="A223" s="29"/>
      <c r="B223" s="22"/>
      <c r="C223" s="26" t="str">
        <f t="shared" si="9"/>
        <v/>
      </c>
      <c r="D223" s="26" t="str">
        <f t="shared" si="10"/>
        <v/>
      </c>
      <c r="E223" s="26" t="str">
        <f t="shared" si="11"/>
        <v/>
      </c>
      <c r="F223" s="22"/>
      <c r="G223" s="22"/>
      <c r="H223" s="24"/>
      <c r="I223" s="22"/>
      <c r="J223" s="22"/>
    </row>
    <row r="224" spans="1:10" ht="15" x14ac:dyDescent="0.15">
      <c r="A224" s="29"/>
      <c r="B224" s="22"/>
      <c r="C224" s="26" t="str">
        <f t="shared" si="9"/>
        <v/>
      </c>
      <c r="D224" s="26" t="str">
        <f t="shared" si="10"/>
        <v/>
      </c>
      <c r="E224" s="26" t="str">
        <f t="shared" si="11"/>
        <v/>
      </c>
      <c r="F224" s="22"/>
      <c r="G224" s="22"/>
      <c r="H224" s="24"/>
      <c r="I224" s="22"/>
      <c r="J224" s="22"/>
    </row>
    <row r="225" spans="1:10" ht="15" x14ac:dyDescent="0.15">
      <c r="A225" s="29"/>
      <c r="B225" s="22"/>
      <c r="C225" s="26" t="str">
        <f t="shared" si="9"/>
        <v/>
      </c>
      <c r="D225" s="26" t="str">
        <f t="shared" si="10"/>
        <v/>
      </c>
      <c r="E225" s="26" t="str">
        <f t="shared" si="11"/>
        <v/>
      </c>
      <c r="F225" s="22"/>
      <c r="G225" s="22"/>
      <c r="H225" s="24"/>
      <c r="I225" s="22"/>
      <c r="J225" s="22"/>
    </row>
    <row r="226" spans="1:10" ht="15" x14ac:dyDescent="0.15">
      <c r="A226" s="29"/>
      <c r="B226" s="22"/>
      <c r="C226" s="26" t="str">
        <f t="shared" si="9"/>
        <v/>
      </c>
      <c r="D226" s="26" t="str">
        <f t="shared" si="10"/>
        <v/>
      </c>
      <c r="E226" s="26" t="str">
        <f t="shared" si="11"/>
        <v/>
      </c>
      <c r="F226" s="22"/>
      <c r="G226" s="22"/>
      <c r="H226" s="24"/>
      <c r="I226" s="22"/>
      <c r="J226" s="22"/>
    </row>
    <row r="227" spans="1:10" ht="15" x14ac:dyDescent="0.15">
      <c r="A227" s="29"/>
      <c r="B227" s="22"/>
      <c r="C227" s="26" t="str">
        <f t="shared" si="9"/>
        <v/>
      </c>
      <c r="D227" s="26" t="str">
        <f t="shared" si="10"/>
        <v/>
      </c>
      <c r="E227" s="26" t="str">
        <f t="shared" si="11"/>
        <v/>
      </c>
      <c r="F227" s="22"/>
      <c r="G227" s="22"/>
      <c r="H227" s="24"/>
      <c r="I227" s="22"/>
      <c r="J227" s="22"/>
    </row>
    <row r="228" spans="1:10" ht="15" x14ac:dyDescent="0.15">
      <c r="A228" s="29"/>
      <c r="B228" s="22"/>
      <c r="C228" s="26" t="str">
        <f t="shared" si="9"/>
        <v/>
      </c>
      <c r="D228" s="26" t="str">
        <f t="shared" si="10"/>
        <v/>
      </c>
      <c r="E228" s="26" t="str">
        <f t="shared" si="11"/>
        <v/>
      </c>
      <c r="F228" s="22"/>
      <c r="G228" s="22"/>
      <c r="H228" s="24"/>
      <c r="I228" s="22"/>
      <c r="J228" s="22"/>
    </row>
    <row r="229" spans="1:10" ht="15" x14ac:dyDescent="0.15">
      <c r="A229" s="29"/>
      <c r="B229" s="22"/>
      <c r="C229" s="26" t="str">
        <f t="shared" si="9"/>
        <v/>
      </c>
      <c r="D229" s="26" t="str">
        <f t="shared" si="10"/>
        <v/>
      </c>
      <c r="E229" s="26" t="str">
        <f t="shared" si="11"/>
        <v/>
      </c>
      <c r="F229" s="22"/>
      <c r="G229" s="22"/>
      <c r="H229" s="24"/>
      <c r="I229" s="22"/>
      <c r="J229" s="22"/>
    </row>
    <row r="230" spans="1:10" ht="15" x14ac:dyDescent="0.15">
      <c r="A230" s="29"/>
      <c r="B230" s="22"/>
      <c r="C230" s="26" t="str">
        <f t="shared" si="9"/>
        <v/>
      </c>
      <c r="D230" s="26" t="str">
        <f t="shared" si="10"/>
        <v/>
      </c>
      <c r="E230" s="26" t="str">
        <f t="shared" si="11"/>
        <v/>
      </c>
      <c r="F230" s="22"/>
      <c r="G230" s="22"/>
      <c r="H230" s="24"/>
      <c r="I230" s="22"/>
      <c r="J230" s="22"/>
    </row>
    <row r="231" spans="1:10" ht="15" x14ac:dyDescent="0.15">
      <c r="A231" s="29"/>
      <c r="B231" s="22"/>
      <c r="C231" s="26" t="str">
        <f t="shared" si="9"/>
        <v/>
      </c>
      <c r="D231" s="26" t="str">
        <f t="shared" si="10"/>
        <v/>
      </c>
      <c r="E231" s="26" t="str">
        <f t="shared" si="11"/>
        <v/>
      </c>
      <c r="F231" s="22"/>
      <c r="G231" s="22"/>
      <c r="H231" s="24"/>
      <c r="I231" s="22"/>
      <c r="J231" s="22"/>
    </row>
    <row r="232" spans="1:10" ht="15" x14ac:dyDescent="0.15">
      <c r="A232" s="29"/>
      <c r="B232" s="22"/>
      <c r="C232" s="26" t="str">
        <f t="shared" si="9"/>
        <v/>
      </c>
      <c r="D232" s="26" t="str">
        <f t="shared" si="10"/>
        <v/>
      </c>
      <c r="E232" s="26" t="str">
        <f t="shared" si="11"/>
        <v/>
      </c>
      <c r="F232" s="22"/>
      <c r="G232" s="22"/>
      <c r="H232" s="24"/>
      <c r="I232" s="22"/>
      <c r="J232" s="22"/>
    </row>
    <row r="233" spans="1:10" ht="15" x14ac:dyDescent="0.15">
      <c r="A233" s="29"/>
      <c r="B233" s="22"/>
      <c r="C233" s="26" t="str">
        <f t="shared" si="9"/>
        <v/>
      </c>
      <c r="D233" s="26" t="str">
        <f t="shared" si="10"/>
        <v/>
      </c>
      <c r="E233" s="26" t="str">
        <f t="shared" si="11"/>
        <v/>
      </c>
      <c r="F233" s="22"/>
      <c r="G233" s="22"/>
      <c r="H233" s="24"/>
      <c r="I233" s="22"/>
      <c r="J233" s="22"/>
    </row>
    <row r="234" spans="1:10" ht="15" x14ac:dyDescent="0.15">
      <c r="A234" s="29"/>
      <c r="B234" s="22"/>
      <c r="C234" s="26" t="str">
        <f t="shared" si="9"/>
        <v/>
      </c>
      <c r="D234" s="26" t="str">
        <f t="shared" si="10"/>
        <v/>
      </c>
      <c r="E234" s="26" t="str">
        <f t="shared" si="11"/>
        <v/>
      </c>
      <c r="F234" s="22"/>
      <c r="G234" s="22"/>
      <c r="H234" s="24"/>
      <c r="I234" s="22"/>
      <c r="J234" s="22"/>
    </row>
    <row r="235" spans="1:10" ht="15" x14ac:dyDescent="0.15">
      <c r="A235" s="29"/>
      <c r="B235" s="22"/>
      <c r="C235" s="26" t="str">
        <f t="shared" si="9"/>
        <v/>
      </c>
      <c r="D235" s="26" t="str">
        <f t="shared" si="10"/>
        <v/>
      </c>
      <c r="E235" s="26" t="str">
        <f t="shared" si="11"/>
        <v/>
      </c>
      <c r="F235" s="22"/>
      <c r="G235" s="22"/>
      <c r="H235" s="24"/>
      <c r="I235" s="22"/>
      <c r="J235" s="22"/>
    </row>
    <row r="236" spans="1:10" ht="15" x14ac:dyDescent="0.15">
      <c r="A236" s="29"/>
      <c r="B236" s="22"/>
      <c r="C236" s="26" t="str">
        <f t="shared" si="9"/>
        <v/>
      </c>
      <c r="D236" s="26" t="str">
        <f t="shared" si="10"/>
        <v/>
      </c>
      <c r="E236" s="26" t="str">
        <f t="shared" si="11"/>
        <v/>
      </c>
      <c r="F236" s="22"/>
      <c r="G236" s="22"/>
      <c r="H236" s="24"/>
      <c r="I236" s="22"/>
      <c r="J236" s="22"/>
    </row>
    <row r="237" spans="1:10" ht="15" x14ac:dyDescent="0.15">
      <c r="A237" s="29"/>
      <c r="B237" s="22"/>
      <c r="C237" s="26" t="str">
        <f t="shared" si="9"/>
        <v/>
      </c>
      <c r="D237" s="26" t="str">
        <f t="shared" si="10"/>
        <v/>
      </c>
      <c r="E237" s="26" t="str">
        <f t="shared" si="11"/>
        <v/>
      </c>
      <c r="F237" s="22"/>
      <c r="G237" s="22"/>
      <c r="H237" s="24"/>
      <c r="I237" s="22"/>
      <c r="J237" s="22"/>
    </row>
    <row r="238" spans="1:10" ht="15" x14ac:dyDescent="0.15">
      <c r="A238" s="29"/>
      <c r="B238" s="22"/>
      <c r="C238" s="26" t="str">
        <f t="shared" si="9"/>
        <v/>
      </c>
      <c r="D238" s="26" t="str">
        <f t="shared" si="10"/>
        <v/>
      </c>
      <c r="E238" s="26" t="str">
        <f t="shared" si="11"/>
        <v/>
      </c>
      <c r="F238" s="22"/>
      <c r="G238" s="22"/>
      <c r="H238" s="24"/>
      <c r="I238" s="22"/>
      <c r="J238" s="22"/>
    </row>
    <row r="239" spans="1:10" ht="15" x14ac:dyDescent="0.15">
      <c r="A239" s="29"/>
      <c r="B239" s="22"/>
      <c r="C239" s="26" t="str">
        <f t="shared" si="9"/>
        <v/>
      </c>
      <c r="D239" s="26" t="str">
        <f t="shared" si="10"/>
        <v/>
      </c>
      <c r="E239" s="26" t="str">
        <f t="shared" si="11"/>
        <v/>
      </c>
      <c r="F239" s="22"/>
      <c r="G239" s="22"/>
      <c r="H239" s="24"/>
      <c r="I239" s="22"/>
      <c r="J239" s="22"/>
    </row>
    <row r="240" spans="1:10" ht="15" x14ac:dyDescent="0.15">
      <c r="A240" s="29"/>
      <c r="B240" s="22"/>
      <c r="C240" s="26" t="str">
        <f t="shared" si="9"/>
        <v/>
      </c>
      <c r="D240" s="26" t="str">
        <f t="shared" si="10"/>
        <v/>
      </c>
      <c r="E240" s="26" t="str">
        <f t="shared" si="11"/>
        <v/>
      </c>
      <c r="F240" s="22"/>
      <c r="G240" s="22"/>
      <c r="H240" s="24"/>
      <c r="I240" s="22"/>
      <c r="J240" s="22"/>
    </row>
    <row r="241" spans="1:10" ht="15" x14ac:dyDescent="0.15">
      <c r="A241" s="29"/>
      <c r="B241" s="22"/>
      <c r="C241" s="26" t="str">
        <f t="shared" si="9"/>
        <v/>
      </c>
      <c r="D241" s="26" t="str">
        <f t="shared" si="10"/>
        <v/>
      </c>
      <c r="E241" s="26" t="str">
        <f t="shared" si="11"/>
        <v/>
      </c>
      <c r="F241" s="22"/>
      <c r="G241" s="22"/>
      <c r="H241" s="24"/>
      <c r="I241" s="22"/>
      <c r="J241" s="22"/>
    </row>
    <row r="242" spans="1:10" ht="15" x14ac:dyDescent="0.15">
      <c r="A242" s="29"/>
      <c r="B242" s="22"/>
      <c r="C242" s="26" t="str">
        <f t="shared" si="9"/>
        <v/>
      </c>
      <c r="D242" s="26" t="str">
        <f t="shared" si="10"/>
        <v/>
      </c>
      <c r="E242" s="26" t="str">
        <f t="shared" si="11"/>
        <v/>
      </c>
      <c r="F242" s="22"/>
      <c r="G242" s="22"/>
      <c r="H242" s="24"/>
      <c r="I242" s="22"/>
      <c r="J242" s="22"/>
    </row>
    <row r="243" spans="1:10" ht="15" x14ac:dyDescent="0.15">
      <c r="A243" s="29"/>
      <c r="B243" s="22"/>
      <c r="C243" s="26" t="str">
        <f t="shared" si="9"/>
        <v/>
      </c>
      <c r="D243" s="26" t="str">
        <f t="shared" si="10"/>
        <v/>
      </c>
      <c r="E243" s="26" t="str">
        <f t="shared" si="11"/>
        <v/>
      </c>
      <c r="F243" s="22"/>
      <c r="G243" s="22"/>
      <c r="H243" s="24"/>
      <c r="I243" s="22"/>
      <c r="J243" s="22"/>
    </row>
    <row r="244" spans="1:10" ht="15" x14ac:dyDescent="0.15">
      <c r="A244" s="29"/>
      <c r="B244" s="22"/>
      <c r="C244" s="26" t="str">
        <f t="shared" si="9"/>
        <v/>
      </c>
      <c r="D244" s="26" t="str">
        <f t="shared" si="10"/>
        <v/>
      </c>
      <c r="E244" s="26" t="str">
        <f t="shared" si="11"/>
        <v/>
      </c>
      <c r="F244" s="22"/>
      <c r="G244" s="22"/>
      <c r="H244" s="24"/>
      <c r="I244" s="22"/>
      <c r="J244" s="22"/>
    </row>
    <row r="245" spans="1:10" ht="15" x14ac:dyDescent="0.15">
      <c r="A245" s="29"/>
      <c r="B245" s="22"/>
      <c r="C245" s="26" t="str">
        <f t="shared" si="9"/>
        <v/>
      </c>
      <c r="D245" s="26" t="str">
        <f t="shared" si="10"/>
        <v/>
      </c>
      <c r="E245" s="26" t="str">
        <f t="shared" si="11"/>
        <v/>
      </c>
      <c r="F245" s="22"/>
      <c r="G245" s="22"/>
      <c r="H245" s="24"/>
      <c r="I245" s="22"/>
      <c r="J245" s="22"/>
    </row>
    <row r="246" spans="1:10" ht="15" x14ac:dyDescent="0.15">
      <c r="A246" s="29"/>
      <c r="B246" s="22"/>
      <c r="C246" s="26" t="str">
        <f t="shared" si="9"/>
        <v/>
      </c>
      <c r="D246" s="26" t="str">
        <f t="shared" si="10"/>
        <v/>
      </c>
      <c r="E246" s="26" t="str">
        <f t="shared" si="11"/>
        <v/>
      </c>
      <c r="F246" s="22"/>
      <c r="G246" s="22"/>
      <c r="H246" s="24"/>
      <c r="I246" s="22"/>
      <c r="J246" s="22"/>
    </row>
    <row r="247" spans="1:10" ht="15" x14ac:dyDescent="0.15">
      <c r="A247" s="29"/>
      <c r="B247" s="22"/>
      <c r="C247" s="26" t="str">
        <f t="shared" si="9"/>
        <v/>
      </c>
      <c r="D247" s="26" t="str">
        <f t="shared" si="10"/>
        <v/>
      </c>
      <c r="E247" s="26" t="str">
        <f t="shared" si="11"/>
        <v/>
      </c>
      <c r="F247" s="22"/>
      <c r="G247" s="22"/>
      <c r="H247" s="24"/>
      <c r="I247" s="22"/>
      <c r="J247" s="22"/>
    </row>
    <row r="248" spans="1:10" ht="15" x14ac:dyDescent="0.15">
      <c r="A248" s="29"/>
      <c r="B248" s="22"/>
      <c r="C248" s="26" t="str">
        <f t="shared" si="9"/>
        <v/>
      </c>
      <c r="D248" s="26" t="str">
        <f t="shared" si="10"/>
        <v/>
      </c>
      <c r="E248" s="26" t="str">
        <f t="shared" si="11"/>
        <v/>
      </c>
      <c r="F248" s="22"/>
      <c r="G248" s="22"/>
      <c r="H248" s="24"/>
      <c r="I248" s="22"/>
      <c r="J248" s="22"/>
    </row>
    <row r="249" spans="1:10" ht="15" x14ac:dyDescent="0.15">
      <c r="A249" s="29"/>
      <c r="B249" s="22"/>
      <c r="C249" s="26" t="str">
        <f t="shared" si="9"/>
        <v/>
      </c>
      <c r="D249" s="26" t="str">
        <f t="shared" si="10"/>
        <v/>
      </c>
      <c r="E249" s="26" t="str">
        <f t="shared" si="11"/>
        <v/>
      </c>
      <c r="F249" s="22"/>
      <c r="G249" s="22"/>
      <c r="H249" s="24"/>
      <c r="I249" s="22"/>
      <c r="J249" s="22"/>
    </row>
    <row r="250" spans="1:10" ht="15" x14ac:dyDescent="0.15">
      <c r="A250" s="29"/>
      <c r="B250" s="22"/>
      <c r="C250" s="26" t="str">
        <f t="shared" si="9"/>
        <v/>
      </c>
      <c r="D250" s="26" t="str">
        <f t="shared" si="10"/>
        <v/>
      </c>
      <c r="E250" s="26" t="str">
        <f t="shared" si="11"/>
        <v/>
      </c>
      <c r="F250" s="22"/>
      <c r="G250" s="22"/>
      <c r="H250" s="24"/>
      <c r="I250" s="22"/>
      <c r="J250" s="22"/>
    </row>
    <row r="251" spans="1:10" ht="15" x14ac:dyDescent="0.15">
      <c r="A251" s="29"/>
      <c r="B251" s="22"/>
      <c r="C251" s="26" t="str">
        <f t="shared" si="9"/>
        <v/>
      </c>
      <c r="D251" s="26" t="str">
        <f t="shared" si="10"/>
        <v/>
      </c>
      <c r="E251" s="26" t="str">
        <f t="shared" si="11"/>
        <v/>
      </c>
      <c r="F251" s="22"/>
      <c r="G251" s="22"/>
      <c r="H251" s="24"/>
      <c r="I251" s="22"/>
      <c r="J251" s="22"/>
    </row>
    <row r="252" spans="1:10" ht="15" x14ac:dyDescent="0.15">
      <c r="A252" s="29"/>
      <c r="B252" s="22"/>
      <c r="C252" s="26" t="str">
        <f t="shared" si="9"/>
        <v/>
      </c>
      <c r="D252" s="26" t="str">
        <f t="shared" si="10"/>
        <v/>
      </c>
      <c r="E252" s="26" t="str">
        <f t="shared" si="11"/>
        <v/>
      </c>
      <c r="F252" s="22"/>
      <c r="G252" s="22"/>
      <c r="H252" s="24"/>
      <c r="I252" s="22"/>
      <c r="J252" s="22"/>
    </row>
    <row r="253" spans="1:10" ht="15" x14ac:dyDescent="0.15">
      <c r="A253" s="29"/>
      <c r="B253" s="22"/>
      <c r="C253" s="26" t="str">
        <f t="shared" si="9"/>
        <v/>
      </c>
      <c r="D253" s="26" t="str">
        <f t="shared" si="10"/>
        <v/>
      </c>
      <c r="E253" s="26" t="str">
        <f t="shared" si="11"/>
        <v/>
      </c>
      <c r="F253" s="22"/>
      <c r="G253" s="22"/>
      <c r="H253" s="24"/>
      <c r="I253" s="22"/>
      <c r="J253" s="22"/>
    </row>
    <row r="254" spans="1:10" ht="15" x14ac:dyDescent="0.15">
      <c r="A254" s="29"/>
      <c r="B254" s="22"/>
      <c r="C254" s="26" t="str">
        <f t="shared" si="9"/>
        <v/>
      </c>
      <c r="D254" s="26" t="str">
        <f t="shared" si="10"/>
        <v/>
      </c>
      <c r="E254" s="26" t="str">
        <f t="shared" si="11"/>
        <v/>
      </c>
      <c r="F254" s="22"/>
      <c r="G254" s="22"/>
      <c r="H254" s="24"/>
      <c r="I254" s="22"/>
      <c r="J254" s="22"/>
    </row>
    <row r="255" spans="1:10" ht="15" x14ac:dyDescent="0.15">
      <c r="A255" s="29"/>
      <c r="B255" s="22"/>
      <c r="C255" s="26" t="str">
        <f t="shared" si="9"/>
        <v/>
      </c>
      <c r="D255" s="26" t="str">
        <f t="shared" si="10"/>
        <v/>
      </c>
      <c r="E255" s="26" t="str">
        <f t="shared" si="11"/>
        <v/>
      </c>
      <c r="F255" s="22"/>
      <c r="G255" s="22"/>
      <c r="H255" s="24"/>
      <c r="I255" s="22"/>
      <c r="J255" s="22"/>
    </row>
    <row r="256" spans="1:10" ht="15" x14ac:dyDescent="0.15">
      <c r="A256" s="29"/>
      <c r="B256" s="22"/>
      <c r="C256" s="26" t="str">
        <f t="shared" si="9"/>
        <v/>
      </c>
      <c r="D256" s="26" t="str">
        <f t="shared" si="10"/>
        <v/>
      </c>
      <c r="E256" s="26" t="str">
        <f t="shared" si="11"/>
        <v/>
      </c>
      <c r="F256" s="22"/>
      <c r="G256" s="22"/>
      <c r="H256" s="24"/>
      <c r="I256" s="22"/>
      <c r="J256" s="22"/>
    </row>
    <row r="257" spans="1:10" ht="15" x14ac:dyDescent="0.15">
      <c r="A257" s="29"/>
      <c r="B257" s="22"/>
      <c r="C257" s="26" t="str">
        <f t="shared" si="9"/>
        <v/>
      </c>
      <c r="D257" s="26" t="str">
        <f t="shared" si="10"/>
        <v/>
      </c>
      <c r="E257" s="26" t="str">
        <f t="shared" si="11"/>
        <v/>
      </c>
      <c r="F257" s="22"/>
      <c r="G257" s="22"/>
      <c r="H257" s="24"/>
      <c r="I257" s="22"/>
      <c r="J257" s="22"/>
    </row>
    <row r="258" spans="1:10" ht="15" x14ac:dyDescent="0.15">
      <c r="A258" s="29"/>
      <c r="B258" s="22"/>
      <c r="C258" s="26" t="str">
        <f t="shared" si="9"/>
        <v/>
      </c>
      <c r="D258" s="26" t="str">
        <f t="shared" si="10"/>
        <v/>
      </c>
      <c r="E258" s="26" t="str">
        <f t="shared" si="11"/>
        <v/>
      </c>
      <c r="F258" s="22"/>
      <c r="G258" s="22"/>
      <c r="H258" s="24"/>
      <c r="I258" s="22"/>
      <c r="J258" s="22"/>
    </row>
    <row r="259" spans="1:10" ht="15" x14ac:dyDescent="0.15">
      <c r="A259" s="29"/>
      <c r="B259" s="22"/>
      <c r="C259" s="26" t="str">
        <f t="shared" si="9"/>
        <v/>
      </c>
      <c r="D259" s="26" t="str">
        <f t="shared" si="10"/>
        <v/>
      </c>
      <c r="E259" s="26" t="str">
        <f t="shared" si="11"/>
        <v/>
      </c>
      <c r="F259" s="22"/>
      <c r="G259" s="22"/>
      <c r="H259" s="24"/>
      <c r="I259" s="22"/>
      <c r="J259" s="22"/>
    </row>
    <row r="260" spans="1:10" ht="15" x14ac:dyDescent="0.15">
      <c r="A260" s="29"/>
      <c r="B260" s="22"/>
      <c r="C260" s="26" t="str">
        <f t="shared" si="9"/>
        <v/>
      </c>
      <c r="D260" s="26" t="str">
        <f t="shared" si="10"/>
        <v/>
      </c>
      <c r="E260" s="26" t="str">
        <f t="shared" si="11"/>
        <v/>
      </c>
      <c r="F260" s="22"/>
      <c r="G260" s="22"/>
      <c r="H260" s="24"/>
      <c r="I260" s="22"/>
      <c r="J260" s="22"/>
    </row>
    <row r="261" spans="1:10" ht="15" x14ac:dyDescent="0.15">
      <c r="A261" s="29"/>
      <c r="B261" s="22"/>
      <c r="C261" s="26" t="str">
        <f t="shared" si="9"/>
        <v/>
      </c>
      <c r="D261" s="26" t="str">
        <f t="shared" si="10"/>
        <v/>
      </c>
      <c r="E261" s="26" t="str">
        <f t="shared" si="11"/>
        <v/>
      </c>
      <c r="F261" s="22"/>
      <c r="G261" s="22"/>
      <c r="H261" s="24"/>
      <c r="I261" s="22"/>
      <c r="J261" s="22"/>
    </row>
    <row r="262" spans="1:10" ht="15" x14ac:dyDescent="0.15">
      <c r="A262" s="29"/>
      <c r="B262" s="22"/>
      <c r="C262" s="26" t="str">
        <f t="shared" ref="C262:C325" si="12">IFERROR(IF($B262="","",LEFT($B262,FIND(" | ",$B262)-1)),"")</f>
        <v/>
      </c>
      <c r="D262" s="26" t="str">
        <f t="shared" ref="D262:D325" si="13">IFERROR(IF($B262="","",MID($B262,FIND(" | ",$B262)+3,FIND(" | ",$B262,FIND(" | ",$B262)+3)-FIND(" | ",$B262)-3)),"")</f>
        <v/>
      </c>
      <c r="E262" s="26" t="str">
        <f t="shared" ref="E262:E325" si="14">IFERROR(IF($B262="","",RIGHT($B262,LEN($B262)-FIND(" | ",$B262,FIND(" | ",$B262)+3)-2)),"")</f>
        <v/>
      </c>
      <c r="F262" s="22"/>
      <c r="G262" s="22"/>
      <c r="H262" s="24"/>
      <c r="I262" s="22"/>
      <c r="J262" s="22"/>
    </row>
    <row r="263" spans="1:10" ht="15" x14ac:dyDescent="0.15">
      <c r="A263" s="29"/>
      <c r="B263" s="22"/>
      <c r="C263" s="26" t="str">
        <f t="shared" si="12"/>
        <v/>
      </c>
      <c r="D263" s="26" t="str">
        <f t="shared" si="13"/>
        <v/>
      </c>
      <c r="E263" s="26" t="str">
        <f t="shared" si="14"/>
        <v/>
      </c>
      <c r="F263" s="22"/>
      <c r="G263" s="22"/>
      <c r="H263" s="24"/>
      <c r="I263" s="22"/>
      <c r="J263" s="22"/>
    </row>
    <row r="264" spans="1:10" ht="15" x14ac:dyDescent="0.15">
      <c r="A264" s="29"/>
      <c r="B264" s="22"/>
      <c r="C264" s="26" t="str">
        <f t="shared" si="12"/>
        <v/>
      </c>
      <c r="D264" s="26" t="str">
        <f t="shared" si="13"/>
        <v/>
      </c>
      <c r="E264" s="26" t="str">
        <f t="shared" si="14"/>
        <v/>
      </c>
      <c r="F264" s="22"/>
      <c r="G264" s="22"/>
      <c r="H264" s="24"/>
      <c r="I264" s="22"/>
      <c r="J264" s="22"/>
    </row>
    <row r="265" spans="1:10" ht="15" x14ac:dyDescent="0.15">
      <c r="A265" s="29"/>
      <c r="B265" s="22"/>
      <c r="C265" s="26" t="str">
        <f t="shared" si="12"/>
        <v/>
      </c>
      <c r="D265" s="26" t="str">
        <f t="shared" si="13"/>
        <v/>
      </c>
      <c r="E265" s="26" t="str">
        <f t="shared" si="14"/>
        <v/>
      </c>
      <c r="F265" s="22"/>
      <c r="G265" s="22"/>
      <c r="H265" s="24"/>
      <c r="I265" s="22"/>
      <c r="J265" s="22"/>
    </row>
    <row r="266" spans="1:10" ht="15" x14ac:dyDescent="0.15">
      <c r="A266" s="29"/>
      <c r="B266" s="22"/>
      <c r="C266" s="26" t="str">
        <f t="shared" si="12"/>
        <v/>
      </c>
      <c r="D266" s="26" t="str">
        <f t="shared" si="13"/>
        <v/>
      </c>
      <c r="E266" s="26" t="str">
        <f t="shared" si="14"/>
        <v/>
      </c>
      <c r="F266" s="22"/>
      <c r="G266" s="22"/>
      <c r="H266" s="24"/>
      <c r="I266" s="22"/>
      <c r="J266" s="22"/>
    </row>
    <row r="267" spans="1:10" ht="15" x14ac:dyDescent="0.15">
      <c r="A267" s="29"/>
      <c r="B267" s="22"/>
      <c r="C267" s="26" t="str">
        <f t="shared" si="12"/>
        <v/>
      </c>
      <c r="D267" s="26" t="str">
        <f t="shared" si="13"/>
        <v/>
      </c>
      <c r="E267" s="26" t="str">
        <f t="shared" si="14"/>
        <v/>
      </c>
      <c r="F267" s="22"/>
      <c r="G267" s="22"/>
      <c r="H267" s="24"/>
      <c r="I267" s="22"/>
      <c r="J267" s="22"/>
    </row>
    <row r="268" spans="1:10" ht="15" x14ac:dyDescent="0.15">
      <c r="A268" s="29"/>
      <c r="B268" s="22"/>
      <c r="C268" s="26" t="str">
        <f t="shared" si="12"/>
        <v/>
      </c>
      <c r="D268" s="26" t="str">
        <f t="shared" si="13"/>
        <v/>
      </c>
      <c r="E268" s="26" t="str">
        <f t="shared" si="14"/>
        <v/>
      </c>
      <c r="F268" s="22"/>
      <c r="G268" s="22"/>
      <c r="H268" s="24"/>
      <c r="I268" s="22"/>
      <c r="J268" s="22"/>
    </row>
    <row r="269" spans="1:10" ht="15" x14ac:dyDescent="0.15">
      <c r="A269" s="29"/>
      <c r="B269" s="22"/>
      <c r="C269" s="26" t="str">
        <f t="shared" si="12"/>
        <v/>
      </c>
      <c r="D269" s="26" t="str">
        <f t="shared" si="13"/>
        <v/>
      </c>
      <c r="E269" s="26" t="str">
        <f t="shared" si="14"/>
        <v/>
      </c>
      <c r="F269" s="22"/>
      <c r="G269" s="22"/>
      <c r="H269" s="24"/>
      <c r="I269" s="22"/>
      <c r="J269" s="22"/>
    </row>
    <row r="270" spans="1:10" ht="15" x14ac:dyDescent="0.15">
      <c r="A270" s="29"/>
      <c r="B270" s="22"/>
      <c r="C270" s="26" t="str">
        <f t="shared" si="12"/>
        <v/>
      </c>
      <c r="D270" s="26" t="str">
        <f t="shared" si="13"/>
        <v/>
      </c>
      <c r="E270" s="26" t="str">
        <f t="shared" si="14"/>
        <v/>
      </c>
      <c r="F270" s="22"/>
      <c r="G270" s="22"/>
      <c r="H270" s="24"/>
      <c r="I270" s="22"/>
      <c r="J270" s="22"/>
    </row>
    <row r="271" spans="1:10" ht="15" x14ac:dyDescent="0.15">
      <c r="A271" s="29"/>
      <c r="B271" s="22"/>
      <c r="C271" s="26" t="str">
        <f t="shared" si="12"/>
        <v/>
      </c>
      <c r="D271" s="26" t="str">
        <f t="shared" si="13"/>
        <v/>
      </c>
      <c r="E271" s="26" t="str">
        <f t="shared" si="14"/>
        <v/>
      </c>
      <c r="F271" s="22"/>
      <c r="G271" s="22"/>
      <c r="H271" s="24"/>
      <c r="I271" s="22"/>
      <c r="J271" s="22"/>
    </row>
    <row r="272" spans="1:10" ht="15" x14ac:dyDescent="0.15">
      <c r="A272" s="29"/>
      <c r="B272" s="22"/>
      <c r="C272" s="26" t="str">
        <f t="shared" si="12"/>
        <v/>
      </c>
      <c r="D272" s="26" t="str">
        <f t="shared" si="13"/>
        <v/>
      </c>
      <c r="E272" s="26" t="str">
        <f t="shared" si="14"/>
        <v/>
      </c>
      <c r="F272" s="22"/>
      <c r="G272" s="22"/>
      <c r="H272" s="24"/>
      <c r="I272" s="22"/>
      <c r="J272" s="22"/>
    </row>
    <row r="273" spans="1:10" ht="15" x14ac:dyDescent="0.15">
      <c r="A273" s="29"/>
      <c r="B273" s="22"/>
      <c r="C273" s="26" t="str">
        <f t="shared" si="12"/>
        <v/>
      </c>
      <c r="D273" s="26" t="str">
        <f t="shared" si="13"/>
        <v/>
      </c>
      <c r="E273" s="26" t="str">
        <f t="shared" si="14"/>
        <v/>
      </c>
      <c r="F273" s="22"/>
      <c r="G273" s="22"/>
      <c r="H273" s="24"/>
      <c r="I273" s="22"/>
      <c r="J273" s="22"/>
    </row>
    <row r="274" spans="1:10" ht="15" x14ac:dyDescent="0.15">
      <c r="A274" s="29"/>
      <c r="B274" s="22"/>
      <c r="C274" s="26" t="str">
        <f t="shared" si="12"/>
        <v/>
      </c>
      <c r="D274" s="26" t="str">
        <f t="shared" si="13"/>
        <v/>
      </c>
      <c r="E274" s="26" t="str">
        <f t="shared" si="14"/>
        <v/>
      </c>
      <c r="F274" s="22"/>
      <c r="G274" s="22"/>
      <c r="H274" s="24"/>
      <c r="I274" s="22"/>
      <c r="J274" s="22"/>
    </row>
    <row r="275" spans="1:10" ht="15" x14ac:dyDescent="0.15">
      <c r="A275" s="29"/>
      <c r="B275" s="22"/>
      <c r="C275" s="26" t="str">
        <f t="shared" si="12"/>
        <v/>
      </c>
      <c r="D275" s="26" t="str">
        <f t="shared" si="13"/>
        <v/>
      </c>
      <c r="E275" s="26" t="str">
        <f t="shared" si="14"/>
        <v/>
      </c>
      <c r="F275" s="22"/>
      <c r="G275" s="22"/>
      <c r="H275" s="24"/>
      <c r="I275" s="22"/>
      <c r="J275" s="22"/>
    </row>
    <row r="276" spans="1:10" ht="15" x14ac:dyDescent="0.15">
      <c r="A276" s="29"/>
      <c r="B276" s="22"/>
      <c r="C276" s="26" t="str">
        <f t="shared" si="12"/>
        <v/>
      </c>
      <c r="D276" s="26" t="str">
        <f t="shared" si="13"/>
        <v/>
      </c>
      <c r="E276" s="26" t="str">
        <f t="shared" si="14"/>
        <v/>
      </c>
      <c r="F276" s="22"/>
      <c r="G276" s="22"/>
      <c r="H276" s="24"/>
      <c r="I276" s="22"/>
      <c r="J276" s="22"/>
    </row>
    <row r="277" spans="1:10" ht="15" x14ac:dyDescent="0.15">
      <c r="A277" s="29"/>
      <c r="B277" s="22"/>
      <c r="C277" s="26" t="str">
        <f t="shared" si="12"/>
        <v/>
      </c>
      <c r="D277" s="26" t="str">
        <f t="shared" si="13"/>
        <v/>
      </c>
      <c r="E277" s="26" t="str">
        <f t="shared" si="14"/>
        <v/>
      </c>
      <c r="F277" s="22"/>
      <c r="G277" s="22"/>
      <c r="H277" s="24"/>
      <c r="I277" s="22"/>
      <c r="J277" s="22"/>
    </row>
    <row r="278" spans="1:10" ht="15" x14ac:dyDescent="0.15">
      <c r="A278" s="29"/>
      <c r="B278" s="22"/>
      <c r="C278" s="26" t="str">
        <f t="shared" si="12"/>
        <v/>
      </c>
      <c r="D278" s="26" t="str">
        <f t="shared" si="13"/>
        <v/>
      </c>
      <c r="E278" s="26" t="str">
        <f t="shared" si="14"/>
        <v/>
      </c>
      <c r="F278" s="22"/>
      <c r="G278" s="22"/>
      <c r="H278" s="24"/>
      <c r="I278" s="22"/>
      <c r="J278" s="22"/>
    </row>
    <row r="279" spans="1:10" ht="15" x14ac:dyDescent="0.15">
      <c r="A279" s="29"/>
      <c r="B279" s="22"/>
      <c r="C279" s="26" t="str">
        <f t="shared" si="12"/>
        <v/>
      </c>
      <c r="D279" s="26" t="str">
        <f t="shared" si="13"/>
        <v/>
      </c>
      <c r="E279" s="26" t="str">
        <f t="shared" si="14"/>
        <v/>
      </c>
      <c r="F279" s="22"/>
      <c r="G279" s="22"/>
      <c r="H279" s="24"/>
      <c r="I279" s="22"/>
      <c r="J279" s="22"/>
    </row>
    <row r="280" spans="1:10" ht="15" x14ac:dyDescent="0.15">
      <c r="A280" s="29"/>
      <c r="B280" s="22"/>
      <c r="C280" s="26" t="str">
        <f t="shared" si="12"/>
        <v/>
      </c>
      <c r="D280" s="26" t="str">
        <f t="shared" si="13"/>
        <v/>
      </c>
      <c r="E280" s="26" t="str">
        <f t="shared" si="14"/>
        <v/>
      </c>
      <c r="F280" s="22"/>
      <c r="G280" s="22"/>
      <c r="H280" s="24"/>
      <c r="I280" s="22"/>
      <c r="J280" s="22"/>
    </row>
    <row r="281" spans="1:10" ht="15" x14ac:dyDescent="0.15">
      <c r="A281" s="29"/>
      <c r="B281" s="22"/>
      <c r="C281" s="26" t="str">
        <f t="shared" si="12"/>
        <v/>
      </c>
      <c r="D281" s="26" t="str">
        <f t="shared" si="13"/>
        <v/>
      </c>
      <c r="E281" s="26" t="str">
        <f t="shared" si="14"/>
        <v/>
      </c>
      <c r="F281" s="22"/>
      <c r="G281" s="22"/>
      <c r="H281" s="24"/>
      <c r="I281" s="22"/>
      <c r="J281" s="22"/>
    </row>
    <row r="282" spans="1:10" ht="15" x14ac:dyDescent="0.15">
      <c r="A282" s="29"/>
      <c r="B282" s="22"/>
      <c r="C282" s="26" t="str">
        <f t="shared" si="12"/>
        <v/>
      </c>
      <c r="D282" s="26" t="str">
        <f t="shared" si="13"/>
        <v/>
      </c>
      <c r="E282" s="26" t="str">
        <f t="shared" si="14"/>
        <v/>
      </c>
      <c r="F282" s="22"/>
      <c r="G282" s="22"/>
      <c r="H282" s="24"/>
      <c r="I282" s="22"/>
      <c r="J282" s="22"/>
    </row>
    <row r="283" spans="1:10" ht="15" x14ac:dyDescent="0.15">
      <c r="A283" s="29"/>
      <c r="B283" s="22"/>
      <c r="C283" s="26" t="str">
        <f t="shared" si="12"/>
        <v/>
      </c>
      <c r="D283" s="26" t="str">
        <f t="shared" si="13"/>
        <v/>
      </c>
      <c r="E283" s="26" t="str">
        <f t="shared" si="14"/>
        <v/>
      </c>
      <c r="F283" s="22"/>
      <c r="G283" s="22"/>
      <c r="H283" s="24"/>
      <c r="I283" s="22"/>
      <c r="J283" s="22"/>
    </row>
    <row r="284" spans="1:10" ht="15" x14ac:dyDescent="0.15">
      <c r="A284" s="29"/>
      <c r="B284" s="22"/>
      <c r="C284" s="26" t="str">
        <f t="shared" si="12"/>
        <v/>
      </c>
      <c r="D284" s="26" t="str">
        <f t="shared" si="13"/>
        <v/>
      </c>
      <c r="E284" s="26" t="str">
        <f t="shared" si="14"/>
        <v/>
      </c>
      <c r="F284" s="22"/>
      <c r="G284" s="22"/>
      <c r="H284" s="24"/>
      <c r="I284" s="22"/>
      <c r="J284" s="22"/>
    </row>
    <row r="285" spans="1:10" ht="15" x14ac:dyDescent="0.15">
      <c r="A285" s="29"/>
      <c r="B285" s="22"/>
      <c r="C285" s="26" t="str">
        <f t="shared" si="12"/>
        <v/>
      </c>
      <c r="D285" s="26" t="str">
        <f t="shared" si="13"/>
        <v/>
      </c>
      <c r="E285" s="26" t="str">
        <f t="shared" si="14"/>
        <v/>
      </c>
      <c r="F285" s="22"/>
      <c r="G285" s="22"/>
      <c r="H285" s="24"/>
      <c r="I285" s="22"/>
      <c r="J285" s="22"/>
    </row>
    <row r="286" spans="1:10" ht="15" x14ac:dyDescent="0.15">
      <c r="A286" s="29"/>
      <c r="B286" s="22"/>
      <c r="C286" s="26" t="str">
        <f t="shared" si="12"/>
        <v/>
      </c>
      <c r="D286" s="26" t="str">
        <f t="shared" si="13"/>
        <v/>
      </c>
      <c r="E286" s="26" t="str">
        <f t="shared" si="14"/>
        <v/>
      </c>
      <c r="F286" s="22"/>
      <c r="G286" s="22"/>
      <c r="H286" s="24"/>
      <c r="I286" s="22"/>
      <c r="J286" s="22"/>
    </row>
    <row r="287" spans="1:10" ht="15" x14ac:dyDescent="0.15">
      <c r="A287" s="29"/>
      <c r="B287" s="22"/>
      <c r="C287" s="26" t="str">
        <f t="shared" si="12"/>
        <v/>
      </c>
      <c r="D287" s="26" t="str">
        <f t="shared" si="13"/>
        <v/>
      </c>
      <c r="E287" s="26" t="str">
        <f t="shared" si="14"/>
        <v/>
      </c>
      <c r="F287" s="22"/>
      <c r="G287" s="22"/>
      <c r="H287" s="24"/>
      <c r="I287" s="22"/>
      <c r="J287" s="22"/>
    </row>
    <row r="288" spans="1:10" ht="15" x14ac:dyDescent="0.15">
      <c r="A288" s="29"/>
      <c r="B288" s="22"/>
      <c r="C288" s="26" t="str">
        <f t="shared" si="12"/>
        <v/>
      </c>
      <c r="D288" s="26" t="str">
        <f t="shared" si="13"/>
        <v/>
      </c>
      <c r="E288" s="26" t="str">
        <f t="shared" si="14"/>
        <v/>
      </c>
      <c r="F288" s="22"/>
      <c r="G288" s="22"/>
      <c r="H288" s="24"/>
      <c r="I288" s="22"/>
      <c r="J288" s="22"/>
    </row>
    <row r="289" spans="1:10" ht="15" x14ac:dyDescent="0.15">
      <c r="A289" s="29"/>
      <c r="B289" s="22"/>
      <c r="C289" s="26" t="str">
        <f t="shared" si="12"/>
        <v/>
      </c>
      <c r="D289" s="26" t="str">
        <f t="shared" si="13"/>
        <v/>
      </c>
      <c r="E289" s="26" t="str">
        <f t="shared" si="14"/>
        <v/>
      </c>
      <c r="F289" s="22"/>
      <c r="G289" s="22"/>
      <c r="H289" s="24"/>
      <c r="I289" s="22"/>
      <c r="J289" s="22"/>
    </row>
    <row r="290" spans="1:10" ht="15" x14ac:dyDescent="0.15">
      <c r="A290" s="29"/>
      <c r="B290" s="22"/>
      <c r="C290" s="26" t="str">
        <f t="shared" si="12"/>
        <v/>
      </c>
      <c r="D290" s="26" t="str">
        <f t="shared" si="13"/>
        <v/>
      </c>
      <c r="E290" s="26" t="str">
        <f t="shared" si="14"/>
        <v/>
      </c>
      <c r="F290" s="22"/>
      <c r="G290" s="22"/>
      <c r="H290" s="24"/>
      <c r="I290" s="22"/>
      <c r="J290" s="22"/>
    </row>
    <row r="291" spans="1:10" ht="15" x14ac:dyDescent="0.15">
      <c r="A291" s="29"/>
      <c r="B291" s="22"/>
      <c r="C291" s="26" t="str">
        <f t="shared" si="12"/>
        <v/>
      </c>
      <c r="D291" s="26" t="str">
        <f t="shared" si="13"/>
        <v/>
      </c>
      <c r="E291" s="26" t="str">
        <f t="shared" si="14"/>
        <v/>
      </c>
      <c r="F291" s="22"/>
      <c r="G291" s="22"/>
      <c r="H291" s="24"/>
      <c r="I291" s="22"/>
      <c r="J291" s="22"/>
    </row>
    <row r="292" spans="1:10" ht="15" x14ac:dyDescent="0.15">
      <c r="A292" s="29"/>
      <c r="B292" s="22"/>
      <c r="C292" s="26" t="str">
        <f t="shared" si="12"/>
        <v/>
      </c>
      <c r="D292" s="26" t="str">
        <f t="shared" si="13"/>
        <v/>
      </c>
      <c r="E292" s="26" t="str">
        <f t="shared" si="14"/>
        <v/>
      </c>
      <c r="F292" s="22"/>
      <c r="G292" s="22"/>
      <c r="H292" s="24"/>
      <c r="I292" s="22"/>
      <c r="J292" s="22"/>
    </row>
    <row r="293" spans="1:10" ht="15" x14ac:dyDescent="0.15">
      <c r="A293" s="29"/>
      <c r="B293" s="22"/>
      <c r="C293" s="26" t="str">
        <f t="shared" si="12"/>
        <v/>
      </c>
      <c r="D293" s="26" t="str">
        <f t="shared" si="13"/>
        <v/>
      </c>
      <c r="E293" s="26" t="str">
        <f t="shared" si="14"/>
        <v/>
      </c>
      <c r="F293" s="22"/>
      <c r="G293" s="22"/>
      <c r="H293" s="24"/>
      <c r="I293" s="22"/>
      <c r="J293" s="22"/>
    </row>
    <row r="294" spans="1:10" ht="15" x14ac:dyDescent="0.15">
      <c r="A294" s="29"/>
      <c r="B294" s="22"/>
      <c r="C294" s="26" t="str">
        <f t="shared" si="12"/>
        <v/>
      </c>
      <c r="D294" s="26" t="str">
        <f t="shared" si="13"/>
        <v/>
      </c>
      <c r="E294" s="26" t="str">
        <f t="shared" si="14"/>
        <v/>
      </c>
      <c r="F294" s="22"/>
      <c r="G294" s="22"/>
      <c r="H294" s="24"/>
      <c r="I294" s="22"/>
      <c r="J294" s="22"/>
    </row>
    <row r="295" spans="1:10" ht="15" x14ac:dyDescent="0.15">
      <c r="A295" s="29"/>
      <c r="B295" s="22"/>
      <c r="C295" s="26" t="str">
        <f t="shared" si="12"/>
        <v/>
      </c>
      <c r="D295" s="26" t="str">
        <f t="shared" si="13"/>
        <v/>
      </c>
      <c r="E295" s="26" t="str">
        <f t="shared" si="14"/>
        <v/>
      </c>
      <c r="F295" s="22"/>
      <c r="G295" s="22"/>
      <c r="H295" s="24"/>
      <c r="I295" s="22"/>
      <c r="J295" s="22"/>
    </row>
    <row r="296" spans="1:10" ht="15" x14ac:dyDescent="0.15">
      <c r="A296" s="29"/>
      <c r="B296" s="22"/>
      <c r="C296" s="26" t="str">
        <f t="shared" si="12"/>
        <v/>
      </c>
      <c r="D296" s="26" t="str">
        <f t="shared" si="13"/>
        <v/>
      </c>
      <c r="E296" s="26" t="str">
        <f t="shared" si="14"/>
        <v/>
      </c>
      <c r="F296" s="22"/>
      <c r="G296" s="22"/>
      <c r="H296" s="24"/>
      <c r="I296" s="22"/>
      <c r="J296" s="22"/>
    </row>
    <row r="297" spans="1:10" ht="15" x14ac:dyDescent="0.15">
      <c r="A297" s="29"/>
      <c r="B297" s="22"/>
      <c r="C297" s="26" t="str">
        <f t="shared" si="12"/>
        <v/>
      </c>
      <c r="D297" s="26" t="str">
        <f t="shared" si="13"/>
        <v/>
      </c>
      <c r="E297" s="26" t="str">
        <f t="shared" si="14"/>
        <v/>
      </c>
      <c r="F297" s="22"/>
      <c r="G297" s="22"/>
      <c r="H297" s="24"/>
      <c r="I297" s="22"/>
      <c r="J297" s="22"/>
    </row>
    <row r="298" spans="1:10" ht="15" x14ac:dyDescent="0.15">
      <c r="A298" s="29"/>
      <c r="B298" s="22"/>
      <c r="C298" s="26" t="str">
        <f t="shared" si="12"/>
        <v/>
      </c>
      <c r="D298" s="26" t="str">
        <f t="shared" si="13"/>
        <v/>
      </c>
      <c r="E298" s="26" t="str">
        <f t="shared" si="14"/>
        <v/>
      </c>
      <c r="F298" s="22"/>
      <c r="G298" s="22"/>
      <c r="H298" s="24"/>
      <c r="I298" s="22"/>
      <c r="J298" s="22"/>
    </row>
    <row r="299" spans="1:10" ht="15" x14ac:dyDescent="0.15">
      <c r="A299" s="29"/>
      <c r="B299" s="22"/>
      <c r="C299" s="26" t="str">
        <f t="shared" si="12"/>
        <v/>
      </c>
      <c r="D299" s="26" t="str">
        <f t="shared" si="13"/>
        <v/>
      </c>
      <c r="E299" s="26" t="str">
        <f t="shared" si="14"/>
        <v/>
      </c>
      <c r="F299" s="22"/>
      <c r="G299" s="22"/>
      <c r="H299" s="24"/>
      <c r="I299" s="22"/>
      <c r="J299" s="22"/>
    </row>
    <row r="300" spans="1:10" ht="15" x14ac:dyDescent="0.15">
      <c r="A300" s="29"/>
      <c r="B300" s="22"/>
      <c r="C300" s="26" t="str">
        <f t="shared" si="12"/>
        <v/>
      </c>
      <c r="D300" s="26" t="str">
        <f t="shared" si="13"/>
        <v/>
      </c>
      <c r="E300" s="26" t="str">
        <f t="shared" si="14"/>
        <v/>
      </c>
      <c r="F300" s="22"/>
      <c r="G300" s="22"/>
      <c r="H300" s="24"/>
      <c r="I300" s="22"/>
      <c r="J300" s="22"/>
    </row>
    <row r="301" spans="1:10" ht="15" x14ac:dyDescent="0.15">
      <c r="A301" s="29"/>
      <c r="B301" s="22"/>
      <c r="C301" s="26" t="str">
        <f t="shared" si="12"/>
        <v/>
      </c>
      <c r="D301" s="26" t="str">
        <f t="shared" si="13"/>
        <v/>
      </c>
      <c r="E301" s="26" t="str">
        <f t="shared" si="14"/>
        <v/>
      </c>
      <c r="F301" s="22"/>
      <c r="G301" s="22"/>
      <c r="H301" s="24"/>
      <c r="I301" s="22"/>
      <c r="J301" s="22"/>
    </row>
    <row r="302" spans="1:10" ht="15" x14ac:dyDescent="0.15">
      <c r="A302" s="29"/>
      <c r="B302" s="22"/>
      <c r="C302" s="26" t="str">
        <f t="shared" si="12"/>
        <v/>
      </c>
      <c r="D302" s="26" t="str">
        <f t="shared" si="13"/>
        <v/>
      </c>
      <c r="E302" s="26" t="str">
        <f t="shared" si="14"/>
        <v/>
      </c>
      <c r="F302" s="22"/>
      <c r="G302" s="22"/>
      <c r="H302" s="24"/>
      <c r="I302" s="22"/>
      <c r="J302" s="22"/>
    </row>
    <row r="303" spans="1:10" ht="15" x14ac:dyDescent="0.15">
      <c r="A303" s="29"/>
      <c r="B303" s="22"/>
      <c r="C303" s="26" t="str">
        <f t="shared" si="12"/>
        <v/>
      </c>
      <c r="D303" s="26" t="str">
        <f t="shared" si="13"/>
        <v/>
      </c>
      <c r="E303" s="26" t="str">
        <f t="shared" si="14"/>
        <v/>
      </c>
      <c r="F303" s="22"/>
      <c r="G303" s="22"/>
      <c r="H303" s="24"/>
      <c r="I303" s="22"/>
      <c r="J303" s="22"/>
    </row>
    <row r="304" spans="1:10" ht="15" x14ac:dyDescent="0.15">
      <c r="A304" s="29"/>
      <c r="B304" s="22"/>
      <c r="C304" s="26" t="str">
        <f t="shared" si="12"/>
        <v/>
      </c>
      <c r="D304" s="26" t="str">
        <f t="shared" si="13"/>
        <v/>
      </c>
      <c r="E304" s="26" t="str">
        <f t="shared" si="14"/>
        <v/>
      </c>
      <c r="F304" s="22"/>
      <c r="G304" s="22"/>
      <c r="H304" s="24"/>
      <c r="I304" s="22"/>
      <c r="J304" s="22"/>
    </row>
    <row r="305" spans="1:10" ht="15" x14ac:dyDescent="0.15">
      <c r="A305" s="29"/>
      <c r="B305" s="22"/>
      <c r="C305" s="26" t="str">
        <f t="shared" si="12"/>
        <v/>
      </c>
      <c r="D305" s="26" t="str">
        <f t="shared" si="13"/>
        <v/>
      </c>
      <c r="E305" s="26" t="str">
        <f t="shared" si="14"/>
        <v/>
      </c>
      <c r="F305" s="22"/>
      <c r="G305" s="22"/>
      <c r="H305" s="24"/>
      <c r="I305" s="22"/>
      <c r="J305" s="22"/>
    </row>
    <row r="306" spans="1:10" ht="15" x14ac:dyDescent="0.15">
      <c r="A306" s="29"/>
      <c r="B306" s="22"/>
      <c r="C306" s="26" t="str">
        <f t="shared" si="12"/>
        <v/>
      </c>
      <c r="D306" s="26" t="str">
        <f t="shared" si="13"/>
        <v/>
      </c>
      <c r="E306" s="26" t="str">
        <f t="shared" si="14"/>
        <v/>
      </c>
      <c r="F306" s="22"/>
      <c r="G306" s="22"/>
      <c r="H306" s="24"/>
      <c r="I306" s="22"/>
      <c r="J306" s="22"/>
    </row>
    <row r="307" spans="1:10" ht="15" x14ac:dyDescent="0.15">
      <c r="A307" s="29"/>
      <c r="B307" s="22"/>
      <c r="C307" s="26" t="str">
        <f t="shared" si="12"/>
        <v/>
      </c>
      <c r="D307" s="26" t="str">
        <f t="shared" si="13"/>
        <v/>
      </c>
      <c r="E307" s="26" t="str">
        <f t="shared" si="14"/>
        <v/>
      </c>
      <c r="F307" s="22"/>
      <c r="G307" s="22"/>
      <c r="H307" s="24"/>
      <c r="I307" s="22"/>
      <c r="J307" s="22"/>
    </row>
    <row r="308" spans="1:10" ht="15" x14ac:dyDescent="0.15">
      <c r="A308" s="29"/>
      <c r="B308" s="22"/>
      <c r="C308" s="26" t="str">
        <f t="shared" si="12"/>
        <v/>
      </c>
      <c r="D308" s="26" t="str">
        <f t="shared" si="13"/>
        <v/>
      </c>
      <c r="E308" s="26" t="str">
        <f t="shared" si="14"/>
        <v/>
      </c>
      <c r="F308" s="22"/>
      <c r="G308" s="22"/>
      <c r="H308" s="24"/>
      <c r="I308" s="22"/>
      <c r="J308" s="22"/>
    </row>
    <row r="309" spans="1:10" ht="15" x14ac:dyDescent="0.15">
      <c r="A309" s="29"/>
      <c r="B309" s="22"/>
      <c r="C309" s="26" t="str">
        <f t="shared" si="12"/>
        <v/>
      </c>
      <c r="D309" s="26" t="str">
        <f t="shared" si="13"/>
        <v/>
      </c>
      <c r="E309" s="26" t="str">
        <f t="shared" si="14"/>
        <v/>
      </c>
      <c r="F309" s="22"/>
      <c r="G309" s="22"/>
      <c r="H309" s="24"/>
      <c r="I309" s="22"/>
      <c r="J309" s="22"/>
    </row>
    <row r="310" spans="1:10" ht="15" x14ac:dyDescent="0.15">
      <c r="A310" s="29"/>
      <c r="B310" s="22"/>
      <c r="C310" s="26" t="str">
        <f t="shared" si="12"/>
        <v/>
      </c>
      <c r="D310" s="26" t="str">
        <f t="shared" si="13"/>
        <v/>
      </c>
      <c r="E310" s="26" t="str">
        <f t="shared" si="14"/>
        <v/>
      </c>
      <c r="F310" s="22"/>
      <c r="G310" s="22"/>
      <c r="H310" s="24"/>
      <c r="I310" s="22"/>
      <c r="J310" s="22"/>
    </row>
    <row r="311" spans="1:10" ht="15" x14ac:dyDescent="0.15">
      <c r="A311" s="29"/>
      <c r="B311" s="22"/>
      <c r="C311" s="26" t="str">
        <f t="shared" si="12"/>
        <v/>
      </c>
      <c r="D311" s="26" t="str">
        <f t="shared" si="13"/>
        <v/>
      </c>
      <c r="E311" s="26" t="str">
        <f t="shared" si="14"/>
        <v/>
      </c>
      <c r="F311" s="22"/>
      <c r="G311" s="22"/>
      <c r="H311" s="24"/>
      <c r="I311" s="22"/>
      <c r="J311" s="22"/>
    </row>
    <row r="312" spans="1:10" ht="15" x14ac:dyDescent="0.15">
      <c r="A312" s="29"/>
      <c r="B312" s="22"/>
      <c r="C312" s="26" t="str">
        <f t="shared" si="12"/>
        <v/>
      </c>
      <c r="D312" s="26" t="str">
        <f t="shared" si="13"/>
        <v/>
      </c>
      <c r="E312" s="26" t="str">
        <f t="shared" si="14"/>
        <v/>
      </c>
      <c r="F312" s="22"/>
      <c r="G312" s="22"/>
      <c r="H312" s="24"/>
      <c r="I312" s="22"/>
      <c r="J312" s="22"/>
    </row>
    <row r="313" spans="1:10" ht="15" x14ac:dyDescent="0.15">
      <c r="A313" s="29"/>
      <c r="B313" s="22"/>
      <c r="C313" s="26" t="str">
        <f t="shared" si="12"/>
        <v/>
      </c>
      <c r="D313" s="26" t="str">
        <f t="shared" si="13"/>
        <v/>
      </c>
      <c r="E313" s="26" t="str">
        <f t="shared" si="14"/>
        <v/>
      </c>
      <c r="F313" s="22"/>
      <c r="G313" s="22"/>
      <c r="H313" s="24"/>
      <c r="I313" s="22"/>
      <c r="J313" s="22"/>
    </row>
    <row r="314" spans="1:10" ht="15" x14ac:dyDescent="0.15">
      <c r="A314" s="29"/>
      <c r="B314" s="22"/>
      <c r="C314" s="26" t="str">
        <f t="shared" si="12"/>
        <v/>
      </c>
      <c r="D314" s="26" t="str">
        <f t="shared" si="13"/>
        <v/>
      </c>
      <c r="E314" s="26" t="str">
        <f t="shared" si="14"/>
        <v/>
      </c>
      <c r="F314" s="22"/>
      <c r="G314" s="22"/>
      <c r="H314" s="24"/>
      <c r="I314" s="22"/>
      <c r="J314" s="22"/>
    </row>
    <row r="315" spans="1:10" ht="15" x14ac:dyDescent="0.15">
      <c r="A315" s="29"/>
      <c r="B315" s="22"/>
      <c r="C315" s="26" t="str">
        <f t="shared" si="12"/>
        <v/>
      </c>
      <c r="D315" s="26" t="str">
        <f t="shared" si="13"/>
        <v/>
      </c>
      <c r="E315" s="26" t="str">
        <f t="shared" si="14"/>
        <v/>
      </c>
      <c r="F315" s="22"/>
      <c r="G315" s="22"/>
      <c r="H315" s="24"/>
      <c r="I315" s="22"/>
      <c r="J315" s="22"/>
    </row>
    <row r="316" spans="1:10" ht="15" x14ac:dyDescent="0.15">
      <c r="A316" s="29"/>
      <c r="B316" s="22"/>
      <c r="C316" s="26" t="str">
        <f t="shared" si="12"/>
        <v/>
      </c>
      <c r="D316" s="26" t="str">
        <f t="shared" si="13"/>
        <v/>
      </c>
      <c r="E316" s="26" t="str">
        <f t="shared" si="14"/>
        <v/>
      </c>
      <c r="F316" s="22"/>
      <c r="G316" s="22"/>
      <c r="H316" s="24"/>
      <c r="I316" s="22"/>
      <c r="J316" s="22"/>
    </row>
    <row r="317" spans="1:10" ht="15" x14ac:dyDescent="0.15">
      <c r="A317" s="29"/>
      <c r="B317" s="22"/>
      <c r="C317" s="26" t="str">
        <f t="shared" si="12"/>
        <v/>
      </c>
      <c r="D317" s="26" t="str">
        <f t="shared" si="13"/>
        <v/>
      </c>
      <c r="E317" s="26" t="str">
        <f t="shared" si="14"/>
        <v/>
      </c>
      <c r="F317" s="22"/>
      <c r="G317" s="22"/>
      <c r="H317" s="24"/>
      <c r="I317" s="22"/>
      <c r="J317" s="22"/>
    </row>
    <row r="318" spans="1:10" ht="15" x14ac:dyDescent="0.15">
      <c r="A318" s="29"/>
      <c r="B318" s="22"/>
      <c r="C318" s="26" t="str">
        <f t="shared" si="12"/>
        <v/>
      </c>
      <c r="D318" s="26" t="str">
        <f t="shared" si="13"/>
        <v/>
      </c>
      <c r="E318" s="26" t="str">
        <f t="shared" si="14"/>
        <v/>
      </c>
      <c r="F318" s="22"/>
      <c r="G318" s="22"/>
      <c r="H318" s="24"/>
      <c r="I318" s="22"/>
      <c r="J318" s="22"/>
    </row>
    <row r="319" spans="1:10" ht="15" x14ac:dyDescent="0.15">
      <c r="A319" s="29"/>
      <c r="B319" s="22"/>
      <c r="C319" s="26" t="str">
        <f t="shared" si="12"/>
        <v/>
      </c>
      <c r="D319" s="26" t="str">
        <f t="shared" si="13"/>
        <v/>
      </c>
      <c r="E319" s="26" t="str">
        <f t="shared" si="14"/>
        <v/>
      </c>
      <c r="F319" s="22"/>
      <c r="G319" s="22"/>
      <c r="H319" s="24"/>
      <c r="I319" s="22"/>
      <c r="J319" s="22"/>
    </row>
    <row r="320" spans="1:10" ht="15" x14ac:dyDescent="0.15">
      <c r="A320" s="29"/>
      <c r="B320" s="22"/>
      <c r="C320" s="26" t="str">
        <f t="shared" si="12"/>
        <v/>
      </c>
      <c r="D320" s="26" t="str">
        <f t="shared" si="13"/>
        <v/>
      </c>
      <c r="E320" s="26" t="str">
        <f t="shared" si="14"/>
        <v/>
      </c>
      <c r="F320" s="22"/>
      <c r="G320" s="22"/>
      <c r="H320" s="24"/>
      <c r="I320" s="22"/>
      <c r="J320" s="22"/>
    </row>
    <row r="321" spans="1:10" ht="15" x14ac:dyDescent="0.15">
      <c r="A321" s="29"/>
      <c r="B321" s="22"/>
      <c r="C321" s="26" t="str">
        <f t="shared" si="12"/>
        <v/>
      </c>
      <c r="D321" s="26" t="str">
        <f t="shared" si="13"/>
        <v/>
      </c>
      <c r="E321" s="26" t="str">
        <f t="shared" si="14"/>
        <v/>
      </c>
      <c r="F321" s="22"/>
      <c r="G321" s="22"/>
      <c r="H321" s="24"/>
      <c r="I321" s="22"/>
      <c r="J321" s="22"/>
    </row>
    <row r="322" spans="1:10" ht="15" x14ac:dyDescent="0.15">
      <c r="A322" s="29"/>
      <c r="B322" s="22"/>
      <c r="C322" s="26" t="str">
        <f t="shared" si="12"/>
        <v/>
      </c>
      <c r="D322" s="26" t="str">
        <f t="shared" si="13"/>
        <v/>
      </c>
      <c r="E322" s="26" t="str">
        <f t="shared" si="14"/>
        <v/>
      </c>
      <c r="F322" s="22"/>
      <c r="G322" s="22"/>
      <c r="H322" s="24"/>
      <c r="I322" s="22"/>
      <c r="J322" s="22"/>
    </row>
    <row r="323" spans="1:10" ht="15" x14ac:dyDescent="0.15">
      <c r="A323" s="29"/>
      <c r="B323" s="22"/>
      <c r="C323" s="26" t="str">
        <f t="shared" si="12"/>
        <v/>
      </c>
      <c r="D323" s="26" t="str">
        <f t="shared" si="13"/>
        <v/>
      </c>
      <c r="E323" s="26" t="str">
        <f t="shared" si="14"/>
        <v/>
      </c>
      <c r="F323" s="22"/>
      <c r="G323" s="22"/>
      <c r="H323" s="24"/>
      <c r="I323" s="22"/>
      <c r="J323" s="22"/>
    </row>
    <row r="324" spans="1:10" ht="15" x14ac:dyDescent="0.15">
      <c r="A324" s="29"/>
      <c r="B324" s="22"/>
      <c r="C324" s="26" t="str">
        <f t="shared" si="12"/>
        <v/>
      </c>
      <c r="D324" s="26" t="str">
        <f t="shared" si="13"/>
        <v/>
      </c>
      <c r="E324" s="26" t="str">
        <f t="shared" si="14"/>
        <v/>
      </c>
      <c r="F324" s="22"/>
      <c r="G324" s="22"/>
      <c r="H324" s="24"/>
      <c r="I324" s="22"/>
      <c r="J324" s="22"/>
    </row>
    <row r="325" spans="1:10" ht="15" x14ac:dyDescent="0.15">
      <c r="A325" s="29"/>
      <c r="B325" s="22"/>
      <c r="C325" s="26" t="str">
        <f t="shared" si="12"/>
        <v/>
      </c>
      <c r="D325" s="26" t="str">
        <f t="shared" si="13"/>
        <v/>
      </c>
      <c r="E325" s="26" t="str">
        <f t="shared" si="14"/>
        <v/>
      </c>
      <c r="F325" s="22"/>
      <c r="G325" s="22"/>
      <c r="H325" s="24"/>
      <c r="I325" s="22"/>
      <c r="J325" s="22"/>
    </row>
    <row r="326" spans="1:10" ht="15" x14ac:dyDescent="0.15">
      <c r="A326" s="29"/>
      <c r="B326" s="22"/>
      <c r="C326" s="26" t="str">
        <f t="shared" ref="C326:C389" si="15">IFERROR(IF($B326="","",LEFT($B326,FIND(" | ",$B326)-1)),"")</f>
        <v/>
      </c>
      <c r="D326" s="26" t="str">
        <f t="shared" ref="D326:D389" si="16">IFERROR(IF($B326="","",MID($B326,FIND(" | ",$B326)+3,FIND(" | ",$B326,FIND(" | ",$B326)+3)-FIND(" | ",$B326)-3)),"")</f>
        <v/>
      </c>
      <c r="E326" s="26" t="str">
        <f t="shared" ref="E326:E389" si="17">IFERROR(IF($B326="","",RIGHT($B326,LEN($B326)-FIND(" | ",$B326,FIND(" | ",$B326)+3)-2)),"")</f>
        <v/>
      </c>
      <c r="F326" s="22"/>
      <c r="G326" s="22"/>
      <c r="H326" s="24"/>
      <c r="I326" s="22"/>
      <c r="J326" s="22"/>
    </row>
    <row r="327" spans="1:10" ht="15" x14ac:dyDescent="0.15">
      <c r="A327" s="29"/>
      <c r="B327" s="22"/>
      <c r="C327" s="26" t="str">
        <f t="shared" si="15"/>
        <v/>
      </c>
      <c r="D327" s="26" t="str">
        <f t="shared" si="16"/>
        <v/>
      </c>
      <c r="E327" s="26" t="str">
        <f t="shared" si="17"/>
        <v/>
      </c>
      <c r="F327" s="22"/>
      <c r="G327" s="22"/>
      <c r="H327" s="24"/>
      <c r="I327" s="22"/>
      <c r="J327" s="22"/>
    </row>
    <row r="328" spans="1:10" ht="15" x14ac:dyDescent="0.15">
      <c r="A328" s="29"/>
      <c r="B328" s="22"/>
      <c r="C328" s="26" t="str">
        <f t="shared" si="15"/>
        <v/>
      </c>
      <c r="D328" s="26" t="str">
        <f t="shared" si="16"/>
        <v/>
      </c>
      <c r="E328" s="26" t="str">
        <f t="shared" si="17"/>
        <v/>
      </c>
      <c r="F328" s="22"/>
      <c r="G328" s="22"/>
      <c r="H328" s="24"/>
      <c r="I328" s="22"/>
      <c r="J328" s="22"/>
    </row>
    <row r="329" spans="1:10" ht="15" x14ac:dyDescent="0.15">
      <c r="A329" s="29"/>
      <c r="B329" s="22"/>
      <c r="C329" s="26" t="str">
        <f t="shared" si="15"/>
        <v/>
      </c>
      <c r="D329" s="26" t="str">
        <f t="shared" si="16"/>
        <v/>
      </c>
      <c r="E329" s="26" t="str">
        <f t="shared" si="17"/>
        <v/>
      </c>
      <c r="F329" s="22"/>
      <c r="G329" s="22"/>
      <c r="H329" s="24"/>
      <c r="I329" s="22"/>
      <c r="J329" s="22"/>
    </row>
    <row r="330" spans="1:10" ht="15" x14ac:dyDescent="0.15">
      <c r="A330" s="29"/>
      <c r="B330" s="22"/>
      <c r="C330" s="26" t="str">
        <f t="shared" si="15"/>
        <v/>
      </c>
      <c r="D330" s="26" t="str">
        <f t="shared" si="16"/>
        <v/>
      </c>
      <c r="E330" s="26" t="str">
        <f t="shared" si="17"/>
        <v/>
      </c>
      <c r="F330" s="22"/>
      <c r="G330" s="22"/>
      <c r="H330" s="24"/>
      <c r="I330" s="22"/>
      <c r="J330" s="22"/>
    </row>
    <row r="331" spans="1:10" ht="15" x14ac:dyDescent="0.15">
      <c r="A331" s="29"/>
      <c r="B331" s="22"/>
      <c r="C331" s="26" t="str">
        <f t="shared" si="15"/>
        <v/>
      </c>
      <c r="D331" s="26" t="str">
        <f t="shared" si="16"/>
        <v/>
      </c>
      <c r="E331" s="26" t="str">
        <f t="shared" si="17"/>
        <v/>
      </c>
      <c r="F331" s="22"/>
      <c r="G331" s="22"/>
      <c r="H331" s="24"/>
      <c r="I331" s="22"/>
      <c r="J331" s="22"/>
    </row>
    <row r="332" spans="1:10" ht="15" x14ac:dyDescent="0.15">
      <c r="A332" s="29"/>
      <c r="B332" s="22"/>
      <c r="C332" s="26" t="str">
        <f t="shared" si="15"/>
        <v/>
      </c>
      <c r="D332" s="26" t="str">
        <f t="shared" si="16"/>
        <v/>
      </c>
      <c r="E332" s="26" t="str">
        <f t="shared" si="17"/>
        <v/>
      </c>
      <c r="F332" s="22"/>
      <c r="G332" s="22"/>
      <c r="H332" s="24"/>
      <c r="I332" s="22"/>
      <c r="J332" s="22"/>
    </row>
    <row r="333" spans="1:10" ht="15" x14ac:dyDescent="0.15">
      <c r="A333" s="29"/>
      <c r="B333" s="22"/>
      <c r="C333" s="26" t="str">
        <f t="shared" si="15"/>
        <v/>
      </c>
      <c r="D333" s="26" t="str">
        <f t="shared" si="16"/>
        <v/>
      </c>
      <c r="E333" s="26" t="str">
        <f t="shared" si="17"/>
        <v/>
      </c>
      <c r="F333" s="22"/>
      <c r="G333" s="22"/>
      <c r="H333" s="24"/>
      <c r="I333" s="22"/>
      <c r="J333" s="22"/>
    </row>
    <row r="334" spans="1:10" ht="15" x14ac:dyDescent="0.15">
      <c r="A334" s="29"/>
      <c r="B334" s="22"/>
      <c r="C334" s="26" t="str">
        <f t="shared" si="15"/>
        <v/>
      </c>
      <c r="D334" s="26" t="str">
        <f t="shared" si="16"/>
        <v/>
      </c>
      <c r="E334" s="26" t="str">
        <f t="shared" si="17"/>
        <v/>
      </c>
      <c r="F334" s="22"/>
      <c r="G334" s="22"/>
      <c r="H334" s="24"/>
      <c r="I334" s="22"/>
      <c r="J334" s="22"/>
    </row>
    <row r="335" spans="1:10" ht="15" x14ac:dyDescent="0.15">
      <c r="A335" s="29"/>
      <c r="B335" s="22"/>
      <c r="C335" s="26" t="str">
        <f t="shared" si="15"/>
        <v/>
      </c>
      <c r="D335" s="26" t="str">
        <f t="shared" si="16"/>
        <v/>
      </c>
      <c r="E335" s="26" t="str">
        <f t="shared" si="17"/>
        <v/>
      </c>
      <c r="F335" s="22"/>
      <c r="G335" s="22"/>
      <c r="H335" s="24"/>
      <c r="I335" s="22"/>
      <c r="J335" s="22"/>
    </row>
    <row r="336" spans="1:10" ht="15" x14ac:dyDescent="0.15">
      <c r="A336" s="29"/>
      <c r="B336" s="22"/>
      <c r="C336" s="26" t="str">
        <f t="shared" si="15"/>
        <v/>
      </c>
      <c r="D336" s="26" t="str">
        <f t="shared" si="16"/>
        <v/>
      </c>
      <c r="E336" s="26" t="str">
        <f t="shared" si="17"/>
        <v/>
      </c>
      <c r="F336" s="22"/>
      <c r="G336" s="22"/>
      <c r="H336" s="24"/>
      <c r="I336" s="22"/>
      <c r="J336" s="22"/>
    </row>
    <row r="337" spans="1:10" ht="15" x14ac:dyDescent="0.15">
      <c r="A337" s="29"/>
      <c r="B337" s="22"/>
      <c r="C337" s="26" t="str">
        <f t="shared" si="15"/>
        <v/>
      </c>
      <c r="D337" s="26" t="str">
        <f t="shared" si="16"/>
        <v/>
      </c>
      <c r="E337" s="26" t="str">
        <f t="shared" si="17"/>
        <v/>
      </c>
      <c r="F337" s="22"/>
      <c r="G337" s="22"/>
      <c r="H337" s="24"/>
      <c r="I337" s="22"/>
      <c r="J337" s="22"/>
    </row>
    <row r="338" spans="1:10" ht="15" x14ac:dyDescent="0.15">
      <c r="A338" s="29"/>
      <c r="B338" s="22"/>
      <c r="C338" s="26" t="str">
        <f t="shared" si="15"/>
        <v/>
      </c>
      <c r="D338" s="26" t="str">
        <f t="shared" si="16"/>
        <v/>
      </c>
      <c r="E338" s="26" t="str">
        <f t="shared" si="17"/>
        <v/>
      </c>
      <c r="F338" s="22"/>
      <c r="G338" s="22"/>
      <c r="H338" s="24"/>
      <c r="I338" s="22"/>
      <c r="J338" s="22"/>
    </row>
    <row r="339" spans="1:10" ht="15" x14ac:dyDescent="0.15">
      <c r="A339" s="29"/>
      <c r="B339" s="22"/>
      <c r="C339" s="26" t="str">
        <f t="shared" si="15"/>
        <v/>
      </c>
      <c r="D339" s="26" t="str">
        <f t="shared" si="16"/>
        <v/>
      </c>
      <c r="E339" s="26" t="str">
        <f t="shared" si="17"/>
        <v/>
      </c>
      <c r="F339" s="22"/>
      <c r="G339" s="22"/>
      <c r="H339" s="24"/>
      <c r="I339" s="22"/>
      <c r="J339" s="22"/>
    </row>
    <row r="340" spans="1:10" ht="15" x14ac:dyDescent="0.15">
      <c r="A340" s="29"/>
      <c r="B340" s="22"/>
      <c r="C340" s="26" t="str">
        <f t="shared" si="15"/>
        <v/>
      </c>
      <c r="D340" s="26" t="str">
        <f t="shared" si="16"/>
        <v/>
      </c>
      <c r="E340" s="26" t="str">
        <f t="shared" si="17"/>
        <v/>
      </c>
      <c r="F340" s="22"/>
      <c r="G340" s="22"/>
      <c r="H340" s="24"/>
      <c r="I340" s="22"/>
      <c r="J340" s="22"/>
    </row>
    <row r="341" spans="1:10" ht="15" x14ac:dyDescent="0.15">
      <c r="A341" s="29"/>
      <c r="B341" s="22"/>
      <c r="C341" s="26" t="str">
        <f t="shared" si="15"/>
        <v/>
      </c>
      <c r="D341" s="26" t="str">
        <f t="shared" si="16"/>
        <v/>
      </c>
      <c r="E341" s="26" t="str">
        <f t="shared" si="17"/>
        <v/>
      </c>
      <c r="F341" s="22"/>
      <c r="G341" s="22"/>
      <c r="H341" s="24"/>
      <c r="I341" s="22"/>
      <c r="J341" s="22"/>
    </row>
    <row r="342" spans="1:10" ht="15" x14ac:dyDescent="0.15">
      <c r="A342" s="29"/>
      <c r="B342" s="22"/>
      <c r="C342" s="26" t="str">
        <f t="shared" si="15"/>
        <v/>
      </c>
      <c r="D342" s="26" t="str">
        <f t="shared" si="16"/>
        <v/>
      </c>
      <c r="E342" s="26" t="str">
        <f t="shared" si="17"/>
        <v/>
      </c>
      <c r="F342" s="22"/>
      <c r="G342" s="22"/>
      <c r="H342" s="24"/>
      <c r="I342" s="22"/>
      <c r="J342" s="22"/>
    </row>
    <row r="343" spans="1:10" ht="15" x14ac:dyDescent="0.15">
      <c r="A343" s="29"/>
      <c r="B343" s="22"/>
      <c r="C343" s="26" t="str">
        <f t="shared" si="15"/>
        <v/>
      </c>
      <c r="D343" s="26" t="str">
        <f t="shared" si="16"/>
        <v/>
      </c>
      <c r="E343" s="26" t="str">
        <f t="shared" si="17"/>
        <v/>
      </c>
      <c r="F343" s="22"/>
      <c r="G343" s="22"/>
      <c r="H343" s="24"/>
      <c r="I343" s="22"/>
      <c r="J343" s="22"/>
    </row>
    <row r="344" spans="1:10" ht="15" x14ac:dyDescent="0.15">
      <c r="A344" s="29"/>
      <c r="B344" s="22"/>
      <c r="C344" s="26" t="str">
        <f t="shared" si="15"/>
        <v/>
      </c>
      <c r="D344" s="26" t="str">
        <f t="shared" si="16"/>
        <v/>
      </c>
      <c r="E344" s="26" t="str">
        <f t="shared" si="17"/>
        <v/>
      </c>
      <c r="F344" s="22"/>
      <c r="G344" s="22"/>
      <c r="H344" s="24"/>
      <c r="I344" s="22"/>
      <c r="J344" s="22"/>
    </row>
    <row r="345" spans="1:10" ht="15" x14ac:dyDescent="0.15">
      <c r="A345" s="29"/>
      <c r="B345" s="22"/>
      <c r="C345" s="26" t="str">
        <f t="shared" si="15"/>
        <v/>
      </c>
      <c r="D345" s="26" t="str">
        <f t="shared" si="16"/>
        <v/>
      </c>
      <c r="E345" s="26" t="str">
        <f t="shared" si="17"/>
        <v/>
      </c>
      <c r="F345" s="22"/>
      <c r="G345" s="22"/>
      <c r="H345" s="24"/>
      <c r="I345" s="22"/>
      <c r="J345" s="22"/>
    </row>
    <row r="346" spans="1:10" ht="15" x14ac:dyDescent="0.15">
      <c r="A346" s="29"/>
      <c r="B346" s="22"/>
      <c r="C346" s="26" t="str">
        <f t="shared" si="15"/>
        <v/>
      </c>
      <c r="D346" s="26" t="str">
        <f t="shared" si="16"/>
        <v/>
      </c>
      <c r="E346" s="26" t="str">
        <f t="shared" si="17"/>
        <v/>
      </c>
      <c r="F346" s="22"/>
      <c r="G346" s="22"/>
      <c r="H346" s="24"/>
      <c r="I346" s="22"/>
      <c r="J346" s="22"/>
    </row>
    <row r="347" spans="1:10" ht="15" x14ac:dyDescent="0.15">
      <c r="A347" s="29"/>
      <c r="B347" s="22"/>
      <c r="C347" s="26" t="str">
        <f t="shared" si="15"/>
        <v/>
      </c>
      <c r="D347" s="26" t="str">
        <f t="shared" si="16"/>
        <v/>
      </c>
      <c r="E347" s="26" t="str">
        <f t="shared" si="17"/>
        <v/>
      </c>
      <c r="F347" s="22"/>
      <c r="G347" s="22"/>
      <c r="H347" s="24"/>
      <c r="I347" s="22"/>
      <c r="J347" s="22"/>
    </row>
    <row r="348" spans="1:10" ht="15" x14ac:dyDescent="0.15">
      <c r="A348" s="29"/>
      <c r="B348" s="22"/>
      <c r="C348" s="26" t="str">
        <f t="shared" si="15"/>
        <v/>
      </c>
      <c r="D348" s="26" t="str">
        <f t="shared" si="16"/>
        <v/>
      </c>
      <c r="E348" s="26" t="str">
        <f t="shared" si="17"/>
        <v/>
      </c>
      <c r="F348" s="22"/>
      <c r="G348" s="22"/>
      <c r="H348" s="24"/>
      <c r="I348" s="22"/>
      <c r="J348" s="22"/>
    </row>
    <row r="349" spans="1:10" ht="15" x14ac:dyDescent="0.15">
      <c r="A349" s="29"/>
      <c r="B349" s="22"/>
      <c r="C349" s="26" t="str">
        <f t="shared" si="15"/>
        <v/>
      </c>
      <c r="D349" s="26" t="str">
        <f t="shared" si="16"/>
        <v/>
      </c>
      <c r="E349" s="26" t="str">
        <f t="shared" si="17"/>
        <v/>
      </c>
      <c r="F349" s="22"/>
      <c r="G349" s="22"/>
      <c r="H349" s="24"/>
      <c r="I349" s="22"/>
      <c r="J349" s="22"/>
    </row>
    <row r="350" spans="1:10" ht="15" x14ac:dyDescent="0.15">
      <c r="A350" s="29"/>
      <c r="B350" s="22"/>
      <c r="C350" s="26" t="str">
        <f t="shared" si="15"/>
        <v/>
      </c>
      <c r="D350" s="26" t="str">
        <f t="shared" si="16"/>
        <v/>
      </c>
      <c r="E350" s="26" t="str">
        <f t="shared" si="17"/>
        <v/>
      </c>
      <c r="F350" s="22"/>
      <c r="G350" s="22"/>
      <c r="H350" s="24"/>
      <c r="I350" s="22"/>
      <c r="J350" s="22"/>
    </row>
    <row r="351" spans="1:10" ht="15" x14ac:dyDescent="0.15">
      <c r="A351" s="29"/>
      <c r="B351" s="22"/>
      <c r="C351" s="26" t="str">
        <f t="shared" si="15"/>
        <v/>
      </c>
      <c r="D351" s="26" t="str">
        <f t="shared" si="16"/>
        <v/>
      </c>
      <c r="E351" s="26" t="str">
        <f t="shared" si="17"/>
        <v/>
      </c>
      <c r="F351" s="22"/>
      <c r="G351" s="22"/>
      <c r="H351" s="24"/>
      <c r="I351" s="22"/>
      <c r="J351" s="22"/>
    </row>
    <row r="352" spans="1:10" ht="15" x14ac:dyDescent="0.15">
      <c r="A352" s="29"/>
      <c r="B352" s="22"/>
      <c r="C352" s="26" t="str">
        <f t="shared" si="15"/>
        <v/>
      </c>
      <c r="D352" s="26" t="str">
        <f t="shared" si="16"/>
        <v/>
      </c>
      <c r="E352" s="26" t="str">
        <f t="shared" si="17"/>
        <v/>
      </c>
      <c r="F352" s="22"/>
      <c r="G352" s="22"/>
      <c r="H352" s="24"/>
      <c r="I352" s="22"/>
      <c r="J352" s="22"/>
    </row>
    <row r="353" spans="1:10" ht="15" x14ac:dyDescent="0.15">
      <c r="A353" s="29"/>
      <c r="B353" s="22"/>
      <c r="C353" s="26" t="str">
        <f t="shared" si="15"/>
        <v/>
      </c>
      <c r="D353" s="26" t="str">
        <f t="shared" si="16"/>
        <v/>
      </c>
      <c r="E353" s="26" t="str">
        <f t="shared" si="17"/>
        <v/>
      </c>
      <c r="F353" s="22"/>
      <c r="G353" s="22"/>
      <c r="H353" s="24"/>
      <c r="I353" s="22"/>
      <c r="J353" s="22"/>
    </row>
    <row r="354" spans="1:10" ht="15" x14ac:dyDescent="0.15">
      <c r="A354" s="29"/>
      <c r="B354" s="22"/>
      <c r="C354" s="26" t="str">
        <f t="shared" si="15"/>
        <v/>
      </c>
      <c r="D354" s="26" t="str">
        <f t="shared" si="16"/>
        <v/>
      </c>
      <c r="E354" s="26" t="str">
        <f t="shared" si="17"/>
        <v/>
      </c>
      <c r="F354" s="22"/>
      <c r="G354" s="22"/>
      <c r="H354" s="24"/>
      <c r="I354" s="22"/>
      <c r="J354" s="22"/>
    </row>
    <row r="355" spans="1:10" ht="15" x14ac:dyDescent="0.15">
      <c r="A355" s="29"/>
      <c r="B355" s="22"/>
      <c r="C355" s="26" t="str">
        <f t="shared" si="15"/>
        <v/>
      </c>
      <c r="D355" s="26" t="str">
        <f t="shared" si="16"/>
        <v/>
      </c>
      <c r="E355" s="26" t="str">
        <f t="shared" si="17"/>
        <v/>
      </c>
      <c r="F355" s="22"/>
      <c r="G355" s="22"/>
      <c r="H355" s="24"/>
      <c r="I355" s="22"/>
      <c r="J355" s="22"/>
    </row>
    <row r="356" spans="1:10" ht="15" x14ac:dyDescent="0.15">
      <c r="A356" s="29"/>
      <c r="B356" s="22"/>
      <c r="C356" s="26" t="str">
        <f t="shared" si="15"/>
        <v/>
      </c>
      <c r="D356" s="26" t="str">
        <f t="shared" si="16"/>
        <v/>
      </c>
      <c r="E356" s="26" t="str">
        <f t="shared" si="17"/>
        <v/>
      </c>
      <c r="F356" s="22"/>
      <c r="G356" s="22"/>
      <c r="H356" s="24"/>
      <c r="I356" s="22"/>
      <c r="J356" s="22"/>
    </row>
    <row r="357" spans="1:10" ht="15" x14ac:dyDescent="0.15">
      <c r="A357" s="29"/>
      <c r="B357" s="22"/>
      <c r="C357" s="26" t="str">
        <f t="shared" si="15"/>
        <v/>
      </c>
      <c r="D357" s="26" t="str">
        <f t="shared" si="16"/>
        <v/>
      </c>
      <c r="E357" s="26" t="str">
        <f t="shared" si="17"/>
        <v/>
      </c>
      <c r="F357" s="22"/>
      <c r="G357" s="22"/>
      <c r="H357" s="24"/>
      <c r="I357" s="22"/>
      <c r="J357" s="22"/>
    </row>
    <row r="358" spans="1:10" ht="15" x14ac:dyDescent="0.15">
      <c r="A358" s="29"/>
      <c r="B358" s="22"/>
      <c r="C358" s="26" t="str">
        <f t="shared" si="15"/>
        <v/>
      </c>
      <c r="D358" s="26" t="str">
        <f t="shared" si="16"/>
        <v/>
      </c>
      <c r="E358" s="26" t="str">
        <f t="shared" si="17"/>
        <v/>
      </c>
      <c r="F358" s="22"/>
      <c r="G358" s="22"/>
      <c r="H358" s="24"/>
      <c r="I358" s="22"/>
      <c r="J358" s="22"/>
    </row>
    <row r="359" spans="1:10" ht="15" x14ac:dyDescent="0.15">
      <c r="A359" s="29"/>
      <c r="B359" s="22"/>
      <c r="C359" s="26" t="str">
        <f t="shared" si="15"/>
        <v/>
      </c>
      <c r="D359" s="26" t="str">
        <f t="shared" si="16"/>
        <v/>
      </c>
      <c r="E359" s="26" t="str">
        <f t="shared" si="17"/>
        <v/>
      </c>
      <c r="F359" s="22"/>
      <c r="G359" s="22"/>
      <c r="H359" s="24"/>
      <c r="I359" s="22"/>
      <c r="J359" s="22"/>
    </row>
    <row r="360" spans="1:10" ht="15" x14ac:dyDescent="0.15">
      <c r="A360" s="29"/>
      <c r="B360" s="22"/>
      <c r="C360" s="26" t="str">
        <f t="shared" si="15"/>
        <v/>
      </c>
      <c r="D360" s="26" t="str">
        <f t="shared" si="16"/>
        <v/>
      </c>
      <c r="E360" s="26" t="str">
        <f t="shared" si="17"/>
        <v/>
      </c>
      <c r="F360" s="22"/>
      <c r="G360" s="22"/>
      <c r="H360" s="24"/>
      <c r="I360" s="22"/>
      <c r="J360" s="22"/>
    </row>
    <row r="361" spans="1:10" ht="15" x14ac:dyDescent="0.15">
      <c r="A361" s="29"/>
      <c r="B361" s="22"/>
      <c r="C361" s="26" t="str">
        <f t="shared" si="15"/>
        <v/>
      </c>
      <c r="D361" s="26" t="str">
        <f t="shared" si="16"/>
        <v/>
      </c>
      <c r="E361" s="26" t="str">
        <f t="shared" si="17"/>
        <v/>
      </c>
      <c r="F361" s="22"/>
      <c r="G361" s="22"/>
      <c r="H361" s="24"/>
      <c r="I361" s="22"/>
      <c r="J361" s="22"/>
    </row>
    <row r="362" spans="1:10" ht="15" x14ac:dyDescent="0.15">
      <c r="A362" s="29"/>
      <c r="B362" s="22"/>
      <c r="C362" s="26" t="str">
        <f t="shared" si="15"/>
        <v/>
      </c>
      <c r="D362" s="26" t="str">
        <f t="shared" si="16"/>
        <v/>
      </c>
      <c r="E362" s="26" t="str">
        <f t="shared" si="17"/>
        <v/>
      </c>
      <c r="F362" s="22"/>
      <c r="G362" s="22"/>
      <c r="H362" s="24"/>
      <c r="I362" s="22"/>
      <c r="J362" s="22"/>
    </row>
    <row r="363" spans="1:10" ht="15" x14ac:dyDescent="0.15">
      <c r="A363" s="29"/>
      <c r="B363" s="22"/>
      <c r="C363" s="26" t="str">
        <f t="shared" si="15"/>
        <v/>
      </c>
      <c r="D363" s="26" t="str">
        <f t="shared" si="16"/>
        <v/>
      </c>
      <c r="E363" s="26" t="str">
        <f t="shared" si="17"/>
        <v/>
      </c>
      <c r="F363" s="22"/>
      <c r="G363" s="22"/>
      <c r="H363" s="24"/>
      <c r="I363" s="22"/>
      <c r="J363" s="22"/>
    </row>
    <row r="364" spans="1:10" ht="15" x14ac:dyDescent="0.15">
      <c r="A364" s="29"/>
      <c r="B364" s="22"/>
      <c r="C364" s="26" t="str">
        <f t="shared" si="15"/>
        <v/>
      </c>
      <c r="D364" s="26" t="str">
        <f t="shared" si="16"/>
        <v/>
      </c>
      <c r="E364" s="26" t="str">
        <f t="shared" si="17"/>
        <v/>
      </c>
      <c r="F364" s="22"/>
      <c r="G364" s="22"/>
      <c r="H364" s="24"/>
      <c r="I364" s="22"/>
      <c r="J364" s="22"/>
    </row>
    <row r="365" spans="1:10" ht="15" x14ac:dyDescent="0.15">
      <c r="A365" s="29"/>
      <c r="B365" s="22"/>
      <c r="C365" s="26" t="str">
        <f t="shared" si="15"/>
        <v/>
      </c>
      <c r="D365" s="26" t="str">
        <f t="shared" si="16"/>
        <v/>
      </c>
      <c r="E365" s="26" t="str">
        <f t="shared" si="17"/>
        <v/>
      </c>
      <c r="F365" s="22"/>
      <c r="G365" s="22"/>
      <c r="H365" s="24"/>
      <c r="I365" s="22"/>
      <c r="J365" s="22"/>
    </row>
    <row r="366" spans="1:10" ht="15" x14ac:dyDescent="0.15">
      <c r="A366" s="29"/>
      <c r="B366" s="22"/>
      <c r="C366" s="26" t="str">
        <f t="shared" si="15"/>
        <v/>
      </c>
      <c r="D366" s="26" t="str">
        <f t="shared" si="16"/>
        <v/>
      </c>
      <c r="E366" s="26" t="str">
        <f t="shared" si="17"/>
        <v/>
      </c>
      <c r="F366" s="22"/>
      <c r="G366" s="22"/>
      <c r="H366" s="24"/>
      <c r="I366" s="22"/>
      <c r="J366" s="22"/>
    </row>
    <row r="367" spans="1:10" ht="15" x14ac:dyDescent="0.15">
      <c r="A367" s="29"/>
      <c r="B367" s="22"/>
      <c r="C367" s="26" t="str">
        <f t="shared" si="15"/>
        <v/>
      </c>
      <c r="D367" s="26" t="str">
        <f t="shared" si="16"/>
        <v/>
      </c>
      <c r="E367" s="26" t="str">
        <f t="shared" si="17"/>
        <v/>
      </c>
      <c r="F367" s="22"/>
      <c r="G367" s="22"/>
      <c r="H367" s="24"/>
      <c r="I367" s="22"/>
      <c r="J367" s="22"/>
    </row>
    <row r="368" spans="1:10" ht="15" x14ac:dyDescent="0.15">
      <c r="A368" s="29"/>
      <c r="B368" s="22"/>
      <c r="C368" s="26" t="str">
        <f t="shared" si="15"/>
        <v/>
      </c>
      <c r="D368" s="26" t="str">
        <f t="shared" si="16"/>
        <v/>
      </c>
      <c r="E368" s="26" t="str">
        <f t="shared" si="17"/>
        <v/>
      </c>
      <c r="F368" s="22"/>
      <c r="G368" s="22"/>
      <c r="H368" s="24"/>
      <c r="I368" s="22"/>
      <c r="J368" s="22"/>
    </row>
    <row r="369" spans="1:10" ht="15" x14ac:dyDescent="0.15">
      <c r="A369" s="29"/>
      <c r="B369" s="22"/>
      <c r="C369" s="26" t="str">
        <f t="shared" si="15"/>
        <v/>
      </c>
      <c r="D369" s="26" t="str">
        <f t="shared" si="16"/>
        <v/>
      </c>
      <c r="E369" s="26" t="str">
        <f t="shared" si="17"/>
        <v/>
      </c>
      <c r="F369" s="22"/>
      <c r="G369" s="22"/>
      <c r="H369" s="24"/>
      <c r="I369" s="22"/>
      <c r="J369" s="22"/>
    </row>
    <row r="370" spans="1:10" ht="15" x14ac:dyDescent="0.15">
      <c r="A370" s="29"/>
      <c r="B370" s="22"/>
      <c r="C370" s="26" t="str">
        <f t="shared" si="15"/>
        <v/>
      </c>
      <c r="D370" s="26" t="str">
        <f t="shared" si="16"/>
        <v/>
      </c>
      <c r="E370" s="26" t="str">
        <f t="shared" si="17"/>
        <v/>
      </c>
      <c r="F370" s="22"/>
      <c r="G370" s="22"/>
      <c r="H370" s="24"/>
      <c r="I370" s="22"/>
      <c r="J370" s="22"/>
    </row>
    <row r="371" spans="1:10" ht="15" x14ac:dyDescent="0.15">
      <c r="A371" s="29"/>
      <c r="B371" s="22"/>
      <c r="C371" s="26" t="str">
        <f t="shared" si="15"/>
        <v/>
      </c>
      <c r="D371" s="26" t="str">
        <f t="shared" si="16"/>
        <v/>
      </c>
      <c r="E371" s="26" t="str">
        <f t="shared" si="17"/>
        <v/>
      </c>
      <c r="F371" s="22"/>
      <c r="G371" s="22"/>
      <c r="H371" s="24"/>
      <c r="I371" s="22"/>
      <c r="J371" s="22"/>
    </row>
    <row r="372" spans="1:10" ht="15" x14ac:dyDescent="0.15">
      <c r="A372" s="29"/>
      <c r="B372" s="22"/>
      <c r="C372" s="26" t="str">
        <f t="shared" si="15"/>
        <v/>
      </c>
      <c r="D372" s="26" t="str">
        <f t="shared" si="16"/>
        <v/>
      </c>
      <c r="E372" s="26" t="str">
        <f t="shared" si="17"/>
        <v/>
      </c>
      <c r="F372" s="22"/>
      <c r="G372" s="22"/>
      <c r="H372" s="24"/>
      <c r="I372" s="22"/>
      <c r="J372" s="22"/>
    </row>
    <row r="373" spans="1:10" ht="15" x14ac:dyDescent="0.15">
      <c r="A373" s="29"/>
      <c r="B373" s="22"/>
      <c r="C373" s="26" t="str">
        <f t="shared" si="15"/>
        <v/>
      </c>
      <c r="D373" s="26" t="str">
        <f t="shared" si="16"/>
        <v/>
      </c>
      <c r="E373" s="26" t="str">
        <f t="shared" si="17"/>
        <v/>
      </c>
      <c r="F373" s="22"/>
      <c r="G373" s="22"/>
      <c r="H373" s="24"/>
      <c r="I373" s="22"/>
      <c r="J373" s="22"/>
    </row>
    <row r="374" spans="1:10" ht="15" x14ac:dyDescent="0.15">
      <c r="A374" s="29"/>
      <c r="B374" s="22"/>
      <c r="C374" s="26" t="str">
        <f t="shared" si="15"/>
        <v/>
      </c>
      <c r="D374" s="26" t="str">
        <f t="shared" si="16"/>
        <v/>
      </c>
      <c r="E374" s="26" t="str">
        <f t="shared" si="17"/>
        <v/>
      </c>
      <c r="F374" s="22"/>
      <c r="G374" s="22"/>
      <c r="H374" s="24"/>
      <c r="I374" s="22"/>
      <c r="J374" s="22"/>
    </row>
    <row r="375" spans="1:10" ht="15" x14ac:dyDescent="0.15">
      <c r="A375" s="29"/>
      <c r="B375" s="22"/>
      <c r="C375" s="26" t="str">
        <f t="shared" si="15"/>
        <v/>
      </c>
      <c r="D375" s="26" t="str">
        <f t="shared" si="16"/>
        <v/>
      </c>
      <c r="E375" s="26" t="str">
        <f t="shared" si="17"/>
        <v/>
      </c>
      <c r="F375" s="22"/>
      <c r="G375" s="22"/>
      <c r="H375" s="24"/>
      <c r="I375" s="22"/>
      <c r="J375" s="22"/>
    </row>
    <row r="376" spans="1:10" ht="15" x14ac:dyDescent="0.15">
      <c r="A376" s="29"/>
      <c r="B376" s="22"/>
      <c r="C376" s="26" t="str">
        <f t="shared" si="15"/>
        <v/>
      </c>
      <c r="D376" s="26" t="str">
        <f t="shared" si="16"/>
        <v/>
      </c>
      <c r="E376" s="26" t="str">
        <f t="shared" si="17"/>
        <v/>
      </c>
      <c r="F376" s="22"/>
      <c r="G376" s="22"/>
      <c r="H376" s="24"/>
      <c r="I376" s="22"/>
      <c r="J376" s="22"/>
    </row>
    <row r="377" spans="1:10" ht="15" x14ac:dyDescent="0.15">
      <c r="A377" s="29"/>
      <c r="B377" s="22"/>
      <c r="C377" s="26" t="str">
        <f t="shared" si="15"/>
        <v/>
      </c>
      <c r="D377" s="26" t="str">
        <f t="shared" si="16"/>
        <v/>
      </c>
      <c r="E377" s="26" t="str">
        <f t="shared" si="17"/>
        <v/>
      </c>
      <c r="F377" s="22"/>
      <c r="G377" s="22"/>
      <c r="H377" s="24"/>
      <c r="I377" s="22"/>
      <c r="J377" s="22"/>
    </row>
    <row r="378" spans="1:10" ht="15" x14ac:dyDescent="0.15">
      <c r="A378" s="29"/>
      <c r="B378" s="22"/>
      <c r="C378" s="26" t="str">
        <f t="shared" si="15"/>
        <v/>
      </c>
      <c r="D378" s="26" t="str">
        <f t="shared" si="16"/>
        <v/>
      </c>
      <c r="E378" s="26" t="str">
        <f t="shared" si="17"/>
        <v/>
      </c>
      <c r="F378" s="22"/>
      <c r="G378" s="22"/>
      <c r="H378" s="24"/>
      <c r="I378" s="22"/>
      <c r="J378" s="22"/>
    </row>
    <row r="379" spans="1:10" ht="15" x14ac:dyDescent="0.15">
      <c r="A379" s="29"/>
      <c r="B379" s="22"/>
      <c r="C379" s="26" t="str">
        <f t="shared" si="15"/>
        <v/>
      </c>
      <c r="D379" s="26" t="str">
        <f t="shared" si="16"/>
        <v/>
      </c>
      <c r="E379" s="26" t="str">
        <f t="shared" si="17"/>
        <v/>
      </c>
      <c r="F379" s="22"/>
      <c r="G379" s="22"/>
      <c r="H379" s="24"/>
      <c r="I379" s="22"/>
      <c r="J379" s="22"/>
    </row>
    <row r="380" spans="1:10" ht="15" x14ac:dyDescent="0.15">
      <c r="A380" s="29"/>
      <c r="B380" s="22"/>
      <c r="C380" s="26" t="str">
        <f t="shared" si="15"/>
        <v/>
      </c>
      <c r="D380" s="26" t="str">
        <f t="shared" si="16"/>
        <v/>
      </c>
      <c r="E380" s="26" t="str">
        <f t="shared" si="17"/>
        <v/>
      </c>
      <c r="F380" s="22"/>
      <c r="G380" s="22"/>
      <c r="H380" s="24"/>
      <c r="I380" s="22"/>
      <c r="J380" s="22"/>
    </row>
    <row r="381" spans="1:10" ht="15" x14ac:dyDescent="0.15">
      <c r="A381" s="29"/>
      <c r="B381" s="22"/>
      <c r="C381" s="26" t="str">
        <f t="shared" si="15"/>
        <v/>
      </c>
      <c r="D381" s="26" t="str">
        <f t="shared" si="16"/>
        <v/>
      </c>
      <c r="E381" s="26" t="str">
        <f t="shared" si="17"/>
        <v/>
      </c>
      <c r="F381" s="22"/>
      <c r="G381" s="22"/>
      <c r="H381" s="24"/>
      <c r="I381" s="22"/>
      <c r="J381" s="22"/>
    </row>
    <row r="382" spans="1:10" ht="15" x14ac:dyDescent="0.15">
      <c r="A382" s="29"/>
      <c r="B382" s="22"/>
      <c r="C382" s="26" t="str">
        <f t="shared" si="15"/>
        <v/>
      </c>
      <c r="D382" s="26" t="str">
        <f t="shared" si="16"/>
        <v/>
      </c>
      <c r="E382" s="26" t="str">
        <f t="shared" si="17"/>
        <v/>
      </c>
      <c r="F382" s="22"/>
      <c r="G382" s="22"/>
      <c r="H382" s="24"/>
      <c r="I382" s="22"/>
      <c r="J382" s="22"/>
    </row>
    <row r="383" spans="1:10" ht="15" x14ac:dyDescent="0.15">
      <c r="A383" s="29"/>
      <c r="B383" s="22"/>
      <c r="C383" s="26" t="str">
        <f t="shared" si="15"/>
        <v/>
      </c>
      <c r="D383" s="26" t="str">
        <f t="shared" si="16"/>
        <v/>
      </c>
      <c r="E383" s="26" t="str">
        <f t="shared" si="17"/>
        <v/>
      </c>
      <c r="F383" s="22"/>
      <c r="G383" s="22"/>
      <c r="H383" s="24"/>
      <c r="I383" s="22"/>
      <c r="J383" s="22"/>
    </row>
    <row r="384" spans="1:10" ht="15" x14ac:dyDescent="0.15">
      <c r="A384" s="29"/>
      <c r="B384" s="22"/>
      <c r="C384" s="26" t="str">
        <f t="shared" si="15"/>
        <v/>
      </c>
      <c r="D384" s="26" t="str">
        <f t="shared" si="16"/>
        <v/>
      </c>
      <c r="E384" s="26" t="str">
        <f t="shared" si="17"/>
        <v/>
      </c>
      <c r="F384" s="22"/>
      <c r="G384" s="22"/>
      <c r="H384" s="24"/>
      <c r="I384" s="22"/>
      <c r="J384" s="22"/>
    </row>
    <row r="385" spans="1:10" ht="15" x14ac:dyDescent="0.15">
      <c r="A385" s="29"/>
      <c r="B385" s="22"/>
      <c r="C385" s="26" t="str">
        <f t="shared" si="15"/>
        <v/>
      </c>
      <c r="D385" s="26" t="str">
        <f t="shared" si="16"/>
        <v/>
      </c>
      <c r="E385" s="26" t="str">
        <f t="shared" si="17"/>
        <v/>
      </c>
      <c r="F385" s="22"/>
      <c r="G385" s="22"/>
      <c r="H385" s="24"/>
      <c r="I385" s="22"/>
      <c r="J385" s="22"/>
    </row>
    <row r="386" spans="1:10" ht="15" x14ac:dyDescent="0.15">
      <c r="A386" s="29"/>
      <c r="B386" s="22"/>
      <c r="C386" s="26" t="str">
        <f t="shared" si="15"/>
        <v/>
      </c>
      <c r="D386" s="26" t="str">
        <f t="shared" si="16"/>
        <v/>
      </c>
      <c r="E386" s="26" t="str">
        <f t="shared" si="17"/>
        <v/>
      </c>
      <c r="F386" s="22"/>
      <c r="G386" s="22"/>
      <c r="H386" s="24"/>
      <c r="I386" s="22"/>
      <c r="J386" s="22"/>
    </row>
    <row r="387" spans="1:10" ht="15" x14ac:dyDescent="0.15">
      <c r="A387" s="29"/>
      <c r="B387" s="22"/>
      <c r="C387" s="26" t="str">
        <f t="shared" si="15"/>
        <v/>
      </c>
      <c r="D387" s="26" t="str">
        <f t="shared" si="16"/>
        <v/>
      </c>
      <c r="E387" s="26" t="str">
        <f t="shared" si="17"/>
        <v/>
      </c>
      <c r="F387" s="22"/>
      <c r="G387" s="22"/>
      <c r="H387" s="24"/>
      <c r="I387" s="22"/>
      <c r="J387" s="22"/>
    </row>
    <row r="388" spans="1:10" ht="15" x14ac:dyDescent="0.15">
      <c r="A388" s="29"/>
      <c r="B388" s="22"/>
      <c r="C388" s="26" t="str">
        <f t="shared" si="15"/>
        <v/>
      </c>
      <c r="D388" s="26" t="str">
        <f t="shared" si="16"/>
        <v/>
      </c>
      <c r="E388" s="26" t="str">
        <f t="shared" si="17"/>
        <v/>
      </c>
      <c r="F388" s="22"/>
      <c r="G388" s="22"/>
      <c r="H388" s="24"/>
      <c r="I388" s="22"/>
      <c r="J388" s="22"/>
    </row>
    <row r="389" spans="1:10" ht="15" x14ac:dyDescent="0.15">
      <c r="A389" s="29"/>
      <c r="B389" s="22"/>
      <c r="C389" s="26" t="str">
        <f t="shared" si="15"/>
        <v/>
      </c>
      <c r="D389" s="26" t="str">
        <f t="shared" si="16"/>
        <v/>
      </c>
      <c r="E389" s="26" t="str">
        <f t="shared" si="17"/>
        <v/>
      </c>
      <c r="F389" s="22"/>
      <c r="G389" s="22"/>
      <c r="H389" s="24"/>
      <c r="I389" s="22"/>
      <c r="J389" s="22"/>
    </row>
    <row r="390" spans="1:10" ht="15" x14ac:dyDescent="0.15">
      <c r="A390" s="29"/>
      <c r="B390" s="22"/>
      <c r="C390" s="26" t="str">
        <f t="shared" ref="C390:C453" si="18">IFERROR(IF($B390="","",LEFT($B390,FIND(" | ",$B390)-1)),"")</f>
        <v/>
      </c>
      <c r="D390" s="26" t="str">
        <f t="shared" ref="D390:D453" si="19">IFERROR(IF($B390="","",MID($B390,FIND(" | ",$B390)+3,FIND(" | ",$B390,FIND(" | ",$B390)+3)-FIND(" | ",$B390)-3)),"")</f>
        <v/>
      </c>
      <c r="E390" s="26" t="str">
        <f t="shared" ref="E390:E453" si="20">IFERROR(IF($B390="","",RIGHT($B390,LEN($B390)-FIND(" | ",$B390,FIND(" | ",$B390)+3)-2)),"")</f>
        <v/>
      </c>
      <c r="F390" s="22"/>
      <c r="G390" s="22"/>
      <c r="H390" s="24"/>
      <c r="I390" s="22"/>
      <c r="J390" s="22"/>
    </row>
    <row r="391" spans="1:10" ht="15" x14ac:dyDescent="0.15">
      <c r="A391" s="29"/>
      <c r="B391" s="22"/>
      <c r="C391" s="26" t="str">
        <f t="shared" si="18"/>
        <v/>
      </c>
      <c r="D391" s="26" t="str">
        <f t="shared" si="19"/>
        <v/>
      </c>
      <c r="E391" s="26" t="str">
        <f t="shared" si="20"/>
        <v/>
      </c>
      <c r="F391" s="22"/>
      <c r="G391" s="22"/>
      <c r="H391" s="24"/>
      <c r="I391" s="22"/>
      <c r="J391" s="22"/>
    </row>
    <row r="392" spans="1:10" ht="15" x14ac:dyDescent="0.15">
      <c r="A392" s="29"/>
      <c r="B392" s="22"/>
      <c r="C392" s="26" t="str">
        <f t="shared" si="18"/>
        <v/>
      </c>
      <c r="D392" s="26" t="str">
        <f t="shared" si="19"/>
        <v/>
      </c>
      <c r="E392" s="26" t="str">
        <f t="shared" si="20"/>
        <v/>
      </c>
      <c r="F392" s="22"/>
      <c r="G392" s="22"/>
      <c r="H392" s="24"/>
      <c r="I392" s="22"/>
      <c r="J392" s="22"/>
    </row>
    <row r="393" spans="1:10" ht="15" x14ac:dyDescent="0.15">
      <c r="A393" s="29"/>
      <c r="B393" s="22"/>
      <c r="C393" s="26" t="str">
        <f t="shared" si="18"/>
        <v/>
      </c>
      <c r="D393" s="26" t="str">
        <f t="shared" si="19"/>
        <v/>
      </c>
      <c r="E393" s="26" t="str">
        <f t="shared" si="20"/>
        <v/>
      </c>
      <c r="F393" s="22"/>
      <c r="G393" s="22"/>
      <c r="H393" s="24"/>
      <c r="I393" s="22"/>
      <c r="J393" s="22"/>
    </row>
    <row r="394" spans="1:10" ht="15" x14ac:dyDescent="0.15">
      <c r="A394" s="29"/>
      <c r="B394" s="22"/>
      <c r="C394" s="26" t="str">
        <f t="shared" si="18"/>
        <v/>
      </c>
      <c r="D394" s="26" t="str">
        <f t="shared" si="19"/>
        <v/>
      </c>
      <c r="E394" s="26" t="str">
        <f t="shared" si="20"/>
        <v/>
      </c>
      <c r="F394" s="22"/>
      <c r="G394" s="22"/>
      <c r="H394" s="24"/>
      <c r="I394" s="22"/>
      <c r="J394" s="22"/>
    </row>
    <row r="395" spans="1:10" ht="15" x14ac:dyDescent="0.15">
      <c r="A395" s="29"/>
      <c r="B395" s="22"/>
      <c r="C395" s="26" t="str">
        <f t="shared" si="18"/>
        <v/>
      </c>
      <c r="D395" s="26" t="str">
        <f t="shared" si="19"/>
        <v/>
      </c>
      <c r="E395" s="26" t="str">
        <f t="shared" si="20"/>
        <v/>
      </c>
      <c r="F395" s="22"/>
      <c r="G395" s="22"/>
      <c r="H395" s="24"/>
      <c r="I395" s="22"/>
      <c r="J395" s="22"/>
    </row>
    <row r="396" spans="1:10" ht="15" x14ac:dyDescent="0.15">
      <c r="A396" s="29"/>
      <c r="B396" s="22"/>
      <c r="C396" s="26" t="str">
        <f t="shared" si="18"/>
        <v/>
      </c>
      <c r="D396" s="26" t="str">
        <f t="shared" si="19"/>
        <v/>
      </c>
      <c r="E396" s="26" t="str">
        <f t="shared" si="20"/>
        <v/>
      </c>
      <c r="F396" s="22"/>
      <c r="G396" s="22"/>
      <c r="H396" s="24"/>
      <c r="I396" s="22"/>
      <c r="J396" s="22"/>
    </row>
    <row r="397" spans="1:10" ht="15" x14ac:dyDescent="0.15">
      <c r="A397" s="29"/>
      <c r="B397" s="22"/>
      <c r="C397" s="26" t="str">
        <f t="shared" si="18"/>
        <v/>
      </c>
      <c r="D397" s="26" t="str">
        <f t="shared" si="19"/>
        <v/>
      </c>
      <c r="E397" s="26" t="str">
        <f t="shared" si="20"/>
        <v/>
      </c>
      <c r="F397" s="22"/>
      <c r="G397" s="22"/>
      <c r="H397" s="24"/>
      <c r="I397" s="22"/>
      <c r="J397" s="22"/>
    </row>
    <row r="398" spans="1:10" ht="15" x14ac:dyDescent="0.15">
      <c r="A398" s="29"/>
      <c r="B398" s="22"/>
      <c r="C398" s="26" t="str">
        <f t="shared" si="18"/>
        <v/>
      </c>
      <c r="D398" s="26" t="str">
        <f t="shared" si="19"/>
        <v/>
      </c>
      <c r="E398" s="26" t="str">
        <f t="shared" si="20"/>
        <v/>
      </c>
      <c r="F398" s="22"/>
      <c r="G398" s="22"/>
      <c r="H398" s="24"/>
      <c r="I398" s="22"/>
      <c r="J398" s="22"/>
    </row>
    <row r="399" spans="1:10" ht="15" x14ac:dyDescent="0.15">
      <c r="A399" s="29"/>
      <c r="B399" s="22"/>
      <c r="C399" s="26" t="str">
        <f t="shared" si="18"/>
        <v/>
      </c>
      <c r="D399" s="26" t="str">
        <f t="shared" si="19"/>
        <v/>
      </c>
      <c r="E399" s="26" t="str">
        <f t="shared" si="20"/>
        <v/>
      </c>
      <c r="F399" s="22"/>
      <c r="G399" s="22"/>
      <c r="H399" s="24"/>
      <c r="I399" s="22"/>
      <c r="J399" s="22"/>
    </row>
    <row r="400" spans="1:10" ht="15" x14ac:dyDescent="0.15">
      <c r="A400" s="29"/>
      <c r="B400" s="22"/>
      <c r="C400" s="26" t="str">
        <f t="shared" si="18"/>
        <v/>
      </c>
      <c r="D400" s="26" t="str">
        <f t="shared" si="19"/>
        <v/>
      </c>
      <c r="E400" s="26" t="str">
        <f t="shared" si="20"/>
        <v/>
      </c>
      <c r="F400" s="22"/>
      <c r="G400" s="22"/>
      <c r="H400" s="24"/>
      <c r="I400" s="22"/>
      <c r="J400" s="22"/>
    </row>
    <row r="401" spans="1:10" ht="15" x14ac:dyDescent="0.15">
      <c r="A401" s="29"/>
      <c r="B401" s="22"/>
      <c r="C401" s="26" t="str">
        <f t="shared" si="18"/>
        <v/>
      </c>
      <c r="D401" s="26" t="str">
        <f t="shared" si="19"/>
        <v/>
      </c>
      <c r="E401" s="26" t="str">
        <f t="shared" si="20"/>
        <v/>
      </c>
      <c r="F401" s="22"/>
      <c r="G401" s="22"/>
      <c r="H401" s="24"/>
      <c r="I401" s="22"/>
      <c r="J401" s="22"/>
    </row>
    <row r="402" spans="1:10" ht="15" x14ac:dyDescent="0.15">
      <c r="A402" s="29"/>
      <c r="B402" s="22"/>
      <c r="C402" s="26" t="str">
        <f t="shared" si="18"/>
        <v/>
      </c>
      <c r="D402" s="26" t="str">
        <f t="shared" si="19"/>
        <v/>
      </c>
      <c r="E402" s="26" t="str">
        <f t="shared" si="20"/>
        <v/>
      </c>
      <c r="F402" s="22"/>
      <c r="G402" s="22"/>
      <c r="H402" s="24"/>
      <c r="I402" s="22"/>
      <c r="J402" s="22"/>
    </row>
    <row r="403" spans="1:10" ht="15" x14ac:dyDescent="0.15">
      <c r="A403" s="29"/>
      <c r="B403" s="22"/>
      <c r="C403" s="26" t="str">
        <f t="shared" si="18"/>
        <v/>
      </c>
      <c r="D403" s="26" t="str">
        <f t="shared" si="19"/>
        <v/>
      </c>
      <c r="E403" s="26" t="str">
        <f t="shared" si="20"/>
        <v/>
      </c>
      <c r="F403" s="22"/>
      <c r="G403" s="22"/>
      <c r="H403" s="24"/>
      <c r="I403" s="22"/>
      <c r="J403" s="22"/>
    </row>
    <row r="404" spans="1:10" ht="15" x14ac:dyDescent="0.15">
      <c r="A404" s="29"/>
      <c r="B404" s="22"/>
      <c r="C404" s="26" t="str">
        <f t="shared" si="18"/>
        <v/>
      </c>
      <c r="D404" s="26" t="str">
        <f t="shared" si="19"/>
        <v/>
      </c>
      <c r="E404" s="26" t="str">
        <f t="shared" si="20"/>
        <v/>
      </c>
      <c r="F404" s="22"/>
      <c r="G404" s="22"/>
      <c r="H404" s="24"/>
      <c r="I404" s="22"/>
      <c r="J404" s="22"/>
    </row>
    <row r="405" spans="1:10" ht="15" x14ac:dyDescent="0.15">
      <c r="A405" s="29"/>
      <c r="B405" s="22"/>
      <c r="C405" s="26" t="str">
        <f t="shared" si="18"/>
        <v/>
      </c>
      <c r="D405" s="26" t="str">
        <f t="shared" si="19"/>
        <v/>
      </c>
      <c r="E405" s="26" t="str">
        <f t="shared" si="20"/>
        <v/>
      </c>
      <c r="F405" s="22"/>
      <c r="G405" s="22"/>
      <c r="H405" s="24"/>
      <c r="I405" s="22"/>
      <c r="J405" s="22"/>
    </row>
    <row r="406" spans="1:10" ht="15" x14ac:dyDescent="0.15">
      <c r="A406" s="29"/>
      <c r="B406" s="22"/>
      <c r="C406" s="26" t="str">
        <f t="shared" si="18"/>
        <v/>
      </c>
      <c r="D406" s="26" t="str">
        <f t="shared" si="19"/>
        <v/>
      </c>
      <c r="E406" s="26" t="str">
        <f t="shared" si="20"/>
        <v/>
      </c>
      <c r="F406" s="22"/>
      <c r="G406" s="22"/>
      <c r="H406" s="24"/>
      <c r="I406" s="22"/>
      <c r="J406" s="22"/>
    </row>
    <row r="407" spans="1:10" ht="15" x14ac:dyDescent="0.15">
      <c r="A407" s="29"/>
      <c r="B407" s="22"/>
      <c r="C407" s="26" t="str">
        <f t="shared" si="18"/>
        <v/>
      </c>
      <c r="D407" s="26" t="str">
        <f t="shared" si="19"/>
        <v/>
      </c>
      <c r="E407" s="26" t="str">
        <f t="shared" si="20"/>
        <v/>
      </c>
      <c r="F407" s="22"/>
      <c r="G407" s="22"/>
      <c r="H407" s="24"/>
      <c r="I407" s="22"/>
      <c r="J407" s="22"/>
    </row>
    <row r="408" spans="1:10" ht="15" x14ac:dyDescent="0.15">
      <c r="A408" s="29"/>
      <c r="B408" s="22"/>
      <c r="C408" s="26" t="str">
        <f t="shared" si="18"/>
        <v/>
      </c>
      <c r="D408" s="26" t="str">
        <f t="shared" si="19"/>
        <v/>
      </c>
      <c r="E408" s="26" t="str">
        <f t="shared" si="20"/>
        <v/>
      </c>
      <c r="F408" s="22"/>
      <c r="G408" s="22"/>
      <c r="H408" s="24"/>
      <c r="I408" s="22"/>
      <c r="J408" s="22"/>
    </row>
    <row r="409" spans="1:10" ht="15" x14ac:dyDescent="0.15">
      <c r="A409" s="29"/>
      <c r="B409" s="22"/>
      <c r="C409" s="26" t="str">
        <f t="shared" si="18"/>
        <v/>
      </c>
      <c r="D409" s="26" t="str">
        <f t="shared" si="19"/>
        <v/>
      </c>
      <c r="E409" s="26" t="str">
        <f t="shared" si="20"/>
        <v/>
      </c>
      <c r="F409" s="22"/>
      <c r="G409" s="22"/>
      <c r="H409" s="24"/>
      <c r="I409" s="22"/>
      <c r="J409" s="22"/>
    </row>
    <row r="410" spans="1:10" ht="15" x14ac:dyDescent="0.15">
      <c r="A410" s="29"/>
      <c r="B410" s="22"/>
      <c r="C410" s="26" t="str">
        <f t="shared" si="18"/>
        <v/>
      </c>
      <c r="D410" s="26" t="str">
        <f t="shared" si="19"/>
        <v/>
      </c>
      <c r="E410" s="26" t="str">
        <f t="shared" si="20"/>
        <v/>
      </c>
      <c r="F410" s="22"/>
      <c r="G410" s="22"/>
      <c r="H410" s="24"/>
      <c r="I410" s="22"/>
      <c r="J410" s="22"/>
    </row>
    <row r="411" spans="1:10" ht="15" x14ac:dyDescent="0.15">
      <c r="A411" s="29"/>
      <c r="B411" s="22"/>
      <c r="C411" s="26" t="str">
        <f t="shared" si="18"/>
        <v/>
      </c>
      <c r="D411" s="26" t="str">
        <f t="shared" si="19"/>
        <v/>
      </c>
      <c r="E411" s="26" t="str">
        <f t="shared" si="20"/>
        <v/>
      </c>
      <c r="F411" s="22"/>
      <c r="G411" s="22"/>
      <c r="H411" s="24"/>
      <c r="I411" s="22"/>
      <c r="J411" s="22"/>
    </row>
    <row r="412" spans="1:10" ht="15" x14ac:dyDescent="0.15">
      <c r="A412" s="29"/>
      <c r="B412" s="22"/>
      <c r="C412" s="26" t="str">
        <f t="shared" si="18"/>
        <v/>
      </c>
      <c r="D412" s="26" t="str">
        <f t="shared" si="19"/>
        <v/>
      </c>
      <c r="E412" s="26" t="str">
        <f t="shared" si="20"/>
        <v/>
      </c>
      <c r="F412" s="22"/>
      <c r="G412" s="22"/>
      <c r="H412" s="24"/>
      <c r="I412" s="22"/>
      <c r="J412" s="22"/>
    </row>
    <row r="413" spans="1:10" ht="15" x14ac:dyDescent="0.15">
      <c r="A413" s="29"/>
      <c r="B413" s="22"/>
      <c r="C413" s="26" t="str">
        <f t="shared" si="18"/>
        <v/>
      </c>
      <c r="D413" s="26" t="str">
        <f t="shared" si="19"/>
        <v/>
      </c>
      <c r="E413" s="26" t="str">
        <f t="shared" si="20"/>
        <v/>
      </c>
      <c r="F413" s="22"/>
      <c r="G413" s="22"/>
      <c r="H413" s="24"/>
      <c r="I413" s="22"/>
      <c r="J413" s="22"/>
    </row>
    <row r="414" spans="1:10" ht="15" x14ac:dyDescent="0.15">
      <c r="A414" s="29"/>
      <c r="B414" s="22"/>
      <c r="C414" s="26" t="str">
        <f t="shared" si="18"/>
        <v/>
      </c>
      <c r="D414" s="26" t="str">
        <f t="shared" si="19"/>
        <v/>
      </c>
      <c r="E414" s="26" t="str">
        <f t="shared" si="20"/>
        <v/>
      </c>
      <c r="F414" s="22"/>
      <c r="G414" s="22"/>
      <c r="H414" s="24"/>
      <c r="I414" s="22"/>
      <c r="J414" s="22"/>
    </row>
    <row r="415" spans="1:10" ht="15" x14ac:dyDescent="0.15">
      <c r="A415" s="29"/>
      <c r="B415" s="22"/>
      <c r="C415" s="26" t="str">
        <f t="shared" si="18"/>
        <v/>
      </c>
      <c r="D415" s="26" t="str">
        <f t="shared" si="19"/>
        <v/>
      </c>
      <c r="E415" s="26" t="str">
        <f t="shared" si="20"/>
        <v/>
      </c>
      <c r="F415" s="22"/>
      <c r="G415" s="22"/>
      <c r="H415" s="24"/>
      <c r="I415" s="22"/>
      <c r="J415" s="22"/>
    </row>
    <row r="416" spans="1:10" ht="15" x14ac:dyDescent="0.15">
      <c r="A416" s="29"/>
      <c r="B416" s="22"/>
      <c r="C416" s="26" t="str">
        <f t="shared" si="18"/>
        <v/>
      </c>
      <c r="D416" s="26" t="str">
        <f t="shared" si="19"/>
        <v/>
      </c>
      <c r="E416" s="26" t="str">
        <f t="shared" si="20"/>
        <v/>
      </c>
      <c r="F416" s="22"/>
      <c r="G416" s="22"/>
      <c r="H416" s="24"/>
      <c r="I416" s="22"/>
      <c r="J416" s="22"/>
    </row>
    <row r="417" spans="1:10" ht="15" x14ac:dyDescent="0.15">
      <c r="A417" s="29"/>
      <c r="B417" s="22"/>
      <c r="C417" s="26" t="str">
        <f t="shared" si="18"/>
        <v/>
      </c>
      <c r="D417" s="26" t="str">
        <f t="shared" si="19"/>
        <v/>
      </c>
      <c r="E417" s="26" t="str">
        <f t="shared" si="20"/>
        <v/>
      </c>
      <c r="F417" s="22"/>
      <c r="G417" s="22"/>
      <c r="H417" s="24"/>
      <c r="I417" s="22"/>
      <c r="J417" s="22"/>
    </row>
    <row r="418" spans="1:10" ht="15" x14ac:dyDescent="0.15">
      <c r="A418" s="29"/>
      <c r="B418" s="22"/>
      <c r="C418" s="26" t="str">
        <f t="shared" si="18"/>
        <v/>
      </c>
      <c r="D418" s="26" t="str">
        <f t="shared" si="19"/>
        <v/>
      </c>
      <c r="E418" s="26" t="str">
        <f t="shared" si="20"/>
        <v/>
      </c>
      <c r="F418" s="22"/>
      <c r="G418" s="22"/>
      <c r="H418" s="24"/>
      <c r="I418" s="22"/>
      <c r="J418" s="22"/>
    </row>
    <row r="419" spans="1:10" ht="15" x14ac:dyDescent="0.15">
      <c r="A419" s="29"/>
      <c r="B419" s="22"/>
      <c r="C419" s="26" t="str">
        <f t="shared" si="18"/>
        <v/>
      </c>
      <c r="D419" s="26" t="str">
        <f t="shared" si="19"/>
        <v/>
      </c>
      <c r="E419" s="26" t="str">
        <f t="shared" si="20"/>
        <v/>
      </c>
      <c r="F419" s="22"/>
      <c r="G419" s="22"/>
      <c r="H419" s="24"/>
      <c r="I419" s="22"/>
      <c r="J419" s="22"/>
    </row>
    <row r="420" spans="1:10" ht="15" x14ac:dyDescent="0.15">
      <c r="A420" s="29"/>
      <c r="B420" s="22"/>
      <c r="C420" s="26" t="str">
        <f t="shared" si="18"/>
        <v/>
      </c>
      <c r="D420" s="26" t="str">
        <f t="shared" si="19"/>
        <v/>
      </c>
      <c r="E420" s="26" t="str">
        <f t="shared" si="20"/>
        <v/>
      </c>
      <c r="F420" s="22"/>
      <c r="G420" s="22"/>
      <c r="H420" s="24"/>
      <c r="I420" s="22"/>
      <c r="J420" s="22"/>
    </row>
    <row r="421" spans="1:10" ht="15" x14ac:dyDescent="0.15">
      <c r="A421" s="29"/>
      <c r="B421" s="22"/>
      <c r="C421" s="26" t="str">
        <f t="shared" si="18"/>
        <v/>
      </c>
      <c r="D421" s="26" t="str">
        <f t="shared" si="19"/>
        <v/>
      </c>
      <c r="E421" s="26" t="str">
        <f t="shared" si="20"/>
        <v/>
      </c>
      <c r="F421" s="22"/>
      <c r="G421" s="22"/>
      <c r="H421" s="24"/>
      <c r="I421" s="22"/>
      <c r="J421" s="22"/>
    </row>
    <row r="422" spans="1:10" ht="15" x14ac:dyDescent="0.15">
      <c r="A422" s="29"/>
      <c r="B422" s="22"/>
      <c r="C422" s="26" t="str">
        <f t="shared" si="18"/>
        <v/>
      </c>
      <c r="D422" s="26" t="str">
        <f t="shared" si="19"/>
        <v/>
      </c>
      <c r="E422" s="26" t="str">
        <f t="shared" si="20"/>
        <v/>
      </c>
      <c r="F422" s="22"/>
      <c r="G422" s="22"/>
      <c r="H422" s="24"/>
      <c r="I422" s="22"/>
      <c r="J422" s="22"/>
    </row>
    <row r="423" spans="1:10" ht="15" x14ac:dyDescent="0.15">
      <c r="A423" s="29"/>
      <c r="B423" s="22"/>
      <c r="C423" s="26" t="str">
        <f t="shared" si="18"/>
        <v/>
      </c>
      <c r="D423" s="26" t="str">
        <f t="shared" si="19"/>
        <v/>
      </c>
      <c r="E423" s="26" t="str">
        <f t="shared" si="20"/>
        <v/>
      </c>
      <c r="F423" s="22"/>
      <c r="G423" s="22"/>
      <c r="H423" s="24"/>
      <c r="I423" s="22"/>
      <c r="J423" s="22"/>
    </row>
    <row r="424" spans="1:10" ht="15" x14ac:dyDescent="0.15">
      <c r="A424" s="29"/>
      <c r="B424" s="22"/>
      <c r="C424" s="26" t="str">
        <f t="shared" si="18"/>
        <v/>
      </c>
      <c r="D424" s="26" t="str">
        <f t="shared" si="19"/>
        <v/>
      </c>
      <c r="E424" s="26" t="str">
        <f t="shared" si="20"/>
        <v/>
      </c>
      <c r="F424" s="22"/>
      <c r="G424" s="22"/>
      <c r="H424" s="24"/>
      <c r="I424" s="22"/>
      <c r="J424" s="22"/>
    </row>
    <row r="425" spans="1:10" ht="15" x14ac:dyDescent="0.15">
      <c r="A425" s="29"/>
      <c r="B425" s="22"/>
      <c r="C425" s="26" t="str">
        <f t="shared" si="18"/>
        <v/>
      </c>
      <c r="D425" s="26" t="str">
        <f t="shared" si="19"/>
        <v/>
      </c>
      <c r="E425" s="26" t="str">
        <f t="shared" si="20"/>
        <v/>
      </c>
      <c r="F425" s="22"/>
      <c r="G425" s="22"/>
      <c r="H425" s="24"/>
      <c r="I425" s="22"/>
      <c r="J425" s="22"/>
    </row>
    <row r="426" spans="1:10" ht="15" x14ac:dyDescent="0.15">
      <c r="A426" s="29"/>
      <c r="B426" s="22"/>
      <c r="C426" s="26" t="str">
        <f t="shared" si="18"/>
        <v/>
      </c>
      <c r="D426" s="26" t="str">
        <f t="shared" si="19"/>
        <v/>
      </c>
      <c r="E426" s="26" t="str">
        <f t="shared" si="20"/>
        <v/>
      </c>
      <c r="F426" s="22"/>
      <c r="G426" s="22"/>
      <c r="H426" s="24"/>
      <c r="I426" s="22"/>
      <c r="J426" s="22"/>
    </row>
    <row r="427" spans="1:10" ht="15" x14ac:dyDescent="0.15">
      <c r="A427" s="29"/>
      <c r="B427" s="22"/>
      <c r="C427" s="26" t="str">
        <f t="shared" si="18"/>
        <v/>
      </c>
      <c r="D427" s="26" t="str">
        <f t="shared" si="19"/>
        <v/>
      </c>
      <c r="E427" s="26" t="str">
        <f t="shared" si="20"/>
        <v/>
      </c>
      <c r="F427" s="22"/>
      <c r="G427" s="22"/>
      <c r="H427" s="24"/>
      <c r="I427" s="22"/>
      <c r="J427" s="22"/>
    </row>
    <row r="428" spans="1:10" ht="15" x14ac:dyDescent="0.15">
      <c r="A428" s="29"/>
      <c r="B428" s="22"/>
      <c r="C428" s="26" t="str">
        <f t="shared" si="18"/>
        <v/>
      </c>
      <c r="D428" s="26" t="str">
        <f t="shared" si="19"/>
        <v/>
      </c>
      <c r="E428" s="26" t="str">
        <f t="shared" si="20"/>
        <v/>
      </c>
      <c r="F428" s="22"/>
      <c r="G428" s="22"/>
      <c r="H428" s="24"/>
      <c r="I428" s="22"/>
      <c r="J428" s="22"/>
    </row>
    <row r="429" spans="1:10" ht="15" x14ac:dyDescent="0.15">
      <c r="A429" s="29"/>
      <c r="B429" s="22"/>
      <c r="C429" s="26" t="str">
        <f t="shared" si="18"/>
        <v/>
      </c>
      <c r="D429" s="26" t="str">
        <f t="shared" si="19"/>
        <v/>
      </c>
      <c r="E429" s="26" t="str">
        <f t="shared" si="20"/>
        <v/>
      </c>
      <c r="F429" s="22"/>
      <c r="G429" s="22"/>
      <c r="H429" s="24"/>
      <c r="I429" s="22"/>
      <c r="J429" s="22"/>
    </row>
    <row r="430" spans="1:10" ht="15" x14ac:dyDescent="0.15">
      <c r="A430" s="29"/>
      <c r="B430" s="22"/>
      <c r="C430" s="26" t="str">
        <f t="shared" si="18"/>
        <v/>
      </c>
      <c r="D430" s="26" t="str">
        <f t="shared" si="19"/>
        <v/>
      </c>
      <c r="E430" s="26" t="str">
        <f t="shared" si="20"/>
        <v/>
      </c>
      <c r="F430" s="22"/>
      <c r="G430" s="22"/>
      <c r="H430" s="24"/>
      <c r="I430" s="22"/>
      <c r="J430" s="22"/>
    </row>
    <row r="431" spans="1:10" ht="15" x14ac:dyDescent="0.15">
      <c r="A431" s="29"/>
      <c r="B431" s="22"/>
      <c r="C431" s="26" t="str">
        <f t="shared" si="18"/>
        <v/>
      </c>
      <c r="D431" s="26" t="str">
        <f t="shared" si="19"/>
        <v/>
      </c>
      <c r="E431" s="26" t="str">
        <f t="shared" si="20"/>
        <v/>
      </c>
      <c r="F431" s="22"/>
      <c r="G431" s="22"/>
      <c r="H431" s="24"/>
      <c r="I431" s="22"/>
      <c r="J431" s="22"/>
    </row>
    <row r="432" spans="1:10" ht="15" x14ac:dyDescent="0.15">
      <c r="A432" s="29"/>
      <c r="B432" s="22"/>
      <c r="C432" s="26" t="str">
        <f t="shared" si="18"/>
        <v/>
      </c>
      <c r="D432" s="26" t="str">
        <f t="shared" si="19"/>
        <v/>
      </c>
      <c r="E432" s="26" t="str">
        <f t="shared" si="20"/>
        <v/>
      </c>
      <c r="F432" s="22"/>
      <c r="G432" s="22"/>
      <c r="H432" s="24"/>
      <c r="I432" s="22"/>
      <c r="J432" s="22"/>
    </row>
    <row r="433" spans="1:10" ht="15" x14ac:dyDescent="0.15">
      <c r="A433" s="29"/>
      <c r="B433" s="22"/>
      <c r="C433" s="26" t="str">
        <f t="shared" si="18"/>
        <v/>
      </c>
      <c r="D433" s="26" t="str">
        <f t="shared" si="19"/>
        <v/>
      </c>
      <c r="E433" s="26" t="str">
        <f t="shared" si="20"/>
        <v/>
      </c>
      <c r="F433" s="22"/>
      <c r="G433" s="22"/>
      <c r="H433" s="24"/>
      <c r="I433" s="22"/>
      <c r="J433" s="22"/>
    </row>
    <row r="434" spans="1:10" ht="15" x14ac:dyDescent="0.15">
      <c r="A434" s="29"/>
      <c r="B434" s="22"/>
      <c r="C434" s="26" t="str">
        <f t="shared" si="18"/>
        <v/>
      </c>
      <c r="D434" s="26" t="str">
        <f t="shared" si="19"/>
        <v/>
      </c>
      <c r="E434" s="26" t="str">
        <f t="shared" si="20"/>
        <v/>
      </c>
      <c r="F434" s="22"/>
      <c r="G434" s="22"/>
      <c r="H434" s="24"/>
      <c r="I434" s="22"/>
      <c r="J434" s="22"/>
    </row>
    <row r="435" spans="1:10" ht="15" x14ac:dyDescent="0.15">
      <c r="A435" s="29"/>
      <c r="B435" s="22"/>
      <c r="C435" s="26" t="str">
        <f t="shared" si="18"/>
        <v/>
      </c>
      <c r="D435" s="26" t="str">
        <f t="shared" si="19"/>
        <v/>
      </c>
      <c r="E435" s="26" t="str">
        <f t="shared" si="20"/>
        <v/>
      </c>
      <c r="F435" s="22"/>
      <c r="G435" s="22"/>
      <c r="H435" s="24"/>
      <c r="I435" s="22"/>
      <c r="J435" s="22"/>
    </row>
    <row r="436" spans="1:10" ht="15" x14ac:dyDescent="0.15">
      <c r="A436" s="29"/>
      <c r="B436" s="22"/>
      <c r="C436" s="26" t="str">
        <f t="shared" si="18"/>
        <v/>
      </c>
      <c r="D436" s="26" t="str">
        <f t="shared" si="19"/>
        <v/>
      </c>
      <c r="E436" s="26" t="str">
        <f t="shared" si="20"/>
        <v/>
      </c>
      <c r="F436" s="22"/>
      <c r="G436" s="22"/>
      <c r="H436" s="24"/>
      <c r="I436" s="22"/>
      <c r="J436" s="22"/>
    </row>
    <row r="437" spans="1:10" ht="15" x14ac:dyDescent="0.15">
      <c r="A437" s="29"/>
      <c r="B437" s="22"/>
      <c r="C437" s="26" t="str">
        <f t="shared" si="18"/>
        <v/>
      </c>
      <c r="D437" s="26" t="str">
        <f t="shared" si="19"/>
        <v/>
      </c>
      <c r="E437" s="26" t="str">
        <f t="shared" si="20"/>
        <v/>
      </c>
      <c r="F437" s="22"/>
      <c r="G437" s="22"/>
      <c r="H437" s="24"/>
      <c r="I437" s="22"/>
      <c r="J437" s="22"/>
    </row>
    <row r="438" spans="1:10" ht="15" x14ac:dyDescent="0.15">
      <c r="A438" s="29"/>
      <c r="B438" s="22"/>
      <c r="C438" s="26" t="str">
        <f t="shared" si="18"/>
        <v/>
      </c>
      <c r="D438" s="26" t="str">
        <f t="shared" si="19"/>
        <v/>
      </c>
      <c r="E438" s="26" t="str">
        <f t="shared" si="20"/>
        <v/>
      </c>
      <c r="F438" s="22"/>
      <c r="G438" s="22"/>
      <c r="H438" s="24"/>
      <c r="I438" s="22"/>
      <c r="J438" s="22"/>
    </row>
    <row r="439" spans="1:10" ht="15" x14ac:dyDescent="0.15">
      <c r="A439" s="29"/>
      <c r="B439" s="22"/>
      <c r="C439" s="26" t="str">
        <f t="shared" si="18"/>
        <v/>
      </c>
      <c r="D439" s="26" t="str">
        <f t="shared" si="19"/>
        <v/>
      </c>
      <c r="E439" s="26" t="str">
        <f t="shared" si="20"/>
        <v/>
      </c>
      <c r="F439" s="22"/>
      <c r="G439" s="22"/>
      <c r="H439" s="24"/>
      <c r="I439" s="22"/>
      <c r="J439" s="22"/>
    </row>
    <row r="440" spans="1:10" ht="15" x14ac:dyDescent="0.15">
      <c r="A440" s="29"/>
      <c r="B440" s="22"/>
      <c r="C440" s="26" t="str">
        <f t="shared" si="18"/>
        <v/>
      </c>
      <c r="D440" s="26" t="str">
        <f t="shared" si="19"/>
        <v/>
      </c>
      <c r="E440" s="26" t="str">
        <f t="shared" si="20"/>
        <v/>
      </c>
      <c r="F440" s="22"/>
      <c r="G440" s="22"/>
      <c r="H440" s="24"/>
      <c r="I440" s="22"/>
      <c r="J440" s="22"/>
    </row>
    <row r="441" spans="1:10" ht="15" x14ac:dyDescent="0.15">
      <c r="A441" s="29"/>
      <c r="B441" s="22"/>
      <c r="C441" s="26" t="str">
        <f t="shared" si="18"/>
        <v/>
      </c>
      <c r="D441" s="26" t="str">
        <f t="shared" si="19"/>
        <v/>
      </c>
      <c r="E441" s="26" t="str">
        <f t="shared" si="20"/>
        <v/>
      </c>
      <c r="F441" s="22"/>
      <c r="G441" s="22"/>
      <c r="H441" s="24"/>
      <c r="I441" s="22"/>
      <c r="J441" s="22"/>
    </row>
    <row r="442" spans="1:10" ht="15" x14ac:dyDescent="0.15">
      <c r="A442" s="29"/>
      <c r="B442" s="22"/>
      <c r="C442" s="26" t="str">
        <f t="shared" si="18"/>
        <v/>
      </c>
      <c r="D442" s="26" t="str">
        <f t="shared" si="19"/>
        <v/>
      </c>
      <c r="E442" s="26" t="str">
        <f t="shared" si="20"/>
        <v/>
      </c>
      <c r="F442" s="22"/>
      <c r="G442" s="22"/>
      <c r="H442" s="24"/>
      <c r="I442" s="22"/>
      <c r="J442" s="22"/>
    </row>
    <row r="443" spans="1:10" ht="15" x14ac:dyDescent="0.15">
      <c r="A443" s="29"/>
      <c r="B443" s="22"/>
      <c r="C443" s="26" t="str">
        <f t="shared" si="18"/>
        <v/>
      </c>
      <c r="D443" s="26" t="str">
        <f t="shared" si="19"/>
        <v/>
      </c>
      <c r="E443" s="26" t="str">
        <f t="shared" si="20"/>
        <v/>
      </c>
      <c r="F443" s="22"/>
      <c r="G443" s="22"/>
      <c r="H443" s="24"/>
      <c r="I443" s="22"/>
      <c r="J443" s="22"/>
    </row>
    <row r="444" spans="1:10" ht="15" x14ac:dyDescent="0.15">
      <c r="A444" s="29"/>
      <c r="B444" s="22"/>
      <c r="C444" s="26" t="str">
        <f t="shared" si="18"/>
        <v/>
      </c>
      <c r="D444" s="26" t="str">
        <f t="shared" si="19"/>
        <v/>
      </c>
      <c r="E444" s="26" t="str">
        <f t="shared" si="20"/>
        <v/>
      </c>
      <c r="F444" s="22"/>
      <c r="G444" s="22"/>
      <c r="H444" s="24"/>
      <c r="I444" s="22"/>
      <c r="J444" s="22"/>
    </row>
    <row r="445" spans="1:10" ht="15" x14ac:dyDescent="0.15">
      <c r="A445" s="29"/>
      <c r="B445" s="22"/>
      <c r="C445" s="26" t="str">
        <f t="shared" si="18"/>
        <v/>
      </c>
      <c r="D445" s="26" t="str">
        <f t="shared" si="19"/>
        <v/>
      </c>
      <c r="E445" s="26" t="str">
        <f t="shared" si="20"/>
        <v/>
      </c>
      <c r="F445" s="22"/>
      <c r="G445" s="22"/>
      <c r="H445" s="24"/>
      <c r="I445" s="22"/>
      <c r="J445" s="22"/>
    </row>
    <row r="446" spans="1:10" ht="15" x14ac:dyDescent="0.15">
      <c r="A446" s="29"/>
      <c r="B446" s="22"/>
      <c r="C446" s="26" t="str">
        <f t="shared" si="18"/>
        <v/>
      </c>
      <c r="D446" s="26" t="str">
        <f t="shared" si="19"/>
        <v/>
      </c>
      <c r="E446" s="26" t="str">
        <f t="shared" si="20"/>
        <v/>
      </c>
      <c r="F446" s="22"/>
      <c r="G446" s="22"/>
      <c r="H446" s="24"/>
      <c r="I446" s="22"/>
      <c r="J446" s="22"/>
    </row>
    <row r="447" spans="1:10" ht="15" x14ac:dyDescent="0.15">
      <c r="A447" s="29"/>
      <c r="B447" s="22"/>
      <c r="C447" s="26" t="str">
        <f t="shared" si="18"/>
        <v/>
      </c>
      <c r="D447" s="26" t="str">
        <f t="shared" si="19"/>
        <v/>
      </c>
      <c r="E447" s="26" t="str">
        <f t="shared" si="20"/>
        <v/>
      </c>
      <c r="F447" s="22"/>
      <c r="G447" s="22"/>
      <c r="H447" s="24"/>
      <c r="I447" s="22"/>
      <c r="J447" s="22"/>
    </row>
    <row r="448" spans="1:10" ht="15" x14ac:dyDescent="0.15">
      <c r="A448" s="29"/>
      <c r="B448" s="22"/>
      <c r="C448" s="26" t="str">
        <f t="shared" si="18"/>
        <v/>
      </c>
      <c r="D448" s="26" t="str">
        <f t="shared" si="19"/>
        <v/>
      </c>
      <c r="E448" s="26" t="str">
        <f t="shared" si="20"/>
        <v/>
      </c>
      <c r="F448" s="22"/>
      <c r="G448" s="22"/>
      <c r="H448" s="24"/>
      <c r="I448" s="22"/>
      <c r="J448" s="22"/>
    </row>
    <row r="449" spans="1:10" ht="15" x14ac:dyDescent="0.15">
      <c r="A449" s="29"/>
      <c r="B449" s="22"/>
      <c r="C449" s="26" t="str">
        <f t="shared" si="18"/>
        <v/>
      </c>
      <c r="D449" s="26" t="str">
        <f t="shared" si="19"/>
        <v/>
      </c>
      <c r="E449" s="26" t="str">
        <f t="shared" si="20"/>
        <v/>
      </c>
      <c r="F449" s="22"/>
      <c r="G449" s="22"/>
      <c r="H449" s="24"/>
      <c r="I449" s="22"/>
      <c r="J449" s="22"/>
    </row>
    <row r="450" spans="1:10" ht="15" x14ac:dyDescent="0.15">
      <c r="A450" s="29"/>
      <c r="B450" s="22"/>
      <c r="C450" s="26" t="str">
        <f t="shared" si="18"/>
        <v/>
      </c>
      <c r="D450" s="26" t="str">
        <f t="shared" si="19"/>
        <v/>
      </c>
      <c r="E450" s="26" t="str">
        <f t="shared" si="20"/>
        <v/>
      </c>
      <c r="F450" s="22"/>
      <c r="G450" s="22"/>
      <c r="H450" s="24"/>
      <c r="I450" s="22"/>
      <c r="J450" s="22"/>
    </row>
    <row r="451" spans="1:10" ht="15" x14ac:dyDescent="0.15">
      <c r="A451" s="29"/>
      <c r="B451" s="22"/>
      <c r="C451" s="26" t="str">
        <f t="shared" si="18"/>
        <v/>
      </c>
      <c r="D451" s="26" t="str">
        <f t="shared" si="19"/>
        <v/>
      </c>
      <c r="E451" s="26" t="str">
        <f t="shared" si="20"/>
        <v/>
      </c>
      <c r="F451" s="22"/>
      <c r="G451" s="22"/>
      <c r="H451" s="24"/>
      <c r="I451" s="22"/>
      <c r="J451" s="22"/>
    </row>
    <row r="452" spans="1:10" ht="15" x14ac:dyDescent="0.15">
      <c r="A452" s="29"/>
      <c r="B452" s="22"/>
      <c r="C452" s="26" t="str">
        <f t="shared" si="18"/>
        <v/>
      </c>
      <c r="D452" s="26" t="str">
        <f t="shared" si="19"/>
        <v/>
      </c>
      <c r="E452" s="26" t="str">
        <f t="shared" si="20"/>
        <v/>
      </c>
      <c r="F452" s="22"/>
      <c r="G452" s="22"/>
      <c r="H452" s="24"/>
      <c r="I452" s="22"/>
      <c r="J452" s="22"/>
    </row>
    <row r="453" spans="1:10" ht="15" x14ac:dyDescent="0.15">
      <c r="A453" s="29"/>
      <c r="B453" s="22"/>
      <c r="C453" s="26" t="str">
        <f t="shared" si="18"/>
        <v/>
      </c>
      <c r="D453" s="26" t="str">
        <f t="shared" si="19"/>
        <v/>
      </c>
      <c r="E453" s="26" t="str">
        <f t="shared" si="20"/>
        <v/>
      </c>
      <c r="F453" s="22"/>
      <c r="G453" s="22"/>
      <c r="H453" s="24"/>
      <c r="I453" s="22"/>
      <c r="J453" s="22"/>
    </row>
    <row r="454" spans="1:10" ht="15" x14ac:dyDescent="0.15">
      <c r="A454" s="29"/>
      <c r="B454" s="22"/>
      <c r="C454" s="26" t="str">
        <f t="shared" ref="C454:C505" si="21">IFERROR(IF($B454="","",LEFT($B454,FIND(" | ",$B454)-1)),"")</f>
        <v/>
      </c>
      <c r="D454" s="26" t="str">
        <f t="shared" ref="D454:D505" si="22">IFERROR(IF($B454="","",MID($B454,FIND(" | ",$B454)+3,FIND(" | ",$B454,FIND(" | ",$B454)+3)-FIND(" | ",$B454)-3)),"")</f>
        <v/>
      </c>
      <c r="E454" s="26" t="str">
        <f t="shared" ref="E454:E505" si="23">IFERROR(IF($B454="","",RIGHT($B454,LEN($B454)-FIND(" | ",$B454,FIND(" | ",$B454)+3)-2)),"")</f>
        <v/>
      </c>
      <c r="F454" s="22"/>
      <c r="G454" s="22"/>
      <c r="H454" s="24"/>
      <c r="I454" s="22"/>
      <c r="J454" s="22"/>
    </row>
    <row r="455" spans="1:10" ht="15" x14ac:dyDescent="0.15">
      <c r="A455" s="29"/>
      <c r="B455" s="22"/>
      <c r="C455" s="26" t="str">
        <f t="shared" si="21"/>
        <v/>
      </c>
      <c r="D455" s="26" t="str">
        <f t="shared" si="22"/>
        <v/>
      </c>
      <c r="E455" s="26" t="str">
        <f t="shared" si="23"/>
        <v/>
      </c>
      <c r="F455" s="22"/>
      <c r="G455" s="22"/>
      <c r="H455" s="24"/>
      <c r="I455" s="22"/>
      <c r="J455" s="22"/>
    </row>
    <row r="456" spans="1:10" ht="15" x14ac:dyDescent="0.15">
      <c r="A456" s="29"/>
      <c r="B456" s="22"/>
      <c r="C456" s="26" t="str">
        <f t="shared" si="21"/>
        <v/>
      </c>
      <c r="D456" s="26" t="str">
        <f t="shared" si="22"/>
        <v/>
      </c>
      <c r="E456" s="26" t="str">
        <f t="shared" si="23"/>
        <v/>
      </c>
      <c r="F456" s="22"/>
      <c r="G456" s="22"/>
      <c r="H456" s="24"/>
      <c r="I456" s="22"/>
      <c r="J456" s="22"/>
    </row>
    <row r="457" spans="1:10" ht="15" x14ac:dyDescent="0.15">
      <c r="A457" s="29"/>
      <c r="B457" s="22"/>
      <c r="C457" s="26" t="str">
        <f t="shared" si="21"/>
        <v/>
      </c>
      <c r="D457" s="26" t="str">
        <f t="shared" si="22"/>
        <v/>
      </c>
      <c r="E457" s="26" t="str">
        <f t="shared" si="23"/>
        <v/>
      </c>
      <c r="F457" s="22"/>
      <c r="G457" s="22"/>
      <c r="H457" s="24"/>
      <c r="I457" s="22"/>
      <c r="J457" s="22"/>
    </row>
    <row r="458" spans="1:10" ht="15" x14ac:dyDescent="0.15">
      <c r="A458" s="29"/>
      <c r="B458" s="22"/>
      <c r="C458" s="26" t="str">
        <f t="shared" si="21"/>
        <v/>
      </c>
      <c r="D458" s="26" t="str">
        <f t="shared" si="22"/>
        <v/>
      </c>
      <c r="E458" s="26" t="str">
        <f t="shared" si="23"/>
        <v/>
      </c>
      <c r="F458" s="22"/>
      <c r="G458" s="22"/>
      <c r="H458" s="24"/>
      <c r="I458" s="22"/>
      <c r="J458" s="22"/>
    </row>
    <row r="459" spans="1:10" ht="15" x14ac:dyDescent="0.15">
      <c r="A459" s="29"/>
      <c r="B459" s="22"/>
      <c r="C459" s="26" t="str">
        <f t="shared" si="21"/>
        <v/>
      </c>
      <c r="D459" s="26" t="str">
        <f t="shared" si="22"/>
        <v/>
      </c>
      <c r="E459" s="26" t="str">
        <f t="shared" si="23"/>
        <v/>
      </c>
      <c r="F459" s="22"/>
      <c r="G459" s="22"/>
      <c r="H459" s="24"/>
      <c r="I459" s="22"/>
      <c r="J459" s="22"/>
    </row>
    <row r="460" spans="1:10" ht="15" x14ac:dyDescent="0.15">
      <c r="A460" s="29"/>
      <c r="B460" s="22"/>
      <c r="C460" s="26" t="str">
        <f t="shared" si="21"/>
        <v/>
      </c>
      <c r="D460" s="26" t="str">
        <f t="shared" si="22"/>
        <v/>
      </c>
      <c r="E460" s="26" t="str">
        <f t="shared" si="23"/>
        <v/>
      </c>
      <c r="F460" s="22"/>
      <c r="G460" s="22"/>
      <c r="H460" s="24"/>
      <c r="I460" s="22"/>
      <c r="J460" s="22"/>
    </row>
    <row r="461" spans="1:10" ht="15" x14ac:dyDescent="0.15">
      <c r="A461" s="29"/>
      <c r="B461" s="22"/>
      <c r="C461" s="26" t="str">
        <f t="shared" si="21"/>
        <v/>
      </c>
      <c r="D461" s="26" t="str">
        <f t="shared" si="22"/>
        <v/>
      </c>
      <c r="E461" s="26" t="str">
        <f t="shared" si="23"/>
        <v/>
      </c>
      <c r="F461" s="22"/>
      <c r="G461" s="22"/>
      <c r="H461" s="24"/>
      <c r="I461" s="22"/>
      <c r="J461" s="22"/>
    </row>
    <row r="462" spans="1:10" ht="15" x14ac:dyDescent="0.15">
      <c r="A462" s="29"/>
      <c r="B462" s="22"/>
      <c r="C462" s="26" t="str">
        <f t="shared" si="21"/>
        <v/>
      </c>
      <c r="D462" s="26" t="str">
        <f t="shared" si="22"/>
        <v/>
      </c>
      <c r="E462" s="26" t="str">
        <f t="shared" si="23"/>
        <v/>
      </c>
      <c r="F462" s="22"/>
      <c r="G462" s="22"/>
      <c r="H462" s="24"/>
      <c r="I462" s="22"/>
      <c r="J462" s="22"/>
    </row>
    <row r="463" spans="1:10" ht="15" x14ac:dyDescent="0.15">
      <c r="A463" s="29"/>
      <c r="B463" s="22"/>
      <c r="C463" s="26" t="str">
        <f t="shared" si="21"/>
        <v/>
      </c>
      <c r="D463" s="26" t="str">
        <f t="shared" si="22"/>
        <v/>
      </c>
      <c r="E463" s="26" t="str">
        <f t="shared" si="23"/>
        <v/>
      </c>
      <c r="F463" s="22"/>
      <c r="G463" s="22"/>
      <c r="H463" s="24"/>
      <c r="I463" s="22"/>
      <c r="J463" s="22"/>
    </row>
    <row r="464" spans="1:10" ht="15" x14ac:dyDescent="0.15">
      <c r="A464" s="29"/>
      <c r="B464" s="22"/>
      <c r="C464" s="26" t="str">
        <f t="shared" si="21"/>
        <v/>
      </c>
      <c r="D464" s="26" t="str">
        <f t="shared" si="22"/>
        <v/>
      </c>
      <c r="E464" s="26" t="str">
        <f t="shared" si="23"/>
        <v/>
      </c>
      <c r="F464" s="22"/>
      <c r="G464" s="22"/>
      <c r="H464" s="24"/>
      <c r="I464" s="22"/>
      <c r="J464" s="22"/>
    </row>
    <row r="465" spans="1:10" ht="15" x14ac:dyDescent="0.15">
      <c r="A465" s="29"/>
      <c r="B465" s="22"/>
      <c r="C465" s="26" t="str">
        <f t="shared" si="21"/>
        <v/>
      </c>
      <c r="D465" s="26" t="str">
        <f t="shared" si="22"/>
        <v/>
      </c>
      <c r="E465" s="26" t="str">
        <f t="shared" si="23"/>
        <v/>
      </c>
      <c r="F465" s="22"/>
      <c r="G465" s="22"/>
      <c r="H465" s="24"/>
      <c r="I465" s="22"/>
      <c r="J465" s="22"/>
    </row>
    <row r="466" spans="1:10" ht="15" x14ac:dyDescent="0.15">
      <c r="A466" s="29"/>
      <c r="B466" s="22"/>
      <c r="C466" s="26" t="str">
        <f t="shared" si="21"/>
        <v/>
      </c>
      <c r="D466" s="26" t="str">
        <f t="shared" si="22"/>
        <v/>
      </c>
      <c r="E466" s="26" t="str">
        <f t="shared" si="23"/>
        <v/>
      </c>
      <c r="F466" s="22"/>
      <c r="G466" s="22"/>
      <c r="H466" s="24"/>
      <c r="I466" s="22"/>
      <c r="J466" s="22"/>
    </row>
    <row r="467" spans="1:10" ht="15" x14ac:dyDescent="0.15">
      <c r="A467" s="29"/>
      <c r="B467" s="22"/>
      <c r="C467" s="26" t="str">
        <f t="shared" si="21"/>
        <v/>
      </c>
      <c r="D467" s="26" t="str">
        <f t="shared" si="22"/>
        <v/>
      </c>
      <c r="E467" s="26" t="str">
        <f t="shared" si="23"/>
        <v/>
      </c>
      <c r="F467" s="22"/>
      <c r="G467" s="22"/>
      <c r="H467" s="24"/>
      <c r="I467" s="22"/>
      <c r="J467" s="22"/>
    </row>
    <row r="468" spans="1:10" ht="15" x14ac:dyDescent="0.15">
      <c r="A468" s="29"/>
      <c r="B468" s="22"/>
      <c r="C468" s="26" t="str">
        <f t="shared" si="21"/>
        <v/>
      </c>
      <c r="D468" s="26" t="str">
        <f t="shared" si="22"/>
        <v/>
      </c>
      <c r="E468" s="26" t="str">
        <f t="shared" si="23"/>
        <v/>
      </c>
      <c r="F468" s="22"/>
      <c r="G468" s="22"/>
      <c r="H468" s="24"/>
      <c r="I468" s="22"/>
      <c r="J468" s="22"/>
    </row>
    <row r="469" spans="1:10" ht="15" x14ac:dyDescent="0.15">
      <c r="A469" s="29"/>
      <c r="B469" s="22"/>
      <c r="C469" s="26" t="str">
        <f t="shared" si="21"/>
        <v/>
      </c>
      <c r="D469" s="26" t="str">
        <f t="shared" si="22"/>
        <v/>
      </c>
      <c r="E469" s="26" t="str">
        <f t="shared" si="23"/>
        <v/>
      </c>
      <c r="F469" s="22"/>
      <c r="G469" s="22"/>
      <c r="H469" s="24"/>
      <c r="I469" s="22"/>
      <c r="J469" s="22"/>
    </row>
    <row r="470" spans="1:10" ht="15" x14ac:dyDescent="0.15">
      <c r="A470" s="29"/>
      <c r="B470" s="22"/>
      <c r="C470" s="26" t="str">
        <f t="shared" si="21"/>
        <v/>
      </c>
      <c r="D470" s="26" t="str">
        <f t="shared" si="22"/>
        <v/>
      </c>
      <c r="E470" s="26" t="str">
        <f t="shared" si="23"/>
        <v/>
      </c>
      <c r="F470" s="22"/>
      <c r="G470" s="22"/>
      <c r="H470" s="24"/>
      <c r="I470" s="22"/>
      <c r="J470" s="22"/>
    </row>
    <row r="471" spans="1:10" ht="15" x14ac:dyDescent="0.15">
      <c r="A471" s="29"/>
      <c r="B471" s="22"/>
      <c r="C471" s="26" t="str">
        <f t="shared" si="21"/>
        <v/>
      </c>
      <c r="D471" s="26" t="str">
        <f t="shared" si="22"/>
        <v/>
      </c>
      <c r="E471" s="26" t="str">
        <f t="shared" si="23"/>
        <v/>
      </c>
      <c r="F471" s="22"/>
      <c r="G471" s="22"/>
      <c r="H471" s="24"/>
      <c r="I471" s="22"/>
      <c r="J471" s="22"/>
    </row>
    <row r="472" spans="1:10" ht="15" x14ac:dyDescent="0.15">
      <c r="A472" s="29"/>
      <c r="B472" s="22"/>
      <c r="C472" s="26" t="str">
        <f t="shared" si="21"/>
        <v/>
      </c>
      <c r="D472" s="26" t="str">
        <f t="shared" si="22"/>
        <v/>
      </c>
      <c r="E472" s="26" t="str">
        <f t="shared" si="23"/>
        <v/>
      </c>
      <c r="F472" s="22"/>
      <c r="G472" s="22"/>
      <c r="H472" s="24"/>
      <c r="I472" s="22"/>
      <c r="J472" s="22"/>
    </row>
    <row r="473" spans="1:10" ht="15" x14ac:dyDescent="0.15">
      <c r="A473" s="29"/>
      <c r="B473" s="22"/>
      <c r="C473" s="26" t="str">
        <f t="shared" si="21"/>
        <v/>
      </c>
      <c r="D473" s="26" t="str">
        <f t="shared" si="22"/>
        <v/>
      </c>
      <c r="E473" s="26" t="str">
        <f t="shared" si="23"/>
        <v/>
      </c>
      <c r="F473" s="22"/>
      <c r="G473" s="22"/>
      <c r="H473" s="24"/>
      <c r="I473" s="22"/>
      <c r="J473" s="22"/>
    </row>
    <row r="474" spans="1:10" ht="15" x14ac:dyDescent="0.15">
      <c r="A474" s="29"/>
      <c r="B474" s="22"/>
      <c r="C474" s="26" t="str">
        <f t="shared" si="21"/>
        <v/>
      </c>
      <c r="D474" s="26" t="str">
        <f t="shared" si="22"/>
        <v/>
      </c>
      <c r="E474" s="26" t="str">
        <f t="shared" si="23"/>
        <v/>
      </c>
      <c r="F474" s="22"/>
      <c r="G474" s="22"/>
      <c r="H474" s="24"/>
      <c r="I474" s="22"/>
      <c r="J474" s="22"/>
    </row>
    <row r="475" spans="1:10" ht="15" x14ac:dyDescent="0.15">
      <c r="A475" s="29"/>
      <c r="B475" s="22"/>
      <c r="C475" s="26" t="str">
        <f t="shared" si="21"/>
        <v/>
      </c>
      <c r="D475" s="26" t="str">
        <f t="shared" si="22"/>
        <v/>
      </c>
      <c r="E475" s="26" t="str">
        <f t="shared" si="23"/>
        <v/>
      </c>
      <c r="F475" s="22"/>
      <c r="G475" s="22"/>
      <c r="H475" s="24"/>
      <c r="I475" s="22"/>
      <c r="J475" s="22"/>
    </row>
    <row r="476" spans="1:10" ht="15" x14ac:dyDescent="0.15">
      <c r="A476" s="29"/>
      <c r="B476" s="22"/>
      <c r="C476" s="26" t="str">
        <f t="shared" si="21"/>
        <v/>
      </c>
      <c r="D476" s="26" t="str">
        <f t="shared" si="22"/>
        <v/>
      </c>
      <c r="E476" s="26" t="str">
        <f t="shared" si="23"/>
        <v/>
      </c>
      <c r="F476" s="22"/>
      <c r="G476" s="22"/>
      <c r="H476" s="24"/>
      <c r="I476" s="22"/>
      <c r="J476" s="22"/>
    </row>
    <row r="477" spans="1:10" ht="15" x14ac:dyDescent="0.15">
      <c r="A477" s="29"/>
      <c r="B477" s="22"/>
      <c r="C477" s="26" t="str">
        <f t="shared" si="21"/>
        <v/>
      </c>
      <c r="D477" s="26" t="str">
        <f t="shared" si="22"/>
        <v/>
      </c>
      <c r="E477" s="26" t="str">
        <f t="shared" si="23"/>
        <v/>
      </c>
      <c r="F477" s="22"/>
      <c r="G477" s="22"/>
      <c r="H477" s="24"/>
      <c r="I477" s="22"/>
      <c r="J477" s="22"/>
    </row>
    <row r="478" spans="1:10" ht="15" x14ac:dyDescent="0.15">
      <c r="A478" s="29"/>
      <c r="B478" s="22"/>
      <c r="C478" s="26" t="str">
        <f t="shared" si="21"/>
        <v/>
      </c>
      <c r="D478" s="26" t="str">
        <f t="shared" si="22"/>
        <v/>
      </c>
      <c r="E478" s="26" t="str">
        <f t="shared" si="23"/>
        <v/>
      </c>
      <c r="F478" s="22"/>
      <c r="G478" s="22"/>
      <c r="H478" s="24"/>
      <c r="I478" s="22"/>
      <c r="J478" s="22"/>
    </row>
    <row r="479" spans="1:10" ht="15" x14ac:dyDescent="0.15">
      <c r="A479" s="29"/>
      <c r="B479" s="22"/>
      <c r="C479" s="26" t="str">
        <f t="shared" si="21"/>
        <v/>
      </c>
      <c r="D479" s="26" t="str">
        <f t="shared" si="22"/>
        <v/>
      </c>
      <c r="E479" s="26" t="str">
        <f t="shared" si="23"/>
        <v/>
      </c>
      <c r="F479" s="22"/>
      <c r="G479" s="22"/>
      <c r="H479" s="24"/>
      <c r="I479" s="22"/>
      <c r="J479" s="22"/>
    </row>
    <row r="480" spans="1:10" ht="15" x14ac:dyDescent="0.15">
      <c r="A480" s="29"/>
      <c r="B480" s="22"/>
      <c r="C480" s="26" t="str">
        <f t="shared" si="21"/>
        <v/>
      </c>
      <c r="D480" s="26" t="str">
        <f t="shared" si="22"/>
        <v/>
      </c>
      <c r="E480" s="26" t="str">
        <f t="shared" si="23"/>
        <v/>
      </c>
      <c r="F480" s="22"/>
      <c r="G480" s="22"/>
      <c r="H480" s="24"/>
      <c r="I480" s="22"/>
      <c r="J480" s="22"/>
    </row>
    <row r="481" spans="1:10" ht="15" x14ac:dyDescent="0.15">
      <c r="A481" s="29"/>
      <c r="B481" s="22"/>
      <c r="C481" s="26" t="str">
        <f t="shared" si="21"/>
        <v/>
      </c>
      <c r="D481" s="26" t="str">
        <f t="shared" si="22"/>
        <v/>
      </c>
      <c r="E481" s="26" t="str">
        <f t="shared" si="23"/>
        <v/>
      </c>
      <c r="F481" s="22"/>
      <c r="G481" s="22"/>
      <c r="H481" s="24"/>
      <c r="I481" s="22"/>
      <c r="J481" s="22"/>
    </row>
    <row r="482" spans="1:10" ht="15" x14ac:dyDescent="0.15">
      <c r="A482" s="29"/>
      <c r="B482" s="22"/>
      <c r="C482" s="26" t="str">
        <f t="shared" si="21"/>
        <v/>
      </c>
      <c r="D482" s="26" t="str">
        <f t="shared" si="22"/>
        <v/>
      </c>
      <c r="E482" s="26" t="str">
        <f t="shared" si="23"/>
        <v/>
      </c>
      <c r="F482" s="22"/>
      <c r="G482" s="22"/>
      <c r="H482" s="24"/>
      <c r="I482" s="22"/>
      <c r="J482" s="22"/>
    </row>
    <row r="483" spans="1:10" ht="15" x14ac:dyDescent="0.15">
      <c r="A483" s="29"/>
      <c r="B483" s="22"/>
      <c r="C483" s="26" t="str">
        <f t="shared" si="21"/>
        <v/>
      </c>
      <c r="D483" s="26" t="str">
        <f t="shared" si="22"/>
        <v/>
      </c>
      <c r="E483" s="26" t="str">
        <f t="shared" si="23"/>
        <v/>
      </c>
      <c r="F483" s="22"/>
      <c r="G483" s="22"/>
      <c r="H483" s="24"/>
      <c r="I483" s="22"/>
      <c r="J483" s="22"/>
    </row>
    <row r="484" spans="1:10" ht="15" x14ac:dyDescent="0.15">
      <c r="A484" s="29"/>
      <c r="B484" s="22"/>
      <c r="C484" s="26" t="str">
        <f t="shared" si="21"/>
        <v/>
      </c>
      <c r="D484" s="26" t="str">
        <f t="shared" si="22"/>
        <v/>
      </c>
      <c r="E484" s="26" t="str">
        <f t="shared" si="23"/>
        <v/>
      </c>
      <c r="F484" s="22"/>
      <c r="G484" s="22"/>
      <c r="H484" s="24"/>
      <c r="I484" s="22"/>
      <c r="J484" s="22"/>
    </row>
    <row r="485" spans="1:10" ht="15" x14ac:dyDescent="0.15">
      <c r="A485" s="29"/>
      <c r="B485" s="22"/>
      <c r="C485" s="26" t="str">
        <f t="shared" si="21"/>
        <v/>
      </c>
      <c r="D485" s="26" t="str">
        <f t="shared" si="22"/>
        <v/>
      </c>
      <c r="E485" s="26" t="str">
        <f t="shared" si="23"/>
        <v/>
      </c>
      <c r="F485" s="22"/>
      <c r="G485" s="22"/>
      <c r="H485" s="24"/>
      <c r="I485" s="22"/>
      <c r="J485" s="22"/>
    </row>
    <row r="486" spans="1:10" ht="15" x14ac:dyDescent="0.15">
      <c r="A486" s="29"/>
      <c r="B486" s="22"/>
      <c r="C486" s="26" t="str">
        <f t="shared" si="21"/>
        <v/>
      </c>
      <c r="D486" s="26" t="str">
        <f t="shared" si="22"/>
        <v/>
      </c>
      <c r="E486" s="26" t="str">
        <f t="shared" si="23"/>
        <v/>
      </c>
      <c r="F486" s="22"/>
      <c r="G486" s="22"/>
      <c r="H486" s="24"/>
      <c r="I486" s="22"/>
      <c r="J486" s="22"/>
    </row>
    <row r="487" spans="1:10" ht="15" x14ac:dyDescent="0.15">
      <c r="A487" s="29"/>
      <c r="B487" s="22"/>
      <c r="C487" s="26" t="str">
        <f t="shared" si="21"/>
        <v/>
      </c>
      <c r="D487" s="26" t="str">
        <f t="shared" si="22"/>
        <v/>
      </c>
      <c r="E487" s="26" t="str">
        <f t="shared" si="23"/>
        <v/>
      </c>
      <c r="F487" s="22"/>
      <c r="G487" s="22"/>
      <c r="H487" s="24"/>
      <c r="I487" s="22"/>
      <c r="J487" s="22"/>
    </row>
    <row r="488" spans="1:10" ht="15" x14ac:dyDescent="0.15">
      <c r="A488" s="29"/>
      <c r="B488" s="22"/>
      <c r="C488" s="26" t="str">
        <f t="shared" si="21"/>
        <v/>
      </c>
      <c r="D488" s="26" t="str">
        <f t="shared" si="22"/>
        <v/>
      </c>
      <c r="E488" s="26" t="str">
        <f t="shared" si="23"/>
        <v/>
      </c>
      <c r="F488" s="22"/>
      <c r="G488" s="22"/>
      <c r="H488" s="24"/>
      <c r="I488" s="22"/>
      <c r="J488" s="22"/>
    </row>
    <row r="489" spans="1:10" ht="15" x14ac:dyDescent="0.15">
      <c r="A489" s="29"/>
      <c r="B489" s="22"/>
      <c r="C489" s="26" t="str">
        <f t="shared" si="21"/>
        <v/>
      </c>
      <c r="D489" s="26" t="str">
        <f t="shared" si="22"/>
        <v/>
      </c>
      <c r="E489" s="26" t="str">
        <f t="shared" si="23"/>
        <v/>
      </c>
      <c r="F489" s="22"/>
      <c r="G489" s="22"/>
      <c r="H489" s="24"/>
      <c r="I489" s="22"/>
      <c r="J489" s="22"/>
    </row>
    <row r="490" spans="1:10" ht="15" x14ac:dyDescent="0.15">
      <c r="A490" s="29"/>
      <c r="B490" s="22"/>
      <c r="C490" s="26" t="str">
        <f t="shared" si="21"/>
        <v/>
      </c>
      <c r="D490" s="26" t="str">
        <f t="shared" si="22"/>
        <v/>
      </c>
      <c r="E490" s="26" t="str">
        <f t="shared" si="23"/>
        <v/>
      </c>
      <c r="F490" s="22"/>
      <c r="G490" s="22"/>
      <c r="H490" s="24"/>
      <c r="I490" s="22"/>
      <c r="J490" s="22"/>
    </row>
    <row r="491" spans="1:10" ht="15" x14ac:dyDescent="0.15">
      <c r="A491" s="29"/>
      <c r="B491" s="22"/>
      <c r="C491" s="26" t="str">
        <f t="shared" si="21"/>
        <v/>
      </c>
      <c r="D491" s="26" t="str">
        <f t="shared" si="22"/>
        <v/>
      </c>
      <c r="E491" s="26" t="str">
        <f t="shared" si="23"/>
        <v/>
      </c>
      <c r="F491" s="22"/>
      <c r="G491" s="22"/>
      <c r="H491" s="24"/>
      <c r="I491" s="22"/>
      <c r="J491" s="22"/>
    </row>
    <row r="492" spans="1:10" ht="15" x14ac:dyDescent="0.15">
      <c r="A492" s="29"/>
      <c r="B492" s="22"/>
      <c r="C492" s="26" t="str">
        <f t="shared" si="21"/>
        <v/>
      </c>
      <c r="D492" s="26" t="str">
        <f t="shared" si="22"/>
        <v/>
      </c>
      <c r="E492" s="26" t="str">
        <f t="shared" si="23"/>
        <v/>
      </c>
      <c r="F492" s="22"/>
      <c r="G492" s="22"/>
      <c r="H492" s="24"/>
      <c r="I492" s="22"/>
      <c r="J492" s="22"/>
    </row>
    <row r="493" spans="1:10" ht="15" x14ac:dyDescent="0.15">
      <c r="A493" s="29"/>
      <c r="B493" s="22"/>
      <c r="C493" s="26" t="str">
        <f t="shared" si="21"/>
        <v/>
      </c>
      <c r="D493" s="26" t="str">
        <f t="shared" si="22"/>
        <v/>
      </c>
      <c r="E493" s="26" t="str">
        <f t="shared" si="23"/>
        <v/>
      </c>
      <c r="F493" s="22"/>
      <c r="G493" s="22"/>
      <c r="H493" s="24"/>
      <c r="I493" s="22"/>
      <c r="J493" s="22"/>
    </row>
    <row r="494" spans="1:10" ht="15" x14ac:dyDescent="0.15">
      <c r="A494" s="29"/>
      <c r="B494" s="22"/>
      <c r="C494" s="26" t="str">
        <f t="shared" si="21"/>
        <v/>
      </c>
      <c r="D494" s="26" t="str">
        <f t="shared" si="22"/>
        <v/>
      </c>
      <c r="E494" s="26" t="str">
        <f t="shared" si="23"/>
        <v/>
      </c>
      <c r="F494" s="22"/>
      <c r="G494" s="22"/>
      <c r="H494" s="24"/>
      <c r="I494" s="22"/>
      <c r="J494" s="22"/>
    </row>
    <row r="495" spans="1:10" ht="15" x14ac:dyDescent="0.15">
      <c r="A495" s="29"/>
      <c r="B495" s="22"/>
      <c r="C495" s="26" t="str">
        <f t="shared" si="21"/>
        <v/>
      </c>
      <c r="D495" s="26" t="str">
        <f t="shared" si="22"/>
        <v/>
      </c>
      <c r="E495" s="26" t="str">
        <f t="shared" si="23"/>
        <v/>
      </c>
      <c r="F495" s="22"/>
      <c r="G495" s="22"/>
      <c r="H495" s="24"/>
      <c r="I495" s="22"/>
      <c r="J495" s="22"/>
    </row>
    <row r="496" spans="1:10" ht="15" x14ac:dyDescent="0.15">
      <c r="A496" s="29"/>
      <c r="B496" s="22"/>
      <c r="C496" s="26" t="str">
        <f t="shared" si="21"/>
        <v/>
      </c>
      <c r="D496" s="26" t="str">
        <f t="shared" si="22"/>
        <v/>
      </c>
      <c r="E496" s="26" t="str">
        <f t="shared" si="23"/>
        <v/>
      </c>
      <c r="F496" s="22"/>
      <c r="G496" s="22"/>
      <c r="H496" s="24"/>
      <c r="I496" s="22"/>
      <c r="J496" s="22"/>
    </row>
    <row r="497" spans="1:10" ht="15" x14ac:dyDescent="0.15">
      <c r="A497" s="29"/>
      <c r="B497" s="22"/>
      <c r="C497" s="26" t="str">
        <f t="shared" si="21"/>
        <v/>
      </c>
      <c r="D497" s="26" t="str">
        <f t="shared" si="22"/>
        <v/>
      </c>
      <c r="E497" s="26" t="str">
        <f t="shared" si="23"/>
        <v/>
      </c>
      <c r="F497" s="22"/>
      <c r="G497" s="22"/>
      <c r="H497" s="24"/>
      <c r="I497" s="22"/>
      <c r="J497" s="22"/>
    </row>
    <row r="498" spans="1:10" ht="15" x14ac:dyDescent="0.15">
      <c r="A498" s="29"/>
      <c r="B498" s="22"/>
      <c r="C498" s="26" t="str">
        <f t="shared" si="21"/>
        <v/>
      </c>
      <c r="D498" s="26" t="str">
        <f t="shared" si="22"/>
        <v/>
      </c>
      <c r="E498" s="26" t="str">
        <f t="shared" si="23"/>
        <v/>
      </c>
      <c r="F498" s="22"/>
      <c r="G498" s="22"/>
      <c r="H498" s="24"/>
      <c r="I498" s="22"/>
      <c r="J498" s="22"/>
    </row>
    <row r="499" spans="1:10" ht="15" x14ac:dyDescent="0.15">
      <c r="A499" s="29"/>
      <c r="B499" s="22"/>
      <c r="C499" s="26" t="str">
        <f t="shared" si="21"/>
        <v/>
      </c>
      <c r="D499" s="26" t="str">
        <f t="shared" si="22"/>
        <v/>
      </c>
      <c r="E499" s="26" t="str">
        <f t="shared" si="23"/>
        <v/>
      </c>
      <c r="F499" s="22"/>
      <c r="G499" s="22"/>
      <c r="H499" s="24"/>
      <c r="I499" s="22"/>
      <c r="J499" s="22"/>
    </row>
    <row r="500" spans="1:10" ht="15" x14ac:dyDescent="0.15">
      <c r="A500" s="29"/>
      <c r="B500" s="22"/>
      <c r="C500" s="26" t="str">
        <f t="shared" si="21"/>
        <v/>
      </c>
      <c r="D500" s="26" t="str">
        <f t="shared" si="22"/>
        <v/>
      </c>
      <c r="E500" s="26" t="str">
        <f t="shared" si="23"/>
        <v/>
      </c>
      <c r="F500" s="22"/>
      <c r="G500" s="22"/>
      <c r="H500" s="24"/>
      <c r="I500" s="22"/>
      <c r="J500" s="22"/>
    </row>
    <row r="501" spans="1:10" ht="15" x14ac:dyDescent="0.15">
      <c r="A501" s="29"/>
      <c r="B501" s="22"/>
      <c r="C501" s="26" t="str">
        <f t="shared" si="21"/>
        <v/>
      </c>
      <c r="D501" s="26" t="str">
        <f t="shared" si="22"/>
        <v/>
      </c>
      <c r="E501" s="26" t="str">
        <f t="shared" si="23"/>
        <v/>
      </c>
      <c r="F501" s="22"/>
      <c r="G501" s="22"/>
      <c r="H501" s="24"/>
      <c r="I501" s="22"/>
      <c r="J501" s="22"/>
    </row>
    <row r="502" spans="1:10" ht="15" x14ac:dyDescent="0.15">
      <c r="A502" s="29"/>
      <c r="B502" s="22"/>
      <c r="C502" s="26" t="str">
        <f t="shared" si="21"/>
        <v/>
      </c>
      <c r="D502" s="26" t="str">
        <f t="shared" si="22"/>
        <v/>
      </c>
      <c r="E502" s="26" t="str">
        <f t="shared" si="23"/>
        <v/>
      </c>
      <c r="F502" s="22"/>
      <c r="G502" s="22"/>
      <c r="H502" s="24"/>
      <c r="I502" s="22"/>
      <c r="J502" s="22"/>
    </row>
    <row r="503" spans="1:10" ht="15" x14ac:dyDescent="0.15">
      <c r="A503" s="29"/>
      <c r="B503" s="22"/>
      <c r="C503" s="26" t="str">
        <f t="shared" si="21"/>
        <v/>
      </c>
      <c r="D503" s="26" t="str">
        <f t="shared" si="22"/>
        <v/>
      </c>
      <c r="E503" s="26" t="str">
        <f t="shared" si="23"/>
        <v/>
      </c>
      <c r="F503" s="22"/>
      <c r="G503" s="22"/>
      <c r="H503" s="24"/>
      <c r="I503" s="22"/>
      <c r="J503" s="22"/>
    </row>
    <row r="504" spans="1:10" ht="15" x14ac:dyDescent="0.15">
      <c r="A504" s="29"/>
      <c r="B504" s="22"/>
      <c r="C504" s="26" t="str">
        <f t="shared" si="21"/>
        <v/>
      </c>
      <c r="D504" s="26" t="str">
        <f t="shared" si="22"/>
        <v/>
      </c>
      <c r="E504" s="26" t="str">
        <f t="shared" si="23"/>
        <v/>
      </c>
      <c r="F504" s="22"/>
      <c r="G504" s="22"/>
      <c r="H504" s="24"/>
      <c r="I504" s="22"/>
      <c r="J504" s="22"/>
    </row>
    <row r="505" spans="1:10" ht="15" x14ac:dyDescent="0.15">
      <c r="A505" s="29"/>
      <c r="B505" s="22"/>
      <c r="C505" s="26" t="str">
        <f t="shared" si="21"/>
        <v/>
      </c>
      <c r="D505" s="26" t="str">
        <f t="shared" si="22"/>
        <v/>
      </c>
      <c r="E505" s="26" t="str">
        <f t="shared" si="23"/>
        <v/>
      </c>
      <c r="F505" s="22"/>
      <c r="G505" s="22"/>
      <c r="H505" s="24"/>
      <c r="I505" s="22"/>
      <c r="J505" s="22"/>
    </row>
  </sheetData>
  <mergeCells count="2">
    <mergeCell ref="A1:J1"/>
    <mergeCell ref="A2:J2"/>
  </mergeCells>
  <conditionalFormatting sqref="A6:A505">
    <cfRule type="expression" dxfId="4" priority="2">
      <formula>AND($C6&lt;&gt;"",$A6="")</formula>
    </cfRule>
  </conditionalFormatting>
  <dataValidations count="1">
    <dataValidation type="list" allowBlank="1" showErrorMessage="1" errorTitle="Valore non valido" error="Selezionare un valore presente nell'elenco." sqref="B6:B505" xr:uid="{00000000-0002-0000-0400-000000000000}">
      <formula1>ListaCommesseSelezione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V308"/>
  <sheetViews>
    <sheetView workbookViewId="0">
      <pane ySplit="8" topLeftCell="A9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2" width="48" customWidth="1"/>
    <col min="3" max="3" width="16" customWidth="1"/>
    <col min="4" max="4" width="24" customWidth="1"/>
    <col min="5" max="5" width="44" customWidth="1"/>
    <col min="6" max="6" width="20" customWidth="1"/>
    <col min="7" max="8" width="17" customWidth="1"/>
    <col min="9" max="9" width="30" customWidth="1"/>
    <col min="10" max="15" width="18" customWidth="1"/>
    <col min="16" max="16" width="31" customWidth="1"/>
    <col min="17" max="17" width="14" customWidth="1"/>
    <col min="18" max="20" width="31" customWidth="1"/>
    <col min="21" max="23" width="18" customWidth="1"/>
    <col min="24" max="24" width="14" customWidth="1"/>
    <col min="25" max="25" width="16" customWidth="1"/>
    <col min="27" max="27" width="15" customWidth="1"/>
    <col min="28" max="29" width="18" customWidth="1"/>
    <col min="52" max="74" width="0" hidden="1" customWidth="1"/>
  </cols>
  <sheetData>
    <row r="1" spans="1:74" ht="15" x14ac:dyDescent="0.15">
      <c r="A1" s="10" t="s">
        <v>185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74" ht="23.75" customHeight="1" x14ac:dyDescent="0.15">
      <c r="A2" s="6" t="s">
        <v>65</v>
      </c>
      <c r="B2" s="6"/>
      <c r="C2" s="6"/>
      <c r="D2" s="6" t="s">
        <v>10</v>
      </c>
      <c r="E2" s="6"/>
      <c r="F2" s="6"/>
      <c r="G2" s="6" t="s">
        <v>48</v>
      </c>
      <c r="H2" s="6"/>
      <c r="I2" s="6"/>
      <c r="J2" s="6" t="s">
        <v>110</v>
      </c>
      <c r="K2" s="6"/>
      <c r="L2" s="6"/>
      <c r="M2" s="6" t="s">
        <v>38</v>
      </c>
      <c r="N2" s="6"/>
      <c r="O2" s="6"/>
      <c r="P2" s="6" t="s">
        <v>39</v>
      </c>
      <c r="Q2" s="6"/>
      <c r="R2" s="6"/>
      <c r="S2" s="6" t="s">
        <v>111</v>
      </c>
      <c r="T2" s="6"/>
      <c r="U2" s="6"/>
      <c r="V2" s="6" t="s">
        <v>112</v>
      </c>
      <c r="W2" s="6"/>
      <c r="X2" s="6"/>
      <c r="Y2" s="6"/>
      <c r="AA2" s="12" t="s">
        <v>113</v>
      </c>
      <c r="AB2" s="12" t="s">
        <v>114</v>
      </c>
      <c r="AC2" s="12" t="s">
        <v>115</v>
      </c>
    </row>
    <row r="3" spans="1:74" ht="15" x14ac:dyDescent="0.15">
      <c r="A3" s="5" t="s">
        <v>46</v>
      </c>
      <c r="B3" s="5"/>
      <c r="C3" s="5"/>
      <c r="D3" s="19">
        <f>IF($A$3="TUTTE",SUBTOTAL(109,$J$9:$J$308),IFERROR(INDEX($J$9:$J$308,MATCH($A$3,$C$9:$C$308,0)),0))</f>
        <v>425819.41000000003</v>
      </c>
      <c r="E3" s="19"/>
      <c r="F3" s="19"/>
      <c r="G3" s="19">
        <f>IF($A$3="TUTTE",SUBTOTAL(109,$V$9:$V$308),IFERROR(INDEX($V$9:$V$308,MATCH($A$3,$C$9:$C$308,0)),0))</f>
        <v>10000</v>
      </c>
      <c r="H3" s="19"/>
      <c r="I3" s="19"/>
      <c r="J3" s="19">
        <f>IF($A$3="TUTTE",SUBTOTAL(109,$W$9:$W$308),IFERROR(INDEX($W$9:$W$308,MATCH($A$3,$C$9:$C$308,0)),0))</f>
        <v>417819.41000000003</v>
      </c>
      <c r="K3" s="19"/>
      <c r="L3" s="19"/>
      <c r="M3" s="19">
        <f>IF($A$3="TUTTE",SUBTOTAL(109,$K$9:$K$308),IFERROR(INDEX($K$9:$K$308,MATCH($A$3,$C$9:$C$308,0)),0))</f>
        <v>130541.79999999999</v>
      </c>
      <c r="N3" s="19"/>
      <c r="O3" s="19"/>
      <c r="P3" s="19">
        <f>IF($A$3="TUTTE",SUBTOTAL(109,$L$9:$L$308),IFERROR(INDEX($L$9:$L$308,MATCH($A$3,$C$9:$C$308,0)),0))</f>
        <v>134541.79999999999</v>
      </c>
      <c r="Q3" s="19"/>
      <c r="R3" s="19"/>
      <c r="S3" s="19">
        <f>IF($A$3="TUTTE",SUBTOTAL(109,$M$9:$M$308),IFERROR(INDEX($M$9:$M$308,MATCH($A$3,$C$9:$C$308,0)),0))</f>
        <v>11000</v>
      </c>
      <c r="T3" s="19"/>
      <c r="U3" s="19"/>
      <c r="V3" s="19">
        <f>IF($A$3="TUTTE",SUBTOTAL(109,$N$9:$N$308),IFERROR(INDEX($N$9:$N$308,MATCH($A$3,$C$9:$C$308,0)),0))</f>
        <v>330048.51</v>
      </c>
      <c r="W3" s="19"/>
      <c r="X3" s="19"/>
      <c r="Y3" s="19"/>
      <c r="AA3" s="26" t="s">
        <v>62</v>
      </c>
      <c r="AB3" s="27">
        <f>IF($A$3="","",IF($A$3="TUTTE",SUMIFS('MOVIMENTI 2026'!$N$7:$N$4206,'MOVIMENTI 2026'!$E$7:$E$4206,"&gt;="&amp;DATE(PARAMETRI!$B$11,1,1),'MOVIMENTI 2026'!$E$7:$E$4206,"&lt;"&amp;DATE(PARAMETRI!$B$11,2,1))*PARAMETRI!$B$4+SUMIFS('COSTI DIRETTI'!$H$6:$H$505,'COSTI DIRETTI'!$A$6:$A$505,"&gt;="&amp;DATE(PARAMETRI!$B$11,1,1),'COSTI DIRETTI'!$A$6:$A$505,"&lt;"&amp;DATE(PARAMETRI!$B$11,2,1)),SUMIFS('MOVIMENTI 2026'!$N$7:$N$4206,'MOVIMENTI 2026'!$B$7:$B$4206,$A$3,'MOVIMENTI 2026'!$E$7:$E$4206,"&gt;="&amp;DATE(PARAMETRI!$B$11,1,1),'MOVIMENTI 2026'!$E$7:$E$4206,"&lt;"&amp;DATE(PARAMETRI!$B$11,2,1))*PARAMETRI!$B$4+SUMIFS('COSTI DIRETTI'!$H$6:$H$505,'COSTI DIRETTI'!$C$6:$C$505,$A$3,'COSTI DIRETTI'!$A$6:$A$505,"&gt;="&amp;DATE(PARAMETRI!$B$11,1,1),'COSTI DIRETTI'!$A$6:$A$505,"&lt;"&amp;DATE(PARAMETRI!$B$11,2,1))))</f>
        <v>5579</v>
      </c>
      <c r="AC3" s="27">
        <f>IF($A$3="","",$AB3)</f>
        <v>5579</v>
      </c>
    </row>
    <row r="4" spans="1:74" ht="15" customHeight="1" x14ac:dyDescent="0.15">
      <c r="A4" s="6" t="s">
        <v>116</v>
      </c>
      <c r="B4" s="6"/>
      <c r="C4" s="6"/>
      <c r="D4" s="6" t="s">
        <v>117</v>
      </c>
      <c r="E4" s="6"/>
      <c r="F4" s="6"/>
      <c r="G4" s="6" t="s">
        <v>118</v>
      </c>
      <c r="H4" s="6"/>
      <c r="I4" s="6"/>
      <c r="J4" s="6" t="s">
        <v>119</v>
      </c>
      <c r="K4" s="6"/>
      <c r="L4" s="6"/>
      <c r="M4" s="6" t="s">
        <v>120</v>
      </c>
      <c r="N4" s="6"/>
      <c r="O4" s="6"/>
      <c r="P4" s="6" t="s">
        <v>121</v>
      </c>
      <c r="Q4" s="6"/>
      <c r="R4" s="6"/>
      <c r="S4" s="6" t="s">
        <v>122</v>
      </c>
      <c r="T4" s="6"/>
      <c r="U4" s="6"/>
      <c r="V4" s="6" t="s">
        <v>123</v>
      </c>
      <c r="W4" s="6"/>
      <c r="X4" s="6"/>
      <c r="Y4" s="6"/>
      <c r="AA4" s="26" t="s">
        <v>124</v>
      </c>
      <c r="AB4" s="27">
        <f>IF($A$3="","",IF($A$3="TUTTE",SUMIFS('MOVIMENTI 2026'!$N$7:$N$4206,'MOVIMENTI 2026'!$E$7:$E$4206,"&gt;="&amp;DATE(PARAMETRI!$B$11,2,1),'MOVIMENTI 2026'!$E$7:$E$4206,"&lt;"&amp;DATE(PARAMETRI!$B$11,3,1))*PARAMETRI!$B$4+SUMIFS('COSTI DIRETTI'!$H$6:$H$505,'COSTI DIRETTI'!$A$6:$A$505,"&gt;="&amp;DATE(PARAMETRI!$B$11,2,1),'COSTI DIRETTI'!$A$6:$A$505,"&lt;"&amp;DATE(PARAMETRI!$B$11,3,1)),SUMIFS('MOVIMENTI 2026'!$N$7:$N$4206,'MOVIMENTI 2026'!$B$7:$B$4206,$A$3,'MOVIMENTI 2026'!$E$7:$E$4206,"&gt;="&amp;DATE(PARAMETRI!$B$11,2,1),'MOVIMENTI 2026'!$E$7:$E$4206,"&lt;"&amp;DATE(PARAMETRI!$B$11,3,1))*PARAMETRI!$B$4+SUMIFS('COSTI DIRETTI'!$H$6:$H$505,'COSTI DIRETTI'!$C$6:$C$505,$A$3,'COSTI DIRETTI'!$A$6:$A$505,"&gt;="&amp;DATE(PARAMETRI!$B$11,2,1),'COSTI DIRETTI'!$A$6:$A$505,"&lt;"&amp;DATE(PARAMETRI!$B$11,3,1))))</f>
        <v>7494.8</v>
      </c>
      <c r="AC4" s="27">
        <f t="shared" ref="AC4:AC14" si="0">IF($A$3="","",$AC3+$AB4)</f>
        <v>13073.8</v>
      </c>
    </row>
    <row r="5" spans="1:74" ht="15" x14ac:dyDescent="0.15">
      <c r="A5" s="4">
        <f>IF($A$3="TUTTE",SUBTOTAL(109,$BE$9:$BE$308),IFERROR(INDEX($BE$9:$BE$308,MATCH($A$3,$C$9:$C$308,0)),0))</f>
        <v>326048.51</v>
      </c>
      <c r="B5" s="4"/>
      <c r="C5" s="4"/>
      <c r="D5" s="4">
        <f>IF($A$3="TUTTE",SUBTOTAL(109,$BF$9:$BF$308),IFERROR(INDEX($BF$9:$BF$308,MATCH($A$3,$C$9:$C$308,0)),0))</f>
        <v>0</v>
      </c>
      <c r="E5" s="4"/>
      <c r="F5" s="4"/>
      <c r="G5" s="4">
        <f>IF($A$3="TUTTE",SUBTOTAL(109,$O$9:$O$308),IFERROR(INDEX($O$9:$O$308,MATCH($A$3,$C$9:$C$308,0)),0))</f>
        <v>3020.46</v>
      </c>
      <c r="H5" s="4"/>
      <c r="I5" s="4"/>
      <c r="J5" s="4">
        <f>IF($A$3="TUTTE",SUBTOTAL(109,$U$9:$U$308),IFERROR(INDEX($U$9:$U$308,MATCH($A$3,$C$9:$C$308,0)),0))</f>
        <v>146627.4</v>
      </c>
      <c r="K5" s="4"/>
      <c r="L5" s="4"/>
      <c r="M5" s="3" t="str">
        <f>IF($A$3="TUTTE","PORTAFOGLIO COMPLESSIVO",IFERROR(INDEX($I$9:$I$308,MATCH($A$3,$C$9:$C$308,0))&amp;" — "&amp;INDEX($A$9:$A$308,MATCH($A$3,$C$9:$C$308,0)),"CODICE NON TROVATO"))</f>
        <v>PORTAFOGLIO COMPLESSIVO</v>
      </c>
      <c r="N5" s="3"/>
      <c r="O5" s="3"/>
      <c r="P5" s="2">
        <f>IF($A$3="TUTTE",IF(COUNT($Y$9:$Y$308)=0,"",MAX($Y$9:$Y$308)),IFERROR(IF(INDEX($Y$9:$Y$308,MATCH($A$3,$C$9:$C$308,0))=0,"",INDEX($Y$9:$Y$308,MATCH($A$3,$C$9:$C$308,0))),""))</f>
        <v>46259</v>
      </c>
      <c r="Q5" s="2"/>
      <c r="R5" s="2"/>
      <c r="S5" s="3">
        <f>IF($A$3="TUTTE",SUBTOTAL(109,$BT$9:$BT$308),IF(IFERROR(INDEX($A$9:$A$308,MATCH($A$3,$C$9:$C$308,0)),"")="CRITICO",1,0))</f>
        <v>1</v>
      </c>
      <c r="T5" s="3"/>
      <c r="U5" s="3"/>
      <c r="V5" s="3">
        <f>IF($A$3="TUTTE",SUBTOTAL(109,$BU$9:$BU$308),IF(IFERROR(INDEX($A$9:$A$308,MATCH($A$3,$C$9:$C$308,0)),"")="ATTENZIONE",1,0))</f>
        <v>3</v>
      </c>
      <c r="W5" s="3"/>
      <c r="X5" s="3"/>
      <c r="Y5" s="3"/>
      <c r="AA5" s="26" t="s">
        <v>125</v>
      </c>
      <c r="AB5" s="27">
        <f>IF($A$3="","",IF($A$3="TUTTE",SUMIFS('MOVIMENTI 2026'!$N$7:$N$4206,'MOVIMENTI 2026'!$E$7:$E$4206,"&gt;="&amp;DATE(PARAMETRI!$B$11,3,1),'MOVIMENTI 2026'!$E$7:$E$4206,"&lt;"&amp;DATE(PARAMETRI!$B$11,4,1))*PARAMETRI!$B$4+SUMIFS('COSTI DIRETTI'!$H$6:$H$505,'COSTI DIRETTI'!$A$6:$A$505,"&gt;="&amp;DATE(PARAMETRI!$B$11,3,1),'COSTI DIRETTI'!$A$6:$A$505,"&lt;"&amp;DATE(PARAMETRI!$B$11,4,1)),SUMIFS('MOVIMENTI 2026'!$N$7:$N$4206,'MOVIMENTI 2026'!$B$7:$B$4206,$A$3,'MOVIMENTI 2026'!$E$7:$E$4206,"&gt;="&amp;DATE(PARAMETRI!$B$11,3,1),'MOVIMENTI 2026'!$E$7:$E$4206,"&lt;"&amp;DATE(PARAMETRI!$B$11,4,1))*PARAMETRI!$B$4+SUMIFS('COSTI DIRETTI'!$H$6:$H$505,'COSTI DIRETTI'!$C$6:$C$505,$A$3,'COSTI DIRETTI'!$A$6:$A$505,"&gt;="&amp;DATE(PARAMETRI!$B$11,3,1),'COSTI DIRETTI'!$A$6:$A$505,"&lt;"&amp;DATE(PARAMETRI!$B$11,4,1))))</f>
        <v>3663.2</v>
      </c>
      <c r="AC5" s="27">
        <f t="shared" si="0"/>
        <v>16737</v>
      </c>
    </row>
    <row r="6" spans="1:74" ht="15" customHeight="1" x14ac:dyDescent="0.15">
      <c r="A6" s="9" t="s">
        <v>126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AA6" s="26" t="s">
        <v>127</v>
      </c>
      <c r="AB6" s="27">
        <f>IF($A$3="","",IF($A$3="TUTTE",SUMIFS('MOVIMENTI 2026'!$N$7:$N$4206,'MOVIMENTI 2026'!$E$7:$E$4206,"&gt;="&amp;DATE(PARAMETRI!$B$11,4,1),'MOVIMENTI 2026'!$E$7:$E$4206,"&lt;"&amp;DATE(PARAMETRI!$B$11,5,1))*PARAMETRI!$B$4+SUMIFS('COSTI DIRETTI'!$H$6:$H$505,'COSTI DIRETTI'!$A$6:$A$505,"&gt;="&amp;DATE(PARAMETRI!$B$11,4,1),'COSTI DIRETTI'!$A$6:$A$505,"&lt;"&amp;DATE(PARAMETRI!$B$11,5,1)),SUMIFS('MOVIMENTI 2026'!$N$7:$N$4206,'MOVIMENTI 2026'!$B$7:$B$4206,$A$3,'MOVIMENTI 2026'!$E$7:$E$4206,"&gt;="&amp;DATE(PARAMETRI!$B$11,4,1),'MOVIMENTI 2026'!$E$7:$E$4206,"&lt;"&amp;DATE(PARAMETRI!$B$11,5,1))*PARAMETRI!$B$4+SUMIFS('COSTI DIRETTI'!$H$6:$H$505,'COSTI DIRETTI'!$C$6:$C$505,$A$3,'COSTI DIRETTI'!$A$6:$A$505,"&gt;="&amp;DATE(PARAMETRI!$B$11,4,1),'COSTI DIRETTI'!$A$6:$A$505,"&lt;"&amp;DATE(PARAMETRI!$B$11,5,1))))</f>
        <v>3000</v>
      </c>
      <c r="AC6" s="27">
        <f t="shared" si="0"/>
        <v>19737</v>
      </c>
    </row>
    <row r="7" spans="1:74" ht="32" x14ac:dyDescent="0.15">
      <c r="A7" s="12" t="s">
        <v>128</v>
      </c>
      <c r="B7" s="12"/>
      <c r="C7" s="12" t="s">
        <v>129</v>
      </c>
      <c r="D7" s="12"/>
      <c r="E7" s="12"/>
      <c r="F7" s="12"/>
      <c r="G7" s="12"/>
      <c r="H7" s="12"/>
      <c r="I7" s="12"/>
      <c r="J7" s="12" t="s">
        <v>130</v>
      </c>
      <c r="K7" s="12"/>
      <c r="L7" s="12"/>
      <c r="M7" s="12"/>
      <c r="N7" s="12"/>
      <c r="O7" s="12"/>
      <c r="P7" s="12" t="s">
        <v>131</v>
      </c>
      <c r="Q7" s="12"/>
      <c r="R7" s="12" t="s">
        <v>132</v>
      </c>
      <c r="S7" s="12"/>
      <c r="T7" s="12" t="s">
        <v>133</v>
      </c>
      <c r="U7" s="12"/>
      <c r="V7" s="12" t="s">
        <v>134</v>
      </c>
      <c r="W7" s="12"/>
      <c r="X7" s="12" t="s">
        <v>135</v>
      </c>
      <c r="Y7" s="12" t="s">
        <v>136</v>
      </c>
      <c r="AA7" s="26" t="s">
        <v>137</v>
      </c>
      <c r="AB7" s="27">
        <f>IF($A$3="","",IF($A$3="TUTTE",SUMIFS('MOVIMENTI 2026'!$N$7:$N$4206,'MOVIMENTI 2026'!$E$7:$E$4206,"&gt;="&amp;DATE(PARAMETRI!$B$11,5,1),'MOVIMENTI 2026'!$E$7:$E$4206,"&lt;"&amp;DATE(PARAMETRI!$B$11,6,1))*PARAMETRI!$B$4+SUMIFS('COSTI DIRETTI'!$H$6:$H$505,'COSTI DIRETTI'!$A$6:$A$505,"&gt;="&amp;DATE(PARAMETRI!$B$11,5,1),'COSTI DIRETTI'!$A$6:$A$505,"&lt;"&amp;DATE(PARAMETRI!$B$11,6,1)),SUMIFS('MOVIMENTI 2026'!$N$7:$N$4206,'MOVIMENTI 2026'!$B$7:$B$4206,$A$3,'MOVIMENTI 2026'!$E$7:$E$4206,"&gt;="&amp;DATE(PARAMETRI!$B$11,5,1),'MOVIMENTI 2026'!$E$7:$E$4206,"&lt;"&amp;DATE(PARAMETRI!$B$11,6,1))*PARAMETRI!$B$4+SUMIFS('COSTI DIRETTI'!$H$6:$H$505,'COSTI DIRETTI'!$C$6:$C$505,$A$3,'COSTI DIRETTI'!$A$6:$A$505,"&gt;="&amp;DATE(PARAMETRI!$B$11,5,1),'COSTI DIRETTI'!$A$6:$A$505,"&lt;"&amp;DATE(PARAMETRI!$B$11,6,1))))</f>
        <v>0</v>
      </c>
      <c r="AC7" s="27">
        <f t="shared" si="0"/>
        <v>19737</v>
      </c>
    </row>
    <row r="8" spans="1:74" ht="48" x14ac:dyDescent="0.15">
      <c r="A8" s="12" t="s">
        <v>138</v>
      </c>
      <c r="B8" s="12" t="s">
        <v>139</v>
      </c>
      <c r="C8" s="12" t="s">
        <v>0</v>
      </c>
      <c r="D8" s="12" t="s">
        <v>1</v>
      </c>
      <c r="E8" s="12" t="s">
        <v>69</v>
      </c>
      <c r="F8" s="12" t="s">
        <v>3</v>
      </c>
      <c r="G8" s="12" t="s">
        <v>4</v>
      </c>
      <c r="H8" s="12" t="s">
        <v>5</v>
      </c>
      <c r="I8" s="12" t="s">
        <v>6</v>
      </c>
      <c r="J8" s="12" t="s">
        <v>10</v>
      </c>
      <c r="K8" s="12" t="s">
        <v>38</v>
      </c>
      <c r="L8" s="12" t="s">
        <v>39</v>
      </c>
      <c r="M8" s="12" t="s">
        <v>111</v>
      </c>
      <c r="N8" s="12" t="s">
        <v>140</v>
      </c>
      <c r="O8" s="12" t="s">
        <v>118</v>
      </c>
      <c r="P8" s="12" t="s">
        <v>141</v>
      </c>
      <c r="Q8" s="12" t="s">
        <v>142</v>
      </c>
      <c r="R8" s="12" t="s">
        <v>143</v>
      </c>
      <c r="S8" s="12" t="s">
        <v>144</v>
      </c>
      <c r="T8" s="12" t="s">
        <v>145</v>
      </c>
      <c r="U8" s="12" t="s">
        <v>119</v>
      </c>
      <c r="V8" s="12" t="s">
        <v>48</v>
      </c>
      <c r="W8" s="12" t="s">
        <v>110</v>
      </c>
      <c r="X8" s="12" t="s">
        <v>146</v>
      </c>
      <c r="Y8" s="12" t="s">
        <v>121</v>
      </c>
      <c r="AA8" s="26" t="s">
        <v>147</v>
      </c>
      <c r="AB8" s="27">
        <f>IF($A$3="","",IF($A$3="TUTTE",SUMIFS('MOVIMENTI 2026'!$N$7:$N$4206,'MOVIMENTI 2026'!$E$7:$E$4206,"&gt;="&amp;DATE(PARAMETRI!$B$11,6,1),'MOVIMENTI 2026'!$E$7:$E$4206,"&lt;"&amp;DATE(PARAMETRI!$B$11,7,1))*PARAMETRI!$B$4+SUMIFS('COSTI DIRETTI'!$H$6:$H$505,'COSTI DIRETTI'!$A$6:$A$505,"&gt;="&amp;DATE(PARAMETRI!$B$11,6,1),'COSTI DIRETTI'!$A$6:$A$505,"&lt;"&amp;DATE(PARAMETRI!$B$11,7,1)),SUMIFS('MOVIMENTI 2026'!$N$7:$N$4206,'MOVIMENTI 2026'!$B$7:$B$4206,$A$3,'MOVIMENTI 2026'!$E$7:$E$4206,"&gt;="&amp;DATE(PARAMETRI!$B$11,6,1),'MOVIMENTI 2026'!$E$7:$E$4206,"&lt;"&amp;DATE(PARAMETRI!$B$11,7,1))*PARAMETRI!$B$4+SUMIFS('COSTI DIRETTI'!$H$6:$H$505,'COSTI DIRETTI'!$C$6:$C$505,$A$3,'COSTI DIRETTI'!$A$6:$A$505,"&gt;="&amp;DATE(PARAMETRI!$B$11,6,1),'COSTI DIRETTI'!$A$6:$A$505,"&lt;"&amp;DATE(PARAMETRI!$B$11,7,1))))</f>
        <v>0</v>
      </c>
      <c r="AC8" s="27">
        <f t="shared" si="0"/>
        <v>19737</v>
      </c>
    </row>
    <row r="9" spans="1:74" ht="48" x14ac:dyDescent="0.15">
      <c r="A9" s="17" t="str">
        <f>IFERROR(IF($C9="","",IF(OR($BF9&gt;0,$V9&gt;$J9,AND(ISNUMBER($Q9),$Q9&gt;0),AND($BI9&lt;&gt;"",$BI9&lt;-PARAMETRI!$B$6),AND($BM9&lt;&gt;"",$BM9&gt;=1),AND($BN9&lt;&gt;"",$BN9&gt;PARAMETRI!$B$8),AND(ISNUMBER($BR9),$BR9&gt;0)),"CRITICO",IF(OR($AZ9="",LEFT($C9,5)="TEMP",$BJ9="",$BO9="",ANAGRAFICA!$I6="",ANAGRAFICA!$J6="",$Y9="",AND(OR($I9="Finito ritenute non previste",$I9="Finito con sblocco ritenute",$I9="Finito senza sblocco ritenute"),ANAGRAFICA!$K6=""),OR(AND(ANAGRAFICA!$T6&lt;&gt;"",ANAGRAFICA!$J6&lt;&gt;ANAGRAFICA!$T6,OR(ANAGRAFICA!$R6="",ANAGRAFICA!$R6="Nessuna variazione")),AND(ANAGRAFICA!$J6="",ANAGRAFICA!$R6&lt;&gt;"",ANAGRAFICA!$R6&lt;&gt;"Nessuna variazione")),AND($BI9&lt;&gt;"",$BI9&lt;-PARAMETRI!$B$5),AND($BN9&lt;&gt;"",$BN9&gt;PARAMETRI!$B$7),AND($W9&gt;0,$M9&gt;$W9*PARAMETRI!$B$9),AND($O9&gt;0,OR($I9="Finito ritenute non previste",$I9="Finito con sblocco ritenute",$I9="Finito senza sblocco ritenute")),AND($BA9&gt;0,$BO9&gt;0,$BP9=0),AND(OR($I9="Finito ritenute non previste",$I9="Finito con sblocco ritenute",$I9="Finito senza sblocco ritenute"),$W9&gt;0,$N9&gt;$W9*PARAMETRI!$B$9),$V9&gt;0),"ATTENZIONE","REGOLARE"))),"ATTENZIONE")</f>
        <v>CRITICO</v>
      </c>
      <c r="B9" s="17" t="str">
        <f>IFERROR(IF($C9="","",IF($BF9&gt;0,"FATTURATO OLTRE VALORE RECUPERABILE; ","")&amp;IF($V9&gt;$J9,"PERDITE ACCETTATE OLTRE CONTRATTO; ","")&amp;IF($V9&gt;0,"PERDITA SAL ACCETTATA (€ "&amp;TEXT($V9,"#,##0.00")&amp;"); ","")&amp;IF(AND(ISNUMBER($Q9),$Q9&gt;0),"RITARDO PRODUTTIVO ("&amp;TEXT($Q9,"0")&amp;" GG); ","")&amp;IF(AND($BI9&lt;&gt;"",$BI9&lt;-PARAMETRI!$B$5),"AVANZAMENTO PIÙ LENTO DEL TEMPO; ","")&amp;IF(AND($BM9&lt;&gt;"",$BM9&gt;1),"ORE OLTRE BUDGET; ","")&amp;IF(AND($BM9&lt;&gt;"",$BM9=1),"ORE PREVENTIVATE ESAURITE; ","")&amp;IF(AND($BN9&lt;&gt;"",$BN9&gt;PARAMETRI!$B$7),"CONSUMO ORE SUPERIORE ALL'AVANZAMENTO; ","")&amp;IF(AND(ISNUMBER($BR9),$BR9&gt;0),"COSTI DIRETTI OLTRE BUDGET; ","")&amp;IF(AND($W9&gt;0,$M9&gt;$W9*PARAMETRI!$B$9),"SAL MATURATO NON FATTURATO; ","")&amp;IF(AND($O9&gt;0,OR($I9="Finito ritenute non previste",$I9="Finito con sblocco ritenute",$I9="Finito senza sblocco ritenute")),"RITENUTE DA SBLOCCARE; ","")&amp;IF(AND($BA9&gt;0,$BO9&gt;0,$BP9=0),"COSTI DIRETTI NON REGISTRATI; ","")&amp;IF(AND(OR($I9="Finito ritenute non previste",$I9="Finito con sblocco ritenute",$I9="Finito senza sblocco ritenute"),$W9&gt;0,$N9&gt;$W9*PARAMETRI!$B$9),"CANTIERE FINITO CON RESIDUO LAVORI; ","")&amp;IF(AND(OR($I9="Finito ritenute non previste",$I9="Finito con sblocco ritenute",$I9="Finito senza sblocco ritenute"),ANAGRAFICA!$K6=""),"DATA FINE EFFETTIVA MANCANTE; ","")&amp;IF(OR(AND(ANAGRAFICA!$T6&lt;&gt;"",ANAGRAFICA!$J6&lt;&gt;ANAGRAFICA!$T6,OR(ANAGRAFICA!$R6="",ANAGRAFICA!$R6="Nessuna variazione")),AND(ANAGRAFICA!$J6="",ANAGRAFICA!$R6&lt;&gt;"",ANAGRAFICA!$R6&lt;&gt;"Nessuna variazione")),"GESTIONE DATA FINE INCOMPLETA; ","")&amp;IF($Y9="","AGGIORNATO AL MANCANTE; ","")&amp;IF(OR($AZ9="",$BJ9="",$BO9="",ANAGRAFICA!$I6="",ANAGRAFICA!$J6=""),"DATI PREVISIONALI INCOMPLETI; ","")&amp;IF(LEFT($C9,5)="TEMP","CODICE COMMESSA TEMPORANEO; ","")),"DATI INCOMPLETI; ")</f>
        <v xml:space="preserve">PERDITA SAL ACCETTATA (€ 2000,000); AVANZAMENTO PIÙ LENTO DEL TEMPO; CONSUMO ORE SUPERIORE ALL'AVANZAMENTO; COSTI DIRETTI OLTRE BUDGET; </v>
      </c>
      <c r="C9" s="17" t="str">
        <f>IF(ANAGRAFICA!$B6="","",ANAGRAFICA!$B6)</f>
        <v>C042</v>
      </c>
      <c r="D9" s="17" t="str">
        <f>IF($C9="","",ANAGRAFICA!$C6)</f>
        <v>CARRON BAU</v>
      </c>
      <c r="E9" s="17" t="str">
        <f>IF($C9="","",ANAGRAFICA!$D6)</f>
        <v>MURATURE IN LATERIZIO C/O COSMO SPA - PESCHIERA DEL GARDA</v>
      </c>
      <c r="F9" s="17" t="str">
        <f>IF($C9="","",ANAGRAFICA!$E6)</f>
        <v>MURATURA</v>
      </c>
      <c r="G9" s="17" t="str">
        <f>IF($C9="","",ANAGRAFICA!$F6)</f>
        <v>DAVIDE</v>
      </c>
      <c r="H9" s="17" t="str">
        <f>IF($C9="","",ANAGRAFICA!$G6)</f>
        <v>AHMET MOUSTAFA</v>
      </c>
      <c r="I9" s="17" t="str">
        <f>IF($C9="","",ANAGRAFICA!$L6)</f>
        <v>In corso</v>
      </c>
      <c r="J9" s="16">
        <f t="shared" ref="J9:J72" si="1">IF($C9="","",$AZ9)</f>
        <v>143061.41</v>
      </c>
      <c r="K9" s="16">
        <f t="shared" ref="K9:K72" si="2">IF($C9="","",$BA9)</f>
        <v>42770.9</v>
      </c>
      <c r="L9" s="16">
        <f t="shared" ref="L9:L72" si="3">IF($C9="","",$BB9)</f>
        <v>42770.9</v>
      </c>
      <c r="M9" s="16">
        <f t="shared" ref="M9:M72" si="4">IF($C9="","",MAX($BA9-$BB9,0))</f>
        <v>0</v>
      </c>
      <c r="N9" s="16">
        <f t="shared" ref="N9:N72" si="5">IF(OR($C9="",$W9=""),"",MAX($W9-$BA9,0))</f>
        <v>98290.510000000009</v>
      </c>
      <c r="O9" s="16">
        <f t="shared" ref="O9:O72" si="6">IF($C9="","",MAX($BC9-$BD9,0))</f>
        <v>1510.23</v>
      </c>
      <c r="P9" s="17" t="str">
        <f t="shared" ref="P9:P72" si="7">IF(OR($C9="",$BG9="",$BH9="",$BI9=""),"",TEXT($BG9,"0.0%")&amp;" / "&amp;TEXT($BH9,"0.0%")&amp;" / "&amp;TEXT($BI9,"0.0%"))</f>
        <v>30% / 100% / -70%</v>
      </c>
      <c r="Q9" s="31">
        <f>IF(OR($C9="",'BUDGET COMMESSA'!$D6="",'BUDGET COMMESSA'!$D6&lt;=0,ANAGRAFICA!$J6=""),"",IF(OR($I9="Finito ritenute non previste",$I9="Finito con sblocco ritenute",$I9="Finito senza sblocco ritenute"),0,IF(AND($BK9&gt;=$BJ9,ANAGRAFICA!$R6="Ritardo produttivo FIDA"),IF(ANAGRAFICA!$T6&lt;&gt;"",MAX(0,ANAGRAFICA!$J6-ANAGRAFICA!$T6),MAX(0,$Y9-ANAGRAFICA!$J6)),0)))</f>
        <v>0</v>
      </c>
      <c r="R9" s="17" t="str">
        <f t="shared" ref="R9:R72" si="8">IF(OR($C9="",$BJ9=""),"",TEXT($BJ9,"#,##0.00")&amp;" / "&amp;TEXT($BK9,"#,##0.00")&amp;" / "&amp;TEXT($BL9,"#,##0.00"))</f>
        <v>1800,000 / 680,000 / 1120,000</v>
      </c>
      <c r="S9" s="17" t="str">
        <f t="shared" ref="S9:S72" si="9">IF(OR($C9="",$BM9="",$BG9="",$BN9=""),"",TEXT($BM9,"0.0%")&amp;" / "&amp;TEXT($BG9,"0.0%")&amp;" / "&amp;TEXT($BN9,"0.0%"))</f>
        <v>38% / 30% / 07%</v>
      </c>
      <c r="T9" s="17" t="str">
        <f t="shared" ref="T9:T72" si="10">IF(OR($C9="",$BO9=""),"",IF($BR9&gt;0,"BUDGET € "&amp;TEXT($BO9,"#,##0.00")&amp;" | SOSTENUTI € "&amp;TEXT($BP9,"#,##0.00")&amp;" | SFORAMENTO € "&amp;TEXT($BR9,"#,##0.00"),"BUDGET € "&amp;TEXT($BO9,"#,##0.00")&amp;" | SOSTENUTI € "&amp;TEXT($BP9,"#,##0.00")&amp;" | RESIDUO € "&amp;TEXT($BQ9,"#,##0.00")))</f>
        <v>BUDGET € 31308,000 | SOSTENUTI € 32308,000 | SFORAMENTO € 1000,000</v>
      </c>
      <c r="U9" s="16">
        <f t="shared" ref="U9:U72" si="11">IF($C9="","",$BS9)</f>
        <v>63445.2</v>
      </c>
      <c r="V9" s="16">
        <f t="shared" ref="V9:V72" si="12">IF($C9="","",$BV9)</f>
        <v>2000</v>
      </c>
      <c r="W9" s="16">
        <f t="shared" ref="W9:W72" si="13">IF(OR($C9="",$AZ9=""),"",MAX($AZ9-$BV9,0))</f>
        <v>141061.41</v>
      </c>
      <c r="X9" s="40"/>
      <c r="Y9" s="14">
        <v>46259</v>
      </c>
      <c r="AA9" s="26" t="s">
        <v>148</v>
      </c>
      <c r="AB9" s="27">
        <f>IF($A$3="","",IF($A$3="TUTTE",SUMIFS('MOVIMENTI 2026'!$N$7:$N$4206,'MOVIMENTI 2026'!$E$7:$E$4206,"&gt;="&amp;DATE(PARAMETRI!$B$11,7,1),'MOVIMENTI 2026'!$E$7:$E$4206,"&lt;"&amp;DATE(PARAMETRI!$B$11,8,1))*PARAMETRI!$B$4+SUMIFS('COSTI DIRETTI'!$H$6:$H$505,'COSTI DIRETTI'!$A$6:$A$505,"&gt;="&amp;DATE(PARAMETRI!$B$11,7,1),'COSTI DIRETTI'!$A$6:$A$505,"&lt;"&amp;DATE(PARAMETRI!$B$11,8,1)),SUMIFS('MOVIMENTI 2026'!$N$7:$N$4206,'MOVIMENTI 2026'!$B$7:$B$4206,$A$3,'MOVIMENTI 2026'!$E$7:$E$4206,"&gt;="&amp;DATE(PARAMETRI!$B$11,7,1),'MOVIMENTI 2026'!$E$7:$E$4206,"&lt;"&amp;DATE(PARAMETRI!$B$11,8,1))*PARAMETRI!$B$4+SUMIFS('COSTI DIRETTI'!$H$6:$H$505,'COSTI DIRETTI'!$C$6:$C$505,$A$3,'COSTI DIRETTI'!$A$6:$A$505,"&gt;="&amp;DATE(PARAMETRI!$B$11,7,1),'COSTI DIRETTI'!$A$6:$A$505,"&lt;"&amp;DATE(PARAMETRI!$B$11,8,1))))</f>
        <v>38137.199999999997</v>
      </c>
      <c r="AC9" s="27">
        <f t="shared" si="0"/>
        <v>57874.2</v>
      </c>
      <c r="AZ9">
        <f>IF($C9="","",ANAGRAFICA!$P6)</f>
        <v>143061.41</v>
      </c>
      <c r="BA9">
        <f>IF($C9="","",SUMIF('MOVIMENTI 2026'!$B$7:$B$4206,$C9,'MOVIMENTI 2026'!$I$7:$I$4206)+SUMIF('SALDI AL 31.12.2025'!$A$6:$A$505,$C9,'SALDI AL 31.12.2025'!$C$6:$C$505))</f>
        <v>42770.9</v>
      </c>
      <c r="BB9">
        <f>IF($C9="","",SUMIF('MOVIMENTI 2026'!$B$7:$B$4206,$C9,'MOVIMENTI 2026'!$J$7:$J$4206)+SUMIF('SALDI AL 31.12.2025'!$A$6:$A$505,$C9,'SALDI AL 31.12.2025'!$D$6:$D$505))</f>
        <v>42770.9</v>
      </c>
      <c r="BC9">
        <f>IF($C9="","",SUMIF('MOVIMENTI 2026'!$B$7:$B$4206,$C9,'MOVIMENTI 2026'!$K$7:$K$4206)+SUMIF('SALDI AL 31.12.2025'!$A$6:$A$505,$C9,'SALDI AL 31.12.2025'!$E$6:$E$505))</f>
        <v>2010.23</v>
      </c>
      <c r="BD9">
        <f>IF($C9="","",SUMIF('MOVIMENTI 2026'!$B$7:$B$4206,$C9,'MOVIMENTI 2026'!$L$7:$L$4206)+SUMIF('SALDI AL 31.12.2025'!$A$6:$A$505,$C9,'SALDI AL 31.12.2025'!$F$6:$F$505))</f>
        <v>500</v>
      </c>
      <c r="BE9">
        <f t="shared" ref="BE9:BE72" si="14">IF(OR($C9="",$W9=""),"",MAX($W9-$BB9,0))</f>
        <v>98290.510000000009</v>
      </c>
      <c r="BF9">
        <f t="shared" ref="BF9:BF72" si="15">IF(OR($C9="",$W9=""),"",MAX($BB9-$W9,0))</f>
        <v>0</v>
      </c>
      <c r="BG9">
        <f t="shared" ref="BG9:BG72" si="16">IF(OR($C9="",$W9&lt;=0),"",$BA9/$W9)</f>
        <v>0.30320765969941743</v>
      </c>
      <c r="BH9">
        <f>IFERROR(IF(OR($C9="",ANAGRAFICA!$I6="",ANAGRAFICA!$J6="",ANAGRAFICA!$J6&lt;=ANAGRAFICA!$I6,$Y9=""),"",IF(OR($I9="Finito ritenute non previste",$I9="Finito con sblocco ritenute",$I9="Finito senza sblocco ritenute"),1,MAX(0,MIN(1,($Y9-ANAGRAFICA!$I6)/(ANAGRAFICA!$J6-ANAGRAFICA!$I6))))),"")</f>
        <v>1</v>
      </c>
      <c r="BI9">
        <f t="shared" ref="BI9:BI72" si="17">IF(OR($C9="",$BG9="",$BH9=""),"",$BG9-$BH9)</f>
        <v>-0.69679234030058257</v>
      </c>
      <c r="BJ9">
        <f>IFERROR(IF($C9="","",'BUDGET COMMESSA'!$D6),"")</f>
        <v>1800</v>
      </c>
      <c r="BK9">
        <f>IF($C9="","",SUMIF('MOVIMENTI 2026'!$B$7:$B$4206,$C9,'MOVIMENTI 2026'!$N$7:$N$4206)+SUMIF('SALDI AL 31.12.2025'!$A$6:$A$505,$C9,'SALDI AL 31.12.2025'!$H$6:$H$505))</f>
        <v>680</v>
      </c>
      <c r="BL9">
        <f t="shared" ref="BL9:BL72" si="18">IF(OR($C9="",$BJ9=""),"",MAX($BJ9-$BK9,0))</f>
        <v>1120</v>
      </c>
      <c r="BM9">
        <f t="shared" ref="BM9:BM72" si="19">IF(OR($C9="",$BJ9&lt;=0),"",$BK9/$BJ9)</f>
        <v>0.37777777777777777</v>
      </c>
      <c r="BN9">
        <f t="shared" ref="BN9:BN72" si="20">IF(OR($C9="",$BM9="",$BG9=""),"",$BM9-$BG9)</f>
        <v>7.4570118078360337E-2</v>
      </c>
      <c r="BO9">
        <f>IFERROR(IF($C9="","",'BUDGET COMMESSA'!$G6),"")</f>
        <v>31308</v>
      </c>
      <c r="BP9">
        <f>IF($C9="","",SUMIF('COSTI DIRETTI'!$C$6:$C$505,$C9,'COSTI DIRETTI'!$H$6:$H$505)+SUMIF('SALDI AL 31.12.2025'!$A$6:$A$505,$C9,'SALDI AL 31.12.2025'!$I$6:$I$505))</f>
        <v>32308</v>
      </c>
      <c r="BQ9">
        <f t="shared" ref="BQ9:BQ72" si="21">IF(OR($C9="",$BO9=""),"",MAX($BO9-$BP9,0))</f>
        <v>0</v>
      </c>
      <c r="BR9">
        <f t="shared" ref="BR9:BR72" si="22">IF(OR($C9="",$BO9=""),"",MAX($BP9-$BO9,0))</f>
        <v>1000</v>
      </c>
      <c r="BS9">
        <f>IF($C9="","",$BK9*PARAMETRI!$B$4+$BP9)</f>
        <v>63445.2</v>
      </c>
      <c r="BT9">
        <f t="shared" ref="BT9:BT72" si="23">IF($A9="CRITICO",1,0)</f>
        <v>1</v>
      </c>
      <c r="BU9">
        <f t="shared" ref="BU9:BU72" si="24">IF($A9="ATTENZIONE",1,0)</f>
        <v>0</v>
      </c>
      <c r="BV9">
        <f>IF($C9="","",SUMIF('MOVIMENTI 2026'!$B$7:$B$4206,$C9,'MOVIMENTI 2026'!$P$7:$P$4206)+SUMIF('SALDI AL 31.12.2025'!$A$6:$A$505,$C9,'SALDI AL 31.12.2025'!$G$6:$G$505))</f>
        <v>2000</v>
      </c>
    </row>
    <row r="10" spans="1:74" ht="64" x14ac:dyDescent="0.15">
      <c r="A10" s="17" t="str">
        <f>IFERROR(IF($C10="","",IF(OR($BF10&gt;0,$V10&gt;$J10,AND(ISNUMBER($Q10),$Q10&gt;0),AND($BI10&lt;&gt;"",$BI10&lt;-PARAMETRI!$B$6),AND($BM10&lt;&gt;"",$BM10&gt;=1),AND($BN10&lt;&gt;"",$BN10&gt;PARAMETRI!$B$8),AND(ISNUMBER($BR10),$BR10&gt;0)),"CRITICO",IF(OR($AZ10="",LEFT($C10,5)="TEMP",$BJ10="",$BO10="",ANAGRAFICA!$I7="",ANAGRAFICA!$J7="",$Y10="",AND(OR($I10="Finito ritenute non previste",$I10="Finito con sblocco ritenute",$I10="Finito senza sblocco ritenute"),ANAGRAFICA!$K7=""),OR(AND(ANAGRAFICA!$T7&lt;&gt;"",ANAGRAFICA!$J7&lt;&gt;ANAGRAFICA!$T7,OR(ANAGRAFICA!$R7="",ANAGRAFICA!$R7="Nessuna variazione")),AND(ANAGRAFICA!$J7="",ANAGRAFICA!$R7&lt;&gt;"",ANAGRAFICA!$R7&lt;&gt;"Nessuna variazione")),AND($BI10&lt;&gt;"",$BI10&lt;-PARAMETRI!$B$5),AND($BN10&lt;&gt;"",$BN10&gt;PARAMETRI!$B$7),AND($W10&gt;0,$M10&gt;$W10*PARAMETRI!$B$9),AND($O10&gt;0,OR($I10="Finito ritenute non previste",$I10="Finito con sblocco ritenute",$I10="Finito senza sblocco ritenute")),AND($BA10&gt;0,$BO10&gt;0,$BP10=0),AND(OR($I10="Finito ritenute non previste",$I10="Finito con sblocco ritenute",$I10="Finito senza sblocco ritenute"),$W10&gt;0,$N10&gt;$W10*PARAMETRI!$B$9),$V10&gt;0),"ATTENZIONE","REGOLARE"))),"ATTENZIONE")</f>
        <v>ATTENZIONE</v>
      </c>
      <c r="B10" s="17" t="str">
        <f>IFERROR(IF($C10="","",IF($BF10&gt;0,"FATTURATO OLTRE VALORE RECUPERABILE; ","")&amp;IF($V10&gt;$J10,"PERDITE ACCETTATE OLTRE CONTRATTO; ","")&amp;IF($V10&gt;0,"PERDITA SAL ACCETTATA (€ "&amp;TEXT($V10,"#,##0.00")&amp;"); ","")&amp;IF(AND(ISNUMBER($Q10),$Q10&gt;0),"RITARDO PRODUTTIVO ("&amp;TEXT($Q10,"0")&amp;" GG); ","")&amp;IF(AND($BI10&lt;&gt;"",$BI10&lt;-PARAMETRI!$B$5),"AVANZAMENTO PIÙ LENTO DEL TEMPO; ","")&amp;IF(AND($BM10&lt;&gt;"",$BM10&gt;1),"ORE OLTRE BUDGET; ","")&amp;IF(AND($BM10&lt;&gt;"",$BM10=1),"ORE PREVENTIVATE ESAURITE; ","")&amp;IF(AND($BN10&lt;&gt;"",$BN10&gt;PARAMETRI!$B$7),"CONSUMO ORE SUPERIORE ALL'AVANZAMENTO; ","")&amp;IF(AND(ISNUMBER($BR10),$BR10&gt;0),"COSTI DIRETTI OLTRE BUDGET; ","")&amp;IF(AND($W10&gt;0,$M10&gt;$W10*PARAMETRI!$B$9),"SAL MATURATO NON FATTURATO; ","")&amp;IF(AND($O10&gt;0,OR($I10="Finito ritenute non previste",$I10="Finito con sblocco ritenute",$I10="Finito senza sblocco ritenute")),"RITENUTE DA SBLOCCARE; ","")&amp;IF(AND($BA10&gt;0,$BO10&gt;0,$BP10=0),"COSTI DIRETTI NON REGISTRATI; ","")&amp;IF(AND(OR($I10="Finito ritenute non previste",$I10="Finito con sblocco ritenute",$I10="Finito senza sblocco ritenute"),$W10&gt;0,$N10&gt;$W10*PARAMETRI!$B$9),"CANTIERE FINITO CON RESIDUO LAVORI; ","")&amp;IF(AND(OR($I10="Finito ritenute non previste",$I10="Finito con sblocco ritenute",$I10="Finito senza sblocco ritenute"),ANAGRAFICA!$K7=""),"DATA FINE EFFETTIVA MANCANTE; ","")&amp;IF(OR(AND(ANAGRAFICA!$T7&lt;&gt;"",ANAGRAFICA!$J7&lt;&gt;ANAGRAFICA!$T7,OR(ANAGRAFICA!$R7="",ANAGRAFICA!$R7="Nessuna variazione")),AND(ANAGRAFICA!$J7="",ANAGRAFICA!$R7&lt;&gt;"",ANAGRAFICA!$R7&lt;&gt;"Nessuna variazione")),"GESTIONE DATA FINE INCOMPLETA; ","")&amp;IF($Y10="","AGGIORNATO AL MANCANTE; ","")&amp;IF(OR($AZ10="",$BJ10="",$BO10="",ANAGRAFICA!$I7="",ANAGRAFICA!$J7=""),"DATI PREVISIONALI INCOMPLETI; ","")&amp;IF(LEFT($C10,5)="TEMP","CODICE COMMESSA TEMPORANEO; ","")),"DATI INCOMPLETI; ")</f>
        <v xml:space="preserve">PERDITA SAL ACCETTATA (€ 1000,000); SAL MATURATO NON FATTURATO; CANTIERE FINITO CON RESIDUO LAVORI; DATA FINE EFFETTIVA MANCANTE; AGGIORNATO AL MANCANTE; </v>
      </c>
      <c r="C10" s="17" t="str">
        <f>IF(ANAGRAFICA!$B7="","",ANAGRAFICA!$B7)</f>
        <v>C011</v>
      </c>
      <c r="D10" s="17" t="str">
        <f>IF($C10="","",ANAGRAFICA!$C7)</f>
        <v>CARRON</v>
      </c>
      <c r="E10" s="17" t="str">
        <f>IF($C10="","",ANAGRAFICA!$D7)</f>
        <v>ZABARELLA 2023 - COD. CANTIERE 774</v>
      </c>
      <c r="F10" s="17" t="str">
        <f>IF($C10="","",ANAGRAFICA!$E7)</f>
        <v>MURATURA+ECONOMIE</v>
      </c>
      <c r="G10" s="17" t="str">
        <f>IF($C10="","",ANAGRAFICA!$F7)</f>
        <v>ALBAN</v>
      </c>
      <c r="H10" s="17" t="str">
        <f>IF($C10="","",ANAGRAFICA!$G7)</f>
        <v>NA</v>
      </c>
      <c r="I10" s="17" t="str">
        <f>IF($C10="","",ANAGRAFICA!$L7)</f>
        <v>Finito ritenute non previste</v>
      </c>
      <c r="J10" s="16">
        <f t="shared" si="1"/>
        <v>182758</v>
      </c>
      <c r="K10" s="16">
        <f t="shared" si="2"/>
        <v>20000</v>
      </c>
      <c r="L10" s="16">
        <f t="shared" si="3"/>
        <v>9000</v>
      </c>
      <c r="M10" s="16">
        <f t="shared" si="4"/>
        <v>11000</v>
      </c>
      <c r="N10" s="16">
        <f t="shared" si="5"/>
        <v>161758</v>
      </c>
      <c r="O10" s="16">
        <f t="shared" si="6"/>
        <v>0</v>
      </c>
      <c r="P10" s="17" t="str">
        <f t="shared" si="7"/>
        <v/>
      </c>
      <c r="Q10" s="31" t="str">
        <f>IF(OR($C10="",'BUDGET COMMESSA'!$D7="",'BUDGET COMMESSA'!$D7&lt;=0,ANAGRAFICA!$J7=""),"",IF(OR($I10="Finito ritenute non previste",$I10="Finito con sblocco ritenute",$I10="Finito senza sblocco ritenute"),0,IF(AND($BK10&gt;=$BJ10,ANAGRAFICA!$R7="Ritardo produttivo FIDA"),IF(ANAGRAFICA!$T7&lt;&gt;"",MAX(0,ANAGRAFICA!$J7-ANAGRAFICA!$T7),MAX(0,$Y10-ANAGRAFICA!$J7)),0)))</f>
        <v/>
      </c>
      <c r="R10" s="17" t="str">
        <f t="shared" si="8"/>
        <v>,000 / ,000 / ,000</v>
      </c>
      <c r="S10" s="17" t="str">
        <f t="shared" si="9"/>
        <v/>
      </c>
      <c r="T10" s="17" t="str">
        <f t="shared" si="10"/>
        <v>BUDGET € ,000 | SOSTENUTI € ,000 | RESIDUO € ,000</v>
      </c>
      <c r="U10" s="16">
        <f t="shared" si="11"/>
        <v>0</v>
      </c>
      <c r="V10" s="16">
        <f t="shared" si="12"/>
        <v>1000</v>
      </c>
      <c r="W10" s="16">
        <f t="shared" si="13"/>
        <v>181758</v>
      </c>
      <c r="X10" s="40"/>
      <c r="Y10" s="14"/>
      <c r="AA10" s="26" t="s">
        <v>149</v>
      </c>
      <c r="AB10" s="27">
        <f>IF($A$3="","",IF($A$3="TUTTE",SUMIFS('MOVIMENTI 2026'!$N$7:$N$4206,'MOVIMENTI 2026'!$E$7:$E$4206,"&gt;="&amp;DATE(PARAMETRI!$B$11,8,1),'MOVIMENTI 2026'!$E$7:$E$4206,"&lt;"&amp;DATE(PARAMETRI!$B$11,9,1))*PARAMETRI!$B$4+SUMIFS('COSTI DIRETTI'!$H$6:$H$505,'COSTI DIRETTI'!$A$6:$A$505,"&gt;="&amp;DATE(PARAMETRI!$B$11,8,1),'COSTI DIRETTI'!$A$6:$A$505,"&lt;"&amp;DATE(PARAMETRI!$B$11,9,1)),SUMIFS('MOVIMENTI 2026'!$N$7:$N$4206,'MOVIMENTI 2026'!$B$7:$B$4206,$A$3,'MOVIMENTI 2026'!$E$7:$E$4206,"&gt;="&amp;DATE(PARAMETRI!$B$11,8,1),'MOVIMENTI 2026'!$E$7:$E$4206,"&lt;"&amp;DATE(PARAMETRI!$B$11,9,1))*PARAMETRI!$B$4+SUMIFS('COSTI DIRETTI'!$H$6:$H$505,'COSTI DIRETTI'!$C$6:$C$505,$A$3,'COSTI DIRETTI'!$A$6:$A$505,"&gt;="&amp;DATE(PARAMETRI!$B$11,8,1),'COSTI DIRETTI'!$A$6:$A$505,"&lt;"&amp;DATE(PARAMETRI!$B$11,9,1))))</f>
        <v>25308</v>
      </c>
      <c r="AC10" s="27">
        <f t="shared" si="0"/>
        <v>83182.2</v>
      </c>
      <c r="AZ10">
        <f>IF($C10="","",ANAGRAFICA!$P7)</f>
        <v>182758</v>
      </c>
      <c r="BA10">
        <f>IF($C10="","",SUMIF('MOVIMENTI 2026'!$B$7:$B$4206,$C10,'MOVIMENTI 2026'!$I$7:$I$4206)+SUMIF('SALDI AL 31.12.2025'!$A$6:$A$505,$C10,'SALDI AL 31.12.2025'!$C$6:$C$505))</f>
        <v>20000</v>
      </c>
      <c r="BB10">
        <f>IF($C10="","",SUMIF('MOVIMENTI 2026'!$B$7:$B$4206,$C10,'MOVIMENTI 2026'!$J$7:$J$4206)+SUMIF('SALDI AL 31.12.2025'!$A$6:$A$505,$C10,'SALDI AL 31.12.2025'!$D$6:$D$505))</f>
        <v>9000</v>
      </c>
      <c r="BC10">
        <f>IF($C10="","",SUMIF('MOVIMENTI 2026'!$B$7:$B$4206,$C10,'MOVIMENTI 2026'!$K$7:$K$4206)+SUMIF('SALDI AL 31.12.2025'!$A$6:$A$505,$C10,'SALDI AL 31.12.2025'!$E$6:$E$505))</f>
        <v>0</v>
      </c>
      <c r="BD10">
        <f>IF($C10="","",SUMIF('MOVIMENTI 2026'!$B$7:$B$4206,$C10,'MOVIMENTI 2026'!$L$7:$L$4206)+SUMIF('SALDI AL 31.12.2025'!$A$6:$A$505,$C10,'SALDI AL 31.12.2025'!$F$6:$F$505))</f>
        <v>0</v>
      </c>
      <c r="BE10">
        <f t="shared" si="14"/>
        <v>172758</v>
      </c>
      <c r="BF10">
        <f t="shared" si="15"/>
        <v>0</v>
      </c>
      <c r="BG10">
        <f t="shared" si="16"/>
        <v>0.11003642205570044</v>
      </c>
      <c r="BH10" t="str">
        <f>IFERROR(IF(OR($C10="",ANAGRAFICA!$I7="",ANAGRAFICA!$J7="",ANAGRAFICA!$J7&lt;=ANAGRAFICA!$I7,$Y10=""),"",IF(OR($I10="Finito ritenute non previste",$I10="Finito con sblocco ritenute",$I10="Finito senza sblocco ritenute"),1,MAX(0,MIN(1,($Y10-ANAGRAFICA!$I7)/(ANAGRAFICA!$J7-ANAGRAFICA!$I7))))),"")</f>
        <v/>
      </c>
      <c r="BI10" t="str">
        <f t="shared" si="17"/>
        <v/>
      </c>
      <c r="BJ10" s="32">
        <f>IFERROR(IF($C10="","",'BUDGET COMMESSA'!$D7),"")</f>
        <v>0</v>
      </c>
      <c r="BK10">
        <f>IF($C10="","",SUMIF('MOVIMENTI 2026'!$B$7:$B$4206,$C10,'MOVIMENTI 2026'!$N$7:$N$4206)+SUMIF('SALDI AL 31.12.2025'!$A$6:$A$505,$C10,'SALDI AL 31.12.2025'!$H$6:$H$505))</f>
        <v>0</v>
      </c>
      <c r="BL10">
        <f t="shared" si="18"/>
        <v>0</v>
      </c>
      <c r="BM10" t="str">
        <f t="shared" si="19"/>
        <v/>
      </c>
      <c r="BN10" t="str">
        <f t="shared" si="20"/>
        <v/>
      </c>
      <c r="BO10" s="33">
        <f>IFERROR(IF($C10="","",'BUDGET COMMESSA'!$G7),"")</f>
        <v>0</v>
      </c>
      <c r="BP10">
        <f>IF($C10="","",SUMIF('COSTI DIRETTI'!$C$6:$C$505,$C10,'COSTI DIRETTI'!$H$6:$H$505)+SUMIF('SALDI AL 31.12.2025'!$A$6:$A$505,$C10,'SALDI AL 31.12.2025'!$I$6:$I$505))</f>
        <v>0</v>
      </c>
      <c r="BQ10">
        <f t="shared" si="21"/>
        <v>0</v>
      </c>
      <c r="BR10">
        <f t="shared" si="22"/>
        <v>0</v>
      </c>
      <c r="BS10">
        <f>IF($C10="","",$BK10*PARAMETRI!$B$4+$BP10)</f>
        <v>0</v>
      </c>
      <c r="BT10">
        <f t="shared" si="23"/>
        <v>0</v>
      </c>
      <c r="BU10">
        <f t="shared" si="24"/>
        <v>1</v>
      </c>
      <c r="BV10">
        <f>IF($C10="","",SUMIF('MOVIMENTI 2026'!$B$7:$B$4206,$C10,'MOVIMENTI 2026'!$P$7:$P$4206)+SUMIF('SALDI AL 31.12.2025'!$A$6:$A$505,$C10,'SALDI AL 31.12.2025'!$G$6:$G$505))</f>
        <v>1000</v>
      </c>
    </row>
    <row r="11" spans="1:74" ht="32" x14ac:dyDescent="0.15">
      <c r="A11" s="17" t="str">
        <f>IFERROR(IF($C11="","",IF(OR($BF11&gt;0,$V11&gt;$J11,AND(ISNUMBER($Q11),$Q11&gt;0),AND($BI11&lt;&gt;"",$BI11&lt;-PARAMETRI!$B$6),AND($BM11&lt;&gt;"",$BM11&gt;=1),AND($BN11&lt;&gt;"",$BN11&gt;PARAMETRI!$B$8),AND(ISNUMBER($BR11),$BR11&gt;0)),"CRITICO",IF(OR($AZ11="",LEFT($C11,5)="TEMP",$BJ11="",$BO11="",ANAGRAFICA!$I8="",ANAGRAFICA!$J8="",$Y11="",AND(OR($I11="Finito ritenute non previste",$I11="Finito con sblocco ritenute",$I11="Finito senza sblocco ritenute"),ANAGRAFICA!$K8=""),OR(AND(ANAGRAFICA!$T8&lt;&gt;"",ANAGRAFICA!$J8&lt;&gt;ANAGRAFICA!$T8,OR(ANAGRAFICA!$R8="",ANAGRAFICA!$R8="Nessuna variazione")),AND(ANAGRAFICA!$J8="",ANAGRAFICA!$R8&lt;&gt;"",ANAGRAFICA!$R8&lt;&gt;"Nessuna variazione")),AND($BI11&lt;&gt;"",$BI11&lt;-PARAMETRI!$B$5),AND($BN11&lt;&gt;"",$BN11&gt;PARAMETRI!$B$7),AND($W11&gt;0,$M11&gt;$W11*PARAMETRI!$B$9),AND($O11&gt;0,OR($I11="Finito ritenute non previste",$I11="Finito con sblocco ritenute",$I11="Finito senza sblocco ritenute")),AND($BA11&gt;0,$BO11&gt;0,$BP11=0),AND(OR($I11="Finito ritenute non previste",$I11="Finito con sblocco ritenute",$I11="Finito senza sblocco ritenute"),$W11&gt;0,$N11&gt;$W11*PARAMETRI!$B$9),$V11&gt;0),"ATTENZIONE","REGOLARE"))),"ATTENZIONE")</f>
        <v>ATTENZIONE</v>
      </c>
      <c r="B11" s="17" t="str">
        <f>IFERROR(IF($C11="","",IF($BF11&gt;0,"FATTURATO OLTRE VALORE RECUPERABILE; ","")&amp;IF($V11&gt;$J11,"PERDITE ACCETTATE OLTRE CONTRATTO; ","")&amp;IF($V11&gt;0,"PERDITA SAL ACCETTATA (€ "&amp;TEXT($V11,"#,##0.00")&amp;"); ","")&amp;IF(AND(ISNUMBER($Q11),$Q11&gt;0),"RITARDO PRODUTTIVO ("&amp;TEXT($Q11,"0")&amp;" GG); ","")&amp;IF(AND($BI11&lt;&gt;"",$BI11&lt;-PARAMETRI!$B$5),"AVANZAMENTO PIÙ LENTO DEL TEMPO; ","")&amp;IF(AND($BM11&lt;&gt;"",$BM11&gt;1),"ORE OLTRE BUDGET; ","")&amp;IF(AND($BM11&lt;&gt;"",$BM11=1),"ORE PREVENTIVATE ESAURITE; ","")&amp;IF(AND($BN11&lt;&gt;"",$BN11&gt;PARAMETRI!$B$7),"CONSUMO ORE SUPERIORE ALL'AVANZAMENTO; ","")&amp;IF(AND(ISNUMBER($BR11),$BR11&gt;0),"COSTI DIRETTI OLTRE BUDGET; ","")&amp;IF(AND($W11&gt;0,$M11&gt;$W11*PARAMETRI!$B$9),"SAL MATURATO NON FATTURATO; ","")&amp;IF(AND($O11&gt;0,OR($I11="Finito ritenute non previste",$I11="Finito con sblocco ritenute",$I11="Finito senza sblocco ritenute")),"RITENUTE DA SBLOCCARE; ","")&amp;IF(AND($BA11&gt;0,$BO11&gt;0,$BP11=0),"COSTI DIRETTI NON REGISTRATI; ","")&amp;IF(AND(OR($I11="Finito ritenute non previste",$I11="Finito con sblocco ritenute",$I11="Finito senza sblocco ritenute"),$W11&gt;0,$N11&gt;$W11*PARAMETRI!$B$9),"CANTIERE FINITO CON RESIDUO LAVORI; ","")&amp;IF(AND(OR($I11="Finito ritenute non previste",$I11="Finito con sblocco ritenute",$I11="Finito senza sblocco ritenute"),ANAGRAFICA!$K8=""),"DATA FINE EFFETTIVA MANCANTE; ","")&amp;IF(OR(AND(ANAGRAFICA!$T8&lt;&gt;"",ANAGRAFICA!$J8&lt;&gt;ANAGRAFICA!$T8,OR(ANAGRAFICA!$R8="",ANAGRAFICA!$R8="Nessuna variazione")),AND(ANAGRAFICA!$J8="",ANAGRAFICA!$R8&lt;&gt;"",ANAGRAFICA!$R8&lt;&gt;"Nessuna variazione")),"GESTIONE DATA FINE INCOMPLETA; ","")&amp;IF($Y11="","AGGIORNATO AL MANCANTE; ","")&amp;IF(OR($AZ11="",$BJ11="",$BO11="",ANAGRAFICA!$I8="",ANAGRAFICA!$J8=""),"DATI PREVISIONALI INCOMPLETI; ","")&amp;IF(LEFT($C11,5)="TEMP","CODICE COMMESSA TEMPORANEO; ","")),"DATI INCOMPLETI; ")</f>
        <v xml:space="preserve">PERDITA SAL ACCETTATA (€ 5000,000); </v>
      </c>
      <c r="C11" s="17" t="str">
        <f>IF(ANAGRAFICA!$B8="","",ANAGRAFICA!$B8)</f>
        <v>TEST10</v>
      </c>
      <c r="D11" s="17" t="str">
        <f>IF($C11="","",ANAGRAFICA!$C8)</f>
        <v>COMMESSA DIMOSTRATIVA</v>
      </c>
      <c r="E11" s="17" t="str">
        <f>IF($C11="","",ANAGRAFICA!$D8)</f>
        <v>TEST REV.10 - PERDITE SAL E COSTI MENSILI</v>
      </c>
      <c r="F11" s="17" t="str">
        <f>IF($C11="","",ANAGRAFICA!$E8)</f>
        <v>TEST</v>
      </c>
      <c r="G11" s="17" t="str">
        <f>IF($C11="","",ANAGRAFICA!$F8)</f>
        <v>DIREZIONE</v>
      </c>
      <c r="H11" s="17" t="str">
        <f>IF($C11="","",ANAGRAFICA!$G8)</f>
        <v>PREPOSTO TEST</v>
      </c>
      <c r="I11" s="17" t="str">
        <f>IF($C11="","",ANAGRAFICA!$L8)</f>
        <v>In corso</v>
      </c>
      <c r="J11" s="16">
        <f t="shared" si="1"/>
        <v>100000</v>
      </c>
      <c r="K11" s="16">
        <f t="shared" si="2"/>
        <v>25000</v>
      </c>
      <c r="L11" s="16">
        <f t="shared" si="3"/>
        <v>40000</v>
      </c>
      <c r="M11" s="16">
        <f t="shared" si="4"/>
        <v>0</v>
      </c>
      <c r="N11" s="16">
        <f t="shared" si="5"/>
        <v>70000</v>
      </c>
      <c r="O11" s="16">
        <f t="shared" si="6"/>
        <v>0</v>
      </c>
      <c r="P11" s="17" t="str">
        <f t="shared" si="7"/>
        <v>26% / 30% / -04%</v>
      </c>
      <c r="Q11" s="31">
        <f>IF(OR($C11="",'BUDGET COMMESSA'!$D8="",'BUDGET COMMESSA'!$D8&lt;=0,ANAGRAFICA!$J8=""),"",IF(OR($I11="Finito ritenute non previste",$I11="Finito con sblocco ritenute",$I11="Finito senza sblocco ritenute"),0,IF(AND($BK11&gt;=$BJ11,ANAGRAFICA!$R8="Ritardo produttivo FIDA"),IF(ANAGRAFICA!$T8&lt;&gt;"",MAX(0,ANAGRAFICA!$J8-ANAGRAFICA!$T8),MAX(0,$Y11-ANAGRAFICA!$J8)),0)))</f>
        <v>0</v>
      </c>
      <c r="R11" s="17" t="str">
        <f t="shared" si="8"/>
        <v>1000,000 / 300,000 / 700,000</v>
      </c>
      <c r="S11" s="17" t="str">
        <f t="shared" si="9"/>
        <v>30% / 26% / 04%</v>
      </c>
      <c r="T11" s="17" t="str">
        <f t="shared" si="10"/>
        <v>BUDGET € 20000,000 | SOSTENUTI € 6000,000 | RESIDUO € 14000,000</v>
      </c>
      <c r="U11" s="16">
        <f t="shared" si="11"/>
        <v>19737</v>
      </c>
      <c r="V11" s="16">
        <f t="shared" si="12"/>
        <v>5000</v>
      </c>
      <c r="W11" s="16">
        <f t="shared" si="13"/>
        <v>95000</v>
      </c>
      <c r="X11" s="40"/>
      <c r="Y11" s="14">
        <v>46132</v>
      </c>
      <c r="AA11" s="26" t="s">
        <v>150</v>
      </c>
      <c r="AB11" s="27">
        <f>IF($A$3="","",IF($A$3="TUTTE",SUMIFS('MOVIMENTI 2026'!$N$7:$N$4206,'MOVIMENTI 2026'!$E$7:$E$4206,"&gt;="&amp;DATE(PARAMETRI!$B$11,9,1),'MOVIMENTI 2026'!$E$7:$E$4206,"&lt;"&amp;DATE(PARAMETRI!$B$11,10,1))*PARAMETRI!$B$4+SUMIFS('COSTI DIRETTI'!$H$6:$H$505,'COSTI DIRETTI'!$A$6:$A$505,"&gt;="&amp;DATE(PARAMETRI!$B$11,9,1),'COSTI DIRETTI'!$A$6:$A$505,"&lt;"&amp;DATE(PARAMETRI!$B$11,10,1)),SUMIFS('MOVIMENTI 2026'!$N$7:$N$4206,'MOVIMENTI 2026'!$B$7:$B$4206,$A$3,'MOVIMENTI 2026'!$E$7:$E$4206,"&gt;="&amp;DATE(PARAMETRI!$B$11,9,1),'MOVIMENTI 2026'!$E$7:$E$4206,"&lt;"&amp;DATE(PARAMETRI!$B$11,10,1))*PARAMETRI!$B$4+SUMIFS('COSTI DIRETTI'!$H$6:$H$505,'COSTI DIRETTI'!$C$6:$C$505,$A$3,'COSTI DIRETTI'!$A$6:$A$505,"&gt;="&amp;DATE(PARAMETRI!$B$11,9,1),'COSTI DIRETTI'!$A$6:$A$505,"&lt;"&amp;DATE(PARAMETRI!$B$11,10,1))))</f>
        <v>0</v>
      </c>
      <c r="AC11" s="27">
        <f t="shared" si="0"/>
        <v>83182.2</v>
      </c>
      <c r="AZ11">
        <f>IF($C11="","",ANAGRAFICA!$P8)</f>
        <v>100000</v>
      </c>
      <c r="BA11">
        <f>IF($C11="","",SUMIF('MOVIMENTI 2026'!$B$7:$B$4206,$C11,'MOVIMENTI 2026'!$I$7:$I$4206)+SUMIF('SALDI AL 31.12.2025'!$A$6:$A$505,$C11,'SALDI AL 31.12.2025'!$C$6:$C$505))</f>
        <v>25000</v>
      </c>
      <c r="BB11">
        <f>IF($C11="","",SUMIF('MOVIMENTI 2026'!$B$7:$B$4206,$C11,'MOVIMENTI 2026'!$J$7:$J$4206)+SUMIF('SALDI AL 31.12.2025'!$A$6:$A$505,$C11,'SALDI AL 31.12.2025'!$D$6:$D$505))</f>
        <v>40000</v>
      </c>
      <c r="BC11">
        <f>IF($C11="","",SUMIF('MOVIMENTI 2026'!$B$7:$B$4206,$C11,'MOVIMENTI 2026'!$K$7:$K$4206)+SUMIF('SALDI AL 31.12.2025'!$A$6:$A$505,$C11,'SALDI AL 31.12.2025'!$E$6:$E$505))</f>
        <v>0</v>
      </c>
      <c r="BD11">
        <f>IF($C11="","",SUMIF('MOVIMENTI 2026'!$B$7:$B$4206,$C11,'MOVIMENTI 2026'!$L$7:$L$4206)+SUMIF('SALDI AL 31.12.2025'!$A$6:$A$505,$C11,'SALDI AL 31.12.2025'!$F$6:$F$505))</f>
        <v>0</v>
      </c>
      <c r="BE11">
        <f t="shared" si="14"/>
        <v>55000</v>
      </c>
      <c r="BF11">
        <f t="shared" si="15"/>
        <v>0</v>
      </c>
      <c r="BG11">
        <f t="shared" si="16"/>
        <v>0.26315789473684209</v>
      </c>
      <c r="BH11">
        <f>IFERROR(IF(OR($C11="",ANAGRAFICA!$I8="",ANAGRAFICA!$J8="",ANAGRAFICA!$J8&lt;=ANAGRAFICA!$I8,$Y11=""),"",IF(OR($I11="Finito ritenute non previste",$I11="Finito con sblocco ritenute",$I11="Finito senza sblocco ritenute"),1,MAX(0,MIN(1,($Y11-ANAGRAFICA!$I8)/(ANAGRAFICA!$J8-ANAGRAFICA!$I8))))),"")</f>
        <v>0.29945054945054944</v>
      </c>
      <c r="BI11">
        <f t="shared" si="17"/>
        <v>-3.6292654713707351E-2</v>
      </c>
      <c r="BJ11">
        <f>IFERROR(IF($C11="","",'BUDGET COMMESSA'!$D8),"")</f>
        <v>1000</v>
      </c>
      <c r="BK11">
        <f>IF($C11="","",SUMIF('MOVIMENTI 2026'!$B$7:$B$4206,$C11,'MOVIMENTI 2026'!$N$7:$N$4206)+SUMIF('SALDI AL 31.12.2025'!$A$6:$A$505,$C11,'SALDI AL 31.12.2025'!$H$6:$H$505))</f>
        <v>300</v>
      </c>
      <c r="BL11">
        <f t="shared" si="18"/>
        <v>700</v>
      </c>
      <c r="BM11">
        <f t="shared" si="19"/>
        <v>0.3</v>
      </c>
      <c r="BN11">
        <f t="shared" si="20"/>
        <v>3.6842105263157898E-2</v>
      </c>
      <c r="BO11">
        <f>IFERROR(IF($C11="","",'BUDGET COMMESSA'!$G8),"")</f>
        <v>20000</v>
      </c>
      <c r="BP11">
        <f>IF($C11="","",SUMIF('COSTI DIRETTI'!$C$6:$C$505,$C11,'COSTI DIRETTI'!$H$6:$H$505)+SUMIF('SALDI AL 31.12.2025'!$A$6:$A$505,$C11,'SALDI AL 31.12.2025'!$I$6:$I$505))</f>
        <v>6000</v>
      </c>
      <c r="BQ11">
        <f t="shared" si="21"/>
        <v>14000</v>
      </c>
      <c r="BR11">
        <f t="shared" si="22"/>
        <v>0</v>
      </c>
      <c r="BS11">
        <f>IF($C11="","",$BK11*PARAMETRI!$B$4+$BP11)</f>
        <v>19737</v>
      </c>
      <c r="BT11">
        <f t="shared" si="23"/>
        <v>0</v>
      </c>
      <c r="BU11">
        <f t="shared" si="24"/>
        <v>1</v>
      </c>
      <c r="BV11">
        <f>IF($C11="","",SUMIF('MOVIMENTI 2026'!$B$7:$B$4206,$C11,'MOVIMENTI 2026'!$P$7:$P$4206)+SUMIF('SALDI AL 31.12.2025'!$A$6:$A$505,$C11,'SALDI AL 31.12.2025'!$G$6:$G$505))</f>
        <v>5000</v>
      </c>
    </row>
    <row r="12" spans="1:74" ht="16" x14ac:dyDescent="0.15">
      <c r="A12" s="17" t="str">
        <f>IFERROR(IF($C12="","",IF(OR($BF12&gt;0,$V12&gt;$J12,AND(ISNUMBER($Q12),$Q12&gt;0),AND($BI12&lt;&gt;"",$BI12&lt;-PARAMETRI!$B$6),AND($BM12&lt;&gt;"",$BM12&gt;=1),AND($BN12&lt;&gt;"",$BN12&gt;PARAMETRI!$B$8),AND(ISNUMBER($BR12),$BR12&gt;0)),"CRITICO",IF(OR($AZ12="",LEFT($C12,5)="TEMP",$BJ12="",$BO12="",ANAGRAFICA!$I9="",ANAGRAFICA!$J9="",$Y12="",AND(OR($I12="Finito ritenute non previste",$I12="Finito con sblocco ritenute",$I12="Finito senza sblocco ritenute"),ANAGRAFICA!$K9=""),OR(AND(ANAGRAFICA!$T9&lt;&gt;"",ANAGRAFICA!$J9&lt;&gt;ANAGRAFICA!$T9,OR(ANAGRAFICA!$R9="",ANAGRAFICA!$R9="Nessuna variazione")),AND(ANAGRAFICA!$J9="",ANAGRAFICA!$R9&lt;&gt;"",ANAGRAFICA!$R9&lt;&gt;"Nessuna variazione")),AND($BI12&lt;&gt;"",$BI12&lt;-PARAMETRI!$B$5),AND($BN12&lt;&gt;"",$BN12&gt;PARAMETRI!$B$7),AND($W12&gt;0,$M12&gt;$W12*PARAMETRI!$B$9),AND($O12&gt;0,OR($I12="Finito ritenute non previste",$I12="Finito con sblocco ritenute",$I12="Finito senza sblocco ritenute")),AND($BA12&gt;0,$BO12&gt;0,$BP12=0),AND(OR($I12="Finito ritenute non previste",$I12="Finito con sblocco ritenute",$I12="Finito senza sblocco ritenute"),$W12&gt;0,$N12&gt;$W12*PARAMETRI!$B$9),$V12&gt;0),"ATTENZIONE","REGOLARE"))),"ATTENZIONE")</f>
        <v>ATTENZIONE</v>
      </c>
      <c r="B12" s="17" t="str">
        <f>IFERROR(IF($C12="","",IF($BF12&gt;0,"FATTURATO OLTRE VALORE RECUPERABILE; ","")&amp;IF($V12&gt;$J12,"PERDITE ACCETTATE OLTRE CONTRATTO; ","")&amp;IF($V12&gt;0,"PERDITA SAL ACCETTATA (€ "&amp;TEXT($V12,"#,##0.00")&amp;"); ","")&amp;IF(AND(ISNUMBER($Q12),$Q12&gt;0),"RITARDO PRODUTTIVO ("&amp;TEXT($Q12,"0")&amp;" GG); ","")&amp;IF(AND($BI12&lt;&gt;"",$BI12&lt;-PARAMETRI!$B$5),"AVANZAMENTO PIÙ LENTO DEL TEMPO; ","")&amp;IF(AND($BM12&lt;&gt;"",$BM12&gt;1),"ORE OLTRE BUDGET; ","")&amp;IF(AND($BM12&lt;&gt;"",$BM12=1),"ORE PREVENTIVATE ESAURITE; ","")&amp;IF(AND($BN12&lt;&gt;"",$BN12&gt;PARAMETRI!$B$7),"CONSUMO ORE SUPERIORE ALL'AVANZAMENTO; ","")&amp;IF(AND(ISNUMBER($BR12),$BR12&gt;0),"COSTI DIRETTI OLTRE BUDGET; ","")&amp;IF(AND($W12&gt;0,$M12&gt;$W12*PARAMETRI!$B$9),"SAL MATURATO NON FATTURATO; ","")&amp;IF(AND($O12&gt;0,OR($I12="Finito ritenute non previste",$I12="Finito con sblocco ritenute",$I12="Finito senza sblocco ritenute")),"RITENUTE DA SBLOCCARE; ","")&amp;IF(AND($BA12&gt;0,$BO12&gt;0,$BP12=0),"COSTI DIRETTI NON REGISTRATI; ","")&amp;IF(AND(OR($I12="Finito ritenute non previste",$I12="Finito con sblocco ritenute",$I12="Finito senza sblocco ritenute"),$W12&gt;0,$N12&gt;$W12*PARAMETRI!$B$9),"CANTIERE FINITO CON RESIDUO LAVORI; ","")&amp;IF(AND(OR($I12="Finito ritenute non previste",$I12="Finito con sblocco ritenute",$I12="Finito senza sblocco ritenute"),ANAGRAFICA!$K9=""),"DATA FINE EFFETTIVA MANCANTE; ","")&amp;IF(OR(AND(ANAGRAFICA!$T9&lt;&gt;"",ANAGRAFICA!$J9&lt;&gt;ANAGRAFICA!$T9,OR(ANAGRAFICA!$R9="",ANAGRAFICA!$R9="Nessuna variazione")),AND(ANAGRAFICA!$J9="",ANAGRAFICA!$R9&lt;&gt;"",ANAGRAFICA!$R9&lt;&gt;"Nessuna variazione")),"GESTIONE DATA FINE INCOMPLETA; ","")&amp;IF($Y12="","AGGIORNATO AL MANCANTE; ","")&amp;IF(OR($AZ12="",$BJ12="",$BO12="",ANAGRAFICA!$I9="",ANAGRAFICA!$J9=""),"DATI PREVISIONALI INCOMPLETI; ","")&amp;IF(LEFT($C12,5)="TEMP","CODICE COMMESSA TEMPORANEO; ","")),"DATI INCOMPLETI; ")</f>
        <v xml:space="preserve">DATI INCOMPLETI; </v>
      </c>
      <c r="C12" s="17" t="str">
        <f>IF(ANAGRAFICA!$B9="","",ANAGRAFICA!$B9)</f>
        <v>C042</v>
      </c>
      <c r="D12" s="17">
        <f>IF($C12="","",ANAGRAFICA!$C9)</f>
        <v>0</v>
      </c>
      <c r="E12" s="17">
        <f>IF($C12="","",ANAGRAFICA!$D9)</f>
        <v>0</v>
      </c>
      <c r="F12" s="17">
        <f>IF($C12="","",ANAGRAFICA!$E9)</f>
        <v>0</v>
      </c>
      <c r="G12" s="17">
        <f>IF($C12="","",ANAGRAFICA!$F9)</f>
        <v>0</v>
      </c>
      <c r="H12" s="17">
        <f>IF($C12="","",ANAGRAFICA!$G9)</f>
        <v>0</v>
      </c>
      <c r="I12" s="17">
        <f>IF($C12="","",ANAGRAFICA!$L9)</f>
        <v>0</v>
      </c>
      <c r="J12" s="16" t="str">
        <f t="shared" si="1"/>
        <v/>
      </c>
      <c r="K12" s="16">
        <f t="shared" si="2"/>
        <v>42770.9</v>
      </c>
      <c r="L12" s="16">
        <f t="shared" si="3"/>
        <v>42770.9</v>
      </c>
      <c r="M12" s="16">
        <f t="shared" si="4"/>
        <v>0</v>
      </c>
      <c r="N12" s="16" t="str">
        <f t="shared" si="5"/>
        <v/>
      </c>
      <c r="O12" s="16">
        <f t="shared" si="6"/>
        <v>1510.23</v>
      </c>
      <c r="P12" s="17" t="e">
        <f t="shared" si="7"/>
        <v>#VALUE!</v>
      </c>
      <c r="Q12" s="31" t="str">
        <f>IF(OR($C12="",'BUDGET COMMESSA'!$D9="",'BUDGET COMMESSA'!$D9&lt;=0,ANAGRAFICA!$J9=""),"",IF(OR($I12="Finito ritenute non previste",$I12="Finito con sblocco ritenute",$I12="Finito senza sblocco ritenute"),0,IF(AND($BK12&gt;=$BJ12,ANAGRAFICA!$R9="Ritardo produttivo FIDA"),IF(ANAGRAFICA!$T9&lt;&gt;"",MAX(0,ANAGRAFICA!$J9-ANAGRAFICA!$T9),MAX(0,$Y12-ANAGRAFICA!$J9)),0)))</f>
        <v/>
      </c>
      <c r="R12" s="17" t="str">
        <f t="shared" si="8"/>
        <v>,000 / 680,000 / ,000</v>
      </c>
      <c r="S12" s="17" t="e">
        <f t="shared" si="9"/>
        <v>#VALUE!</v>
      </c>
      <c r="T12" s="17" t="str">
        <f t="shared" si="10"/>
        <v>BUDGET € ,000 | SOSTENUTI € 32308,000 | SFORAMENTO € 32308,000</v>
      </c>
      <c r="U12" s="16">
        <f t="shared" si="11"/>
        <v>63445.2</v>
      </c>
      <c r="V12" s="16">
        <f t="shared" si="12"/>
        <v>2000</v>
      </c>
      <c r="W12" s="16" t="str">
        <f t="shared" si="13"/>
        <v/>
      </c>
      <c r="X12" s="40"/>
      <c r="Y12" s="14"/>
      <c r="AA12" s="26" t="s">
        <v>151</v>
      </c>
      <c r="AB12" s="27">
        <f>IF($A$3="","",IF($A$3="TUTTE",SUMIFS('MOVIMENTI 2026'!$N$7:$N$4206,'MOVIMENTI 2026'!$E$7:$E$4206,"&gt;="&amp;DATE(PARAMETRI!$B$11,10,1),'MOVIMENTI 2026'!$E$7:$E$4206,"&lt;"&amp;DATE(PARAMETRI!$B$11,11,1))*PARAMETRI!$B$4+SUMIFS('COSTI DIRETTI'!$H$6:$H$505,'COSTI DIRETTI'!$A$6:$A$505,"&gt;="&amp;DATE(PARAMETRI!$B$11,10,1),'COSTI DIRETTI'!$A$6:$A$505,"&lt;"&amp;DATE(PARAMETRI!$B$11,11,1)),SUMIFS('MOVIMENTI 2026'!$N$7:$N$4206,'MOVIMENTI 2026'!$B$7:$B$4206,$A$3,'MOVIMENTI 2026'!$E$7:$E$4206,"&gt;="&amp;DATE(PARAMETRI!$B$11,10,1),'MOVIMENTI 2026'!$E$7:$E$4206,"&lt;"&amp;DATE(PARAMETRI!$B$11,11,1))*PARAMETRI!$B$4+SUMIFS('COSTI DIRETTI'!$H$6:$H$505,'COSTI DIRETTI'!$C$6:$C$505,$A$3,'COSTI DIRETTI'!$A$6:$A$505,"&gt;="&amp;DATE(PARAMETRI!$B$11,10,1),'COSTI DIRETTI'!$A$6:$A$505,"&lt;"&amp;DATE(PARAMETRI!$B$11,11,1))))</f>
        <v>0</v>
      </c>
      <c r="AC12" s="27">
        <f t="shared" si="0"/>
        <v>83182.2</v>
      </c>
      <c r="AZ12" t="str">
        <f>IF($C12="","",ANAGRAFICA!$P9)</f>
        <v/>
      </c>
      <c r="BA12">
        <f>IF($C12="","",SUMIF('MOVIMENTI 2026'!$B$7:$B$4206,$C12,'MOVIMENTI 2026'!$I$7:$I$4206)+SUMIF('SALDI AL 31.12.2025'!$A$6:$A$505,$C12,'SALDI AL 31.12.2025'!$C$6:$C$505))</f>
        <v>42770.9</v>
      </c>
      <c r="BB12">
        <f>IF($C12="","",SUMIF('MOVIMENTI 2026'!$B$7:$B$4206,$C12,'MOVIMENTI 2026'!$J$7:$J$4206)+SUMIF('SALDI AL 31.12.2025'!$A$6:$A$505,$C12,'SALDI AL 31.12.2025'!$D$6:$D$505))</f>
        <v>42770.9</v>
      </c>
      <c r="BC12">
        <f>IF($C12="","",SUMIF('MOVIMENTI 2026'!$B$7:$B$4206,$C12,'MOVIMENTI 2026'!$K$7:$K$4206)+SUMIF('SALDI AL 31.12.2025'!$A$6:$A$505,$C12,'SALDI AL 31.12.2025'!$E$6:$E$505))</f>
        <v>2010.23</v>
      </c>
      <c r="BD12">
        <f>IF($C12="","",SUMIF('MOVIMENTI 2026'!$B$7:$B$4206,$C12,'MOVIMENTI 2026'!$L$7:$L$4206)+SUMIF('SALDI AL 31.12.2025'!$A$6:$A$505,$C12,'SALDI AL 31.12.2025'!$F$6:$F$505))</f>
        <v>500</v>
      </c>
      <c r="BE12" t="str">
        <f t="shared" si="14"/>
        <v/>
      </c>
      <c r="BF12" t="str">
        <f t="shared" si="15"/>
        <v/>
      </c>
      <c r="BG12" t="e">
        <f t="shared" si="16"/>
        <v>#VALUE!</v>
      </c>
      <c r="BH12" t="str">
        <f>IFERROR(IF(OR($C12="",ANAGRAFICA!$I9="",ANAGRAFICA!$J9="",ANAGRAFICA!$J9&lt;=ANAGRAFICA!$I9,$Y12=""),"",IF(OR($I12="Finito ritenute non previste",$I12="Finito con sblocco ritenute",$I12="Finito senza sblocco ritenute"),1,MAX(0,MIN(1,($Y12-ANAGRAFICA!$I9)/(ANAGRAFICA!$J9-ANAGRAFICA!$I9))))),"")</f>
        <v/>
      </c>
      <c r="BI12" t="e">
        <f t="shared" si="17"/>
        <v>#VALUE!</v>
      </c>
      <c r="BJ12">
        <f>IFERROR(IF($C12="","",'BUDGET COMMESSA'!$D9),"")</f>
        <v>0</v>
      </c>
      <c r="BK12">
        <f>IF($C12="","",SUMIF('MOVIMENTI 2026'!$B$7:$B$4206,$C12,'MOVIMENTI 2026'!$N$7:$N$4206)+SUMIF('SALDI AL 31.12.2025'!$A$6:$A$505,$C12,'SALDI AL 31.12.2025'!$H$6:$H$505))</f>
        <v>680</v>
      </c>
      <c r="BL12">
        <f t="shared" si="18"/>
        <v>0</v>
      </c>
      <c r="BM12" t="str">
        <f t="shared" si="19"/>
        <v/>
      </c>
      <c r="BN12" t="e">
        <f t="shared" si="20"/>
        <v>#VALUE!</v>
      </c>
      <c r="BO12">
        <f>IFERROR(IF($C12="","",'BUDGET COMMESSA'!$G9),"")</f>
        <v>0</v>
      </c>
      <c r="BP12">
        <f>IF($C12="","",SUMIF('COSTI DIRETTI'!$C$6:$C$505,$C12,'COSTI DIRETTI'!$H$6:$H$505)+SUMIF('SALDI AL 31.12.2025'!$A$6:$A$505,$C12,'SALDI AL 31.12.2025'!$I$6:$I$505))</f>
        <v>32308</v>
      </c>
      <c r="BQ12">
        <f t="shared" si="21"/>
        <v>0</v>
      </c>
      <c r="BR12">
        <f t="shared" si="22"/>
        <v>32308</v>
      </c>
      <c r="BS12">
        <f>IF($C12="","",$BK12*PARAMETRI!$B$4+$BP12)</f>
        <v>63445.2</v>
      </c>
      <c r="BT12">
        <f t="shared" si="23"/>
        <v>0</v>
      </c>
      <c r="BU12">
        <f t="shared" si="24"/>
        <v>1</v>
      </c>
      <c r="BV12">
        <f>IF($C12="","",SUMIF('MOVIMENTI 2026'!$B$7:$B$4206,$C12,'MOVIMENTI 2026'!$P$7:$P$4206)+SUMIF('SALDI AL 31.12.2025'!$A$6:$A$505,$C12,'SALDI AL 31.12.2025'!$G$6:$G$505))</f>
        <v>2000</v>
      </c>
    </row>
    <row r="13" spans="1:74" ht="16" x14ac:dyDescent="0.15">
      <c r="A13" s="17" t="str">
        <f>IFERROR(IF($C13="","",IF(OR($BF13&gt;0,$V13&gt;$J13,AND(ISNUMBER($Q13),$Q13&gt;0),AND($BI13&lt;&gt;"",$BI13&lt;-PARAMETRI!$B$6),AND($BM13&lt;&gt;"",$BM13&gt;=1),AND($BN13&lt;&gt;"",$BN13&gt;PARAMETRI!$B$8),AND(ISNUMBER($BR13),$BR13&gt;0)),"CRITICO",IF(OR($AZ13="",LEFT($C13,5)="TEMP",$BJ13="",$BO13="",ANAGRAFICA!$I10="",ANAGRAFICA!$J10="",$Y13="",AND(OR($I13="Finito ritenute non previste",$I13="Finito con sblocco ritenute",$I13="Finito senza sblocco ritenute"),ANAGRAFICA!$K10=""),OR(AND(ANAGRAFICA!$T10&lt;&gt;"",ANAGRAFICA!$J10&lt;&gt;ANAGRAFICA!$T10,OR(ANAGRAFICA!$R10="",ANAGRAFICA!$R10="Nessuna variazione")),AND(ANAGRAFICA!$J10="",ANAGRAFICA!$R10&lt;&gt;"",ANAGRAFICA!$R10&lt;&gt;"Nessuna variazione")),AND($BI13&lt;&gt;"",$BI13&lt;-PARAMETRI!$B$5),AND($BN13&lt;&gt;"",$BN13&gt;PARAMETRI!$B$7),AND($W13&gt;0,$M13&gt;$W13*PARAMETRI!$B$9),AND($O13&gt;0,OR($I13="Finito ritenute non previste",$I13="Finito con sblocco ritenute",$I13="Finito senza sblocco ritenute")),AND($BA13&gt;0,$BO13&gt;0,$BP13=0),AND(OR($I13="Finito ritenute non previste",$I13="Finito con sblocco ritenute",$I13="Finito senza sblocco ritenute"),$W13&gt;0,$N13&gt;$W13*PARAMETRI!$B$9),$V13&gt;0),"ATTENZIONE","REGOLARE"))),"ATTENZIONE")</f>
        <v/>
      </c>
      <c r="B13" s="17" t="str">
        <f>IFERROR(IF($C13="","",IF($BF13&gt;0,"FATTURATO OLTRE VALORE RECUPERABILE; ","")&amp;IF($V13&gt;$J13,"PERDITE ACCETTATE OLTRE CONTRATTO; ","")&amp;IF($V13&gt;0,"PERDITA SAL ACCETTATA (€ "&amp;TEXT($V13,"#,##0.00")&amp;"); ","")&amp;IF(AND(ISNUMBER($Q13),$Q13&gt;0),"RITARDO PRODUTTIVO ("&amp;TEXT($Q13,"0")&amp;" GG); ","")&amp;IF(AND($BI13&lt;&gt;"",$BI13&lt;-PARAMETRI!$B$5),"AVANZAMENTO PIÙ LENTO DEL TEMPO; ","")&amp;IF(AND($BM13&lt;&gt;"",$BM13&gt;1),"ORE OLTRE BUDGET; ","")&amp;IF(AND($BM13&lt;&gt;"",$BM13=1),"ORE PREVENTIVATE ESAURITE; ","")&amp;IF(AND($BN13&lt;&gt;"",$BN13&gt;PARAMETRI!$B$7),"CONSUMO ORE SUPERIORE ALL'AVANZAMENTO; ","")&amp;IF(AND(ISNUMBER($BR13),$BR13&gt;0),"COSTI DIRETTI OLTRE BUDGET; ","")&amp;IF(AND($W13&gt;0,$M13&gt;$W13*PARAMETRI!$B$9),"SAL MATURATO NON FATTURATO; ","")&amp;IF(AND($O13&gt;0,OR($I13="Finito ritenute non previste",$I13="Finito con sblocco ritenute",$I13="Finito senza sblocco ritenute")),"RITENUTE DA SBLOCCARE; ","")&amp;IF(AND($BA13&gt;0,$BO13&gt;0,$BP13=0),"COSTI DIRETTI NON REGISTRATI; ","")&amp;IF(AND(OR($I13="Finito ritenute non previste",$I13="Finito con sblocco ritenute",$I13="Finito senza sblocco ritenute"),$W13&gt;0,$N13&gt;$W13*PARAMETRI!$B$9),"CANTIERE FINITO CON RESIDUO LAVORI; ","")&amp;IF(AND(OR($I13="Finito ritenute non previste",$I13="Finito con sblocco ritenute",$I13="Finito senza sblocco ritenute"),ANAGRAFICA!$K10=""),"DATA FINE EFFETTIVA MANCANTE; ","")&amp;IF(OR(AND(ANAGRAFICA!$T10&lt;&gt;"",ANAGRAFICA!$J10&lt;&gt;ANAGRAFICA!$T10,OR(ANAGRAFICA!$R10="",ANAGRAFICA!$R10="Nessuna variazione")),AND(ANAGRAFICA!$J10="",ANAGRAFICA!$R10&lt;&gt;"",ANAGRAFICA!$R10&lt;&gt;"Nessuna variazione")),"GESTIONE DATA FINE INCOMPLETA; ","")&amp;IF($Y13="","AGGIORNATO AL MANCANTE; ","")&amp;IF(OR($AZ13="",$BJ13="",$BO13="",ANAGRAFICA!$I10="",ANAGRAFICA!$J10=""),"DATI PREVISIONALI INCOMPLETI; ","")&amp;IF(LEFT($C13,5)="TEMP","CODICE COMMESSA TEMPORANEO; ","")),"DATI INCOMPLETI; ")</f>
        <v/>
      </c>
      <c r="C13" s="17" t="str">
        <f>IF(ANAGRAFICA!$B10="","",ANAGRAFICA!$B10)</f>
        <v/>
      </c>
      <c r="D13" s="17" t="str">
        <f>IF($C13="","",ANAGRAFICA!$C10)</f>
        <v/>
      </c>
      <c r="E13" s="17" t="str">
        <f>IF($C13="","",ANAGRAFICA!$D10)</f>
        <v/>
      </c>
      <c r="F13" s="17" t="str">
        <f>IF($C13="","",ANAGRAFICA!$E10)</f>
        <v/>
      </c>
      <c r="G13" s="17" t="str">
        <f>IF($C13="","",ANAGRAFICA!$F10)</f>
        <v/>
      </c>
      <c r="H13" s="17" t="str">
        <f>IF($C13="","",ANAGRAFICA!$G10)</f>
        <v/>
      </c>
      <c r="I13" s="17" t="str">
        <f>IF($C13="","",ANAGRAFICA!$L10)</f>
        <v/>
      </c>
      <c r="J13" s="16" t="str">
        <f t="shared" si="1"/>
        <v/>
      </c>
      <c r="K13" s="16" t="str">
        <f t="shared" si="2"/>
        <v/>
      </c>
      <c r="L13" s="16" t="str">
        <f t="shared" si="3"/>
        <v/>
      </c>
      <c r="M13" s="16" t="str">
        <f t="shared" si="4"/>
        <v/>
      </c>
      <c r="N13" s="16" t="str">
        <f t="shared" si="5"/>
        <v/>
      </c>
      <c r="O13" s="16" t="str">
        <f t="shared" si="6"/>
        <v/>
      </c>
      <c r="P13" s="17" t="str">
        <f t="shared" si="7"/>
        <v/>
      </c>
      <c r="Q13" s="31" t="str">
        <f>IF(OR($C13="",'BUDGET COMMESSA'!$D10="",'BUDGET COMMESSA'!$D10&lt;=0,ANAGRAFICA!$J10=""),"",IF(OR($I13="Finito ritenute non previste",$I13="Finito con sblocco ritenute",$I13="Finito senza sblocco ritenute"),0,IF(AND($BK13&gt;=$BJ13,ANAGRAFICA!$R10="Ritardo produttivo FIDA"),IF(ANAGRAFICA!$T10&lt;&gt;"",MAX(0,ANAGRAFICA!$J10-ANAGRAFICA!$T10),MAX(0,$Y13-ANAGRAFICA!$J10)),0)))</f>
        <v/>
      </c>
      <c r="R13" s="17" t="str">
        <f t="shared" si="8"/>
        <v/>
      </c>
      <c r="S13" s="17" t="str">
        <f t="shared" si="9"/>
        <v/>
      </c>
      <c r="T13" s="17" t="str">
        <f t="shared" si="10"/>
        <v/>
      </c>
      <c r="U13" s="16" t="str">
        <f t="shared" si="11"/>
        <v/>
      </c>
      <c r="V13" s="16" t="str">
        <f t="shared" si="12"/>
        <v/>
      </c>
      <c r="W13" s="16" t="str">
        <f t="shared" si="13"/>
        <v/>
      </c>
      <c r="X13" s="40"/>
      <c r="Y13" s="14"/>
      <c r="AA13" s="26" t="s">
        <v>152</v>
      </c>
      <c r="AB13" s="27">
        <f>IF($A$3="","",IF($A$3="TUTTE",SUMIFS('MOVIMENTI 2026'!$N$7:$N$4206,'MOVIMENTI 2026'!$E$7:$E$4206,"&gt;="&amp;DATE(PARAMETRI!$B$11,11,1),'MOVIMENTI 2026'!$E$7:$E$4206,"&lt;"&amp;DATE(PARAMETRI!$B$11,12,1))*PARAMETRI!$B$4+SUMIFS('COSTI DIRETTI'!$H$6:$H$505,'COSTI DIRETTI'!$A$6:$A$505,"&gt;="&amp;DATE(PARAMETRI!$B$11,11,1),'COSTI DIRETTI'!$A$6:$A$505,"&lt;"&amp;DATE(PARAMETRI!$B$11,12,1)),SUMIFS('MOVIMENTI 2026'!$N$7:$N$4206,'MOVIMENTI 2026'!$B$7:$B$4206,$A$3,'MOVIMENTI 2026'!$E$7:$E$4206,"&gt;="&amp;DATE(PARAMETRI!$B$11,11,1),'MOVIMENTI 2026'!$E$7:$E$4206,"&lt;"&amp;DATE(PARAMETRI!$B$11,12,1))*PARAMETRI!$B$4+SUMIFS('COSTI DIRETTI'!$H$6:$H$505,'COSTI DIRETTI'!$C$6:$C$505,$A$3,'COSTI DIRETTI'!$A$6:$A$505,"&gt;="&amp;DATE(PARAMETRI!$B$11,11,1),'COSTI DIRETTI'!$A$6:$A$505,"&lt;"&amp;DATE(PARAMETRI!$B$11,12,1))))</f>
        <v>0</v>
      </c>
      <c r="AC13" s="27">
        <f t="shared" si="0"/>
        <v>83182.2</v>
      </c>
      <c r="AZ13" t="str">
        <f>IF($C13="","",ANAGRAFICA!$P10)</f>
        <v/>
      </c>
      <c r="BA13" t="str">
        <f>IF($C13="","",SUMIF('MOVIMENTI 2026'!$B$7:$B$4206,$C13,'MOVIMENTI 2026'!$I$7:$I$4206)+SUMIF('SALDI AL 31.12.2025'!$A$6:$A$505,$C13,'SALDI AL 31.12.2025'!$C$6:$C$505))</f>
        <v/>
      </c>
      <c r="BB13" t="str">
        <f>IF($C13="","",SUMIF('MOVIMENTI 2026'!$B$7:$B$4206,$C13,'MOVIMENTI 2026'!$J$7:$J$4206)+SUMIF('SALDI AL 31.12.2025'!$A$6:$A$505,$C13,'SALDI AL 31.12.2025'!$D$6:$D$505))</f>
        <v/>
      </c>
      <c r="BC13" t="str">
        <f>IF($C13="","",SUMIF('MOVIMENTI 2026'!$B$7:$B$4206,$C13,'MOVIMENTI 2026'!$K$7:$K$4206)+SUMIF('SALDI AL 31.12.2025'!$A$6:$A$505,$C13,'SALDI AL 31.12.2025'!$E$6:$E$505))</f>
        <v/>
      </c>
      <c r="BD13" t="str">
        <f>IF($C13="","",SUMIF('MOVIMENTI 2026'!$B$7:$B$4206,$C13,'MOVIMENTI 2026'!$L$7:$L$4206)+SUMIF('SALDI AL 31.12.2025'!$A$6:$A$505,$C13,'SALDI AL 31.12.2025'!$F$6:$F$505))</f>
        <v/>
      </c>
      <c r="BE13" t="str">
        <f t="shared" si="14"/>
        <v/>
      </c>
      <c r="BF13" t="str">
        <f t="shared" si="15"/>
        <v/>
      </c>
      <c r="BG13" t="str">
        <f t="shared" si="16"/>
        <v/>
      </c>
      <c r="BH13" t="str">
        <f>IFERROR(IF(OR($C13="",ANAGRAFICA!$I10="",ANAGRAFICA!$J10="",ANAGRAFICA!$J10&lt;=ANAGRAFICA!$I10,$Y13=""),"",IF(OR($I13="Finito ritenute non previste",$I13="Finito con sblocco ritenute",$I13="Finito senza sblocco ritenute"),1,MAX(0,MIN(1,($Y13-ANAGRAFICA!$I10)/(ANAGRAFICA!$J10-ANAGRAFICA!$I10))))),"")</f>
        <v/>
      </c>
      <c r="BI13" t="str">
        <f t="shared" si="17"/>
        <v/>
      </c>
      <c r="BJ13" t="str">
        <f>IFERROR(IF($C13="","",'BUDGET COMMESSA'!$D10),"")</f>
        <v/>
      </c>
      <c r="BK13" t="str">
        <f>IF($C13="","",SUMIF('MOVIMENTI 2026'!$B$7:$B$4206,$C13,'MOVIMENTI 2026'!$N$7:$N$4206)+SUMIF('SALDI AL 31.12.2025'!$A$6:$A$505,$C13,'SALDI AL 31.12.2025'!$H$6:$H$505))</f>
        <v/>
      </c>
      <c r="BL13" t="str">
        <f t="shared" si="18"/>
        <v/>
      </c>
      <c r="BM13" t="str">
        <f t="shared" si="19"/>
        <v/>
      </c>
      <c r="BN13" t="str">
        <f t="shared" si="20"/>
        <v/>
      </c>
      <c r="BO13" t="str">
        <f>IFERROR(IF($C13="","",'BUDGET COMMESSA'!$G10),"")</f>
        <v/>
      </c>
      <c r="BP13" t="str">
        <f>IF($C13="","",SUMIF('COSTI DIRETTI'!$C$6:$C$505,$C13,'COSTI DIRETTI'!$H$6:$H$505)+SUMIF('SALDI AL 31.12.2025'!$A$6:$A$505,$C13,'SALDI AL 31.12.2025'!$I$6:$I$505))</f>
        <v/>
      </c>
      <c r="BQ13" t="str">
        <f t="shared" si="21"/>
        <v/>
      </c>
      <c r="BR13" t="str">
        <f t="shared" si="22"/>
        <v/>
      </c>
      <c r="BS13" t="str">
        <f>IF($C13="","",$BK13*PARAMETRI!$B$4+$BP13)</f>
        <v/>
      </c>
      <c r="BT13">
        <f t="shared" si="23"/>
        <v>0</v>
      </c>
      <c r="BU13">
        <f t="shared" si="24"/>
        <v>0</v>
      </c>
      <c r="BV13" t="str">
        <f>IF($C13="","",SUMIF('MOVIMENTI 2026'!$B$7:$B$4206,$C13,'MOVIMENTI 2026'!$P$7:$P$4206)+SUMIF('SALDI AL 31.12.2025'!$A$6:$A$505,$C13,'SALDI AL 31.12.2025'!$G$6:$G$505))</f>
        <v/>
      </c>
    </row>
    <row r="14" spans="1:74" ht="16" x14ac:dyDescent="0.15">
      <c r="A14" s="17" t="str">
        <f>IFERROR(IF($C14="","",IF(OR($BF14&gt;0,$V14&gt;$J14,AND(ISNUMBER($Q14),$Q14&gt;0),AND($BI14&lt;&gt;"",$BI14&lt;-PARAMETRI!$B$6),AND($BM14&lt;&gt;"",$BM14&gt;=1),AND($BN14&lt;&gt;"",$BN14&gt;PARAMETRI!$B$8),AND(ISNUMBER($BR14),$BR14&gt;0)),"CRITICO",IF(OR($AZ14="",LEFT($C14,5)="TEMP",$BJ14="",$BO14="",ANAGRAFICA!$I11="",ANAGRAFICA!$J11="",$Y14="",AND(OR($I14="Finito ritenute non previste",$I14="Finito con sblocco ritenute",$I14="Finito senza sblocco ritenute"),ANAGRAFICA!$K11=""),OR(AND(ANAGRAFICA!$T11&lt;&gt;"",ANAGRAFICA!$J11&lt;&gt;ANAGRAFICA!$T11,OR(ANAGRAFICA!$R11="",ANAGRAFICA!$R11="Nessuna variazione")),AND(ANAGRAFICA!$J11="",ANAGRAFICA!$R11&lt;&gt;"",ANAGRAFICA!$R11&lt;&gt;"Nessuna variazione")),AND($BI14&lt;&gt;"",$BI14&lt;-PARAMETRI!$B$5),AND($BN14&lt;&gt;"",$BN14&gt;PARAMETRI!$B$7),AND($W14&gt;0,$M14&gt;$W14*PARAMETRI!$B$9),AND($O14&gt;0,OR($I14="Finito ritenute non previste",$I14="Finito con sblocco ritenute",$I14="Finito senza sblocco ritenute")),AND($BA14&gt;0,$BO14&gt;0,$BP14=0),AND(OR($I14="Finito ritenute non previste",$I14="Finito con sblocco ritenute",$I14="Finito senza sblocco ritenute"),$W14&gt;0,$N14&gt;$W14*PARAMETRI!$B$9),$V14&gt;0),"ATTENZIONE","REGOLARE"))),"ATTENZIONE")</f>
        <v/>
      </c>
      <c r="B14" s="17" t="str">
        <f>IFERROR(IF($C14="","",IF($BF14&gt;0,"FATTURATO OLTRE VALORE RECUPERABILE; ","")&amp;IF($V14&gt;$J14,"PERDITE ACCETTATE OLTRE CONTRATTO; ","")&amp;IF($V14&gt;0,"PERDITA SAL ACCETTATA (€ "&amp;TEXT($V14,"#,##0.00")&amp;"); ","")&amp;IF(AND(ISNUMBER($Q14),$Q14&gt;0),"RITARDO PRODUTTIVO ("&amp;TEXT($Q14,"0")&amp;" GG); ","")&amp;IF(AND($BI14&lt;&gt;"",$BI14&lt;-PARAMETRI!$B$5),"AVANZAMENTO PIÙ LENTO DEL TEMPO; ","")&amp;IF(AND($BM14&lt;&gt;"",$BM14&gt;1),"ORE OLTRE BUDGET; ","")&amp;IF(AND($BM14&lt;&gt;"",$BM14=1),"ORE PREVENTIVATE ESAURITE; ","")&amp;IF(AND($BN14&lt;&gt;"",$BN14&gt;PARAMETRI!$B$7),"CONSUMO ORE SUPERIORE ALL'AVANZAMENTO; ","")&amp;IF(AND(ISNUMBER($BR14),$BR14&gt;0),"COSTI DIRETTI OLTRE BUDGET; ","")&amp;IF(AND($W14&gt;0,$M14&gt;$W14*PARAMETRI!$B$9),"SAL MATURATO NON FATTURATO; ","")&amp;IF(AND($O14&gt;0,OR($I14="Finito ritenute non previste",$I14="Finito con sblocco ritenute",$I14="Finito senza sblocco ritenute")),"RITENUTE DA SBLOCCARE; ","")&amp;IF(AND($BA14&gt;0,$BO14&gt;0,$BP14=0),"COSTI DIRETTI NON REGISTRATI; ","")&amp;IF(AND(OR($I14="Finito ritenute non previste",$I14="Finito con sblocco ritenute",$I14="Finito senza sblocco ritenute"),$W14&gt;0,$N14&gt;$W14*PARAMETRI!$B$9),"CANTIERE FINITO CON RESIDUO LAVORI; ","")&amp;IF(AND(OR($I14="Finito ritenute non previste",$I14="Finito con sblocco ritenute",$I14="Finito senza sblocco ritenute"),ANAGRAFICA!$K11=""),"DATA FINE EFFETTIVA MANCANTE; ","")&amp;IF(OR(AND(ANAGRAFICA!$T11&lt;&gt;"",ANAGRAFICA!$J11&lt;&gt;ANAGRAFICA!$T11,OR(ANAGRAFICA!$R11="",ANAGRAFICA!$R11="Nessuna variazione")),AND(ANAGRAFICA!$J11="",ANAGRAFICA!$R11&lt;&gt;"",ANAGRAFICA!$R11&lt;&gt;"Nessuna variazione")),"GESTIONE DATA FINE INCOMPLETA; ","")&amp;IF($Y14="","AGGIORNATO AL MANCANTE; ","")&amp;IF(OR($AZ14="",$BJ14="",$BO14="",ANAGRAFICA!$I11="",ANAGRAFICA!$J11=""),"DATI PREVISIONALI INCOMPLETI; ","")&amp;IF(LEFT($C14,5)="TEMP","CODICE COMMESSA TEMPORANEO; ","")),"DATI INCOMPLETI; ")</f>
        <v/>
      </c>
      <c r="C14" s="17" t="str">
        <f>IF(ANAGRAFICA!$B11="","",ANAGRAFICA!$B11)</f>
        <v/>
      </c>
      <c r="D14" s="17" t="str">
        <f>IF($C14="","",ANAGRAFICA!$C11)</f>
        <v/>
      </c>
      <c r="E14" s="17" t="str">
        <f>IF($C14="","",ANAGRAFICA!$D11)</f>
        <v/>
      </c>
      <c r="F14" s="17" t="str">
        <f>IF($C14="","",ANAGRAFICA!$E11)</f>
        <v/>
      </c>
      <c r="G14" s="17" t="str">
        <f>IF($C14="","",ANAGRAFICA!$F11)</f>
        <v/>
      </c>
      <c r="H14" s="17" t="str">
        <f>IF($C14="","",ANAGRAFICA!$G11)</f>
        <v/>
      </c>
      <c r="I14" s="17" t="str">
        <f>IF($C14="","",ANAGRAFICA!$L11)</f>
        <v/>
      </c>
      <c r="J14" s="16" t="str">
        <f t="shared" si="1"/>
        <v/>
      </c>
      <c r="K14" s="16" t="str">
        <f t="shared" si="2"/>
        <v/>
      </c>
      <c r="L14" s="16" t="str">
        <f t="shared" si="3"/>
        <v/>
      </c>
      <c r="M14" s="16" t="str">
        <f t="shared" si="4"/>
        <v/>
      </c>
      <c r="N14" s="16" t="str">
        <f t="shared" si="5"/>
        <v/>
      </c>
      <c r="O14" s="16" t="str">
        <f t="shared" si="6"/>
        <v/>
      </c>
      <c r="P14" s="17" t="str">
        <f t="shared" si="7"/>
        <v/>
      </c>
      <c r="Q14" s="31" t="str">
        <f>IF(OR($C14="",'BUDGET COMMESSA'!$D11="",'BUDGET COMMESSA'!$D11&lt;=0,ANAGRAFICA!$J11=""),"",IF(OR($I14="Finito ritenute non previste",$I14="Finito con sblocco ritenute",$I14="Finito senza sblocco ritenute"),0,IF(AND($BK14&gt;=$BJ14,ANAGRAFICA!$R11="Ritardo produttivo FIDA"),IF(ANAGRAFICA!$T11&lt;&gt;"",MAX(0,ANAGRAFICA!$J11-ANAGRAFICA!$T11),MAX(0,$Y14-ANAGRAFICA!$J11)),0)))</f>
        <v/>
      </c>
      <c r="R14" s="17" t="str">
        <f t="shared" si="8"/>
        <v/>
      </c>
      <c r="S14" s="17" t="str">
        <f t="shared" si="9"/>
        <v/>
      </c>
      <c r="T14" s="17" t="str">
        <f t="shared" si="10"/>
        <v/>
      </c>
      <c r="U14" s="16" t="str">
        <f t="shared" si="11"/>
        <v/>
      </c>
      <c r="V14" s="16" t="str">
        <f t="shared" si="12"/>
        <v/>
      </c>
      <c r="W14" s="16" t="str">
        <f t="shared" si="13"/>
        <v/>
      </c>
      <c r="X14" s="40"/>
      <c r="Y14" s="14"/>
      <c r="AA14" s="26" t="s">
        <v>63</v>
      </c>
      <c r="AB14" s="27">
        <f>IF($A$3="","",IF($A$3="TUTTE",SUMIFS('MOVIMENTI 2026'!$N$7:$N$4206,'MOVIMENTI 2026'!$E$7:$E$4206,"&gt;="&amp;DATE(PARAMETRI!$B$11,12,1),'MOVIMENTI 2026'!$E$7:$E$4206,"&lt;"&amp;DATE(PARAMETRI!$B$11,13,1))*PARAMETRI!$B$4+SUMIFS('COSTI DIRETTI'!$H$6:$H$505,'COSTI DIRETTI'!$A$6:$A$505,"&gt;="&amp;DATE(PARAMETRI!$B$11,12,1),'COSTI DIRETTI'!$A$6:$A$505,"&lt;"&amp;DATE(PARAMETRI!$B$11,13,1)),SUMIFS('MOVIMENTI 2026'!$N$7:$N$4206,'MOVIMENTI 2026'!$B$7:$B$4206,$A$3,'MOVIMENTI 2026'!$E$7:$E$4206,"&gt;="&amp;DATE(PARAMETRI!$B$11,12,1),'MOVIMENTI 2026'!$E$7:$E$4206,"&lt;"&amp;DATE(PARAMETRI!$B$11,13,1))*PARAMETRI!$B$4+SUMIFS('COSTI DIRETTI'!$H$6:$H$505,'COSTI DIRETTI'!$C$6:$C$505,$A$3,'COSTI DIRETTI'!$A$6:$A$505,"&gt;="&amp;DATE(PARAMETRI!$B$11,12,1),'COSTI DIRETTI'!$A$6:$A$505,"&lt;"&amp;DATE(PARAMETRI!$B$11,13,1))))</f>
        <v>0</v>
      </c>
      <c r="AC14" s="27">
        <f t="shared" si="0"/>
        <v>83182.2</v>
      </c>
      <c r="AZ14" t="str">
        <f>IF($C14="","",ANAGRAFICA!$P11)</f>
        <v/>
      </c>
      <c r="BA14" t="str">
        <f>IF($C14="","",SUMIF('MOVIMENTI 2026'!$B$7:$B$4206,$C14,'MOVIMENTI 2026'!$I$7:$I$4206)+SUMIF('SALDI AL 31.12.2025'!$A$6:$A$505,$C14,'SALDI AL 31.12.2025'!$C$6:$C$505))</f>
        <v/>
      </c>
      <c r="BB14" t="str">
        <f>IF($C14="","",SUMIF('MOVIMENTI 2026'!$B$7:$B$4206,$C14,'MOVIMENTI 2026'!$J$7:$J$4206)+SUMIF('SALDI AL 31.12.2025'!$A$6:$A$505,$C14,'SALDI AL 31.12.2025'!$D$6:$D$505))</f>
        <v/>
      </c>
      <c r="BC14" t="str">
        <f>IF($C14="","",SUMIF('MOVIMENTI 2026'!$B$7:$B$4206,$C14,'MOVIMENTI 2026'!$K$7:$K$4206)+SUMIF('SALDI AL 31.12.2025'!$A$6:$A$505,$C14,'SALDI AL 31.12.2025'!$E$6:$E$505))</f>
        <v/>
      </c>
      <c r="BD14" t="str">
        <f>IF($C14="","",SUMIF('MOVIMENTI 2026'!$B$7:$B$4206,$C14,'MOVIMENTI 2026'!$L$7:$L$4206)+SUMIF('SALDI AL 31.12.2025'!$A$6:$A$505,$C14,'SALDI AL 31.12.2025'!$F$6:$F$505))</f>
        <v/>
      </c>
      <c r="BE14" t="str">
        <f t="shared" si="14"/>
        <v/>
      </c>
      <c r="BF14" t="str">
        <f t="shared" si="15"/>
        <v/>
      </c>
      <c r="BG14" t="str">
        <f t="shared" si="16"/>
        <v/>
      </c>
      <c r="BH14" t="str">
        <f>IFERROR(IF(OR($C14="",ANAGRAFICA!$I11="",ANAGRAFICA!$J11="",ANAGRAFICA!$J11&lt;=ANAGRAFICA!$I11,$Y14=""),"",IF(OR($I14="Finito ritenute non previste",$I14="Finito con sblocco ritenute",$I14="Finito senza sblocco ritenute"),1,MAX(0,MIN(1,($Y14-ANAGRAFICA!$I11)/(ANAGRAFICA!$J11-ANAGRAFICA!$I11))))),"")</f>
        <v/>
      </c>
      <c r="BI14" t="str">
        <f t="shared" si="17"/>
        <v/>
      </c>
      <c r="BJ14" t="str">
        <f>IFERROR(IF($C14="","",'BUDGET COMMESSA'!$D11),"")</f>
        <v/>
      </c>
      <c r="BK14" t="str">
        <f>IF($C14="","",SUMIF('MOVIMENTI 2026'!$B$7:$B$4206,$C14,'MOVIMENTI 2026'!$N$7:$N$4206)+SUMIF('SALDI AL 31.12.2025'!$A$6:$A$505,$C14,'SALDI AL 31.12.2025'!$H$6:$H$505))</f>
        <v/>
      </c>
      <c r="BL14" t="str">
        <f t="shared" si="18"/>
        <v/>
      </c>
      <c r="BM14" t="str">
        <f t="shared" si="19"/>
        <v/>
      </c>
      <c r="BN14" t="str">
        <f t="shared" si="20"/>
        <v/>
      </c>
      <c r="BO14" t="str">
        <f>IFERROR(IF($C14="","",'BUDGET COMMESSA'!$G11),"")</f>
        <v/>
      </c>
      <c r="BP14" t="str">
        <f>IF($C14="","",SUMIF('COSTI DIRETTI'!$C$6:$C$505,$C14,'COSTI DIRETTI'!$H$6:$H$505)+SUMIF('SALDI AL 31.12.2025'!$A$6:$A$505,$C14,'SALDI AL 31.12.2025'!$I$6:$I$505))</f>
        <v/>
      </c>
      <c r="BQ14" t="str">
        <f t="shared" si="21"/>
        <v/>
      </c>
      <c r="BR14" t="str">
        <f t="shared" si="22"/>
        <v/>
      </c>
      <c r="BS14" t="str">
        <f>IF($C14="","",$BK14*PARAMETRI!$B$4+$BP14)</f>
        <v/>
      </c>
      <c r="BT14">
        <f t="shared" si="23"/>
        <v>0</v>
      </c>
      <c r="BU14">
        <f t="shared" si="24"/>
        <v>0</v>
      </c>
      <c r="BV14" t="str">
        <f>IF($C14="","",SUMIF('MOVIMENTI 2026'!$B$7:$B$4206,$C14,'MOVIMENTI 2026'!$P$7:$P$4206)+SUMIF('SALDI AL 31.12.2025'!$A$6:$A$505,$C14,'SALDI AL 31.12.2025'!$G$6:$G$505))</f>
        <v/>
      </c>
    </row>
    <row r="15" spans="1:74" ht="16" x14ac:dyDescent="0.15">
      <c r="A15" s="17" t="str">
        <f>IFERROR(IF($C15="","",IF(OR($BF15&gt;0,$V15&gt;$J15,AND(ISNUMBER($Q15),$Q15&gt;0),AND($BI15&lt;&gt;"",$BI15&lt;-PARAMETRI!$B$6),AND($BM15&lt;&gt;"",$BM15&gt;=1),AND($BN15&lt;&gt;"",$BN15&gt;PARAMETRI!$B$8),AND(ISNUMBER($BR15),$BR15&gt;0)),"CRITICO",IF(OR($AZ15="",LEFT($C15,5)="TEMP",$BJ15="",$BO15="",ANAGRAFICA!$I12="",ANAGRAFICA!$J12="",$Y15="",AND(OR($I15="Finito ritenute non previste",$I15="Finito con sblocco ritenute",$I15="Finito senza sblocco ritenute"),ANAGRAFICA!$K12=""),OR(AND(ANAGRAFICA!$T12&lt;&gt;"",ANAGRAFICA!$J12&lt;&gt;ANAGRAFICA!$T12,OR(ANAGRAFICA!$R12="",ANAGRAFICA!$R12="Nessuna variazione")),AND(ANAGRAFICA!$J12="",ANAGRAFICA!$R12&lt;&gt;"",ANAGRAFICA!$R12&lt;&gt;"Nessuna variazione")),AND($BI15&lt;&gt;"",$BI15&lt;-PARAMETRI!$B$5),AND($BN15&lt;&gt;"",$BN15&gt;PARAMETRI!$B$7),AND($W15&gt;0,$M15&gt;$W15*PARAMETRI!$B$9),AND($O15&gt;0,OR($I15="Finito ritenute non previste",$I15="Finito con sblocco ritenute",$I15="Finito senza sblocco ritenute")),AND($BA15&gt;0,$BO15&gt;0,$BP15=0),AND(OR($I15="Finito ritenute non previste",$I15="Finito con sblocco ritenute",$I15="Finito senza sblocco ritenute"),$W15&gt;0,$N15&gt;$W15*PARAMETRI!$B$9),$V15&gt;0),"ATTENZIONE","REGOLARE"))),"ATTENZIONE")</f>
        <v/>
      </c>
      <c r="B15" s="17" t="str">
        <f>IFERROR(IF($C15="","",IF($BF15&gt;0,"FATTURATO OLTRE VALORE RECUPERABILE; ","")&amp;IF($V15&gt;$J15,"PERDITE ACCETTATE OLTRE CONTRATTO; ","")&amp;IF($V15&gt;0,"PERDITA SAL ACCETTATA (€ "&amp;TEXT($V15,"#,##0.00")&amp;"); ","")&amp;IF(AND(ISNUMBER($Q15),$Q15&gt;0),"RITARDO PRODUTTIVO ("&amp;TEXT($Q15,"0")&amp;" GG); ","")&amp;IF(AND($BI15&lt;&gt;"",$BI15&lt;-PARAMETRI!$B$5),"AVANZAMENTO PIÙ LENTO DEL TEMPO; ","")&amp;IF(AND($BM15&lt;&gt;"",$BM15&gt;1),"ORE OLTRE BUDGET; ","")&amp;IF(AND($BM15&lt;&gt;"",$BM15=1),"ORE PREVENTIVATE ESAURITE; ","")&amp;IF(AND($BN15&lt;&gt;"",$BN15&gt;PARAMETRI!$B$7),"CONSUMO ORE SUPERIORE ALL'AVANZAMENTO; ","")&amp;IF(AND(ISNUMBER($BR15),$BR15&gt;0),"COSTI DIRETTI OLTRE BUDGET; ","")&amp;IF(AND($W15&gt;0,$M15&gt;$W15*PARAMETRI!$B$9),"SAL MATURATO NON FATTURATO; ","")&amp;IF(AND($O15&gt;0,OR($I15="Finito ritenute non previste",$I15="Finito con sblocco ritenute",$I15="Finito senza sblocco ritenute")),"RITENUTE DA SBLOCCARE; ","")&amp;IF(AND($BA15&gt;0,$BO15&gt;0,$BP15=0),"COSTI DIRETTI NON REGISTRATI; ","")&amp;IF(AND(OR($I15="Finito ritenute non previste",$I15="Finito con sblocco ritenute",$I15="Finito senza sblocco ritenute"),$W15&gt;0,$N15&gt;$W15*PARAMETRI!$B$9),"CANTIERE FINITO CON RESIDUO LAVORI; ","")&amp;IF(AND(OR($I15="Finito ritenute non previste",$I15="Finito con sblocco ritenute",$I15="Finito senza sblocco ritenute"),ANAGRAFICA!$K12=""),"DATA FINE EFFETTIVA MANCANTE; ","")&amp;IF(OR(AND(ANAGRAFICA!$T12&lt;&gt;"",ANAGRAFICA!$J12&lt;&gt;ANAGRAFICA!$T12,OR(ANAGRAFICA!$R12="",ANAGRAFICA!$R12="Nessuna variazione")),AND(ANAGRAFICA!$J12="",ANAGRAFICA!$R12&lt;&gt;"",ANAGRAFICA!$R12&lt;&gt;"Nessuna variazione")),"GESTIONE DATA FINE INCOMPLETA; ","")&amp;IF($Y15="","AGGIORNATO AL MANCANTE; ","")&amp;IF(OR($AZ15="",$BJ15="",$BO15="",ANAGRAFICA!$I12="",ANAGRAFICA!$J12=""),"DATI PREVISIONALI INCOMPLETI; ","")&amp;IF(LEFT($C15,5)="TEMP","CODICE COMMESSA TEMPORANEO; ","")),"DATI INCOMPLETI; ")</f>
        <v/>
      </c>
      <c r="C15" s="17" t="str">
        <f>IF(ANAGRAFICA!$B12="","",ANAGRAFICA!$B12)</f>
        <v/>
      </c>
      <c r="D15" s="17" t="str">
        <f>IF($C15="","",ANAGRAFICA!$C12)</f>
        <v/>
      </c>
      <c r="E15" s="17" t="str">
        <f>IF($C15="","",ANAGRAFICA!$D12)</f>
        <v/>
      </c>
      <c r="F15" s="17" t="str">
        <f>IF($C15="","",ANAGRAFICA!$E12)</f>
        <v/>
      </c>
      <c r="G15" s="17" t="str">
        <f>IF($C15="","",ANAGRAFICA!$F12)</f>
        <v/>
      </c>
      <c r="H15" s="17" t="str">
        <f>IF($C15="","",ANAGRAFICA!$G12)</f>
        <v/>
      </c>
      <c r="I15" s="17" t="str">
        <f>IF($C15="","",ANAGRAFICA!$L12)</f>
        <v/>
      </c>
      <c r="J15" s="16" t="str">
        <f t="shared" si="1"/>
        <v/>
      </c>
      <c r="K15" s="16" t="str">
        <f t="shared" si="2"/>
        <v/>
      </c>
      <c r="L15" s="16" t="str">
        <f t="shared" si="3"/>
        <v/>
      </c>
      <c r="M15" s="16" t="str">
        <f t="shared" si="4"/>
        <v/>
      </c>
      <c r="N15" s="16" t="str">
        <f t="shared" si="5"/>
        <v/>
      </c>
      <c r="O15" s="16" t="str">
        <f t="shared" si="6"/>
        <v/>
      </c>
      <c r="P15" s="17" t="str">
        <f t="shared" si="7"/>
        <v/>
      </c>
      <c r="Q15" s="31" t="str">
        <f>IF(OR($C15="",'BUDGET COMMESSA'!$D12="",'BUDGET COMMESSA'!$D12&lt;=0,ANAGRAFICA!$J12=""),"",IF(OR($I15="Finito ritenute non previste",$I15="Finito con sblocco ritenute",$I15="Finito senza sblocco ritenute"),0,IF(AND($BK15&gt;=$BJ15,ANAGRAFICA!$R12="Ritardo produttivo FIDA"),IF(ANAGRAFICA!$T12&lt;&gt;"",MAX(0,ANAGRAFICA!$J12-ANAGRAFICA!$T12),MAX(0,$Y15-ANAGRAFICA!$J12)),0)))</f>
        <v/>
      </c>
      <c r="R15" s="17" t="str">
        <f t="shared" si="8"/>
        <v/>
      </c>
      <c r="S15" s="17" t="str">
        <f t="shared" si="9"/>
        <v/>
      </c>
      <c r="T15" s="17" t="str">
        <f t="shared" si="10"/>
        <v/>
      </c>
      <c r="U15" s="16" t="str">
        <f t="shared" si="11"/>
        <v/>
      </c>
      <c r="V15" s="16" t="str">
        <f t="shared" si="12"/>
        <v/>
      </c>
      <c r="W15" s="16" t="str">
        <f t="shared" si="13"/>
        <v/>
      </c>
      <c r="X15" s="40"/>
      <c r="Y15" s="14"/>
      <c r="AZ15" t="str">
        <f>IF($C15="","",ANAGRAFICA!$P12)</f>
        <v/>
      </c>
      <c r="BA15" t="str">
        <f>IF($C15="","",SUMIF('MOVIMENTI 2026'!$B$7:$B$4206,$C15,'MOVIMENTI 2026'!$I$7:$I$4206)+SUMIF('SALDI AL 31.12.2025'!$A$6:$A$505,$C15,'SALDI AL 31.12.2025'!$C$6:$C$505))</f>
        <v/>
      </c>
      <c r="BB15" t="str">
        <f>IF($C15="","",SUMIF('MOVIMENTI 2026'!$B$7:$B$4206,$C15,'MOVIMENTI 2026'!$J$7:$J$4206)+SUMIF('SALDI AL 31.12.2025'!$A$6:$A$505,$C15,'SALDI AL 31.12.2025'!$D$6:$D$505))</f>
        <v/>
      </c>
      <c r="BC15" t="str">
        <f>IF($C15="","",SUMIF('MOVIMENTI 2026'!$B$7:$B$4206,$C15,'MOVIMENTI 2026'!$K$7:$K$4206)+SUMIF('SALDI AL 31.12.2025'!$A$6:$A$505,$C15,'SALDI AL 31.12.2025'!$E$6:$E$505))</f>
        <v/>
      </c>
      <c r="BD15" t="str">
        <f>IF($C15="","",SUMIF('MOVIMENTI 2026'!$B$7:$B$4206,$C15,'MOVIMENTI 2026'!$L$7:$L$4206)+SUMIF('SALDI AL 31.12.2025'!$A$6:$A$505,$C15,'SALDI AL 31.12.2025'!$F$6:$F$505))</f>
        <v/>
      </c>
      <c r="BE15" t="str">
        <f t="shared" si="14"/>
        <v/>
      </c>
      <c r="BF15" t="str">
        <f t="shared" si="15"/>
        <v/>
      </c>
      <c r="BG15" t="str">
        <f t="shared" si="16"/>
        <v/>
      </c>
      <c r="BH15" t="str">
        <f>IFERROR(IF(OR($C15="",ANAGRAFICA!$I12="",ANAGRAFICA!$J12="",ANAGRAFICA!$J12&lt;=ANAGRAFICA!$I12,$Y15=""),"",IF(OR($I15="Finito ritenute non previste",$I15="Finito con sblocco ritenute",$I15="Finito senza sblocco ritenute"),1,MAX(0,MIN(1,($Y15-ANAGRAFICA!$I12)/(ANAGRAFICA!$J12-ANAGRAFICA!$I12))))),"")</f>
        <v/>
      </c>
      <c r="BI15" t="str">
        <f t="shared" si="17"/>
        <v/>
      </c>
      <c r="BJ15" t="str">
        <f>IFERROR(IF($C15="","",'BUDGET COMMESSA'!$D12),"")</f>
        <v/>
      </c>
      <c r="BK15" t="str">
        <f>IF($C15="","",SUMIF('MOVIMENTI 2026'!$B$7:$B$4206,$C15,'MOVIMENTI 2026'!$N$7:$N$4206)+SUMIF('SALDI AL 31.12.2025'!$A$6:$A$505,$C15,'SALDI AL 31.12.2025'!$H$6:$H$505))</f>
        <v/>
      </c>
      <c r="BL15" t="str">
        <f t="shared" si="18"/>
        <v/>
      </c>
      <c r="BM15" t="str">
        <f t="shared" si="19"/>
        <v/>
      </c>
      <c r="BN15" t="str">
        <f t="shared" si="20"/>
        <v/>
      </c>
      <c r="BO15" t="str">
        <f>IFERROR(IF($C15="","",'BUDGET COMMESSA'!$G12),"")</f>
        <v/>
      </c>
      <c r="BP15" t="str">
        <f>IF($C15="","",SUMIF('COSTI DIRETTI'!$C$6:$C$505,$C15,'COSTI DIRETTI'!$H$6:$H$505)+SUMIF('SALDI AL 31.12.2025'!$A$6:$A$505,$C15,'SALDI AL 31.12.2025'!$I$6:$I$505))</f>
        <v/>
      </c>
      <c r="BQ15" t="str">
        <f t="shared" si="21"/>
        <v/>
      </c>
      <c r="BR15" t="str">
        <f t="shared" si="22"/>
        <v/>
      </c>
      <c r="BS15" t="str">
        <f>IF($C15="","",$BK15*PARAMETRI!$B$4+$BP15)</f>
        <v/>
      </c>
      <c r="BT15">
        <f t="shared" si="23"/>
        <v>0</v>
      </c>
      <c r="BU15">
        <f t="shared" si="24"/>
        <v>0</v>
      </c>
      <c r="BV15" t="str">
        <f>IF($C15="","",SUMIF('MOVIMENTI 2026'!$B$7:$B$4206,$C15,'MOVIMENTI 2026'!$P$7:$P$4206)+SUMIF('SALDI AL 31.12.2025'!$A$6:$A$505,$C15,'SALDI AL 31.12.2025'!$G$6:$G$505))</f>
        <v/>
      </c>
    </row>
    <row r="16" spans="1:74" ht="16" x14ac:dyDescent="0.15">
      <c r="A16" s="17" t="str">
        <f>IFERROR(IF($C16="","",IF(OR($BF16&gt;0,$V16&gt;$J16,AND(ISNUMBER($Q16),$Q16&gt;0),AND($BI16&lt;&gt;"",$BI16&lt;-PARAMETRI!$B$6),AND($BM16&lt;&gt;"",$BM16&gt;=1),AND($BN16&lt;&gt;"",$BN16&gt;PARAMETRI!$B$8),AND(ISNUMBER($BR16),$BR16&gt;0)),"CRITICO",IF(OR($AZ16="",LEFT($C16,5)="TEMP",$BJ16="",$BO16="",ANAGRAFICA!$I13="",ANAGRAFICA!$J13="",$Y16="",AND(OR($I16="Finito ritenute non previste",$I16="Finito con sblocco ritenute",$I16="Finito senza sblocco ritenute"),ANAGRAFICA!$K13=""),OR(AND(ANAGRAFICA!$T13&lt;&gt;"",ANAGRAFICA!$J13&lt;&gt;ANAGRAFICA!$T13,OR(ANAGRAFICA!$R13="",ANAGRAFICA!$R13="Nessuna variazione")),AND(ANAGRAFICA!$J13="",ANAGRAFICA!$R13&lt;&gt;"",ANAGRAFICA!$R13&lt;&gt;"Nessuna variazione")),AND($BI16&lt;&gt;"",$BI16&lt;-PARAMETRI!$B$5),AND($BN16&lt;&gt;"",$BN16&gt;PARAMETRI!$B$7),AND($W16&gt;0,$M16&gt;$W16*PARAMETRI!$B$9),AND($O16&gt;0,OR($I16="Finito ritenute non previste",$I16="Finito con sblocco ritenute",$I16="Finito senza sblocco ritenute")),AND($BA16&gt;0,$BO16&gt;0,$BP16=0),AND(OR($I16="Finito ritenute non previste",$I16="Finito con sblocco ritenute",$I16="Finito senza sblocco ritenute"),$W16&gt;0,$N16&gt;$W16*PARAMETRI!$B$9),$V16&gt;0),"ATTENZIONE","REGOLARE"))),"ATTENZIONE")</f>
        <v/>
      </c>
      <c r="B16" s="17" t="str">
        <f>IFERROR(IF($C16="","",IF($BF16&gt;0,"FATTURATO OLTRE VALORE RECUPERABILE; ","")&amp;IF($V16&gt;$J16,"PERDITE ACCETTATE OLTRE CONTRATTO; ","")&amp;IF($V16&gt;0,"PERDITA SAL ACCETTATA (€ "&amp;TEXT($V16,"#,##0.00")&amp;"); ","")&amp;IF(AND(ISNUMBER($Q16),$Q16&gt;0),"RITARDO PRODUTTIVO ("&amp;TEXT($Q16,"0")&amp;" GG); ","")&amp;IF(AND($BI16&lt;&gt;"",$BI16&lt;-PARAMETRI!$B$5),"AVANZAMENTO PIÙ LENTO DEL TEMPO; ","")&amp;IF(AND($BM16&lt;&gt;"",$BM16&gt;1),"ORE OLTRE BUDGET; ","")&amp;IF(AND($BM16&lt;&gt;"",$BM16=1),"ORE PREVENTIVATE ESAURITE; ","")&amp;IF(AND($BN16&lt;&gt;"",$BN16&gt;PARAMETRI!$B$7),"CONSUMO ORE SUPERIORE ALL'AVANZAMENTO; ","")&amp;IF(AND(ISNUMBER($BR16),$BR16&gt;0),"COSTI DIRETTI OLTRE BUDGET; ","")&amp;IF(AND($W16&gt;0,$M16&gt;$W16*PARAMETRI!$B$9),"SAL MATURATO NON FATTURATO; ","")&amp;IF(AND($O16&gt;0,OR($I16="Finito ritenute non previste",$I16="Finito con sblocco ritenute",$I16="Finito senza sblocco ritenute")),"RITENUTE DA SBLOCCARE; ","")&amp;IF(AND($BA16&gt;0,$BO16&gt;0,$BP16=0),"COSTI DIRETTI NON REGISTRATI; ","")&amp;IF(AND(OR($I16="Finito ritenute non previste",$I16="Finito con sblocco ritenute",$I16="Finito senza sblocco ritenute"),$W16&gt;0,$N16&gt;$W16*PARAMETRI!$B$9),"CANTIERE FINITO CON RESIDUO LAVORI; ","")&amp;IF(AND(OR($I16="Finito ritenute non previste",$I16="Finito con sblocco ritenute",$I16="Finito senza sblocco ritenute"),ANAGRAFICA!$K13=""),"DATA FINE EFFETTIVA MANCANTE; ","")&amp;IF(OR(AND(ANAGRAFICA!$T13&lt;&gt;"",ANAGRAFICA!$J13&lt;&gt;ANAGRAFICA!$T13,OR(ANAGRAFICA!$R13="",ANAGRAFICA!$R13="Nessuna variazione")),AND(ANAGRAFICA!$J13="",ANAGRAFICA!$R13&lt;&gt;"",ANAGRAFICA!$R13&lt;&gt;"Nessuna variazione")),"GESTIONE DATA FINE INCOMPLETA; ","")&amp;IF($Y16="","AGGIORNATO AL MANCANTE; ","")&amp;IF(OR($AZ16="",$BJ16="",$BO16="",ANAGRAFICA!$I13="",ANAGRAFICA!$J13=""),"DATI PREVISIONALI INCOMPLETI; ","")&amp;IF(LEFT($C16,5)="TEMP","CODICE COMMESSA TEMPORANEO; ","")),"DATI INCOMPLETI; ")</f>
        <v/>
      </c>
      <c r="C16" s="17" t="str">
        <f>IF(ANAGRAFICA!$B13="","",ANAGRAFICA!$B13)</f>
        <v/>
      </c>
      <c r="D16" s="17" t="str">
        <f>IF($C16="","",ANAGRAFICA!$C13)</f>
        <v/>
      </c>
      <c r="E16" s="17" t="str">
        <f>IF($C16="","",ANAGRAFICA!$D13)</f>
        <v/>
      </c>
      <c r="F16" s="17" t="str">
        <f>IF($C16="","",ANAGRAFICA!$E13)</f>
        <v/>
      </c>
      <c r="G16" s="17" t="str">
        <f>IF($C16="","",ANAGRAFICA!$F13)</f>
        <v/>
      </c>
      <c r="H16" s="17" t="str">
        <f>IF($C16="","",ANAGRAFICA!$G13)</f>
        <v/>
      </c>
      <c r="I16" s="17" t="str">
        <f>IF($C16="","",ANAGRAFICA!$L13)</f>
        <v/>
      </c>
      <c r="J16" s="16" t="str">
        <f t="shared" si="1"/>
        <v/>
      </c>
      <c r="K16" s="16" t="str">
        <f t="shared" si="2"/>
        <v/>
      </c>
      <c r="L16" s="16" t="str">
        <f t="shared" si="3"/>
        <v/>
      </c>
      <c r="M16" s="16" t="str">
        <f t="shared" si="4"/>
        <v/>
      </c>
      <c r="N16" s="16" t="str">
        <f t="shared" si="5"/>
        <v/>
      </c>
      <c r="O16" s="16" t="str">
        <f t="shared" si="6"/>
        <v/>
      </c>
      <c r="P16" s="17" t="str">
        <f t="shared" si="7"/>
        <v/>
      </c>
      <c r="Q16" s="31" t="str">
        <f>IF(OR($C16="",'BUDGET COMMESSA'!$D13="",'BUDGET COMMESSA'!$D13&lt;=0,ANAGRAFICA!$J13=""),"",IF(OR($I16="Finito ritenute non previste",$I16="Finito con sblocco ritenute",$I16="Finito senza sblocco ritenute"),0,IF(AND($BK16&gt;=$BJ16,ANAGRAFICA!$R13="Ritardo produttivo FIDA"),IF(ANAGRAFICA!$T13&lt;&gt;"",MAX(0,ANAGRAFICA!$J13-ANAGRAFICA!$T13),MAX(0,$Y16-ANAGRAFICA!$J13)),0)))</f>
        <v/>
      </c>
      <c r="R16" s="17" t="str">
        <f t="shared" si="8"/>
        <v/>
      </c>
      <c r="S16" s="17" t="str">
        <f t="shared" si="9"/>
        <v/>
      </c>
      <c r="T16" s="17" t="str">
        <f t="shared" si="10"/>
        <v/>
      </c>
      <c r="U16" s="16" t="str">
        <f t="shared" si="11"/>
        <v/>
      </c>
      <c r="V16" s="16" t="str">
        <f t="shared" si="12"/>
        <v/>
      </c>
      <c r="W16" s="16" t="str">
        <f t="shared" si="13"/>
        <v/>
      </c>
      <c r="X16" s="40"/>
      <c r="Y16" s="14"/>
      <c r="AZ16" t="str">
        <f>IF($C16="","",ANAGRAFICA!$P13)</f>
        <v/>
      </c>
      <c r="BA16" t="str">
        <f>IF($C16="","",SUMIF('MOVIMENTI 2026'!$B$7:$B$4206,$C16,'MOVIMENTI 2026'!$I$7:$I$4206)+SUMIF('SALDI AL 31.12.2025'!$A$6:$A$505,$C16,'SALDI AL 31.12.2025'!$C$6:$C$505))</f>
        <v/>
      </c>
      <c r="BB16" t="str">
        <f>IF($C16="","",SUMIF('MOVIMENTI 2026'!$B$7:$B$4206,$C16,'MOVIMENTI 2026'!$J$7:$J$4206)+SUMIF('SALDI AL 31.12.2025'!$A$6:$A$505,$C16,'SALDI AL 31.12.2025'!$D$6:$D$505))</f>
        <v/>
      </c>
      <c r="BC16" t="str">
        <f>IF($C16="","",SUMIF('MOVIMENTI 2026'!$B$7:$B$4206,$C16,'MOVIMENTI 2026'!$K$7:$K$4206)+SUMIF('SALDI AL 31.12.2025'!$A$6:$A$505,$C16,'SALDI AL 31.12.2025'!$E$6:$E$505))</f>
        <v/>
      </c>
      <c r="BD16" t="str">
        <f>IF($C16="","",SUMIF('MOVIMENTI 2026'!$B$7:$B$4206,$C16,'MOVIMENTI 2026'!$L$7:$L$4206)+SUMIF('SALDI AL 31.12.2025'!$A$6:$A$505,$C16,'SALDI AL 31.12.2025'!$F$6:$F$505))</f>
        <v/>
      </c>
      <c r="BE16" t="str">
        <f t="shared" si="14"/>
        <v/>
      </c>
      <c r="BF16" t="str">
        <f t="shared" si="15"/>
        <v/>
      </c>
      <c r="BG16" t="str">
        <f t="shared" si="16"/>
        <v/>
      </c>
      <c r="BH16" t="str">
        <f>IFERROR(IF(OR($C16="",ANAGRAFICA!$I13="",ANAGRAFICA!$J13="",ANAGRAFICA!$J13&lt;=ANAGRAFICA!$I13,$Y16=""),"",IF(OR($I16="Finito ritenute non previste",$I16="Finito con sblocco ritenute",$I16="Finito senza sblocco ritenute"),1,MAX(0,MIN(1,($Y16-ANAGRAFICA!$I13)/(ANAGRAFICA!$J13-ANAGRAFICA!$I13))))),"")</f>
        <v/>
      </c>
      <c r="BI16" t="str">
        <f t="shared" si="17"/>
        <v/>
      </c>
      <c r="BJ16" t="str">
        <f>IFERROR(IF($C16="","",'BUDGET COMMESSA'!$D13),"")</f>
        <v/>
      </c>
      <c r="BK16" t="str">
        <f>IF($C16="","",SUMIF('MOVIMENTI 2026'!$B$7:$B$4206,$C16,'MOVIMENTI 2026'!$N$7:$N$4206)+SUMIF('SALDI AL 31.12.2025'!$A$6:$A$505,$C16,'SALDI AL 31.12.2025'!$H$6:$H$505))</f>
        <v/>
      </c>
      <c r="BL16" t="str">
        <f t="shared" si="18"/>
        <v/>
      </c>
      <c r="BM16" t="str">
        <f t="shared" si="19"/>
        <v/>
      </c>
      <c r="BN16" t="str">
        <f t="shared" si="20"/>
        <v/>
      </c>
      <c r="BO16" t="str">
        <f>IFERROR(IF($C16="","",'BUDGET COMMESSA'!$G13),"")</f>
        <v/>
      </c>
      <c r="BP16" t="str">
        <f>IF($C16="","",SUMIF('COSTI DIRETTI'!$C$6:$C$505,$C16,'COSTI DIRETTI'!$H$6:$H$505)+SUMIF('SALDI AL 31.12.2025'!$A$6:$A$505,$C16,'SALDI AL 31.12.2025'!$I$6:$I$505))</f>
        <v/>
      </c>
      <c r="BQ16" t="str">
        <f t="shared" si="21"/>
        <v/>
      </c>
      <c r="BR16" t="str">
        <f t="shared" si="22"/>
        <v/>
      </c>
      <c r="BS16" t="str">
        <f>IF($C16="","",$BK16*PARAMETRI!$B$4+$BP16)</f>
        <v/>
      </c>
      <c r="BT16">
        <f t="shared" si="23"/>
        <v>0</v>
      </c>
      <c r="BU16">
        <f t="shared" si="24"/>
        <v>0</v>
      </c>
      <c r="BV16" t="str">
        <f>IF($C16="","",SUMIF('MOVIMENTI 2026'!$B$7:$B$4206,$C16,'MOVIMENTI 2026'!$P$7:$P$4206)+SUMIF('SALDI AL 31.12.2025'!$A$6:$A$505,$C16,'SALDI AL 31.12.2025'!$G$6:$G$505))</f>
        <v/>
      </c>
    </row>
    <row r="17" spans="1:74" ht="16" x14ac:dyDescent="0.15">
      <c r="A17" s="17" t="str">
        <f>IFERROR(IF($C17="","",IF(OR($BF17&gt;0,$V17&gt;$J17,AND(ISNUMBER($Q17),$Q17&gt;0),AND($BI17&lt;&gt;"",$BI17&lt;-PARAMETRI!$B$6),AND($BM17&lt;&gt;"",$BM17&gt;=1),AND($BN17&lt;&gt;"",$BN17&gt;PARAMETRI!$B$8),AND(ISNUMBER($BR17),$BR17&gt;0)),"CRITICO",IF(OR($AZ17="",LEFT($C17,5)="TEMP",$BJ17="",$BO17="",ANAGRAFICA!$I14="",ANAGRAFICA!$J14="",$Y17="",AND(OR($I17="Finito ritenute non previste",$I17="Finito con sblocco ritenute",$I17="Finito senza sblocco ritenute"),ANAGRAFICA!$K14=""),OR(AND(ANAGRAFICA!$T14&lt;&gt;"",ANAGRAFICA!$J14&lt;&gt;ANAGRAFICA!$T14,OR(ANAGRAFICA!$R14="",ANAGRAFICA!$R14="Nessuna variazione")),AND(ANAGRAFICA!$J14="",ANAGRAFICA!$R14&lt;&gt;"",ANAGRAFICA!$R14&lt;&gt;"Nessuna variazione")),AND($BI17&lt;&gt;"",$BI17&lt;-PARAMETRI!$B$5),AND($BN17&lt;&gt;"",$BN17&gt;PARAMETRI!$B$7),AND($W17&gt;0,$M17&gt;$W17*PARAMETRI!$B$9),AND($O17&gt;0,OR($I17="Finito ritenute non previste",$I17="Finito con sblocco ritenute",$I17="Finito senza sblocco ritenute")),AND($BA17&gt;0,$BO17&gt;0,$BP17=0),AND(OR($I17="Finito ritenute non previste",$I17="Finito con sblocco ritenute",$I17="Finito senza sblocco ritenute"),$W17&gt;0,$N17&gt;$W17*PARAMETRI!$B$9),$V17&gt;0),"ATTENZIONE","REGOLARE"))),"ATTENZIONE")</f>
        <v/>
      </c>
      <c r="B17" s="17" t="str">
        <f>IFERROR(IF($C17="","",IF($BF17&gt;0,"FATTURATO OLTRE VALORE RECUPERABILE; ","")&amp;IF($V17&gt;$J17,"PERDITE ACCETTATE OLTRE CONTRATTO; ","")&amp;IF($V17&gt;0,"PERDITA SAL ACCETTATA (€ "&amp;TEXT($V17,"#,##0.00")&amp;"); ","")&amp;IF(AND(ISNUMBER($Q17),$Q17&gt;0),"RITARDO PRODUTTIVO ("&amp;TEXT($Q17,"0")&amp;" GG); ","")&amp;IF(AND($BI17&lt;&gt;"",$BI17&lt;-PARAMETRI!$B$5),"AVANZAMENTO PIÙ LENTO DEL TEMPO; ","")&amp;IF(AND($BM17&lt;&gt;"",$BM17&gt;1),"ORE OLTRE BUDGET; ","")&amp;IF(AND($BM17&lt;&gt;"",$BM17=1),"ORE PREVENTIVATE ESAURITE; ","")&amp;IF(AND($BN17&lt;&gt;"",$BN17&gt;PARAMETRI!$B$7),"CONSUMO ORE SUPERIORE ALL'AVANZAMENTO; ","")&amp;IF(AND(ISNUMBER($BR17),$BR17&gt;0),"COSTI DIRETTI OLTRE BUDGET; ","")&amp;IF(AND($W17&gt;0,$M17&gt;$W17*PARAMETRI!$B$9),"SAL MATURATO NON FATTURATO; ","")&amp;IF(AND($O17&gt;0,OR($I17="Finito ritenute non previste",$I17="Finito con sblocco ritenute",$I17="Finito senza sblocco ritenute")),"RITENUTE DA SBLOCCARE; ","")&amp;IF(AND($BA17&gt;0,$BO17&gt;0,$BP17=0),"COSTI DIRETTI NON REGISTRATI; ","")&amp;IF(AND(OR($I17="Finito ritenute non previste",$I17="Finito con sblocco ritenute",$I17="Finito senza sblocco ritenute"),$W17&gt;0,$N17&gt;$W17*PARAMETRI!$B$9),"CANTIERE FINITO CON RESIDUO LAVORI; ","")&amp;IF(AND(OR($I17="Finito ritenute non previste",$I17="Finito con sblocco ritenute",$I17="Finito senza sblocco ritenute"),ANAGRAFICA!$K14=""),"DATA FINE EFFETTIVA MANCANTE; ","")&amp;IF(OR(AND(ANAGRAFICA!$T14&lt;&gt;"",ANAGRAFICA!$J14&lt;&gt;ANAGRAFICA!$T14,OR(ANAGRAFICA!$R14="",ANAGRAFICA!$R14="Nessuna variazione")),AND(ANAGRAFICA!$J14="",ANAGRAFICA!$R14&lt;&gt;"",ANAGRAFICA!$R14&lt;&gt;"Nessuna variazione")),"GESTIONE DATA FINE INCOMPLETA; ","")&amp;IF($Y17="","AGGIORNATO AL MANCANTE; ","")&amp;IF(OR($AZ17="",$BJ17="",$BO17="",ANAGRAFICA!$I14="",ANAGRAFICA!$J14=""),"DATI PREVISIONALI INCOMPLETI; ","")&amp;IF(LEFT($C17,5)="TEMP","CODICE COMMESSA TEMPORANEO; ","")),"DATI INCOMPLETI; ")</f>
        <v/>
      </c>
      <c r="C17" s="17" t="str">
        <f>IF(ANAGRAFICA!$B14="","",ANAGRAFICA!$B14)</f>
        <v/>
      </c>
      <c r="D17" s="17" t="str">
        <f>IF($C17="","",ANAGRAFICA!$C14)</f>
        <v/>
      </c>
      <c r="E17" s="17" t="str">
        <f>IF($C17="","",ANAGRAFICA!$D14)</f>
        <v/>
      </c>
      <c r="F17" s="17" t="str">
        <f>IF($C17="","",ANAGRAFICA!$E14)</f>
        <v/>
      </c>
      <c r="G17" s="17" t="str">
        <f>IF($C17="","",ANAGRAFICA!$F14)</f>
        <v/>
      </c>
      <c r="H17" s="17" t="str">
        <f>IF($C17="","",ANAGRAFICA!$G14)</f>
        <v/>
      </c>
      <c r="I17" s="17" t="str">
        <f>IF($C17="","",ANAGRAFICA!$L14)</f>
        <v/>
      </c>
      <c r="J17" s="16" t="str">
        <f t="shared" si="1"/>
        <v/>
      </c>
      <c r="K17" s="16" t="str">
        <f t="shared" si="2"/>
        <v/>
      </c>
      <c r="L17" s="16" t="str">
        <f t="shared" si="3"/>
        <v/>
      </c>
      <c r="M17" s="16" t="str">
        <f t="shared" si="4"/>
        <v/>
      </c>
      <c r="N17" s="16" t="str">
        <f t="shared" si="5"/>
        <v/>
      </c>
      <c r="O17" s="16" t="str">
        <f t="shared" si="6"/>
        <v/>
      </c>
      <c r="P17" s="17" t="str">
        <f t="shared" si="7"/>
        <v/>
      </c>
      <c r="Q17" s="31" t="str">
        <f>IF(OR($C17="",'BUDGET COMMESSA'!$D14="",'BUDGET COMMESSA'!$D14&lt;=0,ANAGRAFICA!$J14=""),"",IF(OR($I17="Finito ritenute non previste",$I17="Finito con sblocco ritenute",$I17="Finito senza sblocco ritenute"),0,IF(AND($BK17&gt;=$BJ17,ANAGRAFICA!$R14="Ritardo produttivo FIDA"),IF(ANAGRAFICA!$T14&lt;&gt;"",MAX(0,ANAGRAFICA!$J14-ANAGRAFICA!$T14),MAX(0,$Y17-ANAGRAFICA!$J14)),0)))</f>
        <v/>
      </c>
      <c r="R17" s="17" t="str">
        <f t="shared" si="8"/>
        <v/>
      </c>
      <c r="S17" s="17" t="str">
        <f t="shared" si="9"/>
        <v/>
      </c>
      <c r="T17" s="17" t="str">
        <f t="shared" si="10"/>
        <v/>
      </c>
      <c r="U17" s="16" t="str">
        <f t="shared" si="11"/>
        <v/>
      </c>
      <c r="V17" s="16" t="str">
        <f t="shared" si="12"/>
        <v/>
      </c>
      <c r="W17" s="16" t="str">
        <f t="shared" si="13"/>
        <v/>
      </c>
      <c r="X17" s="40"/>
      <c r="Y17" s="14"/>
      <c r="AZ17" t="str">
        <f>IF($C17="","",ANAGRAFICA!$P14)</f>
        <v/>
      </c>
      <c r="BA17" t="str">
        <f>IF($C17="","",SUMIF('MOVIMENTI 2026'!$B$7:$B$4206,$C17,'MOVIMENTI 2026'!$I$7:$I$4206)+SUMIF('SALDI AL 31.12.2025'!$A$6:$A$505,$C17,'SALDI AL 31.12.2025'!$C$6:$C$505))</f>
        <v/>
      </c>
      <c r="BB17" t="str">
        <f>IF($C17="","",SUMIF('MOVIMENTI 2026'!$B$7:$B$4206,$C17,'MOVIMENTI 2026'!$J$7:$J$4206)+SUMIF('SALDI AL 31.12.2025'!$A$6:$A$505,$C17,'SALDI AL 31.12.2025'!$D$6:$D$505))</f>
        <v/>
      </c>
      <c r="BC17" t="str">
        <f>IF($C17="","",SUMIF('MOVIMENTI 2026'!$B$7:$B$4206,$C17,'MOVIMENTI 2026'!$K$7:$K$4206)+SUMIF('SALDI AL 31.12.2025'!$A$6:$A$505,$C17,'SALDI AL 31.12.2025'!$E$6:$E$505))</f>
        <v/>
      </c>
      <c r="BD17" t="str">
        <f>IF($C17="","",SUMIF('MOVIMENTI 2026'!$B$7:$B$4206,$C17,'MOVIMENTI 2026'!$L$7:$L$4206)+SUMIF('SALDI AL 31.12.2025'!$A$6:$A$505,$C17,'SALDI AL 31.12.2025'!$F$6:$F$505))</f>
        <v/>
      </c>
      <c r="BE17" t="str">
        <f t="shared" si="14"/>
        <v/>
      </c>
      <c r="BF17" t="str">
        <f t="shared" si="15"/>
        <v/>
      </c>
      <c r="BG17" t="str">
        <f t="shared" si="16"/>
        <v/>
      </c>
      <c r="BH17" t="str">
        <f>IFERROR(IF(OR($C17="",ANAGRAFICA!$I14="",ANAGRAFICA!$J14="",ANAGRAFICA!$J14&lt;=ANAGRAFICA!$I14,$Y17=""),"",IF(OR($I17="Finito ritenute non previste",$I17="Finito con sblocco ritenute",$I17="Finito senza sblocco ritenute"),1,MAX(0,MIN(1,($Y17-ANAGRAFICA!$I14)/(ANAGRAFICA!$J14-ANAGRAFICA!$I14))))),"")</f>
        <v/>
      </c>
      <c r="BI17" t="str">
        <f t="shared" si="17"/>
        <v/>
      </c>
      <c r="BJ17" t="str">
        <f>IFERROR(IF($C17="","",'BUDGET COMMESSA'!$D14),"")</f>
        <v/>
      </c>
      <c r="BK17" t="str">
        <f>IF($C17="","",SUMIF('MOVIMENTI 2026'!$B$7:$B$4206,$C17,'MOVIMENTI 2026'!$N$7:$N$4206)+SUMIF('SALDI AL 31.12.2025'!$A$6:$A$505,$C17,'SALDI AL 31.12.2025'!$H$6:$H$505))</f>
        <v/>
      </c>
      <c r="BL17" t="str">
        <f t="shared" si="18"/>
        <v/>
      </c>
      <c r="BM17" t="str">
        <f t="shared" si="19"/>
        <v/>
      </c>
      <c r="BN17" t="str">
        <f t="shared" si="20"/>
        <v/>
      </c>
      <c r="BO17" t="str">
        <f>IFERROR(IF($C17="","",'BUDGET COMMESSA'!$G14),"")</f>
        <v/>
      </c>
      <c r="BP17" t="str">
        <f>IF($C17="","",SUMIF('COSTI DIRETTI'!$C$6:$C$505,$C17,'COSTI DIRETTI'!$H$6:$H$505)+SUMIF('SALDI AL 31.12.2025'!$A$6:$A$505,$C17,'SALDI AL 31.12.2025'!$I$6:$I$505))</f>
        <v/>
      </c>
      <c r="BQ17" t="str">
        <f t="shared" si="21"/>
        <v/>
      </c>
      <c r="BR17" t="str">
        <f t="shared" si="22"/>
        <v/>
      </c>
      <c r="BS17" t="str">
        <f>IF($C17="","",$BK17*PARAMETRI!$B$4+$BP17)</f>
        <v/>
      </c>
      <c r="BT17">
        <f t="shared" si="23"/>
        <v>0</v>
      </c>
      <c r="BU17">
        <f t="shared" si="24"/>
        <v>0</v>
      </c>
      <c r="BV17" t="str">
        <f>IF($C17="","",SUMIF('MOVIMENTI 2026'!$B$7:$B$4206,$C17,'MOVIMENTI 2026'!$P$7:$P$4206)+SUMIF('SALDI AL 31.12.2025'!$A$6:$A$505,$C17,'SALDI AL 31.12.2025'!$G$6:$G$505))</f>
        <v/>
      </c>
    </row>
    <row r="18" spans="1:74" ht="16" x14ac:dyDescent="0.15">
      <c r="A18" s="17" t="str">
        <f>IFERROR(IF($C18="","",IF(OR($BF18&gt;0,$V18&gt;$J18,AND(ISNUMBER($Q18),$Q18&gt;0),AND($BI18&lt;&gt;"",$BI18&lt;-PARAMETRI!$B$6),AND($BM18&lt;&gt;"",$BM18&gt;=1),AND($BN18&lt;&gt;"",$BN18&gt;PARAMETRI!$B$8),AND(ISNUMBER($BR18),$BR18&gt;0)),"CRITICO",IF(OR($AZ18="",LEFT($C18,5)="TEMP",$BJ18="",$BO18="",ANAGRAFICA!$I15="",ANAGRAFICA!$J15="",$Y18="",AND(OR($I18="Finito ritenute non previste",$I18="Finito con sblocco ritenute",$I18="Finito senza sblocco ritenute"),ANAGRAFICA!$K15=""),OR(AND(ANAGRAFICA!$T15&lt;&gt;"",ANAGRAFICA!$J15&lt;&gt;ANAGRAFICA!$T15,OR(ANAGRAFICA!$R15="",ANAGRAFICA!$R15="Nessuna variazione")),AND(ANAGRAFICA!$J15="",ANAGRAFICA!$R15&lt;&gt;"",ANAGRAFICA!$R15&lt;&gt;"Nessuna variazione")),AND($BI18&lt;&gt;"",$BI18&lt;-PARAMETRI!$B$5),AND($BN18&lt;&gt;"",$BN18&gt;PARAMETRI!$B$7),AND($W18&gt;0,$M18&gt;$W18*PARAMETRI!$B$9),AND($O18&gt;0,OR($I18="Finito ritenute non previste",$I18="Finito con sblocco ritenute",$I18="Finito senza sblocco ritenute")),AND($BA18&gt;0,$BO18&gt;0,$BP18=0),AND(OR($I18="Finito ritenute non previste",$I18="Finito con sblocco ritenute",$I18="Finito senza sblocco ritenute"),$W18&gt;0,$N18&gt;$W18*PARAMETRI!$B$9),$V18&gt;0),"ATTENZIONE","REGOLARE"))),"ATTENZIONE")</f>
        <v/>
      </c>
      <c r="B18" s="17" t="str">
        <f>IFERROR(IF($C18="","",IF($BF18&gt;0,"FATTURATO OLTRE VALORE RECUPERABILE; ","")&amp;IF($V18&gt;$J18,"PERDITE ACCETTATE OLTRE CONTRATTO; ","")&amp;IF($V18&gt;0,"PERDITA SAL ACCETTATA (€ "&amp;TEXT($V18,"#,##0.00")&amp;"); ","")&amp;IF(AND(ISNUMBER($Q18),$Q18&gt;0),"RITARDO PRODUTTIVO ("&amp;TEXT($Q18,"0")&amp;" GG); ","")&amp;IF(AND($BI18&lt;&gt;"",$BI18&lt;-PARAMETRI!$B$5),"AVANZAMENTO PIÙ LENTO DEL TEMPO; ","")&amp;IF(AND($BM18&lt;&gt;"",$BM18&gt;1),"ORE OLTRE BUDGET; ","")&amp;IF(AND($BM18&lt;&gt;"",$BM18=1),"ORE PREVENTIVATE ESAURITE; ","")&amp;IF(AND($BN18&lt;&gt;"",$BN18&gt;PARAMETRI!$B$7),"CONSUMO ORE SUPERIORE ALL'AVANZAMENTO; ","")&amp;IF(AND(ISNUMBER($BR18),$BR18&gt;0),"COSTI DIRETTI OLTRE BUDGET; ","")&amp;IF(AND($W18&gt;0,$M18&gt;$W18*PARAMETRI!$B$9),"SAL MATURATO NON FATTURATO; ","")&amp;IF(AND($O18&gt;0,OR($I18="Finito ritenute non previste",$I18="Finito con sblocco ritenute",$I18="Finito senza sblocco ritenute")),"RITENUTE DA SBLOCCARE; ","")&amp;IF(AND($BA18&gt;0,$BO18&gt;0,$BP18=0),"COSTI DIRETTI NON REGISTRATI; ","")&amp;IF(AND(OR($I18="Finito ritenute non previste",$I18="Finito con sblocco ritenute",$I18="Finito senza sblocco ritenute"),$W18&gt;0,$N18&gt;$W18*PARAMETRI!$B$9),"CANTIERE FINITO CON RESIDUO LAVORI; ","")&amp;IF(AND(OR($I18="Finito ritenute non previste",$I18="Finito con sblocco ritenute",$I18="Finito senza sblocco ritenute"),ANAGRAFICA!$K15=""),"DATA FINE EFFETTIVA MANCANTE; ","")&amp;IF(OR(AND(ANAGRAFICA!$T15&lt;&gt;"",ANAGRAFICA!$J15&lt;&gt;ANAGRAFICA!$T15,OR(ANAGRAFICA!$R15="",ANAGRAFICA!$R15="Nessuna variazione")),AND(ANAGRAFICA!$J15="",ANAGRAFICA!$R15&lt;&gt;"",ANAGRAFICA!$R15&lt;&gt;"Nessuna variazione")),"GESTIONE DATA FINE INCOMPLETA; ","")&amp;IF($Y18="","AGGIORNATO AL MANCANTE; ","")&amp;IF(OR($AZ18="",$BJ18="",$BO18="",ANAGRAFICA!$I15="",ANAGRAFICA!$J15=""),"DATI PREVISIONALI INCOMPLETI; ","")&amp;IF(LEFT($C18,5)="TEMP","CODICE COMMESSA TEMPORANEO; ","")),"DATI INCOMPLETI; ")</f>
        <v/>
      </c>
      <c r="C18" s="17" t="str">
        <f>IF(ANAGRAFICA!$B15="","",ANAGRAFICA!$B15)</f>
        <v/>
      </c>
      <c r="D18" s="17" t="str">
        <f>IF($C18="","",ANAGRAFICA!$C15)</f>
        <v/>
      </c>
      <c r="E18" s="17" t="str">
        <f>IF($C18="","",ANAGRAFICA!$D15)</f>
        <v/>
      </c>
      <c r="F18" s="17" t="str">
        <f>IF($C18="","",ANAGRAFICA!$E15)</f>
        <v/>
      </c>
      <c r="G18" s="17" t="str">
        <f>IF($C18="","",ANAGRAFICA!$F15)</f>
        <v/>
      </c>
      <c r="H18" s="17" t="str">
        <f>IF($C18="","",ANAGRAFICA!$G15)</f>
        <v/>
      </c>
      <c r="I18" s="17" t="str">
        <f>IF($C18="","",ANAGRAFICA!$L15)</f>
        <v/>
      </c>
      <c r="J18" s="16" t="str">
        <f t="shared" si="1"/>
        <v/>
      </c>
      <c r="K18" s="16" t="str">
        <f t="shared" si="2"/>
        <v/>
      </c>
      <c r="L18" s="16" t="str">
        <f t="shared" si="3"/>
        <v/>
      </c>
      <c r="M18" s="16" t="str">
        <f t="shared" si="4"/>
        <v/>
      </c>
      <c r="N18" s="16" t="str">
        <f t="shared" si="5"/>
        <v/>
      </c>
      <c r="O18" s="16" t="str">
        <f t="shared" si="6"/>
        <v/>
      </c>
      <c r="P18" s="17" t="str">
        <f t="shared" si="7"/>
        <v/>
      </c>
      <c r="Q18" s="31" t="str">
        <f>IF(OR($C18="",'BUDGET COMMESSA'!$D15="",'BUDGET COMMESSA'!$D15&lt;=0,ANAGRAFICA!$J15=""),"",IF(OR($I18="Finito ritenute non previste",$I18="Finito con sblocco ritenute",$I18="Finito senza sblocco ritenute"),0,IF(AND($BK18&gt;=$BJ18,ANAGRAFICA!$R15="Ritardo produttivo FIDA"),IF(ANAGRAFICA!$T15&lt;&gt;"",MAX(0,ANAGRAFICA!$J15-ANAGRAFICA!$T15),MAX(0,$Y18-ANAGRAFICA!$J15)),0)))</f>
        <v/>
      </c>
      <c r="R18" s="17" t="str">
        <f t="shared" si="8"/>
        <v/>
      </c>
      <c r="S18" s="17" t="str">
        <f t="shared" si="9"/>
        <v/>
      </c>
      <c r="T18" s="17" t="str">
        <f t="shared" si="10"/>
        <v/>
      </c>
      <c r="U18" s="16" t="str">
        <f t="shared" si="11"/>
        <v/>
      </c>
      <c r="V18" s="16" t="str">
        <f t="shared" si="12"/>
        <v/>
      </c>
      <c r="W18" s="16" t="str">
        <f t="shared" si="13"/>
        <v/>
      </c>
      <c r="X18" s="40"/>
      <c r="Y18" s="14"/>
      <c r="AZ18" t="str">
        <f>IF($C18="","",ANAGRAFICA!$P15)</f>
        <v/>
      </c>
      <c r="BA18" t="str">
        <f>IF($C18="","",SUMIF('MOVIMENTI 2026'!$B$7:$B$4206,$C18,'MOVIMENTI 2026'!$I$7:$I$4206)+SUMIF('SALDI AL 31.12.2025'!$A$6:$A$505,$C18,'SALDI AL 31.12.2025'!$C$6:$C$505))</f>
        <v/>
      </c>
      <c r="BB18" t="str">
        <f>IF($C18="","",SUMIF('MOVIMENTI 2026'!$B$7:$B$4206,$C18,'MOVIMENTI 2026'!$J$7:$J$4206)+SUMIF('SALDI AL 31.12.2025'!$A$6:$A$505,$C18,'SALDI AL 31.12.2025'!$D$6:$D$505))</f>
        <v/>
      </c>
      <c r="BC18" t="str">
        <f>IF($C18="","",SUMIF('MOVIMENTI 2026'!$B$7:$B$4206,$C18,'MOVIMENTI 2026'!$K$7:$K$4206)+SUMIF('SALDI AL 31.12.2025'!$A$6:$A$505,$C18,'SALDI AL 31.12.2025'!$E$6:$E$505))</f>
        <v/>
      </c>
      <c r="BD18" t="str">
        <f>IF($C18="","",SUMIF('MOVIMENTI 2026'!$B$7:$B$4206,$C18,'MOVIMENTI 2026'!$L$7:$L$4206)+SUMIF('SALDI AL 31.12.2025'!$A$6:$A$505,$C18,'SALDI AL 31.12.2025'!$F$6:$F$505))</f>
        <v/>
      </c>
      <c r="BE18" t="str">
        <f t="shared" si="14"/>
        <v/>
      </c>
      <c r="BF18" t="str">
        <f t="shared" si="15"/>
        <v/>
      </c>
      <c r="BG18" t="str">
        <f t="shared" si="16"/>
        <v/>
      </c>
      <c r="BH18" t="str">
        <f>IFERROR(IF(OR($C18="",ANAGRAFICA!$I15="",ANAGRAFICA!$J15="",ANAGRAFICA!$J15&lt;=ANAGRAFICA!$I15,$Y18=""),"",IF(OR($I18="Finito ritenute non previste",$I18="Finito con sblocco ritenute",$I18="Finito senza sblocco ritenute"),1,MAX(0,MIN(1,($Y18-ANAGRAFICA!$I15)/(ANAGRAFICA!$J15-ANAGRAFICA!$I15))))),"")</f>
        <v/>
      </c>
      <c r="BI18" t="str">
        <f t="shared" si="17"/>
        <v/>
      </c>
      <c r="BJ18" t="str">
        <f>IFERROR(IF($C18="","",'BUDGET COMMESSA'!$D15),"")</f>
        <v/>
      </c>
      <c r="BK18" t="str">
        <f>IF($C18="","",SUMIF('MOVIMENTI 2026'!$B$7:$B$4206,$C18,'MOVIMENTI 2026'!$N$7:$N$4206)+SUMIF('SALDI AL 31.12.2025'!$A$6:$A$505,$C18,'SALDI AL 31.12.2025'!$H$6:$H$505))</f>
        <v/>
      </c>
      <c r="BL18" t="str">
        <f t="shared" si="18"/>
        <v/>
      </c>
      <c r="BM18" t="str">
        <f t="shared" si="19"/>
        <v/>
      </c>
      <c r="BN18" t="str">
        <f t="shared" si="20"/>
        <v/>
      </c>
      <c r="BO18" t="str">
        <f>IFERROR(IF($C18="","",'BUDGET COMMESSA'!$G15),"")</f>
        <v/>
      </c>
      <c r="BP18" t="str">
        <f>IF($C18="","",SUMIF('COSTI DIRETTI'!$C$6:$C$505,$C18,'COSTI DIRETTI'!$H$6:$H$505)+SUMIF('SALDI AL 31.12.2025'!$A$6:$A$505,$C18,'SALDI AL 31.12.2025'!$I$6:$I$505))</f>
        <v/>
      </c>
      <c r="BQ18" t="str">
        <f t="shared" si="21"/>
        <v/>
      </c>
      <c r="BR18" t="str">
        <f t="shared" si="22"/>
        <v/>
      </c>
      <c r="BS18" t="str">
        <f>IF($C18="","",$BK18*PARAMETRI!$B$4+$BP18)</f>
        <v/>
      </c>
      <c r="BT18">
        <f t="shared" si="23"/>
        <v>0</v>
      </c>
      <c r="BU18">
        <f t="shared" si="24"/>
        <v>0</v>
      </c>
      <c r="BV18" t="str">
        <f>IF($C18="","",SUMIF('MOVIMENTI 2026'!$B$7:$B$4206,$C18,'MOVIMENTI 2026'!$P$7:$P$4206)+SUMIF('SALDI AL 31.12.2025'!$A$6:$A$505,$C18,'SALDI AL 31.12.2025'!$G$6:$G$505))</f>
        <v/>
      </c>
    </row>
    <row r="19" spans="1:74" ht="16" x14ac:dyDescent="0.15">
      <c r="A19" s="17" t="str">
        <f>IFERROR(IF($C19="","",IF(OR($BF19&gt;0,$V19&gt;$J19,AND(ISNUMBER($Q19),$Q19&gt;0),AND($BI19&lt;&gt;"",$BI19&lt;-PARAMETRI!$B$6),AND($BM19&lt;&gt;"",$BM19&gt;=1),AND($BN19&lt;&gt;"",$BN19&gt;PARAMETRI!$B$8),AND(ISNUMBER($BR19),$BR19&gt;0)),"CRITICO",IF(OR($AZ19="",LEFT($C19,5)="TEMP",$BJ19="",$BO19="",ANAGRAFICA!$I16="",ANAGRAFICA!$J16="",$Y19="",AND(OR($I19="Finito ritenute non previste",$I19="Finito con sblocco ritenute",$I19="Finito senza sblocco ritenute"),ANAGRAFICA!$K16=""),OR(AND(ANAGRAFICA!$T16&lt;&gt;"",ANAGRAFICA!$J16&lt;&gt;ANAGRAFICA!$T16,OR(ANAGRAFICA!$R16="",ANAGRAFICA!$R16="Nessuna variazione")),AND(ANAGRAFICA!$J16="",ANAGRAFICA!$R16&lt;&gt;"",ANAGRAFICA!$R16&lt;&gt;"Nessuna variazione")),AND($BI19&lt;&gt;"",$BI19&lt;-PARAMETRI!$B$5),AND($BN19&lt;&gt;"",$BN19&gt;PARAMETRI!$B$7),AND($W19&gt;0,$M19&gt;$W19*PARAMETRI!$B$9),AND($O19&gt;0,OR($I19="Finito ritenute non previste",$I19="Finito con sblocco ritenute",$I19="Finito senza sblocco ritenute")),AND($BA19&gt;0,$BO19&gt;0,$BP19=0),AND(OR($I19="Finito ritenute non previste",$I19="Finito con sblocco ritenute",$I19="Finito senza sblocco ritenute"),$W19&gt;0,$N19&gt;$W19*PARAMETRI!$B$9),$V19&gt;0),"ATTENZIONE","REGOLARE"))),"ATTENZIONE")</f>
        <v/>
      </c>
      <c r="B19" s="17" t="str">
        <f>IFERROR(IF($C19="","",IF($BF19&gt;0,"FATTURATO OLTRE VALORE RECUPERABILE; ","")&amp;IF($V19&gt;$J19,"PERDITE ACCETTATE OLTRE CONTRATTO; ","")&amp;IF($V19&gt;0,"PERDITA SAL ACCETTATA (€ "&amp;TEXT($V19,"#,##0.00")&amp;"); ","")&amp;IF(AND(ISNUMBER($Q19),$Q19&gt;0),"RITARDO PRODUTTIVO ("&amp;TEXT($Q19,"0")&amp;" GG); ","")&amp;IF(AND($BI19&lt;&gt;"",$BI19&lt;-PARAMETRI!$B$5),"AVANZAMENTO PIÙ LENTO DEL TEMPO; ","")&amp;IF(AND($BM19&lt;&gt;"",$BM19&gt;1),"ORE OLTRE BUDGET; ","")&amp;IF(AND($BM19&lt;&gt;"",$BM19=1),"ORE PREVENTIVATE ESAURITE; ","")&amp;IF(AND($BN19&lt;&gt;"",$BN19&gt;PARAMETRI!$B$7),"CONSUMO ORE SUPERIORE ALL'AVANZAMENTO; ","")&amp;IF(AND(ISNUMBER($BR19),$BR19&gt;0),"COSTI DIRETTI OLTRE BUDGET; ","")&amp;IF(AND($W19&gt;0,$M19&gt;$W19*PARAMETRI!$B$9),"SAL MATURATO NON FATTURATO; ","")&amp;IF(AND($O19&gt;0,OR($I19="Finito ritenute non previste",$I19="Finito con sblocco ritenute",$I19="Finito senza sblocco ritenute")),"RITENUTE DA SBLOCCARE; ","")&amp;IF(AND($BA19&gt;0,$BO19&gt;0,$BP19=0),"COSTI DIRETTI NON REGISTRATI; ","")&amp;IF(AND(OR($I19="Finito ritenute non previste",$I19="Finito con sblocco ritenute",$I19="Finito senza sblocco ritenute"),$W19&gt;0,$N19&gt;$W19*PARAMETRI!$B$9),"CANTIERE FINITO CON RESIDUO LAVORI; ","")&amp;IF(AND(OR($I19="Finito ritenute non previste",$I19="Finito con sblocco ritenute",$I19="Finito senza sblocco ritenute"),ANAGRAFICA!$K16=""),"DATA FINE EFFETTIVA MANCANTE; ","")&amp;IF(OR(AND(ANAGRAFICA!$T16&lt;&gt;"",ANAGRAFICA!$J16&lt;&gt;ANAGRAFICA!$T16,OR(ANAGRAFICA!$R16="",ANAGRAFICA!$R16="Nessuna variazione")),AND(ANAGRAFICA!$J16="",ANAGRAFICA!$R16&lt;&gt;"",ANAGRAFICA!$R16&lt;&gt;"Nessuna variazione")),"GESTIONE DATA FINE INCOMPLETA; ","")&amp;IF($Y19="","AGGIORNATO AL MANCANTE; ","")&amp;IF(OR($AZ19="",$BJ19="",$BO19="",ANAGRAFICA!$I16="",ANAGRAFICA!$J16=""),"DATI PREVISIONALI INCOMPLETI; ","")&amp;IF(LEFT($C19,5)="TEMP","CODICE COMMESSA TEMPORANEO; ","")),"DATI INCOMPLETI; ")</f>
        <v/>
      </c>
      <c r="C19" s="17" t="str">
        <f>IF(ANAGRAFICA!$B16="","",ANAGRAFICA!$B16)</f>
        <v/>
      </c>
      <c r="D19" s="17" t="str">
        <f>IF($C19="","",ANAGRAFICA!$C16)</f>
        <v/>
      </c>
      <c r="E19" s="17" t="str">
        <f>IF($C19="","",ANAGRAFICA!$D16)</f>
        <v/>
      </c>
      <c r="F19" s="17" t="str">
        <f>IF($C19="","",ANAGRAFICA!$E16)</f>
        <v/>
      </c>
      <c r="G19" s="17" t="str">
        <f>IF($C19="","",ANAGRAFICA!$F16)</f>
        <v/>
      </c>
      <c r="H19" s="17" t="str">
        <f>IF($C19="","",ANAGRAFICA!$G16)</f>
        <v/>
      </c>
      <c r="I19" s="17" t="str">
        <f>IF($C19="","",ANAGRAFICA!$L16)</f>
        <v/>
      </c>
      <c r="J19" s="16" t="str">
        <f t="shared" si="1"/>
        <v/>
      </c>
      <c r="K19" s="16" t="str">
        <f t="shared" si="2"/>
        <v/>
      </c>
      <c r="L19" s="16" t="str">
        <f t="shared" si="3"/>
        <v/>
      </c>
      <c r="M19" s="16" t="str">
        <f t="shared" si="4"/>
        <v/>
      </c>
      <c r="N19" s="16" t="str">
        <f t="shared" si="5"/>
        <v/>
      </c>
      <c r="O19" s="16" t="str">
        <f t="shared" si="6"/>
        <v/>
      </c>
      <c r="P19" s="17" t="str">
        <f t="shared" si="7"/>
        <v/>
      </c>
      <c r="Q19" s="31" t="str">
        <f>IF(OR($C19="",'BUDGET COMMESSA'!$D16="",'BUDGET COMMESSA'!$D16&lt;=0,ANAGRAFICA!$J16=""),"",IF(OR($I19="Finito ritenute non previste",$I19="Finito con sblocco ritenute",$I19="Finito senza sblocco ritenute"),0,IF(AND($BK19&gt;=$BJ19,ANAGRAFICA!$R16="Ritardo produttivo FIDA"),IF(ANAGRAFICA!$T16&lt;&gt;"",MAX(0,ANAGRAFICA!$J16-ANAGRAFICA!$T16),MAX(0,$Y19-ANAGRAFICA!$J16)),0)))</f>
        <v/>
      </c>
      <c r="R19" s="17" t="str">
        <f t="shared" si="8"/>
        <v/>
      </c>
      <c r="S19" s="17" t="str">
        <f t="shared" si="9"/>
        <v/>
      </c>
      <c r="T19" s="17" t="str">
        <f t="shared" si="10"/>
        <v/>
      </c>
      <c r="U19" s="16" t="str">
        <f t="shared" si="11"/>
        <v/>
      </c>
      <c r="V19" s="16" t="str">
        <f t="shared" si="12"/>
        <v/>
      </c>
      <c r="W19" s="16" t="str">
        <f t="shared" si="13"/>
        <v/>
      </c>
      <c r="X19" s="40"/>
      <c r="Y19" s="14"/>
      <c r="AZ19" t="str">
        <f>IF($C19="","",ANAGRAFICA!$P16)</f>
        <v/>
      </c>
      <c r="BA19" t="str">
        <f>IF($C19="","",SUMIF('MOVIMENTI 2026'!$B$7:$B$4206,$C19,'MOVIMENTI 2026'!$I$7:$I$4206)+SUMIF('SALDI AL 31.12.2025'!$A$6:$A$505,$C19,'SALDI AL 31.12.2025'!$C$6:$C$505))</f>
        <v/>
      </c>
      <c r="BB19" t="str">
        <f>IF($C19="","",SUMIF('MOVIMENTI 2026'!$B$7:$B$4206,$C19,'MOVIMENTI 2026'!$J$7:$J$4206)+SUMIF('SALDI AL 31.12.2025'!$A$6:$A$505,$C19,'SALDI AL 31.12.2025'!$D$6:$D$505))</f>
        <v/>
      </c>
      <c r="BC19" t="str">
        <f>IF($C19="","",SUMIF('MOVIMENTI 2026'!$B$7:$B$4206,$C19,'MOVIMENTI 2026'!$K$7:$K$4206)+SUMIF('SALDI AL 31.12.2025'!$A$6:$A$505,$C19,'SALDI AL 31.12.2025'!$E$6:$E$505))</f>
        <v/>
      </c>
      <c r="BD19" t="str">
        <f>IF($C19="","",SUMIF('MOVIMENTI 2026'!$B$7:$B$4206,$C19,'MOVIMENTI 2026'!$L$7:$L$4206)+SUMIF('SALDI AL 31.12.2025'!$A$6:$A$505,$C19,'SALDI AL 31.12.2025'!$F$6:$F$505))</f>
        <v/>
      </c>
      <c r="BE19" t="str">
        <f t="shared" si="14"/>
        <v/>
      </c>
      <c r="BF19" t="str">
        <f t="shared" si="15"/>
        <v/>
      </c>
      <c r="BG19" t="str">
        <f t="shared" si="16"/>
        <v/>
      </c>
      <c r="BH19" t="str">
        <f>IFERROR(IF(OR($C19="",ANAGRAFICA!$I16="",ANAGRAFICA!$J16="",ANAGRAFICA!$J16&lt;=ANAGRAFICA!$I16,$Y19=""),"",IF(OR($I19="Finito ritenute non previste",$I19="Finito con sblocco ritenute",$I19="Finito senza sblocco ritenute"),1,MAX(0,MIN(1,($Y19-ANAGRAFICA!$I16)/(ANAGRAFICA!$J16-ANAGRAFICA!$I16))))),"")</f>
        <v/>
      </c>
      <c r="BI19" t="str">
        <f t="shared" si="17"/>
        <v/>
      </c>
      <c r="BJ19" t="str">
        <f>IFERROR(IF($C19="","",'BUDGET COMMESSA'!$D16),"")</f>
        <v/>
      </c>
      <c r="BK19" t="str">
        <f>IF($C19="","",SUMIF('MOVIMENTI 2026'!$B$7:$B$4206,$C19,'MOVIMENTI 2026'!$N$7:$N$4206)+SUMIF('SALDI AL 31.12.2025'!$A$6:$A$505,$C19,'SALDI AL 31.12.2025'!$H$6:$H$505))</f>
        <v/>
      </c>
      <c r="BL19" t="str">
        <f t="shared" si="18"/>
        <v/>
      </c>
      <c r="BM19" t="str">
        <f t="shared" si="19"/>
        <v/>
      </c>
      <c r="BN19" t="str">
        <f t="shared" si="20"/>
        <v/>
      </c>
      <c r="BO19" t="str">
        <f>IFERROR(IF($C19="","",'BUDGET COMMESSA'!$G16),"")</f>
        <v/>
      </c>
      <c r="BP19" t="str">
        <f>IF($C19="","",SUMIF('COSTI DIRETTI'!$C$6:$C$505,$C19,'COSTI DIRETTI'!$H$6:$H$505)+SUMIF('SALDI AL 31.12.2025'!$A$6:$A$505,$C19,'SALDI AL 31.12.2025'!$I$6:$I$505))</f>
        <v/>
      </c>
      <c r="BQ19" t="str">
        <f t="shared" si="21"/>
        <v/>
      </c>
      <c r="BR19" t="str">
        <f t="shared" si="22"/>
        <v/>
      </c>
      <c r="BS19" t="str">
        <f>IF($C19="","",$BK19*PARAMETRI!$B$4+$BP19)</f>
        <v/>
      </c>
      <c r="BT19">
        <f t="shared" si="23"/>
        <v>0</v>
      </c>
      <c r="BU19">
        <f t="shared" si="24"/>
        <v>0</v>
      </c>
      <c r="BV19" t="str">
        <f>IF($C19="","",SUMIF('MOVIMENTI 2026'!$B$7:$B$4206,$C19,'MOVIMENTI 2026'!$P$7:$P$4206)+SUMIF('SALDI AL 31.12.2025'!$A$6:$A$505,$C19,'SALDI AL 31.12.2025'!$G$6:$G$505))</f>
        <v/>
      </c>
    </row>
    <row r="20" spans="1:74" ht="16" x14ac:dyDescent="0.15">
      <c r="A20" s="17" t="str">
        <f>IFERROR(IF($C20="","",IF(OR($BF20&gt;0,$V20&gt;$J20,AND(ISNUMBER($Q20),$Q20&gt;0),AND($BI20&lt;&gt;"",$BI20&lt;-PARAMETRI!$B$6),AND($BM20&lt;&gt;"",$BM20&gt;=1),AND($BN20&lt;&gt;"",$BN20&gt;PARAMETRI!$B$8),AND(ISNUMBER($BR20),$BR20&gt;0)),"CRITICO",IF(OR($AZ20="",LEFT($C20,5)="TEMP",$BJ20="",$BO20="",ANAGRAFICA!$I17="",ANAGRAFICA!$J17="",$Y20="",AND(OR($I20="Finito ritenute non previste",$I20="Finito con sblocco ritenute",$I20="Finito senza sblocco ritenute"),ANAGRAFICA!$K17=""),OR(AND(ANAGRAFICA!$T17&lt;&gt;"",ANAGRAFICA!$J17&lt;&gt;ANAGRAFICA!$T17,OR(ANAGRAFICA!$R17="",ANAGRAFICA!$R17="Nessuna variazione")),AND(ANAGRAFICA!$J17="",ANAGRAFICA!$R17&lt;&gt;"",ANAGRAFICA!$R17&lt;&gt;"Nessuna variazione")),AND($BI20&lt;&gt;"",$BI20&lt;-PARAMETRI!$B$5),AND($BN20&lt;&gt;"",$BN20&gt;PARAMETRI!$B$7),AND($W20&gt;0,$M20&gt;$W20*PARAMETRI!$B$9),AND($O20&gt;0,OR($I20="Finito ritenute non previste",$I20="Finito con sblocco ritenute",$I20="Finito senza sblocco ritenute")),AND($BA20&gt;0,$BO20&gt;0,$BP20=0),AND(OR($I20="Finito ritenute non previste",$I20="Finito con sblocco ritenute",$I20="Finito senza sblocco ritenute"),$W20&gt;0,$N20&gt;$W20*PARAMETRI!$B$9),$V20&gt;0),"ATTENZIONE","REGOLARE"))),"ATTENZIONE")</f>
        <v/>
      </c>
      <c r="B20" s="17" t="str">
        <f>IFERROR(IF($C20="","",IF($BF20&gt;0,"FATTURATO OLTRE VALORE RECUPERABILE; ","")&amp;IF($V20&gt;$J20,"PERDITE ACCETTATE OLTRE CONTRATTO; ","")&amp;IF($V20&gt;0,"PERDITA SAL ACCETTATA (€ "&amp;TEXT($V20,"#,##0.00")&amp;"); ","")&amp;IF(AND(ISNUMBER($Q20),$Q20&gt;0),"RITARDO PRODUTTIVO ("&amp;TEXT($Q20,"0")&amp;" GG); ","")&amp;IF(AND($BI20&lt;&gt;"",$BI20&lt;-PARAMETRI!$B$5),"AVANZAMENTO PIÙ LENTO DEL TEMPO; ","")&amp;IF(AND($BM20&lt;&gt;"",$BM20&gt;1),"ORE OLTRE BUDGET; ","")&amp;IF(AND($BM20&lt;&gt;"",$BM20=1),"ORE PREVENTIVATE ESAURITE; ","")&amp;IF(AND($BN20&lt;&gt;"",$BN20&gt;PARAMETRI!$B$7),"CONSUMO ORE SUPERIORE ALL'AVANZAMENTO; ","")&amp;IF(AND(ISNUMBER($BR20),$BR20&gt;0),"COSTI DIRETTI OLTRE BUDGET; ","")&amp;IF(AND($W20&gt;0,$M20&gt;$W20*PARAMETRI!$B$9),"SAL MATURATO NON FATTURATO; ","")&amp;IF(AND($O20&gt;0,OR($I20="Finito ritenute non previste",$I20="Finito con sblocco ritenute",$I20="Finito senza sblocco ritenute")),"RITENUTE DA SBLOCCARE; ","")&amp;IF(AND($BA20&gt;0,$BO20&gt;0,$BP20=0),"COSTI DIRETTI NON REGISTRATI; ","")&amp;IF(AND(OR($I20="Finito ritenute non previste",$I20="Finito con sblocco ritenute",$I20="Finito senza sblocco ritenute"),$W20&gt;0,$N20&gt;$W20*PARAMETRI!$B$9),"CANTIERE FINITO CON RESIDUO LAVORI; ","")&amp;IF(AND(OR($I20="Finito ritenute non previste",$I20="Finito con sblocco ritenute",$I20="Finito senza sblocco ritenute"),ANAGRAFICA!$K17=""),"DATA FINE EFFETTIVA MANCANTE; ","")&amp;IF(OR(AND(ANAGRAFICA!$T17&lt;&gt;"",ANAGRAFICA!$J17&lt;&gt;ANAGRAFICA!$T17,OR(ANAGRAFICA!$R17="",ANAGRAFICA!$R17="Nessuna variazione")),AND(ANAGRAFICA!$J17="",ANAGRAFICA!$R17&lt;&gt;"",ANAGRAFICA!$R17&lt;&gt;"Nessuna variazione")),"GESTIONE DATA FINE INCOMPLETA; ","")&amp;IF($Y20="","AGGIORNATO AL MANCANTE; ","")&amp;IF(OR($AZ20="",$BJ20="",$BO20="",ANAGRAFICA!$I17="",ANAGRAFICA!$J17=""),"DATI PREVISIONALI INCOMPLETI; ","")&amp;IF(LEFT($C20,5)="TEMP","CODICE COMMESSA TEMPORANEO; ","")),"DATI INCOMPLETI; ")</f>
        <v/>
      </c>
      <c r="C20" s="17" t="str">
        <f>IF(ANAGRAFICA!$B17="","",ANAGRAFICA!$B17)</f>
        <v/>
      </c>
      <c r="D20" s="17" t="str">
        <f>IF($C20="","",ANAGRAFICA!$C17)</f>
        <v/>
      </c>
      <c r="E20" s="17" t="str">
        <f>IF($C20="","",ANAGRAFICA!$D17)</f>
        <v/>
      </c>
      <c r="F20" s="17" t="str">
        <f>IF($C20="","",ANAGRAFICA!$E17)</f>
        <v/>
      </c>
      <c r="G20" s="17" t="str">
        <f>IF($C20="","",ANAGRAFICA!$F17)</f>
        <v/>
      </c>
      <c r="H20" s="17" t="str">
        <f>IF($C20="","",ANAGRAFICA!$G17)</f>
        <v/>
      </c>
      <c r="I20" s="17" t="str">
        <f>IF($C20="","",ANAGRAFICA!$L17)</f>
        <v/>
      </c>
      <c r="J20" s="16" t="str">
        <f t="shared" si="1"/>
        <v/>
      </c>
      <c r="K20" s="16" t="str">
        <f t="shared" si="2"/>
        <v/>
      </c>
      <c r="L20" s="16" t="str">
        <f t="shared" si="3"/>
        <v/>
      </c>
      <c r="M20" s="16" t="str">
        <f t="shared" si="4"/>
        <v/>
      </c>
      <c r="N20" s="16" t="str">
        <f t="shared" si="5"/>
        <v/>
      </c>
      <c r="O20" s="16" t="str">
        <f t="shared" si="6"/>
        <v/>
      </c>
      <c r="P20" s="17" t="str">
        <f t="shared" si="7"/>
        <v/>
      </c>
      <c r="Q20" s="31" t="str">
        <f>IF(OR($C20="",'BUDGET COMMESSA'!$D17="",'BUDGET COMMESSA'!$D17&lt;=0,ANAGRAFICA!$J17=""),"",IF(OR($I20="Finito ritenute non previste",$I20="Finito con sblocco ritenute",$I20="Finito senza sblocco ritenute"),0,IF(AND($BK20&gt;=$BJ20,ANAGRAFICA!$R17="Ritardo produttivo FIDA"),IF(ANAGRAFICA!$T17&lt;&gt;"",MAX(0,ANAGRAFICA!$J17-ANAGRAFICA!$T17),MAX(0,$Y20-ANAGRAFICA!$J17)),0)))</f>
        <v/>
      </c>
      <c r="R20" s="17" t="str">
        <f t="shared" si="8"/>
        <v/>
      </c>
      <c r="S20" s="17" t="str">
        <f t="shared" si="9"/>
        <v/>
      </c>
      <c r="T20" s="17" t="str">
        <f t="shared" si="10"/>
        <v/>
      </c>
      <c r="U20" s="16" t="str">
        <f t="shared" si="11"/>
        <v/>
      </c>
      <c r="V20" s="16" t="str">
        <f t="shared" si="12"/>
        <v/>
      </c>
      <c r="W20" s="16" t="str">
        <f t="shared" si="13"/>
        <v/>
      </c>
      <c r="X20" s="40"/>
      <c r="Y20" s="14"/>
      <c r="AZ20" t="str">
        <f>IF($C20="","",ANAGRAFICA!$P17)</f>
        <v/>
      </c>
      <c r="BA20" t="str">
        <f>IF($C20="","",SUMIF('MOVIMENTI 2026'!$B$7:$B$4206,$C20,'MOVIMENTI 2026'!$I$7:$I$4206)+SUMIF('SALDI AL 31.12.2025'!$A$6:$A$505,$C20,'SALDI AL 31.12.2025'!$C$6:$C$505))</f>
        <v/>
      </c>
      <c r="BB20" t="str">
        <f>IF($C20="","",SUMIF('MOVIMENTI 2026'!$B$7:$B$4206,$C20,'MOVIMENTI 2026'!$J$7:$J$4206)+SUMIF('SALDI AL 31.12.2025'!$A$6:$A$505,$C20,'SALDI AL 31.12.2025'!$D$6:$D$505))</f>
        <v/>
      </c>
      <c r="BC20" t="str">
        <f>IF($C20="","",SUMIF('MOVIMENTI 2026'!$B$7:$B$4206,$C20,'MOVIMENTI 2026'!$K$7:$K$4206)+SUMIF('SALDI AL 31.12.2025'!$A$6:$A$505,$C20,'SALDI AL 31.12.2025'!$E$6:$E$505))</f>
        <v/>
      </c>
      <c r="BD20" t="str">
        <f>IF($C20="","",SUMIF('MOVIMENTI 2026'!$B$7:$B$4206,$C20,'MOVIMENTI 2026'!$L$7:$L$4206)+SUMIF('SALDI AL 31.12.2025'!$A$6:$A$505,$C20,'SALDI AL 31.12.2025'!$F$6:$F$505))</f>
        <v/>
      </c>
      <c r="BE20" t="str">
        <f t="shared" si="14"/>
        <v/>
      </c>
      <c r="BF20" t="str">
        <f t="shared" si="15"/>
        <v/>
      </c>
      <c r="BG20" t="str">
        <f t="shared" si="16"/>
        <v/>
      </c>
      <c r="BH20" t="str">
        <f>IFERROR(IF(OR($C20="",ANAGRAFICA!$I17="",ANAGRAFICA!$J17="",ANAGRAFICA!$J17&lt;=ANAGRAFICA!$I17,$Y20=""),"",IF(OR($I20="Finito ritenute non previste",$I20="Finito con sblocco ritenute",$I20="Finito senza sblocco ritenute"),1,MAX(0,MIN(1,($Y20-ANAGRAFICA!$I17)/(ANAGRAFICA!$J17-ANAGRAFICA!$I17))))),"")</f>
        <v/>
      </c>
      <c r="BI20" t="str">
        <f t="shared" si="17"/>
        <v/>
      </c>
      <c r="BJ20" t="str">
        <f>IFERROR(IF($C20="","",'BUDGET COMMESSA'!$D17),"")</f>
        <v/>
      </c>
      <c r="BK20" t="str">
        <f>IF($C20="","",SUMIF('MOVIMENTI 2026'!$B$7:$B$4206,$C20,'MOVIMENTI 2026'!$N$7:$N$4206)+SUMIF('SALDI AL 31.12.2025'!$A$6:$A$505,$C20,'SALDI AL 31.12.2025'!$H$6:$H$505))</f>
        <v/>
      </c>
      <c r="BL20" t="str">
        <f t="shared" si="18"/>
        <v/>
      </c>
      <c r="BM20" t="str">
        <f t="shared" si="19"/>
        <v/>
      </c>
      <c r="BN20" t="str">
        <f t="shared" si="20"/>
        <v/>
      </c>
      <c r="BO20" t="str">
        <f>IFERROR(IF($C20="","",'BUDGET COMMESSA'!$G17),"")</f>
        <v/>
      </c>
      <c r="BP20" t="str">
        <f>IF($C20="","",SUMIF('COSTI DIRETTI'!$C$6:$C$505,$C20,'COSTI DIRETTI'!$H$6:$H$505)+SUMIF('SALDI AL 31.12.2025'!$A$6:$A$505,$C20,'SALDI AL 31.12.2025'!$I$6:$I$505))</f>
        <v/>
      </c>
      <c r="BQ20" t="str">
        <f t="shared" si="21"/>
        <v/>
      </c>
      <c r="BR20" t="str">
        <f t="shared" si="22"/>
        <v/>
      </c>
      <c r="BS20" t="str">
        <f>IF($C20="","",$BK20*PARAMETRI!$B$4+$BP20)</f>
        <v/>
      </c>
      <c r="BT20">
        <f t="shared" si="23"/>
        <v>0</v>
      </c>
      <c r="BU20">
        <f t="shared" si="24"/>
        <v>0</v>
      </c>
      <c r="BV20" t="str">
        <f>IF($C20="","",SUMIF('MOVIMENTI 2026'!$B$7:$B$4206,$C20,'MOVIMENTI 2026'!$P$7:$P$4206)+SUMIF('SALDI AL 31.12.2025'!$A$6:$A$505,$C20,'SALDI AL 31.12.2025'!$G$6:$G$505))</f>
        <v/>
      </c>
    </row>
    <row r="21" spans="1:74" ht="16" x14ac:dyDescent="0.15">
      <c r="A21" s="17" t="str">
        <f>IFERROR(IF($C21="","",IF(OR($BF21&gt;0,$V21&gt;$J21,AND(ISNUMBER($Q21),$Q21&gt;0),AND($BI21&lt;&gt;"",$BI21&lt;-PARAMETRI!$B$6),AND($BM21&lt;&gt;"",$BM21&gt;=1),AND($BN21&lt;&gt;"",$BN21&gt;PARAMETRI!$B$8),AND(ISNUMBER($BR21),$BR21&gt;0)),"CRITICO",IF(OR($AZ21="",LEFT($C21,5)="TEMP",$BJ21="",$BO21="",ANAGRAFICA!$I18="",ANAGRAFICA!$J18="",$Y21="",AND(OR($I21="Finito ritenute non previste",$I21="Finito con sblocco ritenute",$I21="Finito senza sblocco ritenute"),ANAGRAFICA!$K18=""),OR(AND(ANAGRAFICA!$T18&lt;&gt;"",ANAGRAFICA!$J18&lt;&gt;ANAGRAFICA!$T18,OR(ANAGRAFICA!$R18="",ANAGRAFICA!$R18="Nessuna variazione")),AND(ANAGRAFICA!$J18="",ANAGRAFICA!$R18&lt;&gt;"",ANAGRAFICA!$R18&lt;&gt;"Nessuna variazione")),AND($BI21&lt;&gt;"",$BI21&lt;-PARAMETRI!$B$5),AND($BN21&lt;&gt;"",$BN21&gt;PARAMETRI!$B$7),AND($W21&gt;0,$M21&gt;$W21*PARAMETRI!$B$9),AND($O21&gt;0,OR($I21="Finito ritenute non previste",$I21="Finito con sblocco ritenute",$I21="Finito senza sblocco ritenute")),AND($BA21&gt;0,$BO21&gt;0,$BP21=0),AND(OR($I21="Finito ritenute non previste",$I21="Finito con sblocco ritenute",$I21="Finito senza sblocco ritenute"),$W21&gt;0,$N21&gt;$W21*PARAMETRI!$B$9),$V21&gt;0),"ATTENZIONE","REGOLARE"))),"ATTENZIONE")</f>
        <v/>
      </c>
      <c r="B21" s="17" t="str">
        <f>IFERROR(IF($C21="","",IF($BF21&gt;0,"FATTURATO OLTRE VALORE RECUPERABILE; ","")&amp;IF($V21&gt;$J21,"PERDITE ACCETTATE OLTRE CONTRATTO; ","")&amp;IF($V21&gt;0,"PERDITA SAL ACCETTATA (€ "&amp;TEXT($V21,"#,##0.00")&amp;"); ","")&amp;IF(AND(ISNUMBER($Q21),$Q21&gt;0),"RITARDO PRODUTTIVO ("&amp;TEXT($Q21,"0")&amp;" GG); ","")&amp;IF(AND($BI21&lt;&gt;"",$BI21&lt;-PARAMETRI!$B$5),"AVANZAMENTO PIÙ LENTO DEL TEMPO; ","")&amp;IF(AND($BM21&lt;&gt;"",$BM21&gt;1),"ORE OLTRE BUDGET; ","")&amp;IF(AND($BM21&lt;&gt;"",$BM21=1),"ORE PREVENTIVATE ESAURITE; ","")&amp;IF(AND($BN21&lt;&gt;"",$BN21&gt;PARAMETRI!$B$7),"CONSUMO ORE SUPERIORE ALL'AVANZAMENTO; ","")&amp;IF(AND(ISNUMBER($BR21),$BR21&gt;0),"COSTI DIRETTI OLTRE BUDGET; ","")&amp;IF(AND($W21&gt;0,$M21&gt;$W21*PARAMETRI!$B$9),"SAL MATURATO NON FATTURATO; ","")&amp;IF(AND($O21&gt;0,OR($I21="Finito ritenute non previste",$I21="Finito con sblocco ritenute",$I21="Finito senza sblocco ritenute")),"RITENUTE DA SBLOCCARE; ","")&amp;IF(AND($BA21&gt;0,$BO21&gt;0,$BP21=0),"COSTI DIRETTI NON REGISTRATI; ","")&amp;IF(AND(OR($I21="Finito ritenute non previste",$I21="Finito con sblocco ritenute",$I21="Finito senza sblocco ritenute"),$W21&gt;0,$N21&gt;$W21*PARAMETRI!$B$9),"CANTIERE FINITO CON RESIDUO LAVORI; ","")&amp;IF(AND(OR($I21="Finito ritenute non previste",$I21="Finito con sblocco ritenute",$I21="Finito senza sblocco ritenute"),ANAGRAFICA!$K18=""),"DATA FINE EFFETTIVA MANCANTE; ","")&amp;IF(OR(AND(ANAGRAFICA!$T18&lt;&gt;"",ANAGRAFICA!$J18&lt;&gt;ANAGRAFICA!$T18,OR(ANAGRAFICA!$R18="",ANAGRAFICA!$R18="Nessuna variazione")),AND(ANAGRAFICA!$J18="",ANAGRAFICA!$R18&lt;&gt;"",ANAGRAFICA!$R18&lt;&gt;"Nessuna variazione")),"GESTIONE DATA FINE INCOMPLETA; ","")&amp;IF($Y21="","AGGIORNATO AL MANCANTE; ","")&amp;IF(OR($AZ21="",$BJ21="",$BO21="",ANAGRAFICA!$I18="",ANAGRAFICA!$J18=""),"DATI PREVISIONALI INCOMPLETI; ","")&amp;IF(LEFT($C21,5)="TEMP","CODICE COMMESSA TEMPORANEO; ","")),"DATI INCOMPLETI; ")</f>
        <v/>
      </c>
      <c r="C21" s="17" t="str">
        <f>IF(ANAGRAFICA!$B18="","",ANAGRAFICA!$B18)</f>
        <v/>
      </c>
      <c r="D21" s="17" t="str">
        <f>IF($C21="","",ANAGRAFICA!$C18)</f>
        <v/>
      </c>
      <c r="E21" s="17" t="str">
        <f>IF($C21="","",ANAGRAFICA!$D18)</f>
        <v/>
      </c>
      <c r="F21" s="17" t="str">
        <f>IF($C21="","",ANAGRAFICA!$E18)</f>
        <v/>
      </c>
      <c r="G21" s="17" t="str">
        <f>IF($C21="","",ANAGRAFICA!$F18)</f>
        <v/>
      </c>
      <c r="H21" s="17" t="str">
        <f>IF($C21="","",ANAGRAFICA!$G18)</f>
        <v/>
      </c>
      <c r="I21" s="17" t="str">
        <f>IF($C21="","",ANAGRAFICA!$L18)</f>
        <v/>
      </c>
      <c r="J21" s="16" t="str">
        <f t="shared" si="1"/>
        <v/>
      </c>
      <c r="K21" s="16" t="str">
        <f t="shared" si="2"/>
        <v/>
      </c>
      <c r="L21" s="16" t="str">
        <f t="shared" si="3"/>
        <v/>
      </c>
      <c r="M21" s="16" t="str">
        <f t="shared" si="4"/>
        <v/>
      </c>
      <c r="N21" s="16" t="str">
        <f t="shared" si="5"/>
        <v/>
      </c>
      <c r="O21" s="16" t="str">
        <f t="shared" si="6"/>
        <v/>
      </c>
      <c r="P21" s="17" t="str">
        <f t="shared" si="7"/>
        <v/>
      </c>
      <c r="Q21" s="31" t="str">
        <f>IF(OR($C21="",'BUDGET COMMESSA'!$D18="",'BUDGET COMMESSA'!$D18&lt;=0,ANAGRAFICA!$J18=""),"",IF(OR($I21="Finito ritenute non previste",$I21="Finito con sblocco ritenute",$I21="Finito senza sblocco ritenute"),0,IF(AND($BK21&gt;=$BJ21,ANAGRAFICA!$R18="Ritardo produttivo FIDA"),IF(ANAGRAFICA!$T18&lt;&gt;"",MAX(0,ANAGRAFICA!$J18-ANAGRAFICA!$T18),MAX(0,$Y21-ANAGRAFICA!$J18)),0)))</f>
        <v/>
      </c>
      <c r="R21" s="17" t="str">
        <f t="shared" si="8"/>
        <v/>
      </c>
      <c r="S21" s="17" t="str">
        <f t="shared" si="9"/>
        <v/>
      </c>
      <c r="T21" s="17" t="str">
        <f t="shared" si="10"/>
        <v/>
      </c>
      <c r="U21" s="16" t="str">
        <f t="shared" si="11"/>
        <v/>
      </c>
      <c r="V21" s="16" t="str">
        <f t="shared" si="12"/>
        <v/>
      </c>
      <c r="W21" s="16" t="str">
        <f t="shared" si="13"/>
        <v/>
      </c>
      <c r="X21" s="40"/>
      <c r="Y21" s="14"/>
      <c r="AZ21" t="str">
        <f>IF($C21="","",ANAGRAFICA!$P18)</f>
        <v/>
      </c>
      <c r="BA21" t="str">
        <f>IF($C21="","",SUMIF('MOVIMENTI 2026'!$B$7:$B$4206,$C21,'MOVIMENTI 2026'!$I$7:$I$4206)+SUMIF('SALDI AL 31.12.2025'!$A$6:$A$505,$C21,'SALDI AL 31.12.2025'!$C$6:$C$505))</f>
        <v/>
      </c>
      <c r="BB21" t="str">
        <f>IF($C21="","",SUMIF('MOVIMENTI 2026'!$B$7:$B$4206,$C21,'MOVIMENTI 2026'!$J$7:$J$4206)+SUMIF('SALDI AL 31.12.2025'!$A$6:$A$505,$C21,'SALDI AL 31.12.2025'!$D$6:$D$505))</f>
        <v/>
      </c>
      <c r="BC21" t="str">
        <f>IF($C21="","",SUMIF('MOVIMENTI 2026'!$B$7:$B$4206,$C21,'MOVIMENTI 2026'!$K$7:$K$4206)+SUMIF('SALDI AL 31.12.2025'!$A$6:$A$505,$C21,'SALDI AL 31.12.2025'!$E$6:$E$505))</f>
        <v/>
      </c>
      <c r="BD21" t="str">
        <f>IF($C21="","",SUMIF('MOVIMENTI 2026'!$B$7:$B$4206,$C21,'MOVIMENTI 2026'!$L$7:$L$4206)+SUMIF('SALDI AL 31.12.2025'!$A$6:$A$505,$C21,'SALDI AL 31.12.2025'!$F$6:$F$505))</f>
        <v/>
      </c>
      <c r="BE21" t="str">
        <f t="shared" si="14"/>
        <v/>
      </c>
      <c r="BF21" t="str">
        <f t="shared" si="15"/>
        <v/>
      </c>
      <c r="BG21" t="str">
        <f t="shared" si="16"/>
        <v/>
      </c>
      <c r="BH21" t="str">
        <f>IFERROR(IF(OR($C21="",ANAGRAFICA!$I18="",ANAGRAFICA!$J18="",ANAGRAFICA!$J18&lt;=ANAGRAFICA!$I18,$Y21=""),"",IF(OR($I21="Finito ritenute non previste",$I21="Finito con sblocco ritenute",$I21="Finito senza sblocco ritenute"),1,MAX(0,MIN(1,($Y21-ANAGRAFICA!$I18)/(ANAGRAFICA!$J18-ANAGRAFICA!$I18))))),"")</f>
        <v/>
      </c>
      <c r="BI21" t="str">
        <f t="shared" si="17"/>
        <v/>
      </c>
      <c r="BJ21" t="str">
        <f>IFERROR(IF($C21="","",'BUDGET COMMESSA'!$D18),"")</f>
        <v/>
      </c>
      <c r="BK21" t="str">
        <f>IF($C21="","",SUMIF('MOVIMENTI 2026'!$B$7:$B$4206,$C21,'MOVIMENTI 2026'!$N$7:$N$4206)+SUMIF('SALDI AL 31.12.2025'!$A$6:$A$505,$C21,'SALDI AL 31.12.2025'!$H$6:$H$505))</f>
        <v/>
      </c>
      <c r="BL21" t="str">
        <f t="shared" si="18"/>
        <v/>
      </c>
      <c r="BM21" t="str">
        <f t="shared" si="19"/>
        <v/>
      </c>
      <c r="BN21" t="str">
        <f t="shared" si="20"/>
        <v/>
      </c>
      <c r="BO21" t="str">
        <f>IFERROR(IF($C21="","",'BUDGET COMMESSA'!$G18),"")</f>
        <v/>
      </c>
      <c r="BP21" t="str">
        <f>IF($C21="","",SUMIF('COSTI DIRETTI'!$C$6:$C$505,$C21,'COSTI DIRETTI'!$H$6:$H$505)+SUMIF('SALDI AL 31.12.2025'!$A$6:$A$505,$C21,'SALDI AL 31.12.2025'!$I$6:$I$505))</f>
        <v/>
      </c>
      <c r="BQ21" t="str">
        <f t="shared" si="21"/>
        <v/>
      </c>
      <c r="BR21" t="str">
        <f t="shared" si="22"/>
        <v/>
      </c>
      <c r="BS21" t="str">
        <f>IF($C21="","",$BK21*PARAMETRI!$B$4+$BP21)</f>
        <v/>
      </c>
      <c r="BT21">
        <f t="shared" si="23"/>
        <v>0</v>
      </c>
      <c r="BU21">
        <f t="shared" si="24"/>
        <v>0</v>
      </c>
      <c r="BV21" t="str">
        <f>IF($C21="","",SUMIF('MOVIMENTI 2026'!$B$7:$B$4206,$C21,'MOVIMENTI 2026'!$P$7:$P$4206)+SUMIF('SALDI AL 31.12.2025'!$A$6:$A$505,$C21,'SALDI AL 31.12.2025'!$G$6:$G$505))</f>
        <v/>
      </c>
    </row>
    <row r="22" spans="1:74" ht="16" x14ac:dyDescent="0.15">
      <c r="A22" s="17" t="str">
        <f>IFERROR(IF($C22="","",IF(OR($BF22&gt;0,$V22&gt;$J22,AND(ISNUMBER($Q22),$Q22&gt;0),AND($BI22&lt;&gt;"",$BI22&lt;-PARAMETRI!$B$6),AND($BM22&lt;&gt;"",$BM22&gt;=1),AND($BN22&lt;&gt;"",$BN22&gt;PARAMETRI!$B$8),AND(ISNUMBER($BR22),$BR22&gt;0)),"CRITICO",IF(OR($AZ22="",LEFT($C22,5)="TEMP",$BJ22="",$BO22="",ANAGRAFICA!$I19="",ANAGRAFICA!$J19="",$Y22="",AND(OR($I22="Finito ritenute non previste",$I22="Finito con sblocco ritenute",$I22="Finito senza sblocco ritenute"),ANAGRAFICA!$K19=""),OR(AND(ANAGRAFICA!$T19&lt;&gt;"",ANAGRAFICA!$J19&lt;&gt;ANAGRAFICA!$T19,OR(ANAGRAFICA!$R19="",ANAGRAFICA!$R19="Nessuna variazione")),AND(ANAGRAFICA!$J19="",ANAGRAFICA!$R19&lt;&gt;"",ANAGRAFICA!$R19&lt;&gt;"Nessuna variazione")),AND($BI22&lt;&gt;"",$BI22&lt;-PARAMETRI!$B$5),AND($BN22&lt;&gt;"",$BN22&gt;PARAMETRI!$B$7),AND($W22&gt;0,$M22&gt;$W22*PARAMETRI!$B$9),AND($O22&gt;0,OR($I22="Finito ritenute non previste",$I22="Finito con sblocco ritenute",$I22="Finito senza sblocco ritenute")),AND($BA22&gt;0,$BO22&gt;0,$BP22=0),AND(OR($I22="Finito ritenute non previste",$I22="Finito con sblocco ritenute",$I22="Finito senza sblocco ritenute"),$W22&gt;0,$N22&gt;$W22*PARAMETRI!$B$9),$V22&gt;0),"ATTENZIONE","REGOLARE"))),"ATTENZIONE")</f>
        <v/>
      </c>
      <c r="B22" s="17" t="str">
        <f>IFERROR(IF($C22="","",IF($BF22&gt;0,"FATTURATO OLTRE VALORE RECUPERABILE; ","")&amp;IF($V22&gt;$J22,"PERDITE ACCETTATE OLTRE CONTRATTO; ","")&amp;IF($V22&gt;0,"PERDITA SAL ACCETTATA (€ "&amp;TEXT($V22,"#,##0.00")&amp;"); ","")&amp;IF(AND(ISNUMBER($Q22),$Q22&gt;0),"RITARDO PRODUTTIVO ("&amp;TEXT($Q22,"0")&amp;" GG); ","")&amp;IF(AND($BI22&lt;&gt;"",$BI22&lt;-PARAMETRI!$B$5),"AVANZAMENTO PIÙ LENTO DEL TEMPO; ","")&amp;IF(AND($BM22&lt;&gt;"",$BM22&gt;1),"ORE OLTRE BUDGET; ","")&amp;IF(AND($BM22&lt;&gt;"",$BM22=1),"ORE PREVENTIVATE ESAURITE; ","")&amp;IF(AND($BN22&lt;&gt;"",$BN22&gt;PARAMETRI!$B$7),"CONSUMO ORE SUPERIORE ALL'AVANZAMENTO; ","")&amp;IF(AND(ISNUMBER($BR22),$BR22&gt;0),"COSTI DIRETTI OLTRE BUDGET; ","")&amp;IF(AND($W22&gt;0,$M22&gt;$W22*PARAMETRI!$B$9),"SAL MATURATO NON FATTURATO; ","")&amp;IF(AND($O22&gt;0,OR($I22="Finito ritenute non previste",$I22="Finito con sblocco ritenute",$I22="Finito senza sblocco ritenute")),"RITENUTE DA SBLOCCARE; ","")&amp;IF(AND($BA22&gt;0,$BO22&gt;0,$BP22=0),"COSTI DIRETTI NON REGISTRATI; ","")&amp;IF(AND(OR($I22="Finito ritenute non previste",$I22="Finito con sblocco ritenute",$I22="Finito senza sblocco ritenute"),$W22&gt;0,$N22&gt;$W22*PARAMETRI!$B$9),"CANTIERE FINITO CON RESIDUO LAVORI; ","")&amp;IF(AND(OR($I22="Finito ritenute non previste",$I22="Finito con sblocco ritenute",$I22="Finito senza sblocco ritenute"),ANAGRAFICA!$K19=""),"DATA FINE EFFETTIVA MANCANTE; ","")&amp;IF(OR(AND(ANAGRAFICA!$T19&lt;&gt;"",ANAGRAFICA!$J19&lt;&gt;ANAGRAFICA!$T19,OR(ANAGRAFICA!$R19="",ANAGRAFICA!$R19="Nessuna variazione")),AND(ANAGRAFICA!$J19="",ANAGRAFICA!$R19&lt;&gt;"",ANAGRAFICA!$R19&lt;&gt;"Nessuna variazione")),"GESTIONE DATA FINE INCOMPLETA; ","")&amp;IF($Y22="","AGGIORNATO AL MANCANTE; ","")&amp;IF(OR($AZ22="",$BJ22="",$BO22="",ANAGRAFICA!$I19="",ANAGRAFICA!$J19=""),"DATI PREVISIONALI INCOMPLETI; ","")&amp;IF(LEFT($C22,5)="TEMP","CODICE COMMESSA TEMPORANEO; ","")),"DATI INCOMPLETI; ")</f>
        <v/>
      </c>
      <c r="C22" s="17" t="str">
        <f>IF(ANAGRAFICA!$B19="","",ANAGRAFICA!$B19)</f>
        <v/>
      </c>
      <c r="D22" s="17" t="str">
        <f>IF($C22="","",ANAGRAFICA!$C19)</f>
        <v/>
      </c>
      <c r="E22" s="17" t="str">
        <f>IF($C22="","",ANAGRAFICA!$D19)</f>
        <v/>
      </c>
      <c r="F22" s="17" t="str">
        <f>IF($C22="","",ANAGRAFICA!$E19)</f>
        <v/>
      </c>
      <c r="G22" s="17" t="str">
        <f>IF($C22="","",ANAGRAFICA!$F19)</f>
        <v/>
      </c>
      <c r="H22" s="17" t="str">
        <f>IF($C22="","",ANAGRAFICA!$G19)</f>
        <v/>
      </c>
      <c r="I22" s="17" t="str">
        <f>IF($C22="","",ANAGRAFICA!$L19)</f>
        <v/>
      </c>
      <c r="J22" s="16" t="str">
        <f t="shared" si="1"/>
        <v/>
      </c>
      <c r="K22" s="16" t="str">
        <f t="shared" si="2"/>
        <v/>
      </c>
      <c r="L22" s="16" t="str">
        <f t="shared" si="3"/>
        <v/>
      </c>
      <c r="M22" s="16" t="str">
        <f t="shared" si="4"/>
        <v/>
      </c>
      <c r="N22" s="16" t="str">
        <f t="shared" si="5"/>
        <v/>
      </c>
      <c r="O22" s="16" t="str">
        <f t="shared" si="6"/>
        <v/>
      </c>
      <c r="P22" s="17" t="str">
        <f t="shared" si="7"/>
        <v/>
      </c>
      <c r="Q22" s="31" t="str">
        <f>IF(OR($C22="",'BUDGET COMMESSA'!$D19="",'BUDGET COMMESSA'!$D19&lt;=0,ANAGRAFICA!$J19=""),"",IF(OR($I22="Finito ritenute non previste",$I22="Finito con sblocco ritenute",$I22="Finito senza sblocco ritenute"),0,IF(AND($BK22&gt;=$BJ22,ANAGRAFICA!$R19="Ritardo produttivo FIDA"),IF(ANAGRAFICA!$T19&lt;&gt;"",MAX(0,ANAGRAFICA!$J19-ANAGRAFICA!$T19),MAX(0,$Y22-ANAGRAFICA!$J19)),0)))</f>
        <v/>
      </c>
      <c r="R22" s="17" t="str">
        <f t="shared" si="8"/>
        <v/>
      </c>
      <c r="S22" s="17" t="str">
        <f t="shared" si="9"/>
        <v/>
      </c>
      <c r="T22" s="17" t="str">
        <f t="shared" si="10"/>
        <v/>
      </c>
      <c r="U22" s="16" t="str">
        <f t="shared" si="11"/>
        <v/>
      </c>
      <c r="V22" s="16" t="str">
        <f t="shared" si="12"/>
        <v/>
      </c>
      <c r="W22" s="16" t="str">
        <f t="shared" si="13"/>
        <v/>
      </c>
      <c r="X22" s="40"/>
      <c r="Y22" s="14"/>
      <c r="AZ22" t="str">
        <f>IF($C22="","",ANAGRAFICA!$P19)</f>
        <v/>
      </c>
      <c r="BA22" t="str">
        <f>IF($C22="","",SUMIF('MOVIMENTI 2026'!$B$7:$B$4206,$C22,'MOVIMENTI 2026'!$I$7:$I$4206)+SUMIF('SALDI AL 31.12.2025'!$A$6:$A$505,$C22,'SALDI AL 31.12.2025'!$C$6:$C$505))</f>
        <v/>
      </c>
      <c r="BB22" t="str">
        <f>IF($C22="","",SUMIF('MOVIMENTI 2026'!$B$7:$B$4206,$C22,'MOVIMENTI 2026'!$J$7:$J$4206)+SUMIF('SALDI AL 31.12.2025'!$A$6:$A$505,$C22,'SALDI AL 31.12.2025'!$D$6:$D$505))</f>
        <v/>
      </c>
      <c r="BC22" t="str">
        <f>IF($C22="","",SUMIF('MOVIMENTI 2026'!$B$7:$B$4206,$C22,'MOVIMENTI 2026'!$K$7:$K$4206)+SUMIF('SALDI AL 31.12.2025'!$A$6:$A$505,$C22,'SALDI AL 31.12.2025'!$E$6:$E$505))</f>
        <v/>
      </c>
      <c r="BD22" t="str">
        <f>IF($C22="","",SUMIF('MOVIMENTI 2026'!$B$7:$B$4206,$C22,'MOVIMENTI 2026'!$L$7:$L$4206)+SUMIF('SALDI AL 31.12.2025'!$A$6:$A$505,$C22,'SALDI AL 31.12.2025'!$F$6:$F$505))</f>
        <v/>
      </c>
      <c r="BE22" t="str">
        <f t="shared" si="14"/>
        <v/>
      </c>
      <c r="BF22" t="str">
        <f t="shared" si="15"/>
        <v/>
      </c>
      <c r="BG22" t="str">
        <f t="shared" si="16"/>
        <v/>
      </c>
      <c r="BH22" t="str">
        <f>IFERROR(IF(OR($C22="",ANAGRAFICA!$I19="",ANAGRAFICA!$J19="",ANAGRAFICA!$J19&lt;=ANAGRAFICA!$I19,$Y22=""),"",IF(OR($I22="Finito ritenute non previste",$I22="Finito con sblocco ritenute",$I22="Finito senza sblocco ritenute"),1,MAX(0,MIN(1,($Y22-ANAGRAFICA!$I19)/(ANAGRAFICA!$J19-ANAGRAFICA!$I19))))),"")</f>
        <v/>
      </c>
      <c r="BI22" t="str">
        <f t="shared" si="17"/>
        <v/>
      </c>
      <c r="BJ22" t="str">
        <f>IFERROR(IF($C22="","",'BUDGET COMMESSA'!$D19),"")</f>
        <v/>
      </c>
      <c r="BK22" t="str">
        <f>IF($C22="","",SUMIF('MOVIMENTI 2026'!$B$7:$B$4206,$C22,'MOVIMENTI 2026'!$N$7:$N$4206)+SUMIF('SALDI AL 31.12.2025'!$A$6:$A$505,$C22,'SALDI AL 31.12.2025'!$H$6:$H$505))</f>
        <v/>
      </c>
      <c r="BL22" t="str">
        <f t="shared" si="18"/>
        <v/>
      </c>
      <c r="BM22" t="str">
        <f t="shared" si="19"/>
        <v/>
      </c>
      <c r="BN22" t="str">
        <f t="shared" si="20"/>
        <v/>
      </c>
      <c r="BO22" t="str">
        <f>IFERROR(IF($C22="","",'BUDGET COMMESSA'!$G19),"")</f>
        <v/>
      </c>
      <c r="BP22" t="str">
        <f>IF($C22="","",SUMIF('COSTI DIRETTI'!$C$6:$C$505,$C22,'COSTI DIRETTI'!$H$6:$H$505)+SUMIF('SALDI AL 31.12.2025'!$A$6:$A$505,$C22,'SALDI AL 31.12.2025'!$I$6:$I$505))</f>
        <v/>
      </c>
      <c r="BQ22" t="str">
        <f t="shared" si="21"/>
        <v/>
      </c>
      <c r="BR22" t="str">
        <f t="shared" si="22"/>
        <v/>
      </c>
      <c r="BS22" t="str">
        <f>IF($C22="","",$BK22*PARAMETRI!$B$4+$BP22)</f>
        <v/>
      </c>
      <c r="BT22">
        <f t="shared" si="23"/>
        <v>0</v>
      </c>
      <c r="BU22">
        <f t="shared" si="24"/>
        <v>0</v>
      </c>
      <c r="BV22" t="str">
        <f>IF($C22="","",SUMIF('MOVIMENTI 2026'!$B$7:$B$4206,$C22,'MOVIMENTI 2026'!$P$7:$P$4206)+SUMIF('SALDI AL 31.12.2025'!$A$6:$A$505,$C22,'SALDI AL 31.12.2025'!$G$6:$G$505))</f>
        <v/>
      </c>
    </row>
    <row r="23" spans="1:74" ht="16" x14ac:dyDescent="0.15">
      <c r="A23" s="17" t="str">
        <f>IFERROR(IF($C23="","",IF(OR($BF23&gt;0,$V23&gt;$J23,AND(ISNUMBER($Q23),$Q23&gt;0),AND($BI23&lt;&gt;"",$BI23&lt;-PARAMETRI!$B$6),AND($BM23&lt;&gt;"",$BM23&gt;=1),AND($BN23&lt;&gt;"",$BN23&gt;PARAMETRI!$B$8),AND(ISNUMBER($BR23),$BR23&gt;0)),"CRITICO",IF(OR($AZ23="",LEFT($C23,5)="TEMP",$BJ23="",$BO23="",ANAGRAFICA!$I20="",ANAGRAFICA!$J20="",$Y23="",AND(OR($I23="Finito ritenute non previste",$I23="Finito con sblocco ritenute",$I23="Finito senza sblocco ritenute"),ANAGRAFICA!$K20=""),OR(AND(ANAGRAFICA!$T20&lt;&gt;"",ANAGRAFICA!$J20&lt;&gt;ANAGRAFICA!$T20,OR(ANAGRAFICA!$R20="",ANAGRAFICA!$R20="Nessuna variazione")),AND(ANAGRAFICA!$J20="",ANAGRAFICA!$R20&lt;&gt;"",ANAGRAFICA!$R20&lt;&gt;"Nessuna variazione")),AND($BI23&lt;&gt;"",$BI23&lt;-PARAMETRI!$B$5),AND($BN23&lt;&gt;"",$BN23&gt;PARAMETRI!$B$7),AND($W23&gt;0,$M23&gt;$W23*PARAMETRI!$B$9),AND($O23&gt;0,OR($I23="Finito ritenute non previste",$I23="Finito con sblocco ritenute",$I23="Finito senza sblocco ritenute")),AND($BA23&gt;0,$BO23&gt;0,$BP23=0),AND(OR($I23="Finito ritenute non previste",$I23="Finito con sblocco ritenute",$I23="Finito senza sblocco ritenute"),$W23&gt;0,$N23&gt;$W23*PARAMETRI!$B$9),$V23&gt;0),"ATTENZIONE","REGOLARE"))),"ATTENZIONE")</f>
        <v/>
      </c>
      <c r="B23" s="17" t="str">
        <f>IFERROR(IF($C23="","",IF($BF23&gt;0,"FATTURATO OLTRE VALORE RECUPERABILE; ","")&amp;IF($V23&gt;$J23,"PERDITE ACCETTATE OLTRE CONTRATTO; ","")&amp;IF($V23&gt;0,"PERDITA SAL ACCETTATA (€ "&amp;TEXT($V23,"#,##0.00")&amp;"); ","")&amp;IF(AND(ISNUMBER($Q23),$Q23&gt;0),"RITARDO PRODUTTIVO ("&amp;TEXT($Q23,"0")&amp;" GG); ","")&amp;IF(AND($BI23&lt;&gt;"",$BI23&lt;-PARAMETRI!$B$5),"AVANZAMENTO PIÙ LENTO DEL TEMPO; ","")&amp;IF(AND($BM23&lt;&gt;"",$BM23&gt;1),"ORE OLTRE BUDGET; ","")&amp;IF(AND($BM23&lt;&gt;"",$BM23=1),"ORE PREVENTIVATE ESAURITE; ","")&amp;IF(AND($BN23&lt;&gt;"",$BN23&gt;PARAMETRI!$B$7),"CONSUMO ORE SUPERIORE ALL'AVANZAMENTO; ","")&amp;IF(AND(ISNUMBER($BR23),$BR23&gt;0),"COSTI DIRETTI OLTRE BUDGET; ","")&amp;IF(AND($W23&gt;0,$M23&gt;$W23*PARAMETRI!$B$9),"SAL MATURATO NON FATTURATO; ","")&amp;IF(AND($O23&gt;0,OR($I23="Finito ritenute non previste",$I23="Finito con sblocco ritenute",$I23="Finito senza sblocco ritenute")),"RITENUTE DA SBLOCCARE; ","")&amp;IF(AND($BA23&gt;0,$BO23&gt;0,$BP23=0),"COSTI DIRETTI NON REGISTRATI; ","")&amp;IF(AND(OR($I23="Finito ritenute non previste",$I23="Finito con sblocco ritenute",$I23="Finito senza sblocco ritenute"),$W23&gt;0,$N23&gt;$W23*PARAMETRI!$B$9),"CANTIERE FINITO CON RESIDUO LAVORI; ","")&amp;IF(AND(OR($I23="Finito ritenute non previste",$I23="Finito con sblocco ritenute",$I23="Finito senza sblocco ritenute"),ANAGRAFICA!$K20=""),"DATA FINE EFFETTIVA MANCANTE; ","")&amp;IF(OR(AND(ANAGRAFICA!$T20&lt;&gt;"",ANAGRAFICA!$J20&lt;&gt;ANAGRAFICA!$T20,OR(ANAGRAFICA!$R20="",ANAGRAFICA!$R20="Nessuna variazione")),AND(ANAGRAFICA!$J20="",ANAGRAFICA!$R20&lt;&gt;"",ANAGRAFICA!$R20&lt;&gt;"Nessuna variazione")),"GESTIONE DATA FINE INCOMPLETA; ","")&amp;IF($Y23="","AGGIORNATO AL MANCANTE; ","")&amp;IF(OR($AZ23="",$BJ23="",$BO23="",ANAGRAFICA!$I20="",ANAGRAFICA!$J20=""),"DATI PREVISIONALI INCOMPLETI; ","")&amp;IF(LEFT($C23,5)="TEMP","CODICE COMMESSA TEMPORANEO; ","")),"DATI INCOMPLETI; ")</f>
        <v/>
      </c>
      <c r="C23" s="17" t="str">
        <f>IF(ANAGRAFICA!$B20="","",ANAGRAFICA!$B20)</f>
        <v/>
      </c>
      <c r="D23" s="17" t="str">
        <f>IF($C23="","",ANAGRAFICA!$C20)</f>
        <v/>
      </c>
      <c r="E23" s="17" t="str">
        <f>IF($C23="","",ANAGRAFICA!$D20)</f>
        <v/>
      </c>
      <c r="F23" s="17" t="str">
        <f>IF($C23="","",ANAGRAFICA!$E20)</f>
        <v/>
      </c>
      <c r="G23" s="17" t="str">
        <f>IF($C23="","",ANAGRAFICA!$F20)</f>
        <v/>
      </c>
      <c r="H23" s="17" t="str">
        <f>IF($C23="","",ANAGRAFICA!$G20)</f>
        <v/>
      </c>
      <c r="I23" s="17" t="str">
        <f>IF($C23="","",ANAGRAFICA!$L20)</f>
        <v/>
      </c>
      <c r="J23" s="16" t="str">
        <f t="shared" si="1"/>
        <v/>
      </c>
      <c r="K23" s="16" t="str">
        <f t="shared" si="2"/>
        <v/>
      </c>
      <c r="L23" s="16" t="str">
        <f t="shared" si="3"/>
        <v/>
      </c>
      <c r="M23" s="16" t="str">
        <f t="shared" si="4"/>
        <v/>
      </c>
      <c r="N23" s="16" t="str">
        <f t="shared" si="5"/>
        <v/>
      </c>
      <c r="O23" s="16" t="str">
        <f t="shared" si="6"/>
        <v/>
      </c>
      <c r="P23" s="17" t="str">
        <f t="shared" si="7"/>
        <v/>
      </c>
      <c r="Q23" s="31" t="str">
        <f>IF(OR($C23="",'BUDGET COMMESSA'!$D20="",'BUDGET COMMESSA'!$D20&lt;=0,ANAGRAFICA!$J20=""),"",IF(OR($I23="Finito ritenute non previste",$I23="Finito con sblocco ritenute",$I23="Finito senza sblocco ritenute"),0,IF(AND($BK23&gt;=$BJ23,ANAGRAFICA!$R20="Ritardo produttivo FIDA"),IF(ANAGRAFICA!$T20&lt;&gt;"",MAX(0,ANAGRAFICA!$J20-ANAGRAFICA!$T20),MAX(0,$Y23-ANAGRAFICA!$J20)),0)))</f>
        <v/>
      </c>
      <c r="R23" s="17" t="str">
        <f t="shared" si="8"/>
        <v/>
      </c>
      <c r="S23" s="17" t="str">
        <f t="shared" si="9"/>
        <v/>
      </c>
      <c r="T23" s="17" t="str">
        <f t="shared" si="10"/>
        <v/>
      </c>
      <c r="U23" s="16" t="str">
        <f t="shared" si="11"/>
        <v/>
      </c>
      <c r="V23" s="16" t="str">
        <f t="shared" si="12"/>
        <v/>
      </c>
      <c r="W23" s="16" t="str">
        <f t="shared" si="13"/>
        <v/>
      </c>
      <c r="X23" s="40"/>
      <c r="Y23" s="14"/>
      <c r="AZ23" t="str">
        <f>IF($C23="","",ANAGRAFICA!$P20)</f>
        <v/>
      </c>
      <c r="BA23" t="str">
        <f>IF($C23="","",SUMIF('MOVIMENTI 2026'!$B$7:$B$4206,$C23,'MOVIMENTI 2026'!$I$7:$I$4206)+SUMIF('SALDI AL 31.12.2025'!$A$6:$A$505,$C23,'SALDI AL 31.12.2025'!$C$6:$C$505))</f>
        <v/>
      </c>
      <c r="BB23" t="str">
        <f>IF($C23="","",SUMIF('MOVIMENTI 2026'!$B$7:$B$4206,$C23,'MOVIMENTI 2026'!$J$7:$J$4206)+SUMIF('SALDI AL 31.12.2025'!$A$6:$A$505,$C23,'SALDI AL 31.12.2025'!$D$6:$D$505))</f>
        <v/>
      </c>
      <c r="BC23" t="str">
        <f>IF($C23="","",SUMIF('MOVIMENTI 2026'!$B$7:$B$4206,$C23,'MOVIMENTI 2026'!$K$7:$K$4206)+SUMIF('SALDI AL 31.12.2025'!$A$6:$A$505,$C23,'SALDI AL 31.12.2025'!$E$6:$E$505))</f>
        <v/>
      </c>
      <c r="BD23" t="str">
        <f>IF($C23="","",SUMIF('MOVIMENTI 2026'!$B$7:$B$4206,$C23,'MOVIMENTI 2026'!$L$7:$L$4206)+SUMIF('SALDI AL 31.12.2025'!$A$6:$A$505,$C23,'SALDI AL 31.12.2025'!$F$6:$F$505))</f>
        <v/>
      </c>
      <c r="BE23" t="str">
        <f t="shared" si="14"/>
        <v/>
      </c>
      <c r="BF23" t="str">
        <f t="shared" si="15"/>
        <v/>
      </c>
      <c r="BG23" t="str">
        <f t="shared" si="16"/>
        <v/>
      </c>
      <c r="BH23" t="str">
        <f>IFERROR(IF(OR($C23="",ANAGRAFICA!$I20="",ANAGRAFICA!$J20="",ANAGRAFICA!$J20&lt;=ANAGRAFICA!$I20,$Y23=""),"",IF(OR($I23="Finito ritenute non previste",$I23="Finito con sblocco ritenute",$I23="Finito senza sblocco ritenute"),1,MAX(0,MIN(1,($Y23-ANAGRAFICA!$I20)/(ANAGRAFICA!$J20-ANAGRAFICA!$I20))))),"")</f>
        <v/>
      </c>
      <c r="BI23" t="str">
        <f t="shared" si="17"/>
        <v/>
      </c>
      <c r="BJ23" t="str">
        <f>IFERROR(IF($C23="","",'BUDGET COMMESSA'!$D20),"")</f>
        <v/>
      </c>
      <c r="BK23" t="str">
        <f>IF($C23="","",SUMIF('MOVIMENTI 2026'!$B$7:$B$4206,$C23,'MOVIMENTI 2026'!$N$7:$N$4206)+SUMIF('SALDI AL 31.12.2025'!$A$6:$A$505,$C23,'SALDI AL 31.12.2025'!$H$6:$H$505))</f>
        <v/>
      </c>
      <c r="BL23" t="str">
        <f t="shared" si="18"/>
        <v/>
      </c>
      <c r="BM23" t="str">
        <f t="shared" si="19"/>
        <v/>
      </c>
      <c r="BN23" t="str">
        <f t="shared" si="20"/>
        <v/>
      </c>
      <c r="BO23" t="str">
        <f>IFERROR(IF($C23="","",'BUDGET COMMESSA'!$G20),"")</f>
        <v/>
      </c>
      <c r="BP23" t="str">
        <f>IF($C23="","",SUMIF('COSTI DIRETTI'!$C$6:$C$505,$C23,'COSTI DIRETTI'!$H$6:$H$505)+SUMIF('SALDI AL 31.12.2025'!$A$6:$A$505,$C23,'SALDI AL 31.12.2025'!$I$6:$I$505))</f>
        <v/>
      </c>
      <c r="BQ23" t="str">
        <f t="shared" si="21"/>
        <v/>
      </c>
      <c r="BR23" t="str">
        <f t="shared" si="22"/>
        <v/>
      </c>
      <c r="BS23" t="str">
        <f>IF($C23="","",$BK23*PARAMETRI!$B$4+$BP23)</f>
        <v/>
      </c>
      <c r="BT23">
        <f t="shared" si="23"/>
        <v>0</v>
      </c>
      <c r="BU23">
        <f t="shared" si="24"/>
        <v>0</v>
      </c>
      <c r="BV23" t="str">
        <f>IF($C23="","",SUMIF('MOVIMENTI 2026'!$B$7:$B$4206,$C23,'MOVIMENTI 2026'!$P$7:$P$4206)+SUMIF('SALDI AL 31.12.2025'!$A$6:$A$505,$C23,'SALDI AL 31.12.2025'!$G$6:$G$505))</f>
        <v/>
      </c>
    </row>
    <row r="24" spans="1:74" ht="16" x14ac:dyDescent="0.15">
      <c r="A24" s="17" t="str">
        <f>IFERROR(IF($C24="","",IF(OR($BF24&gt;0,$V24&gt;$J24,AND(ISNUMBER($Q24),$Q24&gt;0),AND($BI24&lt;&gt;"",$BI24&lt;-PARAMETRI!$B$6),AND($BM24&lt;&gt;"",$BM24&gt;=1),AND($BN24&lt;&gt;"",$BN24&gt;PARAMETRI!$B$8),AND(ISNUMBER($BR24),$BR24&gt;0)),"CRITICO",IF(OR($AZ24="",LEFT($C24,5)="TEMP",$BJ24="",$BO24="",ANAGRAFICA!$I21="",ANAGRAFICA!$J21="",$Y24="",AND(OR($I24="Finito ritenute non previste",$I24="Finito con sblocco ritenute",$I24="Finito senza sblocco ritenute"),ANAGRAFICA!$K21=""),OR(AND(ANAGRAFICA!$T21&lt;&gt;"",ANAGRAFICA!$J21&lt;&gt;ANAGRAFICA!$T21,OR(ANAGRAFICA!$R21="",ANAGRAFICA!$R21="Nessuna variazione")),AND(ANAGRAFICA!$J21="",ANAGRAFICA!$R21&lt;&gt;"",ANAGRAFICA!$R21&lt;&gt;"Nessuna variazione")),AND($BI24&lt;&gt;"",$BI24&lt;-PARAMETRI!$B$5),AND($BN24&lt;&gt;"",$BN24&gt;PARAMETRI!$B$7),AND($W24&gt;0,$M24&gt;$W24*PARAMETRI!$B$9),AND($O24&gt;0,OR($I24="Finito ritenute non previste",$I24="Finito con sblocco ritenute",$I24="Finito senza sblocco ritenute")),AND($BA24&gt;0,$BO24&gt;0,$BP24=0),AND(OR($I24="Finito ritenute non previste",$I24="Finito con sblocco ritenute",$I24="Finito senza sblocco ritenute"),$W24&gt;0,$N24&gt;$W24*PARAMETRI!$B$9),$V24&gt;0),"ATTENZIONE","REGOLARE"))),"ATTENZIONE")</f>
        <v/>
      </c>
      <c r="B24" s="17" t="str">
        <f>IFERROR(IF($C24="","",IF($BF24&gt;0,"FATTURATO OLTRE VALORE RECUPERABILE; ","")&amp;IF($V24&gt;$J24,"PERDITE ACCETTATE OLTRE CONTRATTO; ","")&amp;IF($V24&gt;0,"PERDITA SAL ACCETTATA (€ "&amp;TEXT($V24,"#,##0.00")&amp;"); ","")&amp;IF(AND(ISNUMBER($Q24),$Q24&gt;0),"RITARDO PRODUTTIVO ("&amp;TEXT($Q24,"0")&amp;" GG); ","")&amp;IF(AND($BI24&lt;&gt;"",$BI24&lt;-PARAMETRI!$B$5),"AVANZAMENTO PIÙ LENTO DEL TEMPO; ","")&amp;IF(AND($BM24&lt;&gt;"",$BM24&gt;1),"ORE OLTRE BUDGET; ","")&amp;IF(AND($BM24&lt;&gt;"",$BM24=1),"ORE PREVENTIVATE ESAURITE; ","")&amp;IF(AND($BN24&lt;&gt;"",$BN24&gt;PARAMETRI!$B$7),"CONSUMO ORE SUPERIORE ALL'AVANZAMENTO; ","")&amp;IF(AND(ISNUMBER($BR24),$BR24&gt;0),"COSTI DIRETTI OLTRE BUDGET; ","")&amp;IF(AND($W24&gt;0,$M24&gt;$W24*PARAMETRI!$B$9),"SAL MATURATO NON FATTURATO; ","")&amp;IF(AND($O24&gt;0,OR($I24="Finito ritenute non previste",$I24="Finito con sblocco ritenute",$I24="Finito senza sblocco ritenute")),"RITENUTE DA SBLOCCARE; ","")&amp;IF(AND($BA24&gt;0,$BO24&gt;0,$BP24=0),"COSTI DIRETTI NON REGISTRATI; ","")&amp;IF(AND(OR($I24="Finito ritenute non previste",$I24="Finito con sblocco ritenute",$I24="Finito senza sblocco ritenute"),$W24&gt;0,$N24&gt;$W24*PARAMETRI!$B$9),"CANTIERE FINITO CON RESIDUO LAVORI; ","")&amp;IF(AND(OR($I24="Finito ritenute non previste",$I24="Finito con sblocco ritenute",$I24="Finito senza sblocco ritenute"),ANAGRAFICA!$K21=""),"DATA FINE EFFETTIVA MANCANTE; ","")&amp;IF(OR(AND(ANAGRAFICA!$T21&lt;&gt;"",ANAGRAFICA!$J21&lt;&gt;ANAGRAFICA!$T21,OR(ANAGRAFICA!$R21="",ANAGRAFICA!$R21="Nessuna variazione")),AND(ANAGRAFICA!$J21="",ANAGRAFICA!$R21&lt;&gt;"",ANAGRAFICA!$R21&lt;&gt;"Nessuna variazione")),"GESTIONE DATA FINE INCOMPLETA; ","")&amp;IF($Y24="","AGGIORNATO AL MANCANTE; ","")&amp;IF(OR($AZ24="",$BJ24="",$BO24="",ANAGRAFICA!$I21="",ANAGRAFICA!$J21=""),"DATI PREVISIONALI INCOMPLETI; ","")&amp;IF(LEFT($C24,5)="TEMP","CODICE COMMESSA TEMPORANEO; ","")),"DATI INCOMPLETI; ")</f>
        <v/>
      </c>
      <c r="C24" s="17" t="str">
        <f>IF(ANAGRAFICA!$B21="","",ANAGRAFICA!$B21)</f>
        <v/>
      </c>
      <c r="D24" s="17" t="str">
        <f>IF($C24="","",ANAGRAFICA!$C21)</f>
        <v/>
      </c>
      <c r="E24" s="17" t="str">
        <f>IF($C24="","",ANAGRAFICA!$D21)</f>
        <v/>
      </c>
      <c r="F24" s="17" t="str">
        <f>IF($C24="","",ANAGRAFICA!$E21)</f>
        <v/>
      </c>
      <c r="G24" s="17" t="str">
        <f>IF($C24="","",ANAGRAFICA!$F21)</f>
        <v/>
      </c>
      <c r="H24" s="17" t="str">
        <f>IF($C24="","",ANAGRAFICA!$G21)</f>
        <v/>
      </c>
      <c r="I24" s="17" t="str">
        <f>IF($C24="","",ANAGRAFICA!$L21)</f>
        <v/>
      </c>
      <c r="J24" s="16" t="str">
        <f t="shared" si="1"/>
        <v/>
      </c>
      <c r="K24" s="16" t="str">
        <f t="shared" si="2"/>
        <v/>
      </c>
      <c r="L24" s="16" t="str">
        <f t="shared" si="3"/>
        <v/>
      </c>
      <c r="M24" s="16" t="str">
        <f t="shared" si="4"/>
        <v/>
      </c>
      <c r="N24" s="16" t="str">
        <f t="shared" si="5"/>
        <v/>
      </c>
      <c r="O24" s="16" t="str">
        <f t="shared" si="6"/>
        <v/>
      </c>
      <c r="P24" s="17" t="str">
        <f t="shared" si="7"/>
        <v/>
      </c>
      <c r="Q24" s="31" t="str">
        <f>IF(OR($C24="",'BUDGET COMMESSA'!$D21="",'BUDGET COMMESSA'!$D21&lt;=0,ANAGRAFICA!$J21=""),"",IF(OR($I24="Finito ritenute non previste",$I24="Finito con sblocco ritenute",$I24="Finito senza sblocco ritenute"),0,IF(AND($BK24&gt;=$BJ24,ANAGRAFICA!$R21="Ritardo produttivo FIDA"),IF(ANAGRAFICA!$T21&lt;&gt;"",MAX(0,ANAGRAFICA!$J21-ANAGRAFICA!$T21),MAX(0,$Y24-ANAGRAFICA!$J21)),0)))</f>
        <v/>
      </c>
      <c r="R24" s="17" t="str">
        <f t="shared" si="8"/>
        <v/>
      </c>
      <c r="S24" s="17" t="str">
        <f t="shared" si="9"/>
        <v/>
      </c>
      <c r="T24" s="17" t="str">
        <f t="shared" si="10"/>
        <v/>
      </c>
      <c r="U24" s="16" t="str">
        <f t="shared" si="11"/>
        <v/>
      </c>
      <c r="V24" s="16" t="str">
        <f t="shared" si="12"/>
        <v/>
      </c>
      <c r="W24" s="16" t="str">
        <f t="shared" si="13"/>
        <v/>
      </c>
      <c r="X24" s="40"/>
      <c r="Y24" s="14"/>
      <c r="AZ24" t="str">
        <f>IF($C24="","",ANAGRAFICA!$P21)</f>
        <v/>
      </c>
      <c r="BA24" t="str">
        <f>IF($C24="","",SUMIF('MOVIMENTI 2026'!$B$7:$B$4206,$C24,'MOVIMENTI 2026'!$I$7:$I$4206)+SUMIF('SALDI AL 31.12.2025'!$A$6:$A$505,$C24,'SALDI AL 31.12.2025'!$C$6:$C$505))</f>
        <v/>
      </c>
      <c r="BB24" t="str">
        <f>IF($C24="","",SUMIF('MOVIMENTI 2026'!$B$7:$B$4206,$C24,'MOVIMENTI 2026'!$J$7:$J$4206)+SUMIF('SALDI AL 31.12.2025'!$A$6:$A$505,$C24,'SALDI AL 31.12.2025'!$D$6:$D$505))</f>
        <v/>
      </c>
      <c r="BC24" t="str">
        <f>IF($C24="","",SUMIF('MOVIMENTI 2026'!$B$7:$B$4206,$C24,'MOVIMENTI 2026'!$K$7:$K$4206)+SUMIF('SALDI AL 31.12.2025'!$A$6:$A$505,$C24,'SALDI AL 31.12.2025'!$E$6:$E$505))</f>
        <v/>
      </c>
      <c r="BD24" t="str">
        <f>IF($C24="","",SUMIF('MOVIMENTI 2026'!$B$7:$B$4206,$C24,'MOVIMENTI 2026'!$L$7:$L$4206)+SUMIF('SALDI AL 31.12.2025'!$A$6:$A$505,$C24,'SALDI AL 31.12.2025'!$F$6:$F$505))</f>
        <v/>
      </c>
      <c r="BE24" t="str">
        <f t="shared" si="14"/>
        <v/>
      </c>
      <c r="BF24" t="str">
        <f t="shared" si="15"/>
        <v/>
      </c>
      <c r="BG24" t="str">
        <f t="shared" si="16"/>
        <v/>
      </c>
      <c r="BH24" t="str">
        <f>IFERROR(IF(OR($C24="",ANAGRAFICA!$I21="",ANAGRAFICA!$J21="",ANAGRAFICA!$J21&lt;=ANAGRAFICA!$I21,$Y24=""),"",IF(OR($I24="Finito ritenute non previste",$I24="Finito con sblocco ritenute",$I24="Finito senza sblocco ritenute"),1,MAX(0,MIN(1,($Y24-ANAGRAFICA!$I21)/(ANAGRAFICA!$J21-ANAGRAFICA!$I21))))),"")</f>
        <v/>
      </c>
      <c r="BI24" t="str">
        <f t="shared" si="17"/>
        <v/>
      </c>
      <c r="BJ24" t="str">
        <f>IFERROR(IF($C24="","",'BUDGET COMMESSA'!$D21),"")</f>
        <v/>
      </c>
      <c r="BK24" t="str">
        <f>IF($C24="","",SUMIF('MOVIMENTI 2026'!$B$7:$B$4206,$C24,'MOVIMENTI 2026'!$N$7:$N$4206)+SUMIF('SALDI AL 31.12.2025'!$A$6:$A$505,$C24,'SALDI AL 31.12.2025'!$H$6:$H$505))</f>
        <v/>
      </c>
      <c r="BL24" t="str">
        <f t="shared" si="18"/>
        <v/>
      </c>
      <c r="BM24" t="str">
        <f t="shared" si="19"/>
        <v/>
      </c>
      <c r="BN24" t="str">
        <f t="shared" si="20"/>
        <v/>
      </c>
      <c r="BO24" t="str">
        <f>IFERROR(IF($C24="","",'BUDGET COMMESSA'!$G21),"")</f>
        <v/>
      </c>
      <c r="BP24" t="str">
        <f>IF($C24="","",SUMIF('COSTI DIRETTI'!$C$6:$C$505,$C24,'COSTI DIRETTI'!$H$6:$H$505)+SUMIF('SALDI AL 31.12.2025'!$A$6:$A$505,$C24,'SALDI AL 31.12.2025'!$I$6:$I$505))</f>
        <v/>
      </c>
      <c r="BQ24" t="str">
        <f t="shared" si="21"/>
        <v/>
      </c>
      <c r="BR24" t="str">
        <f t="shared" si="22"/>
        <v/>
      </c>
      <c r="BS24" t="str">
        <f>IF($C24="","",$BK24*PARAMETRI!$B$4+$BP24)</f>
        <v/>
      </c>
      <c r="BT24">
        <f t="shared" si="23"/>
        <v>0</v>
      </c>
      <c r="BU24">
        <f t="shared" si="24"/>
        <v>0</v>
      </c>
      <c r="BV24" t="str">
        <f>IF($C24="","",SUMIF('MOVIMENTI 2026'!$B$7:$B$4206,$C24,'MOVIMENTI 2026'!$P$7:$P$4206)+SUMIF('SALDI AL 31.12.2025'!$A$6:$A$505,$C24,'SALDI AL 31.12.2025'!$G$6:$G$505))</f>
        <v/>
      </c>
    </row>
    <row r="25" spans="1:74" ht="16" x14ac:dyDescent="0.15">
      <c r="A25" s="17" t="str">
        <f>IFERROR(IF($C25="","",IF(OR($BF25&gt;0,$V25&gt;$J25,AND(ISNUMBER($Q25),$Q25&gt;0),AND($BI25&lt;&gt;"",$BI25&lt;-PARAMETRI!$B$6),AND($BM25&lt;&gt;"",$BM25&gt;=1),AND($BN25&lt;&gt;"",$BN25&gt;PARAMETRI!$B$8),AND(ISNUMBER($BR25),$BR25&gt;0)),"CRITICO",IF(OR($AZ25="",LEFT($C25,5)="TEMP",$BJ25="",$BO25="",ANAGRAFICA!$I22="",ANAGRAFICA!$J22="",$Y25="",AND(OR($I25="Finito ritenute non previste",$I25="Finito con sblocco ritenute",$I25="Finito senza sblocco ritenute"),ANAGRAFICA!$K22=""),OR(AND(ANAGRAFICA!$T22&lt;&gt;"",ANAGRAFICA!$J22&lt;&gt;ANAGRAFICA!$T22,OR(ANAGRAFICA!$R22="",ANAGRAFICA!$R22="Nessuna variazione")),AND(ANAGRAFICA!$J22="",ANAGRAFICA!$R22&lt;&gt;"",ANAGRAFICA!$R22&lt;&gt;"Nessuna variazione")),AND($BI25&lt;&gt;"",$BI25&lt;-PARAMETRI!$B$5),AND($BN25&lt;&gt;"",$BN25&gt;PARAMETRI!$B$7),AND($W25&gt;0,$M25&gt;$W25*PARAMETRI!$B$9),AND($O25&gt;0,OR($I25="Finito ritenute non previste",$I25="Finito con sblocco ritenute",$I25="Finito senza sblocco ritenute")),AND($BA25&gt;0,$BO25&gt;0,$BP25=0),AND(OR($I25="Finito ritenute non previste",$I25="Finito con sblocco ritenute",$I25="Finito senza sblocco ritenute"),$W25&gt;0,$N25&gt;$W25*PARAMETRI!$B$9),$V25&gt;0),"ATTENZIONE","REGOLARE"))),"ATTENZIONE")</f>
        <v/>
      </c>
      <c r="B25" s="17" t="str">
        <f>IFERROR(IF($C25="","",IF($BF25&gt;0,"FATTURATO OLTRE VALORE RECUPERABILE; ","")&amp;IF($V25&gt;$J25,"PERDITE ACCETTATE OLTRE CONTRATTO; ","")&amp;IF($V25&gt;0,"PERDITA SAL ACCETTATA (€ "&amp;TEXT($V25,"#,##0.00")&amp;"); ","")&amp;IF(AND(ISNUMBER($Q25),$Q25&gt;0),"RITARDO PRODUTTIVO ("&amp;TEXT($Q25,"0")&amp;" GG); ","")&amp;IF(AND($BI25&lt;&gt;"",$BI25&lt;-PARAMETRI!$B$5),"AVANZAMENTO PIÙ LENTO DEL TEMPO; ","")&amp;IF(AND($BM25&lt;&gt;"",$BM25&gt;1),"ORE OLTRE BUDGET; ","")&amp;IF(AND($BM25&lt;&gt;"",$BM25=1),"ORE PREVENTIVATE ESAURITE; ","")&amp;IF(AND($BN25&lt;&gt;"",$BN25&gt;PARAMETRI!$B$7),"CONSUMO ORE SUPERIORE ALL'AVANZAMENTO; ","")&amp;IF(AND(ISNUMBER($BR25),$BR25&gt;0),"COSTI DIRETTI OLTRE BUDGET; ","")&amp;IF(AND($W25&gt;0,$M25&gt;$W25*PARAMETRI!$B$9),"SAL MATURATO NON FATTURATO; ","")&amp;IF(AND($O25&gt;0,OR($I25="Finito ritenute non previste",$I25="Finito con sblocco ritenute",$I25="Finito senza sblocco ritenute")),"RITENUTE DA SBLOCCARE; ","")&amp;IF(AND($BA25&gt;0,$BO25&gt;0,$BP25=0),"COSTI DIRETTI NON REGISTRATI; ","")&amp;IF(AND(OR($I25="Finito ritenute non previste",$I25="Finito con sblocco ritenute",$I25="Finito senza sblocco ritenute"),$W25&gt;0,$N25&gt;$W25*PARAMETRI!$B$9),"CANTIERE FINITO CON RESIDUO LAVORI; ","")&amp;IF(AND(OR($I25="Finito ritenute non previste",$I25="Finito con sblocco ritenute",$I25="Finito senza sblocco ritenute"),ANAGRAFICA!$K22=""),"DATA FINE EFFETTIVA MANCANTE; ","")&amp;IF(OR(AND(ANAGRAFICA!$T22&lt;&gt;"",ANAGRAFICA!$J22&lt;&gt;ANAGRAFICA!$T22,OR(ANAGRAFICA!$R22="",ANAGRAFICA!$R22="Nessuna variazione")),AND(ANAGRAFICA!$J22="",ANAGRAFICA!$R22&lt;&gt;"",ANAGRAFICA!$R22&lt;&gt;"Nessuna variazione")),"GESTIONE DATA FINE INCOMPLETA; ","")&amp;IF($Y25="","AGGIORNATO AL MANCANTE; ","")&amp;IF(OR($AZ25="",$BJ25="",$BO25="",ANAGRAFICA!$I22="",ANAGRAFICA!$J22=""),"DATI PREVISIONALI INCOMPLETI; ","")&amp;IF(LEFT($C25,5)="TEMP","CODICE COMMESSA TEMPORANEO; ","")),"DATI INCOMPLETI; ")</f>
        <v/>
      </c>
      <c r="C25" s="17" t="str">
        <f>IF(ANAGRAFICA!$B22="","",ANAGRAFICA!$B22)</f>
        <v/>
      </c>
      <c r="D25" s="17" t="str">
        <f>IF($C25="","",ANAGRAFICA!$C22)</f>
        <v/>
      </c>
      <c r="E25" s="17" t="str">
        <f>IF($C25="","",ANAGRAFICA!$D22)</f>
        <v/>
      </c>
      <c r="F25" s="17" t="str">
        <f>IF($C25="","",ANAGRAFICA!$E22)</f>
        <v/>
      </c>
      <c r="G25" s="17" t="str">
        <f>IF($C25="","",ANAGRAFICA!$F22)</f>
        <v/>
      </c>
      <c r="H25" s="17" t="str">
        <f>IF($C25="","",ANAGRAFICA!$G22)</f>
        <v/>
      </c>
      <c r="I25" s="17" t="str">
        <f>IF($C25="","",ANAGRAFICA!$L22)</f>
        <v/>
      </c>
      <c r="J25" s="16" t="str">
        <f t="shared" si="1"/>
        <v/>
      </c>
      <c r="K25" s="16" t="str">
        <f t="shared" si="2"/>
        <v/>
      </c>
      <c r="L25" s="16" t="str">
        <f t="shared" si="3"/>
        <v/>
      </c>
      <c r="M25" s="16" t="str">
        <f t="shared" si="4"/>
        <v/>
      </c>
      <c r="N25" s="16" t="str">
        <f t="shared" si="5"/>
        <v/>
      </c>
      <c r="O25" s="16" t="str">
        <f t="shared" si="6"/>
        <v/>
      </c>
      <c r="P25" s="17" t="str">
        <f t="shared" si="7"/>
        <v/>
      </c>
      <c r="Q25" s="31" t="str">
        <f>IF(OR($C25="",'BUDGET COMMESSA'!$D22="",'BUDGET COMMESSA'!$D22&lt;=0,ANAGRAFICA!$J22=""),"",IF(OR($I25="Finito ritenute non previste",$I25="Finito con sblocco ritenute",$I25="Finito senza sblocco ritenute"),0,IF(AND($BK25&gt;=$BJ25,ANAGRAFICA!$R22="Ritardo produttivo FIDA"),IF(ANAGRAFICA!$T22&lt;&gt;"",MAX(0,ANAGRAFICA!$J22-ANAGRAFICA!$T22),MAX(0,$Y25-ANAGRAFICA!$J22)),0)))</f>
        <v/>
      </c>
      <c r="R25" s="17" t="str">
        <f t="shared" si="8"/>
        <v/>
      </c>
      <c r="S25" s="17" t="str">
        <f t="shared" si="9"/>
        <v/>
      </c>
      <c r="T25" s="17" t="str">
        <f t="shared" si="10"/>
        <v/>
      </c>
      <c r="U25" s="16" t="str">
        <f t="shared" si="11"/>
        <v/>
      </c>
      <c r="V25" s="16" t="str">
        <f t="shared" si="12"/>
        <v/>
      </c>
      <c r="W25" s="16" t="str">
        <f t="shared" si="13"/>
        <v/>
      </c>
      <c r="X25" s="40"/>
      <c r="Y25" s="14"/>
      <c r="AZ25" t="str">
        <f>IF($C25="","",ANAGRAFICA!$P22)</f>
        <v/>
      </c>
      <c r="BA25" t="str">
        <f>IF($C25="","",SUMIF('MOVIMENTI 2026'!$B$7:$B$4206,$C25,'MOVIMENTI 2026'!$I$7:$I$4206)+SUMIF('SALDI AL 31.12.2025'!$A$6:$A$505,$C25,'SALDI AL 31.12.2025'!$C$6:$C$505))</f>
        <v/>
      </c>
      <c r="BB25" t="str">
        <f>IF($C25="","",SUMIF('MOVIMENTI 2026'!$B$7:$B$4206,$C25,'MOVIMENTI 2026'!$J$7:$J$4206)+SUMIF('SALDI AL 31.12.2025'!$A$6:$A$505,$C25,'SALDI AL 31.12.2025'!$D$6:$D$505))</f>
        <v/>
      </c>
      <c r="BC25" t="str">
        <f>IF($C25="","",SUMIF('MOVIMENTI 2026'!$B$7:$B$4206,$C25,'MOVIMENTI 2026'!$K$7:$K$4206)+SUMIF('SALDI AL 31.12.2025'!$A$6:$A$505,$C25,'SALDI AL 31.12.2025'!$E$6:$E$505))</f>
        <v/>
      </c>
      <c r="BD25" t="str">
        <f>IF($C25="","",SUMIF('MOVIMENTI 2026'!$B$7:$B$4206,$C25,'MOVIMENTI 2026'!$L$7:$L$4206)+SUMIF('SALDI AL 31.12.2025'!$A$6:$A$505,$C25,'SALDI AL 31.12.2025'!$F$6:$F$505))</f>
        <v/>
      </c>
      <c r="BE25" t="str">
        <f t="shared" si="14"/>
        <v/>
      </c>
      <c r="BF25" t="str">
        <f t="shared" si="15"/>
        <v/>
      </c>
      <c r="BG25" t="str">
        <f t="shared" si="16"/>
        <v/>
      </c>
      <c r="BH25" t="str">
        <f>IFERROR(IF(OR($C25="",ANAGRAFICA!$I22="",ANAGRAFICA!$J22="",ANAGRAFICA!$J22&lt;=ANAGRAFICA!$I22,$Y25=""),"",IF(OR($I25="Finito ritenute non previste",$I25="Finito con sblocco ritenute",$I25="Finito senza sblocco ritenute"),1,MAX(0,MIN(1,($Y25-ANAGRAFICA!$I22)/(ANAGRAFICA!$J22-ANAGRAFICA!$I22))))),"")</f>
        <v/>
      </c>
      <c r="BI25" t="str">
        <f t="shared" si="17"/>
        <v/>
      </c>
      <c r="BJ25" t="str">
        <f>IFERROR(IF($C25="","",'BUDGET COMMESSA'!$D22),"")</f>
        <v/>
      </c>
      <c r="BK25" t="str">
        <f>IF($C25="","",SUMIF('MOVIMENTI 2026'!$B$7:$B$4206,$C25,'MOVIMENTI 2026'!$N$7:$N$4206)+SUMIF('SALDI AL 31.12.2025'!$A$6:$A$505,$C25,'SALDI AL 31.12.2025'!$H$6:$H$505))</f>
        <v/>
      </c>
      <c r="BL25" t="str">
        <f t="shared" si="18"/>
        <v/>
      </c>
      <c r="BM25" t="str">
        <f t="shared" si="19"/>
        <v/>
      </c>
      <c r="BN25" t="str">
        <f t="shared" si="20"/>
        <v/>
      </c>
      <c r="BO25" t="str">
        <f>IFERROR(IF($C25="","",'BUDGET COMMESSA'!$G22),"")</f>
        <v/>
      </c>
      <c r="BP25" t="str">
        <f>IF($C25="","",SUMIF('COSTI DIRETTI'!$C$6:$C$505,$C25,'COSTI DIRETTI'!$H$6:$H$505)+SUMIF('SALDI AL 31.12.2025'!$A$6:$A$505,$C25,'SALDI AL 31.12.2025'!$I$6:$I$505))</f>
        <v/>
      </c>
      <c r="BQ25" t="str">
        <f t="shared" si="21"/>
        <v/>
      </c>
      <c r="BR25" t="str">
        <f t="shared" si="22"/>
        <v/>
      </c>
      <c r="BS25" t="str">
        <f>IF($C25="","",$BK25*PARAMETRI!$B$4+$BP25)</f>
        <v/>
      </c>
      <c r="BT25">
        <f t="shared" si="23"/>
        <v>0</v>
      </c>
      <c r="BU25">
        <f t="shared" si="24"/>
        <v>0</v>
      </c>
      <c r="BV25" t="str">
        <f>IF($C25="","",SUMIF('MOVIMENTI 2026'!$B$7:$B$4206,$C25,'MOVIMENTI 2026'!$P$7:$P$4206)+SUMIF('SALDI AL 31.12.2025'!$A$6:$A$505,$C25,'SALDI AL 31.12.2025'!$G$6:$G$505))</f>
        <v/>
      </c>
    </row>
    <row r="26" spans="1:74" ht="16" x14ac:dyDescent="0.15">
      <c r="A26" s="17" t="str">
        <f>IFERROR(IF($C26="","",IF(OR($BF26&gt;0,$V26&gt;$J26,AND(ISNUMBER($Q26),$Q26&gt;0),AND($BI26&lt;&gt;"",$BI26&lt;-PARAMETRI!$B$6),AND($BM26&lt;&gt;"",$BM26&gt;=1),AND($BN26&lt;&gt;"",$BN26&gt;PARAMETRI!$B$8),AND(ISNUMBER($BR26),$BR26&gt;0)),"CRITICO",IF(OR($AZ26="",LEFT($C26,5)="TEMP",$BJ26="",$BO26="",ANAGRAFICA!$I23="",ANAGRAFICA!$J23="",$Y26="",AND(OR($I26="Finito ritenute non previste",$I26="Finito con sblocco ritenute",$I26="Finito senza sblocco ritenute"),ANAGRAFICA!$K23=""),OR(AND(ANAGRAFICA!$T23&lt;&gt;"",ANAGRAFICA!$J23&lt;&gt;ANAGRAFICA!$T23,OR(ANAGRAFICA!$R23="",ANAGRAFICA!$R23="Nessuna variazione")),AND(ANAGRAFICA!$J23="",ANAGRAFICA!$R23&lt;&gt;"",ANAGRAFICA!$R23&lt;&gt;"Nessuna variazione")),AND($BI26&lt;&gt;"",$BI26&lt;-PARAMETRI!$B$5),AND($BN26&lt;&gt;"",$BN26&gt;PARAMETRI!$B$7),AND($W26&gt;0,$M26&gt;$W26*PARAMETRI!$B$9),AND($O26&gt;0,OR($I26="Finito ritenute non previste",$I26="Finito con sblocco ritenute",$I26="Finito senza sblocco ritenute")),AND($BA26&gt;0,$BO26&gt;0,$BP26=0),AND(OR($I26="Finito ritenute non previste",$I26="Finito con sblocco ritenute",$I26="Finito senza sblocco ritenute"),$W26&gt;0,$N26&gt;$W26*PARAMETRI!$B$9),$V26&gt;0),"ATTENZIONE","REGOLARE"))),"ATTENZIONE")</f>
        <v/>
      </c>
      <c r="B26" s="17" t="str">
        <f>IFERROR(IF($C26="","",IF($BF26&gt;0,"FATTURATO OLTRE VALORE RECUPERABILE; ","")&amp;IF($V26&gt;$J26,"PERDITE ACCETTATE OLTRE CONTRATTO; ","")&amp;IF($V26&gt;0,"PERDITA SAL ACCETTATA (€ "&amp;TEXT($V26,"#,##0.00")&amp;"); ","")&amp;IF(AND(ISNUMBER($Q26),$Q26&gt;0),"RITARDO PRODUTTIVO ("&amp;TEXT($Q26,"0")&amp;" GG); ","")&amp;IF(AND($BI26&lt;&gt;"",$BI26&lt;-PARAMETRI!$B$5),"AVANZAMENTO PIÙ LENTO DEL TEMPO; ","")&amp;IF(AND($BM26&lt;&gt;"",$BM26&gt;1),"ORE OLTRE BUDGET; ","")&amp;IF(AND($BM26&lt;&gt;"",$BM26=1),"ORE PREVENTIVATE ESAURITE; ","")&amp;IF(AND($BN26&lt;&gt;"",$BN26&gt;PARAMETRI!$B$7),"CONSUMO ORE SUPERIORE ALL'AVANZAMENTO; ","")&amp;IF(AND(ISNUMBER($BR26),$BR26&gt;0),"COSTI DIRETTI OLTRE BUDGET; ","")&amp;IF(AND($W26&gt;0,$M26&gt;$W26*PARAMETRI!$B$9),"SAL MATURATO NON FATTURATO; ","")&amp;IF(AND($O26&gt;0,OR($I26="Finito ritenute non previste",$I26="Finito con sblocco ritenute",$I26="Finito senza sblocco ritenute")),"RITENUTE DA SBLOCCARE; ","")&amp;IF(AND($BA26&gt;0,$BO26&gt;0,$BP26=0),"COSTI DIRETTI NON REGISTRATI; ","")&amp;IF(AND(OR($I26="Finito ritenute non previste",$I26="Finito con sblocco ritenute",$I26="Finito senza sblocco ritenute"),$W26&gt;0,$N26&gt;$W26*PARAMETRI!$B$9),"CANTIERE FINITO CON RESIDUO LAVORI; ","")&amp;IF(AND(OR($I26="Finito ritenute non previste",$I26="Finito con sblocco ritenute",$I26="Finito senza sblocco ritenute"),ANAGRAFICA!$K23=""),"DATA FINE EFFETTIVA MANCANTE; ","")&amp;IF(OR(AND(ANAGRAFICA!$T23&lt;&gt;"",ANAGRAFICA!$J23&lt;&gt;ANAGRAFICA!$T23,OR(ANAGRAFICA!$R23="",ANAGRAFICA!$R23="Nessuna variazione")),AND(ANAGRAFICA!$J23="",ANAGRAFICA!$R23&lt;&gt;"",ANAGRAFICA!$R23&lt;&gt;"Nessuna variazione")),"GESTIONE DATA FINE INCOMPLETA; ","")&amp;IF($Y26="","AGGIORNATO AL MANCANTE; ","")&amp;IF(OR($AZ26="",$BJ26="",$BO26="",ANAGRAFICA!$I23="",ANAGRAFICA!$J23=""),"DATI PREVISIONALI INCOMPLETI; ","")&amp;IF(LEFT($C26,5)="TEMP","CODICE COMMESSA TEMPORANEO; ","")),"DATI INCOMPLETI; ")</f>
        <v/>
      </c>
      <c r="C26" s="17" t="str">
        <f>IF(ANAGRAFICA!$B23="","",ANAGRAFICA!$B23)</f>
        <v/>
      </c>
      <c r="D26" s="17" t="str">
        <f>IF($C26="","",ANAGRAFICA!$C23)</f>
        <v/>
      </c>
      <c r="E26" s="17" t="str">
        <f>IF($C26="","",ANAGRAFICA!$D23)</f>
        <v/>
      </c>
      <c r="F26" s="17" t="str">
        <f>IF($C26="","",ANAGRAFICA!$E23)</f>
        <v/>
      </c>
      <c r="G26" s="17" t="str">
        <f>IF($C26="","",ANAGRAFICA!$F23)</f>
        <v/>
      </c>
      <c r="H26" s="17" t="str">
        <f>IF($C26="","",ANAGRAFICA!$G23)</f>
        <v/>
      </c>
      <c r="I26" s="17" t="str">
        <f>IF($C26="","",ANAGRAFICA!$L23)</f>
        <v/>
      </c>
      <c r="J26" s="16" t="str">
        <f t="shared" si="1"/>
        <v/>
      </c>
      <c r="K26" s="16" t="str">
        <f t="shared" si="2"/>
        <v/>
      </c>
      <c r="L26" s="16" t="str">
        <f t="shared" si="3"/>
        <v/>
      </c>
      <c r="M26" s="16" t="str">
        <f t="shared" si="4"/>
        <v/>
      </c>
      <c r="N26" s="16" t="str">
        <f t="shared" si="5"/>
        <v/>
      </c>
      <c r="O26" s="16" t="str">
        <f t="shared" si="6"/>
        <v/>
      </c>
      <c r="P26" s="17" t="str">
        <f t="shared" si="7"/>
        <v/>
      </c>
      <c r="Q26" s="31" t="str">
        <f>IF(OR($C26="",'BUDGET COMMESSA'!$D23="",'BUDGET COMMESSA'!$D23&lt;=0,ANAGRAFICA!$J23=""),"",IF(OR($I26="Finito ritenute non previste",$I26="Finito con sblocco ritenute",$I26="Finito senza sblocco ritenute"),0,IF(AND($BK26&gt;=$BJ26,ANAGRAFICA!$R23="Ritardo produttivo FIDA"),IF(ANAGRAFICA!$T23&lt;&gt;"",MAX(0,ANAGRAFICA!$J23-ANAGRAFICA!$T23),MAX(0,$Y26-ANAGRAFICA!$J23)),0)))</f>
        <v/>
      </c>
      <c r="R26" s="17" t="str">
        <f t="shared" si="8"/>
        <v/>
      </c>
      <c r="S26" s="17" t="str">
        <f t="shared" si="9"/>
        <v/>
      </c>
      <c r="T26" s="17" t="str">
        <f t="shared" si="10"/>
        <v/>
      </c>
      <c r="U26" s="16" t="str">
        <f t="shared" si="11"/>
        <v/>
      </c>
      <c r="V26" s="16" t="str">
        <f t="shared" si="12"/>
        <v/>
      </c>
      <c r="W26" s="16" t="str">
        <f t="shared" si="13"/>
        <v/>
      </c>
      <c r="X26" s="40"/>
      <c r="Y26" s="14"/>
      <c r="AZ26" t="str">
        <f>IF($C26="","",ANAGRAFICA!$P23)</f>
        <v/>
      </c>
      <c r="BA26" t="str">
        <f>IF($C26="","",SUMIF('MOVIMENTI 2026'!$B$7:$B$4206,$C26,'MOVIMENTI 2026'!$I$7:$I$4206)+SUMIF('SALDI AL 31.12.2025'!$A$6:$A$505,$C26,'SALDI AL 31.12.2025'!$C$6:$C$505))</f>
        <v/>
      </c>
      <c r="BB26" t="str">
        <f>IF($C26="","",SUMIF('MOVIMENTI 2026'!$B$7:$B$4206,$C26,'MOVIMENTI 2026'!$J$7:$J$4206)+SUMIF('SALDI AL 31.12.2025'!$A$6:$A$505,$C26,'SALDI AL 31.12.2025'!$D$6:$D$505))</f>
        <v/>
      </c>
      <c r="BC26" t="str">
        <f>IF($C26="","",SUMIF('MOVIMENTI 2026'!$B$7:$B$4206,$C26,'MOVIMENTI 2026'!$K$7:$K$4206)+SUMIF('SALDI AL 31.12.2025'!$A$6:$A$505,$C26,'SALDI AL 31.12.2025'!$E$6:$E$505))</f>
        <v/>
      </c>
      <c r="BD26" t="str">
        <f>IF($C26="","",SUMIF('MOVIMENTI 2026'!$B$7:$B$4206,$C26,'MOVIMENTI 2026'!$L$7:$L$4206)+SUMIF('SALDI AL 31.12.2025'!$A$6:$A$505,$C26,'SALDI AL 31.12.2025'!$F$6:$F$505))</f>
        <v/>
      </c>
      <c r="BE26" t="str">
        <f t="shared" si="14"/>
        <v/>
      </c>
      <c r="BF26" t="str">
        <f t="shared" si="15"/>
        <v/>
      </c>
      <c r="BG26" t="str">
        <f t="shared" si="16"/>
        <v/>
      </c>
      <c r="BH26" t="str">
        <f>IFERROR(IF(OR($C26="",ANAGRAFICA!$I23="",ANAGRAFICA!$J23="",ANAGRAFICA!$J23&lt;=ANAGRAFICA!$I23,$Y26=""),"",IF(OR($I26="Finito ritenute non previste",$I26="Finito con sblocco ritenute",$I26="Finito senza sblocco ritenute"),1,MAX(0,MIN(1,($Y26-ANAGRAFICA!$I23)/(ANAGRAFICA!$J23-ANAGRAFICA!$I23))))),"")</f>
        <v/>
      </c>
      <c r="BI26" t="str">
        <f t="shared" si="17"/>
        <v/>
      </c>
      <c r="BJ26" t="str">
        <f>IFERROR(IF($C26="","",'BUDGET COMMESSA'!$D23),"")</f>
        <v/>
      </c>
      <c r="BK26" t="str">
        <f>IF($C26="","",SUMIF('MOVIMENTI 2026'!$B$7:$B$4206,$C26,'MOVIMENTI 2026'!$N$7:$N$4206)+SUMIF('SALDI AL 31.12.2025'!$A$6:$A$505,$C26,'SALDI AL 31.12.2025'!$H$6:$H$505))</f>
        <v/>
      </c>
      <c r="BL26" t="str">
        <f t="shared" si="18"/>
        <v/>
      </c>
      <c r="BM26" t="str">
        <f t="shared" si="19"/>
        <v/>
      </c>
      <c r="BN26" t="str">
        <f t="shared" si="20"/>
        <v/>
      </c>
      <c r="BO26" t="str">
        <f>IFERROR(IF($C26="","",'BUDGET COMMESSA'!$G23),"")</f>
        <v/>
      </c>
      <c r="BP26" t="str">
        <f>IF($C26="","",SUMIF('COSTI DIRETTI'!$C$6:$C$505,$C26,'COSTI DIRETTI'!$H$6:$H$505)+SUMIF('SALDI AL 31.12.2025'!$A$6:$A$505,$C26,'SALDI AL 31.12.2025'!$I$6:$I$505))</f>
        <v/>
      </c>
      <c r="BQ26" t="str">
        <f t="shared" si="21"/>
        <v/>
      </c>
      <c r="BR26" t="str">
        <f t="shared" si="22"/>
        <v/>
      </c>
      <c r="BS26" t="str">
        <f>IF($C26="","",$BK26*PARAMETRI!$B$4+$BP26)</f>
        <v/>
      </c>
      <c r="BT26">
        <f t="shared" si="23"/>
        <v>0</v>
      </c>
      <c r="BU26">
        <f t="shared" si="24"/>
        <v>0</v>
      </c>
      <c r="BV26" t="str">
        <f>IF($C26="","",SUMIF('MOVIMENTI 2026'!$B$7:$B$4206,$C26,'MOVIMENTI 2026'!$P$7:$P$4206)+SUMIF('SALDI AL 31.12.2025'!$A$6:$A$505,$C26,'SALDI AL 31.12.2025'!$G$6:$G$505))</f>
        <v/>
      </c>
    </row>
    <row r="27" spans="1:74" ht="16" x14ac:dyDescent="0.15">
      <c r="A27" s="17" t="str">
        <f>IFERROR(IF($C27="","",IF(OR($BF27&gt;0,$V27&gt;$J27,AND(ISNUMBER($Q27),$Q27&gt;0),AND($BI27&lt;&gt;"",$BI27&lt;-PARAMETRI!$B$6),AND($BM27&lt;&gt;"",$BM27&gt;=1),AND($BN27&lt;&gt;"",$BN27&gt;PARAMETRI!$B$8),AND(ISNUMBER($BR27),$BR27&gt;0)),"CRITICO",IF(OR($AZ27="",LEFT($C27,5)="TEMP",$BJ27="",$BO27="",ANAGRAFICA!$I24="",ANAGRAFICA!$J24="",$Y27="",AND(OR($I27="Finito ritenute non previste",$I27="Finito con sblocco ritenute",$I27="Finito senza sblocco ritenute"),ANAGRAFICA!$K24=""),OR(AND(ANAGRAFICA!$T24&lt;&gt;"",ANAGRAFICA!$J24&lt;&gt;ANAGRAFICA!$T24,OR(ANAGRAFICA!$R24="",ANAGRAFICA!$R24="Nessuna variazione")),AND(ANAGRAFICA!$J24="",ANAGRAFICA!$R24&lt;&gt;"",ANAGRAFICA!$R24&lt;&gt;"Nessuna variazione")),AND($BI27&lt;&gt;"",$BI27&lt;-PARAMETRI!$B$5),AND($BN27&lt;&gt;"",$BN27&gt;PARAMETRI!$B$7),AND($W27&gt;0,$M27&gt;$W27*PARAMETRI!$B$9),AND($O27&gt;0,OR($I27="Finito ritenute non previste",$I27="Finito con sblocco ritenute",$I27="Finito senza sblocco ritenute")),AND($BA27&gt;0,$BO27&gt;0,$BP27=0),AND(OR($I27="Finito ritenute non previste",$I27="Finito con sblocco ritenute",$I27="Finito senza sblocco ritenute"),$W27&gt;0,$N27&gt;$W27*PARAMETRI!$B$9),$V27&gt;0),"ATTENZIONE","REGOLARE"))),"ATTENZIONE")</f>
        <v/>
      </c>
      <c r="B27" s="17" t="str">
        <f>IFERROR(IF($C27="","",IF($BF27&gt;0,"FATTURATO OLTRE VALORE RECUPERABILE; ","")&amp;IF($V27&gt;$J27,"PERDITE ACCETTATE OLTRE CONTRATTO; ","")&amp;IF($V27&gt;0,"PERDITA SAL ACCETTATA (€ "&amp;TEXT($V27,"#,##0.00")&amp;"); ","")&amp;IF(AND(ISNUMBER($Q27),$Q27&gt;0),"RITARDO PRODUTTIVO ("&amp;TEXT($Q27,"0")&amp;" GG); ","")&amp;IF(AND($BI27&lt;&gt;"",$BI27&lt;-PARAMETRI!$B$5),"AVANZAMENTO PIÙ LENTO DEL TEMPO; ","")&amp;IF(AND($BM27&lt;&gt;"",$BM27&gt;1),"ORE OLTRE BUDGET; ","")&amp;IF(AND($BM27&lt;&gt;"",$BM27=1),"ORE PREVENTIVATE ESAURITE; ","")&amp;IF(AND($BN27&lt;&gt;"",$BN27&gt;PARAMETRI!$B$7),"CONSUMO ORE SUPERIORE ALL'AVANZAMENTO; ","")&amp;IF(AND(ISNUMBER($BR27),$BR27&gt;0),"COSTI DIRETTI OLTRE BUDGET; ","")&amp;IF(AND($W27&gt;0,$M27&gt;$W27*PARAMETRI!$B$9),"SAL MATURATO NON FATTURATO; ","")&amp;IF(AND($O27&gt;0,OR($I27="Finito ritenute non previste",$I27="Finito con sblocco ritenute",$I27="Finito senza sblocco ritenute")),"RITENUTE DA SBLOCCARE; ","")&amp;IF(AND($BA27&gt;0,$BO27&gt;0,$BP27=0),"COSTI DIRETTI NON REGISTRATI; ","")&amp;IF(AND(OR($I27="Finito ritenute non previste",$I27="Finito con sblocco ritenute",$I27="Finito senza sblocco ritenute"),$W27&gt;0,$N27&gt;$W27*PARAMETRI!$B$9),"CANTIERE FINITO CON RESIDUO LAVORI; ","")&amp;IF(AND(OR($I27="Finito ritenute non previste",$I27="Finito con sblocco ritenute",$I27="Finito senza sblocco ritenute"),ANAGRAFICA!$K24=""),"DATA FINE EFFETTIVA MANCANTE; ","")&amp;IF(OR(AND(ANAGRAFICA!$T24&lt;&gt;"",ANAGRAFICA!$J24&lt;&gt;ANAGRAFICA!$T24,OR(ANAGRAFICA!$R24="",ANAGRAFICA!$R24="Nessuna variazione")),AND(ANAGRAFICA!$J24="",ANAGRAFICA!$R24&lt;&gt;"",ANAGRAFICA!$R24&lt;&gt;"Nessuna variazione")),"GESTIONE DATA FINE INCOMPLETA; ","")&amp;IF($Y27="","AGGIORNATO AL MANCANTE; ","")&amp;IF(OR($AZ27="",$BJ27="",$BO27="",ANAGRAFICA!$I24="",ANAGRAFICA!$J24=""),"DATI PREVISIONALI INCOMPLETI; ","")&amp;IF(LEFT($C27,5)="TEMP","CODICE COMMESSA TEMPORANEO; ","")),"DATI INCOMPLETI; ")</f>
        <v/>
      </c>
      <c r="C27" s="17" t="str">
        <f>IF(ANAGRAFICA!$B24="","",ANAGRAFICA!$B24)</f>
        <v/>
      </c>
      <c r="D27" s="17" t="str">
        <f>IF($C27="","",ANAGRAFICA!$C24)</f>
        <v/>
      </c>
      <c r="E27" s="17" t="str">
        <f>IF($C27="","",ANAGRAFICA!$D24)</f>
        <v/>
      </c>
      <c r="F27" s="17" t="str">
        <f>IF($C27="","",ANAGRAFICA!$E24)</f>
        <v/>
      </c>
      <c r="G27" s="17" t="str">
        <f>IF($C27="","",ANAGRAFICA!$F24)</f>
        <v/>
      </c>
      <c r="H27" s="17" t="str">
        <f>IF($C27="","",ANAGRAFICA!$G24)</f>
        <v/>
      </c>
      <c r="I27" s="17" t="str">
        <f>IF($C27="","",ANAGRAFICA!$L24)</f>
        <v/>
      </c>
      <c r="J27" s="16" t="str">
        <f t="shared" si="1"/>
        <v/>
      </c>
      <c r="K27" s="16" t="str">
        <f t="shared" si="2"/>
        <v/>
      </c>
      <c r="L27" s="16" t="str">
        <f t="shared" si="3"/>
        <v/>
      </c>
      <c r="M27" s="16" t="str">
        <f t="shared" si="4"/>
        <v/>
      </c>
      <c r="N27" s="16" t="str">
        <f t="shared" si="5"/>
        <v/>
      </c>
      <c r="O27" s="16" t="str">
        <f t="shared" si="6"/>
        <v/>
      </c>
      <c r="P27" s="17" t="str">
        <f t="shared" si="7"/>
        <v/>
      </c>
      <c r="Q27" s="31" t="str">
        <f>IF(OR($C27="",'BUDGET COMMESSA'!$D24="",'BUDGET COMMESSA'!$D24&lt;=0,ANAGRAFICA!$J24=""),"",IF(OR($I27="Finito ritenute non previste",$I27="Finito con sblocco ritenute",$I27="Finito senza sblocco ritenute"),0,IF(AND($BK27&gt;=$BJ27,ANAGRAFICA!$R24="Ritardo produttivo FIDA"),IF(ANAGRAFICA!$T24&lt;&gt;"",MAX(0,ANAGRAFICA!$J24-ANAGRAFICA!$T24),MAX(0,$Y27-ANAGRAFICA!$J24)),0)))</f>
        <v/>
      </c>
      <c r="R27" s="17" t="str">
        <f t="shared" si="8"/>
        <v/>
      </c>
      <c r="S27" s="17" t="str">
        <f t="shared" si="9"/>
        <v/>
      </c>
      <c r="T27" s="17" t="str">
        <f t="shared" si="10"/>
        <v/>
      </c>
      <c r="U27" s="16" t="str">
        <f t="shared" si="11"/>
        <v/>
      </c>
      <c r="V27" s="16" t="str">
        <f t="shared" si="12"/>
        <v/>
      </c>
      <c r="W27" s="16" t="str">
        <f t="shared" si="13"/>
        <v/>
      </c>
      <c r="X27" s="40"/>
      <c r="Y27" s="14"/>
      <c r="AZ27" t="str">
        <f>IF($C27="","",ANAGRAFICA!$P24)</f>
        <v/>
      </c>
      <c r="BA27" t="str">
        <f>IF($C27="","",SUMIF('MOVIMENTI 2026'!$B$7:$B$4206,$C27,'MOVIMENTI 2026'!$I$7:$I$4206)+SUMIF('SALDI AL 31.12.2025'!$A$6:$A$505,$C27,'SALDI AL 31.12.2025'!$C$6:$C$505))</f>
        <v/>
      </c>
      <c r="BB27" t="str">
        <f>IF($C27="","",SUMIF('MOVIMENTI 2026'!$B$7:$B$4206,$C27,'MOVIMENTI 2026'!$J$7:$J$4206)+SUMIF('SALDI AL 31.12.2025'!$A$6:$A$505,$C27,'SALDI AL 31.12.2025'!$D$6:$D$505))</f>
        <v/>
      </c>
      <c r="BC27" t="str">
        <f>IF($C27="","",SUMIF('MOVIMENTI 2026'!$B$7:$B$4206,$C27,'MOVIMENTI 2026'!$K$7:$K$4206)+SUMIF('SALDI AL 31.12.2025'!$A$6:$A$505,$C27,'SALDI AL 31.12.2025'!$E$6:$E$505))</f>
        <v/>
      </c>
      <c r="BD27" t="str">
        <f>IF($C27="","",SUMIF('MOVIMENTI 2026'!$B$7:$B$4206,$C27,'MOVIMENTI 2026'!$L$7:$L$4206)+SUMIF('SALDI AL 31.12.2025'!$A$6:$A$505,$C27,'SALDI AL 31.12.2025'!$F$6:$F$505))</f>
        <v/>
      </c>
      <c r="BE27" t="str">
        <f t="shared" si="14"/>
        <v/>
      </c>
      <c r="BF27" t="str">
        <f t="shared" si="15"/>
        <v/>
      </c>
      <c r="BG27" t="str">
        <f t="shared" si="16"/>
        <v/>
      </c>
      <c r="BH27" t="str">
        <f>IFERROR(IF(OR($C27="",ANAGRAFICA!$I24="",ANAGRAFICA!$J24="",ANAGRAFICA!$J24&lt;=ANAGRAFICA!$I24,$Y27=""),"",IF(OR($I27="Finito ritenute non previste",$I27="Finito con sblocco ritenute",$I27="Finito senza sblocco ritenute"),1,MAX(0,MIN(1,($Y27-ANAGRAFICA!$I24)/(ANAGRAFICA!$J24-ANAGRAFICA!$I24))))),"")</f>
        <v/>
      </c>
      <c r="BI27" t="str">
        <f t="shared" si="17"/>
        <v/>
      </c>
      <c r="BJ27" t="str">
        <f>IFERROR(IF($C27="","",'BUDGET COMMESSA'!$D24),"")</f>
        <v/>
      </c>
      <c r="BK27" t="str">
        <f>IF($C27="","",SUMIF('MOVIMENTI 2026'!$B$7:$B$4206,$C27,'MOVIMENTI 2026'!$N$7:$N$4206)+SUMIF('SALDI AL 31.12.2025'!$A$6:$A$505,$C27,'SALDI AL 31.12.2025'!$H$6:$H$505))</f>
        <v/>
      </c>
      <c r="BL27" t="str">
        <f t="shared" si="18"/>
        <v/>
      </c>
      <c r="BM27" t="str">
        <f t="shared" si="19"/>
        <v/>
      </c>
      <c r="BN27" t="str">
        <f t="shared" si="20"/>
        <v/>
      </c>
      <c r="BO27" t="str">
        <f>IFERROR(IF($C27="","",'BUDGET COMMESSA'!$G24),"")</f>
        <v/>
      </c>
      <c r="BP27" t="str">
        <f>IF($C27="","",SUMIF('COSTI DIRETTI'!$C$6:$C$505,$C27,'COSTI DIRETTI'!$H$6:$H$505)+SUMIF('SALDI AL 31.12.2025'!$A$6:$A$505,$C27,'SALDI AL 31.12.2025'!$I$6:$I$505))</f>
        <v/>
      </c>
      <c r="BQ27" t="str">
        <f t="shared" si="21"/>
        <v/>
      </c>
      <c r="BR27" t="str">
        <f t="shared" si="22"/>
        <v/>
      </c>
      <c r="BS27" t="str">
        <f>IF($C27="","",$BK27*PARAMETRI!$B$4+$BP27)</f>
        <v/>
      </c>
      <c r="BT27">
        <f t="shared" si="23"/>
        <v>0</v>
      </c>
      <c r="BU27">
        <f t="shared" si="24"/>
        <v>0</v>
      </c>
      <c r="BV27" t="str">
        <f>IF($C27="","",SUMIF('MOVIMENTI 2026'!$B$7:$B$4206,$C27,'MOVIMENTI 2026'!$P$7:$P$4206)+SUMIF('SALDI AL 31.12.2025'!$A$6:$A$505,$C27,'SALDI AL 31.12.2025'!$G$6:$G$505))</f>
        <v/>
      </c>
    </row>
    <row r="28" spans="1:74" ht="16" x14ac:dyDescent="0.15">
      <c r="A28" s="17" t="str">
        <f>IFERROR(IF($C28="","",IF(OR($BF28&gt;0,$V28&gt;$J28,AND(ISNUMBER($Q28),$Q28&gt;0),AND($BI28&lt;&gt;"",$BI28&lt;-PARAMETRI!$B$6),AND($BM28&lt;&gt;"",$BM28&gt;=1),AND($BN28&lt;&gt;"",$BN28&gt;PARAMETRI!$B$8),AND(ISNUMBER($BR28),$BR28&gt;0)),"CRITICO",IF(OR($AZ28="",LEFT($C28,5)="TEMP",$BJ28="",$BO28="",ANAGRAFICA!$I25="",ANAGRAFICA!$J25="",$Y28="",AND(OR($I28="Finito ritenute non previste",$I28="Finito con sblocco ritenute",$I28="Finito senza sblocco ritenute"),ANAGRAFICA!$K25=""),OR(AND(ANAGRAFICA!$T25&lt;&gt;"",ANAGRAFICA!$J25&lt;&gt;ANAGRAFICA!$T25,OR(ANAGRAFICA!$R25="",ANAGRAFICA!$R25="Nessuna variazione")),AND(ANAGRAFICA!$J25="",ANAGRAFICA!$R25&lt;&gt;"",ANAGRAFICA!$R25&lt;&gt;"Nessuna variazione")),AND($BI28&lt;&gt;"",$BI28&lt;-PARAMETRI!$B$5),AND($BN28&lt;&gt;"",$BN28&gt;PARAMETRI!$B$7),AND($W28&gt;0,$M28&gt;$W28*PARAMETRI!$B$9),AND($O28&gt;0,OR($I28="Finito ritenute non previste",$I28="Finito con sblocco ritenute",$I28="Finito senza sblocco ritenute")),AND($BA28&gt;0,$BO28&gt;0,$BP28=0),AND(OR($I28="Finito ritenute non previste",$I28="Finito con sblocco ritenute",$I28="Finito senza sblocco ritenute"),$W28&gt;0,$N28&gt;$W28*PARAMETRI!$B$9),$V28&gt;0),"ATTENZIONE","REGOLARE"))),"ATTENZIONE")</f>
        <v/>
      </c>
      <c r="B28" s="17" t="str">
        <f>IFERROR(IF($C28="","",IF($BF28&gt;0,"FATTURATO OLTRE VALORE RECUPERABILE; ","")&amp;IF($V28&gt;$J28,"PERDITE ACCETTATE OLTRE CONTRATTO; ","")&amp;IF($V28&gt;0,"PERDITA SAL ACCETTATA (€ "&amp;TEXT($V28,"#,##0.00")&amp;"); ","")&amp;IF(AND(ISNUMBER($Q28),$Q28&gt;0),"RITARDO PRODUTTIVO ("&amp;TEXT($Q28,"0")&amp;" GG); ","")&amp;IF(AND($BI28&lt;&gt;"",$BI28&lt;-PARAMETRI!$B$5),"AVANZAMENTO PIÙ LENTO DEL TEMPO; ","")&amp;IF(AND($BM28&lt;&gt;"",$BM28&gt;1),"ORE OLTRE BUDGET; ","")&amp;IF(AND($BM28&lt;&gt;"",$BM28=1),"ORE PREVENTIVATE ESAURITE; ","")&amp;IF(AND($BN28&lt;&gt;"",$BN28&gt;PARAMETRI!$B$7),"CONSUMO ORE SUPERIORE ALL'AVANZAMENTO; ","")&amp;IF(AND(ISNUMBER($BR28),$BR28&gt;0),"COSTI DIRETTI OLTRE BUDGET; ","")&amp;IF(AND($W28&gt;0,$M28&gt;$W28*PARAMETRI!$B$9),"SAL MATURATO NON FATTURATO; ","")&amp;IF(AND($O28&gt;0,OR($I28="Finito ritenute non previste",$I28="Finito con sblocco ritenute",$I28="Finito senza sblocco ritenute")),"RITENUTE DA SBLOCCARE; ","")&amp;IF(AND($BA28&gt;0,$BO28&gt;0,$BP28=0),"COSTI DIRETTI NON REGISTRATI; ","")&amp;IF(AND(OR($I28="Finito ritenute non previste",$I28="Finito con sblocco ritenute",$I28="Finito senza sblocco ritenute"),$W28&gt;0,$N28&gt;$W28*PARAMETRI!$B$9),"CANTIERE FINITO CON RESIDUO LAVORI; ","")&amp;IF(AND(OR($I28="Finito ritenute non previste",$I28="Finito con sblocco ritenute",$I28="Finito senza sblocco ritenute"),ANAGRAFICA!$K25=""),"DATA FINE EFFETTIVA MANCANTE; ","")&amp;IF(OR(AND(ANAGRAFICA!$T25&lt;&gt;"",ANAGRAFICA!$J25&lt;&gt;ANAGRAFICA!$T25,OR(ANAGRAFICA!$R25="",ANAGRAFICA!$R25="Nessuna variazione")),AND(ANAGRAFICA!$J25="",ANAGRAFICA!$R25&lt;&gt;"",ANAGRAFICA!$R25&lt;&gt;"Nessuna variazione")),"GESTIONE DATA FINE INCOMPLETA; ","")&amp;IF($Y28="","AGGIORNATO AL MANCANTE; ","")&amp;IF(OR($AZ28="",$BJ28="",$BO28="",ANAGRAFICA!$I25="",ANAGRAFICA!$J25=""),"DATI PREVISIONALI INCOMPLETI; ","")&amp;IF(LEFT($C28,5)="TEMP","CODICE COMMESSA TEMPORANEO; ","")),"DATI INCOMPLETI; ")</f>
        <v/>
      </c>
      <c r="C28" s="17" t="str">
        <f>IF(ANAGRAFICA!$B25="","",ANAGRAFICA!$B25)</f>
        <v/>
      </c>
      <c r="D28" s="17" t="str">
        <f>IF($C28="","",ANAGRAFICA!$C25)</f>
        <v/>
      </c>
      <c r="E28" s="17" t="str">
        <f>IF($C28="","",ANAGRAFICA!$D25)</f>
        <v/>
      </c>
      <c r="F28" s="17" t="str">
        <f>IF($C28="","",ANAGRAFICA!$E25)</f>
        <v/>
      </c>
      <c r="G28" s="17" t="str">
        <f>IF($C28="","",ANAGRAFICA!$F25)</f>
        <v/>
      </c>
      <c r="H28" s="17" t="str">
        <f>IF($C28="","",ANAGRAFICA!$G25)</f>
        <v/>
      </c>
      <c r="I28" s="17" t="str">
        <f>IF($C28="","",ANAGRAFICA!$L25)</f>
        <v/>
      </c>
      <c r="J28" s="16" t="str">
        <f t="shared" si="1"/>
        <v/>
      </c>
      <c r="K28" s="16" t="str">
        <f t="shared" si="2"/>
        <v/>
      </c>
      <c r="L28" s="16" t="str">
        <f t="shared" si="3"/>
        <v/>
      </c>
      <c r="M28" s="16" t="str">
        <f t="shared" si="4"/>
        <v/>
      </c>
      <c r="N28" s="16" t="str">
        <f t="shared" si="5"/>
        <v/>
      </c>
      <c r="O28" s="16" t="str">
        <f t="shared" si="6"/>
        <v/>
      </c>
      <c r="P28" s="17" t="str">
        <f t="shared" si="7"/>
        <v/>
      </c>
      <c r="Q28" s="31" t="str">
        <f>IF(OR($C28="",'BUDGET COMMESSA'!$D25="",'BUDGET COMMESSA'!$D25&lt;=0,ANAGRAFICA!$J25=""),"",IF(OR($I28="Finito ritenute non previste",$I28="Finito con sblocco ritenute",$I28="Finito senza sblocco ritenute"),0,IF(AND($BK28&gt;=$BJ28,ANAGRAFICA!$R25="Ritardo produttivo FIDA"),IF(ANAGRAFICA!$T25&lt;&gt;"",MAX(0,ANAGRAFICA!$J25-ANAGRAFICA!$T25),MAX(0,$Y28-ANAGRAFICA!$J25)),0)))</f>
        <v/>
      </c>
      <c r="R28" s="17" t="str">
        <f t="shared" si="8"/>
        <v/>
      </c>
      <c r="S28" s="17" t="str">
        <f t="shared" si="9"/>
        <v/>
      </c>
      <c r="T28" s="17" t="str">
        <f t="shared" si="10"/>
        <v/>
      </c>
      <c r="U28" s="16" t="str">
        <f t="shared" si="11"/>
        <v/>
      </c>
      <c r="V28" s="16" t="str">
        <f t="shared" si="12"/>
        <v/>
      </c>
      <c r="W28" s="16" t="str">
        <f t="shared" si="13"/>
        <v/>
      </c>
      <c r="X28" s="40"/>
      <c r="Y28" s="14"/>
      <c r="AZ28" t="str">
        <f>IF($C28="","",ANAGRAFICA!$P25)</f>
        <v/>
      </c>
      <c r="BA28" t="str">
        <f>IF($C28="","",SUMIF('MOVIMENTI 2026'!$B$7:$B$4206,$C28,'MOVIMENTI 2026'!$I$7:$I$4206)+SUMIF('SALDI AL 31.12.2025'!$A$6:$A$505,$C28,'SALDI AL 31.12.2025'!$C$6:$C$505))</f>
        <v/>
      </c>
      <c r="BB28" t="str">
        <f>IF($C28="","",SUMIF('MOVIMENTI 2026'!$B$7:$B$4206,$C28,'MOVIMENTI 2026'!$J$7:$J$4206)+SUMIF('SALDI AL 31.12.2025'!$A$6:$A$505,$C28,'SALDI AL 31.12.2025'!$D$6:$D$505))</f>
        <v/>
      </c>
      <c r="BC28" t="str">
        <f>IF($C28="","",SUMIF('MOVIMENTI 2026'!$B$7:$B$4206,$C28,'MOVIMENTI 2026'!$K$7:$K$4206)+SUMIF('SALDI AL 31.12.2025'!$A$6:$A$505,$C28,'SALDI AL 31.12.2025'!$E$6:$E$505))</f>
        <v/>
      </c>
      <c r="BD28" t="str">
        <f>IF($C28="","",SUMIF('MOVIMENTI 2026'!$B$7:$B$4206,$C28,'MOVIMENTI 2026'!$L$7:$L$4206)+SUMIF('SALDI AL 31.12.2025'!$A$6:$A$505,$C28,'SALDI AL 31.12.2025'!$F$6:$F$505))</f>
        <v/>
      </c>
      <c r="BE28" t="str">
        <f t="shared" si="14"/>
        <v/>
      </c>
      <c r="BF28" t="str">
        <f t="shared" si="15"/>
        <v/>
      </c>
      <c r="BG28" t="str">
        <f t="shared" si="16"/>
        <v/>
      </c>
      <c r="BH28" t="str">
        <f>IFERROR(IF(OR($C28="",ANAGRAFICA!$I25="",ANAGRAFICA!$J25="",ANAGRAFICA!$J25&lt;=ANAGRAFICA!$I25,$Y28=""),"",IF(OR($I28="Finito ritenute non previste",$I28="Finito con sblocco ritenute",$I28="Finito senza sblocco ritenute"),1,MAX(0,MIN(1,($Y28-ANAGRAFICA!$I25)/(ANAGRAFICA!$J25-ANAGRAFICA!$I25))))),"")</f>
        <v/>
      </c>
      <c r="BI28" t="str">
        <f t="shared" si="17"/>
        <v/>
      </c>
      <c r="BJ28" t="str">
        <f>IFERROR(IF($C28="","",'BUDGET COMMESSA'!$D25),"")</f>
        <v/>
      </c>
      <c r="BK28" t="str">
        <f>IF($C28="","",SUMIF('MOVIMENTI 2026'!$B$7:$B$4206,$C28,'MOVIMENTI 2026'!$N$7:$N$4206)+SUMIF('SALDI AL 31.12.2025'!$A$6:$A$505,$C28,'SALDI AL 31.12.2025'!$H$6:$H$505))</f>
        <v/>
      </c>
      <c r="BL28" t="str">
        <f t="shared" si="18"/>
        <v/>
      </c>
      <c r="BM28" t="str">
        <f t="shared" si="19"/>
        <v/>
      </c>
      <c r="BN28" t="str">
        <f t="shared" si="20"/>
        <v/>
      </c>
      <c r="BO28" t="str">
        <f>IFERROR(IF($C28="","",'BUDGET COMMESSA'!$G25),"")</f>
        <v/>
      </c>
      <c r="BP28" t="str">
        <f>IF($C28="","",SUMIF('COSTI DIRETTI'!$C$6:$C$505,$C28,'COSTI DIRETTI'!$H$6:$H$505)+SUMIF('SALDI AL 31.12.2025'!$A$6:$A$505,$C28,'SALDI AL 31.12.2025'!$I$6:$I$505))</f>
        <v/>
      </c>
      <c r="BQ28" t="str">
        <f t="shared" si="21"/>
        <v/>
      </c>
      <c r="BR28" t="str">
        <f t="shared" si="22"/>
        <v/>
      </c>
      <c r="BS28" t="str">
        <f>IF($C28="","",$BK28*PARAMETRI!$B$4+$BP28)</f>
        <v/>
      </c>
      <c r="BT28">
        <f t="shared" si="23"/>
        <v>0</v>
      </c>
      <c r="BU28">
        <f t="shared" si="24"/>
        <v>0</v>
      </c>
      <c r="BV28" t="str">
        <f>IF($C28="","",SUMIF('MOVIMENTI 2026'!$B$7:$B$4206,$C28,'MOVIMENTI 2026'!$P$7:$P$4206)+SUMIF('SALDI AL 31.12.2025'!$A$6:$A$505,$C28,'SALDI AL 31.12.2025'!$G$6:$G$505))</f>
        <v/>
      </c>
    </row>
    <row r="29" spans="1:74" ht="16" x14ac:dyDescent="0.15">
      <c r="A29" s="17" t="str">
        <f>IFERROR(IF($C29="","",IF(OR($BF29&gt;0,$V29&gt;$J29,AND(ISNUMBER($Q29),$Q29&gt;0),AND($BI29&lt;&gt;"",$BI29&lt;-PARAMETRI!$B$6),AND($BM29&lt;&gt;"",$BM29&gt;=1),AND($BN29&lt;&gt;"",$BN29&gt;PARAMETRI!$B$8),AND(ISNUMBER($BR29),$BR29&gt;0)),"CRITICO",IF(OR($AZ29="",LEFT($C29,5)="TEMP",$BJ29="",$BO29="",ANAGRAFICA!$I26="",ANAGRAFICA!$J26="",$Y29="",AND(OR($I29="Finito ritenute non previste",$I29="Finito con sblocco ritenute",$I29="Finito senza sblocco ritenute"),ANAGRAFICA!$K26=""),OR(AND(ANAGRAFICA!$T26&lt;&gt;"",ANAGRAFICA!$J26&lt;&gt;ANAGRAFICA!$T26,OR(ANAGRAFICA!$R26="",ANAGRAFICA!$R26="Nessuna variazione")),AND(ANAGRAFICA!$J26="",ANAGRAFICA!$R26&lt;&gt;"",ANAGRAFICA!$R26&lt;&gt;"Nessuna variazione")),AND($BI29&lt;&gt;"",$BI29&lt;-PARAMETRI!$B$5),AND($BN29&lt;&gt;"",$BN29&gt;PARAMETRI!$B$7),AND($W29&gt;0,$M29&gt;$W29*PARAMETRI!$B$9),AND($O29&gt;0,OR($I29="Finito ritenute non previste",$I29="Finito con sblocco ritenute",$I29="Finito senza sblocco ritenute")),AND($BA29&gt;0,$BO29&gt;0,$BP29=0),AND(OR($I29="Finito ritenute non previste",$I29="Finito con sblocco ritenute",$I29="Finito senza sblocco ritenute"),$W29&gt;0,$N29&gt;$W29*PARAMETRI!$B$9),$V29&gt;0),"ATTENZIONE","REGOLARE"))),"ATTENZIONE")</f>
        <v/>
      </c>
      <c r="B29" s="17" t="str">
        <f>IFERROR(IF($C29="","",IF($BF29&gt;0,"FATTURATO OLTRE VALORE RECUPERABILE; ","")&amp;IF($V29&gt;$J29,"PERDITE ACCETTATE OLTRE CONTRATTO; ","")&amp;IF($V29&gt;0,"PERDITA SAL ACCETTATA (€ "&amp;TEXT($V29,"#,##0.00")&amp;"); ","")&amp;IF(AND(ISNUMBER($Q29),$Q29&gt;0),"RITARDO PRODUTTIVO ("&amp;TEXT($Q29,"0")&amp;" GG); ","")&amp;IF(AND($BI29&lt;&gt;"",$BI29&lt;-PARAMETRI!$B$5),"AVANZAMENTO PIÙ LENTO DEL TEMPO; ","")&amp;IF(AND($BM29&lt;&gt;"",$BM29&gt;1),"ORE OLTRE BUDGET; ","")&amp;IF(AND($BM29&lt;&gt;"",$BM29=1),"ORE PREVENTIVATE ESAURITE; ","")&amp;IF(AND($BN29&lt;&gt;"",$BN29&gt;PARAMETRI!$B$7),"CONSUMO ORE SUPERIORE ALL'AVANZAMENTO; ","")&amp;IF(AND(ISNUMBER($BR29),$BR29&gt;0),"COSTI DIRETTI OLTRE BUDGET; ","")&amp;IF(AND($W29&gt;0,$M29&gt;$W29*PARAMETRI!$B$9),"SAL MATURATO NON FATTURATO; ","")&amp;IF(AND($O29&gt;0,OR($I29="Finito ritenute non previste",$I29="Finito con sblocco ritenute",$I29="Finito senza sblocco ritenute")),"RITENUTE DA SBLOCCARE; ","")&amp;IF(AND($BA29&gt;0,$BO29&gt;0,$BP29=0),"COSTI DIRETTI NON REGISTRATI; ","")&amp;IF(AND(OR($I29="Finito ritenute non previste",$I29="Finito con sblocco ritenute",$I29="Finito senza sblocco ritenute"),$W29&gt;0,$N29&gt;$W29*PARAMETRI!$B$9),"CANTIERE FINITO CON RESIDUO LAVORI; ","")&amp;IF(AND(OR($I29="Finito ritenute non previste",$I29="Finito con sblocco ritenute",$I29="Finito senza sblocco ritenute"),ANAGRAFICA!$K26=""),"DATA FINE EFFETTIVA MANCANTE; ","")&amp;IF(OR(AND(ANAGRAFICA!$T26&lt;&gt;"",ANAGRAFICA!$J26&lt;&gt;ANAGRAFICA!$T26,OR(ANAGRAFICA!$R26="",ANAGRAFICA!$R26="Nessuna variazione")),AND(ANAGRAFICA!$J26="",ANAGRAFICA!$R26&lt;&gt;"",ANAGRAFICA!$R26&lt;&gt;"Nessuna variazione")),"GESTIONE DATA FINE INCOMPLETA; ","")&amp;IF($Y29="","AGGIORNATO AL MANCANTE; ","")&amp;IF(OR($AZ29="",$BJ29="",$BO29="",ANAGRAFICA!$I26="",ANAGRAFICA!$J26=""),"DATI PREVISIONALI INCOMPLETI; ","")&amp;IF(LEFT($C29,5)="TEMP","CODICE COMMESSA TEMPORANEO; ","")),"DATI INCOMPLETI; ")</f>
        <v/>
      </c>
      <c r="C29" s="17" t="str">
        <f>IF(ANAGRAFICA!$B26="","",ANAGRAFICA!$B26)</f>
        <v/>
      </c>
      <c r="D29" s="17" t="str">
        <f>IF($C29="","",ANAGRAFICA!$C26)</f>
        <v/>
      </c>
      <c r="E29" s="17" t="str">
        <f>IF($C29="","",ANAGRAFICA!$D26)</f>
        <v/>
      </c>
      <c r="F29" s="17" t="str">
        <f>IF($C29="","",ANAGRAFICA!$E26)</f>
        <v/>
      </c>
      <c r="G29" s="17" t="str">
        <f>IF($C29="","",ANAGRAFICA!$F26)</f>
        <v/>
      </c>
      <c r="H29" s="17" t="str">
        <f>IF($C29="","",ANAGRAFICA!$G26)</f>
        <v/>
      </c>
      <c r="I29" s="17" t="str">
        <f>IF($C29="","",ANAGRAFICA!$L26)</f>
        <v/>
      </c>
      <c r="J29" s="16" t="str">
        <f t="shared" si="1"/>
        <v/>
      </c>
      <c r="K29" s="16" t="str">
        <f t="shared" si="2"/>
        <v/>
      </c>
      <c r="L29" s="16" t="str">
        <f t="shared" si="3"/>
        <v/>
      </c>
      <c r="M29" s="16" t="str">
        <f t="shared" si="4"/>
        <v/>
      </c>
      <c r="N29" s="16" t="str">
        <f t="shared" si="5"/>
        <v/>
      </c>
      <c r="O29" s="16" t="str">
        <f t="shared" si="6"/>
        <v/>
      </c>
      <c r="P29" s="17" t="str">
        <f t="shared" si="7"/>
        <v/>
      </c>
      <c r="Q29" s="31" t="str">
        <f>IF(OR($C29="",'BUDGET COMMESSA'!$D26="",'BUDGET COMMESSA'!$D26&lt;=0,ANAGRAFICA!$J26=""),"",IF(OR($I29="Finito ritenute non previste",$I29="Finito con sblocco ritenute",$I29="Finito senza sblocco ritenute"),0,IF(AND($BK29&gt;=$BJ29,ANAGRAFICA!$R26="Ritardo produttivo FIDA"),IF(ANAGRAFICA!$T26&lt;&gt;"",MAX(0,ANAGRAFICA!$J26-ANAGRAFICA!$T26),MAX(0,$Y29-ANAGRAFICA!$J26)),0)))</f>
        <v/>
      </c>
      <c r="R29" s="17" t="str">
        <f t="shared" si="8"/>
        <v/>
      </c>
      <c r="S29" s="17" t="str">
        <f t="shared" si="9"/>
        <v/>
      </c>
      <c r="T29" s="17" t="str">
        <f t="shared" si="10"/>
        <v/>
      </c>
      <c r="U29" s="16" t="str">
        <f t="shared" si="11"/>
        <v/>
      </c>
      <c r="V29" s="16" t="str">
        <f t="shared" si="12"/>
        <v/>
      </c>
      <c r="W29" s="16" t="str">
        <f t="shared" si="13"/>
        <v/>
      </c>
      <c r="X29" s="40"/>
      <c r="Y29" s="14"/>
      <c r="AZ29" t="str">
        <f>IF($C29="","",ANAGRAFICA!$P26)</f>
        <v/>
      </c>
      <c r="BA29" t="str">
        <f>IF($C29="","",SUMIF('MOVIMENTI 2026'!$B$7:$B$4206,$C29,'MOVIMENTI 2026'!$I$7:$I$4206)+SUMIF('SALDI AL 31.12.2025'!$A$6:$A$505,$C29,'SALDI AL 31.12.2025'!$C$6:$C$505))</f>
        <v/>
      </c>
      <c r="BB29" t="str">
        <f>IF($C29="","",SUMIF('MOVIMENTI 2026'!$B$7:$B$4206,$C29,'MOVIMENTI 2026'!$J$7:$J$4206)+SUMIF('SALDI AL 31.12.2025'!$A$6:$A$505,$C29,'SALDI AL 31.12.2025'!$D$6:$D$505))</f>
        <v/>
      </c>
      <c r="BC29" t="str">
        <f>IF($C29="","",SUMIF('MOVIMENTI 2026'!$B$7:$B$4206,$C29,'MOVIMENTI 2026'!$K$7:$K$4206)+SUMIF('SALDI AL 31.12.2025'!$A$6:$A$505,$C29,'SALDI AL 31.12.2025'!$E$6:$E$505))</f>
        <v/>
      </c>
      <c r="BD29" t="str">
        <f>IF($C29="","",SUMIF('MOVIMENTI 2026'!$B$7:$B$4206,$C29,'MOVIMENTI 2026'!$L$7:$L$4206)+SUMIF('SALDI AL 31.12.2025'!$A$6:$A$505,$C29,'SALDI AL 31.12.2025'!$F$6:$F$505))</f>
        <v/>
      </c>
      <c r="BE29" t="str">
        <f t="shared" si="14"/>
        <v/>
      </c>
      <c r="BF29" t="str">
        <f t="shared" si="15"/>
        <v/>
      </c>
      <c r="BG29" t="str">
        <f t="shared" si="16"/>
        <v/>
      </c>
      <c r="BH29" t="str">
        <f>IFERROR(IF(OR($C29="",ANAGRAFICA!$I26="",ANAGRAFICA!$J26="",ANAGRAFICA!$J26&lt;=ANAGRAFICA!$I26,$Y29=""),"",IF(OR($I29="Finito ritenute non previste",$I29="Finito con sblocco ritenute",$I29="Finito senza sblocco ritenute"),1,MAX(0,MIN(1,($Y29-ANAGRAFICA!$I26)/(ANAGRAFICA!$J26-ANAGRAFICA!$I26))))),"")</f>
        <v/>
      </c>
      <c r="BI29" t="str">
        <f t="shared" si="17"/>
        <v/>
      </c>
      <c r="BJ29" t="str">
        <f>IFERROR(IF($C29="","",'BUDGET COMMESSA'!$D26),"")</f>
        <v/>
      </c>
      <c r="BK29" t="str">
        <f>IF($C29="","",SUMIF('MOVIMENTI 2026'!$B$7:$B$4206,$C29,'MOVIMENTI 2026'!$N$7:$N$4206)+SUMIF('SALDI AL 31.12.2025'!$A$6:$A$505,$C29,'SALDI AL 31.12.2025'!$H$6:$H$505))</f>
        <v/>
      </c>
      <c r="BL29" t="str">
        <f t="shared" si="18"/>
        <v/>
      </c>
      <c r="BM29" t="str">
        <f t="shared" si="19"/>
        <v/>
      </c>
      <c r="BN29" t="str">
        <f t="shared" si="20"/>
        <v/>
      </c>
      <c r="BO29" t="str">
        <f>IFERROR(IF($C29="","",'BUDGET COMMESSA'!$G26),"")</f>
        <v/>
      </c>
      <c r="BP29" t="str">
        <f>IF($C29="","",SUMIF('COSTI DIRETTI'!$C$6:$C$505,$C29,'COSTI DIRETTI'!$H$6:$H$505)+SUMIF('SALDI AL 31.12.2025'!$A$6:$A$505,$C29,'SALDI AL 31.12.2025'!$I$6:$I$505))</f>
        <v/>
      </c>
      <c r="BQ29" t="str">
        <f t="shared" si="21"/>
        <v/>
      </c>
      <c r="BR29" t="str">
        <f t="shared" si="22"/>
        <v/>
      </c>
      <c r="BS29" t="str">
        <f>IF($C29="","",$BK29*PARAMETRI!$B$4+$BP29)</f>
        <v/>
      </c>
      <c r="BT29">
        <f t="shared" si="23"/>
        <v>0</v>
      </c>
      <c r="BU29">
        <f t="shared" si="24"/>
        <v>0</v>
      </c>
      <c r="BV29" t="str">
        <f>IF($C29="","",SUMIF('MOVIMENTI 2026'!$B$7:$B$4206,$C29,'MOVIMENTI 2026'!$P$7:$P$4206)+SUMIF('SALDI AL 31.12.2025'!$A$6:$A$505,$C29,'SALDI AL 31.12.2025'!$G$6:$G$505))</f>
        <v/>
      </c>
    </row>
    <row r="30" spans="1:74" ht="16" x14ac:dyDescent="0.15">
      <c r="A30" s="17" t="str">
        <f>IFERROR(IF($C30="","",IF(OR($BF30&gt;0,$V30&gt;$J30,AND(ISNUMBER($Q30),$Q30&gt;0),AND($BI30&lt;&gt;"",$BI30&lt;-PARAMETRI!$B$6),AND($BM30&lt;&gt;"",$BM30&gt;=1),AND($BN30&lt;&gt;"",$BN30&gt;PARAMETRI!$B$8),AND(ISNUMBER($BR30),$BR30&gt;0)),"CRITICO",IF(OR($AZ30="",LEFT($C30,5)="TEMP",$BJ30="",$BO30="",ANAGRAFICA!$I27="",ANAGRAFICA!$J27="",$Y30="",AND(OR($I30="Finito ritenute non previste",$I30="Finito con sblocco ritenute",$I30="Finito senza sblocco ritenute"),ANAGRAFICA!$K27=""),OR(AND(ANAGRAFICA!$T27&lt;&gt;"",ANAGRAFICA!$J27&lt;&gt;ANAGRAFICA!$T27,OR(ANAGRAFICA!$R27="",ANAGRAFICA!$R27="Nessuna variazione")),AND(ANAGRAFICA!$J27="",ANAGRAFICA!$R27&lt;&gt;"",ANAGRAFICA!$R27&lt;&gt;"Nessuna variazione")),AND($BI30&lt;&gt;"",$BI30&lt;-PARAMETRI!$B$5),AND($BN30&lt;&gt;"",$BN30&gt;PARAMETRI!$B$7),AND($W30&gt;0,$M30&gt;$W30*PARAMETRI!$B$9),AND($O30&gt;0,OR($I30="Finito ritenute non previste",$I30="Finito con sblocco ritenute",$I30="Finito senza sblocco ritenute")),AND($BA30&gt;0,$BO30&gt;0,$BP30=0),AND(OR($I30="Finito ritenute non previste",$I30="Finito con sblocco ritenute",$I30="Finito senza sblocco ritenute"),$W30&gt;0,$N30&gt;$W30*PARAMETRI!$B$9),$V30&gt;0),"ATTENZIONE","REGOLARE"))),"ATTENZIONE")</f>
        <v/>
      </c>
      <c r="B30" s="17" t="str">
        <f>IFERROR(IF($C30="","",IF($BF30&gt;0,"FATTURATO OLTRE VALORE RECUPERABILE; ","")&amp;IF($V30&gt;$J30,"PERDITE ACCETTATE OLTRE CONTRATTO; ","")&amp;IF($V30&gt;0,"PERDITA SAL ACCETTATA (€ "&amp;TEXT($V30,"#,##0.00")&amp;"); ","")&amp;IF(AND(ISNUMBER($Q30),$Q30&gt;0),"RITARDO PRODUTTIVO ("&amp;TEXT($Q30,"0")&amp;" GG); ","")&amp;IF(AND($BI30&lt;&gt;"",$BI30&lt;-PARAMETRI!$B$5),"AVANZAMENTO PIÙ LENTO DEL TEMPO; ","")&amp;IF(AND($BM30&lt;&gt;"",$BM30&gt;1),"ORE OLTRE BUDGET; ","")&amp;IF(AND($BM30&lt;&gt;"",$BM30=1),"ORE PREVENTIVATE ESAURITE; ","")&amp;IF(AND($BN30&lt;&gt;"",$BN30&gt;PARAMETRI!$B$7),"CONSUMO ORE SUPERIORE ALL'AVANZAMENTO; ","")&amp;IF(AND(ISNUMBER($BR30),$BR30&gt;0),"COSTI DIRETTI OLTRE BUDGET; ","")&amp;IF(AND($W30&gt;0,$M30&gt;$W30*PARAMETRI!$B$9),"SAL MATURATO NON FATTURATO; ","")&amp;IF(AND($O30&gt;0,OR($I30="Finito ritenute non previste",$I30="Finito con sblocco ritenute",$I30="Finito senza sblocco ritenute")),"RITENUTE DA SBLOCCARE; ","")&amp;IF(AND($BA30&gt;0,$BO30&gt;0,$BP30=0),"COSTI DIRETTI NON REGISTRATI; ","")&amp;IF(AND(OR($I30="Finito ritenute non previste",$I30="Finito con sblocco ritenute",$I30="Finito senza sblocco ritenute"),$W30&gt;0,$N30&gt;$W30*PARAMETRI!$B$9),"CANTIERE FINITO CON RESIDUO LAVORI; ","")&amp;IF(AND(OR($I30="Finito ritenute non previste",$I30="Finito con sblocco ritenute",$I30="Finito senza sblocco ritenute"),ANAGRAFICA!$K27=""),"DATA FINE EFFETTIVA MANCANTE; ","")&amp;IF(OR(AND(ANAGRAFICA!$T27&lt;&gt;"",ANAGRAFICA!$J27&lt;&gt;ANAGRAFICA!$T27,OR(ANAGRAFICA!$R27="",ANAGRAFICA!$R27="Nessuna variazione")),AND(ANAGRAFICA!$J27="",ANAGRAFICA!$R27&lt;&gt;"",ANAGRAFICA!$R27&lt;&gt;"Nessuna variazione")),"GESTIONE DATA FINE INCOMPLETA; ","")&amp;IF($Y30="","AGGIORNATO AL MANCANTE; ","")&amp;IF(OR($AZ30="",$BJ30="",$BO30="",ANAGRAFICA!$I27="",ANAGRAFICA!$J27=""),"DATI PREVISIONALI INCOMPLETI; ","")&amp;IF(LEFT($C30,5)="TEMP","CODICE COMMESSA TEMPORANEO; ","")),"DATI INCOMPLETI; ")</f>
        <v/>
      </c>
      <c r="C30" s="17" t="str">
        <f>IF(ANAGRAFICA!$B27="","",ANAGRAFICA!$B27)</f>
        <v/>
      </c>
      <c r="D30" s="17" t="str">
        <f>IF($C30="","",ANAGRAFICA!$C27)</f>
        <v/>
      </c>
      <c r="E30" s="17" t="str">
        <f>IF($C30="","",ANAGRAFICA!$D27)</f>
        <v/>
      </c>
      <c r="F30" s="17" t="str">
        <f>IF($C30="","",ANAGRAFICA!$E27)</f>
        <v/>
      </c>
      <c r="G30" s="17" t="str">
        <f>IF($C30="","",ANAGRAFICA!$F27)</f>
        <v/>
      </c>
      <c r="H30" s="17" t="str">
        <f>IF($C30="","",ANAGRAFICA!$G27)</f>
        <v/>
      </c>
      <c r="I30" s="17" t="str">
        <f>IF($C30="","",ANAGRAFICA!$L27)</f>
        <v/>
      </c>
      <c r="J30" s="16" t="str">
        <f t="shared" si="1"/>
        <v/>
      </c>
      <c r="K30" s="16" t="str">
        <f t="shared" si="2"/>
        <v/>
      </c>
      <c r="L30" s="16" t="str">
        <f t="shared" si="3"/>
        <v/>
      </c>
      <c r="M30" s="16" t="str">
        <f t="shared" si="4"/>
        <v/>
      </c>
      <c r="N30" s="16" t="str">
        <f t="shared" si="5"/>
        <v/>
      </c>
      <c r="O30" s="16" t="str">
        <f t="shared" si="6"/>
        <v/>
      </c>
      <c r="P30" s="17" t="str">
        <f t="shared" si="7"/>
        <v/>
      </c>
      <c r="Q30" s="31" t="str">
        <f>IF(OR($C30="",'BUDGET COMMESSA'!$D27="",'BUDGET COMMESSA'!$D27&lt;=0,ANAGRAFICA!$J27=""),"",IF(OR($I30="Finito ritenute non previste",$I30="Finito con sblocco ritenute",$I30="Finito senza sblocco ritenute"),0,IF(AND($BK30&gt;=$BJ30,ANAGRAFICA!$R27="Ritardo produttivo FIDA"),IF(ANAGRAFICA!$T27&lt;&gt;"",MAX(0,ANAGRAFICA!$J27-ANAGRAFICA!$T27),MAX(0,$Y30-ANAGRAFICA!$J27)),0)))</f>
        <v/>
      </c>
      <c r="R30" s="17" t="str">
        <f t="shared" si="8"/>
        <v/>
      </c>
      <c r="S30" s="17" t="str">
        <f t="shared" si="9"/>
        <v/>
      </c>
      <c r="T30" s="17" t="str">
        <f t="shared" si="10"/>
        <v/>
      </c>
      <c r="U30" s="16" t="str">
        <f t="shared" si="11"/>
        <v/>
      </c>
      <c r="V30" s="16" t="str">
        <f t="shared" si="12"/>
        <v/>
      </c>
      <c r="W30" s="16" t="str">
        <f t="shared" si="13"/>
        <v/>
      </c>
      <c r="X30" s="40"/>
      <c r="Y30" s="14"/>
      <c r="AZ30" t="str">
        <f>IF($C30="","",ANAGRAFICA!$P27)</f>
        <v/>
      </c>
      <c r="BA30" t="str">
        <f>IF($C30="","",SUMIF('MOVIMENTI 2026'!$B$7:$B$4206,$C30,'MOVIMENTI 2026'!$I$7:$I$4206)+SUMIF('SALDI AL 31.12.2025'!$A$6:$A$505,$C30,'SALDI AL 31.12.2025'!$C$6:$C$505))</f>
        <v/>
      </c>
      <c r="BB30" t="str">
        <f>IF($C30="","",SUMIF('MOVIMENTI 2026'!$B$7:$B$4206,$C30,'MOVIMENTI 2026'!$J$7:$J$4206)+SUMIF('SALDI AL 31.12.2025'!$A$6:$A$505,$C30,'SALDI AL 31.12.2025'!$D$6:$D$505))</f>
        <v/>
      </c>
      <c r="BC30" t="str">
        <f>IF($C30="","",SUMIF('MOVIMENTI 2026'!$B$7:$B$4206,$C30,'MOVIMENTI 2026'!$K$7:$K$4206)+SUMIF('SALDI AL 31.12.2025'!$A$6:$A$505,$C30,'SALDI AL 31.12.2025'!$E$6:$E$505))</f>
        <v/>
      </c>
      <c r="BD30" t="str">
        <f>IF($C30="","",SUMIF('MOVIMENTI 2026'!$B$7:$B$4206,$C30,'MOVIMENTI 2026'!$L$7:$L$4206)+SUMIF('SALDI AL 31.12.2025'!$A$6:$A$505,$C30,'SALDI AL 31.12.2025'!$F$6:$F$505))</f>
        <v/>
      </c>
      <c r="BE30" t="str">
        <f t="shared" si="14"/>
        <v/>
      </c>
      <c r="BF30" t="str">
        <f t="shared" si="15"/>
        <v/>
      </c>
      <c r="BG30" t="str">
        <f t="shared" si="16"/>
        <v/>
      </c>
      <c r="BH30" t="str">
        <f>IFERROR(IF(OR($C30="",ANAGRAFICA!$I27="",ANAGRAFICA!$J27="",ANAGRAFICA!$J27&lt;=ANAGRAFICA!$I27,$Y30=""),"",IF(OR($I30="Finito ritenute non previste",$I30="Finito con sblocco ritenute",$I30="Finito senza sblocco ritenute"),1,MAX(0,MIN(1,($Y30-ANAGRAFICA!$I27)/(ANAGRAFICA!$J27-ANAGRAFICA!$I27))))),"")</f>
        <v/>
      </c>
      <c r="BI30" t="str">
        <f t="shared" si="17"/>
        <v/>
      </c>
      <c r="BJ30" t="str">
        <f>IFERROR(IF($C30="","",'BUDGET COMMESSA'!$D27),"")</f>
        <v/>
      </c>
      <c r="BK30" t="str">
        <f>IF($C30="","",SUMIF('MOVIMENTI 2026'!$B$7:$B$4206,$C30,'MOVIMENTI 2026'!$N$7:$N$4206)+SUMIF('SALDI AL 31.12.2025'!$A$6:$A$505,$C30,'SALDI AL 31.12.2025'!$H$6:$H$505))</f>
        <v/>
      </c>
      <c r="BL30" t="str">
        <f t="shared" si="18"/>
        <v/>
      </c>
      <c r="BM30" t="str">
        <f t="shared" si="19"/>
        <v/>
      </c>
      <c r="BN30" t="str">
        <f t="shared" si="20"/>
        <v/>
      </c>
      <c r="BO30" t="str">
        <f>IFERROR(IF($C30="","",'BUDGET COMMESSA'!$G27),"")</f>
        <v/>
      </c>
      <c r="BP30" t="str">
        <f>IF($C30="","",SUMIF('COSTI DIRETTI'!$C$6:$C$505,$C30,'COSTI DIRETTI'!$H$6:$H$505)+SUMIF('SALDI AL 31.12.2025'!$A$6:$A$505,$C30,'SALDI AL 31.12.2025'!$I$6:$I$505))</f>
        <v/>
      </c>
      <c r="BQ30" t="str">
        <f t="shared" si="21"/>
        <v/>
      </c>
      <c r="BR30" t="str">
        <f t="shared" si="22"/>
        <v/>
      </c>
      <c r="BS30" t="str">
        <f>IF($C30="","",$BK30*PARAMETRI!$B$4+$BP30)</f>
        <v/>
      </c>
      <c r="BT30">
        <f t="shared" si="23"/>
        <v>0</v>
      </c>
      <c r="BU30">
        <f t="shared" si="24"/>
        <v>0</v>
      </c>
      <c r="BV30" t="str">
        <f>IF($C30="","",SUMIF('MOVIMENTI 2026'!$B$7:$B$4206,$C30,'MOVIMENTI 2026'!$P$7:$P$4206)+SUMIF('SALDI AL 31.12.2025'!$A$6:$A$505,$C30,'SALDI AL 31.12.2025'!$G$6:$G$505))</f>
        <v/>
      </c>
    </row>
    <row r="31" spans="1:74" ht="16" x14ac:dyDescent="0.15">
      <c r="A31" s="17" t="str">
        <f>IFERROR(IF($C31="","",IF(OR($BF31&gt;0,$V31&gt;$J31,AND(ISNUMBER($Q31),$Q31&gt;0),AND($BI31&lt;&gt;"",$BI31&lt;-PARAMETRI!$B$6),AND($BM31&lt;&gt;"",$BM31&gt;=1),AND($BN31&lt;&gt;"",$BN31&gt;PARAMETRI!$B$8),AND(ISNUMBER($BR31),$BR31&gt;0)),"CRITICO",IF(OR($AZ31="",LEFT($C31,5)="TEMP",$BJ31="",$BO31="",ANAGRAFICA!$I28="",ANAGRAFICA!$J28="",$Y31="",AND(OR($I31="Finito ritenute non previste",$I31="Finito con sblocco ritenute",$I31="Finito senza sblocco ritenute"),ANAGRAFICA!$K28=""),OR(AND(ANAGRAFICA!$T28&lt;&gt;"",ANAGRAFICA!$J28&lt;&gt;ANAGRAFICA!$T28,OR(ANAGRAFICA!$R28="",ANAGRAFICA!$R28="Nessuna variazione")),AND(ANAGRAFICA!$J28="",ANAGRAFICA!$R28&lt;&gt;"",ANAGRAFICA!$R28&lt;&gt;"Nessuna variazione")),AND($BI31&lt;&gt;"",$BI31&lt;-PARAMETRI!$B$5),AND($BN31&lt;&gt;"",$BN31&gt;PARAMETRI!$B$7),AND($W31&gt;0,$M31&gt;$W31*PARAMETRI!$B$9),AND($O31&gt;0,OR($I31="Finito ritenute non previste",$I31="Finito con sblocco ritenute",$I31="Finito senza sblocco ritenute")),AND($BA31&gt;0,$BO31&gt;0,$BP31=0),AND(OR($I31="Finito ritenute non previste",$I31="Finito con sblocco ritenute",$I31="Finito senza sblocco ritenute"),$W31&gt;0,$N31&gt;$W31*PARAMETRI!$B$9),$V31&gt;0),"ATTENZIONE","REGOLARE"))),"ATTENZIONE")</f>
        <v/>
      </c>
      <c r="B31" s="17" t="str">
        <f>IFERROR(IF($C31="","",IF($BF31&gt;0,"FATTURATO OLTRE VALORE RECUPERABILE; ","")&amp;IF($V31&gt;$J31,"PERDITE ACCETTATE OLTRE CONTRATTO; ","")&amp;IF($V31&gt;0,"PERDITA SAL ACCETTATA (€ "&amp;TEXT($V31,"#,##0.00")&amp;"); ","")&amp;IF(AND(ISNUMBER($Q31),$Q31&gt;0),"RITARDO PRODUTTIVO ("&amp;TEXT($Q31,"0")&amp;" GG); ","")&amp;IF(AND($BI31&lt;&gt;"",$BI31&lt;-PARAMETRI!$B$5),"AVANZAMENTO PIÙ LENTO DEL TEMPO; ","")&amp;IF(AND($BM31&lt;&gt;"",$BM31&gt;1),"ORE OLTRE BUDGET; ","")&amp;IF(AND($BM31&lt;&gt;"",$BM31=1),"ORE PREVENTIVATE ESAURITE; ","")&amp;IF(AND($BN31&lt;&gt;"",$BN31&gt;PARAMETRI!$B$7),"CONSUMO ORE SUPERIORE ALL'AVANZAMENTO; ","")&amp;IF(AND(ISNUMBER($BR31),$BR31&gt;0),"COSTI DIRETTI OLTRE BUDGET; ","")&amp;IF(AND($W31&gt;0,$M31&gt;$W31*PARAMETRI!$B$9),"SAL MATURATO NON FATTURATO; ","")&amp;IF(AND($O31&gt;0,OR($I31="Finito ritenute non previste",$I31="Finito con sblocco ritenute",$I31="Finito senza sblocco ritenute")),"RITENUTE DA SBLOCCARE; ","")&amp;IF(AND($BA31&gt;0,$BO31&gt;0,$BP31=0),"COSTI DIRETTI NON REGISTRATI; ","")&amp;IF(AND(OR($I31="Finito ritenute non previste",$I31="Finito con sblocco ritenute",$I31="Finito senza sblocco ritenute"),$W31&gt;0,$N31&gt;$W31*PARAMETRI!$B$9),"CANTIERE FINITO CON RESIDUO LAVORI; ","")&amp;IF(AND(OR($I31="Finito ritenute non previste",$I31="Finito con sblocco ritenute",$I31="Finito senza sblocco ritenute"),ANAGRAFICA!$K28=""),"DATA FINE EFFETTIVA MANCANTE; ","")&amp;IF(OR(AND(ANAGRAFICA!$T28&lt;&gt;"",ANAGRAFICA!$J28&lt;&gt;ANAGRAFICA!$T28,OR(ANAGRAFICA!$R28="",ANAGRAFICA!$R28="Nessuna variazione")),AND(ANAGRAFICA!$J28="",ANAGRAFICA!$R28&lt;&gt;"",ANAGRAFICA!$R28&lt;&gt;"Nessuna variazione")),"GESTIONE DATA FINE INCOMPLETA; ","")&amp;IF($Y31="","AGGIORNATO AL MANCANTE; ","")&amp;IF(OR($AZ31="",$BJ31="",$BO31="",ANAGRAFICA!$I28="",ANAGRAFICA!$J28=""),"DATI PREVISIONALI INCOMPLETI; ","")&amp;IF(LEFT($C31,5)="TEMP","CODICE COMMESSA TEMPORANEO; ","")),"DATI INCOMPLETI; ")</f>
        <v/>
      </c>
      <c r="C31" s="17" t="str">
        <f>IF(ANAGRAFICA!$B28="","",ANAGRAFICA!$B28)</f>
        <v/>
      </c>
      <c r="D31" s="17" t="str">
        <f>IF($C31="","",ANAGRAFICA!$C28)</f>
        <v/>
      </c>
      <c r="E31" s="17" t="str">
        <f>IF($C31="","",ANAGRAFICA!$D28)</f>
        <v/>
      </c>
      <c r="F31" s="17" t="str">
        <f>IF($C31="","",ANAGRAFICA!$E28)</f>
        <v/>
      </c>
      <c r="G31" s="17" t="str">
        <f>IF($C31="","",ANAGRAFICA!$F28)</f>
        <v/>
      </c>
      <c r="H31" s="17" t="str">
        <f>IF($C31="","",ANAGRAFICA!$G28)</f>
        <v/>
      </c>
      <c r="I31" s="17" t="str">
        <f>IF($C31="","",ANAGRAFICA!$L28)</f>
        <v/>
      </c>
      <c r="J31" s="16" t="str">
        <f t="shared" si="1"/>
        <v/>
      </c>
      <c r="K31" s="16" t="str">
        <f t="shared" si="2"/>
        <v/>
      </c>
      <c r="L31" s="16" t="str">
        <f t="shared" si="3"/>
        <v/>
      </c>
      <c r="M31" s="16" t="str">
        <f t="shared" si="4"/>
        <v/>
      </c>
      <c r="N31" s="16" t="str">
        <f t="shared" si="5"/>
        <v/>
      </c>
      <c r="O31" s="16" t="str">
        <f t="shared" si="6"/>
        <v/>
      </c>
      <c r="P31" s="17" t="str">
        <f t="shared" si="7"/>
        <v/>
      </c>
      <c r="Q31" s="31" t="str">
        <f>IF(OR($C31="",'BUDGET COMMESSA'!$D28="",'BUDGET COMMESSA'!$D28&lt;=0,ANAGRAFICA!$J28=""),"",IF(OR($I31="Finito ritenute non previste",$I31="Finito con sblocco ritenute",$I31="Finito senza sblocco ritenute"),0,IF(AND($BK31&gt;=$BJ31,ANAGRAFICA!$R28="Ritardo produttivo FIDA"),IF(ANAGRAFICA!$T28&lt;&gt;"",MAX(0,ANAGRAFICA!$J28-ANAGRAFICA!$T28),MAX(0,$Y31-ANAGRAFICA!$J28)),0)))</f>
        <v/>
      </c>
      <c r="R31" s="17" t="str">
        <f t="shared" si="8"/>
        <v/>
      </c>
      <c r="S31" s="17" t="str">
        <f t="shared" si="9"/>
        <v/>
      </c>
      <c r="T31" s="17" t="str">
        <f t="shared" si="10"/>
        <v/>
      </c>
      <c r="U31" s="16" t="str">
        <f t="shared" si="11"/>
        <v/>
      </c>
      <c r="V31" s="16" t="str">
        <f t="shared" si="12"/>
        <v/>
      </c>
      <c r="W31" s="16" t="str">
        <f t="shared" si="13"/>
        <v/>
      </c>
      <c r="X31" s="40"/>
      <c r="Y31" s="14"/>
      <c r="AZ31" t="str">
        <f>IF($C31="","",ANAGRAFICA!$P28)</f>
        <v/>
      </c>
      <c r="BA31" t="str">
        <f>IF($C31="","",SUMIF('MOVIMENTI 2026'!$B$7:$B$4206,$C31,'MOVIMENTI 2026'!$I$7:$I$4206)+SUMIF('SALDI AL 31.12.2025'!$A$6:$A$505,$C31,'SALDI AL 31.12.2025'!$C$6:$C$505))</f>
        <v/>
      </c>
      <c r="BB31" t="str">
        <f>IF($C31="","",SUMIF('MOVIMENTI 2026'!$B$7:$B$4206,$C31,'MOVIMENTI 2026'!$J$7:$J$4206)+SUMIF('SALDI AL 31.12.2025'!$A$6:$A$505,$C31,'SALDI AL 31.12.2025'!$D$6:$D$505))</f>
        <v/>
      </c>
      <c r="BC31" t="str">
        <f>IF($C31="","",SUMIF('MOVIMENTI 2026'!$B$7:$B$4206,$C31,'MOVIMENTI 2026'!$K$7:$K$4206)+SUMIF('SALDI AL 31.12.2025'!$A$6:$A$505,$C31,'SALDI AL 31.12.2025'!$E$6:$E$505))</f>
        <v/>
      </c>
      <c r="BD31" t="str">
        <f>IF($C31="","",SUMIF('MOVIMENTI 2026'!$B$7:$B$4206,$C31,'MOVIMENTI 2026'!$L$7:$L$4206)+SUMIF('SALDI AL 31.12.2025'!$A$6:$A$505,$C31,'SALDI AL 31.12.2025'!$F$6:$F$505))</f>
        <v/>
      </c>
      <c r="BE31" t="str">
        <f t="shared" si="14"/>
        <v/>
      </c>
      <c r="BF31" t="str">
        <f t="shared" si="15"/>
        <v/>
      </c>
      <c r="BG31" t="str">
        <f t="shared" si="16"/>
        <v/>
      </c>
      <c r="BH31" t="str">
        <f>IFERROR(IF(OR($C31="",ANAGRAFICA!$I28="",ANAGRAFICA!$J28="",ANAGRAFICA!$J28&lt;=ANAGRAFICA!$I28,$Y31=""),"",IF(OR($I31="Finito ritenute non previste",$I31="Finito con sblocco ritenute",$I31="Finito senza sblocco ritenute"),1,MAX(0,MIN(1,($Y31-ANAGRAFICA!$I28)/(ANAGRAFICA!$J28-ANAGRAFICA!$I28))))),"")</f>
        <v/>
      </c>
      <c r="BI31" t="str">
        <f t="shared" si="17"/>
        <v/>
      </c>
      <c r="BJ31" t="str">
        <f>IFERROR(IF($C31="","",'BUDGET COMMESSA'!$D28),"")</f>
        <v/>
      </c>
      <c r="BK31" t="str">
        <f>IF($C31="","",SUMIF('MOVIMENTI 2026'!$B$7:$B$4206,$C31,'MOVIMENTI 2026'!$N$7:$N$4206)+SUMIF('SALDI AL 31.12.2025'!$A$6:$A$505,$C31,'SALDI AL 31.12.2025'!$H$6:$H$505))</f>
        <v/>
      </c>
      <c r="BL31" t="str">
        <f t="shared" si="18"/>
        <v/>
      </c>
      <c r="BM31" t="str">
        <f t="shared" si="19"/>
        <v/>
      </c>
      <c r="BN31" t="str">
        <f t="shared" si="20"/>
        <v/>
      </c>
      <c r="BO31" t="str">
        <f>IFERROR(IF($C31="","",'BUDGET COMMESSA'!$G28),"")</f>
        <v/>
      </c>
      <c r="BP31" t="str">
        <f>IF($C31="","",SUMIF('COSTI DIRETTI'!$C$6:$C$505,$C31,'COSTI DIRETTI'!$H$6:$H$505)+SUMIF('SALDI AL 31.12.2025'!$A$6:$A$505,$C31,'SALDI AL 31.12.2025'!$I$6:$I$505))</f>
        <v/>
      </c>
      <c r="BQ31" t="str">
        <f t="shared" si="21"/>
        <v/>
      </c>
      <c r="BR31" t="str">
        <f t="shared" si="22"/>
        <v/>
      </c>
      <c r="BS31" t="str">
        <f>IF($C31="","",$BK31*PARAMETRI!$B$4+$BP31)</f>
        <v/>
      </c>
      <c r="BT31">
        <f t="shared" si="23"/>
        <v>0</v>
      </c>
      <c r="BU31">
        <f t="shared" si="24"/>
        <v>0</v>
      </c>
      <c r="BV31" t="str">
        <f>IF($C31="","",SUMIF('MOVIMENTI 2026'!$B$7:$B$4206,$C31,'MOVIMENTI 2026'!$P$7:$P$4206)+SUMIF('SALDI AL 31.12.2025'!$A$6:$A$505,$C31,'SALDI AL 31.12.2025'!$G$6:$G$505))</f>
        <v/>
      </c>
    </row>
    <row r="32" spans="1:74" ht="16" x14ac:dyDescent="0.15">
      <c r="A32" s="17" t="str">
        <f>IFERROR(IF($C32="","",IF(OR($BF32&gt;0,$V32&gt;$J32,AND(ISNUMBER($Q32),$Q32&gt;0),AND($BI32&lt;&gt;"",$BI32&lt;-PARAMETRI!$B$6),AND($BM32&lt;&gt;"",$BM32&gt;=1),AND($BN32&lt;&gt;"",$BN32&gt;PARAMETRI!$B$8),AND(ISNUMBER($BR32),$BR32&gt;0)),"CRITICO",IF(OR($AZ32="",LEFT($C32,5)="TEMP",$BJ32="",$BO32="",ANAGRAFICA!$I29="",ANAGRAFICA!$J29="",$Y32="",AND(OR($I32="Finito ritenute non previste",$I32="Finito con sblocco ritenute",$I32="Finito senza sblocco ritenute"),ANAGRAFICA!$K29=""),OR(AND(ANAGRAFICA!$T29&lt;&gt;"",ANAGRAFICA!$J29&lt;&gt;ANAGRAFICA!$T29,OR(ANAGRAFICA!$R29="",ANAGRAFICA!$R29="Nessuna variazione")),AND(ANAGRAFICA!$J29="",ANAGRAFICA!$R29&lt;&gt;"",ANAGRAFICA!$R29&lt;&gt;"Nessuna variazione")),AND($BI32&lt;&gt;"",$BI32&lt;-PARAMETRI!$B$5),AND($BN32&lt;&gt;"",$BN32&gt;PARAMETRI!$B$7),AND($W32&gt;0,$M32&gt;$W32*PARAMETRI!$B$9),AND($O32&gt;0,OR($I32="Finito ritenute non previste",$I32="Finito con sblocco ritenute",$I32="Finito senza sblocco ritenute")),AND($BA32&gt;0,$BO32&gt;0,$BP32=0),AND(OR($I32="Finito ritenute non previste",$I32="Finito con sblocco ritenute",$I32="Finito senza sblocco ritenute"),$W32&gt;0,$N32&gt;$W32*PARAMETRI!$B$9),$V32&gt;0),"ATTENZIONE","REGOLARE"))),"ATTENZIONE")</f>
        <v/>
      </c>
      <c r="B32" s="17" t="str">
        <f>IFERROR(IF($C32="","",IF($BF32&gt;0,"FATTURATO OLTRE VALORE RECUPERABILE; ","")&amp;IF($V32&gt;$J32,"PERDITE ACCETTATE OLTRE CONTRATTO; ","")&amp;IF($V32&gt;0,"PERDITA SAL ACCETTATA (€ "&amp;TEXT($V32,"#,##0.00")&amp;"); ","")&amp;IF(AND(ISNUMBER($Q32),$Q32&gt;0),"RITARDO PRODUTTIVO ("&amp;TEXT($Q32,"0")&amp;" GG); ","")&amp;IF(AND($BI32&lt;&gt;"",$BI32&lt;-PARAMETRI!$B$5),"AVANZAMENTO PIÙ LENTO DEL TEMPO; ","")&amp;IF(AND($BM32&lt;&gt;"",$BM32&gt;1),"ORE OLTRE BUDGET; ","")&amp;IF(AND($BM32&lt;&gt;"",$BM32=1),"ORE PREVENTIVATE ESAURITE; ","")&amp;IF(AND($BN32&lt;&gt;"",$BN32&gt;PARAMETRI!$B$7),"CONSUMO ORE SUPERIORE ALL'AVANZAMENTO; ","")&amp;IF(AND(ISNUMBER($BR32),$BR32&gt;0),"COSTI DIRETTI OLTRE BUDGET; ","")&amp;IF(AND($W32&gt;0,$M32&gt;$W32*PARAMETRI!$B$9),"SAL MATURATO NON FATTURATO; ","")&amp;IF(AND($O32&gt;0,OR($I32="Finito ritenute non previste",$I32="Finito con sblocco ritenute",$I32="Finito senza sblocco ritenute")),"RITENUTE DA SBLOCCARE; ","")&amp;IF(AND($BA32&gt;0,$BO32&gt;0,$BP32=0),"COSTI DIRETTI NON REGISTRATI; ","")&amp;IF(AND(OR($I32="Finito ritenute non previste",$I32="Finito con sblocco ritenute",$I32="Finito senza sblocco ritenute"),$W32&gt;0,$N32&gt;$W32*PARAMETRI!$B$9),"CANTIERE FINITO CON RESIDUO LAVORI; ","")&amp;IF(AND(OR($I32="Finito ritenute non previste",$I32="Finito con sblocco ritenute",$I32="Finito senza sblocco ritenute"),ANAGRAFICA!$K29=""),"DATA FINE EFFETTIVA MANCANTE; ","")&amp;IF(OR(AND(ANAGRAFICA!$T29&lt;&gt;"",ANAGRAFICA!$J29&lt;&gt;ANAGRAFICA!$T29,OR(ANAGRAFICA!$R29="",ANAGRAFICA!$R29="Nessuna variazione")),AND(ANAGRAFICA!$J29="",ANAGRAFICA!$R29&lt;&gt;"",ANAGRAFICA!$R29&lt;&gt;"Nessuna variazione")),"GESTIONE DATA FINE INCOMPLETA; ","")&amp;IF($Y32="","AGGIORNATO AL MANCANTE; ","")&amp;IF(OR($AZ32="",$BJ32="",$BO32="",ANAGRAFICA!$I29="",ANAGRAFICA!$J29=""),"DATI PREVISIONALI INCOMPLETI; ","")&amp;IF(LEFT($C32,5)="TEMP","CODICE COMMESSA TEMPORANEO; ","")),"DATI INCOMPLETI; ")</f>
        <v/>
      </c>
      <c r="C32" s="17" t="str">
        <f>IF(ANAGRAFICA!$B29="","",ANAGRAFICA!$B29)</f>
        <v/>
      </c>
      <c r="D32" s="17" t="str">
        <f>IF($C32="","",ANAGRAFICA!$C29)</f>
        <v/>
      </c>
      <c r="E32" s="17" t="str">
        <f>IF($C32="","",ANAGRAFICA!$D29)</f>
        <v/>
      </c>
      <c r="F32" s="17" t="str">
        <f>IF($C32="","",ANAGRAFICA!$E29)</f>
        <v/>
      </c>
      <c r="G32" s="17" t="str">
        <f>IF($C32="","",ANAGRAFICA!$F29)</f>
        <v/>
      </c>
      <c r="H32" s="17" t="str">
        <f>IF($C32="","",ANAGRAFICA!$G29)</f>
        <v/>
      </c>
      <c r="I32" s="17" t="str">
        <f>IF($C32="","",ANAGRAFICA!$L29)</f>
        <v/>
      </c>
      <c r="J32" s="16" t="str">
        <f t="shared" si="1"/>
        <v/>
      </c>
      <c r="K32" s="16" t="str">
        <f t="shared" si="2"/>
        <v/>
      </c>
      <c r="L32" s="16" t="str">
        <f t="shared" si="3"/>
        <v/>
      </c>
      <c r="M32" s="16" t="str">
        <f t="shared" si="4"/>
        <v/>
      </c>
      <c r="N32" s="16" t="str">
        <f t="shared" si="5"/>
        <v/>
      </c>
      <c r="O32" s="16" t="str">
        <f t="shared" si="6"/>
        <v/>
      </c>
      <c r="P32" s="17" t="str">
        <f t="shared" si="7"/>
        <v/>
      </c>
      <c r="Q32" s="31" t="str">
        <f>IF(OR($C32="",'BUDGET COMMESSA'!$D29="",'BUDGET COMMESSA'!$D29&lt;=0,ANAGRAFICA!$J29=""),"",IF(OR($I32="Finito ritenute non previste",$I32="Finito con sblocco ritenute",$I32="Finito senza sblocco ritenute"),0,IF(AND($BK32&gt;=$BJ32,ANAGRAFICA!$R29="Ritardo produttivo FIDA"),IF(ANAGRAFICA!$T29&lt;&gt;"",MAX(0,ANAGRAFICA!$J29-ANAGRAFICA!$T29),MAX(0,$Y32-ANAGRAFICA!$J29)),0)))</f>
        <v/>
      </c>
      <c r="R32" s="17" t="str">
        <f t="shared" si="8"/>
        <v/>
      </c>
      <c r="S32" s="17" t="str">
        <f t="shared" si="9"/>
        <v/>
      </c>
      <c r="T32" s="17" t="str">
        <f t="shared" si="10"/>
        <v/>
      </c>
      <c r="U32" s="16" t="str">
        <f t="shared" si="11"/>
        <v/>
      </c>
      <c r="V32" s="16" t="str">
        <f t="shared" si="12"/>
        <v/>
      </c>
      <c r="W32" s="16" t="str">
        <f t="shared" si="13"/>
        <v/>
      </c>
      <c r="X32" s="40"/>
      <c r="Y32" s="14"/>
      <c r="AZ32" t="str">
        <f>IF($C32="","",ANAGRAFICA!$P29)</f>
        <v/>
      </c>
      <c r="BA32" t="str">
        <f>IF($C32="","",SUMIF('MOVIMENTI 2026'!$B$7:$B$4206,$C32,'MOVIMENTI 2026'!$I$7:$I$4206)+SUMIF('SALDI AL 31.12.2025'!$A$6:$A$505,$C32,'SALDI AL 31.12.2025'!$C$6:$C$505))</f>
        <v/>
      </c>
      <c r="BB32" t="str">
        <f>IF($C32="","",SUMIF('MOVIMENTI 2026'!$B$7:$B$4206,$C32,'MOVIMENTI 2026'!$J$7:$J$4206)+SUMIF('SALDI AL 31.12.2025'!$A$6:$A$505,$C32,'SALDI AL 31.12.2025'!$D$6:$D$505))</f>
        <v/>
      </c>
      <c r="BC32" t="str">
        <f>IF($C32="","",SUMIF('MOVIMENTI 2026'!$B$7:$B$4206,$C32,'MOVIMENTI 2026'!$K$7:$K$4206)+SUMIF('SALDI AL 31.12.2025'!$A$6:$A$505,$C32,'SALDI AL 31.12.2025'!$E$6:$E$505))</f>
        <v/>
      </c>
      <c r="BD32" t="str">
        <f>IF($C32="","",SUMIF('MOVIMENTI 2026'!$B$7:$B$4206,$C32,'MOVIMENTI 2026'!$L$7:$L$4206)+SUMIF('SALDI AL 31.12.2025'!$A$6:$A$505,$C32,'SALDI AL 31.12.2025'!$F$6:$F$505))</f>
        <v/>
      </c>
      <c r="BE32" t="str">
        <f t="shared" si="14"/>
        <v/>
      </c>
      <c r="BF32" t="str">
        <f t="shared" si="15"/>
        <v/>
      </c>
      <c r="BG32" t="str">
        <f t="shared" si="16"/>
        <v/>
      </c>
      <c r="BH32" t="str">
        <f>IFERROR(IF(OR($C32="",ANAGRAFICA!$I29="",ANAGRAFICA!$J29="",ANAGRAFICA!$J29&lt;=ANAGRAFICA!$I29,$Y32=""),"",IF(OR($I32="Finito ritenute non previste",$I32="Finito con sblocco ritenute",$I32="Finito senza sblocco ritenute"),1,MAX(0,MIN(1,($Y32-ANAGRAFICA!$I29)/(ANAGRAFICA!$J29-ANAGRAFICA!$I29))))),"")</f>
        <v/>
      </c>
      <c r="BI32" t="str">
        <f t="shared" si="17"/>
        <v/>
      </c>
      <c r="BJ32" t="str">
        <f>IFERROR(IF($C32="","",'BUDGET COMMESSA'!$D29),"")</f>
        <v/>
      </c>
      <c r="BK32" t="str">
        <f>IF($C32="","",SUMIF('MOVIMENTI 2026'!$B$7:$B$4206,$C32,'MOVIMENTI 2026'!$N$7:$N$4206)+SUMIF('SALDI AL 31.12.2025'!$A$6:$A$505,$C32,'SALDI AL 31.12.2025'!$H$6:$H$505))</f>
        <v/>
      </c>
      <c r="BL32" t="str">
        <f t="shared" si="18"/>
        <v/>
      </c>
      <c r="BM32" t="str">
        <f t="shared" si="19"/>
        <v/>
      </c>
      <c r="BN32" t="str">
        <f t="shared" si="20"/>
        <v/>
      </c>
      <c r="BO32" t="str">
        <f>IFERROR(IF($C32="","",'BUDGET COMMESSA'!$G29),"")</f>
        <v/>
      </c>
      <c r="BP32" t="str">
        <f>IF($C32="","",SUMIF('COSTI DIRETTI'!$C$6:$C$505,$C32,'COSTI DIRETTI'!$H$6:$H$505)+SUMIF('SALDI AL 31.12.2025'!$A$6:$A$505,$C32,'SALDI AL 31.12.2025'!$I$6:$I$505))</f>
        <v/>
      </c>
      <c r="BQ32" t="str">
        <f t="shared" si="21"/>
        <v/>
      </c>
      <c r="BR32" t="str">
        <f t="shared" si="22"/>
        <v/>
      </c>
      <c r="BS32" t="str">
        <f>IF($C32="","",$BK32*PARAMETRI!$B$4+$BP32)</f>
        <v/>
      </c>
      <c r="BT32">
        <f t="shared" si="23"/>
        <v>0</v>
      </c>
      <c r="BU32">
        <f t="shared" si="24"/>
        <v>0</v>
      </c>
      <c r="BV32" t="str">
        <f>IF($C32="","",SUMIF('MOVIMENTI 2026'!$B$7:$B$4206,$C32,'MOVIMENTI 2026'!$P$7:$P$4206)+SUMIF('SALDI AL 31.12.2025'!$A$6:$A$505,$C32,'SALDI AL 31.12.2025'!$G$6:$G$505))</f>
        <v/>
      </c>
    </row>
    <row r="33" spans="1:74" ht="16" x14ac:dyDescent="0.15">
      <c r="A33" s="17" t="str">
        <f>IFERROR(IF($C33="","",IF(OR($BF33&gt;0,$V33&gt;$J33,AND(ISNUMBER($Q33),$Q33&gt;0),AND($BI33&lt;&gt;"",$BI33&lt;-PARAMETRI!$B$6),AND($BM33&lt;&gt;"",$BM33&gt;=1),AND($BN33&lt;&gt;"",$BN33&gt;PARAMETRI!$B$8),AND(ISNUMBER($BR33),$BR33&gt;0)),"CRITICO",IF(OR($AZ33="",LEFT($C33,5)="TEMP",$BJ33="",$BO33="",ANAGRAFICA!$I30="",ANAGRAFICA!$J30="",$Y33="",AND(OR($I33="Finito ritenute non previste",$I33="Finito con sblocco ritenute",$I33="Finito senza sblocco ritenute"),ANAGRAFICA!$K30=""),OR(AND(ANAGRAFICA!$T30&lt;&gt;"",ANAGRAFICA!$J30&lt;&gt;ANAGRAFICA!$T30,OR(ANAGRAFICA!$R30="",ANAGRAFICA!$R30="Nessuna variazione")),AND(ANAGRAFICA!$J30="",ANAGRAFICA!$R30&lt;&gt;"",ANAGRAFICA!$R30&lt;&gt;"Nessuna variazione")),AND($BI33&lt;&gt;"",$BI33&lt;-PARAMETRI!$B$5),AND($BN33&lt;&gt;"",$BN33&gt;PARAMETRI!$B$7),AND($W33&gt;0,$M33&gt;$W33*PARAMETRI!$B$9),AND($O33&gt;0,OR($I33="Finito ritenute non previste",$I33="Finito con sblocco ritenute",$I33="Finito senza sblocco ritenute")),AND($BA33&gt;0,$BO33&gt;0,$BP33=0),AND(OR($I33="Finito ritenute non previste",$I33="Finito con sblocco ritenute",$I33="Finito senza sblocco ritenute"),$W33&gt;0,$N33&gt;$W33*PARAMETRI!$B$9),$V33&gt;0),"ATTENZIONE","REGOLARE"))),"ATTENZIONE")</f>
        <v/>
      </c>
      <c r="B33" s="17" t="str">
        <f>IFERROR(IF($C33="","",IF($BF33&gt;0,"FATTURATO OLTRE VALORE RECUPERABILE; ","")&amp;IF($V33&gt;$J33,"PERDITE ACCETTATE OLTRE CONTRATTO; ","")&amp;IF($V33&gt;0,"PERDITA SAL ACCETTATA (€ "&amp;TEXT($V33,"#,##0.00")&amp;"); ","")&amp;IF(AND(ISNUMBER($Q33),$Q33&gt;0),"RITARDO PRODUTTIVO ("&amp;TEXT($Q33,"0")&amp;" GG); ","")&amp;IF(AND($BI33&lt;&gt;"",$BI33&lt;-PARAMETRI!$B$5),"AVANZAMENTO PIÙ LENTO DEL TEMPO; ","")&amp;IF(AND($BM33&lt;&gt;"",$BM33&gt;1),"ORE OLTRE BUDGET; ","")&amp;IF(AND($BM33&lt;&gt;"",$BM33=1),"ORE PREVENTIVATE ESAURITE; ","")&amp;IF(AND($BN33&lt;&gt;"",$BN33&gt;PARAMETRI!$B$7),"CONSUMO ORE SUPERIORE ALL'AVANZAMENTO; ","")&amp;IF(AND(ISNUMBER($BR33),$BR33&gt;0),"COSTI DIRETTI OLTRE BUDGET; ","")&amp;IF(AND($W33&gt;0,$M33&gt;$W33*PARAMETRI!$B$9),"SAL MATURATO NON FATTURATO; ","")&amp;IF(AND($O33&gt;0,OR($I33="Finito ritenute non previste",$I33="Finito con sblocco ritenute",$I33="Finito senza sblocco ritenute")),"RITENUTE DA SBLOCCARE; ","")&amp;IF(AND($BA33&gt;0,$BO33&gt;0,$BP33=0),"COSTI DIRETTI NON REGISTRATI; ","")&amp;IF(AND(OR($I33="Finito ritenute non previste",$I33="Finito con sblocco ritenute",$I33="Finito senza sblocco ritenute"),$W33&gt;0,$N33&gt;$W33*PARAMETRI!$B$9),"CANTIERE FINITO CON RESIDUO LAVORI; ","")&amp;IF(AND(OR($I33="Finito ritenute non previste",$I33="Finito con sblocco ritenute",$I33="Finito senza sblocco ritenute"),ANAGRAFICA!$K30=""),"DATA FINE EFFETTIVA MANCANTE; ","")&amp;IF(OR(AND(ANAGRAFICA!$T30&lt;&gt;"",ANAGRAFICA!$J30&lt;&gt;ANAGRAFICA!$T30,OR(ANAGRAFICA!$R30="",ANAGRAFICA!$R30="Nessuna variazione")),AND(ANAGRAFICA!$J30="",ANAGRAFICA!$R30&lt;&gt;"",ANAGRAFICA!$R30&lt;&gt;"Nessuna variazione")),"GESTIONE DATA FINE INCOMPLETA; ","")&amp;IF($Y33="","AGGIORNATO AL MANCANTE; ","")&amp;IF(OR($AZ33="",$BJ33="",$BO33="",ANAGRAFICA!$I30="",ANAGRAFICA!$J30=""),"DATI PREVISIONALI INCOMPLETI; ","")&amp;IF(LEFT($C33,5)="TEMP","CODICE COMMESSA TEMPORANEO; ","")),"DATI INCOMPLETI; ")</f>
        <v/>
      </c>
      <c r="C33" s="17" t="str">
        <f>IF(ANAGRAFICA!$B30="","",ANAGRAFICA!$B30)</f>
        <v/>
      </c>
      <c r="D33" s="17" t="str">
        <f>IF($C33="","",ANAGRAFICA!$C30)</f>
        <v/>
      </c>
      <c r="E33" s="17" t="str">
        <f>IF($C33="","",ANAGRAFICA!$D30)</f>
        <v/>
      </c>
      <c r="F33" s="17" t="str">
        <f>IF($C33="","",ANAGRAFICA!$E30)</f>
        <v/>
      </c>
      <c r="G33" s="17" t="str">
        <f>IF($C33="","",ANAGRAFICA!$F30)</f>
        <v/>
      </c>
      <c r="H33" s="17" t="str">
        <f>IF($C33="","",ANAGRAFICA!$G30)</f>
        <v/>
      </c>
      <c r="I33" s="17" t="str">
        <f>IF($C33="","",ANAGRAFICA!$L30)</f>
        <v/>
      </c>
      <c r="J33" s="16" t="str">
        <f t="shared" si="1"/>
        <v/>
      </c>
      <c r="K33" s="16" t="str">
        <f t="shared" si="2"/>
        <v/>
      </c>
      <c r="L33" s="16" t="str">
        <f t="shared" si="3"/>
        <v/>
      </c>
      <c r="M33" s="16" t="str">
        <f t="shared" si="4"/>
        <v/>
      </c>
      <c r="N33" s="16" t="str">
        <f t="shared" si="5"/>
        <v/>
      </c>
      <c r="O33" s="16" t="str">
        <f t="shared" si="6"/>
        <v/>
      </c>
      <c r="P33" s="17" t="str">
        <f t="shared" si="7"/>
        <v/>
      </c>
      <c r="Q33" s="31" t="str">
        <f>IF(OR($C33="",'BUDGET COMMESSA'!$D30="",'BUDGET COMMESSA'!$D30&lt;=0,ANAGRAFICA!$J30=""),"",IF(OR($I33="Finito ritenute non previste",$I33="Finito con sblocco ritenute",$I33="Finito senza sblocco ritenute"),0,IF(AND($BK33&gt;=$BJ33,ANAGRAFICA!$R30="Ritardo produttivo FIDA"),IF(ANAGRAFICA!$T30&lt;&gt;"",MAX(0,ANAGRAFICA!$J30-ANAGRAFICA!$T30),MAX(0,$Y33-ANAGRAFICA!$J30)),0)))</f>
        <v/>
      </c>
      <c r="R33" s="17" t="str">
        <f t="shared" si="8"/>
        <v/>
      </c>
      <c r="S33" s="17" t="str">
        <f t="shared" si="9"/>
        <v/>
      </c>
      <c r="T33" s="17" t="str">
        <f t="shared" si="10"/>
        <v/>
      </c>
      <c r="U33" s="16" t="str">
        <f t="shared" si="11"/>
        <v/>
      </c>
      <c r="V33" s="16" t="str">
        <f t="shared" si="12"/>
        <v/>
      </c>
      <c r="W33" s="16" t="str">
        <f t="shared" si="13"/>
        <v/>
      </c>
      <c r="X33" s="40"/>
      <c r="Y33" s="14"/>
      <c r="AZ33" t="str">
        <f>IF($C33="","",ANAGRAFICA!$P30)</f>
        <v/>
      </c>
      <c r="BA33" t="str">
        <f>IF($C33="","",SUMIF('MOVIMENTI 2026'!$B$7:$B$4206,$C33,'MOVIMENTI 2026'!$I$7:$I$4206)+SUMIF('SALDI AL 31.12.2025'!$A$6:$A$505,$C33,'SALDI AL 31.12.2025'!$C$6:$C$505))</f>
        <v/>
      </c>
      <c r="BB33" t="str">
        <f>IF($C33="","",SUMIF('MOVIMENTI 2026'!$B$7:$B$4206,$C33,'MOVIMENTI 2026'!$J$7:$J$4206)+SUMIF('SALDI AL 31.12.2025'!$A$6:$A$505,$C33,'SALDI AL 31.12.2025'!$D$6:$D$505))</f>
        <v/>
      </c>
      <c r="BC33" t="str">
        <f>IF($C33="","",SUMIF('MOVIMENTI 2026'!$B$7:$B$4206,$C33,'MOVIMENTI 2026'!$K$7:$K$4206)+SUMIF('SALDI AL 31.12.2025'!$A$6:$A$505,$C33,'SALDI AL 31.12.2025'!$E$6:$E$505))</f>
        <v/>
      </c>
      <c r="BD33" t="str">
        <f>IF($C33="","",SUMIF('MOVIMENTI 2026'!$B$7:$B$4206,$C33,'MOVIMENTI 2026'!$L$7:$L$4206)+SUMIF('SALDI AL 31.12.2025'!$A$6:$A$505,$C33,'SALDI AL 31.12.2025'!$F$6:$F$505))</f>
        <v/>
      </c>
      <c r="BE33" t="str">
        <f t="shared" si="14"/>
        <v/>
      </c>
      <c r="BF33" t="str">
        <f t="shared" si="15"/>
        <v/>
      </c>
      <c r="BG33" t="str">
        <f t="shared" si="16"/>
        <v/>
      </c>
      <c r="BH33" t="str">
        <f>IFERROR(IF(OR($C33="",ANAGRAFICA!$I30="",ANAGRAFICA!$J30="",ANAGRAFICA!$J30&lt;=ANAGRAFICA!$I30,$Y33=""),"",IF(OR($I33="Finito ritenute non previste",$I33="Finito con sblocco ritenute",$I33="Finito senza sblocco ritenute"),1,MAX(0,MIN(1,($Y33-ANAGRAFICA!$I30)/(ANAGRAFICA!$J30-ANAGRAFICA!$I30))))),"")</f>
        <v/>
      </c>
      <c r="BI33" t="str">
        <f t="shared" si="17"/>
        <v/>
      </c>
      <c r="BJ33" t="str">
        <f>IFERROR(IF($C33="","",'BUDGET COMMESSA'!$D30),"")</f>
        <v/>
      </c>
      <c r="BK33" t="str">
        <f>IF($C33="","",SUMIF('MOVIMENTI 2026'!$B$7:$B$4206,$C33,'MOVIMENTI 2026'!$N$7:$N$4206)+SUMIF('SALDI AL 31.12.2025'!$A$6:$A$505,$C33,'SALDI AL 31.12.2025'!$H$6:$H$505))</f>
        <v/>
      </c>
      <c r="BL33" t="str">
        <f t="shared" si="18"/>
        <v/>
      </c>
      <c r="BM33" t="str">
        <f t="shared" si="19"/>
        <v/>
      </c>
      <c r="BN33" t="str">
        <f t="shared" si="20"/>
        <v/>
      </c>
      <c r="BO33" t="str">
        <f>IFERROR(IF($C33="","",'BUDGET COMMESSA'!$G30),"")</f>
        <v/>
      </c>
      <c r="BP33" t="str">
        <f>IF($C33="","",SUMIF('COSTI DIRETTI'!$C$6:$C$505,$C33,'COSTI DIRETTI'!$H$6:$H$505)+SUMIF('SALDI AL 31.12.2025'!$A$6:$A$505,$C33,'SALDI AL 31.12.2025'!$I$6:$I$505))</f>
        <v/>
      </c>
      <c r="BQ33" t="str">
        <f t="shared" si="21"/>
        <v/>
      </c>
      <c r="BR33" t="str">
        <f t="shared" si="22"/>
        <v/>
      </c>
      <c r="BS33" t="str">
        <f>IF($C33="","",$BK33*PARAMETRI!$B$4+$BP33)</f>
        <v/>
      </c>
      <c r="BT33">
        <f t="shared" si="23"/>
        <v>0</v>
      </c>
      <c r="BU33">
        <f t="shared" si="24"/>
        <v>0</v>
      </c>
      <c r="BV33" t="str">
        <f>IF($C33="","",SUMIF('MOVIMENTI 2026'!$B$7:$B$4206,$C33,'MOVIMENTI 2026'!$P$7:$P$4206)+SUMIF('SALDI AL 31.12.2025'!$A$6:$A$505,$C33,'SALDI AL 31.12.2025'!$G$6:$G$505))</f>
        <v/>
      </c>
    </row>
    <row r="34" spans="1:74" ht="16" x14ac:dyDescent="0.15">
      <c r="A34" s="17" t="str">
        <f>IFERROR(IF($C34="","",IF(OR($BF34&gt;0,$V34&gt;$J34,AND(ISNUMBER($Q34),$Q34&gt;0),AND($BI34&lt;&gt;"",$BI34&lt;-PARAMETRI!$B$6),AND($BM34&lt;&gt;"",$BM34&gt;=1),AND($BN34&lt;&gt;"",$BN34&gt;PARAMETRI!$B$8),AND(ISNUMBER($BR34),$BR34&gt;0)),"CRITICO",IF(OR($AZ34="",LEFT($C34,5)="TEMP",$BJ34="",$BO34="",ANAGRAFICA!$I31="",ANAGRAFICA!$J31="",$Y34="",AND(OR($I34="Finito ritenute non previste",$I34="Finito con sblocco ritenute",$I34="Finito senza sblocco ritenute"),ANAGRAFICA!$K31=""),OR(AND(ANAGRAFICA!$T31&lt;&gt;"",ANAGRAFICA!$J31&lt;&gt;ANAGRAFICA!$T31,OR(ANAGRAFICA!$R31="",ANAGRAFICA!$R31="Nessuna variazione")),AND(ANAGRAFICA!$J31="",ANAGRAFICA!$R31&lt;&gt;"",ANAGRAFICA!$R31&lt;&gt;"Nessuna variazione")),AND($BI34&lt;&gt;"",$BI34&lt;-PARAMETRI!$B$5),AND($BN34&lt;&gt;"",$BN34&gt;PARAMETRI!$B$7),AND($W34&gt;0,$M34&gt;$W34*PARAMETRI!$B$9),AND($O34&gt;0,OR($I34="Finito ritenute non previste",$I34="Finito con sblocco ritenute",$I34="Finito senza sblocco ritenute")),AND($BA34&gt;0,$BO34&gt;0,$BP34=0),AND(OR($I34="Finito ritenute non previste",$I34="Finito con sblocco ritenute",$I34="Finito senza sblocco ritenute"),$W34&gt;0,$N34&gt;$W34*PARAMETRI!$B$9),$V34&gt;0),"ATTENZIONE","REGOLARE"))),"ATTENZIONE")</f>
        <v/>
      </c>
      <c r="B34" s="17" t="str">
        <f>IFERROR(IF($C34="","",IF($BF34&gt;0,"FATTURATO OLTRE VALORE RECUPERABILE; ","")&amp;IF($V34&gt;$J34,"PERDITE ACCETTATE OLTRE CONTRATTO; ","")&amp;IF($V34&gt;0,"PERDITA SAL ACCETTATA (€ "&amp;TEXT($V34,"#,##0.00")&amp;"); ","")&amp;IF(AND(ISNUMBER($Q34),$Q34&gt;0),"RITARDO PRODUTTIVO ("&amp;TEXT($Q34,"0")&amp;" GG); ","")&amp;IF(AND($BI34&lt;&gt;"",$BI34&lt;-PARAMETRI!$B$5),"AVANZAMENTO PIÙ LENTO DEL TEMPO; ","")&amp;IF(AND($BM34&lt;&gt;"",$BM34&gt;1),"ORE OLTRE BUDGET; ","")&amp;IF(AND($BM34&lt;&gt;"",$BM34=1),"ORE PREVENTIVATE ESAURITE; ","")&amp;IF(AND($BN34&lt;&gt;"",$BN34&gt;PARAMETRI!$B$7),"CONSUMO ORE SUPERIORE ALL'AVANZAMENTO; ","")&amp;IF(AND(ISNUMBER($BR34),$BR34&gt;0),"COSTI DIRETTI OLTRE BUDGET; ","")&amp;IF(AND($W34&gt;0,$M34&gt;$W34*PARAMETRI!$B$9),"SAL MATURATO NON FATTURATO; ","")&amp;IF(AND($O34&gt;0,OR($I34="Finito ritenute non previste",$I34="Finito con sblocco ritenute",$I34="Finito senza sblocco ritenute")),"RITENUTE DA SBLOCCARE; ","")&amp;IF(AND($BA34&gt;0,$BO34&gt;0,$BP34=0),"COSTI DIRETTI NON REGISTRATI; ","")&amp;IF(AND(OR($I34="Finito ritenute non previste",$I34="Finito con sblocco ritenute",$I34="Finito senza sblocco ritenute"),$W34&gt;0,$N34&gt;$W34*PARAMETRI!$B$9),"CANTIERE FINITO CON RESIDUO LAVORI; ","")&amp;IF(AND(OR($I34="Finito ritenute non previste",$I34="Finito con sblocco ritenute",$I34="Finito senza sblocco ritenute"),ANAGRAFICA!$K31=""),"DATA FINE EFFETTIVA MANCANTE; ","")&amp;IF(OR(AND(ANAGRAFICA!$T31&lt;&gt;"",ANAGRAFICA!$J31&lt;&gt;ANAGRAFICA!$T31,OR(ANAGRAFICA!$R31="",ANAGRAFICA!$R31="Nessuna variazione")),AND(ANAGRAFICA!$J31="",ANAGRAFICA!$R31&lt;&gt;"",ANAGRAFICA!$R31&lt;&gt;"Nessuna variazione")),"GESTIONE DATA FINE INCOMPLETA; ","")&amp;IF($Y34="","AGGIORNATO AL MANCANTE; ","")&amp;IF(OR($AZ34="",$BJ34="",$BO34="",ANAGRAFICA!$I31="",ANAGRAFICA!$J31=""),"DATI PREVISIONALI INCOMPLETI; ","")&amp;IF(LEFT($C34,5)="TEMP","CODICE COMMESSA TEMPORANEO; ","")),"DATI INCOMPLETI; ")</f>
        <v/>
      </c>
      <c r="C34" s="17" t="str">
        <f>IF(ANAGRAFICA!$B31="","",ANAGRAFICA!$B31)</f>
        <v/>
      </c>
      <c r="D34" s="17" t="str">
        <f>IF($C34="","",ANAGRAFICA!$C31)</f>
        <v/>
      </c>
      <c r="E34" s="17" t="str">
        <f>IF($C34="","",ANAGRAFICA!$D31)</f>
        <v/>
      </c>
      <c r="F34" s="17" t="str">
        <f>IF($C34="","",ANAGRAFICA!$E31)</f>
        <v/>
      </c>
      <c r="G34" s="17" t="str">
        <f>IF($C34="","",ANAGRAFICA!$F31)</f>
        <v/>
      </c>
      <c r="H34" s="17" t="str">
        <f>IF($C34="","",ANAGRAFICA!$G31)</f>
        <v/>
      </c>
      <c r="I34" s="17" t="str">
        <f>IF($C34="","",ANAGRAFICA!$L31)</f>
        <v/>
      </c>
      <c r="J34" s="16" t="str">
        <f t="shared" si="1"/>
        <v/>
      </c>
      <c r="K34" s="16" t="str">
        <f t="shared" si="2"/>
        <v/>
      </c>
      <c r="L34" s="16" t="str">
        <f t="shared" si="3"/>
        <v/>
      </c>
      <c r="M34" s="16" t="str">
        <f t="shared" si="4"/>
        <v/>
      </c>
      <c r="N34" s="16" t="str">
        <f t="shared" si="5"/>
        <v/>
      </c>
      <c r="O34" s="16" t="str">
        <f t="shared" si="6"/>
        <v/>
      </c>
      <c r="P34" s="17" t="str">
        <f t="shared" si="7"/>
        <v/>
      </c>
      <c r="Q34" s="31" t="str">
        <f>IF(OR($C34="",'BUDGET COMMESSA'!$D31="",'BUDGET COMMESSA'!$D31&lt;=0,ANAGRAFICA!$J31=""),"",IF(OR($I34="Finito ritenute non previste",$I34="Finito con sblocco ritenute",$I34="Finito senza sblocco ritenute"),0,IF(AND($BK34&gt;=$BJ34,ANAGRAFICA!$R31="Ritardo produttivo FIDA"),IF(ANAGRAFICA!$T31&lt;&gt;"",MAX(0,ANAGRAFICA!$J31-ANAGRAFICA!$T31),MAX(0,$Y34-ANAGRAFICA!$J31)),0)))</f>
        <v/>
      </c>
      <c r="R34" s="17" t="str">
        <f t="shared" si="8"/>
        <v/>
      </c>
      <c r="S34" s="17" t="str">
        <f t="shared" si="9"/>
        <v/>
      </c>
      <c r="T34" s="17" t="str">
        <f t="shared" si="10"/>
        <v/>
      </c>
      <c r="U34" s="16" t="str">
        <f t="shared" si="11"/>
        <v/>
      </c>
      <c r="V34" s="16" t="str">
        <f t="shared" si="12"/>
        <v/>
      </c>
      <c r="W34" s="16" t="str">
        <f t="shared" si="13"/>
        <v/>
      </c>
      <c r="X34" s="40"/>
      <c r="Y34" s="14"/>
      <c r="AZ34" t="str">
        <f>IF($C34="","",ANAGRAFICA!$P31)</f>
        <v/>
      </c>
      <c r="BA34" t="str">
        <f>IF($C34="","",SUMIF('MOVIMENTI 2026'!$B$7:$B$4206,$C34,'MOVIMENTI 2026'!$I$7:$I$4206)+SUMIF('SALDI AL 31.12.2025'!$A$6:$A$505,$C34,'SALDI AL 31.12.2025'!$C$6:$C$505))</f>
        <v/>
      </c>
      <c r="BB34" t="str">
        <f>IF($C34="","",SUMIF('MOVIMENTI 2026'!$B$7:$B$4206,$C34,'MOVIMENTI 2026'!$J$7:$J$4206)+SUMIF('SALDI AL 31.12.2025'!$A$6:$A$505,$C34,'SALDI AL 31.12.2025'!$D$6:$D$505))</f>
        <v/>
      </c>
      <c r="BC34" t="str">
        <f>IF($C34="","",SUMIF('MOVIMENTI 2026'!$B$7:$B$4206,$C34,'MOVIMENTI 2026'!$K$7:$K$4206)+SUMIF('SALDI AL 31.12.2025'!$A$6:$A$505,$C34,'SALDI AL 31.12.2025'!$E$6:$E$505))</f>
        <v/>
      </c>
      <c r="BD34" t="str">
        <f>IF($C34="","",SUMIF('MOVIMENTI 2026'!$B$7:$B$4206,$C34,'MOVIMENTI 2026'!$L$7:$L$4206)+SUMIF('SALDI AL 31.12.2025'!$A$6:$A$505,$C34,'SALDI AL 31.12.2025'!$F$6:$F$505))</f>
        <v/>
      </c>
      <c r="BE34" t="str">
        <f t="shared" si="14"/>
        <v/>
      </c>
      <c r="BF34" t="str">
        <f t="shared" si="15"/>
        <v/>
      </c>
      <c r="BG34" t="str">
        <f t="shared" si="16"/>
        <v/>
      </c>
      <c r="BH34" t="str">
        <f>IFERROR(IF(OR($C34="",ANAGRAFICA!$I31="",ANAGRAFICA!$J31="",ANAGRAFICA!$J31&lt;=ANAGRAFICA!$I31,$Y34=""),"",IF(OR($I34="Finito ritenute non previste",$I34="Finito con sblocco ritenute",$I34="Finito senza sblocco ritenute"),1,MAX(0,MIN(1,($Y34-ANAGRAFICA!$I31)/(ANAGRAFICA!$J31-ANAGRAFICA!$I31))))),"")</f>
        <v/>
      </c>
      <c r="BI34" t="str">
        <f t="shared" si="17"/>
        <v/>
      </c>
      <c r="BJ34" t="str">
        <f>IFERROR(IF($C34="","",'BUDGET COMMESSA'!$D31),"")</f>
        <v/>
      </c>
      <c r="BK34" t="str">
        <f>IF($C34="","",SUMIF('MOVIMENTI 2026'!$B$7:$B$4206,$C34,'MOVIMENTI 2026'!$N$7:$N$4206)+SUMIF('SALDI AL 31.12.2025'!$A$6:$A$505,$C34,'SALDI AL 31.12.2025'!$H$6:$H$505))</f>
        <v/>
      </c>
      <c r="BL34" t="str">
        <f t="shared" si="18"/>
        <v/>
      </c>
      <c r="BM34" t="str">
        <f t="shared" si="19"/>
        <v/>
      </c>
      <c r="BN34" t="str">
        <f t="shared" si="20"/>
        <v/>
      </c>
      <c r="BO34" t="str">
        <f>IFERROR(IF($C34="","",'BUDGET COMMESSA'!$G31),"")</f>
        <v/>
      </c>
      <c r="BP34" t="str">
        <f>IF($C34="","",SUMIF('COSTI DIRETTI'!$C$6:$C$505,$C34,'COSTI DIRETTI'!$H$6:$H$505)+SUMIF('SALDI AL 31.12.2025'!$A$6:$A$505,$C34,'SALDI AL 31.12.2025'!$I$6:$I$505))</f>
        <v/>
      </c>
      <c r="BQ34" t="str">
        <f t="shared" si="21"/>
        <v/>
      </c>
      <c r="BR34" t="str">
        <f t="shared" si="22"/>
        <v/>
      </c>
      <c r="BS34" t="str">
        <f>IF($C34="","",$BK34*PARAMETRI!$B$4+$BP34)</f>
        <v/>
      </c>
      <c r="BT34">
        <f t="shared" si="23"/>
        <v>0</v>
      </c>
      <c r="BU34">
        <f t="shared" si="24"/>
        <v>0</v>
      </c>
      <c r="BV34" t="str">
        <f>IF($C34="","",SUMIF('MOVIMENTI 2026'!$B$7:$B$4206,$C34,'MOVIMENTI 2026'!$P$7:$P$4206)+SUMIF('SALDI AL 31.12.2025'!$A$6:$A$505,$C34,'SALDI AL 31.12.2025'!$G$6:$G$505))</f>
        <v/>
      </c>
    </row>
    <row r="35" spans="1:74" ht="16" x14ac:dyDescent="0.15">
      <c r="A35" s="17" t="str">
        <f>IFERROR(IF($C35="","",IF(OR($BF35&gt;0,$V35&gt;$J35,AND(ISNUMBER($Q35),$Q35&gt;0),AND($BI35&lt;&gt;"",$BI35&lt;-PARAMETRI!$B$6),AND($BM35&lt;&gt;"",$BM35&gt;=1),AND($BN35&lt;&gt;"",$BN35&gt;PARAMETRI!$B$8),AND(ISNUMBER($BR35),$BR35&gt;0)),"CRITICO",IF(OR($AZ35="",LEFT($C35,5)="TEMP",$BJ35="",$BO35="",ANAGRAFICA!$I32="",ANAGRAFICA!$J32="",$Y35="",AND(OR($I35="Finito ritenute non previste",$I35="Finito con sblocco ritenute",$I35="Finito senza sblocco ritenute"),ANAGRAFICA!$K32=""),OR(AND(ANAGRAFICA!$T32&lt;&gt;"",ANAGRAFICA!$J32&lt;&gt;ANAGRAFICA!$T32,OR(ANAGRAFICA!$R32="",ANAGRAFICA!$R32="Nessuna variazione")),AND(ANAGRAFICA!$J32="",ANAGRAFICA!$R32&lt;&gt;"",ANAGRAFICA!$R32&lt;&gt;"Nessuna variazione")),AND($BI35&lt;&gt;"",$BI35&lt;-PARAMETRI!$B$5),AND($BN35&lt;&gt;"",$BN35&gt;PARAMETRI!$B$7),AND($W35&gt;0,$M35&gt;$W35*PARAMETRI!$B$9),AND($O35&gt;0,OR($I35="Finito ritenute non previste",$I35="Finito con sblocco ritenute",$I35="Finito senza sblocco ritenute")),AND($BA35&gt;0,$BO35&gt;0,$BP35=0),AND(OR($I35="Finito ritenute non previste",$I35="Finito con sblocco ritenute",$I35="Finito senza sblocco ritenute"),$W35&gt;0,$N35&gt;$W35*PARAMETRI!$B$9),$V35&gt;0),"ATTENZIONE","REGOLARE"))),"ATTENZIONE")</f>
        <v/>
      </c>
      <c r="B35" s="17" t="str">
        <f>IFERROR(IF($C35="","",IF($BF35&gt;0,"FATTURATO OLTRE VALORE RECUPERABILE; ","")&amp;IF($V35&gt;$J35,"PERDITE ACCETTATE OLTRE CONTRATTO; ","")&amp;IF($V35&gt;0,"PERDITA SAL ACCETTATA (€ "&amp;TEXT($V35,"#,##0.00")&amp;"); ","")&amp;IF(AND(ISNUMBER($Q35),$Q35&gt;0),"RITARDO PRODUTTIVO ("&amp;TEXT($Q35,"0")&amp;" GG); ","")&amp;IF(AND($BI35&lt;&gt;"",$BI35&lt;-PARAMETRI!$B$5),"AVANZAMENTO PIÙ LENTO DEL TEMPO; ","")&amp;IF(AND($BM35&lt;&gt;"",$BM35&gt;1),"ORE OLTRE BUDGET; ","")&amp;IF(AND($BM35&lt;&gt;"",$BM35=1),"ORE PREVENTIVATE ESAURITE; ","")&amp;IF(AND($BN35&lt;&gt;"",$BN35&gt;PARAMETRI!$B$7),"CONSUMO ORE SUPERIORE ALL'AVANZAMENTO; ","")&amp;IF(AND(ISNUMBER($BR35),$BR35&gt;0),"COSTI DIRETTI OLTRE BUDGET; ","")&amp;IF(AND($W35&gt;0,$M35&gt;$W35*PARAMETRI!$B$9),"SAL MATURATO NON FATTURATO; ","")&amp;IF(AND($O35&gt;0,OR($I35="Finito ritenute non previste",$I35="Finito con sblocco ritenute",$I35="Finito senza sblocco ritenute")),"RITENUTE DA SBLOCCARE; ","")&amp;IF(AND($BA35&gt;0,$BO35&gt;0,$BP35=0),"COSTI DIRETTI NON REGISTRATI; ","")&amp;IF(AND(OR($I35="Finito ritenute non previste",$I35="Finito con sblocco ritenute",$I35="Finito senza sblocco ritenute"),$W35&gt;0,$N35&gt;$W35*PARAMETRI!$B$9),"CANTIERE FINITO CON RESIDUO LAVORI; ","")&amp;IF(AND(OR($I35="Finito ritenute non previste",$I35="Finito con sblocco ritenute",$I35="Finito senza sblocco ritenute"),ANAGRAFICA!$K32=""),"DATA FINE EFFETTIVA MANCANTE; ","")&amp;IF(OR(AND(ANAGRAFICA!$T32&lt;&gt;"",ANAGRAFICA!$J32&lt;&gt;ANAGRAFICA!$T32,OR(ANAGRAFICA!$R32="",ANAGRAFICA!$R32="Nessuna variazione")),AND(ANAGRAFICA!$J32="",ANAGRAFICA!$R32&lt;&gt;"",ANAGRAFICA!$R32&lt;&gt;"Nessuna variazione")),"GESTIONE DATA FINE INCOMPLETA; ","")&amp;IF($Y35="","AGGIORNATO AL MANCANTE; ","")&amp;IF(OR($AZ35="",$BJ35="",$BO35="",ANAGRAFICA!$I32="",ANAGRAFICA!$J32=""),"DATI PREVISIONALI INCOMPLETI; ","")&amp;IF(LEFT($C35,5)="TEMP","CODICE COMMESSA TEMPORANEO; ","")),"DATI INCOMPLETI; ")</f>
        <v/>
      </c>
      <c r="C35" s="17" t="str">
        <f>IF(ANAGRAFICA!$B32="","",ANAGRAFICA!$B32)</f>
        <v/>
      </c>
      <c r="D35" s="17" t="str">
        <f>IF($C35="","",ANAGRAFICA!$C32)</f>
        <v/>
      </c>
      <c r="E35" s="17" t="str">
        <f>IF($C35="","",ANAGRAFICA!$D32)</f>
        <v/>
      </c>
      <c r="F35" s="17" t="str">
        <f>IF($C35="","",ANAGRAFICA!$E32)</f>
        <v/>
      </c>
      <c r="G35" s="17" t="str">
        <f>IF($C35="","",ANAGRAFICA!$F32)</f>
        <v/>
      </c>
      <c r="H35" s="17" t="str">
        <f>IF($C35="","",ANAGRAFICA!$G32)</f>
        <v/>
      </c>
      <c r="I35" s="17" t="str">
        <f>IF($C35="","",ANAGRAFICA!$L32)</f>
        <v/>
      </c>
      <c r="J35" s="16" t="str">
        <f t="shared" si="1"/>
        <v/>
      </c>
      <c r="K35" s="16" t="str">
        <f t="shared" si="2"/>
        <v/>
      </c>
      <c r="L35" s="16" t="str">
        <f t="shared" si="3"/>
        <v/>
      </c>
      <c r="M35" s="16" t="str">
        <f t="shared" si="4"/>
        <v/>
      </c>
      <c r="N35" s="16" t="str">
        <f t="shared" si="5"/>
        <v/>
      </c>
      <c r="O35" s="16" t="str">
        <f t="shared" si="6"/>
        <v/>
      </c>
      <c r="P35" s="17" t="str">
        <f t="shared" si="7"/>
        <v/>
      </c>
      <c r="Q35" s="31" t="str">
        <f>IF(OR($C35="",'BUDGET COMMESSA'!$D32="",'BUDGET COMMESSA'!$D32&lt;=0,ANAGRAFICA!$J32=""),"",IF(OR($I35="Finito ritenute non previste",$I35="Finito con sblocco ritenute",$I35="Finito senza sblocco ritenute"),0,IF(AND($BK35&gt;=$BJ35,ANAGRAFICA!$R32="Ritardo produttivo FIDA"),IF(ANAGRAFICA!$T32&lt;&gt;"",MAX(0,ANAGRAFICA!$J32-ANAGRAFICA!$T32),MAX(0,$Y35-ANAGRAFICA!$J32)),0)))</f>
        <v/>
      </c>
      <c r="R35" s="17" t="str">
        <f t="shared" si="8"/>
        <v/>
      </c>
      <c r="S35" s="17" t="str">
        <f t="shared" si="9"/>
        <v/>
      </c>
      <c r="T35" s="17" t="str">
        <f t="shared" si="10"/>
        <v/>
      </c>
      <c r="U35" s="16" t="str">
        <f t="shared" si="11"/>
        <v/>
      </c>
      <c r="V35" s="16" t="str">
        <f t="shared" si="12"/>
        <v/>
      </c>
      <c r="W35" s="16" t="str">
        <f t="shared" si="13"/>
        <v/>
      </c>
      <c r="X35" s="40"/>
      <c r="Y35" s="14"/>
      <c r="AZ35" t="str">
        <f>IF($C35="","",ANAGRAFICA!$P32)</f>
        <v/>
      </c>
      <c r="BA35" t="str">
        <f>IF($C35="","",SUMIF('MOVIMENTI 2026'!$B$7:$B$4206,$C35,'MOVIMENTI 2026'!$I$7:$I$4206)+SUMIF('SALDI AL 31.12.2025'!$A$6:$A$505,$C35,'SALDI AL 31.12.2025'!$C$6:$C$505))</f>
        <v/>
      </c>
      <c r="BB35" t="str">
        <f>IF($C35="","",SUMIF('MOVIMENTI 2026'!$B$7:$B$4206,$C35,'MOVIMENTI 2026'!$J$7:$J$4206)+SUMIF('SALDI AL 31.12.2025'!$A$6:$A$505,$C35,'SALDI AL 31.12.2025'!$D$6:$D$505))</f>
        <v/>
      </c>
      <c r="BC35" t="str">
        <f>IF($C35="","",SUMIF('MOVIMENTI 2026'!$B$7:$B$4206,$C35,'MOVIMENTI 2026'!$K$7:$K$4206)+SUMIF('SALDI AL 31.12.2025'!$A$6:$A$505,$C35,'SALDI AL 31.12.2025'!$E$6:$E$505))</f>
        <v/>
      </c>
      <c r="BD35" t="str">
        <f>IF($C35="","",SUMIF('MOVIMENTI 2026'!$B$7:$B$4206,$C35,'MOVIMENTI 2026'!$L$7:$L$4206)+SUMIF('SALDI AL 31.12.2025'!$A$6:$A$505,$C35,'SALDI AL 31.12.2025'!$F$6:$F$505))</f>
        <v/>
      </c>
      <c r="BE35" t="str">
        <f t="shared" si="14"/>
        <v/>
      </c>
      <c r="BF35" t="str">
        <f t="shared" si="15"/>
        <v/>
      </c>
      <c r="BG35" t="str">
        <f t="shared" si="16"/>
        <v/>
      </c>
      <c r="BH35" t="str">
        <f>IFERROR(IF(OR($C35="",ANAGRAFICA!$I32="",ANAGRAFICA!$J32="",ANAGRAFICA!$J32&lt;=ANAGRAFICA!$I32,$Y35=""),"",IF(OR($I35="Finito ritenute non previste",$I35="Finito con sblocco ritenute",$I35="Finito senza sblocco ritenute"),1,MAX(0,MIN(1,($Y35-ANAGRAFICA!$I32)/(ANAGRAFICA!$J32-ANAGRAFICA!$I32))))),"")</f>
        <v/>
      </c>
      <c r="BI35" t="str">
        <f t="shared" si="17"/>
        <v/>
      </c>
      <c r="BJ35" t="str">
        <f>IFERROR(IF($C35="","",'BUDGET COMMESSA'!$D32),"")</f>
        <v/>
      </c>
      <c r="BK35" t="str">
        <f>IF($C35="","",SUMIF('MOVIMENTI 2026'!$B$7:$B$4206,$C35,'MOVIMENTI 2026'!$N$7:$N$4206)+SUMIF('SALDI AL 31.12.2025'!$A$6:$A$505,$C35,'SALDI AL 31.12.2025'!$H$6:$H$505))</f>
        <v/>
      </c>
      <c r="BL35" t="str">
        <f t="shared" si="18"/>
        <v/>
      </c>
      <c r="BM35" t="str">
        <f t="shared" si="19"/>
        <v/>
      </c>
      <c r="BN35" t="str">
        <f t="shared" si="20"/>
        <v/>
      </c>
      <c r="BO35" t="str">
        <f>IFERROR(IF($C35="","",'BUDGET COMMESSA'!$G32),"")</f>
        <v/>
      </c>
      <c r="BP35" t="str">
        <f>IF($C35="","",SUMIF('COSTI DIRETTI'!$C$6:$C$505,$C35,'COSTI DIRETTI'!$H$6:$H$505)+SUMIF('SALDI AL 31.12.2025'!$A$6:$A$505,$C35,'SALDI AL 31.12.2025'!$I$6:$I$505))</f>
        <v/>
      </c>
      <c r="BQ35" t="str">
        <f t="shared" si="21"/>
        <v/>
      </c>
      <c r="BR35" t="str">
        <f t="shared" si="22"/>
        <v/>
      </c>
      <c r="BS35" t="str">
        <f>IF($C35="","",$BK35*PARAMETRI!$B$4+$BP35)</f>
        <v/>
      </c>
      <c r="BT35">
        <f t="shared" si="23"/>
        <v>0</v>
      </c>
      <c r="BU35">
        <f t="shared" si="24"/>
        <v>0</v>
      </c>
      <c r="BV35" t="str">
        <f>IF($C35="","",SUMIF('MOVIMENTI 2026'!$B$7:$B$4206,$C35,'MOVIMENTI 2026'!$P$7:$P$4206)+SUMIF('SALDI AL 31.12.2025'!$A$6:$A$505,$C35,'SALDI AL 31.12.2025'!$G$6:$G$505))</f>
        <v/>
      </c>
    </row>
    <row r="36" spans="1:74" ht="16" x14ac:dyDescent="0.15">
      <c r="A36" s="17" t="str">
        <f>IFERROR(IF($C36="","",IF(OR($BF36&gt;0,$V36&gt;$J36,AND(ISNUMBER($Q36),$Q36&gt;0),AND($BI36&lt;&gt;"",$BI36&lt;-PARAMETRI!$B$6),AND($BM36&lt;&gt;"",$BM36&gt;=1),AND($BN36&lt;&gt;"",$BN36&gt;PARAMETRI!$B$8),AND(ISNUMBER($BR36),$BR36&gt;0)),"CRITICO",IF(OR($AZ36="",LEFT($C36,5)="TEMP",$BJ36="",$BO36="",ANAGRAFICA!$I33="",ANAGRAFICA!$J33="",$Y36="",AND(OR($I36="Finito ritenute non previste",$I36="Finito con sblocco ritenute",$I36="Finito senza sblocco ritenute"),ANAGRAFICA!$K33=""),OR(AND(ANAGRAFICA!$T33&lt;&gt;"",ANAGRAFICA!$J33&lt;&gt;ANAGRAFICA!$T33,OR(ANAGRAFICA!$R33="",ANAGRAFICA!$R33="Nessuna variazione")),AND(ANAGRAFICA!$J33="",ANAGRAFICA!$R33&lt;&gt;"",ANAGRAFICA!$R33&lt;&gt;"Nessuna variazione")),AND($BI36&lt;&gt;"",$BI36&lt;-PARAMETRI!$B$5),AND($BN36&lt;&gt;"",$BN36&gt;PARAMETRI!$B$7),AND($W36&gt;0,$M36&gt;$W36*PARAMETRI!$B$9),AND($O36&gt;0,OR($I36="Finito ritenute non previste",$I36="Finito con sblocco ritenute",$I36="Finito senza sblocco ritenute")),AND($BA36&gt;0,$BO36&gt;0,$BP36=0),AND(OR($I36="Finito ritenute non previste",$I36="Finito con sblocco ritenute",$I36="Finito senza sblocco ritenute"),$W36&gt;0,$N36&gt;$W36*PARAMETRI!$B$9),$V36&gt;0),"ATTENZIONE","REGOLARE"))),"ATTENZIONE")</f>
        <v/>
      </c>
      <c r="B36" s="17" t="str">
        <f>IFERROR(IF($C36="","",IF($BF36&gt;0,"FATTURATO OLTRE VALORE RECUPERABILE; ","")&amp;IF($V36&gt;$J36,"PERDITE ACCETTATE OLTRE CONTRATTO; ","")&amp;IF($V36&gt;0,"PERDITA SAL ACCETTATA (€ "&amp;TEXT($V36,"#,##0.00")&amp;"); ","")&amp;IF(AND(ISNUMBER($Q36),$Q36&gt;0),"RITARDO PRODUTTIVO ("&amp;TEXT($Q36,"0")&amp;" GG); ","")&amp;IF(AND($BI36&lt;&gt;"",$BI36&lt;-PARAMETRI!$B$5),"AVANZAMENTO PIÙ LENTO DEL TEMPO; ","")&amp;IF(AND($BM36&lt;&gt;"",$BM36&gt;1),"ORE OLTRE BUDGET; ","")&amp;IF(AND($BM36&lt;&gt;"",$BM36=1),"ORE PREVENTIVATE ESAURITE; ","")&amp;IF(AND($BN36&lt;&gt;"",$BN36&gt;PARAMETRI!$B$7),"CONSUMO ORE SUPERIORE ALL'AVANZAMENTO; ","")&amp;IF(AND(ISNUMBER($BR36),$BR36&gt;0),"COSTI DIRETTI OLTRE BUDGET; ","")&amp;IF(AND($W36&gt;0,$M36&gt;$W36*PARAMETRI!$B$9),"SAL MATURATO NON FATTURATO; ","")&amp;IF(AND($O36&gt;0,OR($I36="Finito ritenute non previste",$I36="Finito con sblocco ritenute",$I36="Finito senza sblocco ritenute")),"RITENUTE DA SBLOCCARE; ","")&amp;IF(AND($BA36&gt;0,$BO36&gt;0,$BP36=0),"COSTI DIRETTI NON REGISTRATI; ","")&amp;IF(AND(OR($I36="Finito ritenute non previste",$I36="Finito con sblocco ritenute",$I36="Finito senza sblocco ritenute"),$W36&gt;0,$N36&gt;$W36*PARAMETRI!$B$9),"CANTIERE FINITO CON RESIDUO LAVORI; ","")&amp;IF(AND(OR($I36="Finito ritenute non previste",$I36="Finito con sblocco ritenute",$I36="Finito senza sblocco ritenute"),ANAGRAFICA!$K33=""),"DATA FINE EFFETTIVA MANCANTE; ","")&amp;IF(OR(AND(ANAGRAFICA!$T33&lt;&gt;"",ANAGRAFICA!$J33&lt;&gt;ANAGRAFICA!$T33,OR(ANAGRAFICA!$R33="",ANAGRAFICA!$R33="Nessuna variazione")),AND(ANAGRAFICA!$J33="",ANAGRAFICA!$R33&lt;&gt;"",ANAGRAFICA!$R33&lt;&gt;"Nessuna variazione")),"GESTIONE DATA FINE INCOMPLETA; ","")&amp;IF($Y36="","AGGIORNATO AL MANCANTE; ","")&amp;IF(OR($AZ36="",$BJ36="",$BO36="",ANAGRAFICA!$I33="",ANAGRAFICA!$J33=""),"DATI PREVISIONALI INCOMPLETI; ","")&amp;IF(LEFT($C36,5)="TEMP","CODICE COMMESSA TEMPORANEO; ","")),"DATI INCOMPLETI; ")</f>
        <v/>
      </c>
      <c r="C36" s="17" t="str">
        <f>IF(ANAGRAFICA!$B33="","",ANAGRAFICA!$B33)</f>
        <v/>
      </c>
      <c r="D36" s="17" t="str">
        <f>IF($C36="","",ANAGRAFICA!$C33)</f>
        <v/>
      </c>
      <c r="E36" s="17" t="str">
        <f>IF($C36="","",ANAGRAFICA!$D33)</f>
        <v/>
      </c>
      <c r="F36" s="17" t="str">
        <f>IF($C36="","",ANAGRAFICA!$E33)</f>
        <v/>
      </c>
      <c r="G36" s="17" t="str">
        <f>IF($C36="","",ANAGRAFICA!$F33)</f>
        <v/>
      </c>
      <c r="H36" s="17" t="str">
        <f>IF($C36="","",ANAGRAFICA!$G33)</f>
        <v/>
      </c>
      <c r="I36" s="17" t="str">
        <f>IF($C36="","",ANAGRAFICA!$L33)</f>
        <v/>
      </c>
      <c r="J36" s="16" t="str">
        <f t="shared" si="1"/>
        <v/>
      </c>
      <c r="K36" s="16" t="str">
        <f t="shared" si="2"/>
        <v/>
      </c>
      <c r="L36" s="16" t="str">
        <f t="shared" si="3"/>
        <v/>
      </c>
      <c r="M36" s="16" t="str">
        <f t="shared" si="4"/>
        <v/>
      </c>
      <c r="N36" s="16" t="str">
        <f t="shared" si="5"/>
        <v/>
      </c>
      <c r="O36" s="16" t="str">
        <f t="shared" si="6"/>
        <v/>
      </c>
      <c r="P36" s="17" t="str">
        <f t="shared" si="7"/>
        <v/>
      </c>
      <c r="Q36" s="31" t="str">
        <f>IF(OR($C36="",'BUDGET COMMESSA'!$D33="",'BUDGET COMMESSA'!$D33&lt;=0,ANAGRAFICA!$J33=""),"",IF(OR($I36="Finito ritenute non previste",$I36="Finito con sblocco ritenute",$I36="Finito senza sblocco ritenute"),0,IF(AND($BK36&gt;=$BJ36,ANAGRAFICA!$R33="Ritardo produttivo FIDA"),IF(ANAGRAFICA!$T33&lt;&gt;"",MAX(0,ANAGRAFICA!$J33-ANAGRAFICA!$T33),MAX(0,$Y36-ANAGRAFICA!$J33)),0)))</f>
        <v/>
      </c>
      <c r="R36" s="17" t="str">
        <f t="shared" si="8"/>
        <v/>
      </c>
      <c r="S36" s="17" t="str">
        <f t="shared" si="9"/>
        <v/>
      </c>
      <c r="T36" s="17" t="str">
        <f t="shared" si="10"/>
        <v/>
      </c>
      <c r="U36" s="16" t="str">
        <f t="shared" si="11"/>
        <v/>
      </c>
      <c r="V36" s="16" t="str">
        <f t="shared" si="12"/>
        <v/>
      </c>
      <c r="W36" s="16" t="str">
        <f t="shared" si="13"/>
        <v/>
      </c>
      <c r="X36" s="40"/>
      <c r="Y36" s="14"/>
      <c r="AZ36" t="str">
        <f>IF($C36="","",ANAGRAFICA!$P33)</f>
        <v/>
      </c>
      <c r="BA36" t="str">
        <f>IF($C36="","",SUMIF('MOVIMENTI 2026'!$B$7:$B$4206,$C36,'MOVIMENTI 2026'!$I$7:$I$4206)+SUMIF('SALDI AL 31.12.2025'!$A$6:$A$505,$C36,'SALDI AL 31.12.2025'!$C$6:$C$505))</f>
        <v/>
      </c>
      <c r="BB36" t="str">
        <f>IF($C36="","",SUMIF('MOVIMENTI 2026'!$B$7:$B$4206,$C36,'MOVIMENTI 2026'!$J$7:$J$4206)+SUMIF('SALDI AL 31.12.2025'!$A$6:$A$505,$C36,'SALDI AL 31.12.2025'!$D$6:$D$505))</f>
        <v/>
      </c>
      <c r="BC36" t="str">
        <f>IF($C36="","",SUMIF('MOVIMENTI 2026'!$B$7:$B$4206,$C36,'MOVIMENTI 2026'!$K$7:$K$4206)+SUMIF('SALDI AL 31.12.2025'!$A$6:$A$505,$C36,'SALDI AL 31.12.2025'!$E$6:$E$505))</f>
        <v/>
      </c>
      <c r="BD36" t="str">
        <f>IF($C36="","",SUMIF('MOVIMENTI 2026'!$B$7:$B$4206,$C36,'MOVIMENTI 2026'!$L$7:$L$4206)+SUMIF('SALDI AL 31.12.2025'!$A$6:$A$505,$C36,'SALDI AL 31.12.2025'!$F$6:$F$505))</f>
        <v/>
      </c>
      <c r="BE36" t="str">
        <f t="shared" si="14"/>
        <v/>
      </c>
      <c r="BF36" t="str">
        <f t="shared" si="15"/>
        <v/>
      </c>
      <c r="BG36" t="str">
        <f t="shared" si="16"/>
        <v/>
      </c>
      <c r="BH36" t="str">
        <f>IFERROR(IF(OR($C36="",ANAGRAFICA!$I33="",ANAGRAFICA!$J33="",ANAGRAFICA!$J33&lt;=ANAGRAFICA!$I33,$Y36=""),"",IF(OR($I36="Finito ritenute non previste",$I36="Finito con sblocco ritenute",$I36="Finito senza sblocco ritenute"),1,MAX(0,MIN(1,($Y36-ANAGRAFICA!$I33)/(ANAGRAFICA!$J33-ANAGRAFICA!$I33))))),"")</f>
        <v/>
      </c>
      <c r="BI36" t="str">
        <f t="shared" si="17"/>
        <v/>
      </c>
      <c r="BJ36" t="str">
        <f>IFERROR(IF($C36="","",'BUDGET COMMESSA'!$D33),"")</f>
        <v/>
      </c>
      <c r="BK36" t="str">
        <f>IF($C36="","",SUMIF('MOVIMENTI 2026'!$B$7:$B$4206,$C36,'MOVIMENTI 2026'!$N$7:$N$4206)+SUMIF('SALDI AL 31.12.2025'!$A$6:$A$505,$C36,'SALDI AL 31.12.2025'!$H$6:$H$505))</f>
        <v/>
      </c>
      <c r="BL36" t="str">
        <f t="shared" si="18"/>
        <v/>
      </c>
      <c r="BM36" t="str">
        <f t="shared" si="19"/>
        <v/>
      </c>
      <c r="BN36" t="str">
        <f t="shared" si="20"/>
        <v/>
      </c>
      <c r="BO36" t="str">
        <f>IFERROR(IF($C36="","",'BUDGET COMMESSA'!$G33),"")</f>
        <v/>
      </c>
      <c r="BP36" t="str">
        <f>IF($C36="","",SUMIF('COSTI DIRETTI'!$C$6:$C$505,$C36,'COSTI DIRETTI'!$H$6:$H$505)+SUMIF('SALDI AL 31.12.2025'!$A$6:$A$505,$C36,'SALDI AL 31.12.2025'!$I$6:$I$505))</f>
        <v/>
      </c>
      <c r="BQ36" t="str">
        <f t="shared" si="21"/>
        <v/>
      </c>
      <c r="BR36" t="str">
        <f t="shared" si="22"/>
        <v/>
      </c>
      <c r="BS36" t="str">
        <f>IF($C36="","",$BK36*PARAMETRI!$B$4+$BP36)</f>
        <v/>
      </c>
      <c r="BT36">
        <f t="shared" si="23"/>
        <v>0</v>
      </c>
      <c r="BU36">
        <f t="shared" si="24"/>
        <v>0</v>
      </c>
      <c r="BV36" t="str">
        <f>IF($C36="","",SUMIF('MOVIMENTI 2026'!$B$7:$B$4206,$C36,'MOVIMENTI 2026'!$P$7:$P$4206)+SUMIF('SALDI AL 31.12.2025'!$A$6:$A$505,$C36,'SALDI AL 31.12.2025'!$G$6:$G$505))</f>
        <v/>
      </c>
    </row>
    <row r="37" spans="1:74" ht="16" x14ac:dyDescent="0.15">
      <c r="A37" s="17" t="str">
        <f>IFERROR(IF($C37="","",IF(OR($BF37&gt;0,$V37&gt;$J37,AND(ISNUMBER($Q37),$Q37&gt;0),AND($BI37&lt;&gt;"",$BI37&lt;-PARAMETRI!$B$6),AND($BM37&lt;&gt;"",$BM37&gt;=1),AND($BN37&lt;&gt;"",$BN37&gt;PARAMETRI!$B$8),AND(ISNUMBER($BR37),$BR37&gt;0)),"CRITICO",IF(OR($AZ37="",LEFT($C37,5)="TEMP",$BJ37="",$BO37="",ANAGRAFICA!$I34="",ANAGRAFICA!$J34="",$Y37="",AND(OR($I37="Finito ritenute non previste",$I37="Finito con sblocco ritenute",$I37="Finito senza sblocco ritenute"),ANAGRAFICA!$K34=""),OR(AND(ANAGRAFICA!$T34&lt;&gt;"",ANAGRAFICA!$J34&lt;&gt;ANAGRAFICA!$T34,OR(ANAGRAFICA!$R34="",ANAGRAFICA!$R34="Nessuna variazione")),AND(ANAGRAFICA!$J34="",ANAGRAFICA!$R34&lt;&gt;"",ANAGRAFICA!$R34&lt;&gt;"Nessuna variazione")),AND($BI37&lt;&gt;"",$BI37&lt;-PARAMETRI!$B$5),AND($BN37&lt;&gt;"",$BN37&gt;PARAMETRI!$B$7),AND($W37&gt;0,$M37&gt;$W37*PARAMETRI!$B$9),AND($O37&gt;0,OR($I37="Finito ritenute non previste",$I37="Finito con sblocco ritenute",$I37="Finito senza sblocco ritenute")),AND($BA37&gt;0,$BO37&gt;0,$BP37=0),AND(OR($I37="Finito ritenute non previste",$I37="Finito con sblocco ritenute",$I37="Finito senza sblocco ritenute"),$W37&gt;0,$N37&gt;$W37*PARAMETRI!$B$9),$V37&gt;0),"ATTENZIONE","REGOLARE"))),"ATTENZIONE")</f>
        <v/>
      </c>
      <c r="B37" s="17" t="str">
        <f>IFERROR(IF($C37="","",IF($BF37&gt;0,"FATTURATO OLTRE VALORE RECUPERABILE; ","")&amp;IF($V37&gt;$J37,"PERDITE ACCETTATE OLTRE CONTRATTO; ","")&amp;IF($V37&gt;0,"PERDITA SAL ACCETTATA (€ "&amp;TEXT($V37,"#,##0.00")&amp;"); ","")&amp;IF(AND(ISNUMBER($Q37),$Q37&gt;0),"RITARDO PRODUTTIVO ("&amp;TEXT($Q37,"0")&amp;" GG); ","")&amp;IF(AND($BI37&lt;&gt;"",$BI37&lt;-PARAMETRI!$B$5),"AVANZAMENTO PIÙ LENTO DEL TEMPO; ","")&amp;IF(AND($BM37&lt;&gt;"",$BM37&gt;1),"ORE OLTRE BUDGET; ","")&amp;IF(AND($BM37&lt;&gt;"",$BM37=1),"ORE PREVENTIVATE ESAURITE; ","")&amp;IF(AND($BN37&lt;&gt;"",$BN37&gt;PARAMETRI!$B$7),"CONSUMO ORE SUPERIORE ALL'AVANZAMENTO; ","")&amp;IF(AND(ISNUMBER($BR37),$BR37&gt;0),"COSTI DIRETTI OLTRE BUDGET; ","")&amp;IF(AND($W37&gt;0,$M37&gt;$W37*PARAMETRI!$B$9),"SAL MATURATO NON FATTURATO; ","")&amp;IF(AND($O37&gt;0,OR($I37="Finito ritenute non previste",$I37="Finito con sblocco ritenute",$I37="Finito senza sblocco ritenute")),"RITENUTE DA SBLOCCARE; ","")&amp;IF(AND($BA37&gt;0,$BO37&gt;0,$BP37=0),"COSTI DIRETTI NON REGISTRATI; ","")&amp;IF(AND(OR($I37="Finito ritenute non previste",$I37="Finito con sblocco ritenute",$I37="Finito senza sblocco ritenute"),$W37&gt;0,$N37&gt;$W37*PARAMETRI!$B$9),"CANTIERE FINITO CON RESIDUO LAVORI; ","")&amp;IF(AND(OR($I37="Finito ritenute non previste",$I37="Finito con sblocco ritenute",$I37="Finito senza sblocco ritenute"),ANAGRAFICA!$K34=""),"DATA FINE EFFETTIVA MANCANTE; ","")&amp;IF(OR(AND(ANAGRAFICA!$T34&lt;&gt;"",ANAGRAFICA!$J34&lt;&gt;ANAGRAFICA!$T34,OR(ANAGRAFICA!$R34="",ANAGRAFICA!$R34="Nessuna variazione")),AND(ANAGRAFICA!$J34="",ANAGRAFICA!$R34&lt;&gt;"",ANAGRAFICA!$R34&lt;&gt;"Nessuna variazione")),"GESTIONE DATA FINE INCOMPLETA; ","")&amp;IF($Y37="","AGGIORNATO AL MANCANTE; ","")&amp;IF(OR($AZ37="",$BJ37="",$BO37="",ANAGRAFICA!$I34="",ANAGRAFICA!$J34=""),"DATI PREVISIONALI INCOMPLETI; ","")&amp;IF(LEFT($C37,5)="TEMP","CODICE COMMESSA TEMPORANEO; ","")),"DATI INCOMPLETI; ")</f>
        <v/>
      </c>
      <c r="C37" s="17" t="str">
        <f>IF(ANAGRAFICA!$B34="","",ANAGRAFICA!$B34)</f>
        <v/>
      </c>
      <c r="D37" s="17" t="str">
        <f>IF($C37="","",ANAGRAFICA!$C34)</f>
        <v/>
      </c>
      <c r="E37" s="17" t="str">
        <f>IF($C37="","",ANAGRAFICA!$D34)</f>
        <v/>
      </c>
      <c r="F37" s="17" t="str">
        <f>IF($C37="","",ANAGRAFICA!$E34)</f>
        <v/>
      </c>
      <c r="G37" s="17" t="str">
        <f>IF($C37="","",ANAGRAFICA!$F34)</f>
        <v/>
      </c>
      <c r="H37" s="17" t="str">
        <f>IF($C37="","",ANAGRAFICA!$G34)</f>
        <v/>
      </c>
      <c r="I37" s="17" t="str">
        <f>IF($C37="","",ANAGRAFICA!$L34)</f>
        <v/>
      </c>
      <c r="J37" s="16" t="str">
        <f t="shared" si="1"/>
        <v/>
      </c>
      <c r="K37" s="16" t="str">
        <f t="shared" si="2"/>
        <v/>
      </c>
      <c r="L37" s="16" t="str">
        <f t="shared" si="3"/>
        <v/>
      </c>
      <c r="M37" s="16" t="str">
        <f t="shared" si="4"/>
        <v/>
      </c>
      <c r="N37" s="16" t="str">
        <f t="shared" si="5"/>
        <v/>
      </c>
      <c r="O37" s="16" t="str">
        <f t="shared" si="6"/>
        <v/>
      </c>
      <c r="P37" s="17" t="str">
        <f t="shared" si="7"/>
        <v/>
      </c>
      <c r="Q37" s="31" t="str">
        <f>IF(OR($C37="",'BUDGET COMMESSA'!$D34="",'BUDGET COMMESSA'!$D34&lt;=0,ANAGRAFICA!$J34=""),"",IF(OR($I37="Finito ritenute non previste",$I37="Finito con sblocco ritenute",$I37="Finito senza sblocco ritenute"),0,IF(AND($BK37&gt;=$BJ37,ANAGRAFICA!$R34="Ritardo produttivo FIDA"),IF(ANAGRAFICA!$T34&lt;&gt;"",MAX(0,ANAGRAFICA!$J34-ANAGRAFICA!$T34),MAX(0,$Y37-ANAGRAFICA!$J34)),0)))</f>
        <v/>
      </c>
      <c r="R37" s="17" t="str">
        <f t="shared" si="8"/>
        <v/>
      </c>
      <c r="S37" s="17" t="str">
        <f t="shared" si="9"/>
        <v/>
      </c>
      <c r="T37" s="17" t="str">
        <f t="shared" si="10"/>
        <v/>
      </c>
      <c r="U37" s="16" t="str">
        <f t="shared" si="11"/>
        <v/>
      </c>
      <c r="V37" s="16" t="str">
        <f t="shared" si="12"/>
        <v/>
      </c>
      <c r="W37" s="16" t="str">
        <f t="shared" si="13"/>
        <v/>
      </c>
      <c r="X37" s="40"/>
      <c r="Y37" s="14"/>
      <c r="AZ37" t="str">
        <f>IF($C37="","",ANAGRAFICA!$P34)</f>
        <v/>
      </c>
      <c r="BA37" t="str">
        <f>IF($C37="","",SUMIF('MOVIMENTI 2026'!$B$7:$B$4206,$C37,'MOVIMENTI 2026'!$I$7:$I$4206)+SUMIF('SALDI AL 31.12.2025'!$A$6:$A$505,$C37,'SALDI AL 31.12.2025'!$C$6:$C$505))</f>
        <v/>
      </c>
      <c r="BB37" t="str">
        <f>IF($C37="","",SUMIF('MOVIMENTI 2026'!$B$7:$B$4206,$C37,'MOVIMENTI 2026'!$J$7:$J$4206)+SUMIF('SALDI AL 31.12.2025'!$A$6:$A$505,$C37,'SALDI AL 31.12.2025'!$D$6:$D$505))</f>
        <v/>
      </c>
      <c r="BC37" t="str">
        <f>IF($C37="","",SUMIF('MOVIMENTI 2026'!$B$7:$B$4206,$C37,'MOVIMENTI 2026'!$K$7:$K$4206)+SUMIF('SALDI AL 31.12.2025'!$A$6:$A$505,$C37,'SALDI AL 31.12.2025'!$E$6:$E$505))</f>
        <v/>
      </c>
      <c r="BD37" t="str">
        <f>IF($C37="","",SUMIF('MOVIMENTI 2026'!$B$7:$B$4206,$C37,'MOVIMENTI 2026'!$L$7:$L$4206)+SUMIF('SALDI AL 31.12.2025'!$A$6:$A$505,$C37,'SALDI AL 31.12.2025'!$F$6:$F$505))</f>
        <v/>
      </c>
      <c r="BE37" t="str">
        <f t="shared" si="14"/>
        <v/>
      </c>
      <c r="BF37" t="str">
        <f t="shared" si="15"/>
        <v/>
      </c>
      <c r="BG37" t="str">
        <f t="shared" si="16"/>
        <v/>
      </c>
      <c r="BH37" t="str">
        <f>IFERROR(IF(OR($C37="",ANAGRAFICA!$I34="",ANAGRAFICA!$J34="",ANAGRAFICA!$J34&lt;=ANAGRAFICA!$I34,$Y37=""),"",IF(OR($I37="Finito ritenute non previste",$I37="Finito con sblocco ritenute",$I37="Finito senza sblocco ritenute"),1,MAX(0,MIN(1,($Y37-ANAGRAFICA!$I34)/(ANAGRAFICA!$J34-ANAGRAFICA!$I34))))),"")</f>
        <v/>
      </c>
      <c r="BI37" t="str">
        <f t="shared" si="17"/>
        <v/>
      </c>
      <c r="BJ37" t="str">
        <f>IFERROR(IF($C37="","",'BUDGET COMMESSA'!$D34),"")</f>
        <v/>
      </c>
      <c r="BK37" t="str">
        <f>IF($C37="","",SUMIF('MOVIMENTI 2026'!$B$7:$B$4206,$C37,'MOVIMENTI 2026'!$N$7:$N$4206)+SUMIF('SALDI AL 31.12.2025'!$A$6:$A$505,$C37,'SALDI AL 31.12.2025'!$H$6:$H$505))</f>
        <v/>
      </c>
      <c r="BL37" t="str">
        <f t="shared" si="18"/>
        <v/>
      </c>
      <c r="BM37" t="str">
        <f t="shared" si="19"/>
        <v/>
      </c>
      <c r="BN37" t="str">
        <f t="shared" si="20"/>
        <v/>
      </c>
      <c r="BO37" t="str">
        <f>IFERROR(IF($C37="","",'BUDGET COMMESSA'!$G34),"")</f>
        <v/>
      </c>
      <c r="BP37" t="str">
        <f>IF($C37="","",SUMIF('COSTI DIRETTI'!$C$6:$C$505,$C37,'COSTI DIRETTI'!$H$6:$H$505)+SUMIF('SALDI AL 31.12.2025'!$A$6:$A$505,$C37,'SALDI AL 31.12.2025'!$I$6:$I$505))</f>
        <v/>
      </c>
      <c r="BQ37" t="str">
        <f t="shared" si="21"/>
        <v/>
      </c>
      <c r="BR37" t="str">
        <f t="shared" si="22"/>
        <v/>
      </c>
      <c r="BS37" t="str">
        <f>IF($C37="","",$BK37*PARAMETRI!$B$4+$BP37)</f>
        <v/>
      </c>
      <c r="BT37">
        <f t="shared" si="23"/>
        <v>0</v>
      </c>
      <c r="BU37">
        <f t="shared" si="24"/>
        <v>0</v>
      </c>
      <c r="BV37" t="str">
        <f>IF($C37="","",SUMIF('MOVIMENTI 2026'!$B$7:$B$4206,$C37,'MOVIMENTI 2026'!$P$7:$P$4206)+SUMIF('SALDI AL 31.12.2025'!$A$6:$A$505,$C37,'SALDI AL 31.12.2025'!$G$6:$G$505))</f>
        <v/>
      </c>
    </row>
    <row r="38" spans="1:74" ht="16" x14ac:dyDescent="0.15">
      <c r="A38" s="17" t="str">
        <f>IFERROR(IF($C38="","",IF(OR($BF38&gt;0,$V38&gt;$J38,AND(ISNUMBER($Q38),$Q38&gt;0),AND($BI38&lt;&gt;"",$BI38&lt;-PARAMETRI!$B$6),AND($BM38&lt;&gt;"",$BM38&gt;=1),AND($BN38&lt;&gt;"",$BN38&gt;PARAMETRI!$B$8),AND(ISNUMBER($BR38),$BR38&gt;0)),"CRITICO",IF(OR($AZ38="",LEFT($C38,5)="TEMP",$BJ38="",$BO38="",ANAGRAFICA!$I35="",ANAGRAFICA!$J35="",$Y38="",AND(OR($I38="Finito ritenute non previste",$I38="Finito con sblocco ritenute",$I38="Finito senza sblocco ritenute"),ANAGRAFICA!$K35=""),OR(AND(ANAGRAFICA!$T35&lt;&gt;"",ANAGRAFICA!$J35&lt;&gt;ANAGRAFICA!$T35,OR(ANAGRAFICA!$R35="",ANAGRAFICA!$R35="Nessuna variazione")),AND(ANAGRAFICA!$J35="",ANAGRAFICA!$R35&lt;&gt;"",ANAGRAFICA!$R35&lt;&gt;"Nessuna variazione")),AND($BI38&lt;&gt;"",$BI38&lt;-PARAMETRI!$B$5),AND($BN38&lt;&gt;"",$BN38&gt;PARAMETRI!$B$7),AND($W38&gt;0,$M38&gt;$W38*PARAMETRI!$B$9),AND($O38&gt;0,OR($I38="Finito ritenute non previste",$I38="Finito con sblocco ritenute",$I38="Finito senza sblocco ritenute")),AND($BA38&gt;0,$BO38&gt;0,$BP38=0),AND(OR($I38="Finito ritenute non previste",$I38="Finito con sblocco ritenute",$I38="Finito senza sblocco ritenute"),$W38&gt;0,$N38&gt;$W38*PARAMETRI!$B$9),$V38&gt;0),"ATTENZIONE","REGOLARE"))),"ATTENZIONE")</f>
        <v/>
      </c>
      <c r="B38" s="17" t="str">
        <f>IFERROR(IF($C38="","",IF($BF38&gt;0,"FATTURATO OLTRE VALORE RECUPERABILE; ","")&amp;IF($V38&gt;$J38,"PERDITE ACCETTATE OLTRE CONTRATTO; ","")&amp;IF($V38&gt;0,"PERDITA SAL ACCETTATA (€ "&amp;TEXT($V38,"#,##0.00")&amp;"); ","")&amp;IF(AND(ISNUMBER($Q38),$Q38&gt;0),"RITARDO PRODUTTIVO ("&amp;TEXT($Q38,"0")&amp;" GG); ","")&amp;IF(AND($BI38&lt;&gt;"",$BI38&lt;-PARAMETRI!$B$5),"AVANZAMENTO PIÙ LENTO DEL TEMPO; ","")&amp;IF(AND($BM38&lt;&gt;"",$BM38&gt;1),"ORE OLTRE BUDGET; ","")&amp;IF(AND($BM38&lt;&gt;"",$BM38=1),"ORE PREVENTIVATE ESAURITE; ","")&amp;IF(AND($BN38&lt;&gt;"",$BN38&gt;PARAMETRI!$B$7),"CONSUMO ORE SUPERIORE ALL'AVANZAMENTO; ","")&amp;IF(AND(ISNUMBER($BR38),$BR38&gt;0),"COSTI DIRETTI OLTRE BUDGET; ","")&amp;IF(AND($W38&gt;0,$M38&gt;$W38*PARAMETRI!$B$9),"SAL MATURATO NON FATTURATO; ","")&amp;IF(AND($O38&gt;0,OR($I38="Finito ritenute non previste",$I38="Finito con sblocco ritenute",$I38="Finito senza sblocco ritenute")),"RITENUTE DA SBLOCCARE; ","")&amp;IF(AND($BA38&gt;0,$BO38&gt;0,$BP38=0),"COSTI DIRETTI NON REGISTRATI; ","")&amp;IF(AND(OR($I38="Finito ritenute non previste",$I38="Finito con sblocco ritenute",$I38="Finito senza sblocco ritenute"),$W38&gt;0,$N38&gt;$W38*PARAMETRI!$B$9),"CANTIERE FINITO CON RESIDUO LAVORI; ","")&amp;IF(AND(OR($I38="Finito ritenute non previste",$I38="Finito con sblocco ritenute",$I38="Finito senza sblocco ritenute"),ANAGRAFICA!$K35=""),"DATA FINE EFFETTIVA MANCANTE; ","")&amp;IF(OR(AND(ANAGRAFICA!$T35&lt;&gt;"",ANAGRAFICA!$J35&lt;&gt;ANAGRAFICA!$T35,OR(ANAGRAFICA!$R35="",ANAGRAFICA!$R35="Nessuna variazione")),AND(ANAGRAFICA!$J35="",ANAGRAFICA!$R35&lt;&gt;"",ANAGRAFICA!$R35&lt;&gt;"Nessuna variazione")),"GESTIONE DATA FINE INCOMPLETA; ","")&amp;IF($Y38="","AGGIORNATO AL MANCANTE; ","")&amp;IF(OR($AZ38="",$BJ38="",$BO38="",ANAGRAFICA!$I35="",ANAGRAFICA!$J35=""),"DATI PREVISIONALI INCOMPLETI; ","")&amp;IF(LEFT($C38,5)="TEMP","CODICE COMMESSA TEMPORANEO; ","")),"DATI INCOMPLETI; ")</f>
        <v/>
      </c>
      <c r="C38" s="17" t="str">
        <f>IF(ANAGRAFICA!$B35="","",ANAGRAFICA!$B35)</f>
        <v/>
      </c>
      <c r="D38" s="17" t="str">
        <f>IF($C38="","",ANAGRAFICA!$C35)</f>
        <v/>
      </c>
      <c r="E38" s="17" t="str">
        <f>IF($C38="","",ANAGRAFICA!$D35)</f>
        <v/>
      </c>
      <c r="F38" s="17" t="str">
        <f>IF($C38="","",ANAGRAFICA!$E35)</f>
        <v/>
      </c>
      <c r="G38" s="17" t="str">
        <f>IF($C38="","",ANAGRAFICA!$F35)</f>
        <v/>
      </c>
      <c r="H38" s="17" t="str">
        <f>IF($C38="","",ANAGRAFICA!$G35)</f>
        <v/>
      </c>
      <c r="I38" s="17" t="str">
        <f>IF($C38="","",ANAGRAFICA!$L35)</f>
        <v/>
      </c>
      <c r="J38" s="16" t="str">
        <f t="shared" si="1"/>
        <v/>
      </c>
      <c r="K38" s="16" t="str">
        <f t="shared" si="2"/>
        <v/>
      </c>
      <c r="L38" s="16" t="str">
        <f t="shared" si="3"/>
        <v/>
      </c>
      <c r="M38" s="16" t="str">
        <f t="shared" si="4"/>
        <v/>
      </c>
      <c r="N38" s="16" t="str">
        <f t="shared" si="5"/>
        <v/>
      </c>
      <c r="O38" s="16" t="str">
        <f t="shared" si="6"/>
        <v/>
      </c>
      <c r="P38" s="17" t="str">
        <f t="shared" si="7"/>
        <v/>
      </c>
      <c r="Q38" s="31" t="str">
        <f>IF(OR($C38="",'BUDGET COMMESSA'!$D35="",'BUDGET COMMESSA'!$D35&lt;=0,ANAGRAFICA!$J35=""),"",IF(OR($I38="Finito ritenute non previste",$I38="Finito con sblocco ritenute",$I38="Finito senza sblocco ritenute"),0,IF(AND($BK38&gt;=$BJ38,ANAGRAFICA!$R35="Ritardo produttivo FIDA"),IF(ANAGRAFICA!$T35&lt;&gt;"",MAX(0,ANAGRAFICA!$J35-ANAGRAFICA!$T35),MAX(0,$Y38-ANAGRAFICA!$J35)),0)))</f>
        <v/>
      </c>
      <c r="R38" s="17" t="str">
        <f t="shared" si="8"/>
        <v/>
      </c>
      <c r="S38" s="17" t="str">
        <f t="shared" si="9"/>
        <v/>
      </c>
      <c r="T38" s="17" t="str">
        <f t="shared" si="10"/>
        <v/>
      </c>
      <c r="U38" s="16" t="str">
        <f t="shared" si="11"/>
        <v/>
      </c>
      <c r="V38" s="16" t="str">
        <f t="shared" si="12"/>
        <v/>
      </c>
      <c r="W38" s="16" t="str">
        <f t="shared" si="13"/>
        <v/>
      </c>
      <c r="X38" s="40"/>
      <c r="Y38" s="14"/>
      <c r="AZ38" t="str">
        <f>IF($C38="","",ANAGRAFICA!$P35)</f>
        <v/>
      </c>
      <c r="BA38" t="str">
        <f>IF($C38="","",SUMIF('MOVIMENTI 2026'!$B$7:$B$4206,$C38,'MOVIMENTI 2026'!$I$7:$I$4206)+SUMIF('SALDI AL 31.12.2025'!$A$6:$A$505,$C38,'SALDI AL 31.12.2025'!$C$6:$C$505))</f>
        <v/>
      </c>
      <c r="BB38" t="str">
        <f>IF($C38="","",SUMIF('MOVIMENTI 2026'!$B$7:$B$4206,$C38,'MOVIMENTI 2026'!$J$7:$J$4206)+SUMIF('SALDI AL 31.12.2025'!$A$6:$A$505,$C38,'SALDI AL 31.12.2025'!$D$6:$D$505))</f>
        <v/>
      </c>
      <c r="BC38" t="str">
        <f>IF($C38="","",SUMIF('MOVIMENTI 2026'!$B$7:$B$4206,$C38,'MOVIMENTI 2026'!$K$7:$K$4206)+SUMIF('SALDI AL 31.12.2025'!$A$6:$A$505,$C38,'SALDI AL 31.12.2025'!$E$6:$E$505))</f>
        <v/>
      </c>
      <c r="BD38" t="str">
        <f>IF($C38="","",SUMIF('MOVIMENTI 2026'!$B$7:$B$4206,$C38,'MOVIMENTI 2026'!$L$7:$L$4206)+SUMIF('SALDI AL 31.12.2025'!$A$6:$A$505,$C38,'SALDI AL 31.12.2025'!$F$6:$F$505))</f>
        <v/>
      </c>
      <c r="BE38" t="str">
        <f t="shared" si="14"/>
        <v/>
      </c>
      <c r="BF38" t="str">
        <f t="shared" si="15"/>
        <v/>
      </c>
      <c r="BG38" t="str">
        <f t="shared" si="16"/>
        <v/>
      </c>
      <c r="BH38" t="str">
        <f>IFERROR(IF(OR($C38="",ANAGRAFICA!$I35="",ANAGRAFICA!$J35="",ANAGRAFICA!$J35&lt;=ANAGRAFICA!$I35,$Y38=""),"",IF(OR($I38="Finito ritenute non previste",$I38="Finito con sblocco ritenute",$I38="Finito senza sblocco ritenute"),1,MAX(0,MIN(1,($Y38-ANAGRAFICA!$I35)/(ANAGRAFICA!$J35-ANAGRAFICA!$I35))))),"")</f>
        <v/>
      </c>
      <c r="BI38" t="str">
        <f t="shared" si="17"/>
        <v/>
      </c>
      <c r="BJ38" t="str">
        <f>IFERROR(IF($C38="","",'BUDGET COMMESSA'!$D35),"")</f>
        <v/>
      </c>
      <c r="BK38" t="str">
        <f>IF($C38="","",SUMIF('MOVIMENTI 2026'!$B$7:$B$4206,$C38,'MOVIMENTI 2026'!$N$7:$N$4206)+SUMIF('SALDI AL 31.12.2025'!$A$6:$A$505,$C38,'SALDI AL 31.12.2025'!$H$6:$H$505))</f>
        <v/>
      </c>
      <c r="BL38" t="str">
        <f t="shared" si="18"/>
        <v/>
      </c>
      <c r="BM38" t="str">
        <f t="shared" si="19"/>
        <v/>
      </c>
      <c r="BN38" t="str">
        <f t="shared" si="20"/>
        <v/>
      </c>
      <c r="BO38" t="str">
        <f>IFERROR(IF($C38="","",'BUDGET COMMESSA'!$G35),"")</f>
        <v/>
      </c>
      <c r="BP38" t="str">
        <f>IF($C38="","",SUMIF('COSTI DIRETTI'!$C$6:$C$505,$C38,'COSTI DIRETTI'!$H$6:$H$505)+SUMIF('SALDI AL 31.12.2025'!$A$6:$A$505,$C38,'SALDI AL 31.12.2025'!$I$6:$I$505))</f>
        <v/>
      </c>
      <c r="BQ38" t="str">
        <f t="shared" si="21"/>
        <v/>
      </c>
      <c r="BR38" t="str">
        <f t="shared" si="22"/>
        <v/>
      </c>
      <c r="BS38" t="str">
        <f>IF($C38="","",$BK38*PARAMETRI!$B$4+$BP38)</f>
        <v/>
      </c>
      <c r="BT38">
        <f t="shared" si="23"/>
        <v>0</v>
      </c>
      <c r="BU38">
        <f t="shared" si="24"/>
        <v>0</v>
      </c>
      <c r="BV38" t="str">
        <f>IF($C38="","",SUMIF('MOVIMENTI 2026'!$B$7:$B$4206,$C38,'MOVIMENTI 2026'!$P$7:$P$4206)+SUMIF('SALDI AL 31.12.2025'!$A$6:$A$505,$C38,'SALDI AL 31.12.2025'!$G$6:$G$505))</f>
        <v/>
      </c>
    </row>
    <row r="39" spans="1:74" ht="16" x14ac:dyDescent="0.15">
      <c r="A39" s="17" t="str">
        <f>IFERROR(IF($C39="","",IF(OR($BF39&gt;0,$V39&gt;$J39,AND(ISNUMBER($Q39),$Q39&gt;0),AND($BI39&lt;&gt;"",$BI39&lt;-PARAMETRI!$B$6),AND($BM39&lt;&gt;"",$BM39&gt;=1),AND($BN39&lt;&gt;"",$BN39&gt;PARAMETRI!$B$8),AND(ISNUMBER($BR39),$BR39&gt;0)),"CRITICO",IF(OR($AZ39="",LEFT($C39,5)="TEMP",$BJ39="",$BO39="",ANAGRAFICA!$I36="",ANAGRAFICA!$J36="",$Y39="",AND(OR($I39="Finito ritenute non previste",$I39="Finito con sblocco ritenute",$I39="Finito senza sblocco ritenute"),ANAGRAFICA!$K36=""),OR(AND(ANAGRAFICA!$T36&lt;&gt;"",ANAGRAFICA!$J36&lt;&gt;ANAGRAFICA!$T36,OR(ANAGRAFICA!$R36="",ANAGRAFICA!$R36="Nessuna variazione")),AND(ANAGRAFICA!$J36="",ANAGRAFICA!$R36&lt;&gt;"",ANAGRAFICA!$R36&lt;&gt;"Nessuna variazione")),AND($BI39&lt;&gt;"",$BI39&lt;-PARAMETRI!$B$5),AND($BN39&lt;&gt;"",$BN39&gt;PARAMETRI!$B$7),AND($W39&gt;0,$M39&gt;$W39*PARAMETRI!$B$9),AND($O39&gt;0,OR($I39="Finito ritenute non previste",$I39="Finito con sblocco ritenute",$I39="Finito senza sblocco ritenute")),AND($BA39&gt;0,$BO39&gt;0,$BP39=0),AND(OR($I39="Finito ritenute non previste",$I39="Finito con sblocco ritenute",$I39="Finito senza sblocco ritenute"),$W39&gt;0,$N39&gt;$W39*PARAMETRI!$B$9),$V39&gt;0),"ATTENZIONE","REGOLARE"))),"ATTENZIONE")</f>
        <v/>
      </c>
      <c r="B39" s="17" t="str">
        <f>IFERROR(IF($C39="","",IF($BF39&gt;0,"FATTURATO OLTRE VALORE RECUPERABILE; ","")&amp;IF($V39&gt;$J39,"PERDITE ACCETTATE OLTRE CONTRATTO; ","")&amp;IF($V39&gt;0,"PERDITA SAL ACCETTATA (€ "&amp;TEXT($V39,"#,##0.00")&amp;"); ","")&amp;IF(AND(ISNUMBER($Q39),$Q39&gt;0),"RITARDO PRODUTTIVO ("&amp;TEXT($Q39,"0")&amp;" GG); ","")&amp;IF(AND($BI39&lt;&gt;"",$BI39&lt;-PARAMETRI!$B$5),"AVANZAMENTO PIÙ LENTO DEL TEMPO; ","")&amp;IF(AND($BM39&lt;&gt;"",$BM39&gt;1),"ORE OLTRE BUDGET; ","")&amp;IF(AND($BM39&lt;&gt;"",$BM39=1),"ORE PREVENTIVATE ESAURITE; ","")&amp;IF(AND($BN39&lt;&gt;"",$BN39&gt;PARAMETRI!$B$7),"CONSUMO ORE SUPERIORE ALL'AVANZAMENTO; ","")&amp;IF(AND(ISNUMBER($BR39),$BR39&gt;0),"COSTI DIRETTI OLTRE BUDGET; ","")&amp;IF(AND($W39&gt;0,$M39&gt;$W39*PARAMETRI!$B$9),"SAL MATURATO NON FATTURATO; ","")&amp;IF(AND($O39&gt;0,OR($I39="Finito ritenute non previste",$I39="Finito con sblocco ritenute",$I39="Finito senza sblocco ritenute")),"RITENUTE DA SBLOCCARE; ","")&amp;IF(AND($BA39&gt;0,$BO39&gt;0,$BP39=0),"COSTI DIRETTI NON REGISTRATI; ","")&amp;IF(AND(OR($I39="Finito ritenute non previste",$I39="Finito con sblocco ritenute",$I39="Finito senza sblocco ritenute"),$W39&gt;0,$N39&gt;$W39*PARAMETRI!$B$9),"CANTIERE FINITO CON RESIDUO LAVORI; ","")&amp;IF(AND(OR($I39="Finito ritenute non previste",$I39="Finito con sblocco ritenute",$I39="Finito senza sblocco ritenute"),ANAGRAFICA!$K36=""),"DATA FINE EFFETTIVA MANCANTE; ","")&amp;IF(OR(AND(ANAGRAFICA!$T36&lt;&gt;"",ANAGRAFICA!$J36&lt;&gt;ANAGRAFICA!$T36,OR(ANAGRAFICA!$R36="",ANAGRAFICA!$R36="Nessuna variazione")),AND(ANAGRAFICA!$J36="",ANAGRAFICA!$R36&lt;&gt;"",ANAGRAFICA!$R36&lt;&gt;"Nessuna variazione")),"GESTIONE DATA FINE INCOMPLETA; ","")&amp;IF($Y39="","AGGIORNATO AL MANCANTE; ","")&amp;IF(OR($AZ39="",$BJ39="",$BO39="",ANAGRAFICA!$I36="",ANAGRAFICA!$J36=""),"DATI PREVISIONALI INCOMPLETI; ","")&amp;IF(LEFT($C39,5)="TEMP","CODICE COMMESSA TEMPORANEO; ","")),"DATI INCOMPLETI; ")</f>
        <v/>
      </c>
      <c r="C39" s="17" t="str">
        <f>IF(ANAGRAFICA!$B36="","",ANAGRAFICA!$B36)</f>
        <v/>
      </c>
      <c r="D39" s="17" t="str">
        <f>IF($C39="","",ANAGRAFICA!$C36)</f>
        <v/>
      </c>
      <c r="E39" s="17" t="str">
        <f>IF($C39="","",ANAGRAFICA!$D36)</f>
        <v/>
      </c>
      <c r="F39" s="17" t="str">
        <f>IF($C39="","",ANAGRAFICA!$E36)</f>
        <v/>
      </c>
      <c r="G39" s="17" t="str">
        <f>IF($C39="","",ANAGRAFICA!$F36)</f>
        <v/>
      </c>
      <c r="H39" s="17" t="str">
        <f>IF($C39="","",ANAGRAFICA!$G36)</f>
        <v/>
      </c>
      <c r="I39" s="17" t="str">
        <f>IF($C39="","",ANAGRAFICA!$L36)</f>
        <v/>
      </c>
      <c r="J39" s="16" t="str">
        <f t="shared" si="1"/>
        <v/>
      </c>
      <c r="K39" s="16" t="str">
        <f t="shared" si="2"/>
        <v/>
      </c>
      <c r="L39" s="16" t="str">
        <f t="shared" si="3"/>
        <v/>
      </c>
      <c r="M39" s="16" t="str">
        <f t="shared" si="4"/>
        <v/>
      </c>
      <c r="N39" s="16" t="str">
        <f t="shared" si="5"/>
        <v/>
      </c>
      <c r="O39" s="16" t="str">
        <f t="shared" si="6"/>
        <v/>
      </c>
      <c r="P39" s="17" t="str">
        <f t="shared" si="7"/>
        <v/>
      </c>
      <c r="Q39" s="31" t="str">
        <f>IF(OR($C39="",'BUDGET COMMESSA'!$D36="",'BUDGET COMMESSA'!$D36&lt;=0,ANAGRAFICA!$J36=""),"",IF(OR($I39="Finito ritenute non previste",$I39="Finito con sblocco ritenute",$I39="Finito senza sblocco ritenute"),0,IF(AND($BK39&gt;=$BJ39,ANAGRAFICA!$R36="Ritardo produttivo FIDA"),IF(ANAGRAFICA!$T36&lt;&gt;"",MAX(0,ANAGRAFICA!$J36-ANAGRAFICA!$T36),MAX(0,$Y39-ANAGRAFICA!$J36)),0)))</f>
        <v/>
      </c>
      <c r="R39" s="17" t="str">
        <f t="shared" si="8"/>
        <v/>
      </c>
      <c r="S39" s="17" t="str">
        <f t="shared" si="9"/>
        <v/>
      </c>
      <c r="T39" s="17" t="str">
        <f t="shared" si="10"/>
        <v/>
      </c>
      <c r="U39" s="16" t="str">
        <f t="shared" si="11"/>
        <v/>
      </c>
      <c r="V39" s="16" t="str">
        <f t="shared" si="12"/>
        <v/>
      </c>
      <c r="W39" s="16" t="str">
        <f t="shared" si="13"/>
        <v/>
      </c>
      <c r="X39" s="40"/>
      <c r="Y39" s="14"/>
      <c r="AZ39" t="str">
        <f>IF($C39="","",ANAGRAFICA!$P36)</f>
        <v/>
      </c>
      <c r="BA39" t="str">
        <f>IF($C39="","",SUMIF('MOVIMENTI 2026'!$B$7:$B$4206,$C39,'MOVIMENTI 2026'!$I$7:$I$4206)+SUMIF('SALDI AL 31.12.2025'!$A$6:$A$505,$C39,'SALDI AL 31.12.2025'!$C$6:$C$505))</f>
        <v/>
      </c>
      <c r="BB39" t="str">
        <f>IF($C39="","",SUMIF('MOVIMENTI 2026'!$B$7:$B$4206,$C39,'MOVIMENTI 2026'!$J$7:$J$4206)+SUMIF('SALDI AL 31.12.2025'!$A$6:$A$505,$C39,'SALDI AL 31.12.2025'!$D$6:$D$505))</f>
        <v/>
      </c>
      <c r="BC39" t="str">
        <f>IF($C39="","",SUMIF('MOVIMENTI 2026'!$B$7:$B$4206,$C39,'MOVIMENTI 2026'!$K$7:$K$4206)+SUMIF('SALDI AL 31.12.2025'!$A$6:$A$505,$C39,'SALDI AL 31.12.2025'!$E$6:$E$505))</f>
        <v/>
      </c>
      <c r="BD39" t="str">
        <f>IF($C39="","",SUMIF('MOVIMENTI 2026'!$B$7:$B$4206,$C39,'MOVIMENTI 2026'!$L$7:$L$4206)+SUMIF('SALDI AL 31.12.2025'!$A$6:$A$505,$C39,'SALDI AL 31.12.2025'!$F$6:$F$505))</f>
        <v/>
      </c>
      <c r="BE39" t="str">
        <f t="shared" si="14"/>
        <v/>
      </c>
      <c r="BF39" t="str">
        <f t="shared" si="15"/>
        <v/>
      </c>
      <c r="BG39" t="str">
        <f t="shared" si="16"/>
        <v/>
      </c>
      <c r="BH39" t="str">
        <f>IFERROR(IF(OR($C39="",ANAGRAFICA!$I36="",ANAGRAFICA!$J36="",ANAGRAFICA!$J36&lt;=ANAGRAFICA!$I36,$Y39=""),"",IF(OR($I39="Finito ritenute non previste",$I39="Finito con sblocco ritenute",$I39="Finito senza sblocco ritenute"),1,MAX(0,MIN(1,($Y39-ANAGRAFICA!$I36)/(ANAGRAFICA!$J36-ANAGRAFICA!$I36))))),"")</f>
        <v/>
      </c>
      <c r="BI39" t="str">
        <f t="shared" si="17"/>
        <v/>
      </c>
      <c r="BJ39" t="str">
        <f>IFERROR(IF($C39="","",'BUDGET COMMESSA'!$D36),"")</f>
        <v/>
      </c>
      <c r="BK39" t="str">
        <f>IF($C39="","",SUMIF('MOVIMENTI 2026'!$B$7:$B$4206,$C39,'MOVIMENTI 2026'!$N$7:$N$4206)+SUMIF('SALDI AL 31.12.2025'!$A$6:$A$505,$C39,'SALDI AL 31.12.2025'!$H$6:$H$505))</f>
        <v/>
      </c>
      <c r="BL39" t="str">
        <f t="shared" si="18"/>
        <v/>
      </c>
      <c r="BM39" t="str">
        <f t="shared" si="19"/>
        <v/>
      </c>
      <c r="BN39" t="str">
        <f t="shared" si="20"/>
        <v/>
      </c>
      <c r="BO39" t="str">
        <f>IFERROR(IF($C39="","",'BUDGET COMMESSA'!$G36),"")</f>
        <v/>
      </c>
      <c r="BP39" t="str">
        <f>IF($C39="","",SUMIF('COSTI DIRETTI'!$C$6:$C$505,$C39,'COSTI DIRETTI'!$H$6:$H$505)+SUMIF('SALDI AL 31.12.2025'!$A$6:$A$505,$C39,'SALDI AL 31.12.2025'!$I$6:$I$505))</f>
        <v/>
      </c>
      <c r="BQ39" t="str">
        <f t="shared" si="21"/>
        <v/>
      </c>
      <c r="BR39" t="str">
        <f t="shared" si="22"/>
        <v/>
      </c>
      <c r="BS39" t="str">
        <f>IF($C39="","",$BK39*PARAMETRI!$B$4+$BP39)</f>
        <v/>
      </c>
      <c r="BT39">
        <f t="shared" si="23"/>
        <v>0</v>
      </c>
      <c r="BU39">
        <f t="shared" si="24"/>
        <v>0</v>
      </c>
      <c r="BV39" t="str">
        <f>IF($C39="","",SUMIF('MOVIMENTI 2026'!$B$7:$B$4206,$C39,'MOVIMENTI 2026'!$P$7:$P$4206)+SUMIF('SALDI AL 31.12.2025'!$A$6:$A$505,$C39,'SALDI AL 31.12.2025'!$G$6:$G$505))</f>
        <v/>
      </c>
    </row>
    <row r="40" spans="1:74" ht="16" x14ac:dyDescent="0.15">
      <c r="A40" s="17" t="str">
        <f>IFERROR(IF($C40="","",IF(OR($BF40&gt;0,$V40&gt;$J40,AND(ISNUMBER($Q40),$Q40&gt;0),AND($BI40&lt;&gt;"",$BI40&lt;-PARAMETRI!$B$6),AND($BM40&lt;&gt;"",$BM40&gt;=1),AND($BN40&lt;&gt;"",$BN40&gt;PARAMETRI!$B$8),AND(ISNUMBER($BR40),$BR40&gt;0)),"CRITICO",IF(OR($AZ40="",LEFT($C40,5)="TEMP",$BJ40="",$BO40="",ANAGRAFICA!$I37="",ANAGRAFICA!$J37="",$Y40="",AND(OR($I40="Finito ritenute non previste",$I40="Finito con sblocco ritenute",$I40="Finito senza sblocco ritenute"),ANAGRAFICA!$K37=""),OR(AND(ANAGRAFICA!$T37&lt;&gt;"",ANAGRAFICA!$J37&lt;&gt;ANAGRAFICA!$T37,OR(ANAGRAFICA!$R37="",ANAGRAFICA!$R37="Nessuna variazione")),AND(ANAGRAFICA!$J37="",ANAGRAFICA!$R37&lt;&gt;"",ANAGRAFICA!$R37&lt;&gt;"Nessuna variazione")),AND($BI40&lt;&gt;"",$BI40&lt;-PARAMETRI!$B$5),AND($BN40&lt;&gt;"",$BN40&gt;PARAMETRI!$B$7),AND($W40&gt;0,$M40&gt;$W40*PARAMETRI!$B$9),AND($O40&gt;0,OR($I40="Finito ritenute non previste",$I40="Finito con sblocco ritenute",$I40="Finito senza sblocco ritenute")),AND($BA40&gt;0,$BO40&gt;0,$BP40=0),AND(OR($I40="Finito ritenute non previste",$I40="Finito con sblocco ritenute",$I40="Finito senza sblocco ritenute"),$W40&gt;0,$N40&gt;$W40*PARAMETRI!$B$9),$V40&gt;0),"ATTENZIONE","REGOLARE"))),"ATTENZIONE")</f>
        <v/>
      </c>
      <c r="B40" s="17" t="str">
        <f>IFERROR(IF($C40="","",IF($BF40&gt;0,"FATTURATO OLTRE VALORE RECUPERABILE; ","")&amp;IF($V40&gt;$J40,"PERDITE ACCETTATE OLTRE CONTRATTO; ","")&amp;IF($V40&gt;0,"PERDITA SAL ACCETTATA (€ "&amp;TEXT($V40,"#,##0.00")&amp;"); ","")&amp;IF(AND(ISNUMBER($Q40),$Q40&gt;0),"RITARDO PRODUTTIVO ("&amp;TEXT($Q40,"0")&amp;" GG); ","")&amp;IF(AND($BI40&lt;&gt;"",$BI40&lt;-PARAMETRI!$B$5),"AVANZAMENTO PIÙ LENTO DEL TEMPO; ","")&amp;IF(AND($BM40&lt;&gt;"",$BM40&gt;1),"ORE OLTRE BUDGET; ","")&amp;IF(AND($BM40&lt;&gt;"",$BM40=1),"ORE PREVENTIVATE ESAURITE; ","")&amp;IF(AND($BN40&lt;&gt;"",$BN40&gt;PARAMETRI!$B$7),"CONSUMO ORE SUPERIORE ALL'AVANZAMENTO; ","")&amp;IF(AND(ISNUMBER($BR40),$BR40&gt;0),"COSTI DIRETTI OLTRE BUDGET; ","")&amp;IF(AND($W40&gt;0,$M40&gt;$W40*PARAMETRI!$B$9),"SAL MATURATO NON FATTURATO; ","")&amp;IF(AND($O40&gt;0,OR($I40="Finito ritenute non previste",$I40="Finito con sblocco ritenute",$I40="Finito senza sblocco ritenute")),"RITENUTE DA SBLOCCARE; ","")&amp;IF(AND($BA40&gt;0,$BO40&gt;0,$BP40=0),"COSTI DIRETTI NON REGISTRATI; ","")&amp;IF(AND(OR($I40="Finito ritenute non previste",$I40="Finito con sblocco ritenute",$I40="Finito senza sblocco ritenute"),$W40&gt;0,$N40&gt;$W40*PARAMETRI!$B$9),"CANTIERE FINITO CON RESIDUO LAVORI; ","")&amp;IF(AND(OR($I40="Finito ritenute non previste",$I40="Finito con sblocco ritenute",$I40="Finito senza sblocco ritenute"),ANAGRAFICA!$K37=""),"DATA FINE EFFETTIVA MANCANTE; ","")&amp;IF(OR(AND(ANAGRAFICA!$T37&lt;&gt;"",ANAGRAFICA!$J37&lt;&gt;ANAGRAFICA!$T37,OR(ANAGRAFICA!$R37="",ANAGRAFICA!$R37="Nessuna variazione")),AND(ANAGRAFICA!$J37="",ANAGRAFICA!$R37&lt;&gt;"",ANAGRAFICA!$R37&lt;&gt;"Nessuna variazione")),"GESTIONE DATA FINE INCOMPLETA; ","")&amp;IF($Y40="","AGGIORNATO AL MANCANTE; ","")&amp;IF(OR($AZ40="",$BJ40="",$BO40="",ANAGRAFICA!$I37="",ANAGRAFICA!$J37=""),"DATI PREVISIONALI INCOMPLETI; ","")&amp;IF(LEFT($C40,5)="TEMP","CODICE COMMESSA TEMPORANEO; ","")),"DATI INCOMPLETI; ")</f>
        <v/>
      </c>
      <c r="C40" s="17" t="str">
        <f>IF(ANAGRAFICA!$B37="","",ANAGRAFICA!$B37)</f>
        <v/>
      </c>
      <c r="D40" s="17" t="str">
        <f>IF($C40="","",ANAGRAFICA!$C37)</f>
        <v/>
      </c>
      <c r="E40" s="17" t="str">
        <f>IF($C40="","",ANAGRAFICA!$D37)</f>
        <v/>
      </c>
      <c r="F40" s="17" t="str">
        <f>IF($C40="","",ANAGRAFICA!$E37)</f>
        <v/>
      </c>
      <c r="G40" s="17" t="str">
        <f>IF($C40="","",ANAGRAFICA!$F37)</f>
        <v/>
      </c>
      <c r="H40" s="17" t="str">
        <f>IF($C40="","",ANAGRAFICA!$G37)</f>
        <v/>
      </c>
      <c r="I40" s="17" t="str">
        <f>IF($C40="","",ANAGRAFICA!$L37)</f>
        <v/>
      </c>
      <c r="J40" s="16" t="str">
        <f t="shared" si="1"/>
        <v/>
      </c>
      <c r="K40" s="16" t="str">
        <f t="shared" si="2"/>
        <v/>
      </c>
      <c r="L40" s="16" t="str">
        <f t="shared" si="3"/>
        <v/>
      </c>
      <c r="M40" s="16" t="str">
        <f t="shared" si="4"/>
        <v/>
      </c>
      <c r="N40" s="16" t="str">
        <f t="shared" si="5"/>
        <v/>
      </c>
      <c r="O40" s="16" t="str">
        <f t="shared" si="6"/>
        <v/>
      </c>
      <c r="P40" s="17" t="str">
        <f t="shared" si="7"/>
        <v/>
      </c>
      <c r="Q40" s="31" t="str">
        <f>IF(OR($C40="",'BUDGET COMMESSA'!$D37="",'BUDGET COMMESSA'!$D37&lt;=0,ANAGRAFICA!$J37=""),"",IF(OR($I40="Finito ritenute non previste",$I40="Finito con sblocco ritenute",$I40="Finito senza sblocco ritenute"),0,IF(AND($BK40&gt;=$BJ40,ANAGRAFICA!$R37="Ritardo produttivo FIDA"),IF(ANAGRAFICA!$T37&lt;&gt;"",MAX(0,ANAGRAFICA!$J37-ANAGRAFICA!$T37),MAX(0,$Y40-ANAGRAFICA!$J37)),0)))</f>
        <v/>
      </c>
      <c r="R40" s="17" t="str">
        <f t="shared" si="8"/>
        <v/>
      </c>
      <c r="S40" s="17" t="str">
        <f t="shared" si="9"/>
        <v/>
      </c>
      <c r="T40" s="17" t="str">
        <f t="shared" si="10"/>
        <v/>
      </c>
      <c r="U40" s="16" t="str">
        <f t="shared" si="11"/>
        <v/>
      </c>
      <c r="V40" s="16" t="str">
        <f t="shared" si="12"/>
        <v/>
      </c>
      <c r="W40" s="16" t="str">
        <f t="shared" si="13"/>
        <v/>
      </c>
      <c r="X40" s="40"/>
      <c r="Y40" s="14"/>
      <c r="AZ40" t="str">
        <f>IF($C40="","",ANAGRAFICA!$P37)</f>
        <v/>
      </c>
      <c r="BA40" t="str">
        <f>IF($C40="","",SUMIF('MOVIMENTI 2026'!$B$7:$B$4206,$C40,'MOVIMENTI 2026'!$I$7:$I$4206)+SUMIF('SALDI AL 31.12.2025'!$A$6:$A$505,$C40,'SALDI AL 31.12.2025'!$C$6:$C$505))</f>
        <v/>
      </c>
      <c r="BB40" t="str">
        <f>IF($C40="","",SUMIF('MOVIMENTI 2026'!$B$7:$B$4206,$C40,'MOVIMENTI 2026'!$J$7:$J$4206)+SUMIF('SALDI AL 31.12.2025'!$A$6:$A$505,$C40,'SALDI AL 31.12.2025'!$D$6:$D$505))</f>
        <v/>
      </c>
      <c r="BC40" t="str">
        <f>IF($C40="","",SUMIF('MOVIMENTI 2026'!$B$7:$B$4206,$C40,'MOVIMENTI 2026'!$K$7:$K$4206)+SUMIF('SALDI AL 31.12.2025'!$A$6:$A$505,$C40,'SALDI AL 31.12.2025'!$E$6:$E$505))</f>
        <v/>
      </c>
      <c r="BD40" t="str">
        <f>IF($C40="","",SUMIF('MOVIMENTI 2026'!$B$7:$B$4206,$C40,'MOVIMENTI 2026'!$L$7:$L$4206)+SUMIF('SALDI AL 31.12.2025'!$A$6:$A$505,$C40,'SALDI AL 31.12.2025'!$F$6:$F$505))</f>
        <v/>
      </c>
      <c r="BE40" t="str">
        <f t="shared" si="14"/>
        <v/>
      </c>
      <c r="BF40" t="str">
        <f t="shared" si="15"/>
        <v/>
      </c>
      <c r="BG40" t="str">
        <f t="shared" si="16"/>
        <v/>
      </c>
      <c r="BH40" t="str">
        <f>IFERROR(IF(OR($C40="",ANAGRAFICA!$I37="",ANAGRAFICA!$J37="",ANAGRAFICA!$J37&lt;=ANAGRAFICA!$I37,$Y40=""),"",IF(OR($I40="Finito ritenute non previste",$I40="Finito con sblocco ritenute",$I40="Finito senza sblocco ritenute"),1,MAX(0,MIN(1,($Y40-ANAGRAFICA!$I37)/(ANAGRAFICA!$J37-ANAGRAFICA!$I37))))),"")</f>
        <v/>
      </c>
      <c r="BI40" t="str">
        <f t="shared" si="17"/>
        <v/>
      </c>
      <c r="BJ40" t="str">
        <f>IFERROR(IF($C40="","",'BUDGET COMMESSA'!$D37),"")</f>
        <v/>
      </c>
      <c r="BK40" t="str">
        <f>IF($C40="","",SUMIF('MOVIMENTI 2026'!$B$7:$B$4206,$C40,'MOVIMENTI 2026'!$N$7:$N$4206)+SUMIF('SALDI AL 31.12.2025'!$A$6:$A$505,$C40,'SALDI AL 31.12.2025'!$H$6:$H$505))</f>
        <v/>
      </c>
      <c r="BL40" t="str">
        <f t="shared" si="18"/>
        <v/>
      </c>
      <c r="BM40" t="str">
        <f t="shared" si="19"/>
        <v/>
      </c>
      <c r="BN40" t="str">
        <f t="shared" si="20"/>
        <v/>
      </c>
      <c r="BO40" t="str">
        <f>IFERROR(IF($C40="","",'BUDGET COMMESSA'!$G37),"")</f>
        <v/>
      </c>
      <c r="BP40" t="str">
        <f>IF($C40="","",SUMIF('COSTI DIRETTI'!$C$6:$C$505,$C40,'COSTI DIRETTI'!$H$6:$H$505)+SUMIF('SALDI AL 31.12.2025'!$A$6:$A$505,$C40,'SALDI AL 31.12.2025'!$I$6:$I$505))</f>
        <v/>
      </c>
      <c r="BQ40" t="str">
        <f t="shared" si="21"/>
        <v/>
      </c>
      <c r="BR40" t="str">
        <f t="shared" si="22"/>
        <v/>
      </c>
      <c r="BS40" t="str">
        <f>IF($C40="","",$BK40*PARAMETRI!$B$4+$BP40)</f>
        <v/>
      </c>
      <c r="BT40">
        <f t="shared" si="23"/>
        <v>0</v>
      </c>
      <c r="BU40">
        <f t="shared" si="24"/>
        <v>0</v>
      </c>
      <c r="BV40" t="str">
        <f>IF($C40="","",SUMIF('MOVIMENTI 2026'!$B$7:$B$4206,$C40,'MOVIMENTI 2026'!$P$7:$P$4206)+SUMIF('SALDI AL 31.12.2025'!$A$6:$A$505,$C40,'SALDI AL 31.12.2025'!$G$6:$G$505))</f>
        <v/>
      </c>
    </row>
    <row r="41" spans="1:74" ht="16" x14ac:dyDescent="0.15">
      <c r="A41" s="17" t="str">
        <f>IFERROR(IF($C41="","",IF(OR($BF41&gt;0,$V41&gt;$J41,AND(ISNUMBER($Q41),$Q41&gt;0),AND($BI41&lt;&gt;"",$BI41&lt;-PARAMETRI!$B$6),AND($BM41&lt;&gt;"",$BM41&gt;=1),AND($BN41&lt;&gt;"",$BN41&gt;PARAMETRI!$B$8),AND(ISNUMBER($BR41),$BR41&gt;0)),"CRITICO",IF(OR($AZ41="",LEFT($C41,5)="TEMP",$BJ41="",$BO41="",ANAGRAFICA!$I38="",ANAGRAFICA!$J38="",$Y41="",AND(OR($I41="Finito ritenute non previste",$I41="Finito con sblocco ritenute",$I41="Finito senza sblocco ritenute"),ANAGRAFICA!$K38=""),OR(AND(ANAGRAFICA!$T38&lt;&gt;"",ANAGRAFICA!$J38&lt;&gt;ANAGRAFICA!$T38,OR(ANAGRAFICA!$R38="",ANAGRAFICA!$R38="Nessuna variazione")),AND(ANAGRAFICA!$J38="",ANAGRAFICA!$R38&lt;&gt;"",ANAGRAFICA!$R38&lt;&gt;"Nessuna variazione")),AND($BI41&lt;&gt;"",$BI41&lt;-PARAMETRI!$B$5),AND($BN41&lt;&gt;"",$BN41&gt;PARAMETRI!$B$7),AND($W41&gt;0,$M41&gt;$W41*PARAMETRI!$B$9),AND($O41&gt;0,OR($I41="Finito ritenute non previste",$I41="Finito con sblocco ritenute",$I41="Finito senza sblocco ritenute")),AND($BA41&gt;0,$BO41&gt;0,$BP41=0),AND(OR($I41="Finito ritenute non previste",$I41="Finito con sblocco ritenute",$I41="Finito senza sblocco ritenute"),$W41&gt;0,$N41&gt;$W41*PARAMETRI!$B$9),$V41&gt;0),"ATTENZIONE","REGOLARE"))),"ATTENZIONE")</f>
        <v/>
      </c>
      <c r="B41" s="17" t="str">
        <f>IFERROR(IF($C41="","",IF($BF41&gt;0,"FATTURATO OLTRE VALORE RECUPERABILE; ","")&amp;IF($V41&gt;$J41,"PERDITE ACCETTATE OLTRE CONTRATTO; ","")&amp;IF($V41&gt;0,"PERDITA SAL ACCETTATA (€ "&amp;TEXT($V41,"#,##0.00")&amp;"); ","")&amp;IF(AND(ISNUMBER($Q41),$Q41&gt;0),"RITARDO PRODUTTIVO ("&amp;TEXT($Q41,"0")&amp;" GG); ","")&amp;IF(AND($BI41&lt;&gt;"",$BI41&lt;-PARAMETRI!$B$5),"AVANZAMENTO PIÙ LENTO DEL TEMPO; ","")&amp;IF(AND($BM41&lt;&gt;"",$BM41&gt;1),"ORE OLTRE BUDGET; ","")&amp;IF(AND($BM41&lt;&gt;"",$BM41=1),"ORE PREVENTIVATE ESAURITE; ","")&amp;IF(AND($BN41&lt;&gt;"",$BN41&gt;PARAMETRI!$B$7),"CONSUMO ORE SUPERIORE ALL'AVANZAMENTO; ","")&amp;IF(AND(ISNUMBER($BR41),$BR41&gt;0),"COSTI DIRETTI OLTRE BUDGET; ","")&amp;IF(AND($W41&gt;0,$M41&gt;$W41*PARAMETRI!$B$9),"SAL MATURATO NON FATTURATO; ","")&amp;IF(AND($O41&gt;0,OR($I41="Finito ritenute non previste",$I41="Finito con sblocco ritenute",$I41="Finito senza sblocco ritenute")),"RITENUTE DA SBLOCCARE; ","")&amp;IF(AND($BA41&gt;0,$BO41&gt;0,$BP41=0),"COSTI DIRETTI NON REGISTRATI; ","")&amp;IF(AND(OR($I41="Finito ritenute non previste",$I41="Finito con sblocco ritenute",$I41="Finito senza sblocco ritenute"),$W41&gt;0,$N41&gt;$W41*PARAMETRI!$B$9),"CANTIERE FINITO CON RESIDUO LAVORI; ","")&amp;IF(AND(OR($I41="Finito ritenute non previste",$I41="Finito con sblocco ritenute",$I41="Finito senza sblocco ritenute"),ANAGRAFICA!$K38=""),"DATA FINE EFFETTIVA MANCANTE; ","")&amp;IF(OR(AND(ANAGRAFICA!$T38&lt;&gt;"",ANAGRAFICA!$J38&lt;&gt;ANAGRAFICA!$T38,OR(ANAGRAFICA!$R38="",ANAGRAFICA!$R38="Nessuna variazione")),AND(ANAGRAFICA!$J38="",ANAGRAFICA!$R38&lt;&gt;"",ANAGRAFICA!$R38&lt;&gt;"Nessuna variazione")),"GESTIONE DATA FINE INCOMPLETA; ","")&amp;IF($Y41="","AGGIORNATO AL MANCANTE; ","")&amp;IF(OR($AZ41="",$BJ41="",$BO41="",ANAGRAFICA!$I38="",ANAGRAFICA!$J38=""),"DATI PREVISIONALI INCOMPLETI; ","")&amp;IF(LEFT($C41,5)="TEMP","CODICE COMMESSA TEMPORANEO; ","")),"DATI INCOMPLETI; ")</f>
        <v/>
      </c>
      <c r="C41" s="17" t="str">
        <f>IF(ANAGRAFICA!$B38="","",ANAGRAFICA!$B38)</f>
        <v/>
      </c>
      <c r="D41" s="17" t="str">
        <f>IF($C41="","",ANAGRAFICA!$C38)</f>
        <v/>
      </c>
      <c r="E41" s="17" t="str">
        <f>IF($C41="","",ANAGRAFICA!$D38)</f>
        <v/>
      </c>
      <c r="F41" s="17" t="str">
        <f>IF($C41="","",ANAGRAFICA!$E38)</f>
        <v/>
      </c>
      <c r="G41" s="17" t="str">
        <f>IF($C41="","",ANAGRAFICA!$F38)</f>
        <v/>
      </c>
      <c r="H41" s="17" t="str">
        <f>IF($C41="","",ANAGRAFICA!$G38)</f>
        <v/>
      </c>
      <c r="I41" s="17" t="str">
        <f>IF($C41="","",ANAGRAFICA!$L38)</f>
        <v/>
      </c>
      <c r="J41" s="16" t="str">
        <f t="shared" si="1"/>
        <v/>
      </c>
      <c r="K41" s="16" t="str">
        <f t="shared" si="2"/>
        <v/>
      </c>
      <c r="L41" s="16" t="str">
        <f t="shared" si="3"/>
        <v/>
      </c>
      <c r="M41" s="16" t="str">
        <f t="shared" si="4"/>
        <v/>
      </c>
      <c r="N41" s="16" t="str">
        <f t="shared" si="5"/>
        <v/>
      </c>
      <c r="O41" s="16" t="str">
        <f t="shared" si="6"/>
        <v/>
      </c>
      <c r="P41" s="17" t="str">
        <f t="shared" si="7"/>
        <v/>
      </c>
      <c r="Q41" s="31" t="str">
        <f>IF(OR($C41="",'BUDGET COMMESSA'!$D38="",'BUDGET COMMESSA'!$D38&lt;=0,ANAGRAFICA!$J38=""),"",IF(OR($I41="Finito ritenute non previste",$I41="Finito con sblocco ritenute",$I41="Finito senza sblocco ritenute"),0,IF(AND($BK41&gt;=$BJ41,ANAGRAFICA!$R38="Ritardo produttivo FIDA"),IF(ANAGRAFICA!$T38&lt;&gt;"",MAX(0,ANAGRAFICA!$J38-ANAGRAFICA!$T38),MAX(0,$Y41-ANAGRAFICA!$J38)),0)))</f>
        <v/>
      </c>
      <c r="R41" s="17" t="str">
        <f t="shared" si="8"/>
        <v/>
      </c>
      <c r="S41" s="17" t="str">
        <f t="shared" si="9"/>
        <v/>
      </c>
      <c r="T41" s="17" t="str">
        <f t="shared" si="10"/>
        <v/>
      </c>
      <c r="U41" s="16" t="str">
        <f t="shared" si="11"/>
        <v/>
      </c>
      <c r="V41" s="16" t="str">
        <f t="shared" si="12"/>
        <v/>
      </c>
      <c r="W41" s="16" t="str">
        <f t="shared" si="13"/>
        <v/>
      </c>
      <c r="X41" s="40"/>
      <c r="Y41" s="14"/>
      <c r="AZ41" t="str">
        <f>IF($C41="","",ANAGRAFICA!$P38)</f>
        <v/>
      </c>
      <c r="BA41" t="str">
        <f>IF($C41="","",SUMIF('MOVIMENTI 2026'!$B$7:$B$4206,$C41,'MOVIMENTI 2026'!$I$7:$I$4206)+SUMIF('SALDI AL 31.12.2025'!$A$6:$A$505,$C41,'SALDI AL 31.12.2025'!$C$6:$C$505))</f>
        <v/>
      </c>
      <c r="BB41" t="str">
        <f>IF($C41="","",SUMIF('MOVIMENTI 2026'!$B$7:$B$4206,$C41,'MOVIMENTI 2026'!$J$7:$J$4206)+SUMIF('SALDI AL 31.12.2025'!$A$6:$A$505,$C41,'SALDI AL 31.12.2025'!$D$6:$D$505))</f>
        <v/>
      </c>
      <c r="BC41" t="str">
        <f>IF($C41="","",SUMIF('MOVIMENTI 2026'!$B$7:$B$4206,$C41,'MOVIMENTI 2026'!$K$7:$K$4206)+SUMIF('SALDI AL 31.12.2025'!$A$6:$A$505,$C41,'SALDI AL 31.12.2025'!$E$6:$E$505))</f>
        <v/>
      </c>
      <c r="BD41" t="str">
        <f>IF($C41="","",SUMIF('MOVIMENTI 2026'!$B$7:$B$4206,$C41,'MOVIMENTI 2026'!$L$7:$L$4206)+SUMIF('SALDI AL 31.12.2025'!$A$6:$A$505,$C41,'SALDI AL 31.12.2025'!$F$6:$F$505))</f>
        <v/>
      </c>
      <c r="BE41" t="str">
        <f t="shared" si="14"/>
        <v/>
      </c>
      <c r="BF41" t="str">
        <f t="shared" si="15"/>
        <v/>
      </c>
      <c r="BG41" t="str">
        <f t="shared" si="16"/>
        <v/>
      </c>
      <c r="BH41" t="str">
        <f>IFERROR(IF(OR($C41="",ANAGRAFICA!$I38="",ANAGRAFICA!$J38="",ANAGRAFICA!$J38&lt;=ANAGRAFICA!$I38,$Y41=""),"",IF(OR($I41="Finito ritenute non previste",$I41="Finito con sblocco ritenute",$I41="Finito senza sblocco ritenute"),1,MAX(0,MIN(1,($Y41-ANAGRAFICA!$I38)/(ANAGRAFICA!$J38-ANAGRAFICA!$I38))))),"")</f>
        <v/>
      </c>
      <c r="BI41" t="str">
        <f t="shared" si="17"/>
        <v/>
      </c>
      <c r="BJ41" t="str">
        <f>IFERROR(IF($C41="","",'BUDGET COMMESSA'!$D38),"")</f>
        <v/>
      </c>
      <c r="BK41" t="str">
        <f>IF($C41="","",SUMIF('MOVIMENTI 2026'!$B$7:$B$4206,$C41,'MOVIMENTI 2026'!$N$7:$N$4206)+SUMIF('SALDI AL 31.12.2025'!$A$6:$A$505,$C41,'SALDI AL 31.12.2025'!$H$6:$H$505))</f>
        <v/>
      </c>
      <c r="BL41" t="str">
        <f t="shared" si="18"/>
        <v/>
      </c>
      <c r="BM41" t="str">
        <f t="shared" si="19"/>
        <v/>
      </c>
      <c r="BN41" t="str">
        <f t="shared" si="20"/>
        <v/>
      </c>
      <c r="BO41" t="str">
        <f>IFERROR(IF($C41="","",'BUDGET COMMESSA'!$G38),"")</f>
        <v/>
      </c>
      <c r="BP41" t="str">
        <f>IF($C41="","",SUMIF('COSTI DIRETTI'!$C$6:$C$505,$C41,'COSTI DIRETTI'!$H$6:$H$505)+SUMIF('SALDI AL 31.12.2025'!$A$6:$A$505,$C41,'SALDI AL 31.12.2025'!$I$6:$I$505))</f>
        <v/>
      </c>
      <c r="BQ41" t="str">
        <f t="shared" si="21"/>
        <v/>
      </c>
      <c r="BR41" t="str">
        <f t="shared" si="22"/>
        <v/>
      </c>
      <c r="BS41" t="str">
        <f>IF($C41="","",$BK41*PARAMETRI!$B$4+$BP41)</f>
        <v/>
      </c>
      <c r="BT41">
        <f t="shared" si="23"/>
        <v>0</v>
      </c>
      <c r="BU41">
        <f t="shared" si="24"/>
        <v>0</v>
      </c>
      <c r="BV41" t="str">
        <f>IF($C41="","",SUMIF('MOVIMENTI 2026'!$B$7:$B$4206,$C41,'MOVIMENTI 2026'!$P$7:$P$4206)+SUMIF('SALDI AL 31.12.2025'!$A$6:$A$505,$C41,'SALDI AL 31.12.2025'!$G$6:$G$505))</f>
        <v/>
      </c>
    </row>
    <row r="42" spans="1:74" ht="16" x14ac:dyDescent="0.15">
      <c r="A42" s="17" t="str">
        <f>IFERROR(IF($C42="","",IF(OR($BF42&gt;0,$V42&gt;$J42,AND(ISNUMBER($Q42),$Q42&gt;0),AND($BI42&lt;&gt;"",$BI42&lt;-PARAMETRI!$B$6),AND($BM42&lt;&gt;"",$BM42&gt;=1),AND($BN42&lt;&gt;"",$BN42&gt;PARAMETRI!$B$8),AND(ISNUMBER($BR42),$BR42&gt;0)),"CRITICO",IF(OR($AZ42="",LEFT($C42,5)="TEMP",$BJ42="",$BO42="",ANAGRAFICA!$I39="",ANAGRAFICA!$J39="",$Y42="",AND(OR($I42="Finito ritenute non previste",$I42="Finito con sblocco ritenute",$I42="Finito senza sblocco ritenute"),ANAGRAFICA!$K39=""),OR(AND(ANAGRAFICA!$T39&lt;&gt;"",ANAGRAFICA!$J39&lt;&gt;ANAGRAFICA!$T39,OR(ANAGRAFICA!$R39="",ANAGRAFICA!$R39="Nessuna variazione")),AND(ANAGRAFICA!$J39="",ANAGRAFICA!$R39&lt;&gt;"",ANAGRAFICA!$R39&lt;&gt;"Nessuna variazione")),AND($BI42&lt;&gt;"",$BI42&lt;-PARAMETRI!$B$5),AND($BN42&lt;&gt;"",$BN42&gt;PARAMETRI!$B$7),AND($W42&gt;0,$M42&gt;$W42*PARAMETRI!$B$9),AND($O42&gt;0,OR($I42="Finito ritenute non previste",$I42="Finito con sblocco ritenute",$I42="Finito senza sblocco ritenute")),AND($BA42&gt;0,$BO42&gt;0,$BP42=0),AND(OR($I42="Finito ritenute non previste",$I42="Finito con sblocco ritenute",$I42="Finito senza sblocco ritenute"),$W42&gt;0,$N42&gt;$W42*PARAMETRI!$B$9),$V42&gt;0),"ATTENZIONE","REGOLARE"))),"ATTENZIONE")</f>
        <v/>
      </c>
      <c r="B42" s="17" t="str">
        <f>IFERROR(IF($C42="","",IF($BF42&gt;0,"FATTURATO OLTRE VALORE RECUPERABILE; ","")&amp;IF($V42&gt;$J42,"PERDITE ACCETTATE OLTRE CONTRATTO; ","")&amp;IF($V42&gt;0,"PERDITA SAL ACCETTATA (€ "&amp;TEXT($V42,"#,##0.00")&amp;"); ","")&amp;IF(AND(ISNUMBER($Q42),$Q42&gt;0),"RITARDO PRODUTTIVO ("&amp;TEXT($Q42,"0")&amp;" GG); ","")&amp;IF(AND($BI42&lt;&gt;"",$BI42&lt;-PARAMETRI!$B$5),"AVANZAMENTO PIÙ LENTO DEL TEMPO; ","")&amp;IF(AND($BM42&lt;&gt;"",$BM42&gt;1),"ORE OLTRE BUDGET; ","")&amp;IF(AND($BM42&lt;&gt;"",$BM42=1),"ORE PREVENTIVATE ESAURITE; ","")&amp;IF(AND($BN42&lt;&gt;"",$BN42&gt;PARAMETRI!$B$7),"CONSUMO ORE SUPERIORE ALL'AVANZAMENTO; ","")&amp;IF(AND(ISNUMBER($BR42),$BR42&gt;0),"COSTI DIRETTI OLTRE BUDGET; ","")&amp;IF(AND($W42&gt;0,$M42&gt;$W42*PARAMETRI!$B$9),"SAL MATURATO NON FATTURATO; ","")&amp;IF(AND($O42&gt;0,OR($I42="Finito ritenute non previste",$I42="Finito con sblocco ritenute",$I42="Finito senza sblocco ritenute")),"RITENUTE DA SBLOCCARE; ","")&amp;IF(AND($BA42&gt;0,$BO42&gt;0,$BP42=0),"COSTI DIRETTI NON REGISTRATI; ","")&amp;IF(AND(OR($I42="Finito ritenute non previste",$I42="Finito con sblocco ritenute",$I42="Finito senza sblocco ritenute"),$W42&gt;0,$N42&gt;$W42*PARAMETRI!$B$9),"CANTIERE FINITO CON RESIDUO LAVORI; ","")&amp;IF(AND(OR($I42="Finito ritenute non previste",$I42="Finito con sblocco ritenute",$I42="Finito senza sblocco ritenute"),ANAGRAFICA!$K39=""),"DATA FINE EFFETTIVA MANCANTE; ","")&amp;IF(OR(AND(ANAGRAFICA!$T39&lt;&gt;"",ANAGRAFICA!$J39&lt;&gt;ANAGRAFICA!$T39,OR(ANAGRAFICA!$R39="",ANAGRAFICA!$R39="Nessuna variazione")),AND(ANAGRAFICA!$J39="",ANAGRAFICA!$R39&lt;&gt;"",ANAGRAFICA!$R39&lt;&gt;"Nessuna variazione")),"GESTIONE DATA FINE INCOMPLETA; ","")&amp;IF($Y42="","AGGIORNATO AL MANCANTE; ","")&amp;IF(OR($AZ42="",$BJ42="",$BO42="",ANAGRAFICA!$I39="",ANAGRAFICA!$J39=""),"DATI PREVISIONALI INCOMPLETI; ","")&amp;IF(LEFT($C42,5)="TEMP","CODICE COMMESSA TEMPORANEO; ","")),"DATI INCOMPLETI; ")</f>
        <v/>
      </c>
      <c r="C42" s="17" t="str">
        <f>IF(ANAGRAFICA!$B39="","",ANAGRAFICA!$B39)</f>
        <v/>
      </c>
      <c r="D42" s="17" t="str">
        <f>IF($C42="","",ANAGRAFICA!$C39)</f>
        <v/>
      </c>
      <c r="E42" s="17" t="str">
        <f>IF($C42="","",ANAGRAFICA!$D39)</f>
        <v/>
      </c>
      <c r="F42" s="17" t="str">
        <f>IF($C42="","",ANAGRAFICA!$E39)</f>
        <v/>
      </c>
      <c r="G42" s="17" t="str">
        <f>IF($C42="","",ANAGRAFICA!$F39)</f>
        <v/>
      </c>
      <c r="H42" s="17" t="str">
        <f>IF($C42="","",ANAGRAFICA!$G39)</f>
        <v/>
      </c>
      <c r="I42" s="17" t="str">
        <f>IF($C42="","",ANAGRAFICA!$L39)</f>
        <v/>
      </c>
      <c r="J42" s="16" t="str">
        <f t="shared" si="1"/>
        <v/>
      </c>
      <c r="K42" s="16" t="str">
        <f t="shared" si="2"/>
        <v/>
      </c>
      <c r="L42" s="16" t="str">
        <f t="shared" si="3"/>
        <v/>
      </c>
      <c r="M42" s="16" t="str">
        <f t="shared" si="4"/>
        <v/>
      </c>
      <c r="N42" s="16" t="str">
        <f t="shared" si="5"/>
        <v/>
      </c>
      <c r="O42" s="16" t="str">
        <f t="shared" si="6"/>
        <v/>
      </c>
      <c r="P42" s="17" t="str">
        <f t="shared" si="7"/>
        <v/>
      </c>
      <c r="Q42" s="31" t="str">
        <f>IF(OR($C42="",'BUDGET COMMESSA'!$D39="",'BUDGET COMMESSA'!$D39&lt;=0,ANAGRAFICA!$J39=""),"",IF(OR($I42="Finito ritenute non previste",$I42="Finito con sblocco ritenute",$I42="Finito senza sblocco ritenute"),0,IF(AND($BK42&gt;=$BJ42,ANAGRAFICA!$R39="Ritardo produttivo FIDA"),IF(ANAGRAFICA!$T39&lt;&gt;"",MAX(0,ANAGRAFICA!$J39-ANAGRAFICA!$T39),MAX(0,$Y42-ANAGRAFICA!$J39)),0)))</f>
        <v/>
      </c>
      <c r="R42" s="17" t="str">
        <f t="shared" si="8"/>
        <v/>
      </c>
      <c r="S42" s="17" t="str">
        <f t="shared" si="9"/>
        <v/>
      </c>
      <c r="T42" s="17" t="str">
        <f t="shared" si="10"/>
        <v/>
      </c>
      <c r="U42" s="16" t="str">
        <f t="shared" si="11"/>
        <v/>
      </c>
      <c r="V42" s="16" t="str">
        <f t="shared" si="12"/>
        <v/>
      </c>
      <c r="W42" s="16" t="str">
        <f t="shared" si="13"/>
        <v/>
      </c>
      <c r="X42" s="40"/>
      <c r="Y42" s="14"/>
      <c r="AZ42" t="str">
        <f>IF($C42="","",ANAGRAFICA!$P39)</f>
        <v/>
      </c>
      <c r="BA42" t="str">
        <f>IF($C42="","",SUMIF('MOVIMENTI 2026'!$B$7:$B$4206,$C42,'MOVIMENTI 2026'!$I$7:$I$4206)+SUMIF('SALDI AL 31.12.2025'!$A$6:$A$505,$C42,'SALDI AL 31.12.2025'!$C$6:$C$505))</f>
        <v/>
      </c>
      <c r="BB42" t="str">
        <f>IF($C42="","",SUMIF('MOVIMENTI 2026'!$B$7:$B$4206,$C42,'MOVIMENTI 2026'!$J$7:$J$4206)+SUMIF('SALDI AL 31.12.2025'!$A$6:$A$505,$C42,'SALDI AL 31.12.2025'!$D$6:$D$505))</f>
        <v/>
      </c>
      <c r="BC42" t="str">
        <f>IF($C42="","",SUMIF('MOVIMENTI 2026'!$B$7:$B$4206,$C42,'MOVIMENTI 2026'!$K$7:$K$4206)+SUMIF('SALDI AL 31.12.2025'!$A$6:$A$505,$C42,'SALDI AL 31.12.2025'!$E$6:$E$505))</f>
        <v/>
      </c>
      <c r="BD42" t="str">
        <f>IF($C42="","",SUMIF('MOVIMENTI 2026'!$B$7:$B$4206,$C42,'MOVIMENTI 2026'!$L$7:$L$4206)+SUMIF('SALDI AL 31.12.2025'!$A$6:$A$505,$C42,'SALDI AL 31.12.2025'!$F$6:$F$505))</f>
        <v/>
      </c>
      <c r="BE42" t="str">
        <f t="shared" si="14"/>
        <v/>
      </c>
      <c r="BF42" t="str">
        <f t="shared" si="15"/>
        <v/>
      </c>
      <c r="BG42" t="str">
        <f t="shared" si="16"/>
        <v/>
      </c>
      <c r="BH42" t="str">
        <f>IFERROR(IF(OR($C42="",ANAGRAFICA!$I39="",ANAGRAFICA!$J39="",ANAGRAFICA!$J39&lt;=ANAGRAFICA!$I39,$Y42=""),"",IF(OR($I42="Finito ritenute non previste",$I42="Finito con sblocco ritenute",$I42="Finito senza sblocco ritenute"),1,MAX(0,MIN(1,($Y42-ANAGRAFICA!$I39)/(ANAGRAFICA!$J39-ANAGRAFICA!$I39))))),"")</f>
        <v/>
      </c>
      <c r="BI42" t="str">
        <f t="shared" si="17"/>
        <v/>
      </c>
      <c r="BJ42" t="str">
        <f>IFERROR(IF($C42="","",'BUDGET COMMESSA'!$D39),"")</f>
        <v/>
      </c>
      <c r="BK42" t="str">
        <f>IF($C42="","",SUMIF('MOVIMENTI 2026'!$B$7:$B$4206,$C42,'MOVIMENTI 2026'!$N$7:$N$4206)+SUMIF('SALDI AL 31.12.2025'!$A$6:$A$505,$C42,'SALDI AL 31.12.2025'!$H$6:$H$505))</f>
        <v/>
      </c>
      <c r="BL42" t="str">
        <f t="shared" si="18"/>
        <v/>
      </c>
      <c r="BM42" t="str">
        <f t="shared" si="19"/>
        <v/>
      </c>
      <c r="BN42" t="str">
        <f t="shared" si="20"/>
        <v/>
      </c>
      <c r="BO42" t="str">
        <f>IFERROR(IF($C42="","",'BUDGET COMMESSA'!$G39),"")</f>
        <v/>
      </c>
      <c r="BP42" t="str">
        <f>IF($C42="","",SUMIF('COSTI DIRETTI'!$C$6:$C$505,$C42,'COSTI DIRETTI'!$H$6:$H$505)+SUMIF('SALDI AL 31.12.2025'!$A$6:$A$505,$C42,'SALDI AL 31.12.2025'!$I$6:$I$505))</f>
        <v/>
      </c>
      <c r="BQ42" t="str">
        <f t="shared" si="21"/>
        <v/>
      </c>
      <c r="BR42" t="str">
        <f t="shared" si="22"/>
        <v/>
      </c>
      <c r="BS42" t="str">
        <f>IF($C42="","",$BK42*PARAMETRI!$B$4+$BP42)</f>
        <v/>
      </c>
      <c r="BT42">
        <f t="shared" si="23"/>
        <v>0</v>
      </c>
      <c r="BU42">
        <f t="shared" si="24"/>
        <v>0</v>
      </c>
      <c r="BV42" t="str">
        <f>IF($C42="","",SUMIF('MOVIMENTI 2026'!$B$7:$B$4206,$C42,'MOVIMENTI 2026'!$P$7:$P$4206)+SUMIF('SALDI AL 31.12.2025'!$A$6:$A$505,$C42,'SALDI AL 31.12.2025'!$G$6:$G$505))</f>
        <v/>
      </c>
    </row>
    <row r="43" spans="1:74" ht="16" x14ac:dyDescent="0.15">
      <c r="A43" s="17" t="str">
        <f>IFERROR(IF($C43="","",IF(OR($BF43&gt;0,$V43&gt;$J43,AND(ISNUMBER($Q43),$Q43&gt;0),AND($BI43&lt;&gt;"",$BI43&lt;-PARAMETRI!$B$6),AND($BM43&lt;&gt;"",$BM43&gt;=1),AND($BN43&lt;&gt;"",$BN43&gt;PARAMETRI!$B$8),AND(ISNUMBER($BR43),$BR43&gt;0)),"CRITICO",IF(OR($AZ43="",LEFT($C43,5)="TEMP",$BJ43="",$BO43="",ANAGRAFICA!$I40="",ANAGRAFICA!$J40="",$Y43="",AND(OR($I43="Finito ritenute non previste",$I43="Finito con sblocco ritenute",$I43="Finito senza sblocco ritenute"),ANAGRAFICA!$K40=""),OR(AND(ANAGRAFICA!$T40&lt;&gt;"",ANAGRAFICA!$J40&lt;&gt;ANAGRAFICA!$T40,OR(ANAGRAFICA!$R40="",ANAGRAFICA!$R40="Nessuna variazione")),AND(ANAGRAFICA!$J40="",ANAGRAFICA!$R40&lt;&gt;"",ANAGRAFICA!$R40&lt;&gt;"Nessuna variazione")),AND($BI43&lt;&gt;"",$BI43&lt;-PARAMETRI!$B$5),AND($BN43&lt;&gt;"",$BN43&gt;PARAMETRI!$B$7),AND($W43&gt;0,$M43&gt;$W43*PARAMETRI!$B$9),AND($O43&gt;0,OR($I43="Finito ritenute non previste",$I43="Finito con sblocco ritenute",$I43="Finito senza sblocco ritenute")),AND($BA43&gt;0,$BO43&gt;0,$BP43=0),AND(OR($I43="Finito ritenute non previste",$I43="Finito con sblocco ritenute",$I43="Finito senza sblocco ritenute"),$W43&gt;0,$N43&gt;$W43*PARAMETRI!$B$9),$V43&gt;0),"ATTENZIONE","REGOLARE"))),"ATTENZIONE")</f>
        <v/>
      </c>
      <c r="B43" s="17" t="str">
        <f>IFERROR(IF($C43="","",IF($BF43&gt;0,"FATTURATO OLTRE VALORE RECUPERABILE; ","")&amp;IF($V43&gt;$J43,"PERDITE ACCETTATE OLTRE CONTRATTO; ","")&amp;IF($V43&gt;0,"PERDITA SAL ACCETTATA (€ "&amp;TEXT($V43,"#,##0.00")&amp;"); ","")&amp;IF(AND(ISNUMBER($Q43),$Q43&gt;0),"RITARDO PRODUTTIVO ("&amp;TEXT($Q43,"0")&amp;" GG); ","")&amp;IF(AND($BI43&lt;&gt;"",$BI43&lt;-PARAMETRI!$B$5),"AVANZAMENTO PIÙ LENTO DEL TEMPO; ","")&amp;IF(AND($BM43&lt;&gt;"",$BM43&gt;1),"ORE OLTRE BUDGET; ","")&amp;IF(AND($BM43&lt;&gt;"",$BM43=1),"ORE PREVENTIVATE ESAURITE; ","")&amp;IF(AND($BN43&lt;&gt;"",$BN43&gt;PARAMETRI!$B$7),"CONSUMO ORE SUPERIORE ALL'AVANZAMENTO; ","")&amp;IF(AND(ISNUMBER($BR43),$BR43&gt;0),"COSTI DIRETTI OLTRE BUDGET; ","")&amp;IF(AND($W43&gt;0,$M43&gt;$W43*PARAMETRI!$B$9),"SAL MATURATO NON FATTURATO; ","")&amp;IF(AND($O43&gt;0,OR($I43="Finito ritenute non previste",$I43="Finito con sblocco ritenute",$I43="Finito senza sblocco ritenute")),"RITENUTE DA SBLOCCARE; ","")&amp;IF(AND($BA43&gt;0,$BO43&gt;0,$BP43=0),"COSTI DIRETTI NON REGISTRATI; ","")&amp;IF(AND(OR($I43="Finito ritenute non previste",$I43="Finito con sblocco ritenute",$I43="Finito senza sblocco ritenute"),$W43&gt;0,$N43&gt;$W43*PARAMETRI!$B$9),"CANTIERE FINITO CON RESIDUO LAVORI; ","")&amp;IF(AND(OR($I43="Finito ritenute non previste",$I43="Finito con sblocco ritenute",$I43="Finito senza sblocco ritenute"),ANAGRAFICA!$K40=""),"DATA FINE EFFETTIVA MANCANTE; ","")&amp;IF(OR(AND(ANAGRAFICA!$T40&lt;&gt;"",ANAGRAFICA!$J40&lt;&gt;ANAGRAFICA!$T40,OR(ANAGRAFICA!$R40="",ANAGRAFICA!$R40="Nessuna variazione")),AND(ANAGRAFICA!$J40="",ANAGRAFICA!$R40&lt;&gt;"",ANAGRAFICA!$R40&lt;&gt;"Nessuna variazione")),"GESTIONE DATA FINE INCOMPLETA; ","")&amp;IF($Y43="","AGGIORNATO AL MANCANTE; ","")&amp;IF(OR($AZ43="",$BJ43="",$BO43="",ANAGRAFICA!$I40="",ANAGRAFICA!$J40=""),"DATI PREVISIONALI INCOMPLETI; ","")&amp;IF(LEFT($C43,5)="TEMP","CODICE COMMESSA TEMPORANEO; ","")),"DATI INCOMPLETI; ")</f>
        <v/>
      </c>
      <c r="C43" s="17" t="str">
        <f>IF(ANAGRAFICA!$B40="","",ANAGRAFICA!$B40)</f>
        <v/>
      </c>
      <c r="D43" s="17" t="str">
        <f>IF($C43="","",ANAGRAFICA!$C40)</f>
        <v/>
      </c>
      <c r="E43" s="17" t="str">
        <f>IF($C43="","",ANAGRAFICA!$D40)</f>
        <v/>
      </c>
      <c r="F43" s="17" t="str">
        <f>IF($C43="","",ANAGRAFICA!$E40)</f>
        <v/>
      </c>
      <c r="G43" s="17" t="str">
        <f>IF($C43="","",ANAGRAFICA!$F40)</f>
        <v/>
      </c>
      <c r="H43" s="17" t="str">
        <f>IF($C43="","",ANAGRAFICA!$G40)</f>
        <v/>
      </c>
      <c r="I43" s="17" t="str">
        <f>IF($C43="","",ANAGRAFICA!$L40)</f>
        <v/>
      </c>
      <c r="J43" s="16" t="str">
        <f t="shared" si="1"/>
        <v/>
      </c>
      <c r="K43" s="16" t="str">
        <f t="shared" si="2"/>
        <v/>
      </c>
      <c r="L43" s="16" t="str">
        <f t="shared" si="3"/>
        <v/>
      </c>
      <c r="M43" s="16" t="str">
        <f t="shared" si="4"/>
        <v/>
      </c>
      <c r="N43" s="16" t="str">
        <f t="shared" si="5"/>
        <v/>
      </c>
      <c r="O43" s="16" t="str">
        <f t="shared" si="6"/>
        <v/>
      </c>
      <c r="P43" s="17" t="str">
        <f t="shared" si="7"/>
        <v/>
      </c>
      <c r="Q43" s="31" t="str">
        <f>IF(OR($C43="",'BUDGET COMMESSA'!$D40="",'BUDGET COMMESSA'!$D40&lt;=0,ANAGRAFICA!$J40=""),"",IF(OR($I43="Finito ritenute non previste",$I43="Finito con sblocco ritenute",$I43="Finito senza sblocco ritenute"),0,IF(AND($BK43&gt;=$BJ43,ANAGRAFICA!$R40="Ritardo produttivo FIDA"),IF(ANAGRAFICA!$T40&lt;&gt;"",MAX(0,ANAGRAFICA!$J40-ANAGRAFICA!$T40),MAX(0,$Y43-ANAGRAFICA!$J40)),0)))</f>
        <v/>
      </c>
      <c r="R43" s="17" t="str">
        <f t="shared" si="8"/>
        <v/>
      </c>
      <c r="S43" s="17" t="str">
        <f t="shared" si="9"/>
        <v/>
      </c>
      <c r="T43" s="17" t="str">
        <f t="shared" si="10"/>
        <v/>
      </c>
      <c r="U43" s="16" t="str">
        <f t="shared" si="11"/>
        <v/>
      </c>
      <c r="V43" s="16" t="str">
        <f t="shared" si="12"/>
        <v/>
      </c>
      <c r="W43" s="16" t="str">
        <f t="shared" si="13"/>
        <v/>
      </c>
      <c r="X43" s="40"/>
      <c r="Y43" s="14"/>
      <c r="AZ43" t="str">
        <f>IF($C43="","",ANAGRAFICA!$P40)</f>
        <v/>
      </c>
      <c r="BA43" t="str">
        <f>IF($C43="","",SUMIF('MOVIMENTI 2026'!$B$7:$B$4206,$C43,'MOVIMENTI 2026'!$I$7:$I$4206)+SUMIF('SALDI AL 31.12.2025'!$A$6:$A$505,$C43,'SALDI AL 31.12.2025'!$C$6:$C$505))</f>
        <v/>
      </c>
      <c r="BB43" t="str">
        <f>IF($C43="","",SUMIF('MOVIMENTI 2026'!$B$7:$B$4206,$C43,'MOVIMENTI 2026'!$J$7:$J$4206)+SUMIF('SALDI AL 31.12.2025'!$A$6:$A$505,$C43,'SALDI AL 31.12.2025'!$D$6:$D$505))</f>
        <v/>
      </c>
      <c r="BC43" t="str">
        <f>IF($C43="","",SUMIF('MOVIMENTI 2026'!$B$7:$B$4206,$C43,'MOVIMENTI 2026'!$K$7:$K$4206)+SUMIF('SALDI AL 31.12.2025'!$A$6:$A$505,$C43,'SALDI AL 31.12.2025'!$E$6:$E$505))</f>
        <v/>
      </c>
      <c r="BD43" t="str">
        <f>IF($C43="","",SUMIF('MOVIMENTI 2026'!$B$7:$B$4206,$C43,'MOVIMENTI 2026'!$L$7:$L$4206)+SUMIF('SALDI AL 31.12.2025'!$A$6:$A$505,$C43,'SALDI AL 31.12.2025'!$F$6:$F$505))</f>
        <v/>
      </c>
      <c r="BE43" t="str">
        <f t="shared" si="14"/>
        <v/>
      </c>
      <c r="BF43" t="str">
        <f t="shared" si="15"/>
        <v/>
      </c>
      <c r="BG43" t="str">
        <f t="shared" si="16"/>
        <v/>
      </c>
      <c r="BH43" t="str">
        <f>IFERROR(IF(OR($C43="",ANAGRAFICA!$I40="",ANAGRAFICA!$J40="",ANAGRAFICA!$J40&lt;=ANAGRAFICA!$I40,$Y43=""),"",IF(OR($I43="Finito ritenute non previste",$I43="Finito con sblocco ritenute",$I43="Finito senza sblocco ritenute"),1,MAX(0,MIN(1,($Y43-ANAGRAFICA!$I40)/(ANAGRAFICA!$J40-ANAGRAFICA!$I40))))),"")</f>
        <v/>
      </c>
      <c r="BI43" t="str">
        <f t="shared" si="17"/>
        <v/>
      </c>
      <c r="BJ43" t="str">
        <f>IFERROR(IF($C43="","",'BUDGET COMMESSA'!$D40),"")</f>
        <v/>
      </c>
      <c r="BK43" t="str">
        <f>IF($C43="","",SUMIF('MOVIMENTI 2026'!$B$7:$B$4206,$C43,'MOVIMENTI 2026'!$N$7:$N$4206)+SUMIF('SALDI AL 31.12.2025'!$A$6:$A$505,$C43,'SALDI AL 31.12.2025'!$H$6:$H$505))</f>
        <v/>
      </c>
      <c r="BL43" t="str">
        <f t="shared" si="18"/>
        <v/>
      </c>
      <c r="BM43" t="str">
        <f t="shared" si="19"/>
        <v/>
      </c>
      <c r="BN43" t="str">
        <f t="shared" si="20"/>
        <v/>
      </c>
      <c r="BO43" t="str">
        <f>IFERROR(IF($C43="","",'BUDGET COMMESSA'!$G40),"")</f>
        <v/>
      </c>
      <c r="BP43" t="str">
        <f>IF($C43="","",SUMIF('COSTI DIRETTI'!$C$6:$C$505,$C43,'COSTI DIRETTI'!$H$6:$H$505)+SUMIF('SALDI AL 31.12.2025'!$A$6:$A$505,$C43,'SALDI AL 31.12.2025'!$I$6:$I$505))</f>
        <v/>
      </c>
      <c r="BQ43" t="str">
        <f t="shared" si="21"/>
        <v/>
      </c>
      <c r="BR43" t="str">
        <f t="shared" si="22"/>
        <v/>
      </c>
      <c r="BS43" t="str">
        <f>IF($C43="","",$BK43*PARAMETRI!$B$4+$BP43)</f>
        <v/>
      </c>
      <c r="BT43">
        <f t="shared" si="23"/>
        <v>0</v>
      </c>
      <c r="BU43">
        <f t="shared" si="24"/>
        <v>0</v>
      </c>
      <c r="BV43" t="str">
        <f>IF($C43="","",SUMIF('MOVIMENTI 2026'!$B$7:$B$4206,$C43,'MOVIMENTI 2026'!$P$7:$P$4206)+SUMIF('SALDI AL 31.12.2025'!$A$6:$A$505,$C43,'SALDI AL 31.12.2025'!$G$6:$G$505))</f>
        <v/>
      </c>
    </row>
    <row r="44" spans="1:74" ht="16" x14ac:dyDescent="0.15">
      <c r="A44" s="17" t="str">
        <f>IFERROR(IF($C44="","",IF(OR($BF44&gt;0,$V44&gt;$J44,AND(ISNUMBER($Q44),$Q44&gt;0),AND($BI44&lt;&gt;"",$BI44&lt;-PARAMETRI!$B$6),AND($BM44&lt;&gt;"",$BM44&gt;=1),AND($BN44&lt;&gt;"",$BN44&gt;PARAMETRI!$B$8),AND(ISNUMBER($BR44),$BR44&gt;0)),"CRITICO",IF(OR($AZ44="",LEFT($C44,5)="TEMP",$BJ44="",$BO44="",ANAGRAFICA!$I41="",ANAGRAFICA!$J41="",$Y44="",AND(OR($I44="Finito ritenute non previste",$I44="Finito con sblocco ritenute",$I44="Finito senza sblocco ritenute"),ANAGRAFICA!$K41=""),OR(AND(ANAGRAFICA!$T41&lt;&gt;"",ANAGRAFICA!$J41&lt;&gt;ANAGRAFICA!$T41,OR(ANAGRAFICA!$R41="",ANAGRAFICA!$R41="Nessuna variazione")),AND(ANAGRAFICA!$J41="",ANAGRAFICA!$R41&lt;&gt;"",ANAGRAFICA!$R41&lt;&gt;"Nessuna variazione")),AND($BI44&lt;&gt;"",$BI44&lt;-PARAMETRI!$B$5),AND($BN44&lt;&gt;"",$BN44&gt;PARAMETRI!$B$7),AND($W44&gt;0,$M44&gt;$W44*PARAMETRI!$B$9),AND($O44&gt;0,OR($I44="Finito ritenute non previste",$I44="Finito con sblocco ritenute",$I44="Finito senza sblocco ritenute")),AND($BA44&gt;0,$BO44&gt;0,$BP44=0),AND(OR($I44="Finito ritenute non previste",$I44="Finito con sblocco ritenute",$I44="Finito senza sblocco ritenute"),$W44&gt;0,$N44&gt;$W44*PARAMETRI!$B$9),$V44&gt;0),"ATTENZIONE","REGOLARE"))),"ATTENZIONE")</f>
        <v/>
      </c>
      <c r="B44" s="17" t="str">
        <f>IFERROR(IF($C44="","",IF($BF44&gt;0,"FATTURATO OLTRE VALORE RECUPERABILE; ","")&amp;IF($V44&gt;$J44,"PERDITE ACCETTATE OLTRE CONTRATTO; ","")&amp;IF($V44&gt;0,"PERDITA SAL ACCETTATA (€ "&amp;TEXT($V44,"#,##0.00")&amp;"); ","")&amp;IF(AND(ISNUMBER($Q44),$Q44&gt;0),"RITARDO PRODUTTIVO ("&amp;TEXT($Q44,"0")&amp;" GG); ","")&amp;IF(AND($BI44&lt;&gt;"",$BI44&lt;-PARAMETRI!$B$5),"AVANZAMENTO PIÙ LENTO DEL TEMPO; ","")&amp;IF(AND($BM44&lt;&gt;"",$BM44&gt;1),"ORE OLTRE BUDGET; ","")&amp;IF(AND($BM44&lt;&gt;"",$BM44=1),"ORE PREVENTIVATE ESAURITE; ","")&amp;IF(AND($BN44&lt;&gt;"",$BN44&gt;PARAMETRI!$B$7),"CONSUMO ORE SUPERIORE ALL'AVANZAMENTO; ","")&amp;IF(AND(ISNUMBER($BR44),$BR44&gt;0),"COSTI DIRETTI OLTRE BUDGET; ","")&amp;IF(AND($W44&gt;0,$M44&gt;$W44*PARAMETRI!$B$9),"SAL MATURATO NON FATTURATO; ","")&amp;IF(AND($O44&gt;0,OR($I44="Finito ritenute non previste",$I44="Finito con sblocco ritenute",$I44="Finito senza sblocco ritenute")),"RITENUTE DA SBLOCCARE; ","")&amp;IF(AND($BA44&gt;0,$BO44&gt;0,$BP44=0),"COSTI DIRETTI NON REGISTRATI; ","")&amp;IF(AND(OR($I44="Finito ritenute non previste",$I44="Finito con sblocco ritenute",$I44="Finito senza sblocco ritenute"),$W44&gt;0,$N44&gt;$W44*PARAMETRI!$B$9),"CANTIERE FINITO CON RESIDUO LAVORI; ","")&amp;IF(AND(OR($I44="Finito ritenute non previste",$I44="Finito con sblocco ritenute",$I44="Finito senza sblocco ritenute"),ANAGRAFICA!$K41=""),"DATA FINE EFFETTIVA MANCANTE; ","")&amp;IF(OR(AND(ANAGRAFICA!$T41&lt;&gt;"",ANAGRAFICA!$J41&lt;&gt;ANAGRAFICA!$T41,OR(ANAGRAFICA!$R41="",ANAGRAFICA!$R41="Nessuna variazione")),AND(ANAGRAFICA!$J41="",ANAGRAFICA!$R41&lt;&gt;"",ANAGRAFICA!$R41&lt;&gt;"Nessuna variazione")),"GESTIONE DATA FINE INCOMPLETA; ","")&amp;IF($Y44="","AGGIORNATO AL MANCANTE; ","")&amp;IF(OR($AZ44="",$BJ44="",$BO44="",ANAGRAFICA!$I41="",ANAGRAFICA!$J41=""),"DATI PREVISIONALI INCOMPLETI; ","")&amp;IF(LEFT($C44,5)="TEMP","CODICE COMMESSA TEMPORANEO; ","")),"DATI INCOMPLETI; ")</f>
        <v/>
      </c>
      <c r="C44" s="17" t="str">
        <f>IF(ANAGRAFICA!$B41="","",ANAGRAFICA!$B41)</f>
        <v/>
      </c>
      <c r="D44" s="17" t="str">
        <f>IF($C44="","",ANAGRAFICA!$C41)</f>
        <v/>
      </c>
      <c r="E44" s="17" t="str">
        <f>IF($C44="","",ANAGRAFICA!$D41)</f>
        <v/>
      </c>
      <c r="F44" s="17" t="str">
        <f>IF($C44="","",ANAGRAFICA!$E41)</f>
        <v/>
      </c>
      <c r="G44" s="17" t="str">
        <f>IF($C44="","",ANAGRAFICA!$F41)</f>
        <v/>
      </c>
      <c r="H44" s="17" t="str">
        <f>IF($C44="","",ANAGRAFICA!$G41)</f>
        <v/>
      </c>
      <c r="I44" s="17" t="str">
        <f>IF($C44="","",ANAGRAFICA!$L41)</f>
        <v/>
      </c>
      <c r="J44" s="16" t="str">
        <f t="shared" si="1"/>
        <v/>
      </c>
      <c r="K44" s="16" t="str">
        <f t="shared" si="2"/>
        <v/>
      </c>
      <c r="L44" s="16" t="str">
        <f t="shared" si="3"/>
        <v/>
      </c>
      <c r="M44" s="16" t="str">
        <f t="shared" si="4"/>
        <v/>
      </c>
      <c r="N44" s="16" t="str">
        <f t="shared" si="5"/>
        <v/>
      </c>
      <c r="O44" s="16" t="str">
        <f t="shared" si="6"/>
        <v/>
      </c>
      <c r="P44" s="17" t="str">
        <f t="shared" si="7"/>
        <v/>
      </c>
      <c r="Q44" s="31" t="str">
        <f>IF(OR($C44="",'BUDGET COMMESSA'!$D41="",'BUDGET COMMESSA'!$D41&lt;=0,ANAGRAFICA!$J41=""),"",IF(OR($I44="Finito ritenute non previste",$I44="Finito con sblocco ritenute",$I44="Finito senza sblocco ritenute"),0,IF(AND($BK44&gt;=$BJ44,ANAGRAFICA!$R41="Ritardo produttivo FIDA"),IF(ANAGRAFICA!$T41&lt;&gt;"",MAX(0,ANAGRAFICA!$J41-ANAGRAFICA!$T41),MAX(0,$Y44-ANAGRAFICA!$J41)),0)))</f>
        <v/>
      </c>
      <c r="R44" s="17" t="str">
        <f t="shared" si="8"/>
        <v/>
      </c>
      <c r="S44" s="17" t="str">
        <f t="shared" si="9"/>
        <v/>
      </c>
      <c r="T44" s="17" t="str">
        <f t="shared" si="10"/>
        <v/>
      </c>
      <c r="U44" s="16" t="str">
        <f t="shared" si="11"/>
        <v/>
      </c>
      <c r="V44" s="16" t="str">
        <f t="shared" si="12"/>
        <v/>
      </c>
      <c r="W44" s="16" t="str">
        <f t="shared" si="13"/>
        <v/>
      </c>
      <c r="X44" s="40"/>
      <c r="Y44" s="14"/>
      <c r="AZ44" t="str">
        <f>IF($C44="","",ANAGRAFICA!$P41)</f>
        <v/>
      </c>
      <c r="BA44" t="str">
        <f>IF($C44="","",SUMIF('MOVIMENTI 2026'!$B$7:$B$4206,$C44,'MOVIMENTI 2026'!$I$7:$I$4206)+SUMIF('SALDI AL 31.12.2025'!$A$6:$A$505,$C44,'SALDI AL 31.12.2025'!$C$6:$C$505))</f>
        <v/>
      </c>
      <c r="BB44" t="str">
        <f>IF($C44="","",SUMIF('MOVIMENTI 2026'!$B$7:$B$4206,$C44,'MOVIMENTI 2026'!$J$7:$J$4206)+SUMIF('SALDI AL 31.12.2025'!$A$6:$A$505,$C44,'SALDI AL 31.12.2025'!$D$6:$D$505))</f>
        <v/>
      </c>
      <c r="BC44" t="str">
        <f>IF($C44="","",SUMIF('MOVIMENTI 2026'!$B$7:$B$4206,$C44,'MOVIMENTI 2026'!$K$7:$K$4206)+SUMIF('SALDI AL 31.12.2025'!$A$6:$A$505,$C44,'SALDI AL 31.12.2025'!$E$6:$E$505))</f>
        <v/>
      </c>
      <c r="BD44" t="str">
        <f>IF($C44="","",SUMIF('MOVIMENTI 2026'!$B$7:$B$4206,$C44,'MOVIMENTI 2026'!$L$7:$L$4206)+SUMIF('SALDI AL 31.12.2025'!$A$6:$A$505,$C44,'SALDI AL 31.12.2025'!$F$6:$F$505))</f>
        <v/>
      </c>
      <c r="BE44" t="str">
        <f t="shared" si="14"/>
        <v/>
      </c>
      <c r="BF44" t="str">
        <f t="shared" si="15"/>
        <v/>
      </c>
      <c r="BG44" t="str">
        <f t="shared" si="16"/>
        <v/>
      </c>
      <c r="BH44" t="str">
        <f>IFERROR(IF(OR($C44="",ANAGRAFICA!$I41="",ANAGRAFICA!$J41="",ANAGRAFICA!$J41&lt;=ANAGRAFICA!$I41,$Y44=""),"",IF(OR($I44="Finito ritenute non previste",$I44="Finito con sblocco ritenute",$I44="Finito senza sblocco ritenute"),1,MAX(0,MIN(1,($Y44-ANAGRAFICA!$I41)/(ANAGRAFICA!$J41-ANAGRAFICA!$I41))))),"")</f>
        <v/>
      </c>
      <c r="BI44" t="str">
        <f t="shared" si="17"/>
        <v/>
      </c>
      <c r="BJ44" t="str">
        <f>IFERROR(IF($C44="","",'BUDGET COMMESSA'!$D41),"")</f>
        <v/>
      </c>
      <c r="BK44" t="str">
        <f>IF($C44="","",SUMIF('MOVIMENTI 2026'!$B$7:$B$4206,$C44,'MOVIMENTI 2026'!$N$7:$N$4206)+SUMIF('SALDI AL 31.12.2025'!$A$6:$A$505,$C44,'SALDI AL 31.12.2025'!$H$6:$H$505))</f>
        <v/>
      </c>
      <c r="BL44" t="str">
        <f t="shared" si="18"/>
        <v/>
      </c>
      <c r="BM44" t="str">
        <f t="shared" si="19"/>
        <v/>
      </c>
      <c r="BN44" t="str">
        <f t="shared" si="20"/>
        <v/>
      </c>
      <c r="BO44" t="str">
        <f>IFERROR(IF($C44="","",'BUDGET COMMESSA'!$G41),"")</f>
        <v/>
      </c>
      <c r="BP44" t="str">
        <f>IF($C44="","",SUMIF('COSTI DIRETTI'!$C$6:$C$505,$C44,'COSTI DIRETTI'!$H$6:$H$505)+SUMIF('SALDI AL 31.12.2025'!$A$6:$A$505,$C44,'SALDI AL 31.12.2025'!$I$6:$I$505))</f>
        <v/>
      </c>
      <c r="BQ44" t="str">
        <f t="shared" si="21"/>
        <v/>
      </c>
      <c r="BR44" t="str">
        <f t="shared" si="22"/>
        <v/>
      </c>
      <c r="BS44" t="str">
        <f>IF($C44="","",$BK44*PARAMETRI!$B$4+$BP44)</f>
        <v/>
      </c>
      <c r="BT44">
        <f t="shared" si="23"/>
        <v>0</v>
      </c>
      <c r="BU44">
        <f t="shared" si="24"/>
        <v>0</v>
      </c>
      <c r="BV44" t="str">
        <f>IF($C44="","",SUMIF('MOVIMENTI 2026'!$B$7:$B$4206,$C44,'MOVIMENTI 2026'!$P$7:$P$4206)+SUMIF('SALDI AL 31.12.2025'!$A$6:$A$505,$C44,'SALDI AL 31.12.2025'!$G$6:$G$505))</f>
        <v/>
      </c>
    </row>
    <row r="45" spans="1:74" ht="16" x14ac:dyDescent="0.15">
      <c r="A45" s="17" t="str">
        <f>IFERROR(IF($C45="","",IF(OR($BF45&gt;0,$V45&gt;$J45,AND(ISNUMBER($Q45),$Q45&gt;0),AND($BI45&lt;&gt;"",$BI45&lt;-PARAMETRI!$B$6),AND($BM45&lt;&gt;"",$BM45&gt;=1),AND($BN45&lt;&gt;"",$BN45&gt;PARAMETRI!$B$8),AND(ISNUMBER($BR45),$BR45&gt;0)),"CRITICO",IF(OR($AZ45="",LEFT($C45,5)="TEMP",$BJ45="",$BO45="",ANAGRAFICA!$I42="",ANAGRAFICA!$J42="",$Y45="",AND(OR($I45="Finito ritenute non previste",$I45="Finito con sblocco ritenute",$I45="Finito senza sblocco ritenute"),ANAGRAFICA!$K42=""),OR(AND(ANAGRAFICA!$T42&lt;&gt;"",ANAGRAFICA!$J42&lt;&gt;ANAGRAFICA!$T42,OR(ANAGRAFICA!$R42="",ANAGRAFICA!$R42="Nessuna variazione")),AND(ANAGRAFICA!$J42="",ANAGRAFICA!$R42&lt;&gt;"",ANAGRAFICA!$R42&lt;&gt;"Nessuna variazione")),AND($BI45&lt;&gt;"",$BI45&lt;-PARAMETRI!$B$5),AND($BN45&lt;&gt;"",$BN45&gt;PARAMETRI!$B$7),AND($W45&gt;0,$M45&gt;$W45*PARAMETRI!$B$9),AND($O45&gt;0,OR($I45="Finito ritenute non previste",$I45="Finito con sblocco ritenute",$I45="Finito senza sblocco ritenute")),AND($BA45&gt;0,$BO45&gt;0,$BP45=0),AND(OR($I45="Finito ritenute non previste",$I45="Finito con sblocco ritenute",$I45="Finito senza sblocco ritenute"),$W45&gt;0,$N45&gt;$W45*PARAMETRI!$B$9),$V45&gt;0),"ATTENZIONE","REGOLARE"))),"ATTENZIONE")</f>
        <v/>
      </c>
      <c r="B45" s="17" t="str">
        <f>IFERROR(IF($C45="","",IF($BF45&gt;0,"FATTURATO OLTRE VALORE RECUPERABILE; ","")&amp;IF($V45&gt;$J45,"PERDITE ACCETTATE OLTRE CONTRATTO; ","")&amp;IF($V45&gt;0,"PERDITA SAL ACCETTATA (€ "&amp;TEXT($V45,"#,##0.00")&amp;"); ","")&amp;IF(AND(ISNUMBER($Q45),$Q45&gt;0),"RITARDO PRODUTTIVO ("&amp;TEXT($Q45,"0")&amp;" GG); ","")&amp;IF(AND($BI45&lt;&gt;"",$BI45&lt;-PARAMETRI!$B$5),"AVANZAMENTO PIÙ LENTO DEL TEMPO; ","")&amp;IF(AND($BM45&lt;&gt;"",$BM45&gt;1),"ORE OLTRE BUDGET; ","")&amp;IF(AND($BM45&lt;&gt;"",$BM45=1),"ORE PREVENTIVATE ESAURITE; ","")&amp;IF(AND($BN45&lt;&gt;"",$BN45&gt;PARAMETRI!$B$7),"CONSUMO ORE SUPERIORE ALL'AVANZAMENTO; ","")&amp;IF(AND(ISNUMBER($BR45),$BR45&gt;0),"COSTI DIRETTI OLTRE BUDGET; ","")&amp;IF(AND($W45&gt;0,$M45&gt;$W45*PARAMETRI!$B$9),"SAL MATURATO NON FATTURATO; ","")&amp;IF(AND($O45&gt;0,OR($I45="Finito ritenute non previste",$I45="Finito con sblocco ritenute",$I45="Finito senza sblocco ritenute")),"RITENUTE DA SBLOCCARE; ","")&amp;IF(AND($BA45&gt;0,$BO45&gt;0,$BP45=0),"COSTI DIRETTI NON REGISTRATI; ","")&amp;IF(AND(OR($I45="Finito ritenute non previste",$I45="Finito con sblocco ritenute",$I45="Finito senza sblocco ritenute"),$W45&gt;0,$N45&gt;$W45*PARAMETRI!$B$9),"CANTIERE FINITO CON RESIDUO LAVORI; ","")&amp;IF(AND(OR($I45="Finito ritenute non previste",$I45="Finito con sblocco ritenute",$I45="Finito senza sblocco ritenute"),ANAGRAFICA!$K42=""),"DATA FINE EFFETTIVA MANCANTE; ","")&amp;IF(OR(AND(ANAGRAFICA!$T42&lt;&gt;"",ANAGRAFICA!$J42&lt;&gt;ANAGRAFICA!$T42,OR(ANAGRAFICA!$R42="",ANAGRAFICA!$R42="Nessuna variazione")),AND(ANAGRAFICA!$J42="",ANAGRAFICA!$R42&lt;&gt;"",ANAGRAFICA!$R42&lt;&gt;"Nessuna variazione")),"GESTIONE DATA FINE INCOMPLETA; ","")&amp;IF($Y45="","AGGIORNATO AL MANCANTE; ","")&amp;IF(OR($AZ45="",$BJ45="",$BO45="",ANAGRAFICA!$I42="",ANAGRAFICA!$J42=""),"DATI PREVISIONALI INCOMPLETI; ","")&amp;IF(LEFT($C45,5)="TEMP","CODICE COMMESSA TEMPORANEO; ","")),"DATI INCOMPLETI; ")</f>
        <v/>
      </c>
      <c r="C45" s="17" t="str">
        <f>IF(ANAGRAFICA!$B42="","",ANAGRAFICA!$B42)</f>
        <v/>
      </c>
      <c r="D45" s="17" t="str">
        <f>IF($C45="","",ANAGRAFICA!$C42)</f>
        <v/>
      </c>
      <c r="E45" s="17" t="str">
        <f>IF($C45="","",ANAGRAFICA!$D42)</f>
        <v/>
      </c>
      <c r="F45" s="17" t="str">
        <f>IF($C45="","",ANAGRAFICA!$E42)</f>
        <v/>
      </c>
      <c r="G45" s="17" t="str">
        <f>IF($C45="","",ANAGRAFICA!$F42)</f>
        <v/>
      </c>
      <c r="H45" s="17" t="str">
        <f>IF($C45="","",ANAGRAFICA!$G42)</f>
        <v/>
      </c>
      <c r="I45" s="17" t="str">
        <f>IF($C45="","",ANAGRAFICA!$L42)</f>
        <v/>
      </c>
      <c r="J45" s="16" t="str">
        <f t="shared" si="1"/>
        <v/>
      </c>
      <c r="K45" s="16" t="str">
        <f t="shared" si="2"/>
        <v/>
      </c>
      <c r="L45" s="16" t="str">
        <f t="shared" si="3"/>
        <v/>
      </c>
      <c r="M45" s="16" t="str">
        <f t="shared" si="4"/>
        <v/>
      </c>
      <c r="N45" s="16" t="str">
        <f t="shared" si="5"/>
        <v/>
      </c>
      <c r="O45" s="16" t="str">
        <f t="shared" si="6"/>
        <v/>
      </c>
      <c r="P45" s="17" t="str">
        <f t="shared" si="7"/>
        <v/>
      </c>
      <c r="Q45" s="31" t="str">
        <f>IF(OR($C45="",'BUDGET COMMESSA'!$D42="",'BUDGET COMMESSA'!$D42&lt;=0,ANAGRAFICA!$J42=""),"",IF(OR($I45="Finito ritenute non previste",$I45="Finito con sblocco ritenute",$I45="Finito senza sblocco ritenute"),0,IF(AND($BK45&gt;=$BJ45,ANAGRAFICA!$R42="Ritardo produttivo FIDA"),IF(ANAGRAFICA!$T42&lt;&gt;"",MAX(0,ANAGRAFICA!$J42-ANAGRAFICA!$T42),MAX(0,$Y45-ANAGRAFICA!$J42)),0)))</f>
        <v/>
      </c>
      <c r="R45" s="17" t="str">
        <f t="shared" si="8"/>
        <v/>
      </c>
      <c r="S45" s="17" t="str">
        <f t="shared" si="9"/>
        <v/>
      </c>
      <c r="T45" s="17" t="str">
        <f t="shared" si="10"/>
        <v/>
      </c>
      <c r="U45" s="16" t="str">
        <f t="shared" si="11"/>
        <v/>
      </c>
      <c r="V45" s="16" t="str">
        <f t="shared" si="12"/>
        <v/>
      </c>
      <c r="W45" s="16" t="str">
        <f t="shared" si="13"/>
        <v/>
      </c>
      <c r="X45" s="40"/>
      <c r="Y45" s="14"/>
      <c r="AZ45" t="str">
        <f>IF($C45="","",ANAGRAFICA!$P42)</f>
        <v/>
      </c>
      <c r="BA45" t="str">
        <f>IF($C45="","",SUMIF('MOVIMENTI 2026'!$B$7:$B$4206,$C45,'MOVIMENTI 2026'!$I$7:$I$4206)+SUMIF('SALDI AL 31.12.2025'!$A$6:$A$505,$C45,'SALDI AL 31.12.2025'!$C$6:$C$505))</f>
        <v/>
      </c>
      <c r="BB45" t="str">
        <f>IF($C45="","",SUMIF('MOVIMENTI 2026'!$B$7:$B$4206,$C45,'MOVIMENTI 2026'!$J$7:$J$4206)+SUMIF('SALDI AL 31.12.2025'!$A$6:$A$505,$C45,'SALDI AL 31.12.2025'!$D$6:$D$505))</f>
        <v/>
      </c>
      <c r="BC45" t="str">
        <f>IF($C45="","",SUMIF('MOVIMENTI 2026'!$B$7:$B$4206,$C45,'MOVIMENTI 2026'!$K$7:$K$4206)+SUMIF('SALDI AL 31.12.2025'!$A$6:$A$505,$C45,'SALDI AL 31.12.2025'!$E$6:$E$505))</f>
        <v/>
      </c>
      <c r="BD45" t="str">
        <f>IF($C45="","",SUMIF('MOVIMENTI 2026'!$B$7:$B$4206,$C45,'MOVIMENTI 2026'!$L$7:$L$4206)+SUMIF('SALDI AL 31.12.2025'!$A$6:$A$505,$C45,'SALDI AL 31.12.2025'!$F$6:$F$505))</f>
        <v/>
      </c>
      <c r="BE45" t="str">
        <f t="shared" si="14"/>
        <v/>
      </c>
      <c r="BF45" t="str">
        <f t="shared" si="15"/>
        <v/>
      </c>
      <c r="BG45" t="str">
        <f t="shared" si="16"/>
        <v/>
      </c>
      <c r="BH45" t="str">
        <f>IFERROR(IF(OR($C45="",ANAGRAFICA!$I42="",ANAGRAFICA!$J42="",ANAGRAFICA!$J42&lt;=ANAGRAFICA!$I42,$Y45=""),"",IF(OR($I45="Finito ritenute non previste",$I45="Finito con sblocco ritenute",$I45="Finito senza sblocco ritenute"),1,MAX(0,MIN(1,($Y45-ANAGRAFICA!$I42)/(ANAGRAFICA!$J42-ANAGRAFICA!$I42))))),"")</f>
        <v/>
      </c>
      <c r="BI45" t="str">
        <f t="shared" si="17"/>
        <v/>
      </c>
      <c r="BJ45" t="str">
        <f>IFERROR(IF($C45="","",'BUDGET COMMESSA'!$D42),"")</f>
        <v/>
      </c>
      <c r="BK45" t="str">
        <f>IF($C45="","",SUMIF('MOVIMENTI 2026'!$B$7:$B$4206,$C45,'MOVIMENTI 2026'!$N$7:$N$4206)+SUMIF('SALDI AL 31.12.2025'!$A$6:$A$505,$C45,'SALDI AL 31.12.2025'!$H$6:$H$505))</f>
        <v/>
      </c>
      <c r="BL45" t="str">
        <f t="shared" si="18"/>
        <v/>
      </c>
      <c r="BM45" t="str">
        <f t="shared" si="19"/>
        <v/>
      </c>
      <c r="BN45" t="str">
        <f t="shared" si="20"/>
        <v/>
      </c>
      <c r="BO45" t="str">
        <f>IFERROR(IF($C45="","",'BUDGET COMMESSA'!$G42),"")</f>
        <v/>
      </c>
      <c r="BP45" t="str">
        <f>IF($C45="","",SUMIF('COSTI DIRETTI'!$C$6:$C$505,$C45,'COSTI DIRETTI'!$H$6:$H$505)+SUMIF('SALDI AL 31.12.2025'!$A$6:$A$505,$C45,'SALDI AL 31.12.2025'!$I$6:$I$505))</f>
        <v/>
      </c>
      <c r="BQ45" t="str">
        <f t="shared" si="21"/>
        <v/>
      </c>
      <c r="BR45" t="str">
        <f t="shared" si="22"/>
        <v/>
      </c>
      <c r="BS45" t="str">
        <f>IF($C45="","",$BK45*PARAMETRI!$B$4+$BP45)</f>
        <v/>
      </c>
      <c r="BT45">
        <f t="shared" si="23"/>
        <v>0</v>
      </c>
      <c r="BU45">
        <f t="shared" si="24"/>
        <v>0</v>
      </c>
      <c r="BV45" t="str">
        <f>IF($C45="","",SUMIF('MOVIMENTI 2026'!$B$7:$B$4206,$C45,'MOVIMENTI 2026'!$P$7:$P$4206)+SUMIF('SALDI AL 31.12.2025'!$A$6:$A$505,$C45,'SALDI AL 31.12.2025'!$G$6:$G$505))</f>
        <v/>
      </c>
    </row>
    <row r="46" spans="1:74" ht="16" x14ac:dyDescent="0.15">
      <c r="A46" s="17" t="str">
        <f>IFERROR(IF($C46="","",IF(OR($BF46&gt;0,$V46&gt;$J46,AND(ISNUMBER($Q46),$Q46&gt;0),AND($BI46&lt;&gt;"",$BI46&lt;-PARAMETRI!$B$6),AND($BM46&lt;&gt;"",$BM46&gt;=1),AND($BN46&lt;&gt;"",$BN46&gt;PARAMETRI!$B$8),AND(ISNUMBER($BR46),$BR46&gt;0)),"CRITICO",IF(OR($AZ46="",LEFT($C46,5)="TEMP",$BJ46="",$BO46="",ANAGRAFICA!$I43="",ANAGRAFICA!$J43="",$Y46="",AND(OR($I46="Finito ritenute non previste",$I46="Finito con sblocco ritenute",$I46="Finito senza sblocco ritenute"),ANAGRAFICA!$K43=""),OR(AND(ANAGRAFICA!$T43&lt;&gt;"",ANAGRAFICA!$J43&lt;&gt;ANAGRAFICA!$T43,OR(ANAGRAFICA!$R43="",ANAGRAFICA!$R43="Nessuna variazione")),AND(ANAGRAFICA!$J43="",ANAGRAFICA!$R43&lt;&gt;"",ANAGRAFICA!$R43&lt;&gt;"Nessuna variazione")),AND($BI46&lt;&gt;"",$BI46&lt;-PARAMETRI!$B$5),AND($BN46&lt;&gt;"",$BN46&gt;PARAMETRI!$B$7),AND($W46&gt;0,$M46&gt;$W46*PARAMETRI!$B$9),AND($O46&gt;0,OR($I46="Finito ritenute non previste",$I46="Finito con sblocco ritenute",$I46="Finito senza sblocco ritenute")),AND($BA46&gt;0,$BO46&gt;0,$BP46=0),AND(OR($I46="Finito ritenute non previste",$I46="Finito con sblocco ritenute",$I46="Finito senza sblocco ritenute"),$W46&gt;0,$N46&gt;$W46*PARAMETRI!$B$9),$V46&gt;0),"ATTENZIONE","REGOLARE"))),"ATTENZIONE")</f>
        <v/>
      </c>
      <c r="B46" s="17" t="str">
        <f>IFERROR(IF($C46="","",IF($BF46&gt;0,"FATTURATO OLTRE VALORE RECUPERABILE; ","")&amp;IF($V46&gt;$J46,"PERDITE ACCETTATE OLTRE CONTRATTO; ","")&amp;IF($V46&gt;0,"PERDITA SAL ACCETTATA (€ "&amp;TEXT($V46,"#,##0.00")&amp;"); ","")&amp;IF(AND(ISNUMBER($Q46),$Q46&gt;0),"RITARDO PRODUTTIVO ("&amp;TEXT($Q46,"0")&amp;" GG); ","")&amp;IF(AND($BI46&lt;&gt;"",$BI46&lt;-PARAMETRI!$B$5),"AVANZAMENTO PIÙ LENTO DEL TEMPO; ","")&amp;IF(AND($BM46&lt;&gt;"",$BM46&gt;1),"ORE OLTRE BUDGET; ","")&amp;IF(AND($BM46&lt;&gt;"",$BM46=1),"ORE PREVENTIVATE ESAURITE; ","")&amp;IF(AND($BN46&lt;&gt;"",$BN46&gt;PARAMETRI!$B$7),"CONSUMO ORE SUPERIORE ALL'AVANZAMENTO; ","")&amp;IF(AND(ISNUMBER($BR46),$BR46&gt;0),"COSTI DIRETTI OLTRE BUDGET; ","")&amp;IF(AND($W46&gt;0,$M46&gt;$W46*PARAMETRI!$B$9),"SAL MATURATO NON FATTURATO; ","")&amp;IF(AND($O46&gt;0,OR($I46="Finito ritenute non previste",$I46="Finito con sblocco ritenute",$I46="Finito senza sblocco ritenute")),"RITENUTE DA SBLOCCARE; ","")&amp;IF(AND($BA46&gt;0,$BO46&gt;0,$BP46=0),"COSTI DIRETTI NON REGISTRATI; ","")&amp;IF(AND(OR($I46="Finito ritenute non previste",$I46="Finito con sblocco ritenute",$I46="Finito senza sblocco ritenute"),$W46&gt;0,$N46&gt;$W46*PARAMETRI!$B$9),"CANTIERE FINITO CON RESIDUO LAVORI; ","")&amp;IF(AND(OR($I46="Finito ritenute non previste",$I46="Finito con sblocco ritenute",$I46="Finito senza sblocco ritenute"),ANAGRAFICA!$K43=""),"DATA FINE EFFETTIVA MANCANTE; ","")&amp;IF(OR(AND(ANAGRAFICA!$T43&lt;&gt;"",ANAGRAFICA!$J43&lt;&gt;ANAGRAFICA!$T43,OR(ANAGRAFICA!$R43="",ANAGRAFICA!$R43="Nessuna variazione")),AND(ANAGRAFICA!$J43="",ANAGRAFICA!$R43&lt;&gt;"",ANAGRAFICA!$R43&lt;&gt;"Nessuna variazione")),"GESTIONE DATA FINE INCOMPLETA; ","")&amp;IF($Y46="","AGGIORNATO AL MANCANTE; ","")&amp;IF(OR($AZ46="",$BJ46="",$BO46="",ANAGRAFICA!$I43="",ANAGRAFICA!$J43=""),"DATI PREVISIONALI INCOMPLETI; ","")&amp;IF(LEFT($C46,5)="TEMP","CODICE COMMESSA TEMPORANEO; ","")),"DATI INCOMPLETI; ")</f>
        <v/>
      </c>
      <c r="C46" s="17" t="str">
        <f>IF(ANAGRAFICA!$B43="","",ANAGRAFICA!$B43)</f>
        <v/>
      </c>
      <c r="D46" s="17" t="str">
        <f>IF($C46="","",ANAGRAFICA!$C43)</f>
        <v/>
      </c>
      <c r="E46" s="17" t="str">
        <f>IF($C46="","",ANAGRAFICA!$D43)</f>
        <v/>
      </c>
      <c r="F46" s="17" t="str">
        <f>IF($C46="","",ANAGRAFICA!$E43)</f>
        <v/>
      </c>
      <c r="G46" s="17" t="str">
        <f>IF($C46="","",ANAGRAFICA!$F43)</f>
        <v/>
      </c>
      <c r="H46" s="17" t="str">
        <f>IF($C46="","",ANAGRAFICA!$G43)</f>
        <v/>
      </c>
      <c r="I46" s="17" t="str">
        <f>IF($C46="","",ANAGRAFICA!$L43)</f>
        <v/>
      </c>
      <c r="J46" s="16" t="str">
        <f t="shared" si="1"/>
        <v/>
      </c>
      <c r="K46" s="16" t="str">
        <f t="shared" si="2"/>
        <v/>
      </c>
      <c r="L46" s="16" t="str">
        <f t="shared" si="3"/>
        <v/>
      </c>
      <c r="M46" s="16" t="str">
        <f t="shared" si="4"/>
        <v/>
      </c>
      <c r="N46" s="16" t="str">
        <f t="shared" si="5"/>
        <v/>
      </c>
      <c r="O46" s="16" t="str">
        <f t="shared" si="6"/>
        <v/>
      </c>
      <c r="P46" s="17" t="str">
        <f t="shared" si="7"/>
        <v/>
      </c>
      <c r="Q46" s="31" t="str">
        <f>IF(OR($C46="",'BUDGET COMMESSA'!$D43="",'BUDGET COMMESSA'!$D43&lt;=0,ANAGRAFICA!$J43=""),"",IF(OR($I46="Finito ritenute non previste",$I46="Finito con sblocco ritenute",$I46="Finito senza sblocco ritenute"),0,IF(AND($BK46&gt;=$BJ46,ANAGRAFICA!$R43="Ritardo produttivo FIDA"),IF(ANAGRAFICA!$T43&lt;&gt;"",MAX(0,ANAGRAFICA!$J43-ANAGRAFICA!$T43),MAX(0,$Y46-ANAGRAFICA!$J43)),0)))</f>
        <v/>
      </c>
      <c r="R46" s="17" t="str">
        <f t="shared" si="8"/>
        <v/>
      </c>
      <c r="S46" s="17" t="str">
        <f t="shared" si="9"/>
        <v/>
      </c>
      <c r="T46" s="17" t="str">
        <f t="shared" si="10"/>
        <v/>
      </c>
      <c r="U46" s="16" t="str">
        <f t="shared" si="11"/>
        <v/>
      </c>
      <c r="V46" s="16" t="str">
        <f t="shared" si="12"/>
        <v/>
      </c>
      <c r="W46" s="16" t="str">
        <f t="shared" si="13"/>
        <v/>
      </c>
      <c r="X46" s="40"/>
      <c r="Y46" s="14"/>
      <c r="AZ46" t="str">
        <f>IF($C46="","",ANAGRAFICA!$P43)</f>
        <v/>
      </c>
      <c r="BA46" t="str">
        <f>IF($C46="","",SUMIF('MOVIMENTI 2026'!$B$7:$B$4206,$C46,'MOVIMENTI 2026'!$I$7:$I$4206)+SUMIF('SALDI AL 31.12.2025'!$A$6:$A$505,$C46,'SALDI AL 31.12.2025'!$C$6:$C$505))</f>
        <v/>
      </c>
      <c r="BB46" t="str">
        <f>IF($C46="","",SUMIF('MOVIMENTI 2026'!$B$7:$B$4206,$C46,'MOVIMENTI 2026'!$J$7:$J$4206)+SUMIF('SALDI AL 31.12.2025'!$A$6:$A$505,$C46,'SALDI AL 31.12.2025'!$D$6:$D$505))</f>
        <v/>
      </c>
      <c r="BC46" t="str">
        <f>IF($C46="","",SUMIF('MOVIMENTI 2026'!$B$7:$B$4206,$C46,'MOVIMENTI 2026'!$K$7:$K$4206)+SUMIF('SALDI AL 31.12.2025'!$A$6:$A$505,$C46,'SALDI AL 31.12.2025'!$E$6:$E$505))</f>
        <v/>
      </c>
      <c r="BD46" t="str">
        <f>IF($C46="","",SUMIF('MOVIMENTI 2026'!$B$7:$B$4206,$C46,'MOVIMENTI 2026'!$L$7:$L$4206)+SUMIF('SALDI AL 31.12.2025'!$A$6:$A$505,$C46,'SALDI AL 31.12.2025'!$F$6:$F$505))</f>
        <v/>
      </c>
      <c r="BE46" t="str">
        <f t="shared" si="14"/>
        <v/>
      </c>
      <c r="BF46" t="str">
        <f t="shared" si="15"/>
        <v/>
      </c>
      <c r="BG46" t="str">
        <f t="shared" si="16"/>
        <v/>
      </c>
      <c r="BH46" t="str">
        <f>IFERROR(IF(OR($C46="",ANAGRAFICA!$I43="",ANAGRAFICA!$J43="",ANAGRAFICA!$J43&lt;=ANAGRAFICA!$I43,$Y46=""),"",IF(OR($I46="Finito ritenute non previste",$I46="Finito con sblocco ritenute",$I46="Finito senza sblocco ritenute"),1,MAX(0,MIN(1,($Y46-ANAGRAFICA!$I43)/(ANAGRAFICA!$J43-ANAGRAFICA!$I43))))),"")</f>
        <v/>
      </c>
      <c r="BI46" t="str">
        <f t="shared" si="17"/>
        <v/>
      </c>
      <c r="BJ46" t="str">
        <f>IFERROR(IF($C46="","",'BUDGET COMMESSA'!$D43),"")</f>
        <v/>
      </c>
      <c r="BK46" t="str">
        <f>IF($C46="","",SUMIF('MOVIMENTI 2026'!$B$7:$B$4206,$C46,'MOVIMENTI 2026'!$N$7:$N$4206)+SUMIF('SALDI AL 31.12.2025'!$A$6:$A$505,$C46,'SALDI AL 31.12.2025'!$H$6:$H$505))</f>
        <v/>
      </c>
      <c r="BL46" t="str">
        <f t="shared" si="18"/>
        <v/>
      </c>
      <c r="BM46" t="str">
        <f t="shared" si="19"/>
        <v/>
      </c>
      <c r="BN46" t="str">
        <f t="shared" si="20"/>
        <v/>
      </c>
      <c r="BO46" t="str">
        <f>IFERROR(IF($C46="","",'BUDGET COMMESSA'!$G43),"")</f>
        <v/>
      </c>
      <c r="BP46" t="str">
        <f>IF($C46="","",SUMIF('COSTI DIRETTI'!$C$6:$C$505,$C46,'COSTI DIRETTI'!$H$6:$H$505)+SUMIF('SALDI AL 31.12.2025'!$A$6:$A$505,$C46,'SALDI AL 31.12.2025'!$I$6:$I$505))</f>
        <v/>
      </c>
      <c r="BQ46" t="str">
        <f t="shared" si="21"/>
        <v/>
      </c>
      <c r="BR46" t="str">
        <f t="shared" si="22"/>
        <v/>
      </c>
      <c r="BS46" t="str">
        <f>IF($C46="","",$BK46*PARAMETRI!$B$4+$BP46)</f>
        <v/>
      </c>
      <c r="BT46">
        <f t="shared" si="23"/>
        <v>0</v>
      </c>
      <c r="BU46">
        <f t="shared" si="24"/>
        <v>0</v>
      </c>
      <c r="BV46" t="str">
        <f>IF($C46="","",SUMIF('MOVIMENTI 2026'!$B$7:$B$4206,$C46,'MOVIMENTI 2026'!$P$7:$P$4206)+SUMIF('SALDI AL 31.12.2025'!$A$6:$A$505,$C46,'SALDI AL 31.12.2025'!$G$6:$G$505))</f>
        <v/>
      </c>
    </row>
    <row r="47" spans="1:74" ht="16" x14ac:dyDescent="0.15">
      <c r="A47" s="17" t="str">
        <f>IFERROR(IF($C47="","",IF(OR($BF47&gt;0,$V47&gt;$J47,AND(ISNUMBER($Q47),$Q47&gt;0),AND($BI47&lt;&gt;"",$BI47&lt;-PARAMETRI!$B$6),AND($BM47&lt;&gt;"",$BM47&gt;=1),AND($BN47&lt;&gt;"",$BN47&gt;PARAMETRI!$B$8),AND(ISNUMBER($BR47),$BR47&gt;0)),"CRITICO",IF(OR($AZ47="",LEFT($C47,5)="TEMP",$BJ47="",$BO47="",ANAGRAFICA!$I44="",ANAGRAFICA!$J44="",$Y47="",AND(OR($I47="Finito ritenute non previste",$I47="Finito con sblocco ritenute",$I47="Finito senza sblocco ritenute"),ANAGRAFICA!$K44=""),OR(AND(ANAGRAFICA!$T44&lt;&gt;"",ANAGRAFICA!$J44&lt;&gt;ANAGRAFICA!$T44,OR(ANAGRAFICA!$R44="",ANAGRAFICA!$R44="Nessuna variazione")),AND(ANAGRAFICA!$J44="",ANAGRAFICA!$R44&lt;&gt;"",ANAGRAFICA!$R44&lt;&gt;"Nessuna variazione")),AND($BI47&lt;&gt;"",$BI47&lt;-PARAMETRI!$B$5),AND($BN47&lt;&gt;"",$BN47&gt;PARAMETRI!$B$7),AND($W47&gt;0,$M47&gt;$W47*PARAMETRI!$B$9),AND($O47&gt;0,OR($I47="Finito ritenute non previste",$I47="Finito con sblocco ritenute",$I47="Finito senza sblocco ritenute")),AND($BA47&gt;0,$BO47&gt;0,$BP47=0),AND(OR($I47="Finito ritenute non previste",$I47="Finito con sblocco ritenute",$I47="Finito senza sblocco ritenute"),$W47&gt;0,$N47&gt;$W47*PARAMETRI!$B$9),$V47&gt;0),"ATTENZIONE","REGOLARE"))),"ATTENZIONE")</f>
        <v/>
      </c>
      <c r="B47" s="17" t="str">
        <f>IFERROR(IF($C47="","",IF($BF47&gt;0,"FATTURATO OLTRE VALORE RECUPERABILE; ","")&amp;IF($V47&gt;$J47,"PERDITE ACCETTATE OLTRE CONTRATTO; ","")&amp;IF($V47&gt;0,"PERDITA SAL ACCETTATA (€ "&amp;TEXT($V47,"#,##0.00")&amp;"); ","")&amp;IF(AND(ISNUMBER($Q47),$Q47&gt;0),"RITARDO PRODUTTIVO ("&amp;TEXT($Q47,"0")&amp;" GG); ","")&amp;IF(AND($BI47&lt;&gt;"",$BI47&lt;-PARAMETRI!$B$5),"AVANZAMENTO PIÙ LENTO DEL TEMPO; ","")&amp;IF(AND($BM47&lt;&gt;"",$BM47&gt;1),"ORE OLTRE BUDGET; ","")&amp;IF(AND($BM47&lt;&gt;"",$BM47=1),"ORE PREVENTIVATE ESAURITE; ","")&amp;IF(AND($BN47&lt;&gt;"",$BN47&gt;PARAMETRI!$B$7),"CONSUMO ORE SUPERIORE ALL'AVANZAMENTO; ","")&amp;IF(AND(ISNUMBER($BR47),$BR47&gt;0),"COSTI DIRETTI OLTRE BUDGET; ","")&amp;IF(AND($W47&gt;0,$M47&gt;$W47*PARAMETRI!$B$9),"SAL MATURATO NON FATTURATO; ","")&amp;IF(AND($O47&gt;0,OR($I47="Finito ritenute non previste",$I47="Finito con sblocco ritenute",$I47="Finito senza sblocco ritenute")),"RITENUTE DA SBLOCCARE; ","")&amp;IF(AND($BA47&gt;0,$BO47&gt;0,$BP47=0),"COSTI DIRETTI NON REGISTRATI; ","")&amp;IF(AND(OR($I47="Finito ritenute non previste",$I47="Finito con sblocco ritenute",$I47="Finito senza sblocco ritenute"),$W47&gt;0,$N47&gt;$W47*PARAMETRI!$B$9),"CANTIERE FINITO CON RESIDUO LAVORI; ","")&amp;IF(AND(OR($I47="Finito ritenute non previste",$I47="Finito con sblocco ritenute",$I47="Finito senza sblocco ritenute"),ANAGRAFICA!$K44=""),"DATA FINE EFFETTIVA MANCANTE; ","")&amp;IF(OR(AND(ANAGRAFICA!$T44&lt;&gt;"",ANAGRAFICA!$J44&lt;&gt;ANAGRAFICA!$T44,OR(ANAGRAFICA!$R44="",ANAGRAFICA!$R44="Nessuna variazione")),AND(ANAGRAFICA!$J44="",ANAGRAFICA!$R44&lt;&gt;"",ANAGRAFICA!$R44&lt;&gt;"Nessuna variazione")),"GESTIONE DATA FINE INCOMPLETA; ","")&amp;IF($Y47="","AGGIORNATO AL MANCANTE; ","")&amp;IF(OR($AZ47="",$BJ47="",$BO47="",ANAGRAFICA!$I44="",ANAGRAFICA!$J44=""),"DATI PREVISIONALI INCOMPLETI; ","")&amp;IF(LEFT($C47,5)="TEMP","CODICE COMMESSA TEMPORANEO; ","")),"DATI INCOMPLETI; ")</f>
        <v/>
      </c>
      <c r="C47" s="17" t="str">
        <f>IF(ANAGRAFICA!$B44="","",ANAGRAFICA!$B44)</f>
        <v/>
      </c>
      <c r="D47" s="17" t="str">
        <f>IF($C47="","",ANAGRAFICA!$C44)</f>
        <v/>
      </c>
      <c r="E47" s="17" t="str">
        <f>IF($C47="","",ANAGRAFICA!$D44)</f>
        <v/>
      </c>
      <c r="F47" s="17" t="str">
        <f>IF($C47="","",ANAGRAFICA!$E44)</f>
        <v/>
      </c>
      <c r="G47" s="17" t="str">
        <f>IF($C47="","",ANAGRAFICA!$F44)</f>
        <v/>
      </c>
      <c r="H47" s="17" t="str">
        <f>IF($C47="","",ANAGRAFICA!$G44)</f>
        <v/>
      </c>
      <c r="I47" s="17" t="str">
        <f>IF($C47="","",ANAGRAFICA!$L44)</f>
        <v/>
      </c>
      <c r="J47" s="16" t="str">
        <f t="shared" si="1"/>
        <v/>
      </c>
      <c r="K47" s="16" t="str">
        <f t="shared" si="2"/>
        <v/>
      </c>
      <c r="L47" s="16" t="str">
        <f t="shared" si="3"/>
        <v/>
      </c>
      <c r="M47" s="16" t="str">
        <f t="shared" si="4"/>
        <v/>
      </c>
      <c r="N47" s="16" t="str">
        <f t="shared" si="5"/>
        <v/>
      </c>
      <c r="O47" s="16" t="str">
        <f t="shared" si="6"/>
        <v/>
      </c>
      <c r="P47" s="17" t="str">
        <f t="shared" si="7"/>
        <v/>
      </c>
      <c r="Q47" s="31" t="str">
        <f>IF(OR($C47="",'BUDGET COMMESSA'!$D44="",'BUDGET COMMESSA'!$D44&lt;=0,ANAGRAFICA!$J44=""),"",IF(OR($I47="Finito ritenute non previste",$I47="Finito con sblocco ritenute",$I47="Finito senza sblocco ritenute"),0,IF(AND($BK47&gt;=$BJ47,ANAGRAFICA!$R44="Ritardo produttivo FIDA"),IF(ANAGRAFICA!$T44&lt;&gt;"",MAX(0,ANAGRAFICA!$J44-ANAGRAFICA!$T44),MAX(0,$Y47-ANAGRAFICA!$J44)),0)))</f>
        <v/>
      </c>
      <c r="R47" s="17" t="str">
        <f t="shared" si="8"/>
        <v/>
      </c>
      <c r="S47" s="17" t="str">
        <f t="shared" si="9"/>
        <v/>
      </c>
      <c r="T47" s="17" t="str">
        <f t="shared" si="10"/>
        <v/>
      </c>
      <c r="U47" s="16" t="str">
        <f t="shared" si="11"/>
        <v/>
      </c>
      <c r="V47" s="16" t="str">
        <f t="shared" si="12"/>
        <v/>
      </c>
      <c r="W47" s="16" t="str">
        <f t="shared" si="13"/>
        <v/>
      </c>
      <c r="X47" s="40"/>
      <c r="Y47" s="14"/>
      <c r="AZ47" t="str">
        <f>IF($C47="","",ANAGRAFICA!$P44)</f>
        <v/>
      </c>
      <c r="BA47" t="str">
        <f>IF($C47="","",SUMIF('MOVIMENTI 2026'!$B$7:$B$4206,$C47,'MOVIMENTI 2026'!$I$7:$I$4206)+SUMIF('SALDI AL 31.12.2025'!$A$6:$A$505,$C47,'SALDI AL 31.12.2025'!$C$6:$C$505))</f>
        <v/>
      </c>
      <c r="BB47" t="str">
        <f>IF($C47="","",SUMIF('MOVIMENTI 2026'!$B$7:$B$4206,$C47,'MOVIMENTI 2026'!$J$7:$J$4206)+SUMIF('SALDI AL 31.12.2025'!$A$6:$A$505,$C47,'SALDI AL 31.12.2025'!$D$6:$D$505))</f>
        <v/>
      </c>
      <c r="BC47" t="str">
        <f>IF($C47="","",SUMIF('MOVIMENTI 2026'!$B$7:$B$4206,$C47,'MOVIMENTI 2026'!$K$7:$K$4206)+SUMIF('SALDI AL 31.12.2025'!$A$6:$A$505,$C47,'SALDI AL 31.12.2025'!$E$6:$E$505))</f>
        <v/>
      </c>
      <c r="BD47" t="str">
        <f>IF($C47="","",SUMIF('MOVIMENTI 2026'!$B$7:$B$4206,$C47,'MOVIMENTI 2026'!$L$7:$L$4206)+SUMIF('SALDI AL 31.12.2025'!$A$6:$A$505,$C47,'SALDI AL 31.12.2025'!$F$6:$F$505))</f>
        <v/>
      </c>
      <c r="BE47" t="str">
        <f t="shared" si="14"/>
        <v/>
      </c>
      <c r="BF47" t="str">
        <f t="shared" si="15"/>
        <v/>
      </c>
      <c r="BG47" t="str">
        <f t="shared" si="16"/>
        <v/>
      </c>
      <c r="BH47" t="str">
        <f>IFERROR(IF(OR($C47="",ANAGRAFICA!$I44="",ANAGRAFICA!$J44="",ANAGRAFICA!$J44&lt;=ANAGRAFICA!$I44,$Y47=""),"",IF(OR($I47="Finito ritenute non previste",$I47="Finito con sblocco ritenute",$I47="Finito senza sblocco ritenute"),1,MAX(0,MIN(1,($Y47-ANAGRAFICA!$I44)/(ANAGRAFICA!$J44-ANAGRAFICA!$I44))))),"")</f>
        <v/>
      </c>
      <c r="BI47" t="str">
        <f t="shared" si="17"/>
        <v/>
      </c>
      <c r="BJ47" t="str">
        <f>IFERROR(IF($C47="","",'BUDGET COMMESSA'!$D44),"")</f>
        <v/>
      </c>
      <c r="BK47" t="str">
        <f>IF($C47="","",SUMIF('MOVIMENTI 2026'!$B$7:$B$4206,$C47,'MOVIMENTI 2026'!$N$7:$N$4206)+SUMIF('SALDI AL 31.12.2025'!$A$6:$A$505,$C47,'SALDI AL 31.12.2025'!$H$6:$H$505))</f>
        <v/>
      </c>
      <c r="BL47" t="str">
        <f t="shared" si="18"/>
        <v/>
      </c>
      <c r="BM47" t="str">
        <f t="shared" si="19"/>
        <v/>
      </c>
      <c r="BN47" t="str">
        <f t="shared" si="20"/>
        <v/>
      </c>
      <c r="BO47" t="str">
        <f>IFERROR(IF($C47="","",'BUDGET COMMESSA'!$G44),"")</f>
        <v/>
      </c>
      <c r="BP47" t="str">
        <f>IF($C47="","",SUMIF('COSTI DIRETTI'!$C$6:$C$505,$C47,'COSTI DIRETTI'!$H$6:$H$505)+SUMIF('SALDI AL 31.12.2025'!$A$6:$A$505,$C47,'SALDI AL 31.12.2025'!$I$6:$I$505))</f>
        <v/>
      </c>
      <c r="BQ47" t="str">
        <f t="shared" si="21"/>
        <v/>
      </c>
      <c r="BR47" t="str">
        <f t="shared" si="22"/>
        <v/>
      </c>
      <c r="BS47" t="str">
        <f>IF($C47="","",$BK47*PARAMETRI!$B$4+$BP47)</f>
        <v/>
      </c>
      <c r="BT47">
        <f t="shared" si="23"/>
        <v>0</v>
      </c>
      <c r="BU47">
        <f t="shared" si="24"/>
        <v>0</v>
      </c>
      <c r="BV47" t="str">
        <f>IF($C47="","",SUMIF('MOVIMENTI 2026'!$B$7:$B$4206,$C47,'MOVIMENTI 2026'!$P$7:$P$4206)+SUMIF('SALDI AL 31.12.2025'!$A$6:$A$505,$C47,'SALDI AL 31.12.2025'!$G$6:$G$505))</f>
        <v/>
      </c>
    </row>
    <row r="48" spans="1:74" ht="16" x14ac:dyDescent="0.15">
      <c r="A48" s="17" t="str">
        <f>IFERROR(IF($C48="","",IF(OR($BF48&gt;0,$V48&gt;$J48,AND(ISNUMBER($Q48),$Q48&gt;0),AND($BI48&lt;&gt;"",$BI48&lt;-PARAMETRI!$B$6),AND($BM48&lt;&gt;"",$BM48&gt;=1),AND($BN48&lt;&gt;"",$BN48&gt;PARAMETRI!$B$8),AND(ISNUMBER($BR48),$BR48&gt;0)),"CRITICO",IF(OR($AZ48="",LEFT($C48,5)="TEMP",$BJ48="",$BO48="",ANAGRAFICA!$I45="",ANAGRAFICA!$J45="",$Y48="",AND(OR($I48="Finito ritenute non previste",$I48="Finito con sblocco ritenute",$I48="Finito senza sblocco ritenute"),ANAGRAFICA!$K45=""),OR(AND(ANAGRAFICA!$T45&lt;&gt;"",ANAGRAFICA!$J45&lt;&gt;ANAGRAFICA!$T45,OR(ANAGRAFICA!$R45="",ANAGRAFICA!$R45="Nessuna variazione")),AND(ANAGRAFICA!$J45="",ANAGRAFICA!$R45&lt;&gt;"",ANAGRAFICA!$R45&lt;&gt;"Nessuna variazione")),AND($BI48&lt;&gt;"",$BI48&lt;-PARAMETRI!$B$5),AND($BN48&lt;&gt;"",$BN48&gt;PARAMETRI!$B$7),AND($W48&gt;0,$M48&gt;$W48*PARAMETRI!$B$9),AND($O48&gt;0,OR($I48="Finito ritenute non previste",$I48="Finito con sblocco ritenute",$I48="Finito senza sblocco ritenute")),AND($BA48&gt;0,$BO48&gt;0,$BP48=0),AND(OR($I48="Finito ritenute non previste",$I48="Finito con sblocco ritenute",$I48="Finito senza sblocco ritenute"),$W48&gt;0,$N48&gt;$W48*PARAMETRI!$B$9),$V48&gt;0),"ATTENZIONE","REGOLARE"))),"ATTENZIONE")</f>
        <v/>
      </c>
      <c r="B48" s="17" t="str">
        <f>IFERROR(IF($C48="","",IF($BF48&gt;0,"FATTURATO OLTRE VALORE RECUPERABILE; ","")&amp;IF($V48&gt;$J48,"PERDITE ACCETTATE OLTRE CONTRATTO; ","")&amp;IF($V48&gt;0,"PERDITA SAL ACCETTATA (€ "&amp;TEXT($V48,"#,##0.00")&amp;"); ","")&amp;IF(AND(ISNUMBER($Q48),$Q48&gt;0),"RITARDO PRODUTTIVO ("&amp;TEXT($Q48,"0")&amp;" GG); ","")&amp;IF(AND($BI48&lt;&gt;"",$BI48&lt;-PARAMETRI!$B$5),"AVANZAMENTO PIÙ LENTO DEL TEMPO; ","")&amp;IF(AND($BM48&lt;&gt;"",$BM48&gt;1),"ORE OLTRE BUDGET; ","")&amp;IF(AND($BM48&lt;&gt;"",$BM48=1),"ORE PREVENTIVATE ESAURITE; ","")&amp;IF(AND($BN48&lt;&gt;"",$BN48&gt;PARAMETRI!$B$7),"CONSUMO ORE SUPERIORE ALL'AVANZAMENTO; ","")&amp;IF(AND(ISNUMBER($BR48),$BR48&gt;0),"COSTI DIRETTI OLTRE BUDGET; ","")&amp;IF(AND($W48&gt;0,$M48&gt;$W48*PARAMETRI!$B$9),"SAL MATURATO NON FATTURATO; ","")&amp;IF(AND($O48&gt;0,OR($I48="Finito ritenute non previste",$I48="Finito con sblocco ritenute",$I48="Finito senza sblocco ritenute")),"RITENUTE DA SBLOCCARE; ","")&amp;IF(AND($BA48&gt;0,$BO48&gt;0,$BP48=0),"COSTI DIRETTI NON REGISTRATI; ","")&amp;IF(AND(OR($I48="Finito ritenute non previste",$I48="Finito con sblocco ritenute",$I48="Finito senza sblocco ritenute"),$W48&gt;0,$N48&gt;$W48*PARAMETRI!$B$9),"CANTIERE FINITO CON RESIDUO LAVORI; ","")&amp;IF(AND(OR($I48="Finito ritenute non previste",$I48="Finito con sblocco ritenute",$I48="Finito senza sblocco ritenute"),ANAGRAFICA!$K45=""),"DATA FINE EFFETTIVA MANCANTE; ","")&amp;IF(OR(AND(ANAGRAFICA!$T45&lt;&gt;"",ANAGRAFICA!$J45&lt;&gt;ANAGRAFICA!$T45,OR(ANAGRAFICA!$R45="",ANAGRAFICA!$R45="Nessuna variazione")),AND(ANAGRAFICA!$J45="",ANAGRAFICA!$R45&lt;&gt;"",ANAGRAFICA!$R45&lt;&gt;"Nessuna variazione")),"GESTIONE DATA FINE INCOMPLETA; ","")&amp;IF($Y48="","AGGIORNATO AL MANCANTE; ","")&amp;IF(OR($AZ48="",$BJ48="",$BO48="",ANAGRAFICA!$I45="",ANAGRAFICA!$J45=""),"DATI PREVISIONALI INCOMPLETI; ","")&amp;IF(LEFT($C48,5)="TEMP","CODICE COMMESSA TEMPORANEO; ","")),"DATI INCOMPLETI; ")</f>
        <v/>
      </c>
      <c r="C48" s="17" t="str">
        <f>IF(ANAGRAFICA!$B45="","",ANAGRAFICA!$B45)</f>
        <v/>
      </c>
      <c r="D48" s="17" t="str">
        <f>IF($C48="","",ANAGRAFICA!$C45)</f>
        <v/>
      </c>
      <c r="E48" s="17" t="str">
        <f>IF($C48="","",ANAGRAFICA!$D45)</f>
        <v/>
      </c>
      <c r="F48" s="17" t="str">
        <f>IF($C48="","",ANAGRAFICA!$E45)</f>
        <v/>
      </c>
      <c r="G48" s="17" t="str">
        <f>IF($C48="","",ANAGRAFICA!$F45)</f>
        <v/>
      </c>
      <c r="H48" s="17" t="str">
        <f>IF($C48="","",ANAGRAFICA!$G45)</f>
        <v/>
      </c>
      <c r="I48" s="17" t="str">
        <f>IF($C48="","",ANAGRAFICA!$L45)</f>
        <v/>
      </c>
      <c r="J48" s="16" t="str">
        <f t="shared" si="1"/>
        <v/>
      </c>
      <c r="K48" s="16" t="str">
        <f t="shared" si="2"/>
        <v/>
      </c>
      <c r="L48" s="16" t="str">
        <f t="shared" si="3"/>
        <v/>
      </c>
      <c r="M48" s="16" t="str">
        <f t="shared" si="4"/>
        <v/>
      </c>
      <c r="N48" s="16" t="str">
        <f t="shared" si="5"/>
        <v/>
      </c>
      <c r="O48" s="16" t="str">
        <f t="shared" si="6"/>
        <v/>
      </c>
      <c r="P48" s="17" t="str">
        <f t="shared" si="7"/>
        <v/>
      </c>
      <c r="Q48" s="31" t="str">
        <f>IF(OR($C48="",'BUDGET COMMESSA'!$D45="",'BUDGET COMMESSA'!$D45&lt;=0,ANAGRAFICA!$J45=""),"",IF(OR($I48="Finito ritenute non previste",$I48="Finito con sblocco ritenute",$I48="Finito senza sblocco ritenute"),0,IF(AND($BK48&gt;=$BJ48,ANAGRAFICA!$R45="Ritardo produttivo FIDA"),IF(ANAGRAFICA!$T45&lt;&gt;"",MAX(0,ANAGRAFICA!$J45-ANAGRAFICA!$T45),MAX(0,$Y48-ANAGRAFICA!$J45)),0)))</f>
        <v/>
      </c>
      <c r="R48" s="17" t="str">
        <f t="shared" si="8"/>
        <v/>
      </c>
      <c r="S48" s="17" t="str">
        <f t="shared" si="9"/>
        <v/>
      </c>
      <c r="T48" s="17" t="str">
        <f t="shared" si="10"/>
        <v/>
      </c>
      <c r="U48" s="16" t="str">
        <f t="shared" si="11"/>
        <v/>
      </c>
      <c r="V48" s="16" t="str">
        <f t="shared" si="12"/>
        <v/>
      </c>
      <c r="W48" s="16" t="str">
        <f t="shared" si="13"/>
        <v/>
      </c>
      <c r="X48" s="40"/>
      <c r="Y48" s="14"/>
      <c r="AZ48" t="str">
        <f>IF($C48="","",ANAGRAFICA!$P45)</f>
        <v/>
      </c>
      <c r="BA48" t="str">
        <f>IF($C48="","",SUMIF('MOVIMENTI 2026'!$B$7:$B$4206,$C48,'MOVIMENTI 2026'!$I$7:$I$4206)+SUMIF('SALDI AL 31.12.2025'!$A$6:$A$505,$C48,'SALDI AL 31.12.2025'!$C$6:$C$505))</f>
        <v/>
      </c>
      <c r="BB48" t="str">
        <f>IF($C48="","",SUMIF('MOVIMENTI 2026'!$B$7:$B$4206,$C48,'MOVIMENTI 2026'!$J$7:$J$4206)+SUMIF('SALDI AL 31.12.2025'!$A$6:$A$505,$C48,'SALDI AL 31.12.2025'!$D$6:$D$505))</f>
        <v/>
      </c>
      <c r="BC48" t="str">
        <f>IF($C48="","",SUMIF('MOVIMENTI 2026'!$B$7:$B$4206,$C48,'MOVIMENTI 2026'!$K$7:$K$4206)+SUMIF('SALDI AL 31.12.2025'!$A$6:$A$505,$C48,'SALDI AL 31.12.2025'!$E$6:$E$505))</f>
        <v/>
      </c>
      <c r="BD48" t="str">
        <f>IF($C48="","",SUMIF('MOVIMENTI 2026'!$B$7:$B$4206,$C48,'MOVIMENTI 2026'!$L$7:$L$4206)+SUMIF('SALDI AL 31.12.2025'!$A$6:$A$505,$C48,'SALDI AL 31.12.2025'!$F$6:$F$505))</f>
        <v/>
      </c>
      <c r="BE48" t="str">
        <f t="shared" si="14"/>
        <v/>
      </c>
      <c r="BF48" t="str">
        <f t="shared" si="15"/>
        <v/>
      </c>
      <c r="BG48" t="str">
        <f t="shared" si="16"/>
        <v/>
      </c>
      <c r="BH48" t="str">
        <f>IFERROR(IF(OR($C48="",ANAGRAFICA!$I45="",ANAGRAFICA!$J45="",ANAGRAFICA!$J45&lt;=ANAGRAFICA!$I45,$Y48=""),"",IF(OR($I48="Finito ritenute non previste",$I48="Finito con sblocco ritenute",$I48="Finito senza sblocco ritenute"),1,MAX(0,MIN(1,($Y48-ANAGRAFICA!$I45)/(ANAGRAFICA!$J45-ANAGRAFICA!$I45))))),"")</f>
        <v/>
      </c>
      <c r="BI48" t="str">
        <f t="shared" si="17"/>
        <v/>
      </c>
      <c r="BJ48" t="str">
        <f>IFERROR(IF($C48="","",'BUDGET COMMESSA'!$D45),"")</f>
        <v/>
      </c>
      <c r="BK48" t="str">
        <f>IF($C48="","",SUMIF('MOVIMENTI 2026'!$B$7:$B$4206,$C48,'MOVIMENTI 2026'!$N$7:$N$4206)+SUMIF('SALDI AL 31.12.2025'!$A$6:$A$505,$C48,'SALDI AL 31.12.2025'!$H$6:$H$505))</f>
        <v/>
      </c>
      <c r="BL48" t="str">
        <f t="shared" si="18"/>
        <v/>
      </c>
      <c r="BM48" t="str">
        <f t="shared" si="19"/>
        <v/>
      </c>
      <c r="BN48" t="str">
        <f t="shared" si="20"/>
        <v/>
      </c>
      <c r="BO48" t="str">
        <f>IFERROR(IF($C48="","",'BUDGET COMMESSA'!$G45),"")</f>
        <v/>
      </c>
      <c r="BP48" t="str">
        <f>IF($C48="","",SUMIF('COSTI DIRETTI'!$C$6:$C$505,$C48,'COSTI DIRETTI'!$H$6:$H$505)+SUMIF('SALDI AL 31.12.2025'!$A$6:$A$505,$C48,'SALDI AL 31.12.2025'!$I$6:$I$505))</f>
        <v/>
      </c>
      <c r="BQ48" t="str">
        <f t="shared" si="21"/>
        <v/>
      </c>
      <c r="BR48" t="str">
        <f t="shared" si="22"/>
        <v/>
      </c>
      <c r="BS48" t="str">
        <f>IF($C48="","",$BK48*PARAMETRI!$B$4+$BP48)</f>
        <v/>
      </c>
      <c r="BT48">
        <f t="shared" si="23"/>
        <v>0</v>
      </c>
      <c r="BU48">
        <f t="shared" si="24"/>
        <v>0</v>
      </c>
      <c r="BV48" t="str">
        <f>IF($C48="","",SUMIF('MOVIMENTI 2026'!$B$7:$B$4206,$C48,'MOVIMENTI 2026'!$P$7:$P$4206)+SUMIF('SALDI AL 31.12.2025'!$A$6:$A$505,$C48,'SALDI AL 31.12.2025'!$G$6:$G$505))</f>
        <v/>
      </c>
    </row>
    <row r="49" spans="1:74" ht="16" x14ac:dyDescent="0.15">
      <c r="A49" s="17" t="str">
        <f>IFERROR(IF($C49="","",IF(OR($BF49&gt;0,$V49&gt;$J49,AND(ISNUMBER($Q49),$Q49&gt;0),AND($BI49&lt;&gt;"",$BI49&lt;-PARAMETRI!$B$6),AND($BM49&lt;&gt;"",$BM49&gt;=1),AND($BN49&lt;&gt;"",$BN49&gt;PARAMETRI!$B$8),AND(ISNUMBER($BR49),$BR49&gt;0)),"CRITICO",IF(OR($AZ49="",LEFT($C49,5)="TEMP",$BJ49="",$BO49="",ANAGRAFICA!$I46="",ANAGRAFICA!$J46="",$Y49="",AND(OR($I49="Finito ritenute non previste",$I49="Finito con sblocco ritenute",$I49="Finito senza sblocco ritenute"),ANAGRAFICA!$K46=""),OR(AND(ANAGRAFICA!$T46&lt;&gt;"",ANAGRAFICA!$J46&lt;&gt;ANAGRAFICA!$T46,OR(ANAGRAFICA!$R46="",ANAGRAFICA!$R46="Nessuna variazione")),AND(ANAGRAFICA!$J46="",ANAGRAFICA!$R46&lt;&gt;"",ANAGRAFICA!$R46&lt;&gt;"Nessuna variazione")),AND($BI49&lt;&gt;"",$BI49&lt;-PARAMETRI!$B$5),AND($BN49&lt;&gt;"",$BN49&gt;PARAMETRI!$B$7),AND($W49&gt;0,$M49&gt;$W49*PARAMETRI!$B$9),AND($O49&gt;0,OR($I49="Finito ritenute non previste",$I49="Finito con sblocco ritenute",$I49="Finito senza sblocco ritenute")),AND($BA49&gt;0,$BO49&gt;0,$BP49=0),AND(OR($I49="Finito ritenute non previste",$I49="Finito con sblocco ritenute",$I49="Finito senza sblocco ritenute"),$W49&gt;0,$N49&gt;$W49*PARAMETRI!$B$9),$V49&gt;0),"ATTENZIONE","REGOLARE"))),"ATTENZIONE")</f>
        <v/>
      </c>
      <c r="B49" s="17" t="str">
        <f>IFERROR(IF($C49="","",IF($BF49&gt;0,"FATTURATO OLTRE VALORE RECUPERABILE; ","")&amp;IF($V49&gt;$J49,"PERDITE ACCETTATE OLTRE CONTRATTO; ","")&amp;IF($V49&gt;0,"PERDITA SAL ACCETTATA (€ "&amp;TEXT($V49,"#,##0.00")&amp;"); ","")&amp;IF(AND(ISNUMBER($Q49),$Q49&gt;0),"RITARDO PRODUTTIVO ("&amp;TEXT($Q49,"0")&amp;" GG); ","")&amp;IF(AND($BI49&lt;&gt;"",$BI49&lt;-PARAMETRI!$B$5),"AVANZAMENTO PIÙ LENTO DEL TEMPO; ","")&amp;IF(AND($BM49&lt;&gt;"",$BM49&gt;1),"ORE OLTRE BUDGET; ","")&amp;IF(AND($BM49&lt;&gt;"",$BM49=1),"ORE PREVENTIVATE ESAURITE; ","")&amp;IF(AND($BN49&lt;&gt;"",$BN49&gt;PARAMETRI!$B$7),"CONSUMO ORE SUPERIORE ALL'AVANZAMENTO; ","")&amp;IF(AND(ISNUMBER($BR49),$BR49&gt;0),"COSTI DIRETTI OLTRE BUDGET; ","")&amp;IF(AND($W49&gt;0,$M49&gt;$W49*PARAMETRI!$B$9),"SAL MATURATO NON FATTURATO; ","")&amp;IF(AND($O49&gt;0,OR($I49="Finito ritenute non previste",$I49="Finito con sblocco ritenute",$I49="Finito senza sblocco ritenute")),"RITENUTE DA SBLOCCARE; ","")&amp;IF(AND($BA49&gt;0,$BO49&gt;0,$BP49=0),"COSTI DIRETTI NON REGISTRATI; ","")&amp;IF(AND(OR($I49="Finito ritenute non previste",$I49="Finito con sblocco ritenute",$I49="Finito senza sblocco ritenute"),$W49&gt;0,$N49&gt;$W49*PARAMETRI!$B$9),"CANTIERE FINITO CON RESIDUO LAVORI; ","")&amp;IF(AND(OR($I49="Finito ritenute non previste",$I49="Finito con sblocco ritenute",$I49="Finito senza sblocco ritenute"),ANAGRAFICA!$K46=""),"DATA FINE EFFETTIVA MANCANTE; ","")&amp;IF(OR(AND(ANAGRAFICA!$T46&lt;&gt;"",ANAGRAFICA!$J46&lt;&gt;ANAGRAFICA!$T46,OR(ANAGRAFICA!$R46="",ANAGRAFICA!$R46="Nessuna variazione")),AND(ANAGRAFICA!$J46="",ANAGRAFICA!$R46&lt;&gt;"",ANAGRAFICA!$R46&lt;&gt;"Nessuna variazione")),"GESTIONE DATA FINE INCOMPLETA; ","")&amp;IF($Y49="","AGGIORNATO AL MANCANTE; ","")&amp;IF(OR($AZ49="",$BJ49="",$BO49="",ANAGRAFICA!$I46="",ANAGRAFICA!$J46=""),"DATI PREVISIONALI INCOMPLETI; ","")&amp;IF(LEFT($C49,5)="TEMP","CODICE COMMESSA TEMPORANEO; ","")),"DATI INCOMPLETI; ")</f>
        <v/>
      </c>
      <c r="C49" s="17" t="str">
        <f>IF(ANAGRAFICA!$B46="","",ANAGRAFICA!$B46)</f>
        <v/>
      </c>
      <c r="D49" s="17" t="str">
        <f>IF($C49="","",ANAGRAFICA!$C46)</f>
        <v/>
      </c>
      <c r="E49" s="17" t="str">
        <f>IF($C49="","",ANAGRAFICA!$D46)</f>
        <v/>
      </c>
      <c r="F49" s="17" t="str">
        <f>IF($C49="","",ANAGRAFICA!$E46)</f>
        <v/>
      </c>
      <c r="G49" s="17" t="str">
        <f>IF($C49="","",ANAGRAFICA!$F46)</f>
        <v/>
      </c>
      <c r="H49" s="17" t="str">
        <f>IF($C49="","",ANAGRAFICA!$G46)</f>
        <v/>
      </c>
      <c r="I49" s="17" t="str">
        <f>IF($C49="","",ANAGRAFICA!$L46)</f>
        <v/>
      </c>
      <c r="J49" s="16" t="str">
        <f t="shared" si="1"/>
        <v/>
      </c>
      <c r="K49" s="16" t="str">
        <f t="shared" si="2"/>
        <v/>
      </c>
      <c r="L49" s="16" t="str">
        <f t="shared" si="3"/>
        <v/>
      </c>
      <c r="M49" s="16" t="str">
        <f t="shared" si="4"/>
        <v/>
      </c>
      <c r="N49" s="16" t="str">
        <f t="shared" si="5"/>
        <v/>
      </c>
      <c r="O49" s="16" t="str">
        <f t="shared" si="6"/>
        <v/>
      </c>
      <c r="P49" s="17" t="str">
        <f t="shared" si="7"/>
        <v/>
      </c>
      <c r="Q49" s="31" t="str">
        <f>IF(OR($C49="",'BUDGET COMMESSA'!$D46="",'BUDGET COMMESSA'!$D46&lt;=0,ANAGRAFICA!$J46=""),"",IF(OR($I49="Finito ritenute non previste",$I49="Finito con sblocco ritenute",$I49="Finito senza sblocco ritenute"),0,IF(AND($BK49&gt;=$BJ49,ANAGRAFICA!$R46="Ritardo produttivo FIDA"),IF(ANAGRAFICA!$T46&lt;&gt;"",MAX(0,ANAGRAFICA!$J46-ANAGRAFICA!$T46),MAX(0,$Y49-ANAGRAFICA!$J46)),0)))</f>
        <v/>
      </c>
      <c r="R49" s="17" t="str">
        <f t="shared" si="8"/>
        <v/>
      </c>
      <c r="S49" s="17" t="str">
        <f t="shared" si="9"/>
        <v/>
      </c>
      <c r="T49" s="17" t="str">
        <f t="shared" si="10"/>
        <v/>
      </c>
      <c r="U49" s="16" t="str">
        <f t="shared" si="11"/>
        <v/>
      </c>
      <c r="V49" s="16" t="str">
        <f t="shared" si="12"/>
        <v/>
      </c>
      <c r="W49" s="16" t="str">
        <f t="shared" si="13"/>
        <v/>
      </c>
      <c r="X49" s="40"/>
      <c r="Y49" s="14"/>
      <c r="AZ49" t="str">
        <f>IF($C49="","",ANAGRAFICA!$P46)</f>
        <v/>
      </c>
      <c r="BA49" t="str">
        <f>IF($C49="","",SUMIF('MOVIMENTI 2026'!$B$7:$B$4206,$C49,'MOVIMENTI 2026'!$I$7:$I$4206)+SUMIF('SALDI AL 31.12.2025'!$A$6:$A$505,$C49,'SALDI AL 31.12.2025'!$C$6:$C$505))</f>
        <v/>
      </c>
      <c r="BB49" t="str">
        <f>IF($C49="","",SUMIF('MOVIMENTI 2026'!$B$7:$B$4206,$C49,'MOVIMENTI 2026'!$J$7:$J$4206)+SUMIF('SALDI AL 31.12.2025'!$A$6:$A$505,$C49,'SALDI AL 31.12.2025'!$D$6:$D$505))</f>
        <v/>
      </c>
      <c r="BC49" t="str">
        <f>IF($C49="","",SUMIF('MOVIMENTI 2026'!$B$7:$B$4206,$C49,'MOVIMENTI 2026'!$K$7:$K$4206)+SUMIF('SALDI AL 31.12.2025'!$A$6:$A$505,$C49,'SALDI AL 31.12.2025'!$E$6:$E$505))</f>
        <v/>
      </c>
      <c r="BD49" t="str">
        <f>IF($C49="","",SUMIF('MOVIMENTI 2026'!$B$7:$B$4206,$C49,'MOVIMENTI 2026'!$L$7:$L$4206)+SUMIF('SALDI AL 31.12.2025'!$A$6:$A$505,$C49,'SALDI AL 31.12.2025'!$F$6:$F$505))</f>
        <v/>
      </c>
      <c r="BE49" t="str">
        <f t="shared" si="14"/>
        <v/>
      </c>
      <c r="BF49" t="str">
        <f t="shared" si="15"/>
        <v/>
      </c>
      <c r="BG49" t="str">
        <f t="shared" si="16"/>
        <v/>
      </c>
      <c r="BH49" t="str">
        <f>IFERROR(IF(OR($C49="",ANAGRAFICA!$I46="",ANAGRAFICA!$J46="",ANAGRAFICA!$J46&lt;=ANAGRAFICA!$I46,$Y49=""),"",IF(OR($I49="Finito ritenute non previste",$I49="Finito con sblocco ritenute",$I49="Finito senza sblocco ritenute"),1,MAX(0,MIN(1,($Y49-ANAGRAFICA!$I46)/(ANAGRAFICA!$J46-ANAGRAFICA!$I46))))),"")</f>
        <v/>
      </c>
      <c r="BI49" t="str">
        <f t="shared" si="17"/>
        <v/>
      </c>
      <c r="BJ49" t="str">
        <f>IFERROR(IF($C49="","",'BUDGET COMMESSA'!$D46),"")</f>
        <v/>
      </c>
      <c r="BK49" t="str">
        <f>IF($C49="","",SUMIF('MOVIMENTI 2026'!$B$7:$B$4206,$C49,'MOVIMENTI 2026'!$N$7:$N$4206)+SUMIF('SALDI AL 31.12.2025'!$A$6:$A$505,$C49,'SALDI AL 31.12.2025'!$H$6:$H$505))</f>
        <v/>
      </c>
      <c r="BL49" t="str">
        <f t="shared" si="18"/>
        <v/>
      </c>
      <c r="BM49" t="str">
        <f t="shared" si="19"/>
        <v/>
      </c>
      <c r="BN49" t="str">
        <f t="shared" si="20"/>
        <v/>
      </c>
      <c r="BO49" t="str">
        <f>IFERROR(IF($C49="","",'BUDGET COMMESSA'!$G46),"")</f>
        <v/>
      </c>
      <c r="BP49" t="str">
        <f>IF($C49="","",SUMIF('COSTI DIRETTI'!$C$6:$C$505,$C49,'COSTI DIRETTI'!$H$6:$H$505)+SUMIF('SALDI AL 31.12.2025'!$A$6:$A$505,$C49,'SALDI AL 31.12.2025'!$I$6:$I$505))</f>
        <v/>
      </c>
      <c r="BQ49" t="str">
        <f t="shared" si="21"/>
        <v/>
      </c>
      <c r="BR49" t="str">
        <f t="shared" si="22"/>
        <v/>
      </c>
      <c r="BS49" t="str">
        <f>IF($C49="","",$BK49*PARAMETRI!$B$4+$BP49)</f>
        <v/>
      </c>
      <c r="BT49">
        <f t="shared" si="23"/>
        <v>0</v>
      </c>
      <c r="BU49">
        <f t="shared" si="24"/>
        <v>0</v>
      </c>
      <c r="BV49" t="str">
        <f>IF($C49="","",SUMIF('MOVIMENTI 2026'!$B$7:$B$4206,$C49,'MOVIMENTI 2026'!$P$7:$P$4206)+SUMIF('SALDI AL 31.12.2025'!$A$6:$A$505,$C49,'SALDI AL 31.12.2025'!$G$6:$G$505))</f>
        <v/>
      </c>
    </row>
    <row r="50" spans="1:74" ht="16" x14ac:dyDescent="0.15">
      <c r="A50" s="17" t="str">
        <f>IFERROR(IF($C50="","",IF(OR($BF50&gt;0,$V50&gt;$J50,AND(ISNUMBER($Q50),$Q50&gt;0),AND($BI50&lt;&gt;"",$BI50&lt;-PARAMETRI!$B$6),AND($BM50&lt;&gt;"",$BM50&gt;=1),AND($BN50&lt;&gt;"",$BN50&gt;PARAMETRI!$B$8),AND(ISNUMBER($BR50),$BR50&gt;0)),"CRITICO",IF(OR($AZ50="",LEFT($C50,5)="TEMP",$BJ50="",$BO50="",ANAGRAFICA!$I47="",ANAGRAFICA!$J47="",$Y50="",AND(OR($I50="Finito ritenute non previste",$I50="Finito con sblocco ritenute",$I50="Finito senza sblocco ritenute"),ANAGRAFICA!$K47=""),OR(AND(ANAGRAFICA!$T47&lt;&gt;"",ANAGRAFICA!$J47&lt;&gt;ANAGRAFICA!$T47,OR(ANAGRAFICA!$R47="",ANAGRAFICA!$R47="Nessuna variazione")),AND(ANAGRAFICA!$J47="",ANAGRAFICA!$R47&lt;&gt;"",ANAGRAFICA!$R47&lt;&gt;"Nessuna variazione")),AND($BI50&lt;&gt;"",$BI50&lt;-PARAMETRI!$B$5),AND($BN50&lt;&gt;"",$BN50&gt;PARAMETRI!$B$7),AND($W50&gt;0,$M50&gt;$W50*PARAMETRI!$B$9),AND($O50&gt;0,OR($I50="Finito ritenute non previste",$I50="Finito con sblocco ritenute",$I50="Finito senza sblocco ritenute")),AND($BA50&gt;0,$BO50&gt;0,$BP50=0),AND(OR($I50="Finito ritenute non previste",$I50="Finito con sblocco ritenute",$I50="Finito senza sblocco ritenute"),$W50&gt;0,$N50&gt;$W50*PARAMETRI!$B$9),$V50&gt;0),"ATTENZIONE","REGOLARE"))),"ATTENZIONE")</f>
        <v/>
      </c>
      <c r="B50" s="17" t="str">
        <f>IFERROR(IF($C50="","",IF($BF50&gt;0,"FATTURATO OLTRE VALORE RECUPERABILE; ","")&amp;IF($V50&gt;$J50,"PERDITE ACCETTATE OLTRE CONTRATTO; ","")&amp;IF($V50&gt;0,"PERDITA SAL ACCETTATA (€ "&amp;TEXT($V50,"#,##0.00")&amp;"); ","")&amp;IF(AND(ISNUMBER($Q50),$Q50&gt;0),"RITARDO PRODUTTIVO ("&amp;TEXT($Q50,"0")&amp;" GG); ","")&amp;IF(AND($BI50&lt;&gt;"",$BI50&lt;-PARAMETRI!$B$5),"AVANZAMENTO PIÙ LENTO DEL TEMPO; ","")&amp;IF(AND($BM50&lt;&gt;"",$BM50&gt;1),"ORE OLTRE BUDGET; ","")&amp;IF(AND($BM50&lt;&gt;"",$BM50=1),"ORE PREVENTIVATE ESAURITE; ","")&amp;IF(AND($BN50&lt;&gt;"",$BN50&gt;PARAMETRI!$B$7),"CONSUMO ORE SUPERIORE ALL'AVANZAMENTO; ","")&amp;IF(AND(ISNUMBER($BR50),$BR50&gt;0),"COSTI DIRETTI OLTRE BUDGET; ","")&amp;IF(AND($W50&gt;0,$M50&gt;$W50*PARAMETRI!$B$9),"SAL MATURATO NON FATTURATO; ","")&amp;IF(AND($O50&gt;0,OR($I50="Finito ritenute non previste",$I50="Finito con sblocco ritenute",$I50="Finito senza sblocco ritenute")),"RITENUTE DA SBLOCCARE; ","")&amp;IF(AND($BA50&gt;0,$BO50&gt;0,$BP50=0),"COSTI DIRETTI NON REGISTRATI; ","")&amp;IF(AND(OR($I50="Finito ritenute non previste",$I50="Finito con sblocco ritenute",$I50="Finito senza sblocco ritenute"),$W50&gt;0,$N50&gt;$W50*PARAMETRI!$B$9),"CANTIERE FINITO CON RESIDUO LAVORI; ","")&amp;IF(AND(OR($I50="Finito ritenute non previste",$I50="Finito con sblocco ritenute",$I50="Finito senza sblocco ritenute"),ANAGRAFICA!$K47=""),"DATA FINE EFFETTIVA MANCANTE; ","")&amp;IF(OR(AND(ANAGRAFICA!$T47&lt;&gt;"",ANAGRAFICA!$J47&lt;&gt;ANAGRAFICA!$T47,OR(ANAGRAFICA!$R47="",ANAGRAFICA!$R47="Nessuna variazione")),AND(ANAGRAFICA!$J47="",ANAGRAFICA!$R47&lt;&gt;"",ANAGRAFICA!$R47&lt;&gt;"Nessuna variazione")),"GESTIONE DATA FINE INCOMPLETA; ","")&amp;IF($Y50="","AGGIORNATO AL MANCANTE; ","")&amp;IF(OR($AZ50="",$BJ50="",$BO50="",ANAGRAFICA!$I47="",ANAGRAFICA!$J47=""),"DATI PREVISIONALI INCOMPLETI; ","")&amp;IF(LEFT($C50,5)="TEMP","CODICE COMMESSA TEMPORANEO; ","")),"DATI INCOMPLETI; ")</f>
        <v/>
      </c>
      <c r="C50" s="17" t="str">
        <f>IF(ANAGRAFICA!$B47="","",ANAGRAFICA!$B47)</f>
        <v/>
      </c>
      <c r="D50" s="17" t="str">
        <f>IF($C50="","",ANAGRAFICA!$C47)</f>
        <v/>
      </c>
      <c r="E50" s="17" t="str">
        <f>IF($C50="","",ANAGRAFICA!$D47)</f>
        <v/>
      </c>
      <c r="F50" s="17" t="str">
        <f>IF($C50="","",ANAGRAFICA!$E47)</f>
        <v/>
      </c>
      <c r="G50" s="17" t="str">
        <f>IF($C50="","",ANAGRAFICA!$F47)</f>
        <v/>
      </c>
      <c r="H50" s="17" t="str">
        <f>IF($C50="","",ANAGRAFICA!$G47)</f>
        <v/>
      </c>
      <c r="I50" s="17" t="str">
        <f>IF($C50="","",ANAGRAFICA!$L47)</f>
        <v/>
      </c>
      <c r="J50" s="16" t="str">
        <f t="shared" si="1"/>
        <v/>
      </c>
      <c r="K50" s="16" t="str">
        <f t="shared" si="2"/>
        <v/>
      </c>
      <c r="L50" s="16" t="str">
        <f t="shared" si="3"/>
        <v/>
      </c>
      <c r="M50" s="16" t="str">
        <f t="shared" si="4"/>
        <v/>
      </c>
      <c r="N50" s="16" t="str">
        <f t="shared" si="5"/>
        <v/>
      </c>
      <c r="O50" s="16" t="str">
        <f t="shared" si="6"/>
        <v/>
      </c>
      <c r="P50" s="17" t="str">
        <f t="shared" si="7"/>
        <v/>
      </c>
      <c r="Q50" s="31" t="str">
        <f>IF(OR($C50="",'BUDGET COMMESSA'!$D47="",'BUDGET COMMESSA'!$D47&lt;=0,ANAGRAFICA!$J47=""),"",IF(OR($I50="Finito ritenute non previste",$I50="Finito con sblocco ritenute",$I50="Finito senza sblocco ritenute"),0,IF(AND($BK50&gt;=$BJ50,ANAGRAFICA!$R47="Ritardo produttivo FIDA"),IF(ANAGRAFICA!$T47&lt;&gt;"",MAX(0,ANAGRAFICA!$J47-ANAGRAFICA!$T47),MAX(0,$Y50-ANAGRAFICA!$J47)),0)))</f>
        <v/>
      </c>
      <c r="R50" s="17" t="str">
        <f t="shared" si="8"/>
        <v/>
      </c>
      <c r="S50" s="17" t="str">
        <f t="shared" si="9"/>
        <v/>
      </c>
      <c r="T50" s="17" t="str">
        <f t="shared" si="10"/>
        <v/>
      </c>
      <c r="U50" s="16" t="str">
        <f t="shared" si="11"/>
        <v/>
      </c>
      <c r="V50" s="16" t="str">
        <f t="shared" si="12"/>
        <v/>
      </c>
      <c r="W50" s="16" t="str">
        <f t="shared" si="13"/>
        <v/>
      </c>
      <c r="X50" s="40"/>
      <c r="Y50" s="14"/>
      <c r="AZ50" t="str">
        <f>IF($C50="","",ANAGRAFICA!$P47)</f>
        <v/>
      </c>
      <c r="BA50" t="str">
        <f>IF($C50="","",SUMIF('MOVIMENTI 2026'!$B$7:$B$4206,$C50,'MOVIMENTI 2026'!$I$7:$I$4206)+SUMIF('SALDI AL 31.12.2025'!$A$6:$A$505,$C50,'SALDI AL 31.12.2025'!$C$6:$C$505))</f>
        <v/>
      </c>
      <c r="BB50" t="str">
        <f>IF($C50="","",SUMIF('MOVIMENTI 2026'!$B$7:$B$4206,$C50,'MOVIMENTI 2026'!$J$7:$J$4206)+SUMIF('SALDI AL 31.12.2025'!$A$6:$A$505,$C50,'SALDI AL 31.12.2025'!$D$6:$D$505))</f>
        <v/>
      </c>
      <c r="BC50" t="str">
        <f>IF($C50="","",SUMIF('MOVIMENTI 2026'!$B$7:$B$4206,$C50,'MOVIMENTI 2026'!$K$7:$K$4206)+SUMIF('SALDI AL 31.12.2025'!$A$6:$A$505,$C50,'SALDI AL 31.12.2025'!$E$6:$E$505))</f>
        <v/>
      </c>
      <c r="BD50" t="str">
        <f>IF($C50="","",SUMIF('MOVIMENTI 2026'!$B$7:$B$4206,$C50,'MOVIMENTI 2026'!$L$7:$L$4206)+SUMIF('SALDI AL 31.12.2025'!$A$6:$A$505,$C50,'SALDI AL 31.12.2025'!$F$6:$F$505))</f>
        <v/>
      </c>
      <c r="BE50" t="str">
        <f t="shared" si="14"/>
        <v/>
      </c>
      <c r="BF50" t="str">
        <f t="shared" si="15"/>
        <v/>
      </c>
      <c r="BG50" t="str">
        <f t="shared" si="16"/>
        <v/>
      </c>
      <c r="BH50" t="str">
        <f>IFERROR(IF(OR($C50="",ANAGRAFICA!$I47="",ANAGRAFICA!$J47="",ANAGRAFICA!$J47&lt;=ANAGRAFICA!$I47,$Y50=""),"",IF(OR($I50="Finito ritenute non previste",$I50="Finito con sblocco ritenute",$I50="Finito senza sblocco ritenute"),1,MAX(0,MIN(1,($Y50-ANAGRAFICA!$I47)/(ANAGRAFICA!$J47-ANAGRAFICA!$I47))))),"")</f>
        <v/>
      </c>
      <c r="BI50" t="str">
        <f t="shared" si="17"/>
        <v/>
      </c>
      <c r="BJ50" t="str">
        <f>IFERROR(IF($C50="","",'BUDGET COMMESSA'!$D47),"")</f>
        <v/>
      </c>
      <c r="BK50" t="str">
        <f>IF($C50="","",SUMIF('MOVIMENTI 2026'!$B$7:$B$4206,$C50,'MOVIMENTI 2026'!$N$7:$N$4206)+SUMIF('SALDI AL 31.12.2025'!$A$6:$A$505,$C50,'SALDI AL 31.12.2025'!$H$6:$H$505))</f>
        <v/>
      </c>
      <c r="BL50" t="str">
        <f t="shared" si="18"/>
        <v/>
      </c>
      <c r="BM50" t="str">
        <f t="shared" si="19"/>
        <v/>
      </c>
      <c r="BN50" t="str">
        <f t="shared" si="20"/>
        <v/>
      </c>
      <c r="BO50" t="str">
        <f>IFERROR(IF($C50="","",'BUDGET COMMESSA'!$G47),"")</f>
        <v/>
      </c>
      <c r="BP50" t="str">
        <f>IF($C50="","",SUMIF('COSTI DIRETTI'!$C$6:$C$505,$C50,'COSTI DIRETTI'!$H$6:$H$505)+SUMIF('SALDI AL 31.12.2025'!$A$6:$A$505,$C50,'SALDI AL 31.12.2025'!$I$6:$I$505))</f>
        <v/>
      </c>
      <c r="BQ50" t="str">
        <f t="shared" si="21"/>
        <v/>
      </c>
      <c r="BR50" t="str">
        <f t="shared" si="22"/>
        <v/>
      </c>
      <c r="BS50" t="str">
        <f>IF($C50="","",$BK50*PARAMETRI!$B$4+$BP50)</f>
        <v/>
      </c>
      <c r="BT50">
        <f t="shared" si="23"/>
        <v>0</v>
      </c>
      <c r="BU50">
        <f t="shared" si="24"/>
        <v>0</v>
      </c>
      <c r="BV50" t="str">
        <f>IF($C50="","",SUMIF('MOVIMENTI 2026'!$B$7:$B$4206,$C50,'MOVIMENTI 2026'!$P$7:$P$4206)+SUMIF('SALDI AL 31.12.2025'!$A$6:$A$505,$C50,'SALDI AL 31.12.2025'!$G$6:$G$505))</f>
        <v/>
      </c>
    </row>
    <row r="51" spans="1:74" ht="16" x14ac:dyDescent="0.15">
      <c r="A51" s="17" t="str">
        <f>IFERROR(IF($C51="","",IF(OR($BF51&gt;0,$V51&gt;$J51,AND(ISNUMBER($Q51),$Q51&gt;0),AND($BI51&lt;&gt;"",$BI51&lt;-PARAMETRI!$B$6),AND($BM51&lt;&gt;"",$BM51&gt;=1),AND($BN51&lt;&gt;"",$BN51&gt;PARAMETRI!$B$8),AND(ISNUMBER($BR51),$BR51&gt;0)),"CRITICO",IF(OR($AZ51="",LEFT($C51,5)="TEMP",$BJ51="",$BO51="",ANAGRAFICA!$I48="",ANAGRAFICA!$J48="",$Y51="",AND(OR($I51="Finito ritenute non previste",$I51="Finito con sblocco ritenute",$I51="Finito senza sblocco ritenute"),ANAGRAFICA!$K48=""),OR(AND(ANAGRAFICA!$T48&lt;&gt;"",ANAGRAFICA!$J48&lt;&gt;ANAGRAFICA!$T48,OR(ANAGRAFICA!$R48="",ANAGRAFICA!$R48="Nessuna variazione")),AND(ANAGRAFICA!$J48="",ANAGRAFICA!$R48&lt;&gt;"",ANAGRAFICA!$R48&lt;&gt;"Nessuna variazione")),AND($BI51&lt;&gt;"",$BI51&lt;-PARAMETRI!$B$5),AND($BN51&lt;&gt;"",$BN51&gt;PARAMETRI!$B$7),AND($W51&gt;0,$M51&gt;$W51*PARAMETRI!$B$9),AND($O51&gt;0,OR($I51="Finito ritenute non previste",$I51="Finito con sblocco ritenute",$I51="Finito senza sblocco ritenute")),AND($BA51&gt;0,$BO51&gt;0,$BP51=0),AND(OR($I51="Finito ritenute non previste",$I51="Finito con sblocco ritenute",$I51="Finito senza sblocco ritenute"),$W51&gt;0,$N51&gt;$W51*PARAMETRI!$B$9),$V51&gt;0),"ATTENZIONE","REGOLARE"))),"ATTENZIONE")</f>
        <v/>
      </c>
      <c r="B51" s="17" t="str">
        <f>IFERROR(IF($C51="","",IF($BF51&gt;0,"FATTURATO OLTRE VALORE RECUPERABILE; ","")&amp;IF($V51&gt;$J51,"PERDITE ACCETTATE OLTRE CONTRATTO; ","")&amp;IF($V51&gt;0,"PERDITA SAL ACCETTATA (€ "&amp;TEXT($V51,"#,##0.00")&amp;"); ","")&amp;IF(AND(ISNUMBER($Q51),$Q51&gt;0),"RITARDO PRODUTTIVO ("&amp;TEXT($Q51,"0")&amp;" GG); ","")&amp;IF(AND($BI51&lt;&gt;"",$BI51&lt;-PARAMETRI!$B$5),"AVANZAMENTO PIÙ LENTO DEL TEMPO; ","")&amp;IF(AND($BM51&lt;&gt;"",$BM51&gt;1),"ORE OLTRE BUDGET; ","")&amp;IF(AND($BM51&lt;&gt;"",$BM51=1),"ORE PREVENTIVATE ESAURITE; ","")&amp;IF(AND($BN51&lt;&gt;"",$BN51&gt;PARAMETRI!$B$7),"CONSUMO ORE SUPERIORE ALL'AVANZAMENTO; ","")&amp;IF(AND(ISNUMBER($BR51),$BR51&gt;0),"COSTI DIRETTI OLTRE BUDGET; ","")&amp;IF(AND($W51&gt;0,$M51&gt;$W51*PARAMETRI!$B$9),"SAL MATURATO NON FATTURATO; ","")&amp;IF(AND($O51&gt;0,OR($I51="Finito ritenute non previste",$I51="Finito con sblocco ritenute",$I51="Finito senza sblocco ritenute")),"RITENUTE DA SBLOCCARE; ","")&amp;IF(AND($BA51&gt;0,$BO51&gt;0,$BP51=0),"COSTI DIRETTI NON REGISTRATI; ","")&amp;IF(AND(OR($I51="Finito ritenute non previste",$I51="Finito con sblocco ritenute",$I51="Finito senza sblocco ritenute"),$W51&gt;0,$N51&gt;$W51*PARAMETRI!$B$9),"CANTIERE FINITO CON RESIDUO LAVORI; ","")&amp;IF(AND(OR($I51="Finito ritenute non previste",$I51="Finito con sblocco ritenute",$I51="Finito senza sblocco ritenute"),ANAGRAFICA!$K48=""),"DATA FINE EFFETTIVA MANCANTE; ","")&amp;IF(OR(AND(ANAGRAFICA!$T48&lt;&gt;"",ANAGRAFICA!$J48&lt;&gt;ANAGRAFICA!$T48,OR(ANAGRAFICA!$R48="",ANAGRAFICA!$R48="Nessuna variazione")),AND(ANAGRAFICA!$J48="",ANAGRAFICA!$R48&lt;&gt;"",ANAGRAFICA!$R48&lt;&gt;"Nessuna variazione")),"GESTIONE DATA FINE INCOMPLETA; ","")&amp;IF($Y51="","AGGIORNATO AL MANCANTE; ","")&amp;IF(OR($AZ51="",$BJ51="",$BO51="",ANAGRAFICA!$I48="",ANAGRAFICA!$J48=""),"DATI PREVISIONALI INCOMPLETI; ","")&amp;IF(LEFT($C51,5)="TEMP","CODICE COMMESSA TEMPORANEO; ","")),"DATI INCOMPLETI; ")</f>
        <v/>
      </c>
      <c r="C51" s="17" t="str">
        <f>IF(ANAGRAFICA!$B48="","",ANAGRAFICA!$B48)</f>
        <v/>
      </c>
      <c r="D51" s="17" t="str">
        <f>IF($C51="","",ANAGRAFICA!$C48)</f>
        <v/>
      </c>
      <c r="E51" s="17" t="str">
        <f>IF($C51="","",ANAGRAFICA!$D48)</f>
        <v/>
      </c>
      <c r="F51" s="17" t="str">
        <f>IF($C51="","",ANAGRAFICA!$E48)</f>
        <v/>
      </c>
      <c r="G51" s="17" t="str">
        <f>IF($C51="","",ANAGRAFICA!$F48)</f>
        <v/>
      </c>
      <c r="H51" s="17" t="str">
        <f>IF($C51="","",ANAGRAFICA!$G48)</f>
        <v/>
      </c>
      <c r="I51" s="17" t="str">
        <f>IF($C51="","",ANAGRAFICA!$L48)</f>
        <v/>
      </c>
      <c r="J51" s="16" t="str">
        <f t="shared" si="1"/>
        <v/>
      </c>
      <c r="K51" s="16" t="str">
        <f t="shared" si="2"/>
        <v/>
      </c>
      <c r="L51" s="16" t="str">
        <f t="shared" si="3"/>
        <v/>
      </c>
      <c r="M51" s="16" t="str">
        <f t="shared" si="4"/>
        <v/>
      </c>
      <c r="N51" s="16" t="str">
        <f t="shared" si="5"/>
        <v/>
      </c>
      <c r="O51" s="16" t="str">
        <f t="shared" si="6"/>
        <v/>
      </c>
      <c r="P51" s="17" t="str">
        <f t="shared" si="7"/>
        <v/>
      </c>
      <c r="Q51" s="31" t="str">
        <f>IF(OR($C51="",'BUDGET COMMESSA'!$D48="",'BUDGET COMMESSA'!$D48&lt;=0,ANAGRAFICA!$J48=""),"",IF(OR($I51="Finito ritenute non previste",$I51="Finito con sblocco ritenute",$I51="Finito senza sblocco ritenute"),0,IF(AND($BK51&gt;=$BJ51,ANAGRAFICA!$R48="Ritardo produttivo FIDA"),IF(ANAGRAFICA!$T48&lt;&gt;"",MAX(0,ANAGRAFICA!$J48-ANAGRAFICA!$T48),MAX(0,$Y51-ANAGRAFICA!$J48)),0)))</f>
        <v/>
      </c>
      <c r="R51" s="17" t="str">
        <f t="shared" si="8"/>
        <v/>
      </c>
      <c r="S51" s="17" t="str">
        <f t="shared" si="9"/>
        <v/>
      </c>
      <c r="T51" s="17" t="str">
        <f t="shared" si="10"/>
        <v/>
      </c>
      <c r="U51" s="16" t="str">
        <f t="shared" si="11"/>
        <v/>
      </c>
      <c r="V51" s="16" t="str">
        <f t="shared" si="12"/>
        <v/>
      </c>
      <c r="W51" s="16" t="str">
        <f t="shared" si="13"/>
        <v/>
      </c>
      <c r="X51" s="40"/>
      <c r="Y51" s="14"/>
      <c r="AZ51" t="str">
        <f>IF($C51="","",ANAGRAFICA!$P48)</f>
        <v/>
      </c>
      <c r="BA51" t="str">
        <f>IF($C51="","",SUMIF('MOVIMENTI 2026'!$B$7:$B$4206,$C51,'MOVIMENTI 2026'!$I$7:$I$4206)+SUMIF('SALDI AL 31.12.2025'!$A$6:$A$505,$C51,'SALDI AL 31.12.2025'!$C$6:$C$505))</f>
        <v/>
      </c>
      <c r="BB51" t="str">
        <f>IF($C51="","",SUMIF('MOVIMENTI 2026'!$B$7:$B$4206,$C51,'MOVIMENTI 2026'!$J$7:$J$4206)+SUMIF('SALDI AL 31.12.2025'!$A$6:$A$505,$C51,'SALDI AL 31.12.2025'!$D$6:$D$505))</f>
        <v/>
      </c>
      <c r="BC51" t="str">
        <f>IF($C51="","",SUMIF('MOVIMENTI 2026'!$B$7:$B$4206,$C51,'MOVIMENTI 2026'!$K$7:$K$4206)+SUMIF('SALDI AL 31.12.2025'!$A$6:$A$505,$C51,'SALDI AL 31.12.2025'!$E$6:$E$505))</f>
        <v/>
      </c>
      <c r="BD51" t="str">
        <f>IF($C51="","",SUMIF('MOVIMENTI 2026'!$B$7:$B$4206,$C51,'MOVIMENTI 2026'!$L$7:$L$4206)+SUMIF('SALDI AL 31.12.2025'!$A$6:$A$505,$C51,'SALDI AL 31.12.2025'!$F$6:$F$505))</f>
        <v/>
      </c>
      <c r="BE51" t="str">
        <f t="shared" si="14"/>
        <v/>
      </c>
      <c r="BF51" t="str">
        <f t="shared" si="15"/>
        <v/>
      </c>
      <c r="BG51" t="str">
        <f t="shared" si="16"/>
        <v/>
      </c>
      <c r="BH51" t="str">
        <f>IFERROR(IF(OR($C51="",ANAGRAFICA!$I48="",ANAGRAFICA!$J48="",ANAGRAFICA!$J48&lt;=ANAGRAFICA!$I48,$Y51=""),"",IF(OR($I51="Finito ritenute non previste",$I51="Finito con sblocco ritenute",$I51="Finito senza sblocco ritenute"),1,MAX(0,MIN(1,($Y51-ANAGRAFICA!$I48)/(ANAGRAFICA!$J48-ANAGRAFICA!$I48))))),"")</f>
        <v/>
      </c>
      <c r="BI51" t="str">
        <f t="shared" si="17"/>
        <v/>
      </c>
      <c r="BJ51" t="str">
        <f>IFERROR(IF($C51="","",'BUDGET COMMESSA'!$D48),"")</f>
        <v/>
      </c>
      <c r="BK51" t="str">
        <f>IF($C51="","",SUMIF('MOVIMENTI 2026'!$B$7:$B$4206,$C51,'MOVIMENTI 2026'!$N$7:$N$4206)+SUMIF('SALDI AL 31.12.2025'!$A$6:$A$505,$C51,'SALDI AL 31.12.2025'!$H$6:$H$505))</f>
        <v/>
      </c>
      <c r="BL51" t="str">
        <f t="shared" si="18"/>
        <v/>
      </c>
      <c r="BM51" t="str">
        <f t="shared" si="19"/>
        <v/>
      </c>
      <c r="BN51" t="str">
        <f t="shared" si="20"/>
        <v/>
      </c>
      <c r="BO51" t="str">
        <f>IFERROR(IF($C51="","",'BUDGET COMMESSA'!$G48),"")</f>
        <v/>
      </c>
      <c r="BP51" t="str">
        <f>IF($C51="","",SUMIF('COSTI DIRETTI'!$C$6:$C$505,$C51,'COSTI DIRETTI'!$H$6:$H$505)+SUMIF('SALDI AL 31.12.2025'!$A$6:$A$505,$C51,'SALDI AL 31.12.2025'!$I$6:$I$505))</f>
        <v/>
      </c>
      <c r="BQ51" t="str">
        <f t="shared" si="21"/>
        <v/>
      </c>
      <c r="BR51" t="str">
        <f t="shared" si="22"/>
        <v/>
      </c>
      <c r="BS51" t="str">
        <f>IF($C51="","",$BK51*PARAMETRI!$B$4+$BP51)</f>
        <v/>
      </c>
      <c r="BT51">
        <f t="shared" si="23"/>
        <v>0</v>
      </c>
      <c r="BU51">
        <f t="shared" si="24"/>
        <v>0</v>
      </c>
      <c r="BV51" t="str">
        <f>IF($C51="","",SUMIF('MOVIMENTI 2026'!$B$7:$B$4206,$C51,'MOVIMENTI 2026'!$P$7:$P$4206)+SUMIF('SALDI AL 31.12.2025'!$A$6:$A$505,$C51,'SALDI AL 31.12.2025'!$G$6:$G$505))</f>
        <v/>
      </c>
    </row>
    <row r="52" spans="1:74" ht="16" x14ac:dyDescent="0.15">
      <c r="A52" s="17" t="str">
        <f>IFERROR(IF($C52="","",IF(OR($BF52&gt;0,$V52&gt;$J52,AND(ISNUMBER($Q52),$Q52&gt;0),AND($BI52&lt;&gt;"",$BI52&lt;-PARAMETRI!$B$6),AND($BM52&lt;&gt;"",$BM52&gt;=1),AND($BN52&lt;&gt;"",$BN52&gt;PARAMETRI!$B$8),AND(ISNUMBER($BR52),$BR52&gt;0)),"CRITICO",IF(OR($AZ52="",LEFT($C52,5)="TEMP",$BJ52="",$BO52="",ANAGRAFICA!$I49="",ANAGRAFICA!$J49="",$Y52="",AND(OR($I52="Finito ritenute non previste",$I52="Finito con sblocco ritenute",$I52="Finito senza sblocco ritenute"),ANAGRAFICA!$K49=""),OR(AND(ANAGRAFICA!$T49&lt;&gt;"",ANAGRAFICA!$J49&lt;&gt;ANAGRAFICA!$T49,OR(ANAGRAFICA!$R49="",ANAGRAFICA!$R49="Nessuna variazione")),AND(ANAGRAFICA!$J49="",ANAGRAFICA!$R49&lt;&gt;"",ANAGRAFICA!$R49&lt;&gt;"Nessuna variazione")),AND($BI52&lt;&gt;"",$BI52&lt;-PARAMETRI!$B$5),AND($BN52&lt;&gt;"",$BN52&gt;PARAMETRI!$B$7),AND($W52&gt;0,$M52&gt;$W52*PARAMETRI!$B$9),AND($O52&gt;0,OR($I52="Finito ritenute non previste",$I52="Finito con sblocco ritenute",$I52="Finito senza sblocco ritenute")),AND($BA52&gt;0,$BO52&gt;0,$BP52=0),AND(OR($I52="Finito ritenute non previste",$I52="Finito con sblocco ritenute",$I52="Finito senza sblocco ritenute"),$W52&gt;0,$N52&gt;$W52*PARAMETRI!$B$9),$V52&gt;0),"ATTENZIONE","REGOLARE"))),"ATTENZIONE")</f>
        <v/>
      </c>
      <c r="B52" s="17" t="str">
        <f>IFERROR(IF($C52="","",IF($BF52&gt;0,"FATTURATO OLTRE VALORE RECUPERABILE; ","")&amp;IF($V52&gt;$J52,"PERDITE ACCETTATE OLTRE CONTRATTO; ","")&amp;IF($V52&gt;0,"PERDITA SAL ACCETTATA (€ "&amp;TEXT($V52,"#,##0.00")&amp;"); ","")&amp;IF(AND(ISNUMBER($Q52),$Q52&gt;0),"RITARDO PRODUTTIVO ("&amp;TEXT($Q52,"0")&amp;" GG); ","")&amp;IF(AND($BI52&lt;&gt;"",$BI52&lt;-PARAMETRI!$B$5),"AVANZAMENTO PIÙ LENTO DEL TEMPO; ","")&amp;IF(AND($BM52&lt;&gt;"",$BM52&gt;1),"ORE OLTRE BUDGET; ","")&amp;IF(AND($BM52&lt;&gt;"",$BM52=1),"ORE PREVENTIVATE ESAURITE; ","")&amp;IF(AND($BN52&lt;&gt;"",$BN52&gt;PARAMETRI!$B$7),"CONSUMO ORE SUPERIORE ALL'AVANZAMENTO; ","")&amp;IF(AND(ISNUMBER($BR52),$BR52&gt;0),"COSTI DIRETTI OLTRE BUDGET; ","")&amp;IF(AND($W52&gt;0,$M52&gt;$W52*PARAMETRI!$B$9),"SAL MATURATO NON FATTURATO; ","")&amp;IF(AND($O52&gt;0,OR($I52="Finito ritenute non previste",$I52="Finito con sblocco ritenute",$I52="Finito senza sblocco ritenute")),"RITENUTE DA SBLOCCARE; ","")&amp;IF(AND($BA52&gt;0,$BO52&gt;0,$BP52=0),"COSTI DIRETTI NON REGISTRATI; ","")&amp;IF(AND(OR($I52="Finito ritenute non previste",$I52="Finito con sblocco ritenute",$I52="Finito senza sblocco ritenute"),$W52&gt;0,$N52&gt;$W52*PARAMETRI!$B$9),"CANTIERE FINITO CON RESIDUO LAVORI; ","")&amp;IF(AND(OR($I52="Finito ritenute non previste",$I52="Finito con sblocco ritenute",$I52="Finito senza sblocco ritenute"),ANAGRAFICA!$K49=""),"DATA FINE EFFETTIVA MANCANTE; ","")&amp;IF(OR(AND(ANAGRAFICA!$T49&lt;&gt;"",ANAGRAFICA!$J49&lt;&gt;ANAGRAFICA!$T49,OR(ANAGRAFICA!$R49="",ANAGRAFICA!$R49="Nessuna variazione")),AND(ANAGRAFICA!$J49="",ANAGRAFICA!$R49&lt;&gt;"",ANAGRAFICA!$R49&lt;&gt;"Nessuna variazione")),"GESTIONE DATA FINE INCOMPLETA; ","")&amp;IF($Y52="","AGGIORNATO AL MANCANTE; ","")&amp;IF(OR($AZ52="",$BJ52="",$BO52="",ANAGRAFICA!$I49="",ANAGRAFICA!$J49=""),"DATI PREVISIONALI INCOMPLETI; ","")&amp;IF(LEFT($C52,5)="TEMP","CODICE COMMESSA TEMPORANEO; ","")),"DATI INCOMPLETI; ")</f>
        <v/>
      </c>
      <c r="C52" s="17" t="str">
        <f>IF(ANAGRAFICA!$B49="","",ANAGRAFICA!$B49)</f>
        <v/>
      </c>
      <c r="D52" s="17" t="str">
        <f>IF($C52="","",ANAGRAFICA!$C49)</f>
        <v/>
      </c>
      <c r="E52" s="17" t="str">
        <f>IF($C52="","",ANAGRAFICA!$D49)</f>
        <v/>
      </c>
      <c r="F52" s="17" t="str">
        <f>IF($C52="","",ANAGRAFICA!$E49)</f>
        <v/>
      </c>
      <c r="G52" s="17" t="str">
        <f>IF($C52="","",ANAGRAFICA!$F49)</f>
        <v/>
      </c>
      <c r="H52" s="17" t="str">
        <f>IF($C52="","",ANAGRAFICA!$G49)</f>
        <v/>
      </c>
      <c r="I52" s="17" t="str">
        <f>IF($C52="","",ANAGRAFICA!$L49)</f>
        <v/>
      </c>
      <c r="J52" s="16" t="str">
        <f t="shared" si="1"/>
        <v/>
      </c>
      <c r="K52" s="16" t="str">
        <f t="shared" si="2"/>
        <v/>
      </c>
      <c r="L52" s="16" t="str">
        <f t="shared" si="3"/>
        <v/>
      </c>
      <c r="M52" s="16" t="str">
        <f t="shared" si="4"/>
        <v/>
      </c>
      <c r="N52" s="16" t="str">
        <f t="shared" si="5"/>
        <v/>
      </c>
      <c r="O52" s="16" t="str">
        <f t="shared" si="6"/>
        <v/>
      </c>
      <c r="P52" s="17" t="str">
        <f t="shared" si="7"/>
        <v/>
      </c>
      <c r="Q52" s="31" t="str">
        <f>IF(OR($C52="",'BUDGET COMMESSA'!$D49="",'BUDGET COMMESSA'!$D49&lt;=0,ANAGRAFICA!$J49=""),"",IF(OR($I52="Finito ritenute non previste",$I52="Finito con sblocco ritenute",$I52="Finito senza sblocco ritenute"),0,IF(AND($BK52&gt;=$BJ52,ANAGRAFICA!$R49="Ritardo produttivo FIDA"),IF(ANAGRAFICA!$T49&lt;&gt;"",MAX(0,ANAGRAFICA!$J49-ANAGRAFICA!$T49),MAX(0,$Y52-ANAGRAFICA!$J49)),0)))</f>
        <v/>
      </c>
      <c r="R52" s="17" t="str">
        <f t="shared" si="8"/>
        <v/>
      </c>
      <c r="S52" s="17" t="str">
        <f t="shared" si="9"/>
        <v/>
      </c>
      <c r="T52" s="17" t="str">
        <f t="shared" si="10"/>
        <v/>
      </c>
      <c r="U52" s="16" t="str">
        <f t="shared" si="11"/>
        <v/>
      </c>
      <c r="V52" s="16" t="str">
        <f t="shared" si="12"/>
        <v/>
      </c>
      <c r="W52" s="16" t="str">
        <f t="shared" si="13"/>
        <v/>
      </c>
      <c r="X52" s="40"/>
      <c r="Y52" s="14"/>
      <c r="AZ52" t="str">
        <f>IF($C52="","",ANAGRAFICA!$P49)</f>
        <v/>
      </c>
      <c r="BA52" t="str">
        <f>IF($C52="","",SUMIF('MOVIMENTI 2026'!$B$7:$B$4206,$C52,'MOVIMENTI 2026'!$I$7:$I$4206)+SUMIF('SALDI AL 31.12.2025'!$A$6:$A$505,$C52,'SALDI AL 31.12.2025'!$C$6:$C$505))</f>
        <v/>
      </c>
      <c r="BB52" t="str">
        <f>IF($C52="","",SUMIF('MOVIMENTI 2026'!$B$7:$B$4206,$C52,'MOVIMENTI 2026'!$J$7:$J$4206)+SUMIF('SALDI AL 31.12.2025'!$A$6:$A$505,$C52,'SALDI AL 31.12.2025'!$D$6:$D$505))</f>
        <v/>
      </c>
      <c r="BC52" t="str">
        <f>IF($C52="","",SUMIF('MOVIMENTI 2026'!$B$7:$B$4206,$C52,'MOVIMENTI 2026'!$K$7:$K$4206)+SUMIF('SALDI AL 31.12.2025'!$A$6:$A$505,$C52,'SALDI AL 31.12.2025'!$E$6:$E$505))</f>
        <v/>
      </c>
      <c r="BD52" t="str">
        <f>IF($C52="","",SUMIF('MOVIMENTI 2026'!$B$7:$B$4206,$C52,'MOVIMENTI 2026'!$L$7:$L$4206)+SUMIF('SALDI AL 31.12.2025'!$A$6:$A$505,$C52,'SALDI AL 31.12.2025'!$F$6:$F$505))</f>
        <v/>
      </c>
      <c r="BE52" t="str">
        <f t="shared" si="14"/>
        <v/>
      </c>
      <c r="BF52" t="str">
        <f t="shared" si="15"/>
        <v/>
      </c>
      <c r="BG52" t="str">
        <f t="shared" si="16"/>
        <v/>
      </c>
      <c r="BH52" t="str">
        <f>IFERROR(IF(OR($C52="",ANAGRAFICA!$I49="",ANAGRAFICA!$J49="",ANAGRAFICA!$J49&lt;=ANAGRAFICA!$I49,$Y52=""),"",IF(OR($I52="Finito ritenute non previste",$I52="Finito con sblocco ritenute",$I52="Finito senza sblocco ritenute"),1,MAX(0,MIN(1,($Y52-ANAGRAFICA!$I49)/(ANAGRAFICA!$J49-ANAGRAFICA!$I49))))),"")</f>
        <v/>
      </c>
      <c r="BI52" t="str">
        <f t="shared" si="17"/>
        <v/>
      </c>
      <c r="BJ52" t="str">
        <f>IFERROR(IF($C52="","",'BUDGET COMMESSA'!$D49),"")</f>
        <v/>
      </c>
      <c r="BK52" t="str">
        <f>IF($C52="","",SUMIF('MOVIMENTI 2026'!$B$7:$B$4206,$C52,'MOVIMENTI 2026'!$N$7:$N$4206)+SUMIF('SALDI AL 31.12.2025'!$A$6:$A$505,$C52,'SALDI AL 31.12.2025'!$H$6:$H$505))</f>
        <v/>
      </c>
      <c r="BL52" t="str">
        <f t="shared" si="18"/>
        <v/>
      </c>
      <c r="BM52" t="str">
        <f t="shared" si="19"/>
        <v/>
      </c>
      <c r="BN52" t="str">
        <f t="shared" si="20"/>
        <v/>
      </c>
      <c r="BO52" t="str">
        <f>IFERROR(IF($C52="","",'BUDGET COMMESSA'!$G49),"")</f>
        <v/>
      </c>
      <c r="BP52" t="str">
        <f>IF($C52="","",SUMIF('COSTI DIRETTI'!$C$6:$C$505,$C52,'COSTI DIRETTI'!$H$6:$H$505)+SUMIF('SALDI AL 31.12.2025'!$A$6:$A$505,$C52,'SALDI AL 31.12.2025'!$I$6:$I$505))</f>
        <v/>
      </c>
      <c r="BQ52" t="str">
        <f t="shared" si="21"/>
        <v/>
      </c>
      <c r="BR52" t="str">
        <f t="shared" si="22"/>
        <v/>
      </c>
      <c r="BS52" t="str">
        <f>IF($C52="","",$BK52*PARAMETRI!$B$4+$BP52)</f>
        <v/>
      </c>
      <c r="BT52">
        <f t="shared" si="23"/>
        <v>0</v>
      </c>
      <c r="BU52">
        <f t="shared" si="24"/>
        <v>0</v>
      </c>
      <c r="BV52" t="str">
        <f>IF($C52="","",SUMIF('MOVIMENTI 2026'!$B$7:$B$4206,$C52,'MOVIMENTI 2026'!$P$7:$P$4206)+SUMIF('SALDI AL 31.12.2025'!$A$6:$A$505,$C52,'SALDI AL 31.12.2025'!$G$6:$G$505))</f>
        <v/>
      </c>
    </row>
    <row r="53" spans="1:74" ht="16" x14ac:dyDescent="0.15">
      <c r="A53" s="17" t="str">
        <f>IFERROR(IF($C53="","",IF(OR($BF53&gt;0,$V53&gt;$J53,AND(ISNUMBER($Q53),$Q53&gt;0),AND($BI53&lt;&gt;"",$BI53&lt;-PARAMETRI!$B$6),AND($BM53&lt;&gt;"",$BM53&gt;=1),AND($BN53&lt;&gt;"",$BN53&gt;PARAMETRI!$B$8),AND(ISNUMBER($BR53),$BR53&gt;0)),"CRITICO",IF(OR($AZ53="",LEFT($C53,5)="TEMP",$BJ53="",$BO53="",ANAGRAFICA!$I50="",ANAGRAFICA!$J50="",$Y53="",AND(OR($I53="Finito ritenute non previste",$I53="Finito con sblocco ritenute",$I53="Finito senza sblocco ritenute"),ANAGRAFICA!$K50=""),OR(AND(ANAGRAFICA!$T50&lt;&gt;"",ANAGRAFICA!$J50&lt;&gt;ANAGRAFICA!$T50,OR(ANAGRAFICA!$R50="",ANAGRAFICA!$R50="Nessuna variazione")),AND(ANAGRAFICA!$J50="",ANAGRAFICA!$R50&lt;&gt;"",ANAGRAFICA!$R50&lt;&gt;"Nessuna variazione")),AND($BI53&lt;&gt;"",$BI53&lt;-PARAMETRI!$B$5),AND($BN53&lt;&gt;"",$BN53&gt;PARAMETRI!$B$7),AND($W53&gt;0,$M53&gt;$W53*PARAMETRI!$B$9),AND($O53&gt;0,OR($I53="Finito ritenute non previste",$I53="Finito con sblocco ritenute",$I53="Finito senza sblocco ritenute")),AND($BA53&gt;0,$BO53&gt;0,$BP53=0),AND(OR($I53="Finito ritenute non previste",$I53="Finito con sblocco ritenute",$I53="Finito senza sblocco ritenute"),$W53&gt;0,$N53&gt;$W53*PARAMETRI!$B$9),$V53&gt;0),"ATTENZIONE","REGOLARE"))),"ATTENZIONE")</f>
        <v/>
      </c>
      <c r="B53" s="17" t="str">
        <f>IFERROR(IF($C53="","",IF($BF53&gt;0,"FATTURATO OLTRE VALORE RECUPERABILE; ","")&amp;IF($V53&gt;$J53,"PERDITE ACCETTATE OLTRE CONTRATTO; ","")&amp;IF($V53&gt;0,"PERDITA SAL ACCETTATA (€ "&amp;TEXT($V53,"#,##0.00")&amp;"); ","")&amp;IF(AND(ISNUMBER($Q53),$Q53&gt;0),"RITARDO PRODUTTIVO ("&amp;TEXT($Q53,"0")&amp;" GG); ","")&amp;IF(AND($BI53&lt;&gt;"",$BI53&lt;-PARAMETRI!$B$5),"AVANZAMENTO PIÙ LENTO DEL TEMPO; ","")&amp;IF(AND($BM53&lt;&gt;"",$BM53&gt;1),"ORE OLTRE BUDGET; ","")&amp;IF(AND($BM53&lt;&gt;"",$BM53=1),"ORE PREVENTIVATE ESAURITE; ","")&amp;IF(AND($BN53&lt;&gt;"",$BN53&gt;PARAMETRI!$B$7),"CONSUMO ORE SUPERIORE ALL'AVANZAMENTO; ","")&amp;IF(AND(ISNUMBER($BR53),$BR53&gt;0),"COSTI DIRETTI OLTRE BUDGET; ","")&amp;IF(AND($W53&gt;0,$M53&gt;$W53*PARAMETRI!$B$9),"SAL MATURATO NON FATTURATO; ","")&amp;IF(AND($O53&gt;0,OR($I53="Finito ritenute non previste",$I53="Finito con sblocco ritenute",$I53="Finito senza sblocco ritenute")),"RITENUTE DA SBLOCCARE; ","")&amp;IF(AND($BA53&gt;0,$BO53&gt;0,$BP53=0),"COSTI DIRETTI NON REGISTRATI; ","")&amp;IF(AND(OR($I53="Finito ritenute non previste",$I53="Finito con sblocco ritenute",$I53="Finito senza sblocco ritenute"),$W53&gt;0,$N53&gt;$W53*PARAMETRI!$B$9),"CANTIERE FINITO CON RESIDUO LAVORI; ","")&amp;IF(AND(OR($I53="Finito ritenute non previste",$I53="Finito con sblocco ritenute",$I53="Finito senza sblocco ritenute"),ANAGRAFICA!$K50=""),"DATA FINE EFFETTIVA MANCANTE; ","")&amp;IF(OR(AND(ANAGRAFICA!$T50&lt;&gt;"",ANAGRAFICA!$J50&lt;&gt;ANAGRAFICA!$T50,OR(ANAGRAFICA!$R50="",ANAGRAFICA!$R50="Nessuna variazione")),AND(ANAGRAFICA!$J50="",ANAGRAFICA!$R50&lt;&gt;"",ANAGRAFICA!$R50&lt;&gt;"Nessuna variazione")),"GESTIONE DATA FINE INCOMPLETA; ","")&amp;IF($Y53="","AGGIORNATO AL MANCANTE; ","")&amp;IF(OR($AZ53="",$BJ53="",$BO53="",ANAGRAFICA!$I50="",ANAGRAFICA!$J50=""),"DATI PREVISIONALI INCOMPLETI; ","")&amp;IF(LEFT($C53,5)="TEMP","CODICE COMMESSA TEMPORANEO; ","")),"DATI INCOMPLETI; ")</f>
        <v/>
      </c>
      <c r="C53" s="17" t="str">
        <f>IF(ANAGRAFICA!$B50="","",ANAGRAFICA!$B50)</f>
        <v/>
      </c>
      <c r="D53" s="17" t="str">
        <f>IF($C53="","",ANAGRAFICA!$C50)</f>
        <v/>
      </c>
      <c r="E53" s="17" t="str">
        <f>IF($C53="","",ANAGRAFICA!$D50)</f>
        <v/>
      </c>
      <c r="F53" s="17" t="str">
        <f>IF($C53="","",ANAGRAFICA!$E50)</f>
        <v/>
      </c>
      <c r="G53" s="17" t="str">
        <f>IF($C53="","",ANAGRAFICA!$F50)</f>
        <v/>
      </c>
      <c r="H53" s="17" t="str">
        <f>IF($C53="","",ANAGRAFICA!$G50)</f>
        <v/>
      </c>
      <c r="I53" s="17" t="str">
        <f>IF($C53="","",ANAGRAFICA!$L50)</f>
        <v/>
      </c>
      <c r="J53" s="16" t="str">
        <f t="shared" si="1"/>
        <v/>
      </c>
      <c r="K53" s="16" t="str">
        <f t="shared" si="2"/>
        <v/>
      </c>
      <c r="L53" s="16" t="str">
        <f t="shared" si="3"/>
        <v/>
      </c>
      <c r="M53" s="16" t="str">
        <f t="shared" si="4"/>
        <v/>
      </c>
      <c r="N53" s="16" t="str">
        <f t="shared" si="5"/>
        <v/>
      </c>
      <c r="O53" s="16" t="str">
        <f t="shared" si="6"/>
        <v/>
      </c>
      <c r="P53" s="17" t="str">
        <f t="shared" si="7"/>
        <v/>
      </c>
      <c r="Q53" s="31" t="str">
        <f>IF(OR($C53="",'BUDGET COMMESSA'!$D50="",'BUDGET COMMESSA'!$D50&lt;=0,ANAGRAFICA!$J50=""),"",IF(OR($I53="Finito ritenute non previste",$I53="Finito con sblocco ritenute",$I53="Finito senza sblocco ritenute"),0,IF(AND($BK53&gt;=$BJ53,ANAGRAFICA!$R50="Ritardo produttivo FIDA"),IF(ANAGRAFICA!$T50&lt;&gt;"",MAX(0,ANAGRAFICA!$J50-ANAGRAFICA!$T50),MAX(0,$Y53-ANAGRAFICA!$J50)),0)))</f>
        <v/>
      </c>
      <c r="R53" s="17" t="str">
        <f t="shared" si="8"/>
        <v/>
      </c>
      <c r="S53" s="17" t="str">
        <f t="shared" si="9"/>
        <v/>
      </c>
      <c r="T53" s="17" t="str">
        <f t="shared" si="10"/>
        <v/>
      </c>
      <c r="U53" s="16" t="str">
        <f t="shared" si="11"/>
        <v/>
      </c>
      <c r="V53" s="16" t="str">
        <f t="shared" si="12"/>
        <v/>
      </c>
      <c r="W53" s="16" t="str">
        <f t="shared" si="13"/>
        <v/>
      </c>
      <c r="X53" s="40"/>
      <c r="Y53" s="14"/>
      <c r="AZ53" t="str">
        <f>IF($C53="","",ANAGRAFICA!$P50)</f>
        <v/>
      </c>
      <c r="BA53" t="str">
        <f>IF($C53="","",SUMIF('MOVIMENTI 2026'!$B$7:$B$4206,$C53,'MOVIMENTI 2026'!$I$7:$I$4206)+SUMIF('SALDI AL 31.12.2025'!$A$6:$A$505,$C53,'SALDI AL 31.12.2025'!$C$6:$C$505))</f>
        <v/>
      </c>
      <c r="BB53" t="str">
        <f>IF($C53="","",SUMIF('MOVIMENTI 2026'!$B$7:$B$4206,$C53,'MOVIMENTI 2026'!$J$7:$J$4206)+SUMIF('SALDI AL 31.12.2025'!$A$6:$A$505,$C53,'SALDI AL 31.12.2025'!$D$6:$D$505))</f>
        <v/>
      </c>
      <c r="BC53" t="str">
        <f>IF($C53="","",SUMIF('MOVIMENTI 2026'!$B$7:$B$4206,$C53,'MOVIMENTI 2026'!$K$7:$K$4206)+SUMIF('SALDI AL 31.12.2025'!$A$6:$A$505,$C53,'SALDI AL 31.12.2025'!$E$6:$E$505))</f>
        <v/>
      </c>
      <c r="BD53" t="str">
        <f>IF($C53="","",SUMIF('MOVIMENTI 2026'!$B$7:$B$4206,$C53,'MOVIMENTI 2026'!$L$7:$L$4206)+SUMIF('SALDI AL 31.12.2025'!$A$6:$A$505,$C53,'SALDI AL 31.12.2025'!$F$6:$F$505))</f>
        <v/>
      </c>
      <c r="BE53" t="str">
        <f t="shared" si="14"/>
        <v/>
      </c>
      <c r="BF53" t="str">
        <f t="shared" si="15"/>
        <v/>
      </c>
      <c r="BG53" t="str">
        <f t="shared" si="16"/>
        <v/>
      </c>
      <c r="BH53" t="str">
        <f>IFERROR(IF(OR($C53="",ANAGRAFICA!$I50="",ANAGRAFICA!$J50="",ANAGRAFICA!$J50&lt;=ANAGRAFICA!$I50,$Y53=""),"",IF(OR($I53="Finito ritenute non previste",$I53="Finito con sblocco ritenute",$I53="Finito senza sblocco ritenute"),1,MAX(0,MIN(1,($Y53-ANAGRAFICA!$I50)/(ANAGRAFICA!$J50-ANAGRAFICA!$I50))))),"")</f>
        <v/>
      </c>
      <c r="BI53" t="str">
        <f t="shared" si="17"/>
        <v/>
      </c>
      <c r="BJ53" t="str">
        <f>IFERROR(IF($C53="","",'BUDGET COMMESSA'!$D50),"")</f>
        <v/>
      </c>
      <c r="BK53" t="str">
        <f>IF($C53="","",SUMIF('MOVIMENTI 2026'!$B$7:$B$4206,$C53,'MOVIMENTI 2026'!$N$7:$N$4206)+SUMIF('SALDI AL 31.12.2025'!$A$6:$A$505,$C53,'SALDI AL 31.12.2025'!$H$6:$H$505))</f>
        <v/>
      </c>
      <c r="BL53" t="str">
        <f t="shared" si="18"/>
        <v/>
      </c>
      <c r="BM53" t="str">
        <f t="shared" si="19"/>
        <v/>
      </c>
      <c r="BN53" t="str">
        <f t="shared" si="20"/>
        <v/>
      </c>
      <c r="BO53" t="str">
        <f>IFERROR(IF($C53="","",'BUDGET COMMESSA'!$G50),"")</f>
        <v/>
      </c>
      <c r="BP53" t="str">
        <f>IF($C53="","",SUMIF('COSTI DIRETTI'!$C$6:$C$505,$C53,'COSTI DIRETTI'!$H$6:$H$505)+SUMIF('SALDI AL 31.12.2025'!$A$6:$A$505,$C53,'SALDI AL 31.12.2025'!$I$6:$I$505))</f>
        <v/>
      </c>
      <c r="BQ53" t="str">
        <f t="shared" si="21"/>
        <v/>
      </c>
      <c r="BR53" t="str">
        <f t="shared" si="22"/>
        <v/>
      </c>
      <c r="BS53" t="str">
        <f>IF($C53="","",$BK53*PARAMETRI!$B$4+$BP53)</f>
        <v/>
      </c>
      <c r="BT53">
        <f t="shared" si="23"/>
        <v>0</v>
      </c>
      <c r="BU53">
        <f t="shared" si="24"/>
        <v>0</v>
      </c>
      <c r="BV53" t="str">
        <f>IF($C53="","",SUMIF('MOVIMENTI 2026'!$B$7:$B$4206,$C53,'MOVIMENTI 2026'!$P$7:$P$4206)+SUMIF('SALDI AL 31.12.2025'!$A$6:$A$505,$C53,'SALDI AL 31.12.2025'!$G$6:$G$505))</f>
        <v/>
      </c>
    </row>
    <row r="54" spans="1:74" ht="16" x14ac:dyDescent="0.15">
      <c r="A54" s="17" t="str">
        <f>IFERROR(IF($C54="","",IF(OR($BF54&gt;0,$V54&gt;$J54,AND(ISNUMBER($Q54),$Q54&gt;0),AND($BI54&lt;&gt;"",$BI54&lt;-PARAMETRI!$B$6),AND($BM54&lt;&gt;"",$BM54&gt;=1),AND($BN54&lt;&gt;"",$BN54&gt;PARAMETRI!$B$8),AND(ISNUMBER($BR54),$BR54&gt;0)),"CRITICO",IF(OR($AZ54="",LEFT($C54,5)="TEMP",$BJ54="",$BO54="",ANAGRAFICA!$I51="",ANAGRAFICA!$J51="",$Y54="",AND(OR($I54="Finito ritenute non previste",$I54="Finito con sblocco ritenute",$I54="Finito senza sblocco ritenute"),ANAGRAFICA!$K51=""),OR(AND(ANAGRAFICA!$T51&lt;&gt;"",ANAGRAFICA!$J51&lt;&gt;ANAGRAFICA!$T51,OR(ANAGRAFICA!$R51="",ANAGRAFICA!$R51="Nessuna variazione")),AND(ANAGRAFICA!$J51="",ANAGRAFICA!$R51&lt;&gt;"",ANAGRAFICA!$R51&lt;&gt;"Nessuna variazione")),AND($BI54&lt;&gt;"",$BI54&lt;-PARAMETRI!$B$5),AND($BN54&lt;&gt;"",$BN54&gt;PARAMETRI!$B$7),AND($W54&gt;0,$M54&gt;$W54*PARAMETRI!$B$9),AND($O54&gt;0,OR($I54="Finito ritenute non previste",$I54="Finito con sblocco ritenute",$I54="Finito senza sblocco ritenute")),AND($BA54&gt;0,$BO54&gt;0,$BP54=0),AND(OR($I54="Finito ritenute non previste",$I54="Finito con sblocco ritenute",$I54="Finito senza sblocco ritenute"),$W54&gt;0,$N54&gt;$W54*PARAMETRI!$B$9),$V54&gt;0),"ATTENZIONE","REGOLARE"))),"ATTENZIONE")</f>
        <v/>
      </c>
      <c r="B54" s="17" t="str">
        <f>IFERROR(IF($C54="","",IF($BF54&gt;0,"FATTURATO OLTRE VALORE RECUPERABILE; ","")&amp;IF($V54&gt;$J54,"PERDITE ACCETTATE OLTRE CONTRATTO; ","")&amp;IF($V54&gt;0,"PERDITA SAL ACCETTATA (€ "&amp;TEXT($V54,"#,##0.00")&amp;"); ","")&amp;IF(AND(ISNUMBER($Q54),$Q54&gt;0),"RITARDO PRODUTTIVO ("&amp;TEXT($Q54,"0")&amp;" GG); ","")&amp;IF(AND($BI54&lt;&gt;"",$BI54&lt;-PARAMETRI!$B$5),"AVANZAMENTO PIÙ LENTO DEL TEMPO; ","")&amp;IF(AND($BM54&lt;&gt;"",$BM54&gt;1),"ORE OLTRE BUDGET; ","")&amp;IF(AND($BM54&lt;&gt;"",$BM54=1),"ORE PREVENTIVATE ESAURITE; ","")&amp;IF(AND($BN54&lt;&gt;"",$BN54&gt;PARAMETRI!$B$7),"CONSUMO ORE SUPERIORE ALL'AVANZAMENTO; ","")&amp;IF(AND(ISNUMBER($BR54),$BR54&gt;0),"COSTI DIRETTI OLTRE BUDGET; ","")&amp;IF(AND($W54&gt;0,$M54&gt;$W54*PARAMETRI!$B$9),"SAL MATURATO NON FATTURATO; ","")&amp;IF(AND($O54&gt;0,OR($I54="Finito ritenute non previste",$I54="Finito con sblocco ritenute",$I54="Finito senza sblocco ritenute")),"RITENUTE DA SBLOCCARE; ","")&amp;IF(AND($BA54&gt;0,$BO54&gt;0,$BP54=0),"COSTI DIRETTI NON REGISTRATI; ","")&amp;IF(AND(OR($I54="Finito ritenute non previste",$I54="Finito con sblocco ritenute",$I54="Finito senza sblocco ritenute"),$W54&gt;0,$N54&gt;$W54*PARAMETRI!$B$9),"CANTIERE FINITO CON RESIDUO LAVORI; ","")&amp;IF(AND(OR($I54="Finito ritenute non previste",$I54="Finito con sblocco ritenute",$I54="Finito senza sblocco ritenute"),ANAGRAFICA!$K51=""),"DATA FINE EFFETTIVA MANCANTE; ","")&amp;IF(OR(AND(ANAGRAFICA!$T51&lt;&gt;"",ANAGRAFICA!$J51&lt;&gt;ANAGRAFICA!$T51,OR(ANAGRAFICA!$R51="",ANAGRAFICA!$R51="Nessuna variazione")),AND(ANAGRAFICA!$J51="",ANAGRAFICA!$R51&lt;&gt;"",ANAGRAFICA!$R51&lt;&gt;"Nessuna variazione")),"GESTIONE DATA FINE INCOMPLETA; ","")&amp;IF($Y54="","AGGIORNATO AL MANCANTE; ","")&amp;IF(OR($AZ54="",$BJ54="",$BO54="",ANAGRAFICA!$I51="",ANAGRAFICA!$J51=""),"DATI PREVISIONALI INCOMPLETI; ","")&amp;IF(LEFT($C54,5)="TEMP","CODICE COMMESSA TEMPORANEO; ","")),"DATI INCOMPLETI; ")</f>
        <v/>
      </c>
      <c r="C54" s="17" t="str">
        <f>IF(ANAGRAFICA!$B51="","",ANAGRAFICA!$B51)</f>
        <v/>
      </c>
      <c r="D54" s="17" t="str">
        <f>IF($C54="","",ANAGRAFICA!$C51)</f>
        <v/>
      </c>
      <c r="E54" s="17" t="str">
        <f>IF($C54="","",ANAGRAFICA!$D51)</f>
        <v/>
      </c>
      <c r="F54" s="17" t="str">
        <f>IF($C54="","",ANAGRAFICA!$E51)</f>
        <v/>
      </c>
      <c r="G54" s="17" t="str">
        <f>IF($C54="","",ANAGRAFICA!$F51)</f>
        <v/>
      </c>
      <c r="H54" s="17" t="str">
        <f>IF($C54="","",ANAGRAFICA!$G51)</f>
        <v/>
      </c>
      <c r="I54" s="17" t="str">
        <f>IF($C54="","",ANAGRAFICA!$L51)</f>
        <v/>
      </c>
      <c r="J54" s="16" t="str">
        <f t="shared" si="1"/>
        <v/>
      </c>
      <c r="K54" s="16" t="str">
        <f t="shared" si="2"/>
        <v/>
      </c>
      <c r="L54" s="16" t="str">
        <f t="shared" si="3"/>
        <v/>
      </c>
      <c r="M54" s="16" t="str">
        <f t="shared" si="4"/>
        <v/>
      </c>
      <c r="N54" s="16" t="str">
        <f t="shared" si="5"/>
        <v/>
      </c>
      <c r="O54" s="16" t="str">
        <f t="shared" si="6"/>
        <v/>
      </c>
      <c r="P54" s="17" t="str">
        <f t="shared" si="7"/>
        <v/>
      </c>
      <c r="Q54" s="31" t="str">
        <f>IF(OR($C54="",'BUDGET COMMESSA'!$D51="",'BUDGET COMMESSA'!$D51&lt;=0,ANAGRAFICA!$J51=""),"",IF(OR($I54="Finito ritenute non previste",$I54="Finito con sblocco ritenute",$I54="Finito senza sblocco ritenute"),0,IF(AND($BK54&gt;=$BJ54,ANAGRAFICA!$R51="Ritardo produttivo FIDA"),IF(ANAGRAFICA!$T51&lt;&gt;"",MAX(0,ANAGRAFICA!$J51-ANAGRAFICA!$T51),MAX(0,$Y54-ANAGRAFICA!$J51)),0)))</f>
        <v/>
      </c>
      <c r="R54" s="17" t="str">
        <f t="shared" si="8"/>
        <v/>
      </c>
      <c r="S54" s="17" t="str">
        <f t="shared" si="9"/>
        <v/>
      </c>
      <c r="T54" s="17" t="str">
        <f t="shared" si="10"/>
        <v/>
      </c>
      <c r="U54" s="16" t="str">
        <f t="shared" si="11"/>
        <v/>
      </c>
      <c r="V54" s="16" t="str">
        <f t="shared" si="12"/>
        <v/>
      </c>
      <c r="W54" s="16" t="str">
        <f t="shared" si="13"/>
        <v/>
      </c>
      <c r="X54" s="40"/>
      <c r="Y54" s="14"/>
      <c r="AZ54" t="str">
        <f>IF($C54="","",ANAGRAFICA!$P51)</f>
        <v/>
      </c>
      <c r="BA54" t="str">
        <f>IF($C54="","",SUMIF('MOVIMENTI 2026'!$B$7:$B$4206,$C54,'MOVIMENTI 2026'!$I$7:$I$4206)+SUMIF('SALDI AL 31.12.2025'!$A$6:$A$505,$C54,'SALDI AL 31.12.2025'!$C$6:$C$505))</f>
        <v/>
      </c>
      <c r="BB54" t="str">
        <f>IF($C54="","",SUMIF('MOVIMENTI 2026'!$B$7:$B$4206,$C54,'MOVIMENTI 2026'!$J$7:$J$4206)+SUMIF('SALDI AL 31.12.2025'!$A$6:$A$505,$C54,'SALDI AL 31.12.2025'!$D$6:$D$505))</f>
        <v/>
      </c>
      <c r="BC54" t="str">
        <f>IF($C54="","",SUMIF('MOVIMENTI 2026'!$B$7:$B$4206,$C54,'MOVIMENTI 2026'!$K$7:$K$4206)+SUMIF('SALDI AL 31.12.2025'!$A$6:$A$505,$C54,'SALDI AL 31.12.2025'!$E$6:$E$505))</f>
        <v/>
      </c>
      <c r="BD54" t="str">
        <f>IF($C54="","",SUMIF('MOVIMENTI 2026'!$B$7:$B$4206,$C54,'MOVIMENTI 2026'!$L$7:$L$4206)+SUMIF('SALDI AL 31.12.2025'!$A$6:$A$505,$C54,'SALDI AL 31.12.2025'!$F$6:$F$505))</f>
        <v/>
      </c>
      <c r="BE54" t="str">
        <f t="shared" si="14"/>
        <v/>
      </c>
      <c r="BF54" t="str">
        <f t="shared" si="15"/>
        <v/>
      </c>
      <c r="BG54" t="str">
        <f t="shared" si="16"/>
        <v/>
      </c>
      <c r="BH54" t="str">
        <f>IFERROR(IF(OR($C54="",ANAGRAFICA!$I51="",ANAGRAFICA!$J51="",ANAGRAFICA!$J51&lt;=ANAGRAFICA!$I51,$Y54=""),"",IF(OR($I54="Finito ritenute non previste",$I54="Finito con sblocco ritenute",$I54="Finito senza sblocco ritenute"),1,MAX(0,MIN(1,($Y54-ANAGRAFICA!$I51)/(ANAGRAFICA!$J51-ANAGRAFICA!$I51))))),"")</f>
        <v/>
      </c>
      <c r="BI54" t="str">
        <f t="shared" si="17"/>
        <v/>
      </c>
      <c r="BJ54" t="str">
        <f>IFERROR(IF($C54="","",'BUDGET COMMESSA'!$D51),"")</f>
        <v/>
      </c>
      <c r="BK54" t="str">
        <f>IF($C54="","",SUMIF('MOVIMENTI 2026'!$B$7:$B$4206,$C54,'MOVIMENTI 2026'!$N$7:$N$4206)+SUMIF('SALDI AL 31.12.2025'!$A$6:$A$505,$C54,'SALDI AL 31.12.2025'!$H$6:$H$505))</f>
        <v/>
      </c>
      <c r="BL54" t="str">
        <f t="shared" si="18"/>
        <v/>
      </c>
      <c r="BM54" t="str">
        <f t="shared" si="19"/>
        <v/>
      </c>
      <c r="BN54" t="str">
        <f t="shared" si="20"/>
        <v/>
      </c>
      <c r="BO54" t="str">
        <f>IFERROR(IF($C54="","",'BUDGET COMMESSA'!$G51),"")</f>
        <v/>
      </c>
      <c r="BP54" t="str">
        <f>IF($C54="","",SUMIF('COSTI DIRETTI'!$C$6:$C$505,$C54,'COSTI DIRETTI'!$H$6:$H$505)+SUMIF('SALDI AL 31.12.2025'!$A$6:$A$505,$C54,'SALDI AL 31.12.2025'!$I$6:$I$505))</f>
        <v/>
      </c>
      <c r="BQ54" t="str">
        <f t="shared" si="21"/>
        <v/>
      </c>
      <c r="BR54" t="str">
        <f t="shared" si="22"/>
        <v/>
      </c>
      <c r="BS54" t="str">
        <f>IF($C54="","",$BK54*PARAMETRI!$B$4+$BP54)</f>
        <v/>
      </c>
      <c r="BT54">
        <f t="shared" si="23"/>
        <v>0</v>
      </c>
      <c r="BU54">
        <f t="shared" si="24"/>
        <v>0</v>
      </c>
      <c r="BV54" t="str">
        <f>IF($C54="","",SUMIF('MOVIMENTI 2026'!$B$7:$B$4206,$C54,'MOVIMENTI 2026'!$P$7:$P$4206)+SUMIF('SALDI AL 31.12.2025'!$A$6:$A$505,$C54,'SALDI AL 31.12.2025'!$G$6:$G$505))</f>
        <v/>
      </c>
    </row>
    <row r="55" spans="1:74" ht="16" x14ac:dyDescent="0.15">
      <c r="A55" s="17" t="str">
        <f>IFERROR(IF($C55="","",IF(OR($BF55&gt;0,$V55&gt;$J55,AND(ISNUMBER($Q55),$Q55&gt;0),AND($BI55&lt;&gt;"",$BI55&lt;-PARAMETRI!$B$6),AND($BM55&lt;&gt;"",$BM55&gt;=1),AND($BN55&lt;&gt;"",$BN55&gt;PARAMETRI!$B$8),AND(ISNUMBER($BR55),$BR55&gt;0)),"CRITICO",IF(OR($AZ55="",LEFT($C55,5)="TEMP",$BJ55="",$BO55="",ANAGRAFICA!$I52="",ANAGRAFICA!$J52="",$Y55="",AND(OR($I55="Finito ritenute non previste",$I55="Finito con sblocco ritenute",$I55="Finito senza sblocco ritenute"),ANAGRAFICA!$K52=""),OR(AND(ANAGRAFICA!$T52&lt;&gt;"",ANAGRAFICA!$J52&lt;&gt;ANAGRAFICA!$T52,OR(ANAGRAFICA!$R52="",ANAGRAFICA!$R52="Nessuna variazione")),AND(ANAGRAFICA!$J52="",ANAGRAFICA!$R52&lt;&gt;"",ANAGRAFICA!$R52&lt;&gt;"Nessuna variazione")),AND($BI55&lt;&gt;"",$BI55&lt;-PARAMETRI!$B$5),AND($BN55&lt;&gt;"",$BN55&gt;PARAMETRI!$B$7),AND($W55&gt;0,$M55&gt;$W55*PARAMETRI!$B$9),AND($O55&gt;0,OR($I55="Finito ritenute non previste",$I55="Finito con sblocco ritenute",$I55="Finito senza sblocco ritenute")),AND($BA55&gt;0,$BO55&gt;0,$BP55=0),AND(OR($I55="Finito ritenute non previste",$I55="Finito con sblocco ritenute",$I55="Finito senza sblocco ritenute"),$W55&gt;0,$N55&gt;$W55*PARAMETRI!$B$9),$V55&gt;0),"ATTENZIONE","REGOLARE"))),"ATTENZIONE")</f>
        <v/>
      </c>
      <c r="B55" s="17" t="str">
        <f>IFERROR(IF($C55="","",IF($BF55&gt;0,"FATTURATO OLTRE VALORE RECUPERABILE; ","")&amp;IF($V55&gt;$J55,"PERDITE ACCETTATE OLTRE CONTRATTO; ","")&amp;IF($V55&gt;0,"PERDITA SAL ACCETTATA (€ "&amp;TEXT($V55,"#,##0.00")&amp;"); ","")&amp;IF(AND(ISNUMBER($Q55),$Q55&gt;0),"RITARDO PRODUTTIVO ("&amp;TEXT($Q55,"0")&amp;" GG); ","")&amp;IF(AND($BI55&lt;&gt;"",$BI55&lt;-PARAMETRI!$B$5),"AVANZAMENTO PIÙ LENTO DEL TEMPO; ","")&amp;IF(AND($BM55&lt;&gt;"",$BM55&gt;1),"ORE OLTRE BUDGET; ","")&amp;IF(AND($BM55&lt;&gt;"",$BM55=1),"ORE PREVENTIVATE ESAURITE; ","")&amp;IF(AND($BN55&lt;&gt;"",$BN55&gt;PARAMETRI!$B$7),"CONSUMO ORE SUPERIORE ALL'AVANZAMENTO; ","")&amp;IF(AND(ISNUMBER($BR55),$BR55&gt;0),"COSTI DIRETTI OLTRE BUDGET; ","")&amp;IF(AND($W55&gt;0,$M55&gt;$W55*PARAMETRI!$B$9),"SAL MATURATO NON FATTURATO; ","")&amp;IF(AND($O55&gt;0,OR($I55="Finito ritenute non previste",$I55="Finito con sblocco ritenute",$I55="Finito senza sblocco ritenute")),"RITENUTE DA SBLOCCARE; ","")&amp;IF(AND($BA55&gt;0,$BO55&gt;0,$BP55=0),"COSTI DIRETTI NON REGISTRATI; ","")&amp;IF(AND(OR($I55="Finito ritenute non previste",$I55="Finito con sblocco ritenute",$I55="Finito senza sblocco ritenute"),$W55&gt;0,$N55&gt;$W55*PARAMETRI!$B$9),"CANTIERE FINITO CON RESIDUO LAVORI; ","")&amp;IF(AND(OR($I55="Finito ritenute non previste",$I55="Finito con sblocco ritenute",$I55="Finito senza sblocco ritenute"),ANAGRAFICA!$K52=""),"DATA FINE EFFETTIVA MANCANTE; ","")&amp;IF(OR(AND(ANAGRAFICA!$T52&lt;&gt;"",ANAGRAFICA!$J52&lt;&gt;ANAGRAFICA!$T52,OR(ANAGRAFICA!$R52="",ANAGRAFICA!$R52="Nessuna variazione")),AND(ANAGRAFICA!$J52="",ANAGRAFICA!$R52&lt;&gt;"",ANAGRAFICA!$R52&lt;&gt;"Nessuna variazione")),"GESTIONE DATA FINE INCOMPLETA; ","")&amp;IF($Y55="","AGGIORNATO AL MANCANTE; ","")&amp;IF(OR($AZ55="",$BJ55="",$BO55="",ANAGRAFICA!$I52="",ANAGRAFICA!$J52=""),"DATI PREVISIONALI INCOMPLETI; ","")&amp;IF(LEFT($C55,5)="TEMP","CODICE COMMESSA TEMPORANEO; ","")),"DATI INCOMPLETI; ")</f>
        <v/>
      </c>
      <c r="C55" s="17" t="str">
        <f>IF(ANAGRAFICA!$B52="","",ANAGRAFICA!$B52)</f>
        <v/>
      </c>
      <c r="D55" s="17" t="str">
        <f>IF($C55="","",ANAGRAFICA!$C52)</f>
        <v/>
      </c>
      <c r="E55" s="17" t="str">
        <f>IF($C55="","",ANAGRAFICA!$D52)</f>
        <v/>
      </c>
      <c r="F55" s="17" t="str">
        <f>IF($C55="","",ANAGRAFICA!$E52)</f>
        <v/>
      </c>
      <c r="G55" s="17" t="str">
        <f>IF($C55="","",ANAGRAFICA!$F52)</f>
        <v/>
      </c>
      <c r="H55" s="17" t="str">
        <f>IF($C55="","",ANAGRAFICA!$G52)</f>
        <v/>
      </c>
      <c r="I55" s="17" t="str">
        <f>IF($C55="","",ANAGRAFICA!$L52)</f>
        <v/>
      </c>
      <c r="J55" s="16" t="str">
        <f t="shared" si="1"/>
        <v/>
      </c>
      <c r="K55" s="16" t="str">
        <f t="shared" si="2"/>
        <v/>
      </c>
      <c r="L55" s="16" t="str">
        <f t="shared" si="3"/>
        <v/>
      </c>
      <c r="M55" s="16" t="str">
        <f t="shared" si="4"/>
        <v/>
      </c>
      <c r="N55" s="16" t="str">
        <f t="shared" si="5"/>
        <v/>
      </c>
      <c r="O55" s="16" t="str">
        <f t="shared" si="6"/>
        <v/>
      </c>
      <c r="P55" s="17" t="str">
        <f t="shared" si="7"/>
        <v/>
      </c>
      <c r="Q55" s="31" t="str">
        <f>IF(OR($C55="",'BUDGET COMMESSA'!$D52="",'BUDGET COMMESSA'!$D52&lt;=0,ANAGRAFICA!$J52=""),"",IF(OR($I55="Finito ritenute non previste",$I55="Finito con sblocco ritenute",$I55="Finito senza sblocco ritenute"),0,IF(AND($BK55&gt;=$BJ55,ANAGRAFICA!$R52="Ritardo produttivo FIDA"),IF(ANAGRAFICA!$T52&lt;&gt;"",MAX(0,ANAGRAFICA!$J52-ANAGRAFICA!$T52),MAX(0,$Y55-ANAGRAFICA!$J52)),0)))</f>
        <v/>
      </c>
      <c r="R55" s="17" t="str">
        <f t="shared" si="8"/>
        <v/>
      </c>
      <c r="S55" s="17" t="str">
        <f t="shared" si="9"/>
        <v/>
      </c>
      <c r="T55" s="17" t="str">
        <f t="shared" si="10"/>
        <v/>
      </c>
      <c r="U55" s="16" t="str">
        <f t="shared" si="11"/>
        <v/>
      </c>
      <c r="V55" s="16" t="str">
        <f t="shared" si="12"/>
        <v/>
      </c>
      <c r="W55" s="16" t="str">
        <f t="shared" si="13"/>
        <v/>
      </c>
      <c r="X55" s="40"/>
      <c r="Y55" s="14"/>
      <c r="AZ55" t="str">
        <f>IF($C55="","",ANAGRAFICA!$P52)</f>
        <v/>
      </c>
      <c r="BA55" t="str">
        <f>IF($C55="","",SUMIF('MOVIMENTI 2026'!$B$7:$B$4206,$C55,'MOVIMENTI 2026'!$I$7:$I$4206)+SUMIF('SALDI AL 31.12.2025'!$A$6:$A$505,$C55,'SALDI AL 31.12.2025'!$C$6:$C$505))</f>
        <v/>
      </c>
      <c r="BB55" t="str">
        <f>IF($C55="","",SUMIF('MOVIMENTI 2026'!$B$7:$B$4206,$C55,'MOVIMENTI 2026'!$J$7:$J$4206)+SUMIF('SALDI AL 31.12.2025'!$A$6:$A$505,$C55,'SALDI AL 31.12.2025'!$D$6:$D$505))</f>
        <v/>
      </c>
      <c r="BC55" t="str">
        <f>IF($C55="","",SUMIF('MOVIMENTI 2026'!$B$7:$B$4206,$C55,'MOVIMENTI 2026'!$K$7:$K$4206)+SUMIF('SALDI AL 31.12.2025'!$A$6:$A$505,$C55,'SALDI AL 31.12.2025'!$E$6:$E$505))</f>
        <v/>
      </c>
      <c r="BD55" t="str">
        <f>IF($C55="","",SUMIF('MOVIMENTI 2026'!$B$7:$B$4206,$C55,'MOVIMENTI 2026'!$L$7:$L$4206)+SUMIF('SALDI AL 31.12.2025'!$A$6:$A$505,$C55,'SALDI AL 31.12.2025'!$F$6:$F$505))</f>
        <v/>
      </c>
      <c r="BE55" t="str">
        <f t="shared" si="14"/>
        <v/>
      </c>
      <c r="BF55" t="str">
        <f t="shared" si="15"/>
        <v/>
      </c>
      <c r="BG55" t="str">
        <f t="shared" si="16"/>
        <v/>
      </c>
      <c r="BH55" t="str">
        <f>IFERROR(IF(OR($C55="",ANAGRAFICA!$I52="",ANAGRAFICA!$J52="",ANAGRAFICA!$J52&lt;=ANAGRAFICA!$I52,$Y55=""),"",IF(OR($I55="Finito ritenute non previste",$I55="Finito con sblocco ritenute",$I55="Finito senza sblocco ritenute"),1,MAX(0,MIN(1,($Y55-ANAGRAFICA!$I52)/(ANAGRAFICA!$J52-ANAGRAFICA!$I52))))),"")</f>
        <v/>
      </c>
      <c r="BI55" t="str">
        <f t="shared" si="17"/>
        <v/>
      </c>
      <c r="BJ55" t="str">
        <f>IFERROR(IF($C55="","",'BUDGET COMMESSA'!$D52),"")</f>
        <v/>
      </c>
      <c r="BK55" t="str">
        <f>IF($C55="","",SUMIF('MOVIMENTI 2026'!$B$7:$B$4206,$C55,'MOVIMENTI 2026'!$N$7:$N$4206)+SUMIF('SALDI AL 31.12.2025'!$A$6:$A$505,$C55,'SALDI AL 31.12.2025'!$H$6:$H$505))</f>
        <v/>
      </c>
      <c r="BL55" t="str">
        <f t="shared" si="18"/>
        <v/>
      </c>
      <c r="BM55" t="str">
        <f t="shared" si="19"/>
        <v/>
      </c>
      <c r="BN55" t="str">
        <f t="shared" si="20"/>
        <v/>
      </c>
      <c r="BO55" t="str">
        <f>IFERROR(IF($C55="","",'BUDGET COMMESSA'!$G52),"")</f>
        <v/>
      </c>
      <c r="BP55" t="str">
        <f>IF($C55="","",SUMIF('COSTI DIRETTI'!$C$6:$C$505,$C55,'COSTI DIRETTI'!$H$6:$H$505)+SUMIF('SALDI AL 31.12.2025'!$A$6:$A$505,$C55,'SALDI AL 31.12.2025'!$I$6:$I$505))</f>
        <v/>
      </c>
      <c r="BQ55" t="str">
        <f t="shared" si="21"/>
        <v/>
      </c>
      <c r="BR55" t="str">
        <f t="shared" si="22"/>
        <v/>
      </c>
      <c r="BS55" t="str">
        <f>IF($C55="","",$BK55*PARAMETRI!$B$4+$BP55)</f>
        <v/>
      </c>
      <c r="BT55">
        <f t="shared" si="23"/>
        <v>0</v>
      </c>
      <c r="BU55">
        <f t="shared" si="24"/>
        <v>0</v>
      </c>
      <c r="BV55" t="str">
        <f>IF($C55="","",SUMIF('MOVIMENTI 2026'!$B$7:$B$4206,$C55,'MOVIMENTI 2026'!$P$7:$P$4206)+SUMIF('SALDI AL 31.12.2025'!$A$6:$A$505,$C55,'SALDI AL 31.12.2025'!$G$6:$G$505))</f>
        <v/>
      </c>
    </row>
    <row r="56" spans="1:74" ht="16" x14ac:dyDescent="0.15">
      <c r="A56" s="17" t="str">
        <f>IFERROR(IF($C56="","",IF(OR($BF56&gt;0,$V56&gt;$J56,AND(ISNUMBER($Q56),$Q56&gt;0),AND($BI56&lt;&gt;"",$BI56&lt;-PARAMETRI!$B$6),AND($BM56&lt;&gt;"",$BM56&gt;=1),AND($BN56&lt;&gt;"",$BN56&gt;PARAMETRI!$B$8),AND(ISNUMBER($BR56),$BR56&gt;0)),"CRITICO",IF(OR($AZ56="",LEFT($C56,5)="TEMP",$BJ56="",$BO56="",ANAGRAFICA!$I53="",ANAGRAFICA!$J53="",$Y56="",AND(OR($I56="Finito ritenute non previste",$I56="Finito con sblocco ritenute",$I56="Finito senza sblocco ritenute"),ANAGRAFICA!$K53=""),OR(AND(ANAGRAFICA!$T53&lt;&gt;"",ANAGRAFICA!$J53&lt;&gt;ANAGRAFICA!$T53,OR(ANAGRAFICA!$R53="",ANAGRAFICA!$R53="Nessuna variazione")),AND(ANAGRAFICA!$J53="",ANAGRAFICA!$R53&lt;&gt;"",ANAGRAFICA!$R53&lt;&gt;"Nessuna variazione")),AND($BI56&lt;&gt;"",$BI56&lt;-PARAMETRI!$B$5),AND($BN56&lt;&gt;"",$BN56&gt;PARAMETRI!$B$7),AND($W56&gt;0,$M56&gt;$W56*PARAMETRI!$B$9),AND($O56&gt;0,OR($I56="Finito ritenute non previste",$I56="Finito con sblocco ritenute",$I56="Finito senza sblocco ritenute")),AND($BA56&gt;0,$BO56&gt;0,$BP56=0),AND(OR($I56="Finito ritenute non previste",$I56="Finito con sblocco ritenute",$I56="Finito senza sblocco ritenute"),$W56&gt;0,$N56&gt;$W56*PARAMETRI!$B$9),$V56&gt;0),"ATTENZIONE","REGOLARE"))),"ATTENZIONE")</f>
        <v/>
      </c>
      <c r="B56" s="17" t="str">
        <f>IFERROR(IF($C56="","",IF($BF56&gt;0,"FATTURATO OLTRE VALORE RECUPERABILE; ","")&amp;IF($V56&gt;$J56,"PERDITE ACCETTATE OLTRE CONTRATTO; ","")&amp;IF($V56&gt;0,"PERDITA SAL ACCETTATA (€ "&amp;TEXT($V56,"#,##0.00")&amp;"); ","")&amp;IF(AND(ISNUMBER($Q56),$Q56&gt;0),"RITARDO PRODUTTIVO ("&amp;TEXT($Q56,"0")&amp;" GG); ","")&amp;IF(AND($BI56&lt;&gt;"",$BI56&lt;-PARAMETRI!$B$5),"AVANZAMENTO PIÙ LENTO DEL TEMPO; ","")&amp;IF(AND($BM56&lt;&gt;"",$BM56&gt;1),"ORE OLTRE BUDGET; ","")&amp;IF(AND($BM56&lt;&gt;"",$BM56=1),"ORE PREVENTIVATE ESAURITE; ","")&amp;IF(AND($BN56&lt;&gt;"",$BN56&gt;PARAMETRI!$B$7),"CONSUMO ORE SUPERIORE ALL'AVANZAMENTO; ","")&amp;IF(AND(ISNUMBER($BR56),$BR56&gt;0),"COSTI DIRETTI OLTRE BUDGET; ","")&amp;IF(AND($W56&gt;0,$M56&gt;$W56*PARAMETRI!$B$9),"SAL MATURATO NON FATTURATO; ","")&amp;IF(AND($O56&gt;0,OR($I56="Finito ritenute non previste",$I56="Finito con sblocco ritenute",$I56="Finito senza sblocco ritenute")),"RITENUTE DA SBLOCCARE; ","")&amp;IF(AND($BA56&gt;0,$BO56&gt;0,$BP56=0),"COSTI DIRETTI NON REGISTRATI; ","")&amp;IF(AND(OR($I56="Finito ritenute non previste",$I56="Finito con sblocco ritenute",$I56="Finito senza sblocco ritenute"),$W56&gt;0,$N56&gt;$W56*PARAMETRI!$B$9),"CANTIERE FINITO CON RESIDUO LAVORI; ","")&amp;IF(AND(OR($I56="Finito ritenute non previste",$I56="Finito con sblocco ritenute",$I56="Finito senza sblocco ritenute"),ANAGRAFICA!$K53=""),"DATA FINE EFFETTIVA MANCANTE; ","")&amp;IF(OR(AND(ANAGRAFICA!$T53&lt;&gt;"",ANAGRAFICA!$J53&lt;&gt;ANAGRAFICA!$T53,OR(ANAGRAFICA!$R53="",ANAGRAFICA!$R53="Nessuna variazione")),AND(ANAGRAFICA!$J53="",ANAGRAFICA!$R53&lt;&gt;"",ANAGRAFICA!$R53&lt;&gt;"Nessuna variazione")),"GESTIONE DATA FINE INCOMPLETA; ","")&amp;IF($Y56="","AGGIORNATO AL MANCANTE; ","")&amp;IF(OR($AZ56="",$BJ56="",$BO56="",ANAGRAFICA!$I53="",ANAGRAFICA!$J53=""),"DATI PREVISIONALI INCOMPLETI; ","")&amp;IF(LEFT($C56,5)="TEMP","CODICE COMMESSA TEMPORANEO; ","")),"DATI INCOMPLETI; ")</f>
        <v/>
      </c>
      <c r="C56" s="17" t="str">
        <f>IF(ANAGRAFICA!$B53="","",ANAGRAFICA!$B53)</f>
        <v/>
      </c>
      <c r="D56" s="17" t="str">
        <f>IF($C56="","",ANAGRAFICA!$C53)</f>
        <v/>
      </c>
      <c r="E56" s="17" t="str">
        <f>IF($C56="","",ANAGRAFICA!$D53)</f>
        <v/>
      </c>
      <c r="F56" s="17" t="str">
        <f>IF($C56="","",ANAGRAFICA!$E53)</f>
        <v/>
      </c>
      <c r="G56" s="17" t="str">
        <f>IF($C56="","",ANAGRAFICA!$F53)</f>
        <v/>
      </c>
      <c r="H56" s="17" t="str">
        <f>IF($C56="","",ANAGRAFICA!$G53)</f>
        <v/>
      </c>
      <c r="I56" s="17" t="str">
        <f>IF($C56="","",ANAGRAFICA!$L53)</f>
        <v/>
      </c>
      <c r="J56" s="16" t="str">
        <f t="shared" si="1"/>
        <v/>
      </c>
      <c r="K56" s="16" t="str">
        <f t="shared" si="2"/>
        <v/>
      </c>
      <c r="L56" s="16" t="str">
        <f t="shared" si="3"/>
        <v/>
      </c>
      <c r="M56" s="16" t="str">
        <f t="shared" si="4"/>
        <v/>
      </c>
      <c r="N56" s="16" t="str">
        <f t="shared" si="5"/>
        <v/>
      </c>
      <c r="O56" s="16" t="str">
        <f t="shared" si="6"/>
        <v/>
      </c>
      <c r="P56" s="17" t="str">
        <f t="shared" si="7"/>
        <v/>
      </c>
      <c r="Q56" s="31" t="str">
        <f>IF(OR($C56="",'BUDGET COMMESSA'!$D53="",'BUDGET COMMESSA'!$D53&lt;=0,ANAGRAFICA!$J53=""),"",IF(OR($I56="Finito ritenute non previste",$I56="Finito con sblocco ritenute",$I56="Finito senza sblocco ritenute"),0,IF(AND($BK56&gt;=$BJ56,ANAGRAFICA!$R53="Ritardo produttivo FIDA"),IF(ANAGRAFICA!$T53&lt;&gt;"",MAX(0,ANAGRAFICA!$J53-ANAGRAFICA!$T53),MAX(0,$Y56-ANAGRAFICA!$J53)),0)))</f>
        <v/>
      </c>
      <c r="R56" s="17" t="str">
        <f t="shared" si="8"/>
        <v/>
      </c>
      <c r="S56" s="17" t="str">
        <f t="shared" si="9"/>
        <v/>
      </c>
      <c r="T56" s="17" t="str">
        <f t="shared" si="10"/>
        <v/>
      </c>
      <c r="U56" s="16" t="str">
        <f t="shared" si="11"/>
        <v/>
      </c>
      <c r="V56" s="16" t="str">
        <f t="shared" si="12"/>
        <v/>
      </c>
      <c r="W56" s="16" t="str">
        <f t="shared" si="13"/>
        <v/>
      </c>
      <c r="X56" s="40"/>
      <c r="Y56" s="14"/>
      <c r="AZ56" t="str">
        <f>IF($C56="","",ANAGRAFICA!$P53)</f>
        <v/>
      </c>
      <c r="BA56" t="str">
        <f>IF($C56="","",SUMIF('MOVIMENTI 2026'!$B$7:$B$4206,$C56,'MOVIMENTI 2026'!$I$7:$I$4206)+SUMIF('SALDI AL 31.12.2025'!$A$6:$A$505,$C56,'SALDI AL 31.12.2025'!$C$6:$C$505))</f>
        <v/>
      </c>
      <c r="BB56" t="str">
        <f>IF($C56="","",SUMIF('MOVIMENTI 2026'!$B$7:$B$4206,$C56,'MOVIMENTI 2026'!$J$7:$J$4206)+SUMIF('SALDI AL 31.12.2025'!$A$6:$A$505,$C56,'SALDI AL 31.12.2025'!$D$6:$D$505))</f>
        <v/>
      </c>
      <c r="BC56" t="str">
        <f>IF($C56="","",SUMIF('MOVIMENTI 2026'!$B$7:$B$4206,$C56,'MOVIMENTI 2026'!$K$7:$K$4206)+SUMIF('SALDI AL 31.12.2025'!$A$6:$A$505,$C56,'SALDI AL 31.12.2025'!$E$6:$E$505))</f>
        <v/>
      </c>
      <c r="BD56" t="str">
        <f>IF($C56="","",SUMIF('MOVIMENTI 2026'!$B$7:$B$4206,$C56,'MOVIMENTI 2026'!$L$7:$L$4206)+SUMIF('SALDI AL 31.12.2025'!$A$6:$A$505,$C56,'SALDI AL 31.12.2025'!$F$6:$F$505))</f>
        <v/>
      </c>
      <c r="BE56" t="str">
        <f t="shared" si="14"/>
        <v/>
      </c>
      <c r="BF56" t="str">
        <f t="shared" si="15"/>
        <v/>
      </c>
      <c r="BG56" t="str">
        <f t="shared" si="16"/>
        <v/>
      </c>
      <c r="BH56" t="str">
        <f>IFERROR(IF(OR($C56="",ANAGRAFICA!$I53="",ANAGRAFICA!$J53="",ANAGRAFICA!$J53&lt;=ANAGRAFICA!$I53,$Y56=""),"",IF(OR($I56="Finito ritenute non previste",$I56="Finito con sblocco ritenute",$I56="Finito senza sblocco ritenute"),1,MAX(0,MIN(1,($Y56-ANAGRAFICA!$I53)/(ANAGRAFICA!$J53-ANAGRAFICA!$I53))))),"")</f>
        <v/>
      </c>
      <c r="BI56" t="str">
        <f t="shared" si="17"/>
        <v/>
      </c>
      <c r="BJ56" t="str">
        <f>IFERROR(IF($C56="","",'BUDGET COMMESSA'!$D53),"")</f>
        <v/>
      </c>
      <c r="BK56" t="str">
        <f>IF($C56="","",SUMIF('MOVIMENTI 2026'!$B$7:$B$4206,$C56,'MOVIMENTI 2026'!$N$7:$N$4206)+SUMIF('SALDI AL 31.12.2025'!$A$6:$A$505,$C56,'SALDI AL 31.12.2025'!$H$6:$H$505))</f>
        <v/>
      </c>
      <c r="BL56" t="str">
        <f t="shared" si="18"/>
        <v/>
      </c>
      <c r="BM56" t="str">
        <f t="shared" si="19"/>
        <v/>
      </c>
      <c r="BN56" t="str">
        <f t="shared" si="20"/>
        <v/>
      </c>
      <c r="BO56" t="str">
        <f>IFERROR(IF($C56="","",'BUDGET COMMESSA'!$G53),"")</f>
        <v/>
      </c>
      <c r="BP56" t="str">
        <f>IF($C56="","",SUMIF('COSTI DIRETTI'!$C$6:$C$505,$C56,'COSTI DIRETTI'!$H$6:$H$505)+SUMIF('SALDI AL 31.12.2025'!$A$6:$A$505,$C56,'SALDI AL 31.12.2025'!$I$6:$I$505))</f>
        <v/>
      </c>
      <c r="BQ56" t="str">
        <f t="shared" si="21"/>
        <v/>
      </c>
      <c r="BR56" t="str">
        <f t="shared" si="22"/>
        <v/>
      </c>
      <c r="BS56" t="str">
        <f>IF($C56="","",$BK56*PARAMETRI!$B$4+$BP56)</f>
        <v/>
      </c>
      <c r="BT56">
        <f t="shared" si="23"/>
        <v>0</v>
      </c>
      <c r="BU56">
        <f t="shared" si="24"/>
        <v>0</v>
      </c>
      <c r="BV56" t="str">
        <f>IF($C56="","",SUMIF('MOVIMENTI 2026'!$B$7:$B$4206,$C56,'MOVIMENTI 2026'!$P$7:$P$4206)+SUMIF('SALDI AL 31.12.2025'!$A$6:$A$505,$C56,'SALDI AL 31.12.2025'!$G$6:$G$505))</f>
        <v/>
      </c>
    </row>
    <row r="57" spans="1:74" ht="16" x14ac:dyDescent="0.15">
      <c r="A57" s="17" t="str">
        <f>IFERROR(IF($C57="","",IF(OR($BF57&gt;0,$V57&gt;$J57,AND(ISNUMBER($Q57),$Q57&gt;0),AND($BI57&lt;&gt;"",$BI57&lt;-PARAMETRI!$B$6),AND($BM57&lt;&gt;"",$BM57&gt;=1),AND($BN57&lt;&gt;"",$BN57&gt;PARAMETRI!$B$8),AND(ISNUMBER($BR57),$BR57&gt;0)),"CRITICO",IF(OR($AZ57="",LEFT($C57,5)="TEMP",$BJ57="",$BO57="",ANAGRAFICA!$I54="",ANAGRAFICA!$J54="",$Y57="",AND(OR($I57="Finito ritenute non previste",$I57="Finito con sblocco ritenute",$I57="Finito senza sblocco ritenute"),ANAGRAFICA!$K54=""),OR(AND(ANAGRAFICA!$T54&lt;&gt;"",ANAGRAFICA!$J54&lt;&gt;ANAGRAFICA!$T54,OR(ANAGRAFICA!$R54="",ANAGRAFICA!$R54="Nessuna variazione")),AND(ANAGRAFICA!$J54="",ANAGRAFICA!$R54&lt;&gt;"",ANAGRAFICA!$R54&lt;&gt;"Nessuna variazione")),AND($BI57&lt;&gt;"",$BI57&lt;-PARAMETRI!$B$5),AND($BN57&lt;&gt;"",$BN57&gt;PARAMETRI!$B$7),AND($W57&gt;0,$M57&gt;$W57*PARAMETRI!$B$9),AND($O57&gt;0,OR($I57="Finito ritenute non previste",$I57="Finito con sblocco ritenute",$I57="Finito senza sblocco ritenute")),AND($BA57&gt;0,$BO57&gt;0,$BP57=0),AND(OR($I57="Finito ritenute non previste",$I57="Finito con sblocco ritenute",$I57="Finito senza sblocco ritenute"),$W57&gt;0,$N57&gt;$W57*PARAMETRI!$B$9),$V57&gt;0),"ATTENZIONE","REGOLARE"))),"ATTENZIONE")</f>
        <v/>
      </c>
      <c r="B57" s="17" t="str">
        <f>IFERROR(IF($C57="","",IF($BF57&gt;0,"FATTURATO OLTRE VALORE RECUPERABILE; ","")&amp;IF($V57&gt;$J57,"PERDITE ACCETTATE OLTRE CONTRATTO; ","")&amp;IF($V57&gt;0,"PERDITA SAL ACCETTATA (€ "&amp;TEXT($V57,"#,##0.00")&amp;"); ","")&amp;IF(AND(ISNUMBER($Q57),$Q57&gt;0),"RITARDO PRODUTTIVO ("&amp;TEXT($Q57,"0")&amp;" GG); ","")&amp;IF(AND($BI57&lt;&gt;"",$BI57&lt;-PARAMETRI!$B$5),"AVANZAMENTO PIÙ LENTO DEL TEMPO; ","")&amp;IF(AND($BM57&lt;&gt;"",$BM57&gt;1),"ORE OLTRE BUDGET; ","")&amp;IF(AND($BM57&lt;&gt;"",$BM57=1),"ORE PREVENTIVATE ESAURITE; ","")&amp;IF(AND($BN57&lt;&gt;"",$BN57&gt;PARAMETRI!$B$7),"CONSUMO ORE SUPERIORE ALL'AVANZAMENTO; ","")&amp;IF(AND(ISNUMBER($BR57),$BR57&gt;0),"COSTI DIRETTI OLTRE BUDGET; ","")&amp;IF(AND($W57&gt;0,$M57&gt;$W57*PARAMETRI!$B$9),"SAL MATURATO NON FATTURATO; ","")&amp;IF(AND($O57&gt;0,OR($I57="Finito ritenute non previste",$I57="Finito con sblocco ritenute",$I57="Finito senza sblocco ritenute")),"RITENUTE DA SBLOCCARE; ","")&amp;IF(AND($BA57&gt;0,$BO57&gt;0,$BP57=0),"COSTI DIRETTI NON REGISTRATI; ","")&amp;IF(AND(OR($I57="Finito ritenute non previste",$I57="Finito con sblocco ritenute",$I57="Finito senza sblocco ritenute"),$W57&gt;0,$N57&gt;$W57*PARAMETRI!$B$9),"CANTIERE FINITO CON RESIDUO LAVORI; ","")&amp;IF(AND(OR($I57="Finito ritenute non previste",$I57="Finito con sblocco ritenute",$I57="Finito senza sblocco ritenute"),ANAGRAFICA!$K54=""),"DATA FINE EFFETTIVA MANCANTE; ","")&amp;IF(OR(AND(ANAGRAFICA!$T54&lt;&gt;"",ANAGRAFICA!$J54&lt;&gt;ANAGRAFICA!$T54,OR(ANAGRAFICA!$R54="",ANAGRAFICA!$R54="Nessuna variazione")),AND(ANAGRAFICA!$J54="",ANAGRAFICA!$R54&lt;&gt;"",ANAGRAFICA!$R54&lt;&gt;"Nessuna variazione")),"GESTIONE DATA FINE INCOMPLETA; ","")&amp;IF($Y57="","AGGIORNATO AL MANCANTE; ","")&amp;IF(OR($AZ57="",$BJ57="",$BO57="",ANAGRAFICA!$I54="",ANAGRAFICA!$J54=""),"DATI PREVISIONALI INCOMPLETI; ","")&amp;IF(LEFT($C57,5)="TEMP","CODICE COMMESSA TEMPORANEO; ","")),"DATI INCOMPLETI; ")</f>
        <v/>
      </c>
      <c r="C57" s="17" t="str">
        <f>IF(ANAGRAFICA!$B54="","",ANAGRAFICA!$B54)</f>
        <v/>
      </c>
      <c r="D57" s="17" t="str">
        <f>IF($C57="","",ANAGRAFICA!$C54)</f>
        <v/>
      </c>
      <c r="E57" s="17" t="str">
        <f>IF($C57="","",ANAGRAFICA!$D54)</f>
        <v/>
      </c>
      <c r="F57" s="17" t="str">
        <f>IF($C57="","",ANAGRAFICA!$E54)</f>
        <v/>
      </c>
      <c r="G57" s="17" t="str">
        <f>IF($C57="","",ANAGRAFICA!$F54)</f>
        <v/>
      </c>
      <c r="H57" s="17" t="str">
        <f>IF($C57="","",ANAGRAFICA!$G54)</f>
        <v/>
      </c>
      <c r="I57" s="17" t="str">
        <f>IF($C57="","",ANAGRAFICA!$L54)</f>
        <v/>
      </c>
      <c r="J57" s="16" t="str">
        <f t="shared" si="1"/>
        <v/>
      </c>
      <c r="K57" s="16" t="str">
        <f t="shared" si="2"/>
        <v/>
      </c>
      <c r="L57" s="16" t="str">
        <f t="shared" si="3"/>
        <v/>
      </c>
      <c r="M57" s="16" t="str">
        <f t="shared" si="4"/>
        <v/>
      </c>
      <c r="N57" s="16" t="str">
        <f t="shared" si="5"/>
        <v/>
      </c>
      <c r="O57" s="16" t="str">
        <f t="shared" si="6"/>
        <v/>
      </c>
      <c r="P57" s="17" t="str">
        <f t="shared" si="7"/>
        <v/>
      </c>
      <c r="Q57" s="31" t="str">
        <f>IF(OR($C57="",'BUDGET COMMESSA'!$D54="",'BUDGET COMMESSA'!$D54&lt;=0,ANAGRAFICA!$J54=""),"",IF(OR($I57="Finito ritenute non previste",$I57="Finito con sblocco ritenute",$I57="Finito senza sblocco ritenute"),0,IF(AND($BK57&gt;=$BJ57,ANAGRAFICA!$R54="Ritardo produttivo FIDA"),IF(ANAGRAFICA!$T54&lt;&gt;"",MAX(0,ANAGRAFICA!$J54-ANAGRAFICA!$T54),MAX(0,$Y57-ANAGRAFICA!$J54)),0)))</f>
        <v/>
      </c>
      <c r="R57" s="17" t="str">
        <f t="shared" si="8"/>
        <v/>
      </c>
      <c r="S57" s="17" t="str">
        <f t="shared" si="9"/>
        <v/>
      </c>
      <c r="T57" s="17" t="str">
        <f t="shared" si="10"/>
        <v/>
      </c>
      <c r="U57" s="16" t="str">
        <f t="shared" si="11"/>
        <v/>
      </c>
      <c r="V57" s="16" t="str">
        <f t="shared" si="12"/>
        <v/>
      </c>
      <c r="W57" s="16" t="str">
        <f t="shared" si="13"/>
        <v/>
      </c>
      <c r="X57" s="40"/>
      <c r="Y57" s="14"/>
      <c r="AZ57" t="str">
        <f>IF($C57="","",ANAGRAFICA!$P54)</f>
        <v/>
      </c>
      <c r="BA57" t="str">
        <f>IF($C57="","",SUMIF('MOVIMENTI 2026'!$B$7:$B$4206,$C57,'MOVIMENTI 2026'!$I$7:$I$4206)+SUMIF('SALDI AL 31.12.2025'!$A$6:$A$505,$C57,'SALDI AL 31.12.2025'!$C$6:$C$505))</f>
        <v/>
      </c>
      <c r="BB57" t="str">
        <f>IF($C57="","",SUMIF('MOVIMENTI 2026'!$B$7:$B$4206,$C57,'MOVIMENTI 2026'!$J$7:$J$4206)+SUMIF('SALDI AL 31.12.2025'!$A$6:$A$505,$C57,'SALDI AL 31.12.2025'!$D$6:$D$505))</f>
        <v/>
      </c>
      <c r="BC57" t="str">
        <f>IF($C57="","",SUMIF('MOVIMENTI 2026'!$B$7:$B$4206,$C57,'MOVIMENTI 2026'!$K$7:$K$4206)+SUMIF('SALDI AL 31.12.2025'!$A$6:$A$505,$C57,'SALDI AL 31.12.2025'!$E$6:$E$505))</f>
        <v/>
      </c>
      <c r="BD57" t="str">
        <f>IF($C57="","",SUMIF('MOVIMENTI 2026'!$B$7:$B$4206,$C57,'MOVIMENTI 2026'!$L$7:$L$4206)+SUMIF('SALDI AL 31.12.2025'!$A$6:$A$505,$C57,'SALDI AL 31.12.2025'!$F$6:$F$505))</f>
        <v/>
      </c>
      <c r="BE57" t="str">
        <f t="shared" si="14"/>
        <v/>
      </c>
      <c r="BF57" t="str">
        <f t="shared" si="15"/>
        <v/>
      </c>
      <c r="BG57" t="str">
        <f t="shared" si="16"/>
        <v/>
      </c>
      <c r="BH57" t="str">
        <f>IFERROR(IF(OR($C57="",ANAGRAFICA!$I54="",ANAGRAFICA!$J54="",ANAGRAFICA!$J54&lt;=ANAGRAFICA!$I54,$Y57=""),"",IF(OR($I57="Finito ritenute non previste",$I57="Finito con sblocco ritenute",$I57="Finito senza sblocco ritenute"),1,MAX(0,MIN(1,($Y57-ANAGRAFICA!$I54)/(ANAGRAFICA!$J54-ANAGRAFICA!$I54))))),"")</f>
        <v/>
      </c>
      <c r="BI57" t="str">
        <f t="shared" si="17"/>
        <v/>
      </c>
      <c r="BJ57" t="str">
        <f>IFERROR(IF($C57="","",'BUDGET COMMESSA'!$D54),"")</f>
        <v/>
      </c>
      <c r="BK57" t="str">
        <f>IF($C57="","",SUMIF('MOVIMENTI 2026'!$B$7:$B$4206,$C57,'MOVIMENTI 2026'!$N$7:$N$4206)+SUMIF('SALDI AL 31.12.2025'!$A$6:$A$505,$C57,'SALDI AL 31.12.2025'!$H$6:$H$505))</f>
        <v/>
      </c>
      <c r="BL57" t="str">
        <f t="shared" si="18"/>
        <v/>
      </c>
      <c r="BM57" t="str">
        <f t="shared" si="19"/>
        <v/>
      </c>
      <c r="BN57" t="str">
        <f t="shared" si="20"/>
        <v/>
      </c>
      <c r="BO57" t="str">
        <f>IFERROR(IF($C57="","",'BUDGET COMMESSA'!$G54),"")</f>
        <v/>
      </c>
      <c r="BP57" t="str">
        <f>IF($C57="","",SUMIF('COSTI DIRETTI'!$C$6:$C$505,$C57,'COSTI DIRETTI'!$H$6:$H$505)+SUMIF('SALDI AL 31.12.2025'!$A$6:$A$505,$C57,'SALDI AL 31.12.2025'!$I$6:$I$505))</f>
        <v/>
      </c>
      <c r="BQ57" t="str">
        <f t="shared" si="21"/>
        <v/>
      </c>
      <c r="BR57" t="str">
        <f t="shared" si="22"/>
        <v/>
      </c>
      <c r="BS57" t="str">
        <f>IF($C57="","",$BK57*PARAMETRI!$B$4+$BP57)</f>
        <v/>
      </c>
      <c r="BT57">
        <f t="shared" si="23"/>
        <v>0</v>
      </c>
      <c r="BU57">
        <f t="shared" si="24"/>
        <v>0</v>
      </c>
      <c r="BV57" t="str">
        <f>IF($C57="","",SUMIF('MOVIMENTI 2026'!$B$7:$B$4206,$C57,'MOVIMENTI 2026'!$P$7:$P$4206)+SUMIF('SALDI AL 31.12.2025'!$A$6:$A$505,$C57,'SALDI AL 31.12.2025'!$G$6:$G$505))</f>
        <v/>
      </c>
    </row>
    <row r="58" spans="1:74" ht="16" x14ac:dyDescent="0.15">
      <c r="A58" s="17" t="str">
        <f>IFERROR(IF($C58="","",IF(OR($BF58&gt;0,$V58&gt;$J58,AND(ISNUMBER($Q58),$Q58&gt;0),AND($BI58&lt;&gt;"",$BI58&lt;-PARAMETRI!$B$6),AND($BM58&lt;&gt;"",$BM58&gt;=1),AND($BN58&lt;&gt;"",$BN58&gt;PARAMETRI!$B$8),AND(ISNUMBER($BR58),$BR58&gt;0)),"CRITICO",IF(OR($AZ58="",LEFT($C58,5)="TEMP",$BJ58="",$BO58="",ANAGRAFICA!$I55="",ANAGRAFICA!$J55="",$Y58="",AND(OR($I58="Finito ritenute non previste",$I58="Finito con sblocco ritenute",$I58="Finito senza sblocco ritenute"),ANAGRAFICA!$K55=""),OR(AND(ANAGRAFICA!$T55&lt;&gt;"",ANAGRAFICA!$J55&lt;&gt;ANAGRAFICA!$T55,OR(ANAGRAFICA!$R55="",ANAGRAFICA!$R55="Nessuna variazione")),AND(ANAGRAFICA!$J55="",ANAGRAFICA!$R55&lt;&gt;"",ANAGRAFICA!$R55&lt;&gt;"Nessuna variazione")),AND($BI58&lt;&gt;"",$BI58&lt;-PARAMETRI!$B$5),AND($BN58&lt;&gt;"",$BN58&gt;PARAMETRI!$B$7),AND($W58&gt;0,$M58&gt;$W58*PARAMETRI!$B$9),AND($O58&gt;0,OR($I58="Finito ritenute non previste",$I58="Finito con sblocco ritenute",$I58="Finito senza sblocco ritenute")),AND($BA58&gt;0,$BO58&gt;0,$BP58=0),AND(OR($I58="Finito ritenute non previste",$I58="Finito con sblocco ritenute",$I58="Finito senza sblocco ritenute"),$W58&gt;0,$N58&gt;$W58*PARAMETRI!$B$9),$V58&gt;0),"ATTENZIONE","REGOLARE"))),"ATTENZIONE")</f>
        <v/>
      </c>
      <c r="B58" s="17" t="str">
        <f>IFERROR(IF($C58="","",IF($BF58&gt;0,"FATTURATO OLTRE VALORE RECUPERABILE; ","")&amp;IF($V58&gt;$J58,"PERDITE ACCETTATE OLTRE CONTRATTO; ","")&amp;IF($V58&gt;0,"PERDITA SAL ACCETTATA (€ "&amp;TEXT($V58,"#,##0.00")&amp;"); ","")&amp;IF(AND(ISNUMBER($Q58),$Q58&gt;0),"RITARDO PRODUTTIVO ("&amp;TEXT($Q58,"0")&amp;" GG); ","")&amp;IF(AND($BI58&lt;&gt;"",$BI58&lt;-PARAMETRI!$B$5),"AVANZAMENTO PIÙ LENTO DEL TEMPO; ","")&amp;IF(AND($BM58&lt;&gt;"",$BM58&gt;1),"ORE OLTRE BUDGET; ","")&amp;IF(AND($BM58&lt;&gt;"",$BM58=1),"ORE PREVENTIVATE ESAURITE; ","")&amp;IF(AND($BN58&lt;&gt;"",$BN58&gt;PARAMETRI!$B$7),"CONSUMO ORE SUPERIORE ALL'AVANZAMENTO; ","")&amp;IF(AND(ISNUMBER($BR58),$BR58&gt;0),"COSTI DIRETTI OLTRE BUDGET; ","")&amp;IF(AND($W58&gt;0,$M58&gt;$W58*PARAMETRI!$B$9),"SAL MATURATO NON FATTURATO; ","")&amp;IF(AND($O58&gt;0,OR($I58="Finito ritenute non previste",$I58="Finito con sblocco ritenute",$I58="Finito senza sblocco ritenute")),"RITENUTE DA SBLOCCARE; ","")&amp;IF(AND($BA58&gt;0,$BO58&gt;0,$BP58=0),"COSTI DIRETTI NON REGISTRATI; ","")&amp;IF(AND(OR($I58="Finito ritenute non previste",$I58="Finito con sblocco ritenute",$I58="Finito senza sblocco ritenute"),$W58&gt;0,$N58&gt;$W58*PARAMETRI!$B$9),"CANTIERE FINITO CON RESIDUO LAVORI; ","")&amp;IF(AND(OR($I58="Finito ritenute non previste",$I58="Finito con sblocco ritenute",$I58="Finito senza sblocco ritenute"),ANAGRAFICA!$K55=""),"DATA FINE EFFETTIVA MANCANTE; ","")&amp;IF(OR(AND(ANAGRAFICA!$T55&lt;&gt;"",ANAGRAFICA!$J55&lt;&gt;ANAGRAFICA!$T55,OR(ANAGRAFICA!$R55="",ANAGRAFICA!$R55="Nessuna variazione")),AND(ANAGRAFICA!$J55="",ANAGRAFICA!$R55&lt;&gt;"",ANAGRAFICA!$R55&lt;&gt;"Nessuna variazione")),"GESTIONE DATA FINE INCOMPLETA; ","")&amp;IF($Y58="","AGGIORNATO AL MANCANTE; ","")&amp;IF(OR($AZ58="",$BJ58="",$BO58="",ANAGRAFICA!$I55="",ANAGRAFICA!$J55=""),"DATI PREVISIONALI INCOMPLETI; ","")&amp;IF(LEFT($C58,5)="TEMP","CODICE COMMESSA TEMPORANEO; ","")),"DATI INCOMPLETI; ")</f>
        <v/>
      </c>
      <c r="C58" s="17" t="str">
        <f>IF(ANAGRAFICA!$B55="","",ANAGRAFICA!$B55)</f>
        <v/>
      </c>
      <c r="D58" s="17" t="str">
        <f>IF($C58="","",ANAGRAFICA!$C55)</f>
        <v/>
      </c>
      <c r="E58" s="17" t="str">
        <f>IF($C58="","",ANAGRAFICA!$D55)</f>
        <v/>
      </c>
      <c r="F58" s="17" t="str">
        <f>IF($C58="","",ANAGRAFICA!$E55)</f>
        <v/>
      </c>
      <c r="G58" s="17" t="str">
        <f>IF($C58="","",ANAGRAFICA!$F55)</f>
        <v/>
      </c>
      <c r="H58" s="17" t="str">
        <f>IF($C58="","",ANAGRAFICA!$G55)</f>
        <v/>
      </c>
      <c r="I58" s="17" t="str">
        <f>IF($C58="","",ANAGRAFICA!$L55)</f>
        <v/>
      </c>
      <c r="J58" s="16" t="str">
        <f t="shared" si="1"/>
        <v/>
      </c>
      <c r="K58" s="16" t="str">
        <f t="shared" si="2"/>
        <v/>
      </c>
      <c r="L58" s="16" t="str">
        <f t="shared" si="3"/>
        <v/>
      </c>
      <c r="M58" s="16" t="str">
        <f t="shared" si="4"/>
        <v/>
      </c>
      <c r="N58" s="16" t="str">
        <f t="shared" si="5"/>
        <v/>
      </c>
      <c r="O58" s="16" t="str">
        <f t="shared" si="6"/>
        <v/>
      </c>
      <c r="P58" s="17" t="str">
        <f t="shared" si="7"/>
        <v/>
      </c>
      <c r="Q58" s="31" t="str">
        <f>IF(OR($C58="",'BUDGET COMMESSA'!$D55="",'BUDGET COMMESSA'!$D55&lt;=0,ANAGRAFICA!$J55=""),"",IF(OR($I58="Finito ritenute non previste",$I58="Finito con sblocco ritenute",$I58="Finito senza sblocco ritenute"),0,IF(AND($BK58&gt;=$BJ58,ANAGRAFICA!$R55="Ritardo produttivo FIDA"),IF(ANAGRAFICA!$T55&lt;&gt;"",MAX(0,ANAGRAFICA!$J55-ANAGRAFICA!$T55),MAX(0,$Y58-ANAGRAFICA!$J55)),0)))</f>
        <v/>
      </c>
      <c r="R58" s="17" t="str">
        <f t="shared" si="8"/>
        <v/>
      </c>
      <c r="S58" s="17" t="str">
        <f t="shared" si="9"/>
        <v/>
      </c>
      <c r="T58" s="17" t="str">
        <f t="shared" si="10"/>
        <v/>
      </c>
      <c r="U58" s="16" t="str">
        <f t="shared" si="11"/>
        <v/>
      </c>
      <c r="V58" s="16" t="str">
        <f t="shared" si="12"/>
        <v/>
      </c>
      <c r="W58" s="16" t="str">
        <f t="shared" si="13"/>
        <v/>
      </c>
      <c r="X58" s="40"/>
      <c r="Y58" s="14"/>
      <c r="AZ58" t="str">
        <f>IF($C58="","",ANAGRAFICA!$P55)</f>
        <v/>
      </c>
      <c r="BA58" t="str">
        <f>IF($C58="","",SUMIF('MOVIMENTI 2026'!$B$7:$B$4206,$C58,'MOVIMENTI 2026'!$I$7:$I$4206)+SUMIF('SALDI AL 31.12.2025'!$A$6:$A$505,$C58,'SALDI AL 31.12.2025'!$C$6:$C$505))</f>
        <v/>
      </c>
      <c r="BB58" t="str">
        <f>IF($C58="","",SUMIF('MOVIMENTI 2026'!$B$7:$B$4206,$C58,'MOVIMENTI 2026'!$J$7:$J$4206)+SUMIF('SALDI AL 31.12.2025'!$A$6:$A$505,$C58,'SALDI AL 31.12.2025'!$D$6:$D$505))</f>
        <v/>
      </c>
      <c r="BC58" t="str">
        <f>IF($C58="","",SUMIF('MOVIMENTI 2026'!$B$7:$B$4206,$C58,'MOVIMENTI 2026'!$K$7:$K$4206)+SUMIF('SALDI AL 31.12.2025'!$A$6:$A$505,$C58,'SALDI AL 31.12.2025'!$E$6:$E$505))</f>
        <v/>
      </c>
      <c r="BD58" t="str">
        <f>IF($C58="","",SUMIF('MOVIMENTI 2026'!$B$7:$B$4206,$C58,'MOVIMENTI 2026'!$L$7:$L$4206)+SUMIF('SALDI AL 31.12.2025'!$A$6:$A$505,$C58,'SALDI AL 31.12.2025'!$F$6:$F$505))</f>
        <v/>
      </c>
      <c r="BE58" t="str">
        <f t="shared" si="14"/>
        <v/>
      </c>
      <c r="BF58" t="str">
        <f t="shared" si="15"/>
        <v/>
      </c>
      <c r="BG58" t="str">
        <f t="shared" si="16"/>
        <v/>
      </c>
      <c r="BH58" t="str">
        <f>IFERROR(IF(OR($C58="",ANAGRAFICA!$I55="",ANAGRAFICA!$J55="",ANAGRAFICA!$J55&lt;=ANAGRAFICA!$I55,$Y58=""),"",IF(OR($I58="Finito ritenute non previste",$I58="Finito con sblocco ritenute",$I58="Finito senza sblocco ritenute"),1,MAX(0,MIN(1,($Y58-ANAGRAFICA!$I55)/(ANAGRAFICA!$J55-ANAGRAFICA!$I55))))),"")</f>
        <v/>
      </c>
      <c r="BI58" t="str">
        <f t="shared" si="17"/>
        <v/>
      </c>
      <c r="BJ58" t="str">
        <f>IFERROR(IF($C58="","",'BUDGET COMMESSA'!$D55),"")</f>
        <v/>
      </c>
      <c r="BK58" t="str">
        <f>IF($C58="","",SUMIF('MOVIMENTI 2026'!$B$7:$B$4206,$C58,'MOVIMENTI 2026'!$N$7:$N$4206)+SUMIF('SALDI AL 31.12.2025'!$A$6:$A$505,$C58,'SALDI AL 31.12.2025'!$H$6:$H$505))</f>
        <v/>
      </c>
      <c r="BL58" t="str">
        <f t="shared" si="18"/>
        <v/>
      </c>
      <c r="BM58" t="str">
        <f t="shared" si="19"/>
        <v/>
      </c>
      <c r="BN58" t="str">
        <f t="shared" si="20"/>
        <v/>
      </c>
      <c r="BO58" t="str">
        <f>IFERROR(IF($C58="","",'BUDGET COMMESSA'!$G55),"")</f>
        <v/>
      </c>
      <c r="BP58" t="str">
        <f>IF($C58="","",SUMIF('COSTI DIRETTI'!$C$6:$C$505,$C58,'COSTI DIRETTI'!$H$6:$H$505)+SUMIF('SALDI AL 31.12.2025'!$A$6:$A$505,$C58,'SALDI AL 31.12.2025'!$I$6:$I$505))</f>
        <v/>
      </c>
      <c r="BQ58" t="str">
        <f t="shared" si="21"/>
        <v/>
      </c>
      <c r="BR58" t="str">
        <f t="shared" si="22"/>
        <v/>
      </c>
      <c r="BS58" t="str">
        <f>IF($C58="","",$BK58*PARAMETRI!$B$4+$BP58)</f>
        <v/>
      </c>
      <c r="BT58">
        <f t="shared" si="23"/>
        <v>0</v>
      </c>
      <c r="BU58">
        <f t="shared" si="24"/>
        <v>0</v>
      </c>
      <c r="BV58" t="str">
        <f>IF($C58="","",SUMIF('MOVIMENTI 2026'!$B$7:$B$4206,$C58,'MOVIMENTI 2026'!$P$7:$P$4206)+SUMIF('SALDI AL 31.12.2025'!$A$6:$A$505,$C58,'SALDI AL 31.12.2025'!$G$6:$G$505))</f>
        <v/>
      </c>
    </row>
    <row r="59" spans="1:74" ht="16" x14ac:dyDescent="0.15">
      <c r="A59" s="17" t="str">
        <f>IFERROR(IF($C59="","",IF(OR($BF59&gt;0,$V59&gt;$J59,AND(ISNUMBER($Q59),$Q59&gt;0),AND($BI59&lt;&gt;"",$BI59&lt;-PARAMETRI!$B$6),AND($BM59&lt;&gt;"",$BM59&gt;=1),AND($BN59&lt;&gt;"",$BN59&gt;PARAMETRI!$B$8),AND(ISNUMBER($BR59),$BR59&gt;0)),"CRITICO",IF(OR($AZ59="",LEFT($C59,5)="TEMP",$BJ59="",$BO59="",ANAGRAFICA!$I56="",ANAGRAFICA!$J56="",$Y59="",AND(OR($I59="Finito ritenute non previste",$I59="Finito con sblocco ritenute",$I59="Finito senza sblocco ritenute"),ANAGRAFICA!$K56=""),OR(AND(ANAGRAFICA!$T56&lt;&gt;"",ANAGRAFICA!$J56&lt;&gt;ANAGRAFICA!$T56,OR(ANAGRAFICA!$R56="",ANAGRAFICA!$R56="Nessuna variazione")),AND(ANAGRAFICA!$J56="",ANAGRAFICA!$R56&lt;&gt;"",ANAGRAFICA!$R56&lt;&gt;"Nessuna variazione")),AND($BI59&lt;&gt;"",$BI59&lt;-PARAMETRI!$B$5),AND($BN59&lt;&gt;"",$BN59&gt;PARAMETRI!$B$7),AND($W59&gt;0,$M59&gt;$W59*PARAMETRI!$B$9),AND($O59&gt;0,OR($I59="Finito ritenute non previste",$I59="Finito con sblocco ritenute",$I59="Finito senza sblocco ritenute")),AND($BA59&gt;0,$BO59&gt;0,$BP59=0),AND(OR($I59="Finito ritenute non previste",$I59="Finito con sblocco ritenute",$I59="Finito senza sblocco ritenute"),$W59&gt;0,$N59&gt;$W59*PARAMETRI!$B$9),$V59&gt;0),"ATTENZIONE","REGOLARE"))),"ATTENZIONE")</f>
        <v/>
      </c>
      <c r="B59" s="17" t="str">
        <f>IFERROR(IF($C59="","",IF($BF59&gt;0,"FATTURATO OLTRE VALORE RECUPERABILE; ","")&amp;IF($V59&gt;$J59,"PERDITE ACCETTATE OLTRE CONTRATTO; ","")&amp;IF($V59&gt;0,"PERDITA SAL ACCETTATA (€ "&amp;TEXT($V59,"#,##0.00")&amp;"); ","")&amp;IF(AND(ISNUMBER($Q59),$Q59&gt;0),"RITARDO PRODUTTIVO ("&amp;TEXT($Q59,"0")&amp;" GG); ","")&amp;IF(AND($BI59&lt;&gt;"",$BI59&lt;-PARAMETRI!$B$5),"AVANZAMENTO PIÙ LENTO DEL TEMPO; ","")&amp;IF(AND($BM59&lt;&gt;"",$BM59&gt;1),"ORE OLTRE BUDGET; ","")&amp;IF(AND($BM59&lt;&gt;"",$BM59=1),"ORE PREVENTIVATE ESAURITE; ","")&amp;IF(AND($BN59&lt;&gt;"",$BN59&gt;PARAMETRI!$B$7),"CONSUMO ORE SUPERIORE ALL'AVANZAMENTO; ","")&amp;IF(AND(ISNUMBER($BR59),$BR59&gt;0),"COSTI DIRETTI OLTRE BUDGET; ","")&amp;IF(AND($W59&gt;0,$M59&gt;$W59*PARAMETRI!$B$9),"SAL MATURATO NON FATTURATO; ","")&amp;IF(AND($O59&gt;0,OR($I59="Finito ritenute non previste",$I59="Finito con sblocco ritenute",$I59="Finito senza sblocco ritenute")),"RITENUTE DA SBLOCCARE; ","")&amp;IF(AND($BA59&gt;0,$BO59&gt;0,$BP59=0),"COSTI DIRETTI NON REGISTRATI; ","")&amp;IF(AND(OR($I59="Finito ritenute non previste",$I59="Finito con sblocco ritenute",$I59="Finito senza sblocco ritenute"),$W59&gt;0,$N59&gt;$W59*PARAMETRI!$B$9),"CANTIERE FINITO CON RESIDUO LAVORI; ","")&amp;IF(AND(OR($I59="Finito ritenute non previste",$I59="Finito con sblocco ritenute",$I59="Finito senza sblocco ritenute"),ANAGRAFICA!$K56=""),"DATA FINE EFFETTIVA MANCANTE; ","")&amp;IF(OR(AND(ANAGRAFICA!$T56&lt;&gt;"",ANAGRAFICA!$J56&lt;&gt;ANAGRAFICA!$T56,OR(ANAGRAFICA!$R56="",ANAGRAFICA!$R56="Nessuna variazione")),AND(ANAGRAFICA!$J56="",ANAGRAFICA!$R56&lt;&gt;"",ANAGRAFICA!$R56&lt;&gt;"Nessuna variazione")),"GESTIONE DATA FINE INCOMPLETA; ","")&amp;IF($Y59="","AGGIORNATO AL MANCANTE; ","")&amp;IF(OR($AZ59="",$BJ59="",$BO59="",ANAGRAFICA!$I56="",ANAGRAFICA!$J56=""),"DATI PREVISIONALI INCOMPLETI; ","")&amp;IF(LEFT($C59,5)="TEMP","CODICE COMMESSA TEMPORANEO; ","")),"DATI INCOMPLETI; ")</f>
        <v/>
      </c>
      <c r="C59" s="17" t="str">
        <f>IF(ANAGRAFICA!$B56="","",ANAGRAFICA!$B56)</f>
        <v/>
      </c>
      <c r="D59" s="17" t="str">
        <f>IF($C59="","",ANAGRAFICA!$C56)</f>
        <v/>
      </c>
      <c r="E59" s="17" t="str">
        <f>IF($C59="","",ANAGRAFICA!$D56)</f>
        <v/>
      </c>
      <c r="F59" s="17" t="str">
        <f>IF($C59="","",ANAGRAFICA!$E56)</f>
        <v/>
      </c>
      <c r="G59" s="17" t="str">
        <f>IF($C59="","",ANAGRAFICA!$F56)</f>
        <v/>
      </c>
      <c r="H59" s="17" t="str">
        <f>IF($C59="","",ANAGRAFICA!$G56)</f>
        <v/>
      </c>
      <c r="I59" s="17" t="str">
        <f>IF($C59="","",ANAGRAFICA!$L56)</f>
        <v/>
      </c>
      <c r="J59" s="16" t="str">
        <f t="shared" si="1"/>
        <v/>
      </c>
      <c r="K59" s="16" t="str">
        <f t="shared" si="2"/>
        <v/>
      </c>
      <c r="L59" s="16" t="str">
        <f t="shared" si="3"/>
        <v/>
      </c>
      <c r="M59" s="16" t="str">
        <f t="shared" si="4"/>
        <v/>
      </c>
      <c r="N59" s="16" t="str">
        <f t="shared" si="5"/>
        <v/>
      </c>
      <c r="O59" s="16" t="str">
        <f t="shared" si="6"/>
        <v/>
      </c>
      <c r="P59" s="17" t="str">
        <f t="shared" si="7"/>
        <v/>
      </c>
      <c r="Q59" s="31" t="str">
        <f>IF(OR($C59="",'BUDGET COMMESSA'!$D56="",'BUDGET COMMESSA'!$D56&lt;=0,ANAGRAFICA!$J56=""),"",IF(OR($I59="Finito ritenute non previste",$I59="Finito con sblocco ritenute",$I59="Finito senza sblocco ritenute"),0,IF(AND($BK59&gt;=$BJ59,ANAGRAFICA!$R56="Ritardo produttivo FIDA"),IF(ANAGRAFICA!$T56&lt;&gt;"",MAX(0,ANAGRAFICA!$J56-ANAGRAFICA!$T56),MAX(0,$Y59-ANAGRAFICA!$J56)),0)))</f>
        <v/>
      </c>
      <c r="R59" s="17" t="str">
        <f t="shared" si="8"/>
        <v/>
      </c>
      <c r="S59" s="17" t="str">
        <f t="shared" si="9"/>
        <v/>
      </c>
      <c r="T59" s="17" t="str">
        <f t="shared" si="10"/>
        <v/>
      </c>
      <c r="U59" s="16" t="str">
        <f t="shared" si="11"/>
        <v/>
      </c>
      <c r="V59" s="16" t="str">
        <f t="shared" si="12"/>
        <v/>
      </c>
      <c r="W59" s="16" t="str">
        <f t="shared" si="13"/>
        <v/>
      </c>
      <c r="X59" s="40"/>
      <c r="Y59" s="14"/>
      <c r="AZ59" t="str">
        <f>IF($C59="","",ANAGRAFICA!$P56)</f>
        <v/>
      </c>
      <c r="BA59" t="str">
        <f>IF($C59="","",SUMIF('MOVIMENTI 2026'!$B$7:$B$4206,$C59,'MOVIMENTI 2026'!$I$7:$I$4206)+SUMIF('SALDI AL 31.12.2025'!$A$6:$A$505,$C59,'SALDI AL 31.12.2025'!$C$6:$C$505))</f>
        <v/>
      </c>
      <c r="BB59" t="str">
        <f>IF($C59="","",SUMIF('MOVIMENTI 2026'!$B$7:$B$4206,$C59,'MOVIMENTI 2026'!$J$7:$J$4206)+SUMIF('SALDI AL 31.12.2025'!$A$6:$A$505,$C59,'SALDI AL 31.12.2025'!$D$6:$D$505))</f>
        <v/>
      </c>
      <c r="BC59" t="str">
        <f>IF($C59="","",SUMIF('MOVIMENTI 2026'!$B$7:$B$4206,$C59,'MOVIMENTI 2026'!$K$7:$K$4206)+SUMIF('SALDI AL 31.12.2025'!$A$6:$A$505,$C59,'SALDI AL 31.12.2025'!$E$6:$E$505))</f>
        <v/>
      </c>
      <c r="BD59" t="str">
        <f>IF($C59="","",SUMIF('MOVIMENTI 2026'!$B$7:$B$4206,$C59,'MOVIMENTI 2026'!$L$7:$L$4206)+SUMIF('SALDI AL 31.12.2025'!$A$6:$A$505,$C59,'SALDI AL 31.12.2025'!$F$6:$F$505))</f>
        <v/>
      </c>
      <c r="BE59" t="str">
        <f t="shared" si="14"/>
        <v/>
      </c>
      <c r="BF59" t="str">
        <f t="shared" si="15"/>
        <v/>
      </c>
      <c r="BG59" t="str">
        <f t="shared" si="16"/>
        <v/>
      </c>
      <c r="BH59" t="str">
        <f>IFERROR(IF(OR($C59="",ANAGRAFICA!$I56="",ANAGRAFICA!$J56="",ANAGRAFICA!$J56&lt;=ANAGRAFICA!$I56,$Y59=""),"",IF(OR($I59="Finito ritenute non previste",$I59="Finito con sblocco ritenute",$I59="Finito senza sblocco ritenute"),1,MAX(0,MIN(1,($Y59-ANAGRAFICA!$I56)/(ANAGRAFICA!$J56-ANAGRAFICA!$I56))))),"")</f>
        <v/>
      </c>
      <c r="BI59" t="str">
        <f t="shared" si="17"/>
        <v/>
      </c>
      <c r="BJ59" t="str">
        <f>IFERROR(IF($C59="","",'BUDGET COMMESSA'!$D56),"")</f>
        <v/>
      </c>
      <c r="BK59" t="str">
        <f>IF($C59="","",SUMIF('MOVIMENTI 2026'!$B$7:$B$4206,$C59,'MOVIMENTI 2026'!$N$7:$N$4206)+SUMIF('SALDI AL 31.12.2025'!$A$6:$A$505,$C59,'SALDI AL 31.12.2025'!$H$6:$H$505))</f>
        <v/>
      </c>
      <c r="BL59" t="str">
        <f t="shared" si="18"/>
        <v/>
      </c>
      <c r="BM59" t="str">
        <f t="shared" si="19"/>
        <v/>
      </c>
      <c r="BN59" t="str">
        <f t="shared" si="20"/>
        <v/>
      </c>
      <c r="BO59" t="str">
        <f>IFERROR(IF($C59="","",'BUDGET COMMESSA'!$G56),"")</f>
        <v/>
      </c>
      <c r="BP59" t="str">
        <f>IF($C59="","",SUMIF('COSTI DIRETTI'!$C$6:$C$505,$C59,'COSTI DIRETTI'!$H$6:$H$505)+SUMIF('SALDI AL 31.12.2025'!$A$6:$A$505,$C59,'SALDI AL 31.12.2025'!$I$6:$I$505))</f>
        <v/>
      </c>
      <c r="BQ59" t="str">
        <f t="shared" si="21"/>
        <v/>
      </c>
      <c r="BR59" t="str">
        <f t="shared" si="22"/>
        <v/>
      </c>
      <c r="BS59" t="str">
        <f>IF($C59="","",$BK59*PARAMETRI!$B$4+$BP59)</f>
        <v/>
      </c>
      <c r="BT59">
        <f t="shared" si="23"/>
        <v>0</v>
      </c>
      <c r="BU59">
        <f t="shared" si="24"/>
        <v>0</v>
      </c>
      <c r="BV59" t="str">
        <f>IF($C59="","",SUMIF('MOVIMENTI 2026'!$B$7:$B$4206,$C59,'MOVIMENTI 2026'!$P$7:$P$4206)+SUMIF('SALDI AL 31.12.2025'!$A$6:$A$505,$C59,'SALDI AL 31.12.2025'!$G$6:$G$505))</f>
        <v/>
      </c>
    </row>
    <row r="60" spans="1:74" ht="16" x14ac:dyDescent="0.15">
      <c r="A60" s="17" t="str">
        <f>IFERROR(IF($C60="","",IF(OR($BF60&gt;0,$V60&gt;$J60,AND(ISNUMBER($Q60),$Q60&gt;0),AND($BI60&lt;&gt;"",$BI60&lt;-PARAMETRI!$B$6),AND($BM60&lt;&gt;"",$BM60&gt;=1),AND($BN60&lt;&gt;"",$BN60&gt;PARAMETRI!$B$8),AND(ISNUMBER($BR60),$BR60&gt;0)),"CRITICO",IF(OR($AZ60="",LEFT($C60,5)="TEMP",$BJ60="",$BO60="",ANAGRAFICA!$I57="",ANAGRAFICA!$J57="",$Y60="",AND(OR($I60="Finito ritenute non previste",$I60="Finito con sblocco ritenute",$I60="Finito senza sblocco ritenute"),ANAGRAFICA!$K57=""),OR(AND(ANAGRAFICA!$T57&lt;&gt;"",ANAGRAFICA!$J57&lt;&gt;ANAGRAFICA!$T57,OR(ANAGRAFICA!$R57="",ANAGRAFICA!$R57="Nessuna variazione")),AND(ANAGRAFICA!$J57="",ANAGRAFICA!$R57&lt;&gt;"",ANAGRAFICA!$R57&lt;&gt;"Nessuna variazione")),AND($BI60&lt;&gt;"",$BI60&lt;-PARAMETRI!$B$5),AND($BN60&lt;&gt;"",$BN60&gt;PARAMETRI!$B$7),AND($W60&gt;0,$M60&gt;$W60*PARAMETRI!$B$9),AND($O60&gt;0,OR($I60="Finito ritenute non previste",$I60="Finito con sblocco ritenute",$I60="Finito senza sblocco ritenute")),AND($BA60&gt;0,$BO60&gt;0,$BP60=0),AND(OR($I60="Finito ritenute non previste",$I60="Finito con sblocco ritenute",$I60="Finito senza sblocco ritenute"),$W60&gt;0,$N60&gt;$W60*PARAMETRI!$B$9),$V60&gt;0),"ATTENZIONE","REGOLARE"))),"ATTENZIONE")</f>
        <v/>
      </c>
      <c r="B60" s="17" t="str">
        <f>IFERROR(IF($C60="","",IF($BF60&gt;0,"FATTURATO OLTRE VALORE RECUPERABILE; ","")&amp;IF($V60&gt;$J60,"PERDITE ACCETTATE OLTRE CONTRATTO; ","")&amp;IF($V60&gt;0,"PERDITA SAL ACCETTATA (€ "&amp;TEXT($V60,"#,##0.00")&amp;"); ","")&amp;IF(AND(ISNUMBER($Q60),$Q60&gt;0),"RITARDO PRODUTTIVO ("&amp;TEXT($Q60,"0")&amp;" GG); ","")&amp;IF(AND($BI60&lt;&gt;"",$BI60&lt;-PARAMETRI!$B$5),"AVANZAMENTO PIÙ LENTO DEL TEMPO; ","")&amp;IF(AND($BM60&lt;&gt;"",$BM60&gt;1),"ORE OLTRE BUDGET; ","")&amp;IF(AND($BM60&lt;&gt;"",$BM60=1),"ORE PREVENTIVATE ESAURITE; ","")&amp;IF(AND($BN60&lt;&gt;"",$BN60&gt;PARAMETRI!$B$7),"CONSUMO ORE SUPERIORE ALL'AVANZAMENTO; ","")&amp;IF(AND(ISNUMBER($BR60),$BR60&gt;0),"COSTI DIRETTI OLTRE BUDGET; ","")&amp;IF(AND($W60&gt;0,$M60&gt;$W60*PARAMETRI!$B$9),"SAL MATURATO NON FATTURATO; ","")&amp;IF(AND($O60&gt;0,OR($I60="Finito ritenute non previste",$I60="Finito con sblocco ritenute",$I60="Finito senza sblocco ritenute")),"RITENUTE DA SBLOCCARE; ","")&amp;IF(AND($BA60&gt;0,$BO60&gt;0,$BP60=0),"COSTI DIRETTI NON REGISTRATI; ","")&amp;IF(AND(OR($I60="Finito ritenute non previste",$I60="Finito con sblocco ritenute",$I60="Finito senza sblocco ritenute"),$W60&gt;0,$N60&gt;$W60*PARAMETRI!$B$9),"CANTIERE FINITO CON RESIDUO LAVORI; ","")&amp;IF(AND(OR($I60="Finito ritenute non previste",$I60="Finito con sblocco ritenute",$I60="Finito senza sblocco ritenute"),ANAGRAFICA!$K57=""),"DATA FINE EFFETTIVA MANCANTE; ","")&amp;IF(OR(AND(ANAGRAFICA!$T57&lt;&gt;"",ANAGRAFICA!$J57&lt;&gt;ANAGRAFICA!$T57,OR(ANAGRAFICA!$R57="",ANAGRAFICA!$R57="Nessuna variazione")),AND(ANAGRAFICA!$J57="",ANAGRAFICA!$R57&lt;&gt;"",ANAGRAFICA!$R57&lt;&gt;"Nessuna variazione")),"GESTIONE DATA FINE INCOMPLETA; ","")&amp;IF($Y60="","AGGIORNATO AL MANCANTE; ","")&amp;IF(OR($AZ60="",$BJ60="",$BO60="",ANAGRAFICA!$I57="",ANAGRAFICA!$J57=""),"DATI PREVISIONALI INCOMPLETI; ","")&amp;IF(LEFT($C60,5)="TEMP","CODICE COMMESSA TEMPORANEO; ","")),"DATI INCOMPLETI; ")</f>
        <v/>
      </c>
      <c r="C60" s="17" t="str">
        <f>IF(ANAGRAFICA!$B57="","",ANAGRAFICA!$B57)</f>
        <v/>
      </c>
      <c r="D60" s="17" t="str">
        <f>IF($C60="","",ANAGRAFICA!$C57)</f>
        <v/>
      </c>
      <c r="E60" s="17" t="str">
        <f>IF($C60="","",ANAGRAFICA!$D57)</f>
        <v/>
      </c>
      <c r="F60" s="17" t="str">
        <f>IF($C60="","",ANAGRAFICA!$E57)</f>
        <v/>
      </c>
      <c r="G60" s="17" t="str">
        <f>IF($C60="","",ANAGRAFICA!$F57)</f>
        <v/>
      </c>
      <c r="H60" s="17" t="str">
        <f>IF($C60="","",ANAGRAFICA!$G57)</f>
        <v/>
      </c>
      <c r="I60" s="17" t="str">
        <f>IF($C60="","",ANAGRAFICA!$L57)</f>
        <v/>
      </c>
      <c r="J60" s="16" t="str">
        <f t="shared" si="1"/>
        <v/>
      </c>
      <c r="K60" s="16" t="str">
        <f t="shared" si="2"/>
        <v/>
      </c>
      <c r="L60" s="16" t="str">
        <f t="shared" si="3"/>
        <v/>
      </c>
      <c r="M60" s="16" t="str">
        <f t="shared" si="4"/>
        <v/>
      </c>
      <c r="N60" s="16" t="str">
        <f t="shared" si="5"/>
        <v/>
      </c>
      <c r="O60" s="16" t="str">
        <f t="shared" si="6"/>
        <v/>
      </c>
      <c r="P60" s="17" t="str">
        <f t="shared" si="7"/>
        <v/>
      </c>
      <c r="Q60" s="31" t="str">
        <f>IF(OR($C60="",'BUDGET COMMESSA'!$D57="",'BUDGET COMMESSA'!$D57&lt;=0,ANAGRAFICA!$J57=""),"",IF(OR($I60="Finito ritenute non previste",$I60="Finito con sblocco ritenute",$I60="Finito senza sblocco ritenute"),0,IF(AND($BK60&gt;=$BJ60,ANAGRAFICA!$R57="Ritardo produttivo FIDA"),IF(ANAGRAFICA!$T57&lt;&gt;"",MAX(0,ANAGRAFICA!$J57-ANAGRAFICA!$T57),MAX(0,$Y60-ANAGRAFICA!$J57)),0)))</f>
        <v/>
      </c>
      <c r="R60" s="17" t="str">
        <f t="shared" si="8"/>
        <v/>
      </c>
      <c r="S60" s="17" t="str">
        <f t="shared" si="9"/>
        <v/>
      </c>
      <c r="T60" s="17" t="str">
        <f t="shared" si="10"/>
        <v/>
      </c>
      <c r="U60" s="16" t="str">
        <f t="shared" si="11"/>
        <v/>
      </c>
      <c r="V60" s="16" t="str">
        <f t="shared" si="12"/>
        <v/>
      </c>
      <c r="W60" s="16" t="str">
        <f t="shared" si="13"/>
        <v/>
      </c>
      <c r="X60" s="40"/>
      <c r="Y60" s="14"/>
      <c r="AZ60" t="str">
        <f>IF($C60="","",ANAGRAFICA!$P57)</f>
        <v/>
      </c>
      <c r="BA60" t="str">
        <f>IF($C60="","",SUMIF('MOVIMENTI 2026'!$B$7:$B$4206,$C60,'MOVIMENTI 2026'!$I$7:$I$4206)+SUMIF('SALDI AL 31.12.2025'!$A$6:$A$505,$C60,'SALDI AL 31.12.2025'!$C$6:$C$505))</f>
        <v/>
      </c>
      <c r="BB60" t="str">
        <f>IF($C60="","",SUMIF('MOVIMENTI 2026'!$B$7:$B$4206,$C60,'MOVIMENTI 2026'!$J$7:$J$4206)+SUMIF('SALDI AL 31.12.2025'!$A$6:$A$505,$C60,'SALDI AL 31.12.2025'!$D$6:$D$505))</f>
        <v/>
      </c>
      <c r="BC60" t="str">
        <f>IF($C60="","",SUMIF('MOVIMENTI 2026'!$B$7:$B$4206,$C60,'MOVIMENTI 2026'!$K$7:$K$4206)+SUMIF('SALDI AL 31.12.2025'!$A$6:$A$505,$C60,'SALDI AL 31.12.2025'!$E$6:$E$505))</f>
        <v/>
      </c>
      <c r="BD60" t="str">
        <f>IF($C60="","",SUMIF('MOVIMENTI 2026'!$B$7:$B$4206,$C60,'MOVIMENTI 2026'!$L$7:$L$4206)+SUMIF('SALDI AL 31.12.2025'!$A$6:$A$505,$C60,'SALDI AL 31.12.2025'!$F$6:$F$505))</f>
        <v/>
      </c>
      <c r="BE60" t="str">
        <f t="shared" si="14"/>
        <v/>
      </c>
      <c r="BF60" t="str">
        <f t="shared" si="15"/>
        <v/>
      </c>
      <c r="BG60" t="str">
        <f t="shared" si="16"/>
        <v/>
      </c>
      <c r="BH60" t="str">
        <f>IFERROR(IF(OR($C60="",ANAGRAFICA!$I57="",ANAGRAFICA!$J57="",ANAGRAFICA!$J57&lt;=ANAGRAFICA!$I57,$Y60=""),"",IF(OR($I60="Finito ritenute non previste",$I60="Finito con sblocco ritenute",$I60="Finito senza sblocco ritenute"),1,MAX(0,MIN(1,($Y60-ANAGRAFICA!$I57)/(ANAGRAFICA!$J57-ANAGRAFICA!$I57))))),"")</f>
        <v/>
      </c>
      <c r="BI60" t="str">
        <f t="shared" si="17"/>
        <v/>
      </c>
      <c r="BJ60" t="str">
        <f>IFERROR(IF($C60="","",'BUDGET COMMESSA'!$D57),"")</f>
        <v/>
      </c>
      <c r="BK60" t="str">
        <f>IF($C60="","",SUMIF('MOVIMENTI 2026'!$B$7:$B$4206,$C60,'MOVIMENTI 2026'!$N$7:$N$4206)+SUMIF('SALDI AL 31.12.2025'!$A$6:$A$505,$C60,'SALDI AL 31.12.2025'!$H$6:$H$505))</f>
        <v/>
      </c>
      <c r="BL60" t="str">
        <f t="shared" si="18"/>
        <v/>
      </c>
      <c r="BM60" t="str">
        <f t="shared" si="19"/>
        <v/>
      </c>
      <c r="BN60" t="str">
        <f t="shared" si="20"/>
        <v/>
      </c>
      <c r="BO60" t="str">
        <f>IFERROR(IF($C60="","",'BUDGET COMMESSA'!$G57),"")</f>
        <v/>
      </c>
      <c r="BP60" t="str">
        <f>IF($C60="","",SUMIF('COSTI DIRETTI'!$C$6:$C$505,$C60,'COSTI DIRETTI'!$H$6:$H$505)+SUMIF('SALDI AL 31.12.2025'!$A$6:$A$505,$C60,'SALDI AL 31.12.2025'!$I$6:$I$505))</f>
        <v/>
      </c>
      <c r="BQ60" t="str">
        <f t="shared" si="21"/>
        <v/>
      </c>
      <c r="BR60" t="str">
        <f t="shared" si="22"/>
        <v/>
      </c>
      <c r="BS60" t="str">
        <f>IF($C60="","",$BK60*PARAMETRI!$B$4+$BP60)</f>
        <v/>
      </c>
      <c r="BT60">
        <f t="shared" si="23"/>
        <v>0</v>
      </c>
      <c r="BU60">
        <f t="shared" si="24"/>
        <v>0</v>
      </c>
      <c r="BV60" t="str">
        <f>IF($C60="","",SUMIF('MOVIMENTI 2026'!$B$7:$B$4206,$C60,'MOVIMENTI 2026'!$P$7:$P$4206)+SUMIF('SALDI AL 31.12.2025'!$A$6:$A$505,$C60,'SALDI AL 31.12.2025'!$G$6:$G$505))</f>
        <v/>
      </c>
    </row>
    <row r="61" spans="1:74" ht="16" x14ac:dyDescent="0.15">
      <c r="A61" s="17" t="str">
        <f>IFERROR(IF($C61="","",IF(OR($BF61&gt;0,$V61&gt;$J61,AND(ISNUMBER($Q61),$Q61&gt;0),AND($BI61&lt;&gt;"",$BI61&lt;-PARAMETRI!$B$6),AND($BM61&lt;&gt;"",$BM61&gt;=1),AND($BN61&lt;&gt;"",$BN61&gt;PARAMETRI!$B$8),AND(ISNUMBER($BR61),$BR61&gt;0)),"CRITICO",IF(OR($AZ61="",LEFT($C61,5)="TEMP",$BJ61="",$BO61="",ANAGRAFICA!$I58="",ANAGRAFICA!$J58="",$Y61="",AND(OR($I61="Finito ritenute non previste",$I61="Finito con sblocco ritenute",$I61="Finito senza sblocco ritenute"),ANAGRAFICA!$K58=""),OR(AND(ANAGRAFICA!$T58&lt;&gt;"",ANAGRAFICA!$J58&lt;&gt;ANAGRAFICA!$T58,OR(ANAGRAFICA!$R58="",ANAGRAFICA!$R58="Nessuna variazione")),AND(ANAGRAFICA!$J58="",ANAGRAFICA!$R58&lt;&gt;"",ANAGRAFICA!$R58&lt;&gt;"Nessuna variazione")),AND($BI61&lt;&gt;"",$BI61&lt;-PARAMETRI!$B$5),AND($BN61&lt;&gt;"",$BN61&gt;PARAMETRI!$B$7),AND($W61&gt;0,$M61&gt;$W61*PARAMETRI!$B$9),AND($O61&gt;0,OR($I61="Finito ritenute non previste",$I61="Finito con sblocco ritenute",$I61="Finito senza sblocco ritenute")),AND($BA61&gt;0,$BO61&gt;0,$BP61=0),AND(OR($I61="Finito ritenute non previste",$I61="Finito con sblocco ritenute",$I61="Finito senza sblocco ritenute"),$W61&gt;0,$N61&gt;$W61*PARAMETRI!$B$9),$V61&gt;0),"ATTENZIONE","REGOLARE"))),"ATTENZIONE")</f>
        <v/>
      </c>
      <c r="B61" s="17" t="str">
        <f>IFERROR(IF($C61="","",IF($BF61&gt;0,"FATTURATO OLTRE VALORE RECUPERABILE; ","")&amp;IF($V61&gt;$J61,"PERDITE ACCETTATE OLTRE CONTRATTO; ","")&amp;IF($V61&gt;0,"PERDITA SAL ACCETTATA (€ "&amp;TEXT($V61,"#,##0.00")&amp;"); ","")&amp;IF(AND(ISNUMBER($Q61),$Q61&gt;0),"RITARDO PRODUTTIVO ("&amp;TEXT($Q61,"0")&amp;" GG); ","")&amp;IF(AND($BI61&lt;&gt;"",$BI61&lt;-PARAMETRI!$B$5),"AVANZAMENTO PIÙ LENTO DEL TEMPO; ","")&amp;IF(AND($BM61&lt;&gt;"",$BM61&gt;1),"ORE OLTRE BUDGET; ","")&amp;IF(AND($BM61&lt;&gt;"",$BM61=1),"ORE PREVENTIVATE ESAURITE; ","")&amp;IF(AND($BN61&lt;&gt;"",$BN61&gt;PARAMETRI!$B$7),"CONSUMO ORE SUPERIORE ALL'AVANZAMENTO; ","")&amp;IF(AND(ISNUMBER($BR61),$BR61&gt;0),"COSTI DIRETTI OLTRE BUDGET; ","")&amp;IF(AND($W61&gt;0,$M61&gt;$W61*PARAMETRI!$B$9),"SAL MATURATO NON FATTURATO; ","")&amp;IF(AND($O61&gt;0,OR($I61="Finito ritenute non previste",$I61="Finito con sblocco ritenute",$I61="Finito senza sblocco ritenute")),"RITENUTE DA SBLOCCARE; ","")&amp;IF(AND($BA61&gt;0,$BO61&gt;0,$BP61=0),"COSTI DIRETTI NON REGISTRATI; ","")&amp;IF(AND(OR($I61="Finito ritenute non previste",$I61="Finito con sblocco ritenute",$I61="Finito senza sblocco ritenute"),$W61&gt;0,$N61&gt;$W61*PARAMETRI!$B$9),"CANTIERE FINITO CON RESIDUO LAVORI; ","")&amp;IF(AND(OR($I61="Finito ritenute non previste",$I61="Finito con sblocco ritenute",$I61="Finito senza sblocco ritenute"),ANAGRAFICA!$K58=""),"DATA FINE EFFETTIVA MANCANTE; ","")&amp;IF(OR(AND(ANAGRAFICA!$T58&lt;&gt;"",ANAGRAFICA!$J58&lt;&gt;ANAGRAFICA!$T58,OR(ANAGRAFICA!$R58="",ANAGRAFICA!$R58="Nessuna variazione")),AND(ANAGRAFICA!$J58="",ANAGRAFICA!$R58&lt;&gt;"",ANAGRAFICA!$R58&lt;&gt;"Nessuna variazione")),"GESTIONE DATA FINE INCOMPLETA; ","")&amp;IF($Y61="","AGGIORNATO AL MANCANTE; ","")&amp;IF(OR($AZ61="",$BJ61="",$BO61="",ANAGRAFICA!$I58="",ANAGRAFICA!$J58=""),"DATI PREVISIONALI INCOMPLETI; ","")&amp;IF(LEFT($C61,5)="TEMP","CODICE COMMESSA TEMPORANEO; ","")),"DATI INCOMPLETI; ")</f>
        <v/>
      </c>
      <c r="C61" s="17" t="str">
        <f>IF(ANAGRAFICA!$B58="","",ANAGRAFICA!$B58)</f>
        <v/>
      </c>
      <c r="D61" s="17" t="str">
        <f>IF($C61="","",ANAGRAFICA!$C58)</f>
        <v/>
      </c>
      <c r="E61" s="17" t="str">
        <f>IF($C61="","",ANAGRAFICA!$D58)</f>
        <v/>
      </c>
      <c r="F61" s="17" t="str">
        <f>IF($C61="","",ANAGRAFICA!$E58)</f>
        <v/>
      </c>
      <c r="G61" s="17" t="str">
        <f>IF($C61="","",ANAGRAFICA!$F58)</f>
        <v/>
      </c>
      <c r="H61" s="17" t="str">
        <f>IF($C61="","",ANAGRAFICA!$G58)</f>
        <v/>
      </c>
      <c r="I61" s="17" t="str">
        <f>IF($C61="","",ANAGRAFICA!$L58)</f>
        <v/>
      </c>
      <c r="J61" s="16" t="str">
        <f t="shared" si="1"/>
        <v/>
      </c>
      <c r="K61" s="16" t="str">
        <f t="shared" si="2"/>
        <v/>
      </c>
      <c r="L61" s="16" t="str">
        <f t="shared" si="3"/>
        <v/>
      </c>
      <c r="M61" s="16" t="str">
        <f t="shared" si="4"/>
        <v/>
      </c>
      <c r="N61" s="16" t="str">
        <f t="shared" si="5"/>
        <v/>
      </c>
      <c r="O61" s="16" t="str">
        <f t="shared" si="6"/>
        <v/>
      </c>
      <c r="P61" s="17" t="str">
        <f t="shared" si="7"/>
        <v/>
      </c>
      <c r="Q61" s="31" t="str">
        <f>IF(OR($C61="",'BUDGET COMMESSA'!$D58="",'BUDGET COMMESSA'!$D58&lt;=0,ANAGRAFICA!$J58=""),"",IF(OR($I61="Finito ritenute non previste",$I61="Finito con sblocco ritenute",$I61="Finito senza sblocco ritenute"),0,IF(AND($BK61&gt;=$BJ61,ANAGRAFICA!$R58="Ritardo produttivo FIDA"),IF(ANAGRAFICA!$T58&lt;&gt;"",MAX(0,ANAGRAFICA!$J58-ANAGRAFICA!$T58),MAX(0,$Y61-ANAGRAFICA!$J58)),0)))</f>
        <v/>
      </c>
      <c r="R61" s="17" t="str">
        <f t="shared" si="8"/>
        <v/>
      </c>
      <c r="S61" s="17" t="str">
        <f t="shared" si="9"/>
        <v/>
      </c>
      <c r="T61" s="17" t="str">
        <f t="shared" si="10"/>
        <v/>
      </c>
      <c r="U61" s="16" t="str">
        <f t="shared" si="11"/>
        <v/>
      </c>
      <c r="V61" s="16" t="str">
        <f t="shared" si="12"/>
        <v/>
      </c>
      <c r="W61" s="16" t="str">
        <f t="shared" si="13"/>
        <v/>
      </c>
      <c r="X61" s="40"/>
      <c r="Y61" s="14"/>
      <c r="AZ61" t="str">
        <f>IF($C61="","",ANAGRAFICA!$P58)</f>
        <v/>
      </c>
      <c r="BA61" t="str">
        <f>IF($C61="","",SUMIF('MOVIMENTI 2026'!$B$7:$B$4206,$C61,'MOVIMENTI 2026'!$I$7:$I$4206)+SUMIF('SALDI AL 31.12.2025'!$A$6:$A$505,$C61,'SALDI AL 31.12.2025'!$C$6:$C$505))</f>
        <v/>
      </c>
      <c r="BB61" t="str">
        <f>IF($C61="","",SUMIF('MOVIMENTI 2026'!$B$7:$B$4206,$C61,'MOVIMENTI 2026'!$J$7:$J$4206)+SUMIF('SALDI AL 31.12.2025'!$A$6:$A$505,$C61,'SALDI AL 31.12.2025'!$D$6:$D$505))</f>
        <v/>
      </c>
      <c r="BC61" t="str">
        <f>IF($C61="","",SUMIF('MOVIMENTI 2026'!$B$7:$B$4206,$C61,'MOVIMENTI 2026'!$K$7:$K$4206)+SUMIF('SALDI AL 31.12.2025'!$A$6:$A$505,$C61,'SALDI AL 31.12.2025'!$E$6:$E$505))</f>
        <v/>
      </c>
      <c r="BD61" t="str">
        <f>IF($C61="","",SUMIF('MOVIMENTI 2026'!$B$7:$B$4206,$C61,'MOVIMENTI 2026'!$L$7:$L$4206)+SUMIF('SALDI AL 31.12.2025'!$A$6:$A$505,$C61,'SALDI AL 31.12.2025'!$F$6:$F$505))</f>
        <v/>
      </c>
      <c r="BE61" t="str">
        <f t="shared" si="14"/>
        <v/>
      </c>
      <c r="BF61" t="str">
        <f t="shared" si="15"/>
        <v/>
      </c>
      <c r="BG61" t="str">
        <f t="shared" si="16"/>
        <v/>
      </c>
      <c r="BH61" t="str">
        <f>IFERROR(IF(OR($C61="",ANAGRAFICA!$I58="",ANAGRAFICA!$J58="",ANAGRAFICA!$J58&lt;=ANAGRAFICA!$I58,$Y61=""),"",IF(OR($I61="Finito ritenute non previste",$I61="Finito con sblocco ritenute",$I61="Finito senza sblocco ritenute"),1,MAX(0,MIN(1,($Y61-ANAGRAFICA!$I58)/(ANAGRAFICA!$J58-ANAGRAFICA!$I58))))),"")</f>
        <v/>
      </c>
      <c r="BI61" t="str">
        <f t="shared" si="17"/>
        <v/>
      </c>
      <c r="BJ61" t="str">
        <f>IFERROR(IF($C61="","",'BUDGET COMMESSA'!$D58),"")</f>
        <v/>
      </c>
      <c r="BK61" t="str">
        <f>IF($C61="","",SUMIF('MOVIMENTI 2026'!$B$7:$B$4206,$C61,'MOVIMENTI 2026'!$N$7:$N$4206)+SUMIF('SALDI AL 31.12.2025'!$A$6:$A$505,$C61,'SALDI AL 31.12.2025'!$H$6:$H$505))</f>
        <v/>
      </c>
      <c r="BL61" t="str">
        <f t="shared" si="18"/>
        <v/>
      </c>
      <c r="BM61" t="str">
        <f t="shared" si="19"/>
        <v/>
      </c>
      <c r="BN61" t="str">
        <f t="shared" si="20"/>
        <v/>
      </c>
      <c r="BO61" t="str">
        <f>IFERROR(IF($C61="","",'BUDGET COMMESSA'!$G58),"")</f>
        <v/>
      </c>
      <c r="BP61" t="str">
        <f>IF($C61="","",SUMIF('COSTI DIRETTI'!$C$6:$C$505,$C61,'COSTI DIRETTI'!$H$6:$H$505)+SUMIF('SALDI AL 31.12.2025'!$A$6:$A$505,$C61,'SALDI AL 31.12.2025'!$I$6:$I$505))</f>
        <v/>
      </c>
      <c r="BQ61" t="str">
        <f t="shared" si="21"/>
        <v/>
      </c>
      <c r="BR61" t="str">
        <f t="shared" si="22"/>
        <v/>
      </c>
      <c r="BS61" t="str">
        <f>IF($C61="","",$BK61*PARAMETRI!$B$4+$BP61)</f>
        <v/>
      </c>
      <c r="BT61">
        <f t="shared" si="23"/>
        <v>0</v>
      </c>
      <c r="BU61">
        <f t="shared" si="24"/>
        <v>0</v>
      </c>
      <c r="BV61" t="str">
        <f>IF($C61="","",SUMIF('MOVIMENTI 2026'!$B$7:$B$4206,$C61,'MOVIMENTI 2026'!$P$7:$P$4206)+SUMIF('SALDI AL 31.12.2025'!$A$6:$A$505,$C61,'SALDI AL 31.12.2025'!$G$6:$G$505))</f>
        <v/>
      </c>
    </row>
    <row r="62" spans="1:74" ht="16" x14ac:dyDescent="0.15">
      <c r="A62" s="17" t="str">
        <f>IFERROR(IF($C62="","",IF(OR($BF62&gt;0,$V62&gt;$J62,AND(ISNUMBER($Q62),$Q62&gt;0),AND($BI62&lt;&gt;"",$BI62&lt;-PARAMETRI!$B$6),AND($BM62&lt;&gt;"",$BM62&gt;=1),AND($BN62&lt;&gt;"",$BN62&gt;PARAMETRI!$B$8),AND(ISNUMBER($BR62),$BR62&gt;0)),"CRITICO",IF(OR($AZ62="",LEFT($C62,5)="TEMP",$BJ62="",$BO62="",ANAGRAFICA!$I59="",ANAGRAFICA!$J59="",$Y62="",AND(OR($I62="Finito ritenute non previste",$I62="Finito con sblocco ritenute",$I62="Finito senza sblocco ritenute"),ANAGRAFICA!$K59=""),OR(AND(ANAGRAFICA!$T59&lt;&gt;"",ANAGRAFICA!$J59&lt;&gt;ANAGRAFICA!$T59,OR(ANAGRAFICA!$R59="",ANAGRAFICA!$R59="Nessuna variazione")),AND(ANAGRAFICA!$J59="",ANAGRAFICA!$R59&lt;&gt;"",ANAGRAFICA!$R59&lt;&gt;"Nessuna variazione")),AND($BI62&lt;&gt;"",$BI62&lt;-PARAMETRI!$B$5),AND($BN62&lt;&gt;"",$BN62&gt;PARAMETRI!$B$7),AND($W62&gt;0,$M62&gt;$W62*PARAMETRI!$B$9),AND($O62&gt;0,OR($I62="Finito ritenute non previste",$I62="Finito con sblocco ritenute",$I62="Finito senza sblocco ritenute")),AND($BA62&gt;0,$BO62&gt;0,$BP62=0),AND(OR($I62="Finito ritenute non previste",$I62="Finito con sblocco ritenute",$I62="Finito senza sblocco ritenute"),$W62&gt;0,$N62&gt;$W62*PARAMETRI!$B$9),$V62&gt;0),"ATTENZIONE","REGOLARE"))),"ATTENZIONE")</f>
        <v/>
      </c>
      <c r="B62" s="17" t="str">
        <f>IFERROR(IF($C62="","",IF($BF62&gt;0,"FATTURATO OLTRE VALORE RECUPERABILE; ","")&amp;IF($V62&gt;$J62,"PERDITE ACCETTATE OLTRE CONTRATTO; ","")&amp;IF($V62&gt;0,"PERDITA SAL ACCETTATA (€ "&amp;TEXT($V62,"#,##0.00")&amp;"); ","")&amp;IF(AND(ISNUMBER($Q62),$Q62&gt;0),"RITARDO PRODUTTIVO ("&amp;TEXT($Q62,"0")&amp;" GG); ","")&amp;IF(AND($BI62&lt;&gt;"",$BI62&lt;-PARAMETRI!$B$5),"AVANZAMENTO PIÙ LENTO DEL TEMPO; ","")&amp;IF(AND($BM62&lt;&gt;"",$BM62&gt;1),"ORE OLTRE BUDGET; ","")&amp;IF(AND($BM62&lt;&gt;"",$BM62=1),"ORE PREVENTIVATE ESAURITE; ","")&amp;IF(AND($BN62&lt;&gt;"",$BN62&gt;PARAMETRI!$B$7),"CONSUMO ORE SUPERIORE ALL'AVANZAMENTO; ","")&amp;IF(AND(ISNUMBER($BR62),$BR62&gt;0),"COSTI DIRETTI OLTRE BUDGET; ","")&amp;IF(AND($W62&gt;0,$M62&gt;$W62*PARAMETRI!$B$9),"SAL MATURATO NON FATTURATO; ","")&amp;IF(AND($O62&gt;0,OR($I62="Finito ritenute non previste",$I62="Finito con sblocco ritenute",$I62="Finito senza sblocco ritenute")),"RITENUTE DA SBLOCCARE; ","")&amp;IF(AND($BA62&gt;0,$BO62&gt;0,$BP62=0),"COSTI DIRETTI NON REGISTRATI; ","")&amp;IF(AND(OR($I62="Finito ritenute non previste",$I62="Finito con sblocco ritenute",$I62="Finito senza sblocco ritenute"),$W62&gt;0,$N62&gt;$W62*PARAMETRI!$B$9),"CANTIERE FINITO CON RESIDUO LAVORI; ","")&amp;IF(AND(OR($I62="Finito ritenute non previste",$I62="Finito con sblocco ritenute",$I62="Finito senza sblocco ritenute"),ANAGRAFICA!$K59=""),"DATA FINE EFFETTIVA MANCANTE; ","")&amp;IF(OR(AND(ANAGRAFICA!$T59&lt;&gt;"",ANAGRAFICA!$J59&lt;&gt;ANAGRAFICA!$T59,OR(ANAGRAFICA!$R59="",ANAGRAFICA!$R59="Nessuna variazione")),AND(ANAGRAFICA!$J59="",ANAGRAFICA!$R59&lt;&gt;"",ANAGRAFICA!$R59&lt;&gt;"Nessuna variazione")),"GESTIONE DATA FINE INCOMPLETA; ","")&amp;IF($Y62="","AGGIORNATO AL MANCANTE; ","")&amp;IF(OR($AZ62="",$BJ62="",$BO62="",ANAGRAFICA!$I59="",ANAGRAFICA!$J59=""),"DATI PREVISIONALI INCOMPLETI; ","")&amp;IF(LEFT($C62,5)="TEMP","CODICE COMMESSA TEMPORANEO; ","")),"DATI INCOMPLETI; ")</f>
        <v/>
      </c>
      <c r="C62" s="17" t="str">
        <f>IF(ANAGRAFICA!$B59="","",ANAGRAFICA!$B59)</f>
        <v/>
      </c>
      <c r="D62" s="17" t="str">
        <f>IF($C62="","",ANAGRAFICA!$C59)</f>
        <v/>
      </c>
      <c r="E62" s="17" t="str">
        <f>IF($C62="","",ANAGRAFICA!$D59)</f>
        <v/>
      </c>
      <c r="F62" s="17" t="str">
        <f>IF($C62="","",ANAGRAFICA!$E59)</f>
        <v/>
      </c>
      <c r="G62" s="17" t="str">
        <f>IF($C62="","",ANAGRAFICA!$F59)</f>
        <v/>
      </c>
      <c r="H62" s="17" t="str">
        <f>IF($C62="","",ANAGRAFICA!$G59)</f>
        <v/>
      </c>
      <c r="I62" s="17" t="str">
        <f>IF($C62="","",ANAGRAFICA!$L59)</f>
        <v/>
      </c>
      <c r="J62" s="16" t="str">
        <f t="shared" si="1"/>
        <v/>
      </c>
      <c r="K62" s="16" t="str">
        <f t="shared" si="2"/>
        <v/>
      </c>
      <c r="L62" s="16" t="str">
        <f t="shared" si="3"/>
        <v/>
      </c>
      <c r="M62" s="16" t="str">
        <f t="shared" si="4"/>
        <v/>
      </c>
      <c r="N62" s="16" t="str">
        <f t="shared" si="5"/>
        <v/>
      </c>
      <c r="O62" s="16" t="str">
        <f t="shared" si="6"/>
        <v/>
      </c>
      <c r="P62" s="17" t="str">
        <f t="shared" si="7"/>
        <v/>
      </c>
      <c r="Q62" s="31" t="str">
        <f>IF(OR($C62="",'BUDGET COMMESSA'!$D59="",'BUDGET COMMESSA'!$D59&lt;=0,ANAGRAFICA!$J59=""),"",IF(OR($I62="Finito ritenute non previste",$I62="Finito con sblocco ritenute",$I62="Finito senza sblocco ritenute"),0,IF(AND($BK62&gt;=$BJ62,ANAGRAFICA!$R59="Ritardo produttivo FIDA"),IF(ANAGRAFICA!$T59&lt;&gt;"",MAX(0,ANAGRAFICA!$J59-ANAGRAFICA!$T59),MAX(0,$Y62-ANAGRAFICA!$J59)),0)))</f>
        <v/>
      </c>
      <c r="R62" s="17" t="str">
        <f t="shared" si="8"/>
        <v/>
      </c>
      <c r="S62" s="17" t="str">
        <f t="shared" si="9"/>
        <v/>
      </c>
      <c r="T62" s="17" t="str">
        <f t="shared" si="10"/>
        <v/>
      </c>
      <c r="U62" s="16" t="str">
        <f t="shared" si="11"/>
        <v/>
      </c>
      <c r="V62" s="16" t="str">
        <f t="shared" si="12"/>
        <v/>
      </c>
      <c r="W62" s="16" t="str">
        <f t="shared" si="13"/>
        <v/>
      </c>
      <c r="X62" s="40"/>
      <c r="Y62" s="14"/>
      <c r="AZ62" t="str">
        <f>IF($C62="","",ANAGRAFICA!$P59)</f>
        <v/>
      </c>
      <c r="BA62" t="str">
        <f>IF($C62="","",SUMIF('MOVIMENTI 2026'!$B$7:$B$4206,$C62,'MOVIMENTI 2026'!$I$7:$I$4206)+SUMIF('SALDI AL 31.12.2025'!$A$6:$A$505,$C62,'SALDI AL 31.12.2025'!$C$6:$C$505))</f>
        <v/>
      </c>
      <c r="BB62" t="str">
        <f>IF($C62="","",SUMIF('MOVIMENTI 2026'!$B$7:$B$4206,$C62,'MOVIMENTI 2026'!$J$7:$J$4206)+SUMIF('SALDI AL 31.12.2025'!$A$6:$A$505,$C62,'SALDI AL 31.12.2025'!$D$6:$D$505))</f>
        <v/>
      </c>
      <c r="BC62" t="str">
        <f>IF($C62="","",SUMIF('MOVIMENTI 2026'!$B$7:$B$4206,$C62,'MOVIMENTI 2026'!$K$7:$K$4206)+SUMIF('SALDI AL 31.12.2025'!$A$6:$A$505,$C62,'SALDI AL 31.12.2025'!$E$6:$E$505))</f>
        <v/>
      </c>
      <c r="BD62" t="str">
        <f>IF($C62="","",SUMIF('MOVIMENTI 2026'!$B$7:$B$4206,$C62,'MOVIMENTI 2026'!$L$7:$L$4206)+SUMIF('SALDI AL 31.12.2025'!$A$6:$A$505,$C62,'SALDI AL 31.12.2025'!$F$6:$F$505))</f>
        <v/>
      </c>
      <c r="BE62" t="str">
        <f t="shared" si="14"/>
        <v/>
      </c>
      <c r="BF62" t="str">
        <f t="shared" si="15"/>
        <v/>
      </c>
      <c r="BG62" t="str">
        <f t="shared" si="16"/>
        <v/>
      </c>
      <c r="BH62" t="str">
        <f>IFERROR(IF(OR($C62="",ANAGRAFICA!$I59="",ANAGRAFICA!$J59="",ANAGRAFICA!$J59&lt;=ANAGRAFICA!$I59,$Y62=""),"",IF(OR($I62="Finito ritenute non previste",$I62="Finito con sblocco ritenute",$I62="Finito senza sblocco ritenute"),1,MAX(0,MIN(1,($Y62-ANAGRAFICA!$I59)/(ANAGRAFICA!$J59-ANAGRAFICA!$I59))))),"")</f>
        <v/>
      </c>
      <c r="BI62" t="str">
        <f t="shared" si="17"/>
        <v/>
      </c>
      <c r="BJ62" t="str">
        <f>IFERROR(IF($C62="","",'BUDGET COMMESSA'!$D59),"")</f>
        <v/>
      </c>
      <c r="BK62" t="str">
        <f>IF($C62="","",SUMIF('MOVIMENTI 2026'!$B$7:$B$4206,$C62,'MOVIMENTI 2026'!$N$7:$N$4206)+SUMIF('SALDI AL 31.12.2025'!$A$6:$A$505,$C62,'SALDI AL 31.12.2025'!$H$6:$H$505))</f>
        <v/>
      </c>
      <c r="BL62" t="str">
        <f t="shared" si="18"/>
        <v/>
      </c>
      <c r="BM62" t="str">
        <f t="shared" si="19"/>
        <v/>
      </c>
      <c r="BN62" t="str">
        <f t="shared" si="20"/>
        <v/>
      </c>
      <c r="BO62" t="str">
        <f>IFERROR(IF($C62="","",'BUDGET COMMESSA'!$G59),"")</f>
        <v/>
      </c>
      <c r="BP62" t="str">
        <f>IF($C62="","",SUMIF('COSTI DIRETTI'!$C$6:$C$505,$C62,'COSTI DIRETTI'!$H$6:$H$505)+SUMIF('SALDI AL 31.12.2025'!$A$6:$A$505,$C62,'SALDI AL 31.12.2025'!$I$6:$I$505))</f>
        <v/>
      </c>
      <c r="BQ62" t="str">
        <f t="shared" si="21"/>
        <v/>
      </c>
      <c r="BR62" t="str">
        <f t="shared" si="22"/>
        <v/>
      </c>
      <c r="BS62" t="str">
        <f>IF($C62="","",$BK62*PARAMETRI!$B$4+$BP62)</f>
        <v/>
      </c>
      <c r="BT62">
        <f t="shared" si="23"/>
        <v>0</v>
      </c>
      <c r="BU62">
        <f t="shared" si="24"/>
        <v>0</v>
      </c>
      <c r="BV62" t="str">
        <f>IF($C62="","",SUMIF('MOVIMENTI 2026'!$B$7:$B$4206,$C62,'MOVIMENTI 2026'!$P$7:$P$4206)+SUMIF('SALDI AL 31.12.2025'!$A$6:$A$505,$C62,'SALDI AL 31.12.2025'!$G$6:$G$505))</f>
        <v/>
      </c>
    </row>
    <row r="63" spans="1:74" ht="16" x14ac:dyDescent="0.15">
      <c r="A63" s="17" t="str">
        <f>IFERROR(IF($C63="","",IF(OR($BF63&gt;0,$V63&gt;$J63,AND(ISNUMBER($Q63),$Q63&gt;0),AND($BI63&lt;&gt;"",$BI63&lt;-PARAMETRI!$B$6),AND($BM63&lt;&gt;"",$BM63&gt;=1),AND($BN63&lt;&gt;"",$BN63&gt;PARAMETRI!$B$8),AND(ISNUMBER($BR63),$BR63&gt;0)),"CRITICO",IF(OR($AZ63="",LEFT($C63,5)="TEMP",$BJ63="",$BO63="",ANAGRAFICA!$I60="",ANAGRAFICA!$J60="",$Y63="",AND(OR($I63="Finito ritenute non previste",$I63="Finito con sblocco ritenute",$I63="Finito senza sblocco ritenute"),ANAGRAFICA!$K60=""),OR(AND(ANAGRAFICA!$T60&lt;&gt;"",ANAGRAFICA!$J60&lt;&gt;ANAGRAFICA!$T60,OR(ANAGRAFICA!$R60="",ANAGRAFICA!$R60="Nessuna variazione")),AND(ANAGRAFICA!$J60="",ANAGRAFICA!$R60&lt;&gt;"",ANAGRAFICA!$R60&lt;&gt;"Nessuna variazione")),AND($BI63&lt;&gt;"",$BI63&lt;-PARAMETRI!$B$5),AND($BN63&lt;&gt;"",$BN63&gt;PARAMETRI!$B$7),AND($W63&gt;0,$M63&gt;$W63*PARAMETRI!$B$9),AND($O63&gt;0,OR($I63="Finito ritenute non previste",$I63="Finito con sblocco ritenute",$I63="Finito senza sblocco ritenute")),AND($BA63&gt;0,$BO63&gt;0,$BP63=0),AND(OR($I63="Finito ritenute non previste",$I63="Finito con sblocco ritenute",$I63="Finito senza sblocco ritenute"),$W63&gt;0,$N63&gt;$W63*PARAMETRI!$B$9),$V63&gt;0),"ATTENZIONE","REGOLARE"))),"ATTENZIONE")</f>
        <v/>
      </c>
      <c r="B63" s="17" t="str">
        <f>IFERROR(IF($C63="","",IF($BF63&gt;0,"FATTURATO OLTRE VALORE RECUPERABILE; ","")&amp;IF($V63&gt;$J63,"PERDITE ACCETTATE OLTRE CONTRATTO; ","")&amp;IF($V63&gt;0,"PERDITA SAL ACCETTATA (€ "&amp;TEXT($V63,"#,##0.00")&amp;"); ","")&amp;IF(AND(ISNUMBER($Q63),$Q63&gt;0),"RITARDO PRODUTTIVO ("&amp;TEXT($Q63,"0")&amp;" GG); ","")&amp;IF(AND($BI63&lt;&gt;"",$BI63&lt;-PARAMETRI!$B$5),"AVANZAMENTO PIÙ LENTO DEL TEMPO; ","")&amp;IF(AND($BM63&lt;&gt;"",$BM63&gt;1),"ORE OLTRE BUDGET; ","")&amp;IF(AND($BM63&lt;&gt;"",$BM63=1),"ORE PREVENTIVATE ESAURITE; ","")&amp;IF(AND($BN63&lt;&gt;"",$BN63&gt;PARAMETRI!$B$7),"CONSUMO ORE SUPERIORE ALL'AVANZAMENTO; ","")&amp;IF(AND(ISNUMBER($BR63),$BR63&gt;0),"COSTI DIRETTI OLTRE BUDGET; ","")&amp;IF(AND($W63&gt;0,$M63&gt;$W63*PARAMETRI!$B$9),"SAL MATURATO NON FATTURATO; ","")&amp;IF(AND($O63&gt;0,OR($I63="Finito ritenute non previste",$I63="Finito con sblocco ritenute",$I63="Finito senza sblocco ritenute")),"RITENUTE DA SBLOCCARE; ","")&amp;IF(AND($BA63&gt;0,$BO63&gt;0,$BP63=0),"COSTI DIRETTI NON REGISTRATI; ","")&amp;IF(AND(OR($I63="Finito ritenute non previste",$I63="Finito con sblocco ritenute",$I63="Finito senza sblocco ritenute"),$W63&gt;0,$N63&gt;$W63*PARAMETRI!$B$9),"CANTIERE FINITO CON RESIDUO LAVORI; ","")&amp;IF(AND(OR($I63="Finito ritenute non previste",$I63="Finito con sblocco ritenute",$I63="Finito senza sblocco ritenute"),ANAGRAFICA!$K60=""),"DATA FINE EFFETTIVA MANCANTE; ","")&amp;IF(OR(AND(ANAGRAFICA!$T60&lt;&gt;"",ANAGRAFICA!$J60&lt;&gt;ANAGRAFICA!$T60,OR(ANAGRAFICA!$R60="",ANAGRAFICA!$R60="Nessuna variazione")),AND(ANAGRAFICA!$J60="",ANAGRAFICA!$R60&lt;&gt;"",ANAGRAFICA!$R60&lt;&gt;"Nessuna variazione")),"GESTIONE DATA FINE INCOMPLETA; ","")&amp;IF($Y63="","AGGIORNATO AL MANCANTE; ","")&amp;IF(OR($AZ63="",$BJ63="",$BO63="",ANAGRAFICA!$I60="",ANAGRAFICA!$J60=""),"DATI PREVISIONALI INCOMPLETI; ","")&amp;IF(LEFT($C63,5)="TEMP","CODICE COMMESSA TEMPORANEO; ","")),"DATI INCOMPLETI; ")</f>
        <v/>
      </c>
      <c r="C63" s="17" t="str">
        <f>IF(ANAGRAFICA!$B60="","",ANAGRAFICA!$B60)</f>
        <v/>
      </c>
      <c r="D63" s="17" t="str">
        <f>IF($C63="","",ANAGRAFICA!$C60)</f>
        <v/>
      </c>
      <c r="E63" s="17" t="str">
        <f>IF($C63="","",ANAGRAFICA!$D60)</f>
        <v/>
      </c>
      <c r="F63" s="17" t="str">
        <f>IF($C63="","",ANAGRAFICA!$E60)</f>
        <v/>
      </c>
      <c r="G63" s="17" t="str">
        <f>IF($C63="","",ANAGRAFICA!$F60)</f>
        <v/>
      </c>
      <c r="H63" s="17" t="str">
        <f>IF($C63="","",ANAGRAFICA!$G60)</f>
        <v/>
      </c>
      <c r="I63" s="17" t="str">
        <f>IF($C63="","",ANAGRAFICA!$L60)</f>
        <v/>
      </c>
      <c r="J63" s="16" t="str">
        <f t="shared" si="1"/>
        <v/>
      </c>
      <c r="K63" s="16" t="str">
        <f t="shared" si="2"/>
        <v/>
      </c>
      <c r="L63" s="16" t="str">
        <f t="shared" si="3"/>
        <v/>
      </c>
      <c r="M63" s="16" t="str">
        <f t="shared" si="4"/>
        <v/>
      </c>
      <c r="N63" s="16" t="str">
        <f t="shared" si="5"/>
        <v/>
      </c>
      <c r="O63" s="16" t="str">
        <f t="shared" si="6"/>
        <v/>
      </c>
      <c r="P63" s="17" t="str">
        <f t="shared" si="7"/>
        <v/>
      </c>
      <c r="Q63" s="31" t="str">
        <f>IF(OR($C63="",'BUDGET COMMESSA'!$D60="",'BUDGET COMMESSA'!$D60&lt;=0,ANAGRAFICA!$J60=""),"",IF(OR($I63="Finito ritenute non previste",$I63="Finito con sblocco ritenute",$I63="Finito senza sblocco ritenute"),0,IF(AND($BK63&gt;=$BJ63,ANAGRAFICA!$R60="Ritardo produttivo FIDA"),IF(ANAGRAFICA!$T60&lt;&gt;"",MAX(0,ANAGRAFICA!$J60-ANAGRAFICA!$T60),MAX(0,$Y63-ANAGRAFICA!$J60)),0)))</f>
        <v/>
      </c>
      <c r="R63" s="17" t="str">
        <f t="shared" si="8"/>
        <v/>
      </c>
      <c r="S63" s="17" t="str">
        <f t="shared" si="9"/>
        <v/>
      </c>
      <c r="T63" s="17" t="str">
        <f t="shared" si="10"/>
        <v/>
      </c>
      <c r="U63" s="16" t="str">
        <f t="shared" si="11"/>
        <v/>
      </c>
      <c r="V63" s="16" t="str">
        <f t="shared" si="12"/>
        <v/>
      </c>
      <c r="W63" s="16" t="str">
        <f t="shared" si="13"/>
        <v/>
      </c>
      <c r="X63" s="40"/>
      <c r="Y63" s="14"/>
      <c r="AZ63" t="str">
        <f>IF($C63="","",ANAGRAFICA!$P60)</f>
        <v/>
      </c>
      <c r="BA63" t="str">
        <f>IF($C63="","",SUMIF('MOVIMENTI 2026'!$B$7:$B$4206,$C63,'MOVIMENTI 2026'!$I$7:$I$4206)+SUMIF('SALDI AL 31.12.2025'!$A$6:$A$505,$C63,'SALDI AL 31.12.2025'!$C$6:$C$505))</f>
        <v/>
      </c>
      <c r="BB63" t="str">
        <f>IF($C63="","",SUMIF('MOVIMENTI 2026'!$B$7:$B$4206,$C63,'MOVIMENTI 2026'!$J$7:$J$4206)+SUMIF('SALDI AL 31.12.2025'!$A$6:$A$505,$C63,'SALDI AL 31.12.2025'!$D$6:$D$505))</f>
        <v/>
      </c>
      <c r="BC63" t="str">
        <f>IF($C63="","",SUMIF('MOVIMENTI 2026'!$B$7:$B$4206,$C63,'MOVIMENTI 2026'!$K$7:$K$4206)+SUMIF('SALDI AL 31.12.2025'!$A$6:$A$505,$C63,'SALDI AL 31.12.2025'!$E$6:$E$505))</f>
        <v/>
      </c>
      <c r="BD63" t="str">
        <f>IF($C63="","",SUMIF('MOVIMENTI 2026'!$B$7:$B$4206,$C63,'MOVIMENTI 2026'!$L$7:$L$4206)+SUMIF('SALDI AL 31.12.2025'!$A$6:$A$505,$C63,'SALDI AL 31.12.2025'!$F$6:$F$505))</f>
        <v/>
      </c>
      <c r="BE63" t="str">
        <f t="shared" si="14"/>
        <v/>
      </c>
      <c r="BF63" t="str">
        <f t="shared" si="15"/>
        <v/>
      </c>
      <c r="BG63" t="str">
        <f t="shared" si="16"/>
        <v/>
      </c>
      <c r="BH63" t="str">
        <f>IFERROR(IF(OR($C63="",ANAGRAFICA!$I60="",ANAGRAFICA!$J60="",ANAGRAFICA!$J60&lt;=ANAGRAFICA!$I60,$Y63=""),"",IF(OR($I63="Finito ritenute non previste",$I63="Finito con sblocco ritenute",$I63="Finito senza sblocco ritenute"),1,MAX(0,MIN(1,($Y63-ANAGRAFICA!$I60)/(ANAGRAFICA!$J60-ANAGRAFICA!$I60))))),"")</f>
        <v/>
      </c>
      <c r="BI63" t="str">
        <f t="shared" si="17"/>
        <v/>
      </c>
      <c r="BJ63" t="str">
        <f>IFERROR(IF($C63="","",'BUDGET COMMESSA'!$D60),"")</f>
        <v/>
      </c>
      <c r="BK63" t="str">
        <f>IF($C63="","",SUMIF('MOVIMENTI 2026'!$B$7:$B$4206,$C63,'MOVIMENTI 2026'!$N$7:$N$4206)+SUMIF('SALDI AL 31.12.2025'!$A$6:$A$505,$C63,'SALDI AL 31.12.2025'!$H$6:$H$505))</f>
        <v/>
      </c>
      <c r="BL63" t="str">
        <f t="shared" si="18"/>
        <v/>
      </c>
      <c r="BM63" t="str">
        <f t="shared" si="19"/>
        <v/>
      </c>
      <c r="BN63" t="str">
        <f t="shared" si="20"/>
        <v/>
      </c>
      <c r="BO63" t="str">
        <f>IFERROR(IF($C63="","",'BUDGET COMMESSA'!$G60),"")</f>
        <v/>
      </c>
      <c r="BP63" t="str">
        <f>IF($C63="","",SUMIF('COSTI DIRETTI'!$C$6:$C$505,$C63,'COSTI DIRETTI'!$H$6:$H$505)+SUMIF('SALDI AL 31.12.2025'!$A$6:$A$505,$C63,'SALDI AL 31.12.2025'!$I$6:$I$505))</f>
        <v/>
      </c>
      <c r="BQ63" t="str">
        <f t="shared" si="21"/>
        <v/>
      </c>
      <c r="BR63" t="str">
        <f t="shared" si="22"/>
        <v/>
      </c>
      <c r="BS63" t="str">
        <f>IF($C63="","",$BK63*PARAMETRI!$B$4+$BP63)</f>
        <v/>
      </c>
      <c r="BT63">
        <f t="shared" si="23"/>
        <v>0</v>
      </c>
      <c r="BU63">
        <f t="shared" si="24"/>
        <v>0</v>
      </c>
      <c r="BV63" t="str">
        <f>IF($C63="","",SUMIF('MOVIMENTI 2026'!$B$7:$B$4206,$C63,'MOVIMENTI 2026'!$P$7:$P$4206)+SUMIF('SALDI AL 31.12.2025'!$A$6:$A$505,$C63,'SALDI AL 31.12.2025'!$G$6:$G$505))</f>
        <v/>
      </c>
    </row>
    <row r="64" spans="1:74" ht="16" x14ac:dyDescent="0.15">
      <c r="A64" s="17" t="str">
        <f>IFERROR(IF($C64="","",IF(OR($BF64&gt;0,$V64&gt;$J64,AND(ISNUMBER($Q64),$Q64&gt;0),AND($BI64&lt;&gt;"",$BI64&lt;-PARAMETRI!$B$6),AND($BM64&lt;&gt;"",$BM64&gt;=1),AND($BN64&lt;&gt;"",$BN64&gt;PARAMETRI!$B$8),AND(ISNUMBER($BR64),$BR64&gt;0)),"CRITICO",IF(OR($AZ64="",LEFT($C64,5)="TEMP",$BJ64="",$BO64="",ANAGRAFICA!$I61="",ANAGRAFICA!$J61="",$Y64="",AND(OR($I64="Finito ritenute non previste",$I64="Finito con sblocco ritenute",$I64="Finito senza sblocco ritenute"),ANAGRAFICA!$K61=""),OR(AND(ANAGRAFICA!$T61&lt;&gt;"",ANAGRAFICA!$J61&lt;&gt;ANAGRAFICA!$T61,OR(ANAGRAFICA!$R61="",ANAGRAFICA!$R61="Nessuna variazione")),AND(ANAGRAFICA!$J61="",ANAGRAFICA!$R61&lt;&gt;"",ANAGRAFICA!$R61&lt;&gt;"Nessuna variazione")),AND($BI64&lt;&gt;"",$BI64&lt;-PARAMETRI!$B$5),AND($BN64&lt;&gt;"",$BN64&gt;PARAMETRI!$B$7),AND($W64&gt;0,$M64&gt;$W64*PARAMETRI!$B$9),AND($O64&gt;0,OR($I64="Finito ritenute non previste",$I64="Finito con sblocco ritenute",$I64="Finito senza sblocco ritenute")),AND($BA64&gt;0,$BO64&gt;0,$BP64=0),AND(OR($I64="Finito ritenute non previste",$I64="Finito con sblocco ritenute",$I64="Finito senza sblocco ritenute"),$W64&gt;0,$N64&gt;$W64*PARAMETRI!$B$9),$V64&gt;0),"ATTENZIONE","REGOLARE"))),"ATTENZIONE")</f>
        <v/>
      </c>
      <c r="B64" s="17" t="str">
        <f>IFERROR(IF($C64="","",IF($BF64&gt;0,"FATTURATO OLTRE VALORE RECUPERABILE; ","")&amp;IF($V64&gt;$J64,"PERDITE ACCETTATE OLTRE CONTRATTO; ","")&amp;IF($V64&gt;0,"PERDITA SAL ACCETTATA (€ "&amp;TEXT($V64,"#,##0.00")&amp;"); ","")&amp;IF(AND(ISNUMBER($Q64),$Q64&gt;0),"RITARDO PRODUTTIVO ("&amp;TEXT($Q64,"0")&amp;" GG); ","")&amp;IF(AND($BI64&lt;&gt;"",$BI64&lt;-PARAMETRI!$B$5),"AVANZAMENTO PIÙ LENTO DEL TEMPO; ","")&amp;IF(AND($BM64&lt;&gt;"",$BM64&gt;1),"ORE OLTRE BUDGET; ","")&amp;IF(AND($BM64&lt;&gt;"",$BM64=1),"ORE PREVENTIVATE ESAURITE; ","")&amp;IF(AND($BN64&lt;&gt;"",$BN64&gt;PARAMETRI!$B$7),"CONSUMO ORE SUPERIORE ALL'AVANZAMENTO; ","")&amp;IF(AND(ISNUMBER($BR64),$BR64&gt;0),"COSTI DIRETTI OLTRE BUDGET; ","")&amp;IF(AND($W64&gt;0,$M64&gt;$W64*PARAMETRI!$B$9),"SAL MATURATO NON FATTURATO; ","")&amp;IF(AND($O64&gt;0,OR($I64="Finito ritenute non previste",$I64="Finito con sblocco ritenute",$I64="Finito senza sblocco ritenute")),"RITENUTE DA SBLOCCARE; ","")&amp;IF(AND($BA64&gt;0,$BO64&gt;0,$BP64=0),"COSTI DIRETTI NON REGISTRATI; ","")&amp;IF(AND(OR($I64="Finito ritenute non previste",$I64="Finito con sblocco ritenute",$I64="Finito senza sblocco ritenute"),$W64&gt;0,$N64&gt;$W64*PARAMETRI!$B$9),"CANTIERE FINITO CON RESIDUO LAVORI; ","")&amp;IF(AND(OR($I64="Finito ritenute non previste",$I64="Finito con sblocco ritenute",$I64="Finito senza sblocco ritenute"),ANAGRAFICA!$K61=""),"DATA FINE EFFETTIVA MANCANTE; ","")&amp;IF(OR(AND(ANAGRAFICA!$T61&lt;&gt;"",ANAGRAFICA!$J61&lt;&gt;ANAGRAFICA!$T61,OR(ANAGRAFICA!$R61="",ANAGRAFICA!$R61="Nessuna variazione")),AND(ANAGRAFICA!$J61="",ANAGRAFICA!$R61&lt;&gt;"",ANAGRAFICA!$R61&lt;&gt;"Nessuna variazione")),"GESTIONE DATA FINE INCOMPLETA; ","")&amp;IF($Y64="","AGGIORNATO AL MANCANTE; ","")&amp;IF(OR($AZ64="",$BJ64="",$BO64="",ANAGRAFICA!$I61="",ANAGRAFICA!$J61=""),"DATI PREVISIONALI INCOMPLETI; ","")&amp;IF(LEFT($C64,5)="TEMP","CODICE COMMESSA TEMPORANEO; ","")),"DATI INCOMPLETI; ")</f>
        <v/>
      </c>
      <c r="C64" s="17" t="str">
        <f>IF(ANAGRAFICA!$B61="","",ANAGRAFICA!$B61)</f>
        <v/>
      </c>
      <c r="D64" s="17" t="str">
        <f>IF($C64="","",ANAGRAFICA!$C61)</f>
        <v/>
      </c>
      <c r="E64" s="17" t="str">
        <f>IF($C64="","",ANAGRAFICA!$D61)</f>
        <v/>
      </c>
      <c r="F64" s="17" t="str">
        <f>IF($C64="","",ANAGRAFICA!$E61)</f>
        <v/>
      </c>
      <c r="G64" s="17" t="str">
        <f>IF($C64="","",ANAGRAFICA!$F61)</f>
        <v/>
      </c>
      <c r="H64" s="17" t="str">
        <f>IF($C64="","",ANAGRAFICA!$G61)</f>
        <v/>
      </c>
      <c r="I64" s="17" t="str">
        <f>IF($C64="","",ANAGRAFICA!$L61)</f>
        <v/>
      </c>
      <c r="J64" s="16" t="str">
        <f t="shared" si="1"/>
        <v/>
      </c>
      <c r="K64" s="16" t="str">
        <f t="shared" si="2"/>
        <v/>
      </c>
      <c r="L64" s="16" t="str">
        <f t="shared" si="3"/>
        <v/>
      </c>
      <c r="M64" s="16" t="str">
        <f t="shared" si="4"/>
        <v/>
      </c>
      <c r="N64" s="16" t="str">
        <f t="shared" si="5"/>
        <v/>
      </c>
      <c r="O64" s="16" t="str">
        <f t="shared" si="6"/>
        <v/>
      </c>
      <c r="P64" s="17" t="str">
        <f t="shared" si="7"/>
        <v/>
      </c>
      <c r="Q64" s="31" t="str">
        <f>IF(OR($C64="",'BUDGET COMMESSA'!$D61="",'BUDGET COMMESSA'!$D61&lt;=0,ANAGRAFICA!$J61=""),"",IF(OR($I64="Finito ritenute non previste",$I64="Finito con sblocco ritenute",$I64="Finito senza sblocco ritenute"),0,IF(AND($BK64&gt;=$BJ64,ANAGRAFICA!$R61="Ritardo produttivo FIDA"),IF(ANAGRAFICA!$T61&lt;&gt;"",MAX(0,ANAGRAFICA!$J61-ANAGRAFICA!$T61),MAX(0,$Y64-ANAGRAFICA!$J61)),0)))</f>
        <v/>
      </c>
      <c r="R64" s="17" t="str">
        <f t="shared" si="8"/>
        <v/>
      </c>
      <c r="S64" s="17" t="str">
        <f t="shared" si="9"/>
        <v/>
      </c>
      <c r="T64" s="17" t="str">
        <f t="shared" si="10"/>
        <v/>
      </c>
      <c r="U64" s="16" t="str">
        <f t="shared" si="11"/>
        <v/>
      </c>
      <c r="V64" s="16" t="str">
        <f t="shared" si="12"/>
        <v/>
      </c>
      <c r="W64" s="16" t="str">
        <f t="shared" si="13"/>
        <v/>
      </c>
      <c r="X64" s="40"/>
      <c r="Y64" s="14"/>
      <c r="AZ64" t="str">
        <f>IF($C64="","",ANAGRAFICA!$P61)</f>
        <v/>
      </c>
      <c r="BA64" t="str">
        <f>IF($C64="","",SUMIF('MOVIMENTI 2026'!$B$7:$B$4206,$C64,'MOVIMENTI 2026'!$I$7:$I$4206)+SUMIF('SALDI AL 31.12.2025'!$A$6:$A$505,$C64,'SALDI AL 31.12.2025'!$C$6:$C$505))</f>
        <v/>
      </c>
      <c r="BB64" t="str">
        <f>IF($C64="","",SUMIF('MOVIMENTI 2026'!$B$7:$B$4206,$C64,'MOVIMENTI 2026'!$J$7:$J$4206)+SUMIF('SALDI AL 31.12.2025'!$A$6:$A$505,$C64,'SALDI AL 31.12.2025'!$D$6:$D$505))</f>
        <v/>
      </c>
      <c r="BC64" t="str">
        <f>IF($C64="","",SUMIF('MOVIMENTI 2026'!$B$7:$B$4206,$C64,'MOVIMENTI 2026'!$K$7:$K$4206)+SUMIF('SALDI AL 31.12.2025'!$A$6:$A$505,$C64,'SALDI AL 31.12.2025'!$E$6:$E$505))</f>
        <v/>
      </c>
      <c r="BD64" t="str">
        <f>IF($C64="","",SUMIF('MOVIMENTI 2026'!$B$7:$B$4206,$C64,'MOVIMENTI 2026'!$L$7:$L$4206)+SUMIF('SALDI AL 31.12.2025'!$A$6:$A$505,$C64,'SALDI AL 31.12.2025'!$F$6:$F$505))</f>
        <v/>
      </c>
      <c r="BE64" t="str">
        <f t="shared" si="14"/>
        <v/>
      </c>
      <c r="BF64" t="str">
        <f t="shared" si="15"/>
        <v/>
      </c>
      <c r="BG64" t="str">
        <f t="shared" si="16"/>
        <v/>
      </c>
      <c r="BH64" t="str">
        <f>IFERROR(IF(OR($C64="",ANAGRAFICA!$I61="",ANAGRAFICA!$J61="",ANAGRAFICA!$J61&lt;=ANAGRAFICA!$I61,$Y64=""),"",IF(OR($I64="Finito ritenute non previste",$I64="Finito con sblocco ritenute",$I64="Finito senza sblocco ritenute"),1,MAX(0,MIN(1,($Y64-ANAGRAFICA!$I61)/(ANAGRAFICA!$J61-ANAGRAFICA!$I61))))),"")</f>
        <v/>
      </c>
      <c r="BI64" t="str">
        <f t="shared" si="17"/>
        <v/>
      </c>
      <c r="BJ64" t="str">
        <f>IFERROR(IF($C64="","",'BUDGET COMMESSA'!$D61),"")</f>
        <v/>
      </c>
      <c r="BK64" t="str">
        <f>IF($C64="","",SUMIF('MOVIMENTI 2026'!$B$7:$B$4206,$C64,'MOVIMENTI 2026'!$N$7:$N$4206)+SUMIF('SALDI AL 31.12.2025'!$A$6:$A$505,$C64,'SALDI AL 31.12.2025'!$H$6:$H$505))</f>
        <v/>
      </c>
      <c r="BL64" t="str">
        <f t="shared" si="18"/>
        <v/>
      </c>
      <c r="BM64" t="str">
        <f t="shared" si="19"/>
        <v/>
      </c>
      <c r="BN64" t="str">
        <f t="shared" si="20"/>
        <v/>
      </c>
      <c r="BO64" t="str">
        <f>IFERROR(IF($C64="","",'BUDGET COMMESSA'!$G61),"")</f>
        <v/>
      </c>
      <c r="BP64" t="str">
        <f>IF($C64="","",SUMIF('COSTI DIRETTI'!$C$6:$C$505,$C64,'COSTI DIRETTI'!$H$6:$H$505)+SUMIF('SALDI AL 31.12.2025'!$A$6:$A$505,$C64,'SALDI AL 31.12.2025'!$I$6:$I$505))</f>
        <v/>
      </c>
      <c r="BQ64" t="str">
        <f t="shared" si="21"/>
        <v/>
      </c>
      <c r="BR64" t="str">
        <f t="shared" si="22"/>
        <v/>
      </c>
      <c r="BS64" t="str">
        <f>IF($C64="","",$BK64*PARAMETRI!$B$4+$BP64)</f>
        <v/>
      </c>
      <c r="BT64">
        <f t="shared" si="23"/>
        <v>0</v>
      </c>
      <c r="BU64">
        <f t="shared" si="24"/>
        <v>0</v>
      </c>
      <c r="BV64" t="str">
        <f>IF($C64="","",SUMIF('MOVIMENTI 2026'!$B$7:$B$4206,$C64,'MOVIMENTI 2026'!$P$7:$P$4206)+SUMIF('SALDI AL 31.12.2025'!$A$6:$A$505,$C64,'SALDI AL 31.12.2025'!$G$6:$G$505))</f>
        <v/>
      </c>
    </row>
    <row r="65" spans="1:74" ht="16" x14ac:dyDescent="0.15">
      <c r="A65" s="17" t="str">
        <f>IFERROR(IF($C65="","",IF(OR($BF65&gt;0,$V65&gt;$J65,AND(ISNUMBER($Q65),$Q65&gt;0),AND($BI65&lt;&gt;"",$BI65&lt;-PARAMETRI!$B$6),AND($BM65&lt;&gt;"",$BM65&gt;=1),AND($BN65&lt;&gt;"",$BN65&gt;PARAMETRI!$B$8),AND(ISNUMBER($BR65),$BR65&gt;0)),"CRITICO",IF(OR($AZ65="",LEFT($C65,5)="TEMP",$BJ65="",$BO65="",ANAGRAFICA!$I62="",ANAGRAFICA!$J62="",$Y65="",AND(OR($I65="Finito ritenute non previste",$I65="Finito con sblocco ritenute",$I65="Finito senza sblocco ritenute"),ANAGRAFICA!$K62=""),OR(AND(ANAGRAFICA!$T62&lt;&gt;"",ANAGRAFICA!$J62&lt;&gt;ANAGRAFICA!$T62,OR(ANAGRAFICA!$R62="",ANAGRAFICA!$R62="Nessuna variazione")),AND(ANAGRAFICA!$J62="",ANAGRAFICA!$R62&lt;&gt;"",ANAGRAFICA!$R62&lt;&gt;"Nessuna variazione")),AND($BI65&lt;&gt;"",$BI65&lt;-PARAMETRI!$B$5),AND($BN65&lt;&gt;"",$BN65&gt;PARAMETRI!$B$7),AND($W65&gt;0,$M65&gt;$W65*PARAMETRI!$B$9),AND($O65&gt;0,OR($I65="Finito ritenute non previste",$I65="Finito con sblocco ritenute",$I65="Finito senza sblocco ritenute")),AND($BA65&gt;0,$BO65&gt;0,$BP65=0),AND(OR($I65="Finito ritenute non previste",$I65="Finito con sblocco ritenute",$I65="Finito senza sblocco ritenute"),$W65&gt;0,$N65&gt;$W65*PARAMETRI!$B$9),$V65&gt;0),"ATTENZIONE","REGOLARE"))),"ATTENZIONE")</f>
        <v/>
      </c>
      <c r="B65" s="17" t="str">
        <f>IFERROR(IF($C65="","",IF($BF65&gt;0,"FATTURATO OLTRE VALORE RECUPERABILE; ","")&amp;IF($V65&gt;$J65,"PERDITE ACCETTATE OLTRE CONTRATTO; ","")&amp;IF($V65&gt;0,"PERDITA SAL ACCETTATA (€ "&amp;TEXT($V65,"#,##0.00")&amp;"); ","")&amp;IF(AND(ISNUMBER($Q65),$Q65&gt;0),"RITARDO PRODUTTIVO ("&amp;TEXT($Q65,"0")&amp;" GG); ","")&amp;IF(AND($BI65&lt;&gt;"",$BI65&lt;-PARAMETRI!$B$5),"AVANZAMENTO PIÙ LENTO DEL TEMPO; ","")&amp;IF(AND($BM65&lt;&gt;"",$BM65&gt;1),"ORE OLTRE BUDGET; ","")&amp;IF(AND($BM65&lt;&gt;"",$BM65=1),"ORE PREVENTIVATE ESAURITE; ","")&amp;IF(AND($BN65&lt;&gt;"",$BN65&gt;PARAMETRI!$B$7),"CONSUMO ORE SUPERIORE ALL'AVANZAMENTO; ","")&amp;IF(AND(ISNUMBER($BR65),$BR65&gt;0),"COSTI DIRETTI OLTRE BUDGET; ","")&amp;IF(AND($W65&gt;0,$M65&gt;$W65*PARAMETRI!$B$9),"SAL MATURATO NON FATTURATO; ","")&amp;IF(AND($O65&gt;0,OR($I65="Finito ritenute non previste",$I65="Finito con sblocco ritenute",$I65="Finito senza sblocco ritenute")),"RITENUTE DA SBLOCCARE; ","")&amp;IF(AND($BA65&gt;0,$BO65&gt;0,$BP65=0),"COSTI DIRETTI NON REGISTRATI; ","")&amp;IF(AND(OR($I65="Finito ritenute non previste",$I65="Finito con sblocco ritenute",$I65="Finito senza sblocco ritenute"),$W65&gt;0,$N65&gt;$W65*PARAMETRI!$B$9),"CANTIERE FINITO CON RESIDUO LAVORI; ","")&amp;IF(AND(OR($I65="Finito ritenute non previste",$I65="Finito con sblocco ritenute",$I65="Finito senza sblocco ritenute"),ANAGRAFICA!$K62=""),"DATA FINE EFFETTIVA MANCANTE; ","")&amp;IF(OR(AND(ANAGRAFICA!$T62&lt;&gt;"",ANAGRAFICA!$J62&lt;&gt;ANAGRAFICA!$T62,OR(ANAGRAFICA!$R62="",ANAGRAFICA!$R62="Nessuna variazione")),AND(ANAGRAFICA!$J62="",ANAGRAFICA!$R62&lt;&gt;"",ANAGRAFICA!$R62&lt;&gt;"Nessuna variazione")),"GESTIONE DATA FINE INCOMPLETA; ","")&amp;IF($Y65="","AGGIORNATO AL MANCANTE; ","")&amp;IF(OR($AZ65="",$BJ65="",$BO65="",ANAGRAFICA!$I62="",ANAGRAFICA!$J62=""),"DATI PREVISIONALI INCOMPLETI; ","")&amp;IF(LEFT($C65,5)="TEMP","CODICE COMMESSA TEMPORANEO; ","")),"DATI INCOMPLETI; ")</f>
        <v/>
      </c>
      <c r="C65" s="17" t="str">
        <f>IF(ANAGRAFICA!$B62="","",ANAGRAFICA!$B62)</f>
        <v/>
      </c>
      <c r="D65" s="17" t="str">
        <f>IF($C65="","",ANAGRAFICA!$C62)</f>
        <v/>
      </c>
      <c r="E65" s="17" t="str">
        <f>IF($C65="","",ANAGRAFICA!$D62)</f>
        <v/>
      </c>
      <c r="F65" s="17" t="str">
        <f>IF($C65="","",ANAGRAFICA!$E62)</f>
        <v/>
      </c>
      <c r="G65" s="17" t="str">
        <f>IF($C65="","",ANAGRAFICA!$F62)</f>
        <v/>
      </c>
      <c r="H65" s="17" t="str">
        <f>IF($C65="","",ANAGRAFICA!$G62)</f>
        <v/>
      </c>
      <c r="I65" s="17" t="str">
        <f>IF($C65="","",ANAGRAFICA!$L62)</f>
        <v/>
      </c>
      <c r="J65" s="16" t="str">
        <f t="shared" si="1"/>
        <v/>
      </c>
      <c r="K65" s="16" t="str">
        <f t="shared" si="2"/>
        <v/>
      </c>
      <c r="L65" s="16" t="str">
        <f t="shared" si="3"/>
        <v/>
      </c>
      <c r="M65" s="16" t="str">
        <f t="shared" si="4"/>
        <v/>
      </c>
      <c r="N65" s="16" t="str">
        <f t="shared" si="5"/>
        <v/>
      </c>
      <c r="O65" s="16" t="str">
        <f t="shared" si="6"/>
        <v/>
      </c>
      <c r="P65" s="17" t="str">
        <f t="shared" si="7"/>
        <v/>
      </c>
      <c r="Q65" s="31" t="str">
        <f>IF(OR($C65="",'BUDGET COMMESSA'!$D62="",'BUDGET COMMESSA'!$D62&lt;=0,ANAGRAFICA!$J62=""),"",IF(OR($I65="Finito ritenute non previste",$I65="Finito con sblocco ritenute",$I65="Finito senza sblocco ritenute"),0,IF(AND($BK65&gt;=$BJ65,ANAGRAFICA!$R62="Ritardo produttivo FIDA"),IF(ANAGRAFICA!$T62&lt;&gt;"",MAX(0,ANAGRAFICA!$J62-ANAGRAFICA!$T62),MAX(0,$Y65-ANAGRAFICA!$J62)),0)))</f>
        <v/>
      </c>
      <c r="R65" s="17" t="str">
        <f t="shared" si="8"/>
        <v/>
      </c>
      <c r="S65" s="17" t="str">
        <f t="shared" si="9"/>
        <v/>
      </c>
      <c r="T65" s="17" t="str">
        <f t="shared" si="10"/>
        <v/>
      </c>
      <c r="U65" s="16" t="str">
        <f t="shared" si="11"/>
        <v/>
      </c>
      <c r="V65" s="16" t="str">
        <f t="shared" si="12"/>
        <v/>
      </c>
      <c r="W65" s="16" t="str">
        <f t="shared" si="13"/>
        <v/>
      </c>
      <c r="X65" s="40"/>
      <c r="Y65" s="14"/>
      <c r="AZ65" t="str">
        <f>IF($C65="","",ANAGRAFICA!$P62)</f>
        <v/>
      </c>
      <c r="BA65" t="str">
        <f>IF($C65="","",SUMIF('MOVIMENTI 2026'!$B$7:$B$4206,$C65,'MOVIMENTI 2026'!$I$7:$I$4206)+SUMIF('SALDI AL 31.12.2025'!$A$6:$A$505,$C65,'SALDI AL 31.12.2025'!$C$6:$C$505))</f>
        <v/>
      </c>
      <c r="BB65" t="str">
        <f>IF($C65="","",SUMIF('MOVIMENTI 2026'!$B$7:$B$4206,$C65,'MOVIMENTI 2026'!$J$7:$J$4206)+SUMIF('SALDI AL 31.12.2025'!$A$6:$A$505,$C65,'SALDI AL 31.12.2025'!$D$6:$D$505))</f>
        <v/>
      </c>
      <c r="BC65" t="str">
        <f>IF($C65="","",SUMIF('MOVIMENTI 2026'!$B$7:$B$4206,$C65,'MOVIMENTI 2026'!$K$7:$K$4206)+SUMIF('SALDI AL 31.12.2025'!$A$6:$A$505,$C65,'SALDI AL 31.12.2025'!$E$6:$E$505))</f>
        <v/>
      </c>
      <c r="BD65" t="str">
        <f>IF($C65="","",SUMIF('MOVIMENTI 2026'!$B$7:$B$4206,$C65,'MOVIMENTI 2026'!$L$7:$L$4206)+SUMIF('SALDI AL 31.12.2025'!$A$6:$A$505,$C65,'SALDI AL 31.12.2025'!$F$6:$F$505))</f>
        <v/>
      </c>
      <c r="BE65" t="str">
        <f t="shared" si="14"/>
        <v/>
      </c>
      <c r="BF65" t="str">
        <f t="shared" si="15"/>
        <v/>
      </c>
      <c r="BG65" t="str">
        <f t="shared" si="16"/>
        <v/>
      </c>
      <c r="BH65" t="str">
        <f>IFERROR(IF(OR($C65="",ANAGRAFICA!$I62="",ANAGRAFICA!$J62="",ANAGRAFICA!$J62&lt;=ANAGRAFICA!$I62,$Y65=""),"",IF(OR($I65="Finito ritenute non previste",$I65="Finito con sblocco ritenute",$I65="Finito senza sblocco ritenute"),1,MAX(0,MIN(1,($Y65-ANAGRAFICA!$I62)/(ANAGRAFICA!$J62-ANAGRAFICA!$I62))))),"")</f>
        <v/>
      </c>
      <c r="BI65" t="str">
        <f t="shared" si="17"/>
        <v/>
      </c>
      <c r="BJ65" t="str">
        <f>IFERROR(IF($C65="","",'BUDGET COMMESSA'!$D62),"")</f>
        <v/>
      </c>
      <c r="BK65" t="str">
        <f>IF($C65="","",SUMIF('MOVIMENTI 2026'!$B$7:$B$4206,$C65,'MOVIMENTI 2026'!$N$7:$N$4206)+SUMIF('SALDI AL 31.12.2025'!$A$6:$A$505,$C65,'SALDI AL 31.12.2025'!$H$6:$H$505))</f>
        <v/>
      </c>
      <c r="BL65" t="str">
        <f t="shared" si="18"/>
        <v/>
      </c>
      <c r="BM65" t="str">
        <f t="shared" si="19"/>
        <v/>
      </c>
      <c r="BN65" t="str">
        <f t="shared" si="20"/>
        <v/>
      </c>
      <c r="BO65" t="str">
        <f>IFERROR(IF($C65="","",'BUDGET COMMESSA'!$G62),"")</f>
        <v/>
      </c>
      <c r="BP65" t="str">
        <f>IF($C65="","",SUMIF('COSTI DIRETTI'!$C$6:$C$505,$C65,'COSTI DIRETTI'!$H$6:$H$505)+SUMIF('SALDI AL 31.12.2025'!$A$6:$A$505,$C65,'SALDI AL 31.12.2025'!$I$6:$I$505))</f>
        <v/>
      </c>
      <c r="BQ65" t="str">
        <f t="shared" si="21"/>
        <v/>
      </c>
      <c r="BR65" t="str">
        <f t="shared" si="22"/>
        <v/>
      </c>
      <c r="BS65" t="str">
        <f>IF($C65="","",$BK65*PARAMETRI!$B$4+$BP65)</f>
        <v/>
      </c>
      <c r="BT65">
        <f t="shared" si="23"/>
        <v>0</v>
      </c>
      <c r="BU65">
        <f t="shared" si="24"/>
        <v>0</v>
      </c>
      <c r="BV65" t="str">
        <f>IF($C65="","",SUMIF('MOVIMENTI 2026'!$B$7:$B$4206,$C65,'MOVIMENTI 2026'!$P$7:$P$4206)+SUMIF('SALDI AL 31.12.2025'!$A$6:$A$505,$C65,'SALDI AL 31.12.2025'!$G$6:$G$505))</f>
        <v/>
      </c>
    </row>
    <row r="66" spans="1:74" ht="16" x14ac:dyDescent="0.15">
      <c r="A66" s="17" t="str">
        <f>IFERROR(IF($C66="","",IF(OR($BF66&gt;0,$V66&gt;$J66,AND(ISNUMBER($Q66),$Q66&gt;0),AND($BI66&lt;&gt;"",$BI66&lt;-PARAMETRI!$B$6),AND($BM66&lt;&gt;"",$BM66&gt;=1),AND($BN66&lt;&gt;"",$BN66&gt;PARAMETRI!$B$8),AND(ISNUMBER($BR66),$BR66&gt;0)),"CRITICO",IF(OR($AZ66="",LEFT($C66,5)="TEMP",$BJ66="",$BO66="",ANAGRAFICA!$I63="",ANAGRAFICA!$J63="",$Y66="",AND(OR($I66="Finito ritenute non previste",$I66="Finito con sblocco ritenute",$I66="Finito senza sblocco ritenute"),ANAGRAFICA!$K63=""),OR(AND(ANAGRAFICA!$T63&lt;&gt;"",ANAGRAFICA!$J63&lt;&gt;ANAGRAFICA!$T63,OR(ANAGRAFICA!$R63="",ANAGRAFICA!$R63="Nessuna variazione")),AND(ANAGRAFICA!$J63="",ANAGRAFICA!$R63&lt;&gt;"",ANAGRAFICA!$R63&lt;&gt;"Nessuna variazione")),AND($BI66&lt;&gt;"",$BI66&lt;-PARAMETRI!$B$5),AND($BN66&lt;&gt;"",$BN66&gt;PARAMETRI!$B$7),AND($W66&gt;0,$M66&gt;$W66*PARAMETRI!$B$9),AND($O66&gt;0,OR($I66="Finito ritenute non previste",$I66="Finito con sblocco ritenute",$I66="Finito senza sblocco ritenute")),AND($BA66&gt;0,$BO66&gt;0,$BP66=0),AND(OR($I66="Finito ritenute non previste",$I66="Finito con sblocco ritenute",$I66="Finito senza sblocco ritenute"),$W66&gt;0,$N66&gt;$W66*PARAMETRI!$B$9),$V66&gt;0),"ATTENZIONE","REGOLARE"))),"ATTENZIONE")</f>
        <v/>
      </c>
      <c r="B66" s="17" t="str">
        <f>IFERROR(IF($C66="","",IF($BF66&gt;0,"FATTURATO OLTRE VALORE RECUPERABILE; ","")&amp;IF($V66&gt;$J66,"PERDITE ACCETTATE OLTRE CONTRATTO; ","")&amp;IF($V66&gt;0,"PERDITA SAL ACCETTATA (€ "&amp;TEXT($V66,"#,##0.00")&amp;"); ","")&amp;IF(AND(ISNUMBER($Q66),$Q66&gt;0),"RITARDO PRODUTTIVO ("&amp;TEXT($Q66,"0")&amp;" GG); ","")&amp;IF(AND($BI66&lt;&gt;"",$BI66&lt;-PARAMETRI!$B$5),"AVANZAMENTO PIÙ LENTO DEL TEMPO; ","")&amp;IF(AND($BM66&lt;&gt;"",$BM66&gt;1),"ORE OLTRE BUDGET; ","")&amp;IF(AND($BM66&lt;&gt;"",$BM66=1),"ORE PREVENTIVATE ESAURITE; ","")&amp;IF(AND($BN66&lt;&gt;"",$BN66&gt;PARAMETRI!$B$7),"CONSUMO ORE SUPERIORE ALL'AVANZAMENTO; ","")&amp;IF(AND(ISNUMBER($BR66),$BR66&gt;0),"COSTI DIRETTI OLTRE BUDGET; ","")&amp;IF(AND($W66&gt;0,$M66&gt;$W66*PARAMETRI!$B$9),"SAL MATURATO NON FATTURATO; ","")&amp;IF(AND($O66&gt;0,OR($I66="Finito ritenute non previste",$I66="Finito con sblocco ritenute",$I66="Finito senza sblocco ritenute")),"RITENUTE DA SBLOCCARE; ","")&amp;IF(AND($BA66&gt;0,$BO66&gt;0,$BP66=0),"COSTI DIRETTI NON REGISTRATI; ","")&amp;IF(AND(OR($I66="Finito ritenute non previste",$I66="Finito con sblocco ritenute",$I66="Finito senza sblocco ritenute"),$W66&gt;0,$N66&gt;$W66*PARAMETRI!$B$9),"CANTIERE FINITO CON RESIDUO LAVORI; ","")&amp;IF(AND(OR($I66="Finito ritenute non previste",$I66="Finito con sblocco ritenute",$I66="Finito senza sblocco ritenute"),ANAGRAFICA!$K63=""),"DATA FINE EFFETTIVA MANCANTE; ","")&amp;IF(OR(AND(ANAGRAFICA!$T63&lt;&gt;"",ANAGRAFICA!$J63&lt;&gt;ANAGRAFICA!$T63,OR(ANAGRAFICA!$R63="",ANAGRAFICA!$R63="Nessuna variazione")),AND(ANAGRAFICA!$J63="",ANAGRAFICA!$R63&lt;&gt;"",ANAGRAFICA!$R63&lt;&gt;"Nessuna variazione")),"GESTIONE DATA FINE INCOMPLETA; ","")&amp;IF($Y66="","AGGIORNATO AL MANCANTE; ","")&amp;IF(OR($AZ66="",$BJ66="",$BO66="",ANAGRAFICA!$I63="",ANAGRAFICA!$J63=""),"DATI PREVISIONALI INCOMPLETI; ","")&amp;IF(LEFT($C66,5)="TEMP","CODICE COMMESSA TEMPORANEO; ","")),"DATI INCOMPLETI; ")</f>
        <v/>
      </c>
      <c r="C66" s="17" t="str">
        <f>IF(ANAGRAFICA!$B63="","",ANAGRAFICA!$B63)</f>
        <v/>
      </c>
      <c r="D66" s="17" t="str">
        <f>IF($C66="","",ANAGRAFICA!$C63)</f>
        <v/>
      </c>
      <c r="E66" s="17" t="str">
        <f>IF($C66="","",ANAGRAFICA!$D63)</f>
        <v/>
      </c>
      <c r="F66" s="17" t="str">
        <f>IF($C66="","",ANAGRAFICA!$E63)</f>
        <v/>
      </c>
      <c r="G66" s="17" t="str">
        <f>IF($C66="","",ANAGRAFICA!$F63)</f>
        <v/>
      </c>
      <c r="H66" s="17" t="str">
        <f>IF($C66="","",ANAGRAFICA!$G63)</f>
        <v/>
      </c>
      <c r="I66" s="17" t="str">
        <f>IF($C66="","",ANAGRAFICA!$L63)</f>
        <v/>
      </c>
      <c r="J66" s="16" t="str">
        <f t="shared" si="1"/>
        <v/>
      </c>
      <c r="K66" s="16" t="str">
        <f t="shared" si="2"/>
        <v/>
      </c>
      <c r="L66" s="16" t="str">
        <f t="shared" si="3"/>
        <v/>
      </c>
      <c r="M66" s="16" t="str">
        <f t="shared" si="4"/>
        <v/>
      </c>
      <c r="N66" s="16" t="str">
        <f t="shared" si="5"/>
        <v/>
      </c>
      <c r="O66" s="16" t="str">
        <f t="shared" si="6"/>
        <v/>
      </c>
      <c r="P66" s="17" t="str">
        <f t="shared" si="7"/>
        <v/>
      </c>
      <c r="Q66" s="31" t="str">
        <f>IF(OR($C66="",'BUDGET COMMESSA'!$D63="",'BUDGET COMMESSA'!$D63&lt;=0,ANAGRAFICA!$J63=""),"",IF(OR($I66="Finito ritenute non previste",$I66="Finito con sblocco ritenute",$I66="Finito senza sblocco ritenute"),0,IF(AND($BK66&gt;=$BJ66,ANAGRAFICA!$R63="Ritardo produttivo FIDA"),IF(ANAGRAFICA!$T63&lt;&gt;"",MAX(0,ANAGRAFICA!$J63-ANAGRAFICA!$T63),MAX(0,$Y66-ANAGRAFICA!$J63)),0)))</f>
        <v/>
      </c>
      <c r="R66" s="17" t="str">
        <f t="shared" si="8"/>
        <v/>
      </c>
      <c r="S66" s="17" t="str">
        <f t="shared" si="9"/>
        <v/>
      </c>
      <c r="T66" s="17" t="str">
        <f t="shared" si="10"/>
        <v/>
      </c>
      <c r="U66" s="16" t="str">
        <f t="shared" si="11"/>
        <v/>
      </c>
      <c r="V66" s="16" t="str">
        <f t="shared" si="12"/>
        <v/>
      </c>
      <c r="W66" s="16" t="str">
        <f t="shared" si="13"/>
        <v/>
      </c>
      <c r="X66" s="40"/>
      <c r="Y66" s="14"/>
      <c r="AZ66" t="str">
        <f>IF($C66="","",ANAGRAFICA!$P63)</f>
        <v/>
      </c>
      <c r="BA66" t="str">
        <f>IF($C66="","",SUMIF('MOVIMENTI 2026'!$B$7:$B$4206,$C66,'MOVIMENTI 2026'!$I$7:$I$4206)+SUMIF('SALDI AL 31.12.2025'!$A$6:$A$505,$C66,'SALDI AL 31.12.2025'!$C$6:$C$505))</f>
        <v/>
      </c>
      <c r="BB66" t="str">
        <f>IF($C66="","",SUMIF('MOVIMENTI 2026'!$B$7:$B$4206,$C66,'MOVIMENTI 2026'!$J$7:$J$4206)+SUMIF('SALDI AL 31.12.2025'!$A$6:$A$505,$C66,'SALDI AL 31.12.2025'!$D$6:$D$505))</f>
        <v/>
      </c>
      <c r="BC66" t="str">
        <f>IF($C66="","",SUMIF('MOVIMENTI 2026'!$B$7:$B$4206,$C66,'MOVIMENTI 2026'!$K$7:$K$4206)+SUMIF('SALDI AL 31.12.2025'!$A$6:$A$505,$C66,'SALDI AL 31.12.2025'!$E$6:$E$505))</f>
        <v/>
      </c>
      <c r="BD66" t="str">
        <f>IF($C66="","",SUMIF('MOVIMENTI 2026'!$B$7:$B$4206,$C66,'MOVIMENTI 2026'!$L$7:$L$4206)+SUMIF('SALDI AL 31.12.2025'!$A$6:$A$505,$C66,'SALDI AL 31.12.2025'!$F$6:$F$505))</f>
        <v/>
      </c>
      <c r="BE66" t="str">
        <f t="shared" si="14"/>
        <v/>
      </c>
      <c r="BF66" t="str">
        <f t="shared" si="15"/>
        <v/>
      </c>
      <c r="BG66" t="str">
        <f t="shared" si="16"/>
        <v/>
      </c>
      <c r="BH66" t="str">
        <f>IFERROR(IF(OR($C66="",ANAGRAFICA!$I63="",ANAGRAFICA!$J63="",ANAGRAFICA!$J63&lt;=ANAGRAFICA!$I63,$Y66=""),"",IF(OR($I66="Finito ritenute non previste",$I66="Finito con sblocco ritenute",$I66="Finito senza sblocco ritenute"),1,MAX(0,MIN(1,($Y66-ANAGRAFICA!$I63)/(ANAGRAFICA!$J63-ANAGRAFICA!$I63))))),"")</f>
        <v/>
      </c>
      <c r="BI66" t="str">
        <f t="shared" si="17"/>
        <v/>
      </c>
      <c r="BJ66" t="str">
        <f>IFERROR(IF($C66="","",'BUDGET COMMESSA'!$D63),"")</f>
        <v/>
      </c>
      <c r="BK66" t="str">
        <f>IF($C66="","",SUMIF('MOVIMENTI 2026'!$B$7:$B$4206,$C66,'MOVIMENTI 2026'!$N$7:$N$4206)+SUMIF('SALDI AL 31.12.2025'!$A$6:$A$505,$C66,'SALDI AL 31.12.2025'!$H$6:$H$505))</f>
        <v/>
      </c>
      <c r="BL66" t="str">
        <f t="shared" si="18"/>
        <v/>
      </c>
      <c r="BM66" t="str">
        <f t="shared" si="19"/>
        <v/>
      </c>
      <c r="BN66" t="str">
        <f t="shared" si="20"/>
        <v/>
      </c>
      <c r="BO66" t="str">
        <f>IFERROR(IF($C66="","",'BUDGET COMMESSA'!$G63),"")</f>
        <v/>
      </c>
      <c r="BP66" t="str">
        <f>IF($C66="","",SUMIF('COSTI DIRETTI'!$C$6:$C$505,$C66,'COSTI DIRETTI'!$H$6:$H$505)+SUMIF('SALDI AL 31.12.2025'!$A$6:$A$505,$C66,'SALDI AL 31.12.2025'!$I$6:$I$505))</f>
        <v/>
      </c>
      <c r="BQ66" t="str">
        <f t="shared" si="21"/>
        <v/>
      </c>
      <c r="BR66" t="str">
        <f t="shared" si="22"/>
        <v/>
      </c>
      <c r="BS66" t="str">
        <f>IF($C66="","",$BK66*PARAMETRI!$B$4+$BP66)</f>
        <v/>
      </c>
      <c r="BT66">
        <f t="shared" si="23"/>
        <v>0</v>
      </c>
      <c r="BU66">
        <f t="shared" si="24"/>
        <v>0</v>
      </c>
      <c r="BV66" t="str">
        <f>IF($C66="","",SUMIF('MOVIMENTI 2026'!$B$7:$B$4206,$C66,'MOVIMENTI 2026'!$P$7:$P$4206)+SUMIF('SALDI AL 31.12.2025'!$A$6:$A$505,$C66,'SALDI AL 31.12.2025'!$G$6:$G$505))</f>
        <v/>
      </c>
    </row>
    <row r="67" spans="1:74" ht="16" x14ac:dyDescent="0.15">
      <c r="A67" s="17" t="str">
        <f>IFERROR(IF($C67="","",IF(OR($BF67&gt;0,$V67&gt;$J67,AND(ISNUMBER($Q67),$Q67&gt;0),AND($BI67&lt;&gt;"",$BI67&lt;-PARAMETRI!$B$6),AND($BM67&lt;&gt;"",$BM67&gt;=1),AND($BN67&lt;&gt;"",$BN67&gt;PARAMETRI!$B$8),AND(ISNUMBER($BR67),$BR67&gt;0)),"CRITICO",IF(OR($AZ67="",LEFT($C67,5)="TEMP",$BJ67="",$BO67="",ANAGRAFICA!$I64="",ANAGRAFICA!$J64="",$Y67="",AND(OR($I67="Finito ritenute non previste",$I67="Finito con sblocco ritenute",$I67="Finito senza sblocco ritenute"),ANAGRAFICA!$K64=""),OR(AND(ANAGRAFICA!$T64&lt;&gt;"",ANAGRAFICA!$J64&lt;&gt;ANAGRAFICA!$T64,OR(ANAGRAFICA!$R64="",ANAGRAFICA!$R64="Nessuna variazione")),AND(ANAGRAFICA!$J64="",ANAGRAFICA!$R64&lt;&gt;"",ANAGRAFICA!$R64&lt;&gt;"Nessuna variazione")),AND($BI67&lt;&gt;"",$BI67&lt;-PARAMETRI!$B$5),AND($BN67&lt;&gt;"",$BN67&gt;PARAMETRI!$B$7),AND($W67&gt;0,$M67&gt;$W67*PARAMETRI!$B$9),AND($O67&gt;0,OR($I67="Finito ritenute non previste",$I67="Finito con sblocco ritenute",$I67="Finito senza sblocco ritenute")),AND($BA67&gt;0,$BO67&gt;0,$BP67=0),AND(OR($I67="Finito ritenute non previste",$I67="Finito con sblocco ritenute",$I67="Finito senza sblocco ritenute"),$W67&gt;0,$N67&gt;$W67*PARAMETRI!$B$9),$V67&gt;0),"ATTENZIONE","REGOLARE"))),"ATTENZIONE")</f>
        <v/>
      </c>
      <c r="B67" s="17" t="str">
        <f>IFERROR(IF($C67="","",IF($BF67&gt;0,"FATTURATO OLTRE VALORE RECUPERABILE; ","")&amp;IF($V67&gt;$J67,"PERDITE ACCETTATE OLTRE CONTRATTO; ","")&amp;IF($V67&gt;0,"PERDITA SAL ACCETTATA (€ "&amp;TEXT($V67,"#,##0.00")&amp;"); ","")&amp;IF(AND(ISNUMBER($Q67),$Q67&gt;0),"RITARDO PRODUTTIVO ("&amp;TEXT($Q67,"0")&amp;" GG); ","")&amp;IF(AND($BI67&lt;&gt;"",$BI67&lt;-PARAMETRI!$B$5),"AVANZAMENTO PIÙ LENTO DEL TEMPO; ","")&amp;IF(AND($BM67&lt;&gt;"",$BM67&gt;1),"ORE OLTRE BUDGET; ","")&amp;IF(AND($BM67&lt;&gt;"",$BM67=1),"ORE PREVENTIVATE ESAURITE; ","")&amp;IF(AND($BN67&lt;&gt;"",$BN67&gt;PARAMETRI!$B$7),"CONSUMO ORE SUPERIORE ALL'AVANZAMENTO; ","")&amp;IF(AND(ISNUMBER($BR67),$BR67&gt;0),"COSTI DIRETTI OLTRE BUDGET; ","")&amp;IF(AND($W67&gt;0,$M67&gt;$W67*PARAMETRI!$B$9),"SAL MATURATO NON FATTURATO; ","")&amp;IF(AND($O67&gt;0,OR($I67="Finito ritenute non previste",$I67="Finito con sblocco ritenute",$I67="Finito senza sblocco ritenute")),"RITENUTE DA SBLOCCARE; ","")&amp;IF(AND($BA67&gt;0,$BO67&gt;0,$BP67=0),"COSTI DIRETTI NON REGISTRATI; ","")&amp;IF(AND(OR($I67="Finito ritenute non previste",$I67="Finito con sblocco ritenute",$I67="Finito senza sblocco ritenute"),$W67&gt;0,$N67&gt;$W67*PARAMETRI!$B$9),"CANTIERE FINITO CON RESIDUO LAVORI; ","")&amp;IF(AND(OR($I67="Finito ritenute non previste",$I67="Finito con sblocco ritenute",$I67="Finito senza sblocco ritenute"),ANAGRAFICA!$K64=""),"DATA FINE EFFETTIVA MANCANTE; ","")&amp;IF(OR(AND(ANAGRAFICA!$T64&lt;&gt;"",ANAGRAFICA!$J64&lt;&gt;ANAGRAFICA!$T64,OR(ANAGRAFICA!$R64="",ANAGRAFICA!$R64="Nessuna variazione")),AND(ANAGRAFICA!$J64="",ANAGRAFICA!$R64&lt;&gt;"",ANAGRAFICA!$R64&lt;&gt;"Nessuna variazione")),"GESTIONE DATA FINE INCOMPLETA; ","")&amp;IF($Y67="","AGGIORNATO AL MANCANTE; ","")&amp;IF(OR($AZ67="",$BJ67="",$BO67="",ANAGRAFICA!$I64="",ANAGRAFICA!$J64=""),"DATI PREVISIONALI INCOMPLETI; ","")&amp;IF(LEFT($C67,5)="TEMP","CODICE COMMESSA TEMPORANEO; ","")),"DATI INCOMPLETI; ")</f>
        <v/>
      </c>
      <c r="C67" s="17" t="str">
        <f>IF(ANAGRAFICA!$B64="","",ANAGRAFICA!$B64)</f>
        <v/>
      </c>
      <c r="D67" s="17" t="str">
        <f>IF($C67="","",ANAGRAFICA!$C64)</f>
        <v/>
      </c>
      <c r="E67" s="17" t="str">
        <f>IF($C67="","",ANAGRAFICA!$D64)</f>
        <v/>
      </c>
      <c r="F67" s="17" t="str">
        <f>IF($C67="","",ANAGRAFICA!$E64)</f>
        <v/>
      </c>
      <c r="G67" s="17" t="str">
        <f>IF($C67="","",ANAGRAFICA!$F64)</f>
        <v/>
      </c>
      <c r="H67" s="17" t="str">
        <f>IF($C67="","",ANAGRAFICA!$G64)</f>
        <v/>
      </c>
      <c r="I67" s="17" t="str">
        <f>IF($C67="","",ANAGRAFICA!$L64)</f>
        <v/>
      </c>
      <c r="J67" s="16" t="str">
        <f t="shared" si="1"/>
        <v/>
      </c>
      <c r="K67" s="16" t="str">
        <f t="shared" si="2"/>
        <v/>
      </c>
      <c r="L67" s="16" t="str">
        <f t="shared" si="3"/>
        <v/>
      </c>
      <c r="M67" s="16" t="str">
        <f t="shared" si="4"/>
        <v/>
      </c>
      <c r="N67" s="16" t="str">
        <f t="shared" si="5"/>
        <v/>
      </c>
      <c r="O67" s="16" t="str">
        <f t="shared" si="6"/>
        <v/>
      </c>
      <c r="P67" s="17" t="str">
        <f t="shared" si="7"/>
        <v/>
      </c>
      <c r="Q67" s="31" t="str">
        <f>IF(OR($C67="",'BUDGET COMMESSA'!$D64="",'BUDGET COMMESSA'!$D64&lt;=0,ANAGRAFICA!$J64=""),"",IF(OR($I67="Finito ritenute non previste",$I67="Finito con sblocco ritenute",$I67="Finito senza sblocco ritenute"),0,IF(AND($BK67&gt;=$BJ67,ANAGRAFICA!$R64="Ritardo produttivo FIDA"),IF(ANAGRAFICA!$T64&lt;&gt;"",MAX(0,ANAGRAFICA!$J64-ANAGRAFICA!$T64),MAX(0,$Y67-ANAGRAFICA!$J64)),0)))</f>
        <v/>
      </c>
      <c r="R67" s="17" t="str">
        <f t="shared" si="8"/>
        <v/>
      </c>
      <c r="S67" s="17" t="str">
        <f t="shared" si="9"/>
        <v/>
      </c>
      <c r="T67" s="17" t="str">
        <f t="shared" si="10"/>
        <v/>
      </c>
      <c r="U67" s="16" t="str">
        <f t="shared" si="11"/>
        <v/>
      </c>
      <c r="V67" s="16" t="str">
        <f t="shared" si="12"/>
        <v/>
      </c>
      <c r="W67" s="16" t="str">
        <f t="shared" si="13"/>
        <v/>
      </c>
      <c r="X67" s="40"/>
      <c r="Y67" s="14"/>
      <c r="AZ67" t="str">
        <f>IF($C67="","",ANAGRAFICA!$P64)</f>
        <v/>
      </c>
      <c r="BA67" t="str">
        <f>IF($C67="","",SUMIF('MOVIMENTI 2026'!$B$7:$B$4206,$C67,'MOVIMENTI 2026'!$I$7:$I$4206)+SUMIF('SALDI AL 31.12.2025'!$A$6:$A$505,$C67,'SALDI AL 31.12.2025'!$C$6:$C$505))</f>
        <v/>
      </c>
      <c r="BB67" t="str">
        <f>IF($C67="","",SUMIF('MOVIMENTI 2026'!$B$7:$B$4206,$C67,'MOVIMENTI 2026'!$J$7:$J$4206)+SUMIF('SALDI AL 31.12.2025'!$A$6:$A$505,$C67,'SALDI AL 31.12.2025'!$D$6:$D$505))</f>
        <v/>
      </c>
      <c r="BC67" t="str">
        <f>IF($C67="","",SUMIF('MOVIMENTI 2026'!$B$7:$B$4206,$C67,'MOVIMENTI 2026'!$K$7:$K$4206)+SUMIF('SALDI AL 31.12.2025'!$A$6:$A$505,$C67,'SALDI AL 31.12.2025'!$E$6:$E$505))</f>
        <v/>
      </c>
      <c r="BD67" t="str">
        <f>IF($C67="","",SUMIF('MOVIMENTI 2026'!$B$7:$B$4206,$C67,'MOVIMENTI 2026'!$L$7:$L$4206)+SUMIF('SALDI AL 31.12.2025'!$A$6:$A$505,$C67,'SALDI AL 31.12.2025'!$F$6:$F$505))</f>
        <v/>
      </c>
      <c r="BE67" t="str">
        <f t="shared" si="14"/>
        <v/>
      </c>
      <c r="BF67" t="str">
        <f t="shared" si="15"/>
        <v/>
      </c>
      <c r="BG67" t="str">
        <f t="shared" si="16"/>
        <v/>
      </c>
      <c r="BH67" t="str">
        <f>IFERROR(IF(OR($C67="",ANAGRAFICA!$I64="",ANAGRAFICA!$J64="",ANAGRAFICA!$J64&lt;=ANAGRAFICA!$I64,$Y67=""),"",IF(OR($I67="Finito ritenute non previste",$I67="Finito con sblocco ritenute",$I67="Finito senza sblocco ritenute"),1,MAX(0,MIN(1,($Y67-ANAGRAFICA!$I64)/(ANAGRAFICA!$J64-ANAGRAFICA!$I64))))),"")</f>
        <v/>
      </c>
      <c r="BI67" t="str">
        <f t="shared" si="17"/>
        <v/>
      </c>
      <c r="BJ67" t="str">
        <f>IFERROR(IF($C67="","",'BUDGET COMMESSA'!$D64),"")</f>
        <v/>
      </c>
      <c r="BK67" t="str">
        <f>IF($C67="","",SUMIF('MOVIMENTI 2026'!$B$7:$B$4206,$C67,'MOVIMENTI 2026'!$N$7:$N$4206)+SUMIF('SALDI AL 31.12.2025'!$A$6:$A$505,$C67,'SALDI AL 31.12.2025'!$H$6:$H$505))</f>
        <v/>
      </c>
      <c r="BL67" t="str">
        <f t="shared" si="18"/>
        <v/>
      </c>
      <c r="BM67" t="str">
        <f t="shared" si="19"/>
        <v/>
      </c>
      <c r="BN67" t="str">
        <f t="shared" si="20"/>
        <v/>
      </c>
      <c r="BO67" t="str">
        <f>IFERROR(IF($C67="","",'BUDGET COMMESSA'!$G64),"")</f>
        <v/>
      </c>
      <c r="BP67" t="str">
        <f>IF($C67="","",SUMIF('COSTI DIRETTI'!$C$6:$C$505,$C67,'COSTI DIRETTI'!$H$6:$H$505)+SUMIF('SALDI AL 31.12.2025'!$A$6:$A$505,$C67,'SALDI AL 31.12.2025'!$I$6:$I$505))</f>
        <v/>
      </c>
      <c r="BQ67" t="str">
        <f t="shared" si="21"/>
        <v/>
      </c>
      <c r="BR67" t="str">
        <f t="shared" si="22"/>
        <v/>
      </c>
      <c r="BS67" t="str">
        <f>IF($C67="","",$BK67*PARAMETRI!$B$4+$BP67)</f>
        <v/>
      </c>
      <c r="BT67">
        <f t="shared" si="23"/>
        <v>0</v>
      </c>
      <c r="BU67">
        <f t="shared" si="24"/>
        <v>0</v>
      </c>
      <c r="BV67" t="str">
        <f>IF($C67="","",SUMIF('MOVIMENTI 2026'!$B$7:$B$4206,$C67,'MOVIMENTI 2026'!$P$7:$P$4206)+SUMIF('SALDI AL 31.12.2025'!$A$6:$A$505,$C67,'SALDI AL 31.12.2025'!$G$6:$G$505))</f>
        <v/>
      </c>
    </row>
    <row r="68" spans="1:74" ht="16" x14ac:dyDescent="0.15">
      <c r="A68" s="17" t="str">
        <f>IFERROR(IF($C68="","",IF(OR($BF68&gt;0,$V68&gt;$J68,AND(ISNUMBER($Q68),$Q68&gt;0),AND($BI68&lt;&gt;"",$BI68&lt;-PARAMETRI!$B$6),AND($BM68&lt;&gt;"",$BM68&gt;=1),AND($BN68&lt;&gt;"",$BN68&gt;PARAMETRI!$B$8),AND(ISNUMBER($BR68),$BR68&gt;0)),"CRITICO",IF(OR($AZ68="",LEFT($C68,5)="TEMP",$BJ68="",$BO68="",ANAGRAFICA!$I65="",ANAGRAFICA!$J65="",$Y68="",AND(OR($I68="Finito ritenute non previste",$I68="Finito con sblocco ritenute",$I68="Finito senza sblocco ritenute"),ANAGRAFICA!$K65=""),OR(AND(ANAGRAFICA!$T65&lt;&gt;"",ANAGRAFICA!$J65&lt;&gt;ANAGRAFICA!$T65,OR(ANAGRAFICA!$R65="",ANAGRAFICA!$R65="Nessuna variazione")),AND(ANAGRAFICA!$J65="",ANAGRAFICA!$R65&lt;&gt;"",ANAGRAFICA!$R65&lt;&gt;"Nessuna variazione")),AND($BI68&lt;&gt;"",$BI68&lt;-PARAMETRI!$B$5),AND($BN68&lt;&gt;"",$BN68&gt;PARAMETRI!$B$7),AND($W68&gt;0,$M68&gt;$W68*PARAMETRI!$B$9),AND($O68&gt;0,OR($I68="Finito ritenute non previste",$I68="Finito con sblocco ritenute",$I68="Finito senza sblocco ritenute")),AND($BA68&gt;0,$BO68&gt;0,$BP68=0),AND(OR($I68="Finito ritenute non previste",$I68="Finito con sblocco ritenute",$I68="Finito senza sblocco ritenute"),$W68&gt;0,$N68&gt;$W68*PARAMETRI!$B$9),$V68&gt;0),"ATTENZIONE","REGOLARE"))),"ATTENZIONE")</f>
        <v/>
      </c>
      <c r="B68" s="17" t="str">
        <f>IFERROR(IF($C68="","",IF($BF68&gt;0,"FATTURATO OLTRE VALORE RECUPERABILE; ","")&amp;IF($V68&gt;$J68,"PERDITE ACCETTATE OLTRE CONTRATTO; ","")&amp;IF($V68&gt;0,"PERDITA SAL ACCETTATA (€ "&amp;TEXT($V68,"#,##0.00")&amp;"); ","")&amp;IF(AND(ISNUMBER($Q68),$Q68&gt;0),"RITARDO PRODUTTIVO ("&amp;TEXT($Q68,"0")&amp;" GG); ","")&amp;IF(AND($BI68&lt;&gt;"",$BI68&lt;-PARAMETRI!$B$5),"AVANZAMENTO PIÙ LENTO DEL TEMPO; ","")&amp;IF(AND($BM68&lt;&gt;"",$BM68&gt;1),"ORE OLTRE BUDGET; ","")&amp;IF(AND($BM68&lt;&gt;"",$BM68=1),"ORE PREVENTIVATE ESAURITE; ","")&amp;IF(AND($BN68&lt;&gt;"",$BN68&gt;PARAMETRI!$B$7),"CONSUMO ORE SUPERIORE ALL'AVANZAMENTO; ","")&amp;IF(AND(ISNUMBER($BR68),$BR68&gt;0),"COSTI DIRETTI OLTRE BUDGET; ","")&amp;IF(AND($W68&gt;0,$M68&gt;$W68*PARAMETRI!$B$9),"SAL MATURATO NON FATTURATO; ","")&amp;IF(AND($O68&gt;0,OR($I68="Finito ritenute non previste",$I68="Finito con sblocco ritenute",$I68="Finito senza sblocco ritenute")),"RITENUTE DA SBLOCCARE; ","")&amp;IF(AND($BA68&gt;0,$BO68&gt;0,$BP68=0),"COSTI DIRETTI NON REGISTRATI; ","")&amp;IF(AND(OR($I68="Finito ritenute non previste",$I68="Finito con sblocco ritenute",$I68="Finito senza sblocco ritenute"),$W68&gt;0,$N68&gt;$W68*PARAMETRI!$B$9),"CANTIERE FINITO CON RESIDUO LAVORI; ","")&amp;IF(AND(OR($I68="Finito ritenute non previste",$I68="Finito con sblocco ritenute",$I68="Finito senza sblocco ritenute"),ANAGRAFICA!$K65=""),"DATA FINE EFFETTIVA MANCANTE; ","")&amp;IF(OR(AND(ANAGRAFICA!$T65&lt;&gt;"",ANAGRAFICA!$J65&lt;&gt;ANAGRAFICA!$T65,OR(ANAGRAFICA!$R65="",ANAGRAFICA!$R65="Nessuna variazione")),AND(ANAGRAFICA!$J65="",ANAGRAFICA!$R65&lt;&gt;"",ANAGRAFICA!$R65&lt;&gt;"Nessuna variazione")),"GESTIONE DATA FINE INCOMPLETA; ","")&amp;IF($Y68="","AGGIORNATO AL MANCANTE; ","")&amp;IF(OR($AZ68="",$BJ68="",$BO68="",ANAGRAFICA!$I65="",ANAGRAFICA!$J65=""),"DATI PREVISIONALI INCOMPLETI; ","")&amp;IF(LEFT($C68,5)="TEMP","CODICE COMMESSA TEMPORANEO; ","")),"DATI INCOMPLETI; ")</f>
        <v/>
      </c>
      <c r="C68" s="17" t="str">
        <f>IF(ANAGRAFICA!$B65="","",ANAGRAFICA!$B65)</f>
        <v/>
      </c>
      <c r="D68" s="17" t="str">
        <f>IF($C68="","",ANAGRAFICA!$C65)</f>
        <v/>
      </c>
      <c r="E68" s="17" t="str">
        <f>IF($C68="","",ANAGRAFICA!$D65)</f>
        <v/>
      </c>
      <c r="F68" s="17" t="str">
        <f>IF($C68="","",ANAGRAFICA!$E65)</f>
        <v/>
      </c>
      <c r="G68" s="17" t="str">
        <f>IF($C68="","",ANAGRAFICA!$F65)</f>
        <v/>
      </c>
      <c r="H68" s="17" t="str">
        <f>IF($C68="","",ANAGRAFICA!$G65)</f>
        <v/>
      </c>
      <c r="I68" s="17" t="str">
        <f>IF($C68="","",ANAGRAFICA!$L65)</f>
        <v/>
      </c>
      <c r="J68" s="16" t="str">
        <f t="shared" si="1"/>
        <v/>
      </c>
      <c r="K68" s="16" t="str">
        <f t="shared" si="2"/>
        <v/>
      </c>
      <c r="L68" s="16" t="str">
        <f t="shared" si="3"/>
        <v/>
      </c>
      <c r="M68" s="16" t="str">
        <f t="shared" si="4"/>
        <v/>
      </c>
      <c r="N68" s="16" t="str">
        <f t="shared" si="5"/>
        <v/>
      </c>
      <c r="O68" s="16" t="str">
        <f t="shared" si="6"/>
        <v/>
      </c>
      <c r="P68" s="17" t="str">
        <f t="shared" si="7"/>
        <v/>
      </c>
      <c r="Q68" s="31" t="str">
        <f>IF(OR($C68="",'BUDGET COMMESSA'!$D65="",'BUDGET COMMESSA'!$D65&lt;=0,ANAGRAFICA!$J65=""),"",IF(OR($I68="Finito ritenute non previste",$I68="Finito con sblocco ritenute",$I68="Finito senza sblocco ritenute"),0,IF(AND($BK68&gt;=$BJ68,ANAGRAFICA!$R65="Ritardo produttivo FIDA"),IF(ANAGRAFICA!$T65&lt;&gt;"",MAX(0,ANAGRAFICA!$J65-ANAGRAFICA!$T65),MAX(0,$Y68-ANAGRAFICA!$J65)),0)))</f>
        <v/>
      </c>
      <c r="R68" s="17" t="str">
        <f t="shared" si="8"/>
        <v/>
      </c>
      <c r="S68" s="17" t="str">
        <f t="shared" si="9"/>
        <v/>
      </c>
      <c r="T68" s="17" t="str">
        <f t="shared" si="10"/>
        <v/>
      </c>
      <c r="U68" s="16" t="str">
        <f t="shared" si="11"/>
        <v/>
      </c>
      <c r="V68" s="16" t="str">
        <f t="shared" si="12"/>
        <v/>
      </c>
      <c r="W68" s="16" t="str">
        <f t="shared" si="13"/>
        <v/>
      </c>
      <c r="X68" s="40"/>
      <c r="Y68" s="14"/>
      <c r="AZ68" t="str">
        <f>IF($C68="","",ANAGRAFICA!$P65)</f>
        <v/>
      </c>
      <c r="BA68" t="str">
        <f>IF($C68="","",SUMIF('MOVIMENTI 2026'!$B$7:$B$4206,$C68,'MOVIMENTI 2026'!$I$7:$I$4206)+SUMIF('SALDI AL 31.12.2025'!$A$6:$A$505,$C68,'SALDI AL 31.12.2025'!$C$6:$C$505))</f>
        <v/>
      </c>
      <c r="BB68" t="str">
        <f>IF($C68="","",SUMIF('MOVIMENTI 2026'!$B$7:$B$4206,$C68,'MOVIMENTI 2026'!$J$7:$J$4206)+SUMIF('SALDI AL 31.12.2025'!$A$6:$A$505,$C68,'SALDI AL 31.12.2025'!$D$6:$D$505))</f>
        <v/>
      </c>
      <c r="BC68" t="str">
        <f>IF($C68="","",SUMIF('MOVIMENTI 2026'!$B$7:$B$4206,$C68,'MOVIMENTI 2026'!$K$7:$K$4206)+SUMIF('SALDI AL 31.12.2025'!$A$6:$A$505,$C68,'SALDI AL 31.12.2025'!$E$6:$E$505))</f>
        <v/>
      </c>
      <c r="BD68" t="str">
        <f>IF($C68="","",SUMIF('MOVIMENTI 2026'!$B$7:$B$4206,$C68,'MOVIMENTI 2026'!$L$7:$L$4206)+SUMIF('SALDI AL 31.12.2025'!$A$6:$A$505,$C68,'SALDI AL 31.12.2025'!$F$6:$F$505))</f>
        <v/>
      </c>
      <c r="BE68" t="str">
        <f t="shared" si="14"/>
        <v/>
      </c>
      <c r="BF68" t="str">
        <f t="shared" si="15"/>
        <v/>
      </c>
      <c r="BG68" t="str">
        <f t="shared" si="16"/>
        <v/>
      </c>
      <c r="BH68" t="str">
        <f>IFERROR(IF(OR($C68="",ANAGRAFICA!$I65="",ANAGRAFICA!$J65="",ANAGRAFICA!$J65&lt;=ANAGRAFICA!$I65,$Y68=""),"",IF(OR($I68="Finito ritenute non previste",$I68="Finito con sblocco ritenute",$I68="Finito senza sblocco ritenute"),1,MAX(0,MIN(1,($Y68-ANAGRAFICA!$I65)/(ANAGRAFICA!$J65-ANAGRAFICA!$I65))))),"")</f>
        <v/>
      </c>
      <c r="BI68" t="str">
        <f t="shared" si="17"/>
        <v/>
      </c>
      <c r="BJ68" t="str">
        <f>IFERROR(IF($C68="","",'BUDGET COMMESSA'!$D65),"")</f>
        <v/>
      </c>
      <c r="BK68" t="str">
        <f>IF($C68="","",SUMIF('MOVIMENTI 2026'!$B$7:$B$4206,$C68,'MOVIMENTI 2026'!$N$7:$N$4206)+SUMIF('SALDI AL 31.12.2025'!$A$6:$A$505,$C68,'SALDI AL 31.12.2025'!$H$6:$H$505))</f>
        <v/>
      </c>
      <c r="BL68" t="str">
        <f t="shared" si="18"/>
        <v/>
      </c>
      <c r="BM68" t="str">
        <f t="shared" si="19"/>
        <v/>
      </c>
      <c r="BN68" t="str">
        <f t="shared" si="20"/>
        <v/>
      </c>
      <c r="BO68" t="str">
        <f>IFERROR(IF($C68="","",'BUDGET COMMESSA'!$G65),"")</f>
        <v/>
      </c>
      <c r="BP68" t="str">
        <f>IF($C68="","",SUMIF('COSTI DIRETTI'!$C$6:$C$505,$C68,'COSTI DIRETTI'!$H$6:$H$505)+SUMIF('SALDI AL 31.12.2025'!$A$6:$A$505,$C68,'SALDI AL 31.12.2025'!$I$6:$I$505))</f>
        <v/>
      </c>
      <c r="BQ68" t="str">
        <f t="shared" si="21"/>
        <v/>
      </c>
      <c r="BR68" t="str">
        <f t="shared" si="22"/>
        <v/>
      </c>
      <c r="BS68" t="str">
        <f>IF($C68="","",$BK68*PARAMETRI!$B$4+$BP68)</f>
        <v/>
      </c>
      <c r="BT68">
        <f t="shared" si="23"/>
        <v>0</v>
      </c>
      <c r="BU68">
        <f t="shared" si="24"/>
        <v>0</v>
      </c>
      <c r="BV68" t="str">
        <f>IF($C68="","",SUMIF('MOVIMENTI 2026'!$B$7:$B$4206,$C68,'MOVIMENTI 2026'!$P$7:$P$4206)+SUMIF('SALDI AL 31.12.2025'!$A$6:$A$505,$C68,'SALDI AL 31.12.2025'!$G$6:$G$505))</f>
        <v/>
      </c>
    </row>
    <row r="69" spans="1:74" ht="16" x14ac:dyDescent="0.15">
      <c r="A69" s="17" t="str">
        <f>IFERROR(IF($C69="","",IF(OR($BF69&gt;0,$V69&gt;$J69,AND(ISNUMBER($Q69),$Q69&gt;0),AND($BI69&lt;&gt;"",$BI69&lt;-PARAMETRI!$B$6),AND($BM69&lt;&gt;"",$BM69&gt;=1),AND($BN69&lt;&gt;"",$BN69&gt;PARAMETRI!$B$8),AND(ISNUMBER($BR69),$BR69&gt;0)),"CRITICO",IF(OR($AZ69="",LEFT($C69,5)="TEMP",$BJ69="",$BO69="",ANAGRAFICA!$I66="",ANAGRAFICA!$J66="",$Y69="",AND(OR($I69="Finito ritenute non previste",$I69="Finito con sblocco ritenute",$I69="Finito senza sblocco ritenute"),ANAGRAFICA!$K66=""),OR(AND(ANAGRAFICA!$T66&lt;&gt;"",ANAGRAFICA!$J66&lt;&gt;ANAGRAFICA!$T66,OR(ANAGRAFICA!$R66="",ANAGRAFICA!$R66="Nessuna variazione")),AND(ANAGRAFICA!$J66="",ANAGRAFICA!$R66&lt;&gt;"",ANAGRAFICA!$R66&lt;&gt;"Nessuna variazione")),AND($BI69&lt;&gt;"",$BI69&lt;-PARAMETRI!$B$5),AND($BN69&lt;&gt;"",$BN69&gt;PARAMETRI!$B$7),AND($W69&gt;0,$M69&gt;$W69*PARAMETRI!$B$9),AND($O69&gt;0,OR($I69="Finito ritenute non previste",$I69="Finito con sblocco ritenute",$I69="Finito senza sblocco ritenute")),AND($BA69&gt;0,$BO69&gt;0,$BP69=0),AND(OR($I69="Finito ritenute non previste",$I69="Finito con sblocco ritenute",$I69="Finito senza sblocco ritenute"),$W69&gt;0,$N69&gt;$W69*PARAMETRI!$B$9),$V69&gt;0),"ATTENZIONE","REGOLARE"))),"ATTENZIONE")</f>
        <v/>
      </c>
      <c r="B69" s="17" t="str">
        <f>IFERROR(IF($C69="","",IF($BF69&gt;0,"FATTURATO OLTRE VALORE RECUPERABILE; ","")&amp;IF($V69&gt;$J69,"PERDITE ACCETTATE OLTRE CONTRATTO; ","")&amp;IF($V69&gt;0,"PERDITA SAL ACCETTATA (€ "&amp;TEXT($V69,"#,##0.00")&amp;"); ","")&amp;IF(AND(ISNUMBER($Q69),$Q69&gt;0),"RITARDO PRODUTTIVO ("&amp;TEXT($Q69,"0")&amp;" GG); ","")&amp;IF(AND($BI69&lt;&gt;"",$BI69&lt;-PARAMETRI!$B$5),"AVANZAMENTO PIÙ LENTO DEL TEMPO; ","")&amp;IF(AND($BM69&lt;&gt;"",$BM69&gt;1),"ORE OLTRE BUDGET; ","")&amp;IF(AND($BM69&lt;&gt;"",$BM69=1),"ORE PREVENTIVATE ESAURITE; ","")&amp;IF(AND($BN69&lt;&gt;"",$BN69&gt;PARAMETRI!$B$7),"CONSUMO ORE SUPERIORE ALL'AVANZAMENTO; ","")&amp;IF(AND(ISNUMBER($BR69),$BR69&gt;0),"COSTI DIRETTI OLTRE BUDGET; ","")&amp;IF(AND($W69&gt;0,$M69&gt;$W69*PARAMETRI!$B$9),"SAL MATURATO NON FATTURATO; ","")&amp;IF(AND($O69&gt;0,OR($I69="Finito ritenute non previste",$I69="Finito con sblocco ritenute",$I69="Finito senza sblocco ritenute")),"RITENUTE DA SBLOCCARE; ","")&amp;IF(AND($BA69&gt;0,$BO69&gt;0,$BP69=0),"COSTI DIRETTI NON REGISTRATI; ","")&amp;IF(AND(OR($I69="Finito ritenute non previste",$I69="Finito con sblocco ritenute",$I69="Finito senza sblocco ritenute"),$W69&gt;0,$N69&gt;$W69*PARAMETRI!$B$9),"CANTIERE FINITO CON RESIDUO LAVORI; ","")&amp;IF(AND(OR($I69="Finito ritenute non previste",$I69="Finito con sblocco ritenute",$I69="Finito senza sblocco ritenute"),ANAGRAFICA!$K66=""),"DATA FINE EFFETTIVA MANCANTE; ","")&amp;IF(OR(AND(ANAGRAFICA!$T66&lt;&gt;"",ANAGRAFICA!$J66&lt;&gt;ANAGRAFICA!$T66,OR(ANAGRAFICA!$R66="",ANAGRAFICA!$R66="Nessuna variazione")),AND(ANAGRAFICA!$J66="",ANAGRAFICA!$R66&lt;&gt;"",ANAGRAFICA!$R66&lt;&gt;"Nessuna variazione")),"GESTIONE DATA FINE INCOMPLETA; ","")&amp;IF($Y69="","AGGIORNATO AL MANCANTE; ","")&amp;IF(OR($AZ69="",$BJ69="",$BO69="",ANAGRAFICA!$I66="",ANAGRAFICA!$J66=""),"DATI PREVISIONALI INCOMPLETI; ","")&amp;IF(LEFT($C69,5)="TEMP","CODICE COMMESSA TEMPORANEO; ","")),"DATI INCOMPLETI; ")</f>
        <v/>
      </c>
      <c r="C69" s="17" t="str">
        <f>IF(ANAGRAFICA!$B66="","",ANAGRAFICA!$B66)</f>
        <v/>
      </c>
      <c r="D69" s="17" t="str">
        <f>IF($C69="","",ANAGRAFICA!$C66)</f>
        <v/>
      </c>
      <c r="E69" s="17" t="str">
        <f>IF($C69="","",ANAGRAFICA!$D66)</f>
        <v/>
      </c>
      <c r="F69" s="17" t="str">
        <f>IF($C69="","",ANAGRAFICA!$E66)</f>
        <v/>
      </c>
      <c r="G69" s="17" t="str">
        <f>IF($C69="","",ANAGRAFICA!$F66)</f>
        <v/>
      </c>
      <c r="H69" s="17" t="str">
        <f>IF($C69="","",ANAGRAFICA!$G66)</f>
        <v/>
      </c>
      <c r="I69" s="17" t="str">
        <f>IF($C69="","",ANAGRAFICA!$L66)</f>
        <v/>
      </c>
      <c r="J69" s="16" t="str">
        <f t="shared" si="1"/>
        <v/>
      </c>
      <c r="K69" s="16" t="str">
        <f t="shared" si="2"/>
        <v/>
      </c>
      <c r="L69" s="16" t="str">
        <f t="shared" si="3"/>
        <v/>
      </c>
      <c r="M69" s="16" t="str">
        <f t="shared" si="4"/>
        <v/>
      </c>
      <c r="N69" s="16" t="str">
        <f t="shared" si="5"/>
        <v/>
      </c>
      <c r="O69" s="16" t="str">
        <f t="shared" si="6"/>
        <v/>
      </c>
      <c r="P69" s="17" t="str">
        <f t="shared" si="7"/>
        <v/>
      </c>
      <c r="Q69" s="31" t="str">
        <f>IF(OR($C69="",'BUDGET COMMESSA'!$D66="",'BUDGET COMMESSA'!$D66&lt;=0,ANAGRAFICA!$J66=""),"",IF(OR($I69="Finito ritenute non previste",$I69="Finito con sblocco ritenute",$I69="Finito senza sblocco ritenute"),0,IF(AND($BK69&gt;=$BJ69,ANAGRAFICA!$R66="Ritardo produttivo FIDA"),IF(ANAGRAFICA!$T66&lt;&gt;"",MAX(0,ANAGRAFICA!$J66-ANAGRAFICA!$T66),MAX(0,$Y69-ANAGRAFICA!$J66)),0)))</f>
        <v/>
      </c>
      <c r="R69" s="17" t="str">
        <f t="shared" si="8"/>
        <v/>
      </c>
      <c r="S69" s="17" t="str">
        <f t="shared" si="9"/>
        <v/>
      </c>
      <c r="T69" s="17" t="str">
        <f t="shared" si="10"/>
        <v/>
      </c>
      <c r="U69" s="16" t="str">
        <f t="shared" si="11"/>
        <v/>
      </c>
      <c r="V69" s="16" t="str">
        <f t="shared" si="12"/>
        <v/>
      </c>
      <c r="W69" s="16" t="str">
        <f t="shared" si="13"/>
        <v/>
      </c>
      <c r="X69" s="40"/>
      <c r="Y69" s="14"/>
      <c r="AZ69" t="str">
        <f>IF($C69="","",ANAGRAFICA!$P66)</f>
        <v/>
      </c>
      <c r="BA69" t="str">
        <f>IF($C69="","",SUMIF('MOVIMENTI 2026'!$B$7:$B$4206,$C69,'MOVIMENTI 2026'!$I$7:$I$4206)+SUMIF('SALDI AL 31.12.2025'!$A$6:$A$505,$C69,'SALDI AL 31.12.2025'!$C$6:$C$505))</f>
        <v/>
      </c>
      <c r="BB69" t="str">
        <f>IF($C69="","",SUMIF('MOVIMENTI 2026'!$B$7:$B$4206,$C69,'MOVIMENTI 2026'!$J$7:$J$4206)+SUMIF('SALDI AL 31.12.2025'!$A$6:$A$505,$C69,'SALDI AL 31.12.2025'!$D$6:$D$505))</f>
        <v/>
      </c>
      <c r="BC69" t="str">
        <f>IF($C69="","",SUMIF('MOVIMENTI 2026'!$B$7:$B$4206,$C69,'MOVIMENTI 2026'!$K$7:$K$4206)+SUMIF('SALDI AL 31.12.2025'!$A$6:$A$505,$C69,'SALDI AL 31.12.2025'!$E$6:$E$505))</f>
        <v/>
      </c>
      <c r="BD69" t="str">
        <f>IF($C69="","",SUMIF('MOVIMENTI 2026'!$B$7:$B$4206,$C69,'MOVIMENTI 2026'!$L$7:$L$4206)+SUMIF('SALDI AL 31.12.2025'!$A$6:$A$505,$C69,'SALDI AL 31.12.2025'!$F$6:$F$505))</f>
        <v/>
      </c>
      <c r="BE69" t="str">
        <f t="shared" si="14"/>
        <v/>
      </c>
      <c r="BF69" t="str">
        <f t="shared" si="15"/>
        <v/>
      </c>
      <c r="BG69" t="str">
        <f t="shared" si="16"/>
        <v/>
      </c>
      <c r="BH69" t="str">
        <f>IFERROR(IF(OR($C69="",ANAGRAFICA!$I66="",ANAGRAFICA!$J66="",ANAGRAFICA!$J66&lt;=ANAGRAFICA!$I66,$Y69=""),"",IF(OR($I69="Finito ritenute non previste",$I69="Finito con sblocco ritenute",$I69="Finito senza sblocco ritenute"),1,MAX(0,MIN(1,($Y69-ANAGRAFICA!$I66)/(ANAGRAFICA!$J66-ANAGRAFICA!$I66))))),"")</f>
        <v/>
      </c>
      <c r="BI69" t="str">
        <f t="shared" si="17"/>
        <v/>
      </c>
      <c r="BJ69" t="str">
        <f>IFERROR(IF($C69="","",'BUDGET COMMESSA'!$D66),"")</f>
        <v/>
      </c>
      <c r="BK69" t="str">
        <f>IF($C69="","",SUMIF('MOVIMENTI 2026'!$B$7:$B$4206,$C69,'MOVIMENTI 2026'!$N$7:$N$4206)+SUMIF('SALDI AL 31.12.2025'!$A$6:$A$505,$C69,'SALDI AL 31.12.2025'!$H$6:$H$505))</f>
        <v/>
      </c>
      <c r="BL69" t="str">
        <f t="shared" si="18"/>
        <v/>
      </c>
      <c r="BM69" t="str">
        <f t="shared" si="19"/>
        <v/>
      </c>
      <c r="BN69" t="str">
        <f t="shared" si="20"/>
        <v/>
      </c>
      <c r="BO69" t="str">
        <f>IFERROR(IF($C69="","",'BUDGET COMMESSA'!$G66),"")</f>
        <v/>
      </c>
      <c r="BP69" t="str">
        <f>IF($C69="","",SUMIF('COSTI DIRETTI'!$C$6:$C$505,$C69,'COSTI DIRETTI'!$H$6:$H$505)+SUMIF('SALDI AL 31.12.2025'!$A$6:$A$505,$C69,'SALDI AL 31.12.2025'!$I$6:$I$505))</f>
        <v/>
      </c>
      <c r="BQ69" t="str">
        <f t="shared" si="21"/>
        <v/>
      </c>
      <c r="BR69" t="str">
        <f t="shared" si="22"/>
        <v/>
      </c>
      <c r="BS69" t="str">
        <f>IF($C69="","",$BK69*PARAMETRI!$B$4+$BP69)</f>
        <v/>
      </c>
      <c r="BT69">
        <f t="shared" si="23"/>
        <v>0</v>
      </c>
      <c r="BU69">
        <f t="shared" si="24"/>
        <v>0</v>
      </c>
      <c r="BV69" t="str">
        <f>IF($C69="","",SUMIF('MOVIMENTI 2026'!$B$7:$B$4206,$C69,'MOVIMENTI 2026'!$P$7:$P$4206)+SUMIF('SALDI AL 31.12.2025'!$A$6:$A$505,$C69,'SALDI AL 31.12.2025'!$G$6:$G$505))</f>
        <v/>
      </c>
    </row>
    <row r="70" spans="1:74" ht="16" x14ac:dyDescent="0.15">
      <c r="A70" s="17" t="str">
        <f>IFERROR(IF($C70="","",IF(OR($BF70&gt;0,$V70&gt;$J70,AND(ISNUMBER($Q70),$Q70&gt;0),AND($BI70&lt;&gt;"",$BI70&lt;-PARAMETRI!$B$6),AND($BM70&lt;&gt;"",$BM70&gt;=1),AND($BN70&lt;&gt;"",$BN70&gt;PARAMETRI!$B$8),AND(ISNUMBER($BR70),$BR70&gt;0)),"CRITICO",IF(OR($AZ70="",LEFT($C70,5)="TEMP",$BJ70="",$BO70="",ANAGRAFICA!$I67="",ANAGRAFICA!$J67="",$Y70="",AND(OR($I70="Finito ritenute non previste",$I70="Finito con sblocco ritenute",$I70="Finito senza sblocco ritenute"),ANAGRAFICA!$K67=""),OR(AND(ANAGRAFICA!$T67&lt;&gt;"",ANAGRAFICA!$J67&lt;&gt;ANAGRAFICA!$T67,OR(ANAGRAFICA!$R67="",ANAGRAFICA!$R67="Nessuna variazione")),AND(ANAGRAFICA!$J67="",ANAGRAFICA!$R67&lt;&gt;"",ANAGRAFICA!$R67&lt;&gt;"Nessuna variazione")),AND($BI70&lt;&gt;"",$BI70&lt;-PARAMETRI!$B$5),AND($BN70&lt;&gt;"",$BN70&gt;PARAMETRI!$B$7),AND($W70&gt;0,$M70&gt;$W70*PARAMETRI!$B$9),AND($O70&gt;0,OR($I70="Finito ritenute non previste",$I70="Finito con sblocco ritenute",$I70="Finito senza sblocco ritenute")),AND($BA70&gt;0,$BO70&gt;0,$BP70=0),AND(OR($I70="Finito ritenute non previste",$I70="Finito con sblocco ritenute",$I70="Finito senza sblocco ritenute"),$W70&gt;0,$N70&gt;$W70*PARAMETRI!$B$9),$V70&gt;0),"ATTENZIONE","REGOLARE"))),"ATTENZIONE")</f>
        <v/>
      </c>
      <c r="B70" s="17" t="str">
        <f>IFERROR(IF($C70="","",IF($BF70&gt;0,"FATTURATO OLTRE VALORE RECUPERABILE; ","")&amp;IF($V70&gt;$J70,"PERDITE ACCETTATE OLTRE CONTRATTO; ","")&amp;IF($V70&gt;0,"PERDITA SAL ACCETTATA (€ "&amp;TEXT($V70,"#,##0.00")&amp;"); ","")&amp;IF(AND(ISNUMBER($Q70),$Q70&gt;0),"RITARDO PRODUTTIVO ("&amp;TEXT($Q70,"0")&amp;" GG); ","")&amp;IF(AND($BI70&lt;&gt;"",$BI70&lt;-PARAMETRI!$B$5),"AVANZAMENTO PIÙ LENTO DEL TEMPO; ","")&amp;IF(AND($BM70&lt;&gt;"",$BM70&gt;1),"ORE OLTRE BUDGET; ","")&amp;IF(AND($BM70&lt;&gt;"",$BM70=1),"ORE PREVENTIVATE ESAURITE; ","")&amp;IF(AND($BN70&lt;&gt;"",$BN70&gt;PARAMETRI!$B$7),"CONSUMO ORE SUPERIORE ALL'AVANZAMENTO; ","")&amp;IF(AND(ISNUMBER($BR70),$BR70&gt;0),"COSTI DIRETTI OLTRE BUDGET; ","")&amp;IF(AND($W70&gt;0,$M70&gt;$W70*PARAMETRI!$B$9),"SAL MATURATO NON FATTURATO; ","")&amp;IF(AND($O70&gt;0,OR($I70="Finito ritenute non previste",$I70="Finito con sblocco ritenute",$I70="Finito senza sblocco ritenute")),"RITENUTE DA SBLOCCARE; ","")&amp;IF(AND($BA70&gt;0,$BO70&gt;0,$BP70=0),"COSTI DIRETTI NON REGISTRATI; ","")&amp;IF(AND(OR($I70="Finito ritenute non previste",$I70="Finito con sblocco ritenute",$I70="Finito senza sblocco ritenute"),$W70&gt;0,$N70&gt;$W70*PARAMETRI!$B$9),"CANTIERE FINITO CON RESIDUO LAVORI; ","")&amp;IF(AND(OR($I70="Finito ritenute non previste",$I70="Finito con sblocco ritenute",$I70="Finito senza sblocco ritenute"),ANAGRAFICA!$K67=""),"DATA FINE EFFETTIVA MANCANTE; ","")&amp;IF(OR(AND(ANAGRAFICA!$T67&lt;&gt;"",ANAGRAFICA!$J67&lt;&gt;ANAGRAFICA!$T67,OR(ANAGRAFICA!$R67="",ANAGRAFICA!$R67="Nessuna variazione")),AND(ANAGRAFICA!$J67="",ANAGRAFICA!$R67&lt;&gt;"",ANAGRAFICA!$R67&lt;&gt;"Nessuna variazione")),"GESTIONE DATA FINE INCOMPLETA; ","")&amp;IF($Y70="","AGGIORNATO AL MANCANTE; ","")&amp;IF(OR($AZ70="",$BJ70="",$BO70="",ANAGRAFICA!$I67="",ANAGRAFICA!$J67=""),"DATI PREVISIONALI INCOMPLETI; ","")&amp;IF(LEFT($C70,5)="TEMP","CODICE COMMESSA TEMPORANEO; ","")),"DATI INCOMPLETI; ")</f>
        <v/>
      </c>
      <c r="C70" s="17" t="str">
        <f>IF(ANAGRAFICA!$B67="","",ANAGRAFICA!$B67)</f>
        <v/>
      </c>
      <c r="D70" s="17" t="str">
        <f>IF($C70="","",ANAGRAFICA!$C67)</f>
        <v/>
      </c>
      <c r="E70" s="17" t="str">
        <f>IF($C70="","",ANAGRAFICA!$D67)</f>
        <v/>
      </c>
      <c r="F70" s="17" t="str">
        <f>IF($C70="","",ANAGRAFICA!$E67)</f>
        <v/>
      </c>
      <c r="G70" s="17" t="str">
        <f>IF($C70="","",ANAGRAFICA!$F67)</f>
        <v/>
      </c>
      <c r="H70" s="17" t="str">
        <f>IF($C70="","",ANAGRAFICA!$G67)</f>
        <v/>
      </c>
      <c r="I70" s="17" t="str">
        <f>IF($C70="","",ANAGRAFICA!$L67)</f>
        <v/>
      </c>
      <c r="J70" s="16" t="str">
        <f t="shared" si="1"/>
        <v/>
      </c>
      <c r="K70" s="16" t="str">
        <f t="shared" si="2"/>
        <v/>
      </c>
      <c r="L70" s="16" t="str">
        <f t="shared" si="3"/>
        <v/>
      </c>
      <c r="M70" s="16" t="str">
        <f t="shared" si="4"/>
        <v/>
      </c>
      <c r="N70" s="16" t="str">
        <f t="shared" si="5"/>
        <v/>
      </c>
      <c r="O70" s="16" t="str">
        <f t="shared" si="6"/>
        <v/>
      </c>
      <c r="P70" s="17" t="str">
        <f t="shared" si="7"/>
        <v/>
      </c>
      <c r="Q70" s="31" t="str">
        <f>IF(OR($C70="",'BUDGET COMMESSA'!$D67="",'BUDGET COMMESSA'!$D67&lt;=0,ANAGRAFICA!$J67=""),"",IF(OR($I70="Finito ritenute non previste",$I70="Finito con sblocco ritenute",$I70="Finito senza sblocco ritenute"),0,IF(AND($BK70&gt;=$BJ70,ANAGRAFICA!$R67="Ritardo produttivo FIDA"),IF(ANAGRAFICA!$T67&lt;&gt;"",MAX(0,ANAGRAFICA!$J67-ANAGRAFICA!$T67),MAX(0,$Y70-ANAGRAFICA!$J67)),0)))</f>
        <v/>
      </c>
      <c r="R70" s="17" t="str">
        <f t="shared" si="8"/>
        <v/>
      </c>
      <c r="S70" s="17" t="str">
        <f t="shared" si="9"/>
        <v/>
      </c>
      <c r="T70" s="17" t="str">
        <f t="shared" si="10"/>
        <v/>
      </c>
      <c r="U70" s="16" t="str">
        <f t="shared" si="11"/>
        <v/>
      </c>
      <c r="V70" s="16" t="str">
        <f t="shared" si="12"/>
        <v/>
      </c>
      <c r="W70" s="16" t="str">
        <f t="shared" si="13"/>
        <v/>
      </c>
      <c r="X70" s="40"/>
      <c r="Y70" s="14"/>
      <c r="AZ70" t="str">
        <f>IF($C70="","",ANAGRAFICA!$P67)</f>
        <v/>
      </c>
      <c r="BA70" t="str">
        <f>IF($C70="","",SUMIF('MOVIMENTI 2026'!$B$7:$B$4206,$C70,'MOVIMENTI 2026'!$I$7:$I$4206)+SUMIF('SALDI AL 31.12.2025'!$A$6:$A$505,$C70,'SALDI AL 31.12.2025'!$C$6:$C$505))</f>
        <v/>
      </c>
      <c r="BB70" t="str">
        <f>IF($C70="","",SUMIF('MOVIMENTI 2026'!$B$7:$B$4206,$C70,'MOVIMENTI 2026'!$J$7:$J$4206)+SUMIF('SALDI AL 31.12.2025'!$A$6:$A$505,$C70,'SALDI AL 31.12.2025'!$D$6:$D$505))</f>
        <v/>
      </c>
      <c r="BC70" t="str">
        <f>IF($C70="","",SUMIF('MOVIMENTI 2026'!$B$7:$B$4206,$C70,'MOVIMENTI 2026'!$K$7:$K$4206)+SUMIF('SALDI AL 31.12.2025'!$A$6:$A$505,$C70,'SALDI AL 31.12.2025'!$E$6:$E$505))</f>
        <v/>
      </c>
      <c r="BD70" t="str">
        <f>IF($C70="","",SUMIF('MOVIMENTI 2026'!$B$7:$B$4206,$C70,'MOVIMENTI 2026'!$L$7:$L$4206)+SUMIF('SALDI AL 31.12.2025'!$A$6:$A$505,$C70,'SALDI AL 31.12.2025'!$F$6:$F$505))</f>
        <v/>
      </c>
      <c r="BE70" t="str">
        <f t="shared" si="14"/>
        <v/>
      </c>
      <c r="BF70" t="str">
        <f t="shared" si="15"/>
        <v/>
      </c>
      <c r="BG70" t="str">
        <f t="shared" si="16"/>
        <v/>
      </c>
      <c r="BH70" t="str">
        <f>IFERROR(IF(OR($C70="",ANAGRAFICA!$I67="",ANAGRAFICA!$J67="",ANAGRAFICA!$J67&lt;=ANAGRAFICA!$I67,$Y70=""),"",IF(OR($I70="Finito ritenute non previste",$I70="Finito con sblocco ritenute",$I70="Finito senza sblocco ritenute"),1,MAX(0,MIN(1,($Y70-ANAGRAFICA!$I67)/(ANAGRAFICA!$J67-ANAGRAFICA!$I67))))),"")</f>
        <v/>
      </c>
      <c r="BI70" t="str">
        <f t="shared" si="17"/>
        <v/>
      </c>
      <c r="BJ70" t="str">
        <f>IFERROR(IF($C70="","",'BUDGET COMMESSA'!$D67),"")</f>
        <v/>
      </c>
      <c r="BK70" t="str">
        <f>IF($C70="","",SUMIF('MOVIMENTI 2026'!$B$7:$B$4206,$C70,'MOVIMENTI 2026'!$N$7:$N$4206)+SUMIF('SALDI AL 31.12.2025'!$A$6:$A$505,$C70,'SALDI AL 31.12.2025'!$H$6:$H$505))</f>
        <v/>
      </c>
      <c r="BL70" t="str">
        <f t="shared" si="18"/>
        <v/>
      </c>
      <c r="BM70" t="str">
        <f t="shared" si="19"/>
        <v/>
      </c>
      <c r="BN70" t="str">
        <f t="shared" si="20"/>
        <v/>
      </c>
      <c r="BO70" t="str">
        <f>IFERROR(IF($C70="","",'BUDGET COMMESSA'!$G67),"")</f>
        <v/>
      </c>
      <c r="BP70" t="str">
        <f>IF($C70="","",SUMIF('COSTI DIRETTI'!$C$6:$C$505,$C70,'COSTI DIRETTI'!$H$6:$H$505)+SUMIF('SALDI AL 31.12.2025'!$A$6:$A$505,$C70,'SALDI AL 31.12.2025'!$I$6:$I$505))</f>
        <v/>
      </c>
      <c r="BQ70" t="str">
        <f t="shared" si="21"/>
        <v/>
      </c>
      <c r="BR70" t="str">
        <f t="shared" si="22"/>
        <v/>
      </c>
      <c r="BS70" t="str">
        <f>IF($C70="","",$BK70*PARAMETRI!$B$4+$BP70)</f>
        <v/>
      </c>
      <c r="BT70">
        <f t="shared" si="23"/>
        <v>0</v>
      </c>
      <c r="BU70">
        <f t="shared" si="24"/>
        <v>0</v>
      </c>
      <c r="BV70" t="str">
        <f>IF($C70="","",SUMIF('MOVIMENTI 2026'!$B$7:$B$4206,$C70,'MOVIMENTI 2026'!$P$7:$P$4206)+SUMIF('SALDI AL 31.12.2025'!$A$6:$A$505,$C70,'SALDI AL 31.12.2025'!$G$6:$G$505))</f>
        <v/>
      </c>
    </row>
    <row r="71" spans="1:74" ht="16" x14ac:dyDescent="0.15">
      <c r="A71" s="17" t="str">
        <f>IFERROR(IF($C71="","",IF(OR($BF71&gt;0,$V71&gt;$J71,AND(ISNUMBER($Q71),$Q71&gt;0),AND($BI71&lt;&gt;"",$BI71&lt;-PARAMETRI!$B$6),AND($BM71&lt;&gt;"",$BM71&gt;=1),AND($BN71&lt;&gt;"",$BN71&gt;PARAMETRI!$B$8),AND(ISNUMBER($BR71),$BR71&gt;0)),"CRITICO",IF(OR($AZ71="",LEFT($C71,5)="TEMP",$BJ71="",$BO71="",ANAGRAFICA!$I68="",ANAGRAFICA!$J68="",$Y71="",AND(OR($I71="Finito ritenute non previste",$I71="Finito con sblocco ritenute",$I71="Finito senza sblocco ritenute"),ANAGRAFICA!$K68=""),OR(AND(ANAGRAFICA!$T68&lt;&gt;"",ANAGRAFICA!$J68&lt;&gt;ANAGRAFICA!$T68,OR(ANAGRAFICA!$R68="",ANAGRAFICA!$R68="Nessuna variazione")),AND(ANAGRAFICA!$J68="",ANAGRAFICA!$R68&lt;&gt;"",ANAGRAFICA!$R68&lt;&gt;"Nessuna variazione")),AND($BI71&lt;&gt;"",$BI71&lt;-PARAMETRI!$B$5),AND($BN71&lt;&gt;"",$BN71&gt;PARAMETRI!$B$7),AND($W71&gt;0,$M71&gt;$W71*PARAMETRI!$B$9),AND($O71&gt;0,OR($I71="Finito ritenute non previste",$I71="Finito con sblocco ritenute",$I71="Finito senza sblocco ritenute")),AND($BA71&gt;0,$BO71&gt;0,$BP71=0),AND(OR($I71="Finito ritenute non previste",$I71="Finito con sblocco ritenute",$I71="Finito senza sblocco ritenute"),$W71&gt;0,$N71&gt;$W71*PARAMETRI!$B$9),$V71&gt;0),"ATTENZIONE","REGOLARE"))),"ATTENZIONE")</f>
        <v/>
      </c>
      <c r="B71" s="17" t="str">
        <f>IFERROR(IF($C71="","",IF($BF71&gt;0,"FATTURATO OLTRE VALORE RECUPERABILE; ","")&amp;IF($V71&gt;$J71,"PERDITE ACCETTATE OLTRE CONTRATTO; ","")&amp;IF($V71&gt;0,"PERDITA SAL ACCETTATA (€ "&amp;TEXT($V71,"#,##0.00")&amp;"); ","")&amp;IF(AND(ISNUMBER($Q71),$Q71&gt;0),"RITARDO PRODUTTIVO ("&amp;TEXT($Q71,"0")&amp;" GG); ","")&amp;IF(AND($BI71&lt;&gt;"",$BI71&lt;-PARAMETRI!$B$5),"AVANZAMENTO PIÙ LENTO DEL TEMPO; ","")&amp;IF(AND($BM71&lt;&gt;"",$BM71&gt;1),"ORE OLTRE BUDGET; ","")&amp;IF(AND($BM71&lt;&gt;"",$BM71=1),"ORE PREVENTIVATE ESAURITE; ","")&amp;IF(AND($BN71&lt;&gt;"",$BN71&gt;PARAMETRI!$B$7),"CONSUMO ORE SUPERIORE ALL'AVANZAMENTO; ","")&amp;IF(AND(ISNUMBER($BR71),$BR71&gt;0),"COSTI DIRETTI OLTRE BUDGET; ","")&amp;IF(AND($W71&gt;0,$M71&gt;$W71*PARAMETRI!$B$9),"SAL MATURATO NON FATTURATO; ","")&amp;IF(AND($O71&gt;0,OR($I71="Finito ritenute non previste",$I71="Finito con sblocco ritenute",$I71="Finito senza sblocco ritenute")),"RITENUTE DA SBLOCCARE; ","")&amp;IF(AND($BA71&gt;0,$BO71&gt;0,$BP71=0),"COSTI DIRETTI NON REGISTRATI; ","")&amp;IF(AND(OR($I71="Finito ritenute non previste",$I71="Finito con sblocco ritenute",$I71="Finito senza sblocco ritenute"),$W71&gt;0,$N71&gt;$W71*PARAMETRI!$B$9),"CANTIERE FINITO CON RESIDUO LAVORI; ","")&amp;IF(AND(OR($I71="Finito ritenute non previste",$I71="Finito con sblocco ritenute",$I71="Finito senza sblocco ritenute"),ANAGRAFICA!$K68=""),"DATA FINE EFFETTIVA MANCANTE; ","")&amp;IF(OR(AND(ANAGRAFICA!$T68&lt;&gt;"",ANAGRAFICA!$J68&lt;&gt;ANAGRAFICA!$T68,OR(ANAGRAFICA!$R68="",ANAGRAFICA!$R68="Nessuna variazione")),AND(ANAGRAFICA!$J68="",ANAGRAFICA!$R68&lt;&gt;"",ANAGRAFICA!$R68&lt;&gt;"Nessuna variazione")),"GESTIONE DATA FINE INCOMPLETA; ","")&amp;IF($Y71="","AGGIORNATO AL MANCANTE; ","")&amp;IF(OR($AZ71="",$BJ71="",$BO71="",ANAGRAFICA!$I68="",ANAGRAFICA!$J68=""),"DATI PREVISIONALI INCOMPLETI; ","")&amp;IF(LEFT($C71,5)="TEMP","CODICE COMMESSA TEMPORANEO; ","")),"DATI INCOMPLETI; ")</f>
        <v/>
      </c>
      <c r="C71" s="17" t="str">
        <f>IF(ANAGRAFICA!$B68="","",ANAGRAFICA!$B68)</f>
        <v/>
      </c>
      <c r="D71" s="17" t="str">
        <f>IF($C71="","",ANAGRAFICA!$C68)</f>
        <v/>
      </c>
      <c r="E71" s="17" t="str">
        <f>IF($C71="","",ANAGRAFICA!$D68)</f>
        <v/>
      </c>
      <c r="F71" s="17" t="str">
        <f>IF($C71="","",ANAGRAFICA!$E68)</f>
        <v/>
      </c>
      <c r="G71" s="17" t="str">
        <f>IF($C71="","",ANAGRAFICA!$F68)</f>
        <v/>
      </c>
      <c r="H71" s="17" t="str">
        <f>IF($C71="","",ANAGRAFICA!$G68)</f>
        <v/>
      </c>
      <c r="I71" s="17" t="str">
        <f>IF($C71="","",ANAGRAFICA!$L68)</f>
        <v/>
      </c>
      <c r="J71" s="16" t="str">
        <f t="shared" si="1"/>
        <v/>
      </c>
      <c r="K71" s="16" t="str">
        <f t="shared" si="2"/>
        <v/>
      </c>
      <c r="L71" s="16" t="str">
        <f t="shared" si="3"/>
        <v/>
      </c>
      <c r="M71" s="16" t="str">
        <f t="shared" si="4"/>
        <v/>
      </c>
      <c r="N71" s="16" t="str">
        <f t="shared" si="5"/>
        <v/>
      </c>
      <c r="O71" s="16" t="str">
        <f t="shared" si="6"/>
        <v/>
      </c>
      <c r="P71" s="17" t="str">
        <f t="shared" si="7"/>
        <v/>
      </c>
      <c r="Q71" s="31" t="str">
        <f>IF(OR($C71="",'BUDGET COMMESSA'!$D68="",'BUDGET COMMESSA'!$D68&lt;=0,ANAGRAFICA!$J68=""),"",IF(OR($I71="Finito ritenute non previste",$I71="Finito con sblocco ritenute",$I71="Finito senza sblocco ritenute"),0,IF(AND($BK71&gt;=$BJ71,ANAGRAFICA!$R68="Ritardo produttivo FIDA"),IF(ANAGRAFICA!$T68&lt;&gt;"",MAX(0,ANAGRAFICA!$J68-ANAGRAFICA!$T68),MAX(0,$Y71-ANAGRAFICA!$J68)),0)))</f>
        <v/>
      </c>
      <c r="R71" s="17" t="str">
        <f t="shared" si="8"/>
        <v/>
      </c>
      <c r="S71" s="17" t="str">
        <f t="shared" si="9"/>
        <v/>
      </c>
      <c r="T71" s="17" t="str">
        <f t="shared" si="10"/>
        <v/>
      </c>
      <c r="U71" s="16" t="str">
        <f t="shared" si="11"/>
        <v/>
      </c>
      <c r="V71" s="16" t="str">
        <f t="shared" si="12"/>
        <v/>
      </c>
      <c r="W71" s="16" t="str">
        <f t="shared" si="13"/>
        <v/>
      </c>
      <c r="X71" s="40"/>
      <c r="Y71" s="14"/>
      <c r="AZ71" t="str">
        <f>IF($C71="","",ANAGRAFICA!$P68)</f>
        <v/>
      </c>
      <c r="BA71" t="str">
        <f>IF($C71="","",SUMIF('MOVIMENTI 2026'!$B$7:$B$4206,$C71,'MOVIMENTI 2026'!$I$7:$I$4206)+SUMIF('SALDI AL 31.12.2025'!$A$6:$A$505,$C71,'SALDI AL 31.12.2025'!$C$6:$C$505))</f>
        <v/>
      </c>
      <c r="BB71" t="str">
        <f>IF($C71="","",SUMIF('MOVIMENTI 2026'!$B$7:$B$4206,$C71,'MOVIMENTI 2026'!$J$7:$J$4206)+SUMIF('SALDI AL 31.12.2025'!$A$6:$A$505,$C71,'SALDI AL 31.12.2025'!$D$6:$D$505))</f>
        <v/>
      </c>
      <c r="BC71" t="str">
        <f>IF($C71="","",SUMIF('MOVIMENTI 2026'!$B$7:$B$4206,$C71,'MOVIMENTI 2026'!$K$7:$K$4206)+SUMIF('SALDI AL 31.12.2025'!$A$6:$A$505,$C71,'SALDI AL 31.12.2025'!$E$6:$E$505))</f>
        <v/>
      </c>
      <c r="BD71" t="str">
        <f>IF($C71="","",SUMIF('MOVIMENTI 2026'!$B$7:$B$4206,$C71,'MOVIMENTI 2026'!$L$7:$L$4206)+SUMIF('SALDI AL 31.12.2025'!$A$6:$A$505,$C71,'SALDI AL 31.12.2025'!$F$6:$F$505))</f>
        <v/>
      </c>
      <c r="BE71" t="str">
        <f t="shared" si="14"/>
        <v/>
      </c>
      <c r="BF71" t="str">
        <f t="shared" si="15"/>
        <v/>
      </c>
      <c r="BG71" t="str">
        <f t="shared" si="16"/>
        <v/>
      </c>
      <c r="BH71" t="str">
        <f>IFERROR(IF(OR($C71="",ANAGRAFICA!$I68="",ANAGRAFICA!$J68="",ANAGRAFICA!$J68&lt;=ANAGRAFICA!$I68,$Y71=""),"",IF(OR($I71="Finito ritenute non previste",$I71="Finito con sblocco ritenute",$I71="Finito senza sblocco ritenute"),1,MAX(0,MIN(1,($Y71-ANAGRAFICA!$I68)/(ANAGRAFICA!$J68-ANAGRAFICA!$I68))))),"")</f>
        <v/>
      </c>
      <c r="BI71" t="str">
        <f t="shared" si="17"/>
        <v/>
      </c>
      <c r="BJ71" t="str">
        <f>IFERROR(IF($C71="","",'BUDGET COMMESSA'!$D68),"")</f>
        <v/>
      </c>
      <c r="BK71" t="str">
        <f>IF($C71="","",SUMIF('MOVIMENTI 2026'!$B$7:$B$4206,$C71,'MOVIMENTI 2026'!$N$7:$N$4206)+SUMIF('SALDI AL 31.12.2025'!$A$6:$A$505,$C71,'SALDI AL 31.12.2025'!$H$6:$H$505))</f>
        <v/>
      </c>
      <c r="BL71" t="str">
        <f t="shared" si="18"/>
        <v/>
      </c>
      <c r="BM71" t="str">
        <f t="shared" si="19"/>
        <v/>
      </c>
      <c r="BN71" t="str">
        <f t="shared" si="20"/>
        <v/>
      </c>
      <c r="BO71" t="str">
        <f>IFERROR(IF($C71="","",'BUDGET COMMESSA'!$G68),"")</f>
        <v/>
      </c>
      <c r="BP71" t="str">
        <f>IF($C71="","",SUMIF('COSTI DIRETTI'!$C$6:$C$505,$C71,'COSTI DIRETTI'!$H$6:$H$505)+SUMIF('SALDI AL 31.12.2025'!$A$6:$A$505,$C71,'SALDI AL 31.12.2025'!$I$6:$I$505))</f>
        <v/>
      </c>
      <c r="BQ71" t="str">
        <f t="shared" si="21"/>
        <v/>
      </c>
      <c r="BR71" t="str">
        <f t="shared" si="22"/>
        <v/>
      </c>
      <c r="BS71" t="str">
        <f>IF($C71="","",$BK71*PARAMETRI!$B$4+$BP71)</f>
        <v/>
      </c>
      <c r="BT71">
        <f t="shared" si="23"/>
        <v>0</v>
      </c>
      <c r="BU71">
        <f t="shared" si="24"/>
        <v>0</v>
      </c>
      <c r="BV71" t="str">
        <f>IF($C71="","",SUMIF('MOVIMENTI 2026'!$B$7:$B$4206,$C71,'MOVIMENTI 2026'!$P$7:$P$4206)+SUMIF('SALDI AL 31.12.2025'!$A$6:$A$505,$C71,'SALDI AL 31.12.2025'!$G$6:$G$505))</f>
        <v/>
      </c>
    </row>
    <row r="72" spans="1:74" ht="16" x14ac:dyDescent="0.15">
      <c r="A72" s="17" t="str">
        <f>IFERROR(IF($C72="","",IF(OR($BF72&gt;0,$V72&gt;$J72,AND(ISNUMBER($Q72),$Q72&gt;0),AND($BI72&lt;&gt;"",$BI72&lt;-PARAMETRI!$B$6),AND($BM72&lt;&gt;"",$BM72&gt;=1),AND($BN72&lt;&gt;"",$BN72&gt;PARAMETRI!$B$8),AND(ISNUMBER($BR72),$BR72&gt;0)),"CRITICO",IF(OR($AZ72="",LEFT($C72,5)="TEMP",$BJ72="",$BO72="",ANAGRAFICA!$I69="",ANAGRAFICA!$J69="",$Y72="",AND(OR($I72="Finito ritenute non previste",$I72="Finito con sblocco ritenute",$I72="Finito senza sblocco ritenute"),ANAGRAFICA!$K69=""),OR(AND(ANAGRAFICA!$T69&lt;&gt;"",ANAGRAFICA!$J69&lt;&gt;ANAGRAFICA!$T69,OR(ANAGRAFICA!$R69="",ANAGRAFICA!$R69="Nessuna variazione")),AND(ANAGRAFICA!$J69="",ANAGRAFICA!$R69&lt;&gt;"",ANAGRAFICA!$R69&lt;&gt;"Nessuna variazione")),AND($BI72&lt;&gt;"",$BI72&lt;-PARAMETRI!$B$5),AND($BN72&lt;&gt;"",$BN72&gt;PARAMETRI!$B$7),AND($W72&gt;0,$M72&gt;$W72*PARAMETRI!$B$9),AND($O72&gt;0,OR($I72="Finito ritenute non previste",$I72="Finito con sblocco ritenute",$I72="Finito senza sblocco ritenute")),AND($BA72&gt;0,$BO72&gt;0,$BP72=0),AND(OR($I72="Finito ritenute non previste",$I72="Finito con sblocco ritenute",$I72="Finito senza sblocco ritenute"),$W72&gt;0,$N72&gt;$W72*PARAMETRI!$B$9),$V72&gt;0),"ATTENZIONE","REGOLARE"))),"ATTENZIONE")</f>
        <v/>
      </c>
      <c r="B72" s="17" t="str">
        <f>IFERROR(IF($C72="","",IF($BF72&gt;0,"FATTURATO OLTRE VALORE RECUPERABILE; ","")&amp;IF($V72&gt;$J72,"PERDITE ACCETTATE OLTRE CONTRATTO; ","")&amp;IF($V72&gt;0,"PERDITA SAL ACCETTATA (€ "&amp;TEXT($V72,"#,##0.00")&amp;"); ","")&amp;IF(AND(ISNUMBER($Q72),$Q72&gt;0),"RITARDO PRODUTTIVO ("&amp;TEXT($Q72,"0")&amp;" GG); ","")&amp;IF(AND($BI72&lt;&gt;"",$BI72&lt;-PARAMETRI!$B$5),"AVANZAMENTO PIÙ LENTO DEL TEMPO; ","")&amp;IF(AND($BM72&lt;&gt;"",$BM72&gt;1),"ORE OLTRE BUDGET; ","")&amp;IF(AND($BM72&lt;&gt;"",$BM72=1),"ORE PREVENTIVATE ESAURITE; ","")&amp;IF(AND($BN72&lt;&gt;"",$BN72&gt;PARAMETRI!$B$7),"CONSUMO ORE SUPERIORE ALL'AVANZAMENTO; ","")&amp;IF(AND(ISNUMBER($BR72),$BR72&gt;0),"COSTI DIRETTI OLTRE BUDGET; ","")&amp;IF(AND($W72&gt;0,$M72&gt;$W72*PARAMETRI!$B$9),"SAL MATURATO NON FATTURATO; ","")&amp;IF(AND($O72&gt;0,OR($I72="Finito ritenute non previste",$I72="Finito con sblocco ritenute",$I72="Finito senza sblocco ritenute")),"RITENUTE DA SBLOCCARE; ","")&amp;IF(AND($BA72&gt;0,$BO72&gt;0,$BP72=0),"COSTI DIRETTI NON REGISTRATI; ","")&amp;IF(AND(OR($I72="Finito ritenute non previste",$I72="Finito con sblocco ritenute",$I72="Finito senza sblocco ritenute"),$W72&gt;0,$N72&gt;$W72*PARAMETRI!$B$9),"CANTIERE FINITO CON RESIDUO LAVORI; ","")&amp;IF(AND(OR($I72="Finito ritenute non previste",$I72="Finito con sblocco ritenute",$I72="Finito senza sblocco ritenute"),ANAGRAFICA!$K69=""),"DATA FINE EFFETTIVA MANCANTE; ","")&amp;IF(OR(AND(ANAGRAFICA!$T69&lt;&gt;"",ANAGRAFICA!$J69&lt;&gt;ANAGRAFICA!$T69,OR(ANAGRAFICA!$R69="",ANAGRAFICA!$R69="Nessuna variazione")),AND(ANAGRAFICA!$J69="",ANAGRAFICA!$R69&lt;&gt;"",ANAGRAFICA!$R69&lt;&gt;"Nessuna variazione")),"GESTIONE DATA FINE INCOMPLETA; ","")&amp;IF($Y72="","AGGIORNATO AL MANCANTE; ","")&amp;IF(OR($AZ72="",$BJ72="",$BO72="",ANAGRAFICA!$I69="",ANAGRAFICA!$J69=""),"DATI PREVISIONALI INCOMPLETI; ","")&amp;IF(LEFT($C72,5)="TEMP","CODICE COMMESSA TEMPORANEO; ","")),"DATI INCOMPLETI; ")</f>
        <v/>
      </c>
      <c r="C72" s="17" t="str">
        <f>IF(ANAGRAFICA!$B69="","",ANAGRAFICA!$B69)</f>
        <v/>
      </c>
      <c r="D72" s="17" t="str">
        <f>IF($C72="","",ANAGRAFICA!$C69)</f>
        <v/>
      </c>
      <c r="E72" s="17" t="str">
        <f>IF($C72="","",ANAGRAFICA!$D69)</f>
        <v/>
      </c>
      <c r="F72" s="17" t="str">
        <f>IF($C72="","",ANAGRAFICA!$E69)</f>
        <v/>
      </c>
      <c r="G72" s="17" t="str">
        <f>IF($C72="","",ANAGRAFICA!$F69)</f>
        <v/>
      </c>
      <c r="H72" s="17" t="str">
        <f>IF($C72="","",ANAGRAFICA!$G69)</f>
        <v/>
      </c>
      <c r="I72" s="17" t="str">
        <f>IF($C72="","",ANAGRAFICA!$L69)</f>
        <v/>
      </c>
      <c r="J72" s="16" t="str">
        <f t="shared" si="1"/>
        <v/>
      </c>
      <c r="K72" s="16" t="str">
        <f t="shared" si="2"/>
        <v/>
      </c>
      <c r="L72" s="16" t="str">
        <f t="shared" si="3"/>
        <v/>
      </c>
      <c r="M72" s="16" t="str">
        <f t="shared" si="4"/>
        <v/>
      </c>
      <c r="N72" s="16" t="str">
        <f t="shared" si="5"/>
        <v/>
      </c>
      <c r="O72" s="16" t="str">
        <f t="shared" si="6"/>
        <v/>
      </c>
      <c r="P72" s="17" t="str">
        <f t="shared" si="7"/>
        <v/>
      </c>
      <c r="Q72" s="31" t="str">
        <f>IF(OR($C72="",'BUDGET COMMESSA'!$D69="",'BUDGET COMMESSA'!$D69&lt;=0,ANAGRAFICA!$J69=""),"",IF(OR($I72="Finito ritenute non previste",$I72="Finito con sblocco ritenute",$I72="Finito senza sblocco ritenute"),0,IF(AND($BK72&gt;=$BJ72,ANAGRAFICA!$R69="Ritardo produttivo FIDA"),IF(ANAGRAFICA!$T69&lt;&gt;"",MAX(0,ANAGRAFICA!$J69-ANAGRAFICA!$T69),MAX(0,$Y72-ANAGRAFICA!$J69)),0)))</f>
        <v/>
      </c>
      <c r="R72" s="17" t="str">
        <f t="shared" si="8"/>
        <v/>
      </c>
      <c r="S72" s="17" t="str">
        <f t="shared" si="9"/>
        <v/>
      </c>
      <c r="T72" s="17" t="str">
        <f t="shared" si="10"/>
        <v/>
      </c>
      <c r="U72" s="16" t="str">
        <f t="shared" si="11"/>
        <v/>
      </c>
      <c r="V72" s="16" t="str">
        <f t="shared" si="12"/>
        <v/>
      </c>
      <c r="W72" s="16" t="str">
        <f t="shared" si="13"/>
        <v/>
      </c>
      <c r="X72" s="40"/>
      <c r="Y72" s="14"/>
      <c r="AZ72" t="str">
        <f>IF($C72="","",ANAGRAFICA!$P69)</f>
        <v/>
      </c>
      <c r="BA72" t="str">
        <f>IF($C72="","",SUMIF('MOVIMENTI 2026'!$B$7:$B$4206,$C72,'MOVIMENTI 2026'!$I$7:$I$4206)+SUMIF('SALDI AL 31.12.2025'!$A$6:$A$505,$C72,'SALDI AL 31.12.2025'!$C$6:$C$505))</f>
        <v/>
      </c>
      <c r="BB72" t="str">
        <f>IF($C72="","",SUMIF('MOVIMENTI 2026'!$B$7:$B$4206,$C72,'MOVIMENTI 2026'!$J$7:$J$4206)+SUMIF('SALDI AL 31.12.2025'!$A$6:$A$505,$C72,'SALDI AL 31.12.2025'!$D$6:$D$505))</f>
        <v/>
      </c>
      <c r="BC72" t="str">
        <f>IF($C72="","",SUMIF('MOVIMENTI 2026'!$B$7:$B$4206,$C72,'MOVIMENTI 2026'!$K$7:$K$4206)+SUMIF('SALDI AL 31.12.2025'!$A$6:$A$505,$C72,'SALDI AL 31.12.2025'!$E$6:$E$505))</f>
        <v/>
      </c>
      <c r="BD72" t="str">
        <f>IF($C72="","",SUMIF('MOVIMENTI 2026'!$B$7:$B$4206,$C72,'MOVIMENTI 2026'!$L$7:$L$4206)+SUMIF('SALDI AL 31.12.2025'!$A$6:$A$505,$C72,'SALDI AL 31.12.2025'!$F$6:$F$505))</f>
        <v/>
      </c>
      <c r="BE72" t="str">
        <f t="shared" si="14"/>
        <v/>
      </c>
      <c r="BF72" t="str">
        <f t="shared" si="15"/>
        <v/>
      </c>
      <c r="BG72" t="str">
        <f t="shared" si="16"/>
        <v/>
      </c>
      <c r="BH72" t="str">
        <f>IFERROR(IF(OR($C72="",ANAGRAFICA!$I69="",ANAGRAFICA!$J69="",ANAGRAFICA!$J69&lt;=ANAGRAFICA!$I69,$Y72=""),"",IF(OR($I72="Finito ritenute non previste",$I72="Finito con sblocco ritenute",$I72="Finito senza sblocco ritenute"),1,MAX(0,MIN(1,($Y72-ANAGRAFICA!$I69)/(ANAGRAFICA!$J69-ANAGRAFICA!$I69))))),"")</f>
        <v/>
      </c>
      <c r="BI72" t="str">
        <f t="shared" si="17"/>
        <v/>
      </c>
      <c r="BJ72" t="str">
        <f>IFERROR(IF($C72="","",'BUDGET COMMESSA'!$D69),"")</f>
        <v/>
      </c>
      <c r="BK72" t="str">
        <f>IF($C72="","",SUMIF('MOVIMENTI 2026'!$B$7:$B$4206,$C72,'MOVIMENTI 2026'!$N$7:$N$4206)+SUMIF('SALDI AL 31.12.2025'!$A$6:$A$505,$C72,'SALDI AL 31.12.2025'!$H$6:$H$505))</f>
        <v/>
      </c>
      <c r="BL72" t="str">
        <f t="shared" si="18"/>
        <v/>
      </c>
      <c r="BM72" t="str">
        <f t="shared" si="19"/>
        <v/>
      </c>
      <c r="BN72" t="str">
        <f t="shared" si="20"/>
        <v/>
      </c>
      <c r="BO72" t="str">
        <f>IFERROR(IF($C72="","",'BUDGET COMMESSA'!$G69),"")</f>
        <v/>
      </c>
      <c r="BP72" t="str">
        <f>IF($C72="","",SUMIF('COSTI DIRETTI'!$C$6:$C$505,$C72,'COSTI DIRETTI'!$H$6:$H$505)+SUMIF('SALDI AL 31.12.2025'!$A$6:$A$505,$C72,'SALDI AL 31.12.2025'!$I$6:$I$505))</f>
        <v/>
      </c>
      <c r="BQ72" t="str">
        <f t="shared" si="21"/>
        <v/>
      </c>
      <c r="BR72" t="str">
        <f t="shared" si="22"/>
        <v/>
      </c>
      <c r="BS72" t="str">
        <f>IF($C72="","",$BK72*PARAMETRI!$B$4+$BP72)</f>
        <v/>
      </c>
      <c r="BT72">
        <f t="shared" si="23"/>
        <v>0</v>
      </c>
      <c r="BU72">
        <f t="shared" si="24"/>
        <v>0</v>
      </c>
      <c r="BV72" t="str">
        <f>IF($C72="","",SUMIF('MOVIMENTI 2026'!$B$7:$B$4206,$C72,'MOVIMENTI 2026'!$P$7:$P$4206)+SUMIF('SALDI AL 31.12.2025'!$A$6:$A$505,$C72,'SALDI AL 31.12.2025'!$G$6:$G$505))</f>
        <v/>
      </c>
    </row>
    <row r="73" spans="1:74" ht="16" x14ac:dyDescent="0.15">
      <c r="A73" s="17" t="str">
        <f>IFERROR(IF($C73="","",IF(OR($BF73&gt;0,$V73&gt;$J73,AND(ISNUMBER($Q73),$Q73&gt;0),AND($BI73&lt;&gt;"",$BI73&lt;-PARAMETRI!$B$6),AND($BM73&lt;&gt;"",$BM73&gt;=1),AND($BN73&lt;&gt;"",$BN73&gt;PARAMETRI!$B$8),AND(ISNUMBER($BR73),$BR73&gt;0)),"CRITICO",IF(OR($AZ73="",LEFT($C73,5)="TEMP",$BJ73="",$BO73="",ANAGRAFICA!$I70="",ANAGRAFICA!$J70="",$Y73="",AND(OR($I73="Finito ritenute non previste",$I73="Finito con sblocco ritenute",$I73="Finito senza sblocco ritenute"),ANAGRAFICA!$K70=""),OR(AND(ANAGRAFICA!$T70&lt;&gt;"",ANAGRAFICA!$J70&lt;&gt;ANAGRAFICA!$T70,OR(ANAGRAFICA!$R70="",ANAGRAFICA!$R70="Nessuna variazione")),AND(ANAGRAFICA!$J70="",ANAGRAFICA!$R70&lt;&gt;"",ANAGRAFICA!$R70&lt;&gt;"Nessuna variazione")),AND($BI73&lt;&gt;"",$BI73&lt;-PARAMETRI!$B$5),AND($BN73&lt;&gt;"",$BN73&gt;PARAMETRI!$B$7),AND($W73&gt;0,$M73&gt;$W73*PARAMETRI!$B$9),AND($O73&gt;0,OR($I73="Finito ritenute non previste",$I73="Finito con sblocco ritenute",$I73="Finito senza sblocco ritenute")),AND($BA73&gt;0,$BO73&gt;0,$BP73=0),AND(OR($I73="Finito ritenute non previste",$I73="Finito con sblocco ritenute",$I73="Finito senza sblocco ritenute"),$W73&gt;0,$N73&gt;$W73*PARAMETRI!$B$9),$V73&gt;0),"ATTENZIONE","REGOLARE"))),"ATTENZIONE")</f>
        <v/>
      </c>
      <c r="B73" s="17" t="str">
        <f>IFERROR(IF($C73="","",IF($BF73&gt;0,"FATTURATO OLTRE VALORE RECUPERABILE; ","")&amp;IF($V73&gt;$J73,"PERDITE ACCETTATE OLTRE CONTRATTO; ","")&amp;IF($V73&gt;0,"PERDITA SAL ACCETTATA (€ "&amp;TEXT($V73,"#,##0.00")&amp;"); ","")&amp;IF(AND(ISNUMBER($Q73),$Q73&gt;0),"RITARDO PRODUTTIVO ("&amp;TEXT($Q73,"0")&amp;" GG); ","")&amp;IF(AND($BI73&lt;&gt;"",$BI73&lt;-PARAMETRI!$B$5),"AVANZAMENTO PIÙ LENTO DEL TEMPO; ","")&amp;IF(AND($BM73&lt;&gt;"",$BM73&gt;1),"ORE OLTRE BUDGET; ","")&amp;IF(AND($BM73&lt;&gt;"",$BM73=1),"ORE PREVENTIVATE ESAURITE; ","")&amp;IF(AND($BN73&lt;&gt;"",$BN73&gt;PARAMETRI!$B$7),"CONSUMO ORE SUPERIORE ALL'AVANZAMENTO; ","")&amp;IF(AND(ISNUMBER($BR73),$BR73&gt;0),"COSTI DIRETTI OLTRE BUDGET; ","")&amp;IF(AND($W73&gt;0,$M73&gt;$W73*PARAMETRI!$B$9),"SAL MATURATO NON FATTURATO; ","")&amp;IF(AND($O73&gt;0,OR($I73="Finito ritenute non previste",$I73="Finito con sblocco ritenute",$I73="Finito senza sblocco ritenute")),"RITENUTE DA SBLOCCARE; ","")&amp;IF(AND($BA73&gt;0,$BO73&gt;0,$BP73=0),"COSTI DIRETTI NON REGISTRATI; ","")&amp;IF(AND(OR($I73="Finito ritenute non previste",$I73="Finito con sblocco ritenute",$I73="Finito senza sblocco ritenute"),$W73&gt;0,$N73&gt;$W73*PARAMETRI!$B$9),"CANTIERE FINITO CON RESIDUO LAVORI; ","")&amp;IF(AND(OR($I73="Finito ritenute non previste",$I73="Finito con sblocco ritenute",$I73="Finito senza sblocco ritenute"),ANAGRAFICA!$K70=""),"DATA FINE EFFETTIVA MANCANTE; ","")&amp;IF(OR(AND(ANAGRAFICA!$T70&lt;&gt;"",ANAGRAFICA!$J70&lt;&gt;ANAGRAFICA!$T70,OR(ANAGRAFICA!$R70="",ANAGRAFICA!$R70="Nessuna variazione")),AND(ANAGRAFICA!$J70="",ANAGRAFICA!$R70&lt;&gt;"",ANAGRAFICA!$R70&lt;&gt;"Nessuna variazione")),"GESTIONE DATA FINE INCOMPLETA; ","")&amp;IF($Y73="","AGGIORNATO AL MANCANTE; ","")&amp;IF(OR($AZ73="",$BJ73="",$BO73="",ANAGRAFICA!$I70="",ANAGRAFICA!$J70=""),"DATI PREVISIONALI INCOMPLETI; ","")&amp;IF(LEFT($C73,5)="TEMP","CODICE COMMESSA TEMPORANEO; ","")),"DATI INCOMPLETI; ")</f>
        <v/>
      </c>
      <c r="C73" s="17" t="str">
        <f>IF(ANAGRAFICA!$B70="","",ANAGRAFICA!$B70)</f>
        <v/>
      </c>
      <c r="D73" s="17" t="str">
        <f>IF($C73="","",ANAGRAFICA!$C70)</f>
        <v/>
      </c>
      <c r="E73" s="17" t="str">
        <f>IF($C73="","",ANAGRAFICA!$D70)</f>
        <v/>
      </c>
      <c r="F73" s="17" t="str">
        <f>IF($C73="","",ANAGRAFICA!$E70)</f>
        <v/>
      </c>
      <c r="G73" s="17" t="str">
        <f>IF($C73="","",ANAGRAFICA!$F70)</f>
        <v/>
      </c>
      <c r="H73" s="17" t="str">
        <f>IF($C73="","",ANAGRAFICA!$G70)</f>
        <v/>
      </c>
      <c r="I73" s="17" t="str">
        <f>IF($C73="","",ANAGRAFICA!$L70)</f>
        <v/>
      </c>
      <c r="J73" s="16" t="str">
        <f t="shared" ref="J73:J136" si="25">IF($C73="","",$AZ73)</f>
        <v/>
      </c>
      <c r="K73" s="16" t="str">
        <f t="shared" ref="K73:K136" si="26">IF($C73="","",$BA73)</f>
        <v/>
      </c>
      <c r="L73" s="16" t="str">
        <f t="shared" ref="L73:L136" si="27">IF($C73="","",$BB73)</f>
        <v/>
      </c>
      <c r="M73" s="16" t="str">
        <f t="shared" ref="M73:M136" si="28">IF($C73="","",MAX($BA73-$BB73,0))</f>
        <v/>
      </c>
      <c r="N73" s="16" t="str">
        <f t="shared" ref="N73:N136" si="29">IF(OR($C73="",$W73=""),"",MAX($W73-$BA73,0))</f>
        <v/>
      </c>
      <c r="O73" s="16" t="str">
        <f t="shared" ref="O73:O136" si="30">IF($C73="","",MAX($BC73-$BD73,0))</f>
        <v/>
      </c>
      <c r="P73" s="17" t="str">
        <f t="shared" ref="P73:P136" si="31">IF(OR($C73="",$BG73="",$BH73="",$BI73=""),"",TEXT($BG73,"0.0%")&amp;" / "&amp;TEXT($BH73,"0.0%")&amp;" / "&amp;TEXT($BI73,"0.0%"))</f>
        <v/>
      </c>
      <c r="Q73" s="31" t="str">
        <f>IF(OR($C73="",'BUDGET COMMESSA'!$D70="",'BUDGET COMMESSA'!$D70&lt;=0,ANAGRAFICA!$J70=""),"",IF(OR($I73="Finito ritenute non previste",$I73="Finito con sblocco ritenute",$I73="Finito senza sblocco ritenute"),0,IF(AND($BK73&gt;=$BJ73,ANAGRAFICA!$R70="Ritardo produttivo FIDA"),IF(ANAGRAFICA!$T70&lt;&gt;"",MAX(0,ANAGRAFICA!$J70-ANAGRAFICA!$T70),MAX(0,$Y73-ANAGRAFICA!$J70)),0)))</f>
        <v/>
      </c>
      <c r="R73" s="17" t="str">
        <f t="shared" ref="R73:R136" si="32">IF(OR($C73="",$BJ73=""),"",TEXT($BJ73,"#,##0.00")&amp;" / "&amp;TEXT($BK73,"#,##0.00")&amp;" / "&amp;TEXT($BL73,"#,##0.00"))</f>
        <v/>
      </c>
      <c r="S73" s="17" t="str">
        <f t="shared" ref="S73:S136" si="33">IF(OR($C73="",$BM73="",$BG73="",$BN73=""),"",TEXT($BM73,"0.0%")&amp;" / "&amp;TEXT($BG73,"0.0%")&amp;" / "&amp;TEXT($BN73,"0.0%"))</f>
        <v/>
      </c>
      <c r="T73" s="17" t="str">
        <f t="shared" ref="T73:T136" si="34">IF(OR($C73="",$BO73=""),"",IF($BR73&gt;0,"BUDGET € "&amp;TEXT($BO73,"#,##0.00")&amp;" | SOSTENUTI € "&amp;TEXT($BP73,"#,##0.00")&amp;" | SFORAMENTO € "&amp;TEXT($BR73,"#,##0.00"),"BUDGET € "&amp;TEXT($BO73,"#,##0.00")&amp;" | SOSTENUTI € "&amp;TEXT($BP73,"#,##0.00")&amp;" | RESIDUO € "&amp;TEXT($BQ73,"#,##0.00")))</f>
        <v/>
      </c>
      <c r="U73" s="16" t="str">
        <f t="shared" ref="U73:U136" si="35">IF($C73="","",$BS73)</f>
        <v/>
      </c>
      <c r="V73" s="16" t="str">
        <f t="shared" ref="V73:V136" si="36">IF($C73="","",$BV73)</f>
        <v/>
      </c>
      <c r="W73" s="16" t="str">
        <f t="shared" ref="W73:W136" si="37">IF(OR($C73="",$AZ73=""),"",MAX($AZ73-$BV73,0))</f>
        <v/>
      </c>
      <c r="X73" s="40"/>
      <c r="Y73" s="14"/>
      <c r="AZ73" t="str">
        <f>IF($C73="","",ANAGRAFICA!$P70)</f>
        <v/>
      </c>
      <c r="BA73" t="str">
        <f>IF($C73="","",SUMIF('MOVIMENTI 2026'!$B$7:$B$4206,$C73,'MOVIMENTI 2026'!$I$7:$I$4206)+SUMIF('SALDI AL 31.12.2025'!$A$6:$A$505,$C73,'SALDI AL 31.12.2025'!$C$6:$C$505))</f>
        <v/>
      </c>
      <c r="BB73" t="str">
        <f>IF($C73="","",SUMIF('MOVIMENTI 2026'!$B$7:$B$4206,$C73,'MOVIMENTI 2026'!$J$7:$J$4206)+SUMIF('SALDI AL 31.12.2025'!$A$6:$A$505,$C73,'SALDI AL 31.12.2025'!$D$6:$D$505))</f>
        <v/>
      </c>
      <c r="BC73" t="str">
        <f>IF($C73="","",SUMIF('MOVIMENTI 2026'!$B$7:$B$4206,$C73,'MOVIMENTI 2026'!$K$7:$K$4206)+SUMIF('SALDI AL 31.12.2025'!$A$6:$A$505,$C73,'SALDI AL 31.12.2025'!$E$6:$E$505))</f>
        <v/>
      </c>
      <c r="BD73" t="str">
        <f>IF($C73="","",SUMIF('MOVIMENTI 2026'!$B$7:$B$4206,$C73,'MOVIMENTI 2026'!$L$7:$L$4206)+SUMIF('SALDI AL 31.12.2025'!$A$6:$A$505,$C73,'SALDI AL 31.12.2025'!$F$6:$F$505))</f>
        <v/>
      </c>
      <c r="BE73" t="str">
        <f t="shared" ref="BE73:BE136" si="38">IF(OR($C73="",$W73=""),"",MAX($W73-$BB73,0))</f>
        <v/>
      </c>
      <c r="BF73" t="str">
        <f t="shared" ref="BF73:BF136" si="39">IF(OR($C73="",$W73=""),"",MAX($BB73-$W73,0))</f>
        <v/>
      </c>
      <c r="BG73" t="str">
        <f t="shared" ref="BG73:BG136" si="40">IF(OR($C73="",$W73&lt;=0),"",$BA73/$W73)</f>
        <v/>
      </c>
      <c r="BH73" t="str">
        <f>IFERROR(IF(OR($C73="",ANAGRAFICA!$I70="",ANAGRAFICA!$J70="",ANAGRAFICA!$J70&lt;=ANAGRAFICA!$I70,$Y73=""),"",IF(OR($I73="Finito ritenute non previste",$I73="Finito con sblocco ritenute",$I73="Finito senza sblocco ritenute"),1,MAX(0,MIN(1,($Y73-ANAGRAFICA!$I70)/(ANAGRAFICA!$J70-ANAGRAFICA!$I70))))),"")</f>
        <v/>
      </c>
      <c r="BI73" t="str">
        <f t="shared" ref="BI73:BI136" si="41">IF(OR($C73="",$BG73="",$BH73=""),"",$BG73-$BH73)</f>
        <v/>
      </c>
      <c r="BJ73" t="str">
        <f>IFERROR(IF($C73="","",'BUDGET COMMESSA'!$D70),"")</f>
        <v/>
      </c>
      <c r="BK73" t="str">
        <f>IF($C73="","",SUMIF('MOVIMENTI 2026'!$B$7:$B$4206,$C73,'MOVIMENTI 2026'!$N$7:$N$4206)+SUMIF('SALDI AL 31.12.2025'!$A$6:$A$505,$C73,'SALDI AL 31.12.2025'!$H$6:$H$505))</f>
        <v/>
      </c>
      <c r="BL73" t="str">
        <f t="shared" ref="BL73:BL136" si="42">IF(OR($C73="",$BJ73=""),"",MAX($BJ73-$BK73,0))</f>
        <v/>
      </c>
      <c r="BM73" t="str">
        <f t="shared" ref="BM73:BM136" si="43">IF(OR($C73="",$BJ73&lt;=0),"",$BK73/$BJ73)</f>
        <v/>
      </c>
      <c r="BN73" t="str">
        <f t="shared" ref="BN73:BN136" si="44">IF(OR($C73="",$BM73="",$BG73=""),"",$BM73-$BG73)</f>
        <v/>
      </c>
      <c r="BO73" t="str">
        <f>IFERROR(IF($C73="","",'BUDGET COMMESSA'!$G70),"")</f>
        <v/>
      </c>
      <c r="BP73" t="str">
        <f>IF($C73="","",SUMIF('COSTI DIRETTI'!$C$6:$C$505,$C73,'COSTI DIRETTI'!$H$6:$H$505)+SUMIF('SALDI AL 31.12.2025'!$A$6:$A$505,$C73,'SALDI AL 31.12.2025'!$I$6:$I$505))</f>
        <v/>
      </c>
      <c r="BQ73" t="str">
        <f t="shared" ref="BQ73:BQ136" si="45">IF(OR($C73="",$BO73=""),"",MAX($BO73-$BP73,0))</f>
        <v/>
      </c>
      <c r="BR73" t="str">
        <f t="shared" ref="BR73:BR136" si="46">IF(OR($C73="",$BO73=""),"",MAX($BP73-$BO73,0))</f>
        <v/>
      </c>
      <c r="BS73" t="str">
        <f>IF($C73="","",$BK73*PARAMETRI!$B$4+$BP73)</f>
        <v/>
      </c>
      <c r="BT73">
        <f t="shared" ref="BT73:BT136" si="47">IF($A73="CRITICO",1,0)</f>
        <v>0</v>
      </c>
      <c r="BU73">
        <f t="shared" ref="BU73:BU136" si="48">IF($A73="ATTENZIONE",1,0)</f>
        <v>0</v>
      </c>
      <c r="BV73" t="str">
        <f>IF($C73="","",SUMIF('MOVIMENTI 2026'!$B$7:$B$4206,$C73,'MOVIMENTI 2026'!$P$7:$P$4206)+SUMIF('SALDI AL 31.12.2025'!$A$6:$A$505,$C73,'SALDI AL 31.12.2025'!$G$6:$G$505))</f>
        <v/>
      </c>
    </row>
    <row r="74" spans="1:74" ht="16" x14ac:dyDescent="0.15">
      <c r="A74" s="17" t="str">
        <f>IFERROR(IF($C74="","",IF(OR($BF74&gt;0,$V74&gt;$J74,AND(ISNUMBER($Q74),$Q74&gt;0),AND($BI74&lt;&gt;"",$BI74&lt;-PARAMETRI!$B$6),AND($BM74&lt;&gt;"",$BM74&gt;=1),AND($BN74&lt;&gt;"",$BN74&gt;PARAMETRI!$B$8),AND(ISNUMBER($BR74),$BR74&gt;0)),"CRITICO",IF(OR($AZ74="",LEFT($C74,5)="TEMP",$BJ74="",$BO74="",ANAGRAFICA!$I71="",ANAGRAFICA!$J71="",$Y74="",AND(OR($I74="Finito ritenute non previste",$I74="Finito con sblocco ritenute",$I74="Finito senza sblocco ritenute"),ANAGRAFICA!$K71=""),OR(AND(ANAGRAFICA!$T71&lt;&gt;"",ANAGRAFICA!$J71&lt;&gt;ANAGRAFICA!$T71,OR(ANAGRAFICA!$R71="",ANAGRAFICA!$R71="Nessuna variazione")),AND(ANAGRAFICA!$J71="",ANAGRAFICA!$R71&lt;&gt;"",ANAGRAFICA!$R71&lt;&gt;"Nessuna variazione")),AND($BI74&lt;&gt;"",$BI74&lt;-PARAMETRI!$B$5),AND($BN74&lt;&gt;"",$BN74&gt;PARAMETRI!$B$7),AND($W74&gt;0,$M74&gt;$W74*PARAMETRI!$B$9),AND($O74&gt;0,OR($I74="Finito ritenute non previste",$I74="Finito con sblocco ritenute",$I74="Finito senza sblocco ritenute")),AND($BA74&gt;0,$BO74&gt;0,$BP74=0),AND(OR($I74="Finito ritenute non previste",$I74="Finito con sblocco ritenute",$I74="Finito senza sblocco ritenute"),$W74&gt;0,$N74&gt;$W74*PARAMETRI!$B$9),$V74&gt;0),"ATTENZIONE","REGOLARE"))),"ATTENZIONE")</f>
        <v/>
      </c>
      <c r="B74" s="17" t="str">
        <f>IFERROR(IF($C74="","",IF($BF74&gt;0,"FATTURATO OLTRE VALORE RECUPERABILE; ","")&amp;IF($V74&gt;$J74,"PERDITE ACCETTATE OLTRE CONTRATTO; ","")&amp;IF($V74&gt;0,"PERDITA SAL ACCETTATA (€ "&amp;TEXT($V74,"#,##0.00")&amp;"); ","")&amp;IF(AND(ISNUMBER($Q74),$Q74&gt;0),"RITARDO PRODUTTIVO ("&amp;TEXT($Q74,"0")&amp;" GG); ","")&amp;IF(AND($BI74&lt;&gt;"",$BI74&lt;-PARAMETRI!$B$5),"AVANZAMENTO PIÙ LENTO DEL TEMPO; ","")&amp;IF(AND($BM74&lt;&gt;"",$BM74&gt;1),"ORE OLTRE BUDGET; ","")&amp;IF(AND($BM74&lt;&gt;"",$BM74=1),"ORE PREVENTIVATE ESAURITE; ","")&amp;IF(AND($BN74&lt;&gt;"",$BN74&gt;PARAMETRI!$B$7),"CONSUMO ORE SUPERIORE ALL'AVANZAMENTO; ","")&amp;IF(AND(ISNUMBER($BR74),$BR74&gt;0),"COSTI DIRETTI OLTRE BUDGET; ","")&amp;IF(AND($W74&gt;0,$M74&gt;$W74*PARAMETRI!$B$9),"SAL MATURATO NON FATTURATO; ","")&amp;IF(AND($O74&gt;0,OR($I74="Finito ritenute non previste",$I74="Finito con sblocco ritenute",$I74="Finito senza sblocco ritenute")),"RITENUTE DA SBLOCCARE; ","")&amp;IF(AND($BA74&gt;0,$BO74&gt;0,$BP74=0),"COSTI DIRETTI NON REGISTRATI; ","")&amp;IF(AND(OR($I74="Finito ritenute non previste",$I74="Finito con sblocco ritenute",$I74="Finito senza sblocco ritenute"),$W74&gt;0,$N74&gt;$W74*PARAMETRI!$B$9),"CANTIERE FINITO CON RESIDUO LAVORI; ","")&amp;IF(AND(OR($I74="Finito ritenute non previste",$I74="Finito con sblocco ritenute",$I74="Finito senza sblocco ritenute"),ANAGRAFICA!$K71=""),"DATA FINE EFFETTIVA MANCANTE; ","")&amp;IF(OR(AND(ANAGRAFICA!$T71&lt;&gt;"",ANAGRAFICA!$J71&lt;&gt;ANAGRAFICA!$T71,OR(ANAGRAFICA!$R71="",ANAGRAFICA!$R71="Nessuna variazione")),AND(ANAGRAFICA!$J71="",ANAGRAFICA!$R71&lt;&gt;"",ANAGRAFICA!$R71&lt;&gt;"Nessuna variazione")),"GESTIONE DATA FINE INCOMPLETA; ","")&amp;IF($Y74="","AGGIORNATO AL MANCANTE; ","")&amp;IF(OR($AZ74="",$BJ74="",$BO74="",ANAGRAFICA!$I71="",ANAGRAFICA!$J71=""),"DATI PREVISIONALI INCOMPLETI; ","")&amp;IF(LEFT($C74,5)="TEMP","CODICE COMMESSA TEMPORANEO; ","")),"DATI INCOMPLETI; ")</f>
        <v/>
      </c>
      <c r="C74" s="17" t="str">
        <f>IF(ANAGRAFICA!$B71="","",ANAGRAFICA!$B71)</f>
        <v/>
      </c>
      <c r="D74" s="17" t="str">
        <f>IF($C74="","",ANAGRAFICA!$C71)</f>
        <v/>
      </c>
      <c r="E74" s="17" t="str">
        <f>IF($C74="","",ANAGRAFICA!$D71)</f>
        <v/>
      </c>
      <c r="F74" s="17" t="str">
        <f>IF($C74="","",ANAGRAFICA!$E71)</f>
        <v/>
      </c>
      <c r="G74" s="17" t="str">
        <f>IF($C74="","",ANAGRAFICA!$F71)</f>
        <v/>
      </c>
      <c r="H74" s="17" t="str">
        <f>IF($C74="","",ANAGRAFICA!$G71)</f>
        <v/>
      </c>
      <c r="I74" s="17" t="str">
        <f>IF($C74="","",ANAGRAFICA!$L71)</f>
        <v/>
      </c>
      <c r="J74" s="16" t="str">
        <f t="shared" si="25"/>
        <v/>
      </c>
      <c r="K74" s="16" t="str">
        <f t="shared" si="26"/>
        <v/>
      </c>
      <c r="L74" s="16" t="str">
        <f t="shared" si="27"/>
        <v/>
      </c>
      <c r="M74" s="16" t="str">
        <f t="shared" si="28"/>
        <v/>
      </c>
      <c r="N74" s="16" t="str">
        <f t="shared" si="29"/>
        <v/>
      </c>
      <c r="O74" s="16" t="str">
        <f t="shared" si="30"/>
        <v/>
      </c>
      <c r="P74" s="17" t="str">
        <f t="shared" si="31"/>
        <v/>
      </c>
      <c r="Q74" s="31" t="str">
        <f>IF(OR($C74="",'BUDGET COMMESSA'!$D71="",'BUDGET COMMESSA'!$D71&lt;=0,ANAGRAFICA!$J71=""),"",IF(OR($I74="Finito ritenute non previste",$I74="Finito con sblocco ritenute",$I74="Finito senza sblocco ritenute"),0,IF(AND($BK74&gt;=$BJ74,ANAGRAFICA!$R71="Ritardo produttivo FIDA"),IF(ANAGRAFICA!$T71&lt;&gt;"",MAX(0,ANAGRAFICA!$J71-ANAGRAFICA!$T71),MAX(0,$Y74-ANAGRAFICA!$J71)),0)))</f>
        <v/>
      </c>
      <c r="R74" s="17" t="str">
        <f t="shared" si="32"/>
        <v/>
      </c>
      <c r="S74" s="17" t="str">
        <f t="shared" si="33"/>
        <v/>
      </c>
      <c r="T74" s="17" t="str">
        <f t="shared" si="34"/>
        <v/>
      </c>
      <c r="U74" s="16" t="str">
        <f t="shared" si="35"/>
        <v/>
      </c>
      <c r="V74" s="16" t="str">
        <f t="shared" si="36"/>
        <v/>
      </c>
      <c r="W74" s="16" t="str">
        <f t="shared" si="37"/>
        <v/>
      </c>
      <c r="X74" s="40"/>
      <c r="Y74" s="14"/>
      <c r="AZ74" t="str">
        <f>IF($C74="","",ANAGRAFICA!$P71)</f>
        <v/>
      </c>
      <c r="BA74" t="str">
        <f>IF($C74="","",SUMIF('MOVIMENTI 2026'!$B$7:$B$4206,$C74,'MOVIMENTI 2026'!$I$7:$I$4206)+SUMIF('SALDI AL 31.12.2025'!$A$6:$A$505,$C74,'SALDI AL 31.12.2025'!$C$6:$C$505))</f>
        <v/>
      </c>
      <c r="BB74" t="str">
        <f>IF($C74="","",SUMIF('MOVIMENTI 2026'!$B$7:$B$4206,$C74,'MOVIMENTI 2026'!$J$7:$J$4206)+SUMIF('SALDI AL 31.12.2025'!$A$6:$A$505,$C74,'SALDI AL 31.12.2025'!$D$6:$D$505))</f>
        <v/>
      </c>
      <c r="BC74" t="str">
        <f>IF($C74="","",SUMIF('MOVIMENTI 2026'!$B$7:$B$4206,$C74,'MOVIMENTI 2026'!$K$7:$K$4206)+SUMIF('SALDI AL 31.12.2025'!$A$6:$A$505,$C74,'SALDI AL 31.12.2025'!$E$6:$E$505))</f>
        <v/>
      </c>
      <c r="BD74" t="str">
        <f>IF($C74="","",SUMIF('MOVIMENTI 2026'!$B$7:$B$4206,$C74,'MOVIMENTI 2026'!$L$7:$L$4206)+SUMIF('SALDI AL 31.12.2025'!$A$6:$A$505,$C74,'SALDI AL 31.12.2025'!$F$6:$F$505))</f>
        <v/>
      </c>
      <c r="BE74" t="str">
        <f t="shared" si="38"/>
        <v/>
      </c>
      <c r="BF74" t="str">
        <f t="shared" si="39"/>
        <v/>
      </c>
      <c r="BG74" t="str">
        <f t="shared" si="40"/>
        <v/>
      </c>
      <c r="BH74" t="str">
        <f>IFERROR(IF(OR($C74="",ANAGRAFICA!$I71="",ANAGRAFICA!$J71="",ANAGRAFICA!$J71&lt;=ANAGRAFICA!$I71,$Y74=""),"",IF(OR($I74="Finito ritenute non previste",$I74="Finito con sblocco ritenute",$I74="Finito senza sblocco ritenute"),1,MAX(0,MIN(1,($Y74-ANAGRAFICA!$I71)/(ANAGRAFICA!$J71-ANAGRAFICA!$I71))))),"")</f>
        <v/>
      </c>
      <c r="BI74" t="str">
        <f t="shared" si="41"/>
        <v/>
      </c>
      <c r="BJ74" t="str">
        <f>IFERROR(IF($C74="","",'BUDGET COMMESSA'!$D71),"")</f>
        <v/>
      </c>
      <c r="BK74" t="str">
        <f>IF($C74="","",SUMIF('MOVIMENTI 2026'!$B$7:$B$4206,$C74,'MOVIMENTI 2026'!$N$7:$N$4206)+SUMIF('SALDI AL 31.12.2025'!$A$6:$A$505,$C74,'SALDI AL 31.12.2025'!$H$6:$H$505))</f>
        <v/>
      </c>
      <c r="BL74" t="str">
        <f t="shared" si="42"/>
        <v/>
      </c>
      <c r="BM74" t="str">
        <f t="shared" si="43"/>
        <v/>
      </c>
      <c r="BN74" t="str">
        <f t="shared" si="44"/>
        <v/>
      </c>
      <c r="BO74" t="str">
        <f>IFERROR(IF($C74="","",'BUDGET COMMESSA'!$G71),"")</f>
        <v/>
      </c>
      <c r="BP74" t="str">
        <f>IF($C74="","",SUMIF('COSTI DIRETTI'!$C$6:$C$505,$C74,'COSTI DIRETTI'!$H$6:$H$505)+SUMIF('SALDI AL 31.12.2025'!$A$6:$A$505,$C74,'SALDI AL 31.12.2025'!$I$6:$I$505))</f>
        <v/>
      </c>
      <c r="BQ74" t="str">
        <f t="shared" si="45"/>
        <v/>
      </c>
      <c r="BR74" t="str">
        <f t="shared" si="46"/>
        <v/>
      </c>
      <c r="BS74" t="str">
        <f>IF($C74="","",$BK74*PARAMETRI!$B$4+$BP74)</f>
        <v/>
      </c>
      <c r="BT74">
        <f t="shared" si="47"/>
        <v>0</v>
      </c>
      <c r="BU74">
        <f t="shared" si="48"/>
        <v>0</v>
      </c>
      <c r="BV74" t="str">
        <f>IF($C74="","",SUMIF('MOVIMENTI 2026'!$B$7:$B$4206,$C74,'MOVIMENTI 2026'!$P$7:$P$4206)+SUMIF('SALDI AL 31.12.2025'!$A$6:$A$505,$C74,'SALDI AL 31.12.2025'!$G$6:$G$505))</f>
        <v/>
      </c>
    </row>
    <row r="75" spans="1:74" ht="16" x14ac:dyDescent="0.15">
      <c r="A75" s="17" t="str">
        <f>IFERROR(IF($C75="","",IF(OR($BF75&gt;0,$V75&gt;$J75,AND(ISNUMBER($Q75),$Q75&gt;0),AND($BI75&lt;&gt;"",$BI75&lt;-PARAMETRI!$B$6),AND($BM75&lt;&gt;"",$BM75&gt;=1),AND($BN75&lt;&gt;"",$BN75&gt;PARAMETRI!$B$8),AND(ISNUMBER($BR75),$BR75&gt;0)),"CRITICO",IF(OR($AZ75="",LEFT($C75,5)="TEMP",$BJ75="",$BO75="",ANAGRAFICA!$I72="",ANAGRAFICA!$J72="",$Y75="",AND(OR($I75="Finito ritenute non previste",$I75="Finito con sblocco ritenute",$I75="Finito senza sblocco ritenute"),ANAGRAFICA!$K72=""),OR(AND(ANAGRAFICA!$T72&lt;&gt;"",ANAGRAFICA!$J72&lt;&gt;ANAGRAFICA!$T72,OR(ANAGRAFICA!$R72="",ANAGRAFICA!$R72="Nessuna variazione")),AND(ANAGRAFICA!$J72="",ANAGRAFICA!$R72&lt;&gt;"",ANAGRAFICA!$R72&lt;&gt;"Nessuna variazione")),AND($BI75&lt;&gt;"",$BI75&lt;-PARAMETRI!$B$5),AND($BN75&lt;&gt;"",$BN75&gt;PARAMETRI!$B$7),AND($W75&gt;0,$M75&gt;$W75*PARAMETRI!$B$9),AND($O75&gt;0,OR($I75="Finito ritenute non previste",$I75="Finito con sblocco ritenute",$I75="Finito senza sblocco ritenute")),AND($BA75&gt;0,$BO75&gt;0,$BP75=0),AND(OR($I75="Finito ritenute non previste",$I75="Finito con sblocco ritenute",$I75="Finito senza sblocco ritenute"),$W75&gt;0,$N75&gt;$W75*PARAMETRI!$B$9),$V75&gt;0),"ATTENZIONE","REGOLARE"))),"ATTENZIONE")</f>
        <v/>
      </c>
      <c r="B75" s="17" t="str">
        <f>IFERROR(IF($C75="","",IF($BF75&gt;0,"FATTURATO OLTRE VALORE RECUPERABILE; ","")&amp;IF($V75&gt;$J75,"PERDITE ACCETTATE OLTRE CONTRATTO; ","")&amp;IF($V75&gt;0,"PERDITA SAL ACCETTATA (€ "&amp;TEXT($V75,"#,##0.00")&amp;"); ","")&amp;IF(AND(ISNUMBER($Q75),$Q75&gt;0),"RITARDO PRODUTTIVO ("&amp;TEXT($Q75,"0")&amp;" GG); ","")&amp;IF(AND($BI75&lt;&gt;"",$BI75&lt;-PARAMETRI!$B$5),"AVANZAMENTO PIÙ LENTO DEL TEMPO; ","")&amp;IF(AND($BM75&lt;&gt;"",$BM75&gt;1),"ORE OLTRE BUDGET; ","")&amp;IF(AND($BM75&lt;&gt;"",$BM75=1),"ORE PREVENTIVATE ESAURITE; ","")&amp;IF(AND($BN75&lt;&gt;"",$BN75&gt;PARAMETRI!$B$7),"CONSUMO ORE SUPERIORE ALL'AVANZAMENTO; ","")&amp;IF(AND(ISNUMBER($BR75),$BR75&gt;0),"COSTI DIRETTI OLTRE BUDGET; ","")&amp;IF(AND($W75&gt;0,$M75&gt;$W75*PARAMETRI!$B$9),"SAL MATURATO NON FATTURATO; ","")&amp;IF(AND($O75&gt;0,OR($I75="Finito ritenute non previste",$I75="Finito con sblocco ritenute",$I75="Finito senza sblocco ritenute")),"RITENUTE DA SBLOCCARE; ","")&amp;IF(AND($BA75&gt;0,$BO75&gt;0,$BP75=0),"COSTI DIRETTI NON REGISTRATI; ","")&amp;IF(AND(OR($I75="Finito ritenute non previste",$I75="Finito con sblocco ritenute",$I75="Finito senza sblocco ritenute"),$W75&gt;0,$N75&gt;$W75*PARAMETRI!$B$9),"CANTIERE FINITO CON RESIDUO LAVORI; ","")&amp;IF(AND(OR($I75="Finito ritenute non previste",$I75="Finito con sblocco ritenute",$I75="Finito senza sblocco ritenute"),ANAGRAFICA!$K72=""),"DATA FINE EFFETTIVA MANCANTE; ","")&amp;IF(OR(AND(ANAGRAFICA!$T72&lt;&gt;"",ANAGRAFICA!$J72&lt;&gt;ANAGRAFICA!$T72,OR(ANAGRAFICA!$R72="",ANAGRAFICA!$R72="Nessuna variazione")),AND(ANAGRAFICA!$J72="",ANAGRAFICA!$R72&lt;&gt;"",ANAGRAFICA!$R72&lt;&gt;"Nessuna variazione")),"GESTIONE DATA FINE INCOMPLETA; ","")&amp;IF($Y75="","AGGIORNATO AL MANCANTE; ","")&amp;IF(OR($AZ75="",$BJ75="",$BO75="",ANAGRAFICA!$I72="",ANAGRAFICA!$J72=""),"DATI PREVISIONALI INCOMPLETI; ","")&amp;IF(LEFT($C75,5)="TEMP","CODICE COMMESSA TEMPORANEO; ","")),"DATI INCOMPLETI; ")</f>
        <v/>
      </c>
      <c r="C75" s="17" t="str">
        <f>IF(ANAGRAFICA!$B72="","",ANAGRAFICA!$B72)</f>
        <v/>
      </c>
      <c r="D75" s="17" t="str">
        <f>IF($C75="","",ANAGRAFICA!$C72)</f>
        <v/>
      </c>
      <c r="E75" s="17" t="str">
        <f>IF($C75="","",ANAGRAFICA!$D72)</f>
        <v/>
      </c>
      <c r="F75" s="17" t="str">
        <f>IF($C75="","",ANAGRAFICA!$E72)</f>
        <v/>
      </c>
      <c r="G75" s="17" t="str">
        <f>IF($C75="","",ANAGRAFICA!$F72)</f>
        <v/>
      </c>
      <c r="H75" s="17" t="str">
        <f>IF($C75="","",ANAGRAFICA!$G72)</f>
        <v/>
      </c>
      <c r="I75" s="17" t="str">
        <f>IF($C75="","",ANAGRAFICA!$L72)</f>
        <v/>
      </c>
      <c r="J75" s="16" t="str">
        <f t="shared" si="25"/>
        <v/>
      </c>
      <c r="K75" s="16" t="str">
        <f t="shared" si="26"/>
        <v/>
      </c>
      <c r="L75" s="16" t="str">
        <f t="shared" si="27"/>
        <v/>
      </c>
      <c r="M75" s="16" t="str">
        <f t="shared" si="28"/>
        <v/>
      </c>
      <c r="N75" s="16" t="str">
        <f t="shared" si="29"/>
        <v/>
      </c>
      <c r="O75" s="16" t="str">
        <f t="shared" si="30"/>
        <v/>
      </c>
      <c r="P75" s="17" t="str">
        <f t="shared" si="31"/>
        <v/>
      </c>
      <c r="Q75" s="31" t="str">
        <f>IF(OR($C75="",'BUDGET COMMESSA'!$D72="",'BUDGET COMMESSA'!$D72&lt;=0,ANAGRAFICA!$J72=""),"",IF(OR($I75="Finito ritenute non previste",$I75="Finito con sblocco ritenute",$I75="Finito senza sblocco ritenute"),0,IF(AND($BK75&gt;=$BJ75,ANAGRAFICA!$R72="Ritardo produttivo FIDA"),IF(ANAGRAFICA!$T72&lt;&gt;"",MAX(0,ANAGRAFICA!$J72-ANAGRAFICA!$T72),MAX(0,$Y75-ANAGRAFICA!$J72)),0)))</f>
        <v/>
      </c>
      <c r="R75" s="17" t="str">
        <f t="shared" si="32"/>
        <v/>
      </c>
      <c r="S75" s="17" t="str">
        <f t="shared" si="33"/>
        <v/>
      </c>
      <c r="T75" s="17" t="str">
        <f t="shared" si="34"/>
        <v/>
      </c>
      <c r="U75" s="16" t="str">
        <f t="shared" si="35"/>
        <v/>
      </c>
      <c r="V75" s="16" t="str">
        <f t="shared" si="36"/>
        <v/>
      </c>
      <c r="W75" s="16" t="str">
        <f t="shared" si="37"/>
        <v/>
      </c>
      <c r="X75" s="40"/>
      <c r="Y75" s="14"/>
      <c r="AZ75" t="str">
        <f>IF($C75="","",ANAGRAFICA!$P72)</f>
        <v/>
      </c>
      <c r="BA75" t="str">
        <f>IF($C75="","",SUMIF('MOVIMENTI 2026'!$B$7:$B$4206,$C75,'MOVIMENTI 2026'!$I$7:$I$4206)+SUMIF('SALDI AL 31.12.2025'!$A$6:$A$505,$C75,'SALDI AL 31.12.2025'!$C$6:$C$505))</f>
        <v/>
      </c>
      <c r="BB75" t="str">
        <f>IF($C75="","",SUMIF('MOVIMENTI 2026'!$B$7:$B$4206,$C75,'MOVIMENTI 2026'!$J$7:$J$4206)+SUMIF('SALDI AL 31.12.2025'!$A$6:$A$505,$C75,'SALDI AL 31.12.2025'!$D$6:$D$505))</f>
        <v/>
      </c>
      <c r="BC75" t="str">
        <f>IF($C75="","",SUMIF('MOVIMENTI 2026'!$B$7:$B$4206,$C75,'MOVIMENTI 2026'!$K$7:$K$4206)+SUMIF('SALDI AL 31.12.2025'!$A$6:$A$505,$C75,'SALDI AL 31.12.2025'!$E$6:$E$505))</f>
        <v/>
      </c>
      <c r="BD75" t="str">
        <f>IF($C75="","",SUMIF('MOVIMENTI 2026'!$B$7:$B$4206,$C75,'MOVIMENTI 2026'!$L$7:$L$4206)+SUMIF('SALDI AL 31.12.2025'!$A$6:$A$505,$C75,'SALDI AL 31.12.2025'!$F$6:$F$505))</f>
        <v/>
      </c>
      <c r="BE75" t="str">
        <f t="shared" si="38"/>
        <v/>
      </c>
      <c r="BF75" t="str">
        <f t="shared" si="39"/>
        <v/>
      </c>
      <c r="BG75" t="str">
        <f t="shared" si="40"/>
        <v/>
      </c>
      <c r="BH75" t="str">
        <f>IFERROR(IF(OR($C75="",ANAGRAFICA!$I72="",ANAGRAFICA!$J72="",ANAGRAFICA!$J72&lt;=ANAGRAFICA!$I72,$Y75=""),"",IF(OR($I75="Finito ritenute non previste",$I75="Finito con sblocco ritenute",$I75="Finito senza sblocco ritenute"),1,MAX(0,MIN(1,($Y75-ANAGRAFICA!$I72)/(ANAGRAFICA!$J72-ANAGRAFICA!$I72))))),"")</f>
        <v/>
      </c>
      <c r="BI75" t="str">
        <f t="shared" si="41"/>
        <v/>
      </c>
      <c r="BJ75" t="str">
        <f>IFERROR(IF($C75="","",'BUDGET COMMESSA'!$D72),"")</f>
        <v/>
      </c>
      <c r="BK75" t="str">
        <f>IF($C75="","",SUMIF('MOVIMENTI 2026'!$B$7:$B$4206,$C75,'MOVIMENTI 2026'!$N$7:$N$4206)+SUMIF('SALDI AL 31.12.2025'!$A$6:$A$505,$C75,'SALDI AL 31.12.2025'!$H$6:$H$505))</f>
        <v/>
      </c>
      <c r="BL75" t="str">
        <f t="shared" si="42"/>
        <v/>
      </c>
      <c r="BM75" t="str">
        <f t="shared" si="43"/>
        <v/>
      </c>
      <c r="BN75" t="str">
        <f t="shared" si="44"/>
        <v/>
      </c>
      <c r="BO75" t="str">
        <f>IFERROR(IF($C75="","",'BUDGET COMMESSA'!$G72),"")</f>
        <v/>
      </c>
      <c r="BP75" t="str">
        <f>IF($C75="","",SUMIF('COSTI DIRETTI'!$C$6:$C$505,$C75,'COSTI DIRETTI'!$H$6:$H$505)+SUMIF('SALDI AL 31.12.2025'!$A$6:$A$505,$C75,'SALDI AL 31.12.2025'!$I$6:$I$505))</f>
        <v/>
      </c>
      <c r="BQ75" t="str">
        <f t="shared" si="45"/>
        <v/>
      </c>
      <c r="BR75" t="str">
        <f t="shared" si="46"/>
        <v/>
      </c>
      <c r="BS75" t="str">
        <f>IF($C75="","",$BK75*PARAMETRI!$B$4+$BP75)</f>
        <v/>
      </c>
      <c r="BT75">
        <f t="shared" si="47"/>
        <v>0</v>
      </c>
      <c r="BU75">
        <f t="shared" si="48"/>
        <v>0</v>
      </c>
      <c r="BV75" t="str">
        <f>IF($C75="","",SUMIF('MOVIMENTI 2026'!$B$7:$B$4206,$C75,'MOVIMENTI 2026'!$P$7:$P$4206)+SUMIF('SALDI AL 31.12.2025'!$A$6:$A$505,$C75,'SALDI AL 31.12.2025'!$G$6:$G$505))</f>
        <v/>
      </c>
    </row>
    <row r="76" spans="1:74" ht="16" x14ac:dyDescent="0.15">
      <c r="A76" s="17" t="str">
        <f>IFERROR(IF($C76="","",IF(OR($BF76&gt;0,$V76&gt;$J76,AND(ISNUMBER($Q76),$Q76&gt;0),AND($BI76&lt;&gt;"",$BI76&lt;-PARAMETRI!$B$6),AND($BM76&lt;&gt;"",$BM76&gt;=1),AND($BN76&lt;&gt;"",$BN76&gt;PARAMETRI!$B$8),AND(ISNUMBER($BR76),$BR76&gt;0)),"CRITICO",IF(OR($AZ76="",LEFT($C76,5)="TEMP",$BJ76="",$BO76="",ANAGRAFICA!$I73="",ANAGRAFICA!$J73="",$Y76="",AND(OR($I76="Finito ritenute non previste",$I76="Finito con sblocco ritenute",$I76="Finito senza sblocco ritenute"),ANAGRAFICA!$K73=""),OR(AND(ANAGRAFICA!$T73&lt;&gt;"",ANAGRAFICA!$J73&lt;&gt;ANAGRAFICA!$T73,OR(ANAGRAFICA!$R73="",ANAGRAFICA!$R73="Nessuna variazione")),AND(ANAGRAFICA!$J73="",ANAGRAFICA!$R73&lt;&gt;"",ANAGRAFICA!$R73&lt;&gt;"Nessuna variazione")),AND($BI76&lt;&gt;"",$BI76&lt;-PARAMETRI!$B$5),AND($BN76&lt;&gt;"",$BN76&gt;PARAMETRI!$B$7),AND($W76&gt;0,$M76&gt;$W76*PARAMETRI!$B$9),AND($O76&gt;0,OR($I76="Finito ritenute non previste",$I76="Finito con sblocco ritenute",$I76="Finito senza sblocco ritenute")),AND($BA76&gt;0,$BO76&gt;0,$BP76=0),AND(OR($I76="Finito ritenute non previste",$I76="Finito con sblocco ritenute",$I76="Finito senza sblocco ritenute"),$W76&gt;0,$N76&gt;$W76*PARAMETRI!$B$9),$V76&gt;0),"ATTENZIONE","REGOLARE"))),"ATTENZIONE")</f>
        <v/>
      </c>
      <c r="B76" s="17" t="str">
        <f>IFERROR(IF($C76="","",IF($BF76&gt;0,"FATTURATO OLTRE VALORE RECUPERABILE; ","")&amp;IF($V76&gt;$J76,"PERDITE ACCETTATE OLTRE CONTRATTO; ","")&amp;IF($V76&gt;0,"PERDITA SAL ACCETTATA (€ "&amp;TEXT($V76,"#,##0.00")&amp;"); ","")&amp;IF(AND(ISNUMBER($Q76),$Q76&gt;0),"RITARDO PRODUTTIVO ("&amp;TEXT($Q76,"0")&amp;" GG); ","")&amp;IF(AND($BI76&lt;&gt;"",$BI76&lt;-PARAMETRI!$B$5),"AVANZAMENTO PIÙ LENTO DEL TEMPO; ","")&amp;IF(AND($BM76&lt;&gt;"",$BM76&gt;1),"ORE OLTRE BUDGET; ","")&amp;IF(AND($BM76&lt;&gt;"",$BM76=1),"ORE PREVENTIVATE ESAURITE; ","")&amp;IF(AND($BN76&lt;&gt;"",$BN76&gt;PARAMETRI!$B$7),"CONSUMO ORE SUPERIORE ALL'AVANZAMENTO; ","")&amp;IF(AND(ISNUMBER($BR76),$BR76&gt;0),"COSTI DIRETTI OLTRE BUDGET; ","")&amp;IF(AND($W76&gt;0,$M76&gt;$W76*PARAMETRI!$B$9),"SAL MATURATO NON FATTURATO; ","")&amp;IF(AND($O76&gt;0,OR($I76="Finito ritenute non previste",$I76="Finito con sblocco ritenute",$I76="Finito senza sblocco ritenute")),"RITENUTE DA SBLOCCARE; ","")&amp;IF(AND($BA76&gt;0,$BO76&gt;0,$BP76=0),"COSTI DIRETTI NON REGISTRATI; ","")&amp;IF(AND(OR($I76="Finito ritenute non previste",$I76="Finito con sblocco ritenute",$I76="Finito senza sblocco ritenute"),$W76&gt;0,$N76&gt;$W76*PARAMETRI!$B$9),"CANTIERE FINITO CON RESIDUO LAVORI; ","")&amp;IF(AND(OR($I76="Finito ritenute non previste",$I76="Finito con sblocco ritenute",$I76="Finito senza sblocco ritenute"),ANAGRAFICA!$K73=""),"DATA FINE EFFETTIVA MANCANTE; ","")&amp;IF(OR(AND(ANAGRAFICA!$T73&lt;&gt;"",ANAGRAFICA!$J73&lt;&gt;ANAGRAFICA!$T73,OR(ANAGRAFICA!$R73="",ANAGRAFICA!$R73="Nessuna variazione")),AND(ANAGRAFICA!$J73="",ANAGRAFICA!$R73&lt;&gt;"",ANAGRAFICA!$R73&lt;&gt;"Nessuna variazione")),"GESTIONE DATA FINE INCOMPLETA; ","")&amp;IF($Y76="","AGGIORNATO AL MANCANTE; ","")&amp;IF(OR($AZ76="",$BJ76="",$BO76="",ANAGRAFICA!$I73="",ANAGRAFICA!$J73=""),"DATI PREVISIONALI INCOMPLETI; ","")&amp;IF(LEFT($C76,5)="TEMP","CODICE COMMESSA TEMPORANEO; ","")),"DATI INCOMPLETI; ")</f>
        <v/>
      </c>
      <c r="C76" s="17" t="str">
        <f>IF(ANAGRAFICA!$B73="","",ANAGRAFICA!$B73)</f>
        <v/>
      </c>
      <c r="D76" s="17" t="str">
        <f>IF($C76="","",ANAGRAFICA!$C73)</f>
        <v/>
      </c>
      <c r="E76" s="17" t="str">
        <f>IF($C76="","",ANAGRAFICA!$D73)</f>
        <v/>
      </c>
      <c r="F76" s="17" t="str">
        <f>IF($C76="","",ANAGRAFICA!$E73)</f>
        <v/>
      </c>
      <c r="G76" s="17" t="str">
        <f>IF($C76="","",ANAGRAFICA!$F73)</f>
        <v/>
      </c>
      <c r="H76" s="17" t="str">
        <f>IF($C76="","",ANAGRAFICA!$G73)</f>
        <v/>
      </c>
      <c r="I76" s="17" t="str">
        <f>IF($C76="","",ANAGRAFICA!$L73)</f>
        <v/>
      </c>
      <c r="J76" s="16" t="str">
        <f t="shared" si="25"/>
        <v/>
      </c>
      <c r="K76" s="16" t="str">
        <f t="shared" si="26"/>
        <v/>
      </c>
      <c r="L76" s="16" t="str">
        <f t="shared" si="27"/>
        <v/>
      </c>
      <c r="M76" s="16" t="str">
        <f t="shared" si="28"/>
        <v/>
      </c>
      <c r="N76" s="16" t="str">
        <f t="shared" si="29"/>
        <v/>
      </c>
      <c r="O76" s="16" t="str">
        <f t="shared" si="30"/>
        <v/>
      </c>
      <c r="P76" s="17" t="str">
        <f t="shared" si="31"/>
        <v/>
      </c>
      <c r="Q76" s="31" t="str">
        <f>IF(OR($C76="",'BUDGET COMMESSA'!$D73="",'BUDGET COMMESSA'!$D73&lt;=0,ANAGRAFICA!$J73=""),"",IF(OR($I76="Finito ritenute non previste",$I76="Finito con sblocco ritenute",$I76="Finito senza sblocco ritenute"),0,IF(AND($BK76&gt;=$BJ76,ANAGRAFICA!$R73="Ritardo produttivo FIDA"),IF(ANAGRAFICA!$T73&lt;&gt;"",MAX(0,ANAGRAFICA!$J73-ANAGRAFICA!$T73),MAX(0,$Y76-ANAGRAFICA!$J73)),0)))</f>
        <v/>
      </c>
      <c r="R76" s="17" t="str">
        <f t="shared" si="32"/>
        <v/>
      </c>
      <c r="S76" s="17" t="str">
        <f t="shared" si="33"/>
        <v/>
      </c>
      <c r="T76" s="17" t="str">
        <f t="shared" si="34"/>
        <v/>
      </c>
      <c r="U76" s="16" t="str">
        <f t="shared" si="35"/>
        <v/>
      </c>
      <c r="V76" s="16" t="str">
        <f t="shared" si="36"/>
        <v/>
      </c>
      <c r="W76" s="16" t="str">
        <f t="shared" si="37"/>
        <v/>
      </c>
      <c r="X76" s="40"/>
      <c r="Y76" s="14"/>
      <c r="AZ76" t="str">
        <f>IF($C76="","",ANAGRAFICA!$P73)</f>
        <v/>
      </c>
      <c r="BA76" t="str">
        <f>IF($C76="","",SUMIF('MOVIMENTI 2026'!$B$7:$B$4206,$C76,'MOVIMENTI 2026'!$I$7:$I$4206)+SUMIF('SALDI AL 31.12.2025'!$A$6:$A$505,$C76,'SALDI AL 31.12.2025'!$C$6:$C$505))</f>
        <v/>
      </c>
      <c r="BB76" t="str">
        <f>IF($C76="","",SUMIF('MOVIMENTI 2026'!$B$7:$B$4206,$C76,'MOVIMENTI 2026'!$J$7:$J$4206)+SUMIF('SALDI AL 31.12.2025'!$A$6:$A$505,$C76,'SALDI AL 31.12.2025'!$D$6:$D$505))</f>
        <v/>
      </c>
      <c r="BC76" t="str">
        <f>IF($C76="","",SUMIF('MOVIMENTI 2026'!$B$7:$B$4206,$C76,'MOVIMENTI 2026'!$K$7:$K$4206)+SUMIF('SALDI AL 31.12.2025'!$A$6:$A$505,$C76,'SALDI AL 31.12.2025'!$E$6:$E$505))</f>
        <v/>
      </c>
      <c r="BD76" t="str">
        <f>IF($C76="","",SUMIF('MOVIMENTI 2026'!$B$7:$B$4206,$C76,'MOVIMENTI 2026'!$L$7:$L$4206)+SUMIF('SALDI AL 31.12.2025'!$A$6:$A$505,$C76,'SALDI AL 31.12.2025'!$F$6:$F$505))</f>
        <v/>
      </c>
      <c r="BE76" t="str">
        <f t="shared" si="38"/>
        <v/>
      </c>
      <c r="BF76" t="str">
        <f t="shared" si="39"/>
        <v/>
      </c>
      <c r="BG76" t="str">
        <f t="shared" si="40"/>
        <v/>
      </c>
      <c r="BH76" t="str">
        <f>IFERROR(IF(OR($C76="",ANAGRAFICA!$I73="",ANAGRAFICA!$J73="",ANAGRAFICA!$J73&lt;=ANAGRAFICA!$I73,$Y76=""),"",IF(OR($I76="Finito ritenute non previste",$I76="Finito con sblocco ritenute",$I76="Finito senza sblocco ritenute"),1,MAX(0,MIN(1,($Y76-ANAGRAFICA!$I73)/(ANAGRAFICA!$J73-ANAGRAFICA!$I73))))),"")</f>
        <v/>
      </c>
      <c r="BI76" t="str">
        <f t="shared" si="41"/>
        <v/>
      </c>
      <c r="BJ76" t="str">
        <f>IFERROR(IF($C76="","",'BUDGET COMMESSA'!$D73),"")</f>
        <v/>
      </c>
      <c r="BK76" t="str">
        <f>IF($C76="","",SUMIF('MOVIMENTI 2026'!$B$7:$B$4206,$C76,'MOVIMENTI 2026'!$N$7:$N$4206)+SUMIF('SALDI AL 31.12.2025'!$A$6:$A$505,$C76,'SALDI AL 31.12.2025'!$H$6:$H$505))</f>
        <v/>
      </c>
      <c r="BL76" t="str">
        <f t="shared" si="42"/>
        <v/>
      </c>
      <c r="BM76" t="str">
        <f t="shared" si="43"/>
        <v/>
      </c>
      <c r="BN76" t="str">
        <f t="shared" si="44"/>
        <v/>
      </c>
      <c r="BO76" t="str">
        <f>IFERROR(IF($C76="","",'BUDGET COMMESSA'!$G73),"")</f>
        <v/>
      </c>
      <c r="BP76" t="str">
        <f>IF($C76="","",SUMIF('COSTI DIRETTI'!$C$6:$C$505,$C76,'COSTI DIRETTI'!$H$6:$H$505)+SUMIF('SALDI AL 31.12.2025'!$A$6:$A$505,$C76,'SALDI AL 31.12.2025'!$I$6:$I$505))</f>
        <v/>
      </c>
      <c r="BQ76" t="str">
        <f t="shared" si="45"/>
        <v/>
      </c>
      <c r="BR76" t="str">
        <f t="shared" si="46"/>
        <v/>
      </c>
      <c r="BS76" t="str">
        <f>IF($C76="","",$BK76*PARAMETRI!$B$4+$BP76)</f>
        <v/>
      </c>
      <c r="BT76">
        <f t="shared" si="47"/>
        <v>0</v>
      </c>
      <c r="BU76">
        <f t="shared" si="48"/>
        <v>0</v>
      </c>
      <c r="BV76" t="str">
        <f>IF($C76="","",SUMIF('MOVIMENTI 2026'!$B$7:$B$4206,$C76,'MOVIMENTI 2026'!$P$7:$P$4206)+SUMIF('SALDI AL 31.12.2025'!$A$6:$A$505,$C76,'SALDI AL 31.12.2025'!$G$6:$G$505))</f>
        <v/>
      </c>
    </row>
    <row r="77" spans="1:74" ht="16" x14ac:dyDescent="0.15">
      <c r="A77" s="17" t="str">
        <f>IFERROR(IF($C77="","",IF(OR($BF77&gt;0,$V77&gt;$J77,AND(ISNUMBER($Q77),$Q77&gt;0),AND($BI77&lt;&gt;"",$BI77&lt;-PARAMETRI!$B$6),AND($BM77&lt;&gt;"",$BM77&gt;=1),AND($BN77&lt;&gt;"",$BN77&gt;PARAMETRI!$B$8),AND(ISNUMBER($BR77),$BR77&gt;0)),"CRITICO",IF(OR($AZ77="",LEFT($C77,5)="TEMP",$BJ77="",$BO77="",ANAGRAFICA!$I74="",ANAGRAFICA!$J74="",$Y77="",AND(OR($I77="Finito ritenute non previste",$I77="Finito con sblocco ritenute",$I77="Finito senza sblocco ritenute"),ANAGRAFICA!$K74=""),OR(AND(ANAGRAFICA!$T74&lt;&gt;"",ANAGRAFICA!$J74&lt;&gt;ANAGRAFICA!$T74,OR(ANAGRAFICA!$R74="",ANAGRAFICA!$R74="Nessuna variazione")),AND(ANAGRAFICA!$J74="",ANAGRAFICA!$R74&lt;&gt;"",ANAGRAFICA!$R74&lt;&gt;"Nessuna variazione")),AND($BI77&lt;&gt;"",$BI77&lt;-PARAMETRI!$B$5),AND($BN77&lt;&gt;"",$BN77&gt;PARAMETRI!$B$7),AND($W77&gt;0,$M77&gt;$W77*PARAMETRI!$B$9),AND($O77&gt;0,OR($I77="Finito ritenute non previste",$I77="Finito con sblocco ritenute",$I77="Finito senza sblocco ritenute")),AND($BA77&gt;0,$BO77&gt;0,$BP77=0),AND(OR($I77="Finito ritenute non previste",$I77="Finito con sblocco ritenute",$I77="Finito senza sblocco ritenute"),$W77&gt;0,$N77&gt;$W77*PARAMETRI!$B$9),$V77&gt;0),"ATTENZIONE","REGOLARE"))),"ATTENZIONE")</f>
        <v/>
      </c>
      <c r="B77" s="17" t="str">
        <f>IFERROR(IF($C77="","",IF($BF77&gt;0,"FATTURATO OLTRE VALORE RECUPERABILE; ","")&amp;IF($V77&gt;$J77,"PERDITE ACCETTATE OLTRE CONTRATTO; ","")&amp;IF($V77&gt;0,"PERDITA SAL ACCETTATA (€ "&amp;TEXT($V77,"#,##0.00")&amp;"); ","")&amp;IF(AND(ISNUMBER($Q77),$Q77&gt;0),"RITARDO PRODUTTIVO ("&amp;TEXT($Q77,"0")&amp;" GG); ","")&amp;IF(AND($BI77&lt;&gt;"",$BI77&lt;-PARAMETRI!$B$5),"AVANZAMENTO PIÙ LENTO DEL TEMPO; ","")&amp;IF(AND($BM77&lt;&gt;"",$BM77&gt;1),"ORE OLTRE BUDGET; ","")&amp;IF(AND($BM77&lt;&gt;"",$BM77=1),"ORE PREVENTIVATE ESAURITE; ","")&amp;IF(AND($BN77&lt;&gt;"",$BN77&gt;PARAMETRI!$B$7),"CONSUMO ORE SUPERIORE ALL'AVANZAMENTO; ","")&amp;IF(AND(ISNUMBER($BR77),$BR77&gt;0),"COSTI DIRETTI OLTRE BUDGET; ","")&amp;IF(AND($W77&gt;0,$M77&gt;$W77*PARAMETRI!$B$9),"SAL MATURATO NON FATTURATO; ","")&amp;IF(AND($O77&gt;0,OR($I77="Finito ritenute non previste",$I77="Finito con sblocco ritenute",$I77="Finito senza sblocco ritenute")),"RITENUTE DA SBLOCCARE; ","")&amp;IF(AND($BA77&gt;0,$BO77&gt;0,$BP77=0),"COSTI DIRETTI NON REGISTRATI; ","")&amp;IF(AND(OR($I77="Finito ritenute non previste",$I77="Finito con sblocco ritenute",$I77="Finito senza sblocco ritenute"),$W77&gt;0,$N77&gt;$W77*PARAMETRI!$B$9),"CANTIERE FINITO CON RESIDUO LAVORI; ","")&amp;IF(AND(OR($I77="Finito ritenute non previste",$I77="Finito con sblocco ritenute",$I77="Finito senza sblocco ritenute"),ANAGRAFICA!$K74=""),"DATA FINE EFFETTIVA MANCANTE; ","")&amp;IF(OR(AND(ANAGRAFICA!$T74&lt;&gt;"",ANAGRAFICA!$J74&lt;&gt;ANAGRAFICA!$T74,OR(ANAGRAFICA!$R74="",ANAGRAFICA!$R74="Nessuna variazione")),AND(ANAGRAFICA!$J74="",ANAGRAFICA!$R74&lt;&gt;"",ANAGRAFICA!$R74&lt;&gt;"Nessuna variazione")),"GESTIONE DATA FINE INCOMPLETA; ","")&amp;IF($Y77="","AGGIORNATO AL MANCANTE; ","")&amp;IF(OR($AZ77="",$BJ77="",$BO77="",ANAGRAFICA!$I74="",ANAGRAFICA!$J74=""),"DATI PREVISIONALI INCOMPLETI; ","")&amp;IF(LEFT($C77,5)="TEMP","CODICE COMMESSA TEMPORANEO; ","")),"DATI INCOMPLETI; ")</f>
        <v/>
      </c>
      <c r="C77" s="17" t="str">
        <f>IF(ANAGRAFICA!$B74="","",ANAGRAFICA!$B74)</f>
        <v/>
      </c>
      <c r="D77" s="17" t="str">
        <f>IF($C77="","",ANAGRAFICA!$C74)</f>
        <v/>
      </c>
      <c r="E77" s="17" t="str">
        <f>IF($C77="","",ANAGRAFICA!$D74)</f>
        <v/>
      </c>
      <c r="F77" s="17" t="str">
        <f>IF($C77="","",ANAGRAFICA!$E74)</f>
        <v/>
      </c>
      <c r="G77" s="17" t="str">
        <f>IF($C77="","",ANAGRAFICA!$F74)</f>
        <v/>
      </c>
      <c r="H77" s="17" t="str">
        <f>IF($C77="","",ANAGRAFICA!$G74)</f>
        <v/>
      </c>
      <c r="I77" s="17" t="str">
        <f>IF($C77="","",ANAGRAFICA!$L74)</f>
        <v/>
      </c>
      <c r="J77" s="16" t="str">
        <f t="shared" si="25"/>
        <v/>
      </c>
      <c r="K77" s="16" t="str">
        <f t="shared" si="26"/>
        <v/>
      </c>
      <c r="L77" s="16" t="str">
        <f t="shared" si="27"/>
        <v/>
      </c>
      <c r="M77" s="16" t="str">
        <f t="shared" si="28"/>
        <v/>
      </c>
      <c r="N77" s="16" t="str">
        <f t="shared" si="29"/>
        <v/>
      </c>
      <c r="O77" s="16" t="str">
        <f t="shared" si="30"/>
        <v/>
      </c>
      <c r="P77" s="17" t="str">
        <f t="shared" si="31"/>
        <v/>
      </c>
      <c r="Q77" s="31" t="str">
        <f>IF(OR($C77="",'BUDGET COMMESSA'!$D74="",'BUDGET COMMESSA'!$D74&lt;=0,ANAGRAFICA!$J74=""),"",IF(OR($I77="Finito ritenute non previste",$I77="Finito con sblocco ritenute",$I77="Finito senza sblocco ritenute"),0,IF(AND($BK77&gt;=$BJ77,ANAGRAFICA!$R74="Ritardo produttivo FIDA"),IF(ANAGRAFICA!$T74&lt;&gt;"",MAX(0,ANAGRAFICA!$J74-ANAGRAFICA!$T74),MAX(0,$Y77-ANAGRAFICA!$J74)),0)))</f>
        <v/>
      </c>
      <c r="R77" s="17" t="str">
        <f t="shared" si="32"/>
        <v/>
      </c>
      <c r="S77" s="17" t="str">
        <f t="shared" si="33"/>
        <v/>
      </c>
      <c r="T77" s="17" t="str">
        <f t="shared" si="34"/>
        <v/>
      </c>
      <c r="U77" s="16" t="str">
        <f t="shared" si="35"/>
        <v/>
      </c>
      <c r="V77" s="16" t="str">
        <f t="shared" si="36"/>
        <v/>
      </c>
      <c r="W77" s="16" t="str">
        <f t="shared" si="37"/>
        <v/>
      </c>
      <c r="X77" s="40"/>
      <c r="Y77" s="14"/>
      <c r="AZ77" t="str">
        <f>IF($C77="","",ANAGRAFICA!$P74)</f>
        <v/>
      </c>
      <c r="BA77" t="str">
        <f>IF($C77="","",SUMIF('MOVIMENTI 2026'!$B$7:$B$4206,$C77,'MOVIMENTI 2026'!$I$7:$I$4206)+SUMIF('SALDI AL 31.12.2025'!$A$6:$A$505,$C77,'SALDI AL 31.12.2025'!$C$6:$C$505))</f>
        <v/>
      </c>
      <c r="BB77" t="str">
        <f>IF($C77="","",SUMIF('MOVIMENTI 2026'!$B$7:$B$4206,$C77,'MOVIMENTI 2026'!$J$7:$J$4206)+SUMIF('SALDI AL 31.12.2025'!$A$6:$A$505,$C77,'SALDI AL 31.12.2025'!$D$6:$D$505))</f>
        <v/>
      </c>
      <c r="BC77" t="str">
        <f>IF($C77="","",SUMIF('MOVIMENTI 2026'!$B$7:$B$4206,$C77,'MOVIMENTI 2026'!$K$7:$K$4206)+SUMIF('SALDI AL 31.12.2025'!$A$6:$A$505,$C77,'SALDI AL 31.12.2025'!$E$6:$E$505))</f>
        <v/>
      </c>
      <c r="BD77" t="str">
        <f>IF($C77="","",SUMIF('MOVIMENTI 2026'!$B$7:$B$4206,$C77,'MOVIMENTI 2026'!$L$7:$L$4206)+SUMIF('SALDI AL 31.12.2025'!$A$6:$A$505,$C77,'SALDI AL 31.12.2025'!$F$6:$F$505))</f>
        <v/>
      </c>
      <c r="BE77" t="str">
        <f t="shared" si="38"/>
        <v/>
      </c>
      <c r="BF77" t="str">
        <f t="shared" si="39"/>
        <v/>
      </c>
      <c r="BG77" t="str">
        <f t="shared" si="40"/>
        <v/>
      </c>
      <c r="BH77" t="str">
        <f>IFERROR(IF(OR($C77="",ANAGRAFICA!$I74="",ANAGRAFICA!$J74="",ANAGRAFICA!$J74&lt;=ANAGRAFICA!$I74,$Y77=""),"",IF(OR($I77="Finito ritenute non previste",$I77="Finito con sblocco ritenute",$I77="Finito senza sblocco ritenute"),1,MAX(0,MIN(1,($Y77-ANAGRAFICA!$I74)/(ANAGRAFICA!$J74-ANAGRAFICA!$I74))))),"")</f>
        <v/>
      </c>
      <c r="BI77" t="str">
        <f t="shared" si="41"/>
        <v/>
      </c>
      <c r="BJ77" t="str">
        <f>IFERROR(IF($C77="","",'BUDGET COMMESSA'!$D74),"")</f>
        <v/>
      </c>
      <c r="BK77" t="str">
        <f>IF($C77="","",SUMIF('MOVIMENTI 2026'!$B$7:$B$4206,$C77,'MOVIMENTI 2026'!$N$7:$N$4206)+SUMIF('SALDI AL 31.12.2025'!$A$6:$A$505,$C77,'SALDI AL 31.12.2025'!$H$6:$H$505))</f>
        <v/>
      </c>
      <c r="BL77" t="str">
        <f t="shared" si="42"/>
        <v/>
      </c>
      <c r="BM77" t="str">
        <f t="shared" si="43"/>
        <v/>
      </c>
      <c r="BN77" t="str">
        <f t="shared" si="44"/>
        <v/>
      </c>
      <c r="BO77" t="str">
        <f>IFERROR(IF($C77="","",'BUDGET COMMESSA'!$G74),"")</f>
        <v/>
      </c>
      <c r="BP77" t="str">
        <f>IF($C77="","",SUMIF('COSTI DIRETTI'!$C$6:$C$505,$C77,'COSTI DIRETTI'!$H$6:$H$505)+SUMIF('SALDI AL 31.12.2025'!$A$6:$A$505,$C77,'SALDI AL 31.12.2025'!$I$6:$I$505))</f>
        <v/>
      </c>
      <c r="BQ77" t="str">
        <f t="shared" si="45"/>
        <v/>
      </c>
      <c r="BR77" t="str">
        <f t="shared" si="46"/>
        <v/>
      </c>
      <c r="BS77" t="str">
        <f>IF($C77="","",$BK77*PARAMETRI!$B$4+$BP77)</f>
        <v/>
      </c>
      <c r="BT77">
        <f t="shared" si="47"/>
        <v>0</v>
      </c>
      <c r="BU77">
        <f t="shared" si="48"/>
        <v>0</v>
      </c>
      <c r="BV77" t="str">
        <f>IF($C77="","",SUMIF('MOVIMENTI 2026'!$B$7:$B$4206,$C77,'MOVIMENTI 2026'!$P$7:$P$4206)+SUMIF('SALDI AL 31.12.2025'!$A$6:$A$505,$C77,'SALDI AL 31.12.2025'!$G$6:$G$505))</f>
        <v/>
      </c>
    </row>
    <row r="78" spans="1:74" ht="16" x14ac:dyDescent="0.15">
      <c r="A78" s="17" t="str">
        <f>IFERROR(IF($C78="","",IF(OR($BF78&gt;0,$V78&gt;$J78,AND(ISNUMBER($Q78),$Q78&gt;0),AND($BI78&lt;&gt;"",$BI78&lt;-PARAMETRI!$B$6),AND($BM78&lt;&gt;"",$BM78&gt;=1),AND($BN78&lt;&gt;"",$BN78&gt;PARAMETRI!$B$8),AND(ISNUMBER($BR78),$BR78&gt;0)),"CRITICO",IF(OR($AZ78="",LEFT($C78,5)="TEMP",$BJ78="",$BO78="",ANAGRAFICA!$I75="",ANAGRAFICA!$J75="",$Y78="",AND(OR($I78="Finito ritenute non previste",$I78="Finito con sblocco ritenute",$I78="Finito senza sblocco ritenute"),ANAGRAFICA!$K75=""),OR(AND(ANAGRAFICA!$T75&lt;&gt;"",ANAGRAFICA!$J75&lt;&gt;ANAGRAFICA!$T75,OR(ANAGRAFICA!$R75="",ANAGRAFICA!$R75="Nessuna variazione")),AND(ANAGRAFICA!$J75="",ANAGRAFICA!$R75&lt;&gt;"",ANAGRAFICA!$R75&lt;&gt;"Nessuna variazione")),AND($BI78&lt;&gt;"",$BI78&lt;-PARAMETRI!$B$5),AND($BN78&lt;&gt;"",$BN78&gt;PARAMETRI!$B$7),AND($W78&gt;0,$M78&gt;$W78*PARAMETRI!$B$9),AND($O78&gt;0,OR($I78="Finito ritenute non previste",$I78="Finito con sblocco ritenute",$I78="Finito senza sblocco ritenute")),AND($BA78&gt;0,$BO78&gt;0,$BP78=0),AND(OR($I78="Finito ritenute non previste",$I78="Finito con sblocco ritenute",$I78="Finito senza sblocco ritenute"),$W78&gt;0,$N78&gt;$W78*PARAMETRI!$B$9),$V78&gt;0),"ATTENZIONE","REGOLARE"))),"ATTENZIONE")</f>
        <v/>
      </c>
      <c r="B78" s="17" t="str">
        <f>IFERROR(IF($C78="","",IF($BF78&gt;0,"FATTURATO OLTRE VALORE RECUPERABILE; ","")&amp;IF($V78&gt;$J78,"PERDITE ACCETTATE OLTRE CONTRATTO; ","")&amp;IF($V78&gt;0,"PERDITA SAL ACCETTATA (€ "&amp;TEXT($V78,"#,##0.00")&amp;"); ","")&amp;IF(AND(ISNUMBER($Q78),$Q78&gt;0),"RITARDO PRODUTTIVO ("&amp;TEXT($Q78,"0")&amp;" GG); ","")&amp;IF(AND($BI78&lt;&gt;"",$BI78&lt;-PARAMETRI!$B$5),"AVANZAMENTO PIÙ LENTO DEL TEMPO; ","")&amp;IF(AND($BM78&lt;&gt;"",$BM78&gt;1),"ORE OLTRE BUDGET; ","")&amp;IF(AND($BM78&lt;&gt;"",$BM78=1),"ORE PREVENTIVATE ESAURITE; ","")&amp;IF(AND($BN78&lt;&gt;"",$BN78&gt;PARAMETRI!$B$7),"CONSUMO ORE SUPERIORE ALL'AVANZAMENTO; ","")&amp;IF(AND(ISNUMBER($BR78),$BR78&gt;0),"COSTI DIRETTI OLTRE BUDGET; ","")&amp;IF(AND($W78&gt;0,$M78&gt;$W78*PARAMETRI!$B$9),"SAL MATURATO NON FATTURATO; ","")&amp;IF(AND($O78&gt;0,OR($I78="Finito ritenute non previste",$I78="Finito con sblocco ritenute",$I78="Finito senza sblocco ritenute")),"RITENUTE DA SBLOCCARE; ","")&amp;IF(AND($BA78&gt;0,$BO78&gt;0,$BP78=0),"COSTI DIRETTI NON REGISTRATI; ","")&amp;IF(AND(OR($I78="Finito ritenute non previste",$I78="Finito con sblocco ritenute",$I78="Finito senza sblocco ritenute"),$W78&gt;0,$N78&gt;$W78*PARAMETRI!$B$9),"CANTIERE FINITO CON RESIDUO LAVORI; ","")&amp;IF(AND(OR($I78="Finito ritenute non previste",$I78="Finito con sblocco ritenute",$I78="Finito senza sblocco ritenute"),ANAGRAFICA!$K75=""),"DATA FINE EFFETTIVA MANCANTE; ","")&amp;IF(OR(AND(ANAGRAFICA!$T75&lt;&gt;"",ANAGRAFICA!$J75&lt;&gt;ANAGRAFICA!$T75,OR(ANAGRAFICA!$R75="",ANAGRAFICA!$R75="Nessuna variazione")),AND(ANAGRAFICA!$J75="",ANAGRAFICA!$R75&lt;&gt;"",ANAGRAFICA!$R75&lt;&gt;"Nessuna variazione")),"GESTIONE DATA FINE INCOMPLETA; ","")&amp;IF($Y78="","AGGIORNATO AL MANCANTE; ","")&amp;IF(OR($AZ78="",$BJ78="",$BO78="",ANAGRAFICA!$I75="",ANAGRAFICA!$J75=""),"DATI PREVISIONALI INCOMPLETI; ","")&amp;IF(LEFT($C78,5)="TEMP","CODICE COMMESSA TEMPORANEO; ","")),"DATI INCOMPLETI; ")</f>
        <v/>
      </c>
      <c r="C78" s="17" t="str">
        <f>IF(ANAGRAFICA!$B75="","",ANAGRAFICA!$B75)</f>
        <v/>
      </c>
      <c r="D78" s="17" t="str">
        <f>IF($C78="","",ANAGRAFICA!$C75)</f>
        <v/>
      </c>
      <c r="E78" s="17" t="str">
        <f>IF($C78="","",ANAGRAFICA!$D75)</f>
        <v/>
      </c>
      <c r="F78" s="17" t="str">
        <f>IF($C78="","",ANAGRAFICA!$E75)</f>
        <v/>
      </c>
      <c r="G78" s="17" t="str">
        <f>IF($C78="","",ANAGRAFICA!$F75)</f>
        <v/>
      </c>
      <c r="H78" s="17" t="str">
        <f>IF($C78="","",ANAGRAFICA!$G75)</f>
        <v/>
      </c>
      <c r="I78" s="17" t="str">
        <f>IF($C78="","",ANAGRAFICA!$L75)</f>
        <v/>
      </c>
      <c r="J78" s="16" t="str">
        <f t="shared" si="25"/>
        <v/>
      </c>
      <c r="K78" s="16" t="str">
        <f t="shared" si="26"/>
        <v/>
      </c>
      <c r="L78" s="16" t="str">
        <f t="shared" si="27"/>
        <v/>
      </c>
      <c r="M78" s="16" t="str">
        <f t="shared" si="28"/>
        <v/>
      </c>
      <c r="N78" s="16" t="str">
        <f t="shared" si="29"/>
        <v/>
      </c>
      <c r="O78" s="16" t="str">
        <f t="shared" si="30"/>
        <v/>
      </c>
      <c r="P78" s="17" t="str">
        <f t="shared" si="31"/>
        <v/>
      </c>
      <c r="Q78" s="31" t="str">
        <f>IF(OR($C78="",'BUDGET COMMESSA'!$D75="",'BUDGET COMMESSA'!$D75&lt;=0,ANAGRAFICA!$J75=""),"",IF(OR($I78="Finito ritenute non previste",$I78="Finito con sblocco ritenute",$I78="Finito senza sblocco ritenute"),0,IF(AND($BK78&gt;=$BJ78,ANAGRAFICA!$R75="Ritardo produttivo FIDA"),IF(ANAGRAFICA!$T75&lt;&gt;"",MAX(0,ANAGRAFICA!$J75-ANAGRAFICA!$T75),MAX(0,$Y78-ANAGRAFICA!$J75)),0)))</f>
        <v/>
      </c>
      <c r="R78" s="17" t="str">
        <f t="shared" si="32"/>
        <v/>
      </c>
      <c r="S78" s="17" t="str">
        <f t="shared" si="33"/>
        <v/>
      </c>
      <c r="T78" s="17" t="str">
        <f t="shared" si="34"/>
        <v/>
      </c>
      <c r="U78" s="16" t="str">
        <f t="shared" si="35"/>
        <v/>
      </c>
      <c r="V78" s="16" t="str">
        <f t="shared" si="36"/>
        <v/>
      </c>
      <c r="W78" s="16" t="str">
        <f t="shared" si="37"/>
        <v/>
      </c>
      <c r="X78" s="40"/>
      <c r="Y78" s="14"/>
      <c r="AZ78" t="str">
        <f>IF($C78="","",ANAGRAFICA!$P75)</f>
        <v/>
      </c>
      <c r="BA78" t="str">
        <f>IF($C78="","",SUMIF('MOVIMENTI 2026'!$B$7:$B$4206,$C78,'MOVIMENTI 2026'!$I$7:$I$4206)+SUMIF('SALDI AL 31.12.2025'!$A$6:$A$505,$C78,'SALDI AL 31.12.2025'!$C$6:$C$505))</f>
        <v/>
      </c>
      <c r="BB78" t="str">
        <f>IF($C78="","",SUMIF('MOVIMENTI 2026'!$B$7:$B$4206,$C78,'MOVIMENTI 2026'!$J$7:$J$4206)+SUMIF('SALDI AL 31.12.2025'!$A$6:$A$505,$C78,'SALDI AL 31.12.2025'!$D$6:$D$505))</f>
        <v/>
      </c>
      <c r="BC78" t="str">
        <f>IF($C78="","",SUMIF('MOVIMENTI 2026'!$B$7:$B$4206,$C78,'MOVIMENTI 2026'!$K$7:$K$4206)+SUMIF('SALDI AL 31.12.2025'!$A$6:$A$505,$C78,'SALDI AL 31.12.2025'!$E$6:$E$505))</f>
        <v/>
      </c>
      <c r="BD78" t="str">
        <f>IF($C78="","",SUMIF('MOVIMENTI 2026'!$B$7:$B$4206,$C78,'MOVIMENTI 2026'!$L$7:$L$4206)+SUMIF('SALDI AL 31.12.2025'!$A$6:$A$505,$C78,'SALDI AL 31.12.2025'!$F$6:$F$505))</f>
        <v/>
      </c>
      <c r="BE78" t="str">
        <f t="shared" si="38"/>
        <v/>
      </c>
      <c r="BF78" t="str">
        <f t="shared" si="39"/>
        <v/>
      </c>
      <c r="BG78" t="str">
        <f t="shared" si="40"/>
        <v/>
      </c>
      <c r="BH78" t="str">
        <f>IFERROR(IF(OR($C78="",ANAGRAFICA!$I75="",ANAGRAFICA!$J75="",ANAGRAFICA!$J75&lt;=ANAGRAFICA!$I75,$Y78=""),"",IF(OR($I78="Finito ritenute non previste",$I78="Finito con sblocco ritenute",$I78="Finito senza sblocco ritenute"),1,MAX(0,MIN(1,($Y78-ANAGRAFICA!$I75)/(ANAGRAFICA!$J75-ANAGRAFICA!$I75))))),"")</f>
        <v/>
      </c>
      <c r="BI78" t="str">
        <f t="shared" si="41"/>
        <v/>
      </c>
      <c r="BJ78" t="str">
        <f>IFERROR(IF($C78="","",'BUDGET COMMESSA'!$D75),"")</f>
        <v/>
      </c>
      <c r="BK78" t="str">
        <f>IF($C78="","",SUMIF('MOVIMENTI 2026'!$B$7:$B$4206,$C78,'MOVIMENTI 2026'!$N$7:$N$4206)+SUMIF('SALDI AL 31.12.2025'!$A$6:$A$505,$C78,'SALDI AL 31.12.2025'!$H$6:$H$505))</f>
        <v/>
      </c>
      <c r="BL78" t="str">
        <f t="shared" si="42"/>
        <v/>
      </c>
      <c r="BM78" t="str">
        <f t="shared" si="43"/>
        <v/>
      </c>
      <c r="BN78" t="str">
        <f t="shared" si="44"/>
        <v/>
      </c>
      <c r="BO78" t="str">
        <f>IFERROR(IF($C78="","",'BUDGET COMMESSA'!$G75),"")</f>
        <v/>
      </c>
      <c r="BP78" t="str">
        <f>IF($C78="","",SUMIF('COSTI DIRETTI'!$C$6:$C$505,$C78,'COSTI DIRETTI'!$H$6:$H$505)+SUMIF('SALDI AL 31.12.2025'!$A$6:$A$505,$C78,'SALDI AL 31.12.2025'!$I$6:$I$505))</f>
        <v/>
      </c>
      <c r="BQ78" t="str">
        <f t="shared" si="45"/>
        <v/>
      </c>
      <c r="BR78" t="str">
        <f t="shared" si="46"/>
        <v/>
      </c>
      <c r="BS78" t="str">
        <f>IF($C78="","",$BK78*PARAMETRI!$B$4+$BP78)</f>
        <v/>
      </c>
      <c r="BT78">
        <f t="shared" si="47"/>
        <v>0</v>
      </c>
      <c r="BU78">
        <f t="shared" si="48"/>
        <v>0</v>
      </c>
      <c r="BV78" t="str">
        <f>IF($C78="","",SUMIF('MOVIMENTI 2026'!$B$7:$B$4206,$C78,'MOVIMENTI 2026'!$P$7:$P$4206)+SUMIF('SALDI AL 31.12.2025'!$A$6:$A$505,$C78,'SALDI AL 31.12.2025'!$G$6:$G$505))</f>
        <v/>
      </c>
    </row>
    <row r="79" spans="1:74" ht="16" x14ac:dyDescent="0.15">
      <c r="A79" s="17" t="str">
        <f>IFERROR(IF($C79="","",IF(OR($BF79&gt;0,$V79&gt;$J79,AND(ISNUMBER($Q79),$Q79&gt;0),AND($BI79&lt;&gt;"",$BI79&lt;-PARAMETRI!$B$6),AND($BM79&lt;&gt;"",$BM79&gt;=1),AND($BN79&lt;&gt;"",$BN79&gt;PARAMETRI!$B$8),AND(ISNUMBER($BR79),$BR79&gt;0)),"CRITICO",IF(OR($AZ79="",LEFT($C79,5)="TEMP",$BJ79="",$BO79="",ANAGRAFICA!$I76="",ANAGRAFICA!$J76="",$Y79="",AND(OR($I79="Finito ritenute non previste",$I79="Finito con sblocco ritenute",$I79="Finito senza sblocco ritenute"),ANAGRAFICA!$K76=""),OR(AND(ANAGRAFICA!$T76&lt;&gt;"",ANAGRAFICA!$J76&lt;&gt;ANAGRAFICA!$T76,OR(ANAGRAFICA!$R76="",ANAGRAFICA!$R76="Nessuna variazione")),AND(ANAGRAFICA!$J76="",ANAGRAFICA!$R76&lt;&gt;"",ANAGRAFICA!$R76&lt;&gt;"Nessuna variazione")),AND($BI79&lt;&gt;"",$BI79&lt;-PARAMETRI!$B$5),AND($BN79&lt;&gt;"",$BN79&gt;PARAMETRI!$B$7),AND($W79&gt;0,$M79&gt;$W79*PARAMETRI!$B$9),AND($O79&gt;0,OR($I79="Finito ritenute non previste",$I79="Finito con sblocco ritenute",$I79="Finito senza sblocco ritenute")),AND($BA79&gt;0,$BO79&gt;0,$BP79=0),AND(OR($I79="Finito ritenute non previste",$I79="Finito con sblocco ritenute",$I79="Finito senza sblocco ritenute"),$W79&gt;0,$N79&gt;$W79*PARAMETRI!$B$9),$V79&gt;0),"ATTENZIONE","REGOLARE"))),"ATTENZIONE")</f>
        <v/>
      </c>
      <c r="B79" s="17" t="str">
        <f>IFERROR(IF($C79="","",IF($BF79&gt;0,"FATTURATO OLTRE VALORE RECUPERABILE; ","")&amp;IF($V79&gt;$J79,"PERDITE ACCETTATE OLTRE CONTRATTO; ","")&amp;IF($V79&gt;0,"PERDITA SAL ACCETTATA (€ "&amp;TEXT($V79,"#,##0.00")&amp;"); ","")&amp;IF(AND(ISNUMBER($Q79),$Q79&gt;0),"RITARDO PRODUTTIVO ("&amp;TEXT($Q79,"0")&amp;" GG); ","")&amp;IF(AND($BI79&lt;&gt;"",$BI79&lt;-PARAMETRI!$B$5),"AVANZAMENTO PIÙ LENTO DEL TEMPO; ","")&amp;IF(AND($BM79&lt;&gt;"",$BM79&gt;1),"ORE OLTRE BUDGET; ","")&amp;IF(AND($BM79&lt;&gt;"",$BM79=1),"ORE PREVENTIVATE ESAURITE; ","")&amp;IF(AND($BN79&lt;&gt;"",$BN79&gt;PARAMETRI!$B$7),"CONSUMO ORE SUPERIORE ALL'AVANZAMENTO; ","")&amp;IF(AND(ISNUMBER($BR79),$BR79&gt;0),"COSTI DIRETTI OLTRE BUDGET; ","")&amp;IF(AND($W79&gt;0,$M79&gt;$W79*PARAMETRI!$B$9),"SAL MATURATO NON FATTURATO; ","")&amp;IF(AND($O79&gt;0,OR($I79="Finito ritenute non previste",$I79="Finito con sblocco ritenute",$I79="Finito senza sblocco ritenute")),"RITENUTE DA SBLOCCARE; ","")&amp;IF(AND($BA79&gt;0,$BO79&gt;0,$BP79=0),"COSTI DIRETTI NON REGISTRATI; ","")&amp;IF(AND(OR($I79="Finito ritenute non previste",$I79="Finito con sblocco ritenute",$I79="Finito senza sblocco ritenute"),$W79&gt;0,$N79&gt;$W79*PARAMETRI!$B$9),"CANTIERE FINITO CON RESIDUO LAVORI; ","")&amp;IF(AND(OR($I79="Finito ritenute non previste",$I79="Finito con sblocco ritenute",$I79="Finito senza sblocco ritenute"),ANAGRAFICA!$K76=""),"DATA FINE EFFETTIVA MANCANTE; ","")&amp;IF(OR(AND(ANAGRAFICA!$T76&lt;&gt;"",ANAGRAFICA!$J76&lt;&gt;ANAGRAFICA!$T76,OR(ANAGRAFICA!$R76="",ANAGRAFICA!$R76="Nessuna variazione")),AND(ANAGRAFICA!$J76="",ANAGRAFICA!$R76&lt;&gt;"",ANAGRAFICA!$R76&lt;&gt;"Nessuna variazione")),"GESTIONE DATA FINE INCOMPLETA; ","")&amp;IF($Y79="","AGGIORNATO AL MANCANTE; ","")&amp;IF(OR($AZ79="",$BJ79="",$BO79="",ANAGRAFICA!$I76="",ANAGRAFICA!$J76=""),"DATI PREVISIONALI INCOMPLETI; ","")&amp;IF(LEFT($C79,5)="TEMP","CODICE COMMESSA TEMPORANEO; ","")),"DATI INCOMPLETI; ")</f>
        <v/>
      </c>
      <c r="C79" s="17" t="str">
        <f>IF(ANAGRAFICA!$B76="","",ANAGRAFICA!$B76)</f>
        <v/>
      </c>
      <c r="D79" s="17" t="str">
        <f>IF($C79="","",ANAGRAFICA!$C76)</f>
        <v/>
      </c>
      <c r="E79" s="17" t="str">
        <f>IF($C79="","",ANAGRAFICA!$D76)</f>
        <v/>
      </c>
      <c r="F79" s="17" t="str">
        <f>IF($C79="","",ANAGRAFICA!$E76)</f>
        <v/>
      </c>
      <c r="G79" s="17" t="str">
        <f>IF($C79="","",ANAGRAFICA!$F76)</f>
        <v/>
      </c>
      <c r="H79" s="17" t="str">
        <f>IF($C79="","",ANAGRAFICA!$G76)</f>
        <v/>
      </c>
      <c r="I79" s="17" t="str">
        <f>IF($C79="","",ANAGRAFICA!$L76)</f>
        <v/>
      </c>
      <c r="J79" s="16" t="str">
        <f t="shared" si="25"/>
        <v/>
      </c>
      <c r="K79" s="16" t="str">
        <f t="shared" si="26"/>
        <v/>
      </c>
      <c r="L79" s="16" t="str">
        <f t="shared" si="27"/>
        <v/>
      </c>
      <c r="M79" s="16" t="str">
        <f t="shared" si="28"/>
        <v/>
      </c>
      <c r="N79" s="16" t="str">
        <f t="shared" si="29"/>
        <v/>
      </c>
      <c r="O79" s="16" t="str">
        <f t="shared" si="30"/>
        <v/>
      </c>
      <c r="P79" s="17" t="str">
        <f t="shared" si="31"/>
        <v/>
      </c>
      <c r="Q79" s="31" t="str">
        <f>IF(OR($C79="",'BUDGET COMMESSA'!$D76="",'BUDGET COMMESSA'!$D76&lt;=0,ANAGRAFICA!$J76=""),"",IF(OR($I79="Finito ritenute non previste",$I79="Finito con sblocco ritenute",$I79="Finito senza sblocco ritenute"),0,IF(AND($BK79&gt;=$BJ79,ANAGRAFICA!$R76="Ritardo produttivo FIDA"),IF(ANAGRAFICA!$T76&lt;&gt;"",MAX(0,ANAGRAFICA!$J76-ANAGRAFICA!$T76),MAX(0,$Y79-ANAGRAFICA!$J76)),0)))</f>
        <v/>
      </c>
      <c r="R79" s="17" t="str">
        <f t="shared" si="32"/>
        <v/>
      </c>
      <c r="S79" s="17" t="str">
        <f t="shared" si="33"/>
        <v/>
      </c>
      <c r="T79" s="17" t="str">
        <f t="shared" si="34"/>
        <v/>
      </c>
      <c r="U79" s="16" t="str">
        <f t="shared" si="35"/>
        <v/>
      </c>
      <c r="V79" s="16" t="str">
        <f t="shared" si="36"/>
        <v/>
      </c>
      <c r="W79" s="16" t="str">
        <f t="shared" si="37"/>
        <v/>
      </c>
      <c r="X79" s="40"/>
      <c r="Y79" s="14"/>
      <c r="AZ79" t="str">
        <f>IF($C79="","",ANAGRAFICA!$P76)</f>
        <v/>
      </c>
      <c r="BA79" t="str">
        <f>IF($C79="","",SUMIF('MOVIMENTI 2026'!$B$7:$B$4206,$C79,'MOVIMENTI 2026'!$I$7:$I$4206)+SUMIF('SALDI AL 31.12.2025'!$A$6:$A$505,$C79,'SALDI AL 31.12.2025'!$C$6:$C$505))</f>
        <v/>
      </c>
      <c r="BB79" t="str">
        <f>IF($C79="","",SUMIF('MOVIMENTI 2026'!$B$7:$B$4206,$C79,'MOVIMENTI 2026'!$J$7:$J$4206)+SUMIF('SALDI AL 31.12.2025'!$A$6:$A$505,$C79,'SALDI AL 31.12.2025'!$D$6:$D$505))</f>
        <v/>
      </c>
      <c r="BC79" t="str">
        <f>IF($C79="","",SUMIF('MOVIMENTI 2026'!$B$7:$B$4206,$C79,'MOVIMENTI 2026'!$K$7:$K$4206)+SUMIF('SALDI AL 31.12.2025'!$A$6:$A$505,$C79,'SALDI AL 31.12.2025'!$E$6:$E$505))</f>
        <v/>
      </c>
      <c r="BD79" t="str">
        <f>IF($C79="","",SUMIF('MOVIMENTI 2026'!$B$7:$B$4206,$C79,'MOVIMENTI 2026'!$L$7:$L$4206)+SUMIF('SALDI AL 31.12.2025'!$A$6:$A$505,$C79,'SALDI AL 31.12.2025'!$F$6:$F$505))</f>
        <v/>
      </c>
      <c r="BE79" t="str">
        <f t="shared" si="38"/>
        <v/>
      </c>
      <c r="BF79" t="str">
        <f t="shared" si="39"/>
        <v/>
      </c>
      <c r="BG79" t="str">
        <f t="shared" si="40"/>
        <v/>
      </c>
      <c r="BH79" t="str">
        <f>IFERROR(IF(OR($C79="",ANAGRAFICA!$I76="",ANAGRAFICA!$J76="",ANAGRAFICA!$J76&lt;=ANAGRAFICA!$I76,$Y79=""),"",IF(OR($I79="Finito ritenute non previste",$I79="Finito con sblocco ritenute",$I79="Finito senza sblocco ritenute"),1,MAX(0,MIN(1,($Y79-ANAGRAFICA!$I76)/(ANAGRAFICA!$J76-ANAGRAFICA!$I76))))),"")</f>
        <v/>
      </c>
      <c r="BI79" t="str">
        <f t="shared" si="41"/>
        <v/>
      </c>
      <c r="BJ79" t="str">
        <f>IFERROR(IF($C79="","",'BUDGET COMMESSA'!$D76),"")</f>
        <v/>
      </c>
      <c r="BK79" t="str">
        <f>IF($C79="","",SUMIF('MOVIMENTI 2026'!$B$7:$B$4206,$C79,'MOVIMENTI 2026'!$N$7:$N$4206)+SUMIF('SALDI AL 31.12.2025'!$A$6:$A$505,$C79,'SALDI AL 31.12.2025'!$H$6:$H$505))</f>
        <v/>
      </c>
      <c r="BL79" t="str">
        <f t="shared" si="42"/>
        <v/>
      </c>
      <c r="BM79" t="str">
        <f t="shared" si="43"/>
        <v/>
      </c>
      <c r="BN79" t="str">
        <f t="shared" si="44"/>
        <v/>
      </c>
      <c r="BO79" t="str">
        <f>IFERROR(IF($C79="","",'BUDGET COMMESSA'!$G76),"")</f>
        <v/>
      </c>
      <c r="BP79" t="str">
        <f>IF($C79="","",SUMIF('COSTI DIRETTI'!$C$6:$C$505,$C79,'COSTI DIRETTI'!$H$6:$H$505)+SUMIF('SALDI AL 31.12.2025'!$A$6:$A$505,$C79,'SALDI AL 31.12.2025'!$I$6:$I$505))</f>
        <v/>
      </c>
      <c r="BQ79" t="str">
        <f t="shared" si="45"/>
        <v/>
      </c>
      <c r="BR79" t="str">
        <f t="shared" si="46"/>
        <v/>
      </c>
      <c r="BS79" t="str">
        <f>IF($C79="","",$BK79*PARAMETRI!$B$4+$BP79)</f>
        <v/>
      </c>
      <c r="BT79">
        <f t="shared" si="47"/>
        <v>0</v>
      </c>
      <c r="BU79">
        <f t="shared" si="48"/>
        <v>0</v>
      </c>
      <c r="BV79" t="str">
        <f>IF($C79="","",SUMIF('MOVIMENTI 2026'!$B$7:$B$4206,$C79,'MOVIMENTI 2026'!$P$7:$P$4206)+SUMIF('SALDI AL 31.12.2025'!$A$6:$A$505,$C79,'SALDI AL 31.12.2025'!$G$6:$G$505))</f>
        <v/>
      </c>
    </row>
    <row r="80" spans="1:74" ht="16" x14ac:dyDescent="0.15">
      <c r="A80" s="17" t="str">
        <f>IFERROR(IF($C80="","",IF(OR($BF80&gt;0,$V80&gt;$J80,AND(ISNUMBER($Q80),$Q80&gt;0),AND($BI80&lt;&gt;"",$BI80&lt;-PARAMETRI!$B$6),AND($BM80&lt;&gt;"",$BM80&gt;=1),AND($BN80&lt;&gt;"",$BN80&gt;PARAMETRI!$B$8),AND(ISNUMBER($BR80),$BR80&gt;0)),"CRITICO",IF(OR($AZ80="",LEFT($C80,5)="TEMP",$BJ80="",$BO80="",ANAGRAFICA!$I77="",ANAGRAFICA!$J77="",$Y80="",AND(OR($I80="Finito ritenute non previste",$I80="Finito con sblocco ritenute",$I80="Finito senza sblocco ritenute"),ANAGRAFICA!$K77=""),OR(AND(ANAGRAFICA!$T77&lt;&gt;"",ANAGRAFICA!$J77&lt;&gt;ANAGRAFICA!$T77,OR(ANAGRAFICA!$R77="",ANAGRAFICA!$R77="Nessuna variazione")),AND(ANAGRAFICA!$J77="",ANAGRAFICA!$R77&lt;&gt;"",ANAGRAFICA!$R77&lt;&gt;"Nessuna variazione")),AND($BI80&lt;&gt;"",$BI80&lt;-PARAMETRI!$B$5),AND($BN80&lt;&gt;"",$BN80&gt;PARAMETRI!$B$7),AND($W80&gt;0,$M80&gt;$W80*PARAMETRI!$B$9),AND($O80&gt;0,OR($I80="Finito ritenute non previste",$I80="Finito con sblocco ritenute",$I80="Finito senza sblocco ritenute")),AND($BA80&gt;0,$BO80&gt;0,$BP80=0),AND(OR($I80="Finito ritenute non previste",$I80="Finito con sblocco ritenute",$I80="Finito senza sblocco ritenute"),$W80&gt;0,$N80&gt;$W80*PARAMETRI!$B$9),$V80&gt;0),"ATTENZIONE","REGOLARE"))),"ATTENZIONE")</f>
        <v/>
      </c>
      <c r="B80" s="17" t="str">
        <f>IFERROR(IF($C80="","",IF($BF80&gt;0,"FATTURATO OLTRE VALORE RECUPERABILE; ","")&amp;IF($V80&gt;$J80,"PERDITE ACCETTATE OLTRE CONTRATTO; ","")&amp;IF($V80&gt;0,"PERDITA SAL ACCETTATA (€ "&amp;TEXT($V80,"#,##0.00")&amp;"); ","")&amp;IF(AND(ISNUMBER($Q80),$Q80&gt;0),"RITARDO PRODUTTIVO ("&amp;TEXT($Q80,"0")&amp;" GG); ","")&amp;IF(AND($BI80&lt;&gt;"",$BI80&lt;-PARAMETRI!$B$5),"AVANZAMENTO PIÙ LENTO DEL TEMPO; ","")&amp;IF(AND($BM80&lt;&gt;"",$BM80&gt;1),"ORE OLTRE BUDGET; ","")&amp;IF(AND($BM80&lt;&gt;"",$BM80=1),"ORE PREVENTIVATE ESAURITE; ","")&amp;IF(AND($BN80&lt;&gt;"",$BN80&gt;PARAMETRI!$B$7),"CONSUMO ORE SUPERIORE ALL'AVANZAMENTO; ","")&amp;IF(AND(ISNUMBER($BR80),$BR80&gt;0),"COSTI DIRETTI OLTRE BUDGET; ","")&amp;IF(AND($W80&gt;0,$M80&gt;$W80*PARAMETRI!$B$9),"SAL MATURATO NON FATTURATO; ","")&amp;IF(AND($O80&gt;0,OR($I80="Finito ritenute non previste",$I80="Finito con sblocco ritenute",$I80="Finito senza sblocco ritenute")),"RITENUTE DA SBLOCCARE; ","")&amp;IF(AND($BA80&gt;0,$BO80&gt;0,$BP80=0),"COSTI DIRETTI NON REGISTRATI; ","")&amp;IF(AND(OR($I80="Finito ritenute non previste",$I80="Finito con sblocco ritenute",$I80="Finito senza sblocco ritenute"),$W80&gt;0,$N80&gt;$W80*PARAMETRI!$B$9),"CANTIERE FINITO CON RESIDUO LAVORI; ","")&amp;IF(AND(OR($I80="Finito ritenute non previste",$I80="Finito con sblocco ritenute",$I80="Finito senza sblocco ritenute"),ANAGRAFICA!$K77=""),"DATA FINE EFFETTIVA MANCANTE; ","")&amp;IF(OR(AND(ANAGRAFICA!$T77&lt;&gt;"",ANAGRAFICA!$J77&lt;&gt;ANAGRAFICA!$T77,OR(ANAGRAFICA!$R77="",ANAGRAFICA!$R77="Nessuna variazione")),AND(ANAGRAFICA!$J77="",ANAGRAFICA!$R77&lt;&gt;"",ANAGRAFICA!$R77&lt;&gt;"Nessuna variazione")),"GESTIONE DATA FINE INCOMPLETA; ","")&amp;IF($Y80="","AGGIORNATO AL MANCANTE; ","")&amp;IF(OR($AZ80="",$BJ80="",$BO80="",ANAGRAFICA!$I77="",ANAGRAFICA!$J77=""),"DATI PREVISIONALI INCOMPLETI; ","")&amp;IF(LEFT($C80,5)="TEMP","CODICE COMMESSA TEMPORANEO; ","")),"DATI INCOMPLETI; ")</f>
        <v/>
      </c>
      <c r="C80" s="17" t="str">
        <f>IF(ANAGRAFICA!$B77="","",ANAGRAFICA!$B77)</f>
        <v/>
      </c>
      <c r="D80" s="17" t="str">
        <f>IF($C80="","",ANAGRAFICA!$C77)</f>
        <v/>
      </c>
      <c r="E80" s="17" t="str">
        <f>IF($C80="","",ANAGRAFICA!$D77)</f>
        <v/>
      </c>
      <c r="F80" s="17" t="str">
        <f>IF($C80="","",ANAGRAFICA!$E77)</f>
        <v/>
      </c>
      <c r="G80" s="17" t="str">
        <f>IF($C80="","",ANAGRAFICA!$F77)</f>
        <v/>
      </c>
      <c r="H80" s="17" t="str">
        <f>IF($C80="","",ANAGRAFICA!$G77)</f>
        <v/>
      </c>
      <c r="I80" s="17" t="str">
        <f>IF($C80="","",ANAGRAFICA!$L77)</f>
        <v/>
      </c>
      <c r="J80" s="16" t="str">
        <f t="shared" si="25"/>
        <v/>
      </c>
      <c r="K80" s="16" t="str">
        <f t="shared" si="26"/>
        <v/>
      </c>
      <c r="L80" s="16" t="str">
        <f t="shared" si="27"/>
        <v/>
      </c>
      <c r="M80" s="16" t="str">
        <f t="shared" si="28"/>
        <v/>
      </c>
      <c r="N80" s="16" t="str">
        <f t="shared" si="29"/>
        <v/>
      </c>
      <c r="O80" s="16" t="str">
        <f t="shared" si="30"/>
        <v/>
      </c>
      <c r="P80" s="17" t="str">
        <f t="shared" si="31"/>
        <v/>
      </c>
      <c r="Q80" s="31" t="str">
        <f>IF(OR($C80="",'BUDGET COMMESSA'!$D77="",'BUDGET COMMESSA'!$D77&lt;=0,ANAGRAFICA!$J77=""),"",IF(OR($I80="Finito ritenute non previste",$I80="Finito con sblocco ritenute",$I80="Finito senza sblocco ritenute"),0,IF(AND($BK80&gt;=$BJ80,ANAGRAFICA!$R77="Ritardo produttivo FIDA"),IF(ANAGRAFICA!$T77&lt;&gt;"",MAX(0,ANAGRAFICA!$J77-ANAGRAFICA!$T77),MAX(0,$Y80-ANAGRAFICA!$J77)),0)))</f>
        <v/>
      </c>
      <c r="R80" s="17" t="str">
        <f t="shared" si="32"/>
        <v/>
      </c>
      <c r="S80" s="17" t="str">
        <f t="shared" si="33"/>
        <v/>
      </c>
      <c r="T80" s="17" t="str">
        <f t="shared" si="34"/>
        <v/>
      </c>
      <c r="U80" s="16" t="str">
        <f t="shared" si="35"/>
        <v/>
      </c>
      <c r="V80" s="16" t="str">
        <f t="shared" si="36"/>
        <v/>
      </c>
      <c r="W80" s="16" t="str">
        <f t="shared" si="37"/>
        <v/>
      </c>
      <c r="X80" s="40"/>
      <c r="Y80" s="14"/>
      <c r="AZ80" t="str">
        <f>IF($C80="","",ANAGRAFICA!$P77)</f>
        <v/>
      </c>
      <c r="BA80" t="str">
        <f>IF($C80="","",SUMIF('MOVIMENTI 2026'!$B$7:$B$4206,$C80,'MOVIMENTI 2026'!$I$7:$I$4206)+SUMIF('SALDI AL 31.12.2025'!$A$6:$A$505,$C80,'SALDI AL 31.12.2025'!$C$6:$C$505))</f>
        <v/>
      </c>
      <c r="BB80" t="str">
        <f>IF($C80="","",SUMIF('MOVIMENTI 2026'!$B$7:$B$4206,$C80,'MOVIMENTI 2026'!$J$7:$J$4206)+SUMIF('SALDI AL 31.12.2025'!$A$6:$A$505,$C80,'SALDI AL 31.12.2025'!$D$6:$D$505))</f>
        <v/>
      </c>
      <c r="BC80" t="str">
        <f>IF($C80="","",SUMIF('MOVIMENTI 2026'!$B$7:$B$4206,$C80,'MOVIMENTI 2026'!$K$7:$K$4206)+SUMIF('SALDI AL 31.12.2025'!$A$6:$A$505,$C80,'SALDI AL 31.12.2025'!$E$6:$E$505))</f>
        <v/>
      </c>
      <c r="BD80" t="str">
        <f>IF($C80="","",SUMIF('MOVIMENTI 2026'!$B$7:$B$4206,$C80,'MOVIMENTI 2026'!$L$7:$L$4206)+SUMIF('SALDI AL 31.12.2025'!$A$6:$A$505,$C80,'SALDI AL 31.12.2025'!$F$6:$F$505))</f>
        <v/>
      </c>
      <c r="BE80" t="str">
        <f t="shared" si="38"/>
        <v/>
      </c>
      <c r="BF80" t="str">
        <f t="shared" si="39"/>
        <v/>
      </c>
      <c r="BG80" t="str">
        <f t="shared" si="40"/>
        <v/>
      </c>
      <c r="BH80" t="str">
        <f>IFERROR(IF(OR($C80="",ANAGRAFICA!$I77="",ANAGRAFICA!$J77="",ANAGRAFICA!$J77&lt;=ANAGRAFICA!$I77,$Y80=""),"",IF(OR($I80="Finito ritenute non previste",$I80="Finito con sblocco ritenute",$I80="Finito senza sblocco ritenute"),1,MAX(0,MIN(1,($Y80-ANAGRAFICA!$I77)/(ANAGRAFICA!$J77-ANAGRAFICA!$I77))))),"")</f>
        <v/>
      </c>
      <c r="BI80" t="str">
        <f t="shared" si="41"/>
        <v/>
      </c>
      <c r="BJ80" t="str">
        <f>IFERROR(IF($C80="","",'BUDGET COMMESSA'!$D77),"")</f>
        <v/>
      </c>
      <c r="BK80" t="str">
        <f>IF($C80="","",SUMIF('MOVIMENTI 2026'!$B$7:$B$4206,$C80,'MOVIMENTI 2026'!$N$7:$N$4206)+SUMIF('SALDI AL 31.12.2025'!$A$6:$A$505,$C80,'SALDI AL 31.12.2025'!$H$6:$H$505))</f>
        <v/>
      </c>
      <c r="BL80" t="str">
        <f t="shared" si="42"/>
        <v/>
      </c>
      <c r="BM80" t="str">
        <f t="shared" si="43"/>
        <v/>
      </c>
      <c r="BN80" t="str">
        <f t="shared" si="44"/>
        <v/>
      </c>
      <c r="BO80" t="str">
        <f>IFERROR(IF($C80="","",'BUDGET COMMESSA'!$G77),"")</f>
        <v/>
      </c>
      <c r="BP80" t="str">
        <f>IF($C80="","",SUMIF('COSTI DIRETTI'!$C$6:$C$505,$C80,'COSTI DIRETTI'!$H$6:$H$505)+SUMIF('SALDI AL 31.12.2025'!$A$6:$A$505,$C80,'SALDI AL 31.12.2025'!$I$6:$I$505))</f>
        <v/>
      </c>
      <c r="BQ80" t="str">
        <f t="shared" si="45"/>
        <v/>
      </c>
      <c r="BR80" t="str">
        <f t="shared" si="46"/>
        <v/>
      </c>
      <c r="BS80" t="str">
        <f>IF($C80="","",$BK80*PARAMETRI!$B$4+$BP80)</f>
        <v/>
      </c>
      <c r="BT80">
        <f t="shared" si="47"/>
        <v>0</v>
      </c>
      <c r="BU80">
        <f t="shared" si="48"/>
        <v>0</v>
      </c>
      <c r="BV80" t="str">
        <f>IF($C80="","",SUMIF('MOVIMENTI 2026'!$B$7:$B$4206,$C80,'MOVIMENTI 2026'!$P$7:$P$4206)+SUMIF('SALDI AL 31.12.2025'!$A$6:$A$505,$C80,'SALDI AL 31.12.2025'!$G$6:$G$505))</f>
        <v/>
      </c>
    </row>
    <row r="81" spans="1:74" ht="16" x14ac:dyDescent="0.15">
      <c r="A81" s="17" t="str">
        <f>IFERROR(IF($C81="","",IF(OR($BF81&gt;0,$V81&gt;$J81,AND(ISNUMBER($Q81),$Q81&gt;0),AND($BI81&lt;&gt;"",$BI81&lt;-PARAMETRI!$B$6),AND($BM81&lt;&gt;"",$BM81&gt;=1),AND($BN81&lt;&gt;"",$BN81&gt;PARAMETRI!$B$8),AND(ISNUMBER($BR81),$BR81&gt;0)),"CRITICO",IF(OR($AZ81="",LEFT($C81,5)="TEMP",$BJ81="",$BO81="",ANAGRAFICA!$I78="",ANAGRAFICA!$J78="",$Y81="",AND(OR($I81="Finito ritenute non previste",$I81="Finito con sblocco ritenute",$I81="Finito senza sblocco ritenute"),ANAGRAFICA!$K78=""),OR(AND(ANAGRAFICA!$T78&lt;&gt;"",ANAGRAFICA!$J78&lt;&gt;ANAGRAFICA!$T78,OR(ANAGRAFICA!$R78="",ANAGRAFICA!$R78="Nessuna variazione")),AND(ANAGRAFICA!$J78="",ANAGRAFICA!$R78&lt;&gt;"",ANAGRAFICA!$R78&lt;&gt;"Nessuna variazione")),AND($BI81&lt;&gt;"",$BI81&lt;-PARAMETRI!$B$5),AND($BN81&lt;&gt;"",$BN81&gt;PARAMETRI!$B$7),AND($W81&gt;0,$M81&gt;$W81*PARAMETRI!$B$9),AND($O81&gt;0,OR($I81="Finito ritenute non previste",$I81="Finito con sblocco ritenute",$I81="Finito senza sblocco ritenute")),AND($BA81&gt;0,$BO81&gt;0,$BP81=0),AND(OR($I81="Finito ritenute non previste",$I81="Finito con sblocco ritenute",$I81="Finito senza sblocco ritenute"),$W81&gt;0,$N81&gt;$W81*PARAMETRI!$B$9),$V81&gt;0),"ATTENZIONE","REGOLARE"))),"ATTENZIONE")</f>
        <v/>
      </c>
      <c r="B81" s="17" t="str">
        <f>IFERROR(IF($C81="","",IF($BF81&gt;0,"FATTURATO OLTRE VALORE RECUPERABILE; ","")&amp;IF($V81&gt;$J81,"PERDITE ACCETTATE OLTRE CONTRATTO; ","")&amp;IF($V81&gt;0,"PERDITA SAL ACCETTATA (€ "&amp;TEXT($V81,"#,##0.00")&amp;"); ","")&amp;IF(AND(ISNUMBER($Q81),$Q81&gt;0),"RITARDO PRODUTTIVO ("&amp;TEXT($Q81,"0")&amp;" GG); ","")&amp;IF(AND($BI81&lt;&gt;"",$BI81&lt;-PARAMETRI!$B$5),"AVANZAMENTO PIÙ LENTO DEL TEMPO; ","")&amp;IF(AND($BM81&lt;&gt;"",$BM81&gt;1),"ORE OLTRE BUDGET; ","")&amp;IF(AND($BM81&lt;&gt;"",$BM81=1),"ORE PREVENTIVATE ESAURITE; ","")&amp;IF(AND($BN81&lt;&gt;"",$BN81&gt;PARAMETRI!$B$7),"CONSUMO ORE SUPERIORE ALL'AVANZAMENTO; ","")&amp;IF(AND(ISNUMBER($BR81),$BR81&gt;0),"COSTI DIRETTI OLTRE BUDGET; ","")&amp;IF(AND($W81&gt;0,$M81&gt;$W81*PARAMETRI!$B$9),"SAL MATURATO NON FATTURATO; ","")&amp;IF(AND($O81&gt;0,OR($I81="Finito ritenute non previste",$I81="Finito con sblocco ritenute",$I81="Finito senza sblocco ritenute")),"RITENUTE DA SBLOCCARE; ","")&amp;IF(AND($BA81&gt;0,$BO81&gt;0,$BP81=0),"COSTI DIRETTI NON REGISTRATI; ","")&amp;IF(AND(OR($I81="Finito ritenute non previste",$I81="Finito con sblocco ritenute",$I81="Finito senza sblocco ritenute"),$W81&gt;0,$N81&gt;$W81*PARAMETRI!$B$9),"CANTIERE FINITO CON RESIDUO LAVORI; ","")&amp;IF(AND(OR($I81="Finito ritenute non previste",$I81="Finito con sblocco ritenute",$I81="Finito senza sblocco ritenute"),ANAGRAFICA!$K78=""),"DATA FINE EFFETTIVA MANCANTE; ","")&amp;IF(OR(AND(ANAGRAFICA!$T78&lt;&gt;"",ANAGRAFICA!$J78&lt;&gt;ANAGRAFICA!$T78,OR(ANAGRAFICA!$R78="",ANAGRAFICA!$R78="Nessuna variazione")),AND(ANAGRAFICA!$J78="",ANAGRAFICA!$R78&lt;&gt;"",ANAGRAFICA!$R78&lt;&gt;"Nessuna variazione")),"GESTIONE DATA FINE INCOMPLETA; ","")&amp;IF($Y81="","AGGIORNATO AL MANCANTE; ","")&amp;IF(OR($AZ81="",$BJ81="",$BO81="",ANAGRAFICA!$I78="",ANAGRAFICA!$J78=""),"DATI PREVISIONALI INCOMPLETI; ","")&amp;IF(LEFT($C81,5)="TEMP","CODICE COMMESSA TEMPORANEO; ","")),"DATI INCOMPLETI; ")</f>
        <v/>
      </c>
      <c r="C81" s="17" t="str">
        <f>IF(ANAGRAFICA!$B78="","",ANAGRAFICA!$B78)</f>
        <v/>
      </c>
      <c r="D81" s="17" t="str">
        <f>IF($C81="","",ANAGRAFICA!$C78)</f>
        <v/>
      </c>
      <c r="E81" s="17" t="str">
        <f>IF($C81="","",ANAGRAFICA!$D78)</f>
        <v/>
      </c>
      <c r="F81" s="17" t="str">
        <f>IF($C81="","",ANAGRAFICA!$E78)</f>
        <v/>
      </c>
      <c r="G81" s="17" t="str">
        <f>IF($C81="","",ANAGRAFICA!$F78)</f>
        <v/>
      </c>
      <c r="H81" s="17" t="str">
        <f>IF($C81="","",ANAGRAFICA!$G78)</f>
        <v/>
      </c>
      <c r="I81" s="17" t="str">
        <f>IF($C81="","",ANAGRAFICA!$L78)</f>
        <v/>
      </c>
      <c r="J81" s="16" t="str">
        <f t="shared" si="25"/>
        <v/>
      </c>
      <c r="K81" s="16" t="str">
        <f t="shared" si="26"/>
        <v/>
      </c>
      <c r="L81" s="16" t="str">
        <f t="shared" si="27"/>
        <v/>
      </c>
      <c r="M81" s="16" t="str">
        <f t="shared" si="28"/>
        <v/>
      </c>
      <c r="N81" s="16" t="str">
        <f t="shared" si="29"/>
        <v/>
      </c>
      <c r="O81" s="16" t="str">
        <f t="shared" si="30"/>
        <v/>
      </c>
      <c r="P81" s="17" t="str">
        <f t="shared" si="31"/>
        <v/>
      </c>
      <c r="Q81" s="31" t="str">
        <f>IF(OR($C81="",'BUDGET COMMESSA'!$D78="",'BUDGET COMMESSA'!$D78&lt;=0,ANAGRAFICA!$J78=""),"",IF(OR($I81="Finito ritenute non previste",$I81="Finito con sblocco ritenute",$I81="Finito senza sblocco ritenute"),0,IF(AND($BK81&gt;=$BJ81,ANAGRAFICA!$R78="Ritardo produttivo FIDA"),IF(ANAGRAFICA!$T78&lt;&gt;"",MAX(0,ANAGRAFICA!$J78-ANAGRAFICA!$T78),MAX(0,$Y81-ANAGRAFICA!$J78)),0)))</f>
        <v/>
      </c>
      <c r="R81" s="17" t="str">
        <f t="shared" si="32"/>
        <v/>
      </c>
      <c r="S81" s="17" t="str">
        <f t="shared" si="33"/>
        <v/>
      </c>
      <c r="T81" s="17" t="str">
        <f t="shared" si="34"/>
        <v/>
      </c>
      <c r="U81" s="16" t="str">
        <f t="shared" si="35"/>
        <v/>
      </c>
      <c r="V81" s="16" t="str">
        <f t="shared" si="36"/>
        <v/>
      </c>
      <c r="W81" s="16" t="str">
        <f t="shared" si="37"/>
        <v/>
      </c>
      <c r="X81" s="40"/>
      <c r="Y81" s="14"/>
      <c r="AZ81" t="str">
        <f>IF($C81="","",ANAGRAFICA!$P78)</f>
        <v/>
      </c>
      <c r="BA81" t="str">
        <f>IF($C81="","",SUMIF('MOVIMENTI 2026'!$B$7:$B$4206,$C81,'MOVIMENTI 2026'!$I$7:$I$4206)+SUMIF('SALDI AL 31.12.2025'!$A$6:$A$505,$C81,'SALDI AL 31.12.2025'!$C$6:$C$505))</f>
        <v/>
      </c>
      <c r="BB81" t="str">
        <f>IF($C81="","",SUMIF('MOVIMENTI 2026'!$B$7:$B$4206,$C81,'MOVIMENTI 2026'!$J$7:$J$4206)+SUMIF('SALDI AL 31.12.2025'!$A$6:$A$505,$C81,'SALDI AL 31.12.2025'!$D$6:$D$505))</f>
        <v/>
      </c>
      <c r="BC81" t="str">
        <f>IF($C81="","",SUMIF('MOVIMENTI 2026'!$B$7:$B$4206,$C81,'MOVIMENTI 2026'!$K$7:$K$4206)+SUMIF('SALDI AL 31.12.2025'!$A$6:$A$505,$C81,'SALDI AL 31.12.2025'!$E$6:$E$505))</f>
        <v/>
      </c>
      <c r="BD81" t="str">
        <f>IF($C81="","",SUMIF('MOVIMENTI 2026'!$B$7:$B$4206,$C81,'MOVIMENTI 2026'!$L$7:$L$4206)+SUMIF('SALDI AL 31.12.2025'!$A$6:$A$505,$C81,'SALDI AL 31.12.2025'!$F$6:$F$505))</f>
        <v/>
      </c>
      <c r="BE81" t="str">
        <f t="shared" si="38"/>
        <v/>
      </c>
      <c r="BF81" t="str">
        <f t="shared" si="39"/>
        <v/>
      </c>
      <c r="BG81" t="str">
        <f t="shared" si="40"/>
        <v/>
      </c>
      <c r="BH81" t="str">
        <f>IFERROR(IF(OR($C81="",ANAGRAFICA!$I78="",ANAGRAFICA!$J78="",ANAGRAFICA!$J78&lt;=ANAGRAFICA!$I78,$Y81=""),"",IF(OR($I81="Finito ritenute non previste",$I81="Finito con sblocco ritenute",$I81="Finito senza sblocco ritenute"),1,MAX(0,MIN(1,($Y81-ANAGRAFICA!$I78)/(ANAGRAFICA!$J78-ANAGRAFICA!$I78))))),"")</f>
        <v/>
      </c>
      <c r="BI81" t="str">
        <f t="shared" si="41"/>
        <v/>
      </c>
      <c r="BJ81" t="str">
        <f>IFERROR(IF($C81="","",'BUDGET COMMESSA'!$D78),"")</f>
        <v/>
      </c>
      <c r="BK81" t="str">
        <f>IF($C81="","",SUMIF('MOVIMENTI 2026'!$B$7:$B$4206,$C81,'MOVIMENTI 2026'!$N$7:$N$4206)+SUMIF('SALDI AL 31.12.2025'!$A$6:$A$505,$C81,'SALDI AL 31.12.2025'!$H$6:$H$505))</f>
        <v/>
      </c>
      <c r="BL81" t="str">
        <f t="shared" si="42"/>
        <v/>
      </c>
      <c r="BM81" t="str">
        <f t="shared" si="43"/>
        <v/>
      </c>
      <c r="BN81" t="str">
        <f t="shared" si="44"/>
        <v/>
      </c>
      <c r="BO81" t="str">
        <f>IFERROR(IF($C81="","",'BUDGET COMMESSA'!$G78),"")</f>
        <v/>
      </c>
      <c r="BP81" t="str">
        <f>IF($C81="","",SUMIF('COSTI DIRETTI'!$C$6:$C$505,$C81,'COSTI DIRETTI'!$H$6:$H$505)+SUMIF('SALDI AL 31.12.2025'!$A$6:$A$505,$C81,'SALDI AL 31.12.2025'!$I$6:$I$505))</f>
        <v/>
      </c>
      <c r="BQ81" t="str">
        <f t="shared" si="45"/>
        <v/>
      </c>
      <c r="BR81" t="str">
        <f t="shared" si="46"/>
        <v/>
      </c>
      <c r="BS81" t="str">
        <f>IF($C81="","",$BK81*PARAMETRI!$B$4+$BP81)</f>
        <v/>
      </c>
      <c r="BT81">
        <f t="shared" si="47"/>
        <v>0</v>
      </c>
      <c r="BU81">
        <f t="shared" si="48"/>
        <v>0</v>
      </c>
      <c r="BV81" t="str">
        <f>IF($C81="","",SUMIF('MOVIMENTI 2026'!$B$7:$B$4206,$C81,'MOVIMENTI 2026'!$P$7:$P$4206)+SUMIF('SALDI AL 31.12.2025'!$A$6:$A$505,$C81,'SALDI AL 31.12.2025'!$G$6:$G$505))</f>
        <v/>
      </c>
    </row>
    <row r="82" spans="1:74" ht="16" x14ac:dyDescent="0.15">
      <c r="A82" s="17" t="str">
        <f>IFERROR(IF($C82="","",IF(OR($BF82&gt;0,$V82&gt;$J82,AND(ISNUMBER($Q82),$Q82&gt;0),AND($BI82&lt;&gt;"",$BI82&lt;-PARAMETRI!$B$6),AND($BM82&lt;&gt;"",$BM82&gt;=1),AND($BN82&lt;&gt;"",$BN82&gt;PARAMETRI!$B$8),AND(ISNUMBER($BR82),$BR82&gt;0)),"CRITICO",IF(OR($AZ82="",LEFT($C82,5)="TEMP",$BJ82="",$BO82="",ANAGRAFICA!$I79="",ANAGRAFICA!$J79="",$Y82="",AND(OR($I82="Finito ritenute non previste",$I82="Finito con sblocco ritenute",$I82="Finito senza sblocco ritenute"),ANAGRAFICA!$K79=""),OR(AND(ANAGRAFICA!$T79&lt;&gt;"",ANAGRAFICA!$J79&lt;&gt;ANAGRAFICA!$T79,OR(ANAGRAFICA!$R79="",ANAGRAFICA!$R79="Nessuna variazione")),AND(ANAGRAFICA!$J79="",ANAGRAFICA!$R79&lt;&gt;"",ANAGRAFICA!$R79&lt;&gt;"Nessuna variazione")),AND($BI82&lt;&gt;"",$BI82&lt;-PARAMETRI!$B$5),AND($BN82&lt;&gt;"",$BN82&gt;PARAMETRI!$B$7),AND($W82&gt;0,$M82&gt;$W82*PARAMETRI!$B$9),AND($O82&gt;0,OR($I82="Finito ritenute non previste",$I82="Finito con sblocco ritenute",$I82="Finito senza sblocco ritenute")),AND($BA82&gt;0,$BO82&gt;0,$BP82=0),AND(OR($I82="Finito ritenute non previste",$I82="Finito con sblocco ritenute",$I82="Finito senza sblocco ritenute"),$W82&gt;0,$N82&gt;$W82*PARAMETRI!$B$9),$V82&gt;0),"ATTENZIONE","REGOLARE"))),"ATTENZIONE")</f>
        <v/>
      </c>
      <c r="B82" s="17" t="str">
        <f>IFERROR(IF($C82="","",IF($BF82&gt;0,"FATTURATO OLTRE VALORE RECUPERABILE; ","")&amp;IF($V82&gt;$J82,"PERDITE ACCETTATE OLTRE CONTRATTO; ","")&amp;IF($V82&gt;0,"PERDITA SAL ACCETTATA (€ "&amp;TEXT($V82,"#,##0.00")&amp;"); ","")&amp;IF(AND(ISNUMBER($Q82),$Q82&gt;0),"RITARDO PRODUTTIVO ("&amp;TEXT($Q82,"0")&amp;" GG); ","")&amp;IF(AND($BI82&lt;&gt;"",$BI82&lt;-PARAMETRI!$B$5),"AVANZAMENTO PIÙ LENTO DEL TEMPO; ","")&amp;IF(AND($BM82&lt;&gt;"",$BM82&gt;1),"ORE OLTRE BUDGET; ","")&amp;IF(AND($BM82&lt;&gt;"",$BM82=1),"ORE PREVENTIVATE ESAURITE; ","")&amp;IF(AND($BN82&lt;&gt;"",$BN82&gt;PARAMETRI!$B$7),"CONSUMO ORE SUPERIORE ALL'AVANZAMENTO; ","")&amp;IF(AND(ISNUMBER($BR82),$BR82&gt;0),"COSTI DIRETTI OLTRE BUDGET; ","")&amp;IF(AND($W82&gt;0,$M82&gt;$W82*PARAMETRI!$B$9),"SAL MATURATO NON FATTURATO; ","")&amp;IF(AND($O82&gt;0,OR($I82="Finito ritenute non previste",$I82="Finito con sblocco ritenute",$I82="Finito senza sblocco ritenute")),"RITENUTE DA SBLOCCARE; ","")&amp;IF(AND($BA82&gt;0,$BO82&gt;0,$BP82=0),"COSTI DIRETTI NON REGISTRATI; ","")&amp;IF(AND(OR($I82="Finito ritenute non previste",$I82="Finito con sblocco ritenute",$I82="Finito senza sblocco ritenute"),$W82&gt;0,$N82&gt;$W82*PARAMETRI!$B$9),"CANTIERE FINITO CON RESIDUO LAVORI; ","")&amp;IF(AND(OR($I82="Finito ritenute non previste",$I82="Finito con sblocco ritenute",$I82="Finito senza sblocco ritenute"),ANAGRAFICA!$K79=""),"DATA FINE EFFETTIVA MANCANTE; ","")&amp;IF(OR(AND(ANAGRAFICA!$T79&lt;&gt;"",ANAGRAFICA!$J79&lt;&gt;ANAGRAFICA!$T79,OR(ANAGRAFICA!$R79="",ANAGRAFICA!$R79="Nessuna variazione")),AND(ANAGRAFICA!$J79="",ANAGRAFICA!$R79&lt;&gt;"",ANAGRAFICA!$R79&lt;&gt;"Nessuna variazione")),"GESTIONE DATA FINE INCOMPLETA; ","")&amp;IF($Y82="","AGGIORNATO AL MANCANTE; ","")&amp;IF(OR($AZ82="",$BJ82="",$BO82="",ANAGRAFICA!$I79="",ANAGRAFICA!$J79=""),"DATI PREVISIONALI INCOMPLETI; ","")&amp;IF(LEFT($C82,5)="TEMP","CODICE COMMESSA TEMPORANEO; ","")),"DATI INCOMPLETI; ")</f>
        <v/>
      </c>
      <c r="C82" s="17" t="str">
        <f>IF(ANAGRAFICA!$B79="","",ANAGRAFICA!$B79)</f>
        <v/>
      </c>
      <c r="D82" s="17" t="str">
        <f>IF($C82="","",ANAGRAFICA!$C79)</f>
        <v/>
      </c>
      <c r="E82" s="17" t="str">
        <f>IF($C82="","",ANAGRAFICA!$D79)</f>
        <v/>
      </c>
      <c r="F82" s="17" t="str">
        <f>IF($C82="","",ANAGRAFICA!$E79)</f>
        <v/>
      </c>
      <c r="G82" s="17" t="str">
        <f>IF($C82="","",ANAGRAFICA!$F79)</f>
        <v/>
      </c>
      <c r="H82" s="17" t="str">
        <f>IF($C82="","",ANAGRAFICA!$G79)</f>
        <v/>
      </c>
      <c r="I82" s="17" t="str">
        <f>IF($C82="","",ANAGRAFICA!$L79)</f>
        <v/>
      </c>
      <c r="J82" s="16" t="str">
        <f t="shared" si="25"/>
        <v/>
      </c>
      <c r="K82" s="16" t="str">
        <f t="shared" si="26"/>
        <v/>
      </c>
      <c r="L82" s="16" t="str">
        <f t="shared" si="27"/>
        <v/>
      </c>
      <c r="M82" s="16" t="str">
        <f t="shared" si="28"/>
        <v/>
      </c>
      <c r="N82" s="16" t="str">
        <f t="shared" si="29"/>
        <v/>
      </c>
      <c r="O82" s="16" t="str">
        <f t="shared" si="30"/>
        <v/>
      </c>
      <c r="P82" s="17" t="str">
        <f t="shared" si="31"/>
        <v/>
      </c>
      <c r="Q82" s="31" t="str">
        <f>IF(OR($C82="",'BUDGET COMMESSA'!$D79="",'BUDGET COMMESSA'!$D79&lt;=0,ANAGRAFICA!$J79=""),"",IF(OR($I82="Finito ritenute non previste",$I82="Finito con sblocco ritenute",$I82="Finito senza sblocco ritenute"),0,IF(AND($BK82&gt;=$BJ82,ANAGRAFICA!$R79="Ritardo produttivo FIDA"),IF(ANAGRAFICA!$T79&lt;&gt;"",MAX(0,ANAGRAFICA!$J79-ANAGRAFICA!$T79),MAX(0,$Y82-ANAGRAFICA!$J79)),0)))</f>
        <v/>
      </c>
      <c r="R82" s="17" t="str">
        <f t="shared" si="32"/>
        <v/>
      </c>
      <c r="S82" s="17" t="str">
        <f t="shared" si="33"/>
        <v/>
      </c>
      <c r="T82" s="17" t="str">
        <f t="shared" si="34"/>
        <v/>
      </c>
      <c r="U82" s="16" t="str">
        <f t="shared" si="35"/>
        <v/>
      </c>
      <c r="V82" s="16" t="str">
        <f t="shared" si="36"/>
        <v/>
      </c>
      <c r="W82" s="16" t="str">
        <f t="shared" si="37"/>
        <v/>
      </c>
      <c r="X82" s="40"/>
      <c r="Y82" s="14"/>
      <c r="AZ82" t="str">
        <f>IF($C82="","",ANAGRAFICA!$P79)</f>
        <v/>
      </c>
      <c r="BA82" t="str">
        <f>IF($C82="","",SUMIF('MOVIMENTI 2026'!$B$7:$B$4206,$C82,'MOVIMENTI 2026'!$I$7:$I$4206)+SUMIF('SALDI AL 31.12.2025'!$A$6:$A$505,$C82,'SALDI AL 31.12.2025'!$C$6:$C$505))</f>
        <v/>
      </c>
      <c r="BB82" t="str">
        <f>IF($C82="","",SUMIF('MOVIMENTI 2026'!$B$7:$B$4206,$C82,'MOVIMENTI 2026'!$J$7:$J$4206)+SUMIF('SALDI AL 31.12.2025'!$A$6:$A$505,$C82,'SALDI AL 31.12.2025'!$D$6:$D$505))</f>
        <v/>
      </c>
      <c r="BC82" t="str">
        <f>IF($C82="","",SUMIF('MOVIMENTI 2026'!$B$7:$B$4206,$C82,'MOVIMENTI 2026'!$K$7:$K$4206)+SUMIF('SALDI AL 31.12.2025'!$A$6:$A$505,$C82,'SALDI AL 31.12.2025'!$E$6:$E$505))</f>
        <v/>
      </c>
      <c r="BD82" t="str">
        <f>IF($C82="","",SUMIF('MOVIMENTI 2026'!$B$7:$B$4206,$C82,'MOVIMENTI 2026'!$L$7:$L$4206)+SUMIF('SALDI AL 31.12.2025'!$A$6:$A$505,$C82,'SALDI AL 31.12.2025'!$F$6:$F$505))</f>
        <v/>
      </c>
      <c r="BE82" t="str">
        <f t="shared" si="38"/>
        <v/>
      </c>
      <c r="BF82" t="str">
        <f t="shared" si="39"/>
        <v/>
      </c>
      <c r="BG82" t="str">
        <f t="shared" si="40"/>
        <v/>
      </c>
      <c r="BH82" t="str">
        <f>IFERROR(IF(OR($C82="",ANAGRAFICA!$I79="",ANAGRAFICA!$J79="",ANAGRAFICA!$J79&lt;=ANAGRAFICA!$I79,$Y82=""),"",IF(OR($I82="Finito ritenute non previste",$I82="Finito con sblocco ritenute",$I82="Finito senza sblocco ritenute"),1,MAX(0,MIN(1,($Y82-ANAGRAFICA!$I79)/(ANAGRAFICA!$J79-ANAGRAFICA!$I79))))),"")</f>
        <v/>
      </c>
      <c r="BI82" t="str">
        <f t="shared" si="41"/>
        <v/>
      </c>
      <c r="BJ82" t="str">
        <f>IFERROR(IF($C82="","",'BUDGET COMMESSA'!$D79),"")</f>
        <v/>
      </c>
      <c r="BK82" t="str">
        <f>IF($C82="","",SUMIF('MOVIMENTI 2026'!$B$7:$B$4206,$C82,'MOVIMENTI 2026'!$N$7:$N$4206)+SUMIF('SALDI AL 31.12.2025'!$A$6:$A$505,$C82,'SALDI AL 31.12.2025'!$H$6:$H$505))</f>
        <v/>
      </c>
      <c r="BL82" t="str">
        <f t="shared" si="42"/>
        <v/>
      </c>
      <c r="BM82" t="str">
        <f t="shared" si="43"/>
        <v/>
      </c>
      <c r="BN82" t="str">
        <f t="shared" si="44"/>
        <v/>
      </c>
      <c r="BO82" t="str">
        <f>IFERROR(IF($C82="","",'BUDGET COMMESSA'!$G79),"")</f>
        <v/>
      </c>
      <c r="BP82" t="str">
        <f>IF($C82="","",SUMIF('COSTI DIRETTI'!$C$6:$C$505,$C82,'COSTI DIRETTI'!$H$6:$H$505)+SUMIF('SALDI AL 31.12.2025'!$A$6:$A$505,$C82,'SALDI AL 31.12.2025'!$I$6:$I$505))</f>
        <v/>
      </c>
      <c r="BQ82" t="str">
        <f t="shared" si="45"/>
        <v/>
      </c>
      <c r="BR82" t="str">
        <f t="shared" si="46"/>
        <v/>
      </c>
      <c r="BS82" t="str">
        <f>IF($C82="","",$BK82*PARAMETRI!$B$4+$BP82)</f>
        <v/>
      </c>
      <c r="BT82">
        <f t="shared" si="47"/>
        <v>0</v>
      </c>
      <c r="BU82">
        <f t="shared" si="48"/>
        <v>0</v>
      </c>
      <c r="BV82" t="str">
        <f>IF($C82="","",SUMIF('MOVIMENTI 2026'!$B$7:$B$4206,$C82,'MOVIMENTI 2026'!$P$7:$P$4206)+SUMIF('SALDI AL 31.12.2025'!$A$6:$A$505,$C82,'SALDI AL 31.12.2025'!$G$6:$G$505))</f>
        <v/>
      </c>
    </row>
    <row r="83" spans="1:74" ht="16" x14ac:dyDescent="0.15">
      <c r="A83" s="17" t="str">
        <f>IFERROR(IF($C83="","",IF(OR($BF83&gt;0,$V83&gt;$J83,AND(ISNUMBER($Q83),$Q83&gt;0),AND($BI83&lt;&gt;"",$BI83&lt;-PARAMETRI!$B$6),AND($BM83&lt;&gt;"",$BM83&gt;=1),AND($BN83&lt;&gt;"",$BN83&gt;PARAMETRI!$B$8),AND(ISNUMBER($BR83),$BR83&gt;0)),"CRITICO",IF(OR($AZ83="",LEFT($C83,5)="TEMP",$BJ83="",$BO83="",ANAGRAFICA!$I80="",ANAGRAFICA!$J80="",$Y83="",AND(OR($I83="Finito ritenute non previste",$I83="Finito con sblocco ritenute",$I83="Finito senza sblocco ritenute"),ANAGRAFICA!$K80=""),OR(AND(ANAGRAFICA!$T80&lt;&gt;"",ANAGRAFICA!$J80&lt;&gt;ANAGRAFICA!$T80,OR(ANAGRAFICA!$R80="",ANAGRAFICA!$R80="Nessuna variazione")),AND(ANAGRAFICA!$J80="",ANAGRAFICA!$R80&lt;&gt;"",ANAGRAFICA!$R80&lt;&gt;"Nessuna variazione")),AND($BI83&lt;&gt;"",$BI83&lt;-PARAMETRI!$B$5),AND($BN83&lt;&gt;"",$BN83&gt;PARAMETRI!$B$7),AND($W83&gt;0,$M83&gt;$W83*PARAMETRI!$B$9),AND($O83&gt;0,OR($I83="Finito ritenute non previste",$I83="Finito con sblocco ritenute",$I83="Finito senza sblocco ritenute")),AND($BA83&gt;0,$BO83&gt;0,$BP83=0),AND(OR($I83="Finito ritenute non previste",$I83="Finito con sblocco ritenute",$I83="Finito senza sblocco ritenute"),$W83&gt;0,$N83&gt;$W83*PARAMETRI!$B$9),$V83&gt;0),"ATTENZIONE","REGOLARE"))),"ATTENZIONE")</f>
        <v/>
      </c>
      <c r="B83" s="17" t="str">
        <f>IFERROR(IF($C83="","",IF($BF83&gt;0,"FATTURATO OLTRE VALORE RECUPERABILE; ","")&amp;IF($V83&gt;$J83,"PERDITE ACCETTATE OLTRE CONTRATTO; ","")&amp;IF($V83&gt;0,"PERDITA SAL ACCETTATA (€ "&amp;TEXT($V83,"#,##0.00")&amp;"); ","")&amp;IF(AND(ISNUMBER($Q83),$Q83&gt;0),"RITARDO PRODUTTIVO ("&amp;TEXT($Q83,"0")&amp;" GG); ","")&amp;IF(AND($BI83&lt;&gt;"",$BI83&lt;-PARAMETRI!$B$5),"AVANZAMENTO PIÙ LENTO DEL TEMPO; ","")&amp;IF(AND($BM83&lt;&gt;"",$BM83&gt;1),"ORE OLTRE BUDGET; ","")&amp;IF(AND($BM83&lt;&gt;"",$BM83=1),"ORE PREVENTIVATE ESAURITE; ","")&amp;IF(AND($BN83&lt;&gt;"",$BN83&gt;PARAMETRI!$B$7),"CONSUMO ORE SUPERIORE ALL'AVANZAMENTO; ","")&amp;IF(AND(ISNUMBER($BR83),$BR83&gt;0),"COSTI DIRETTI OLTRE BUDGET; ","")&amp;IF(AND($W83&gt;0,$M83&gt;$W83*PARAMETRI!$B$9),"SAL MATURATO NON FATTURATO; ","")&amp;IF(AND($O83&gt;0,OR($I83="Finito ritenute non previste",$I83="Finito con sblocco ritenute",$I83="Finito senza sblocco ritenute")),"RITENUTE DA SBLOCCARE; ","")&amp;IF(AND($BA83&gt;0,$BO83&gt;0,$BP83=0),"COSTI DIRETTI NON REGISTRATI; ","")&amp;IF(AND(OR($I83="Finito ritenute non previste",$I83="Finito con sblocco ritenute",$I83="Finito senza sblocco ritenute"),$W83&gt;0,$N83&gt;$W83*PARAMETRI!$B$9),"CANTIERE FINITO CON RESIDUO LAVORI; ","")&amp;IF(AND(OR($I83="Finito ritenute non previste",$I83="Finito con sblocco ritenute",$I83="Finito senza sblocco ritenute"),ANAGRAFICA!$K80=""),"DATA FINE EFFETTIVA MANCANTE; ","")&amp;IF(OR(AND(ANAGRAFICA!$T80&lt;&gt;"",ANAGRAFICA!$J80&lt;&gt;ANAGRAFICA!$T80,OR(ANAGRAFICA!$R80="",ANAGRAFICA!$R80="Nessuna variazione")),AND(ANAGRAFICA!$J80="",ANAGRAFICA!$R80&lt;&gt;"",ANAGRAFICA!$R80&lt;&gt;"Nessuna variazione")),"GESTIONE DATA FINE INCOMPLETA; ","")&amp;IF($Y83="","AGGIORNATO AL MANCANTE; ","")&amp;IF(OR($AZ83="",$BJ83="",$BO83="",ANAGRAFICA!$I80="",ANAGRAFICA!$J80=""),"DATI PREVISIONALI INCOMPLETI; ","")&amp;IF(LEFT($C83,5)="TEMP","CODICE COMMESSA TEMPORANEO; ","")),"DATI INCOMPLETI; ")</f>
        <v/>
      </c>
      <c r="C83" s="17" t="str">
        <f>IF(ANAGRAFICA!$B80="","",ANAGRAFICA!$B80)</f>
        <v/>
      </c>
      <c r="D83" s="17" t="str">
        <f>IF($C83="","",ANAGRAFICA!$C80)</f>
        <v/>
      </c>
      <c r="E83" s="17" t="str">
        <f>IF($C83="","",ANAGRAFICA!$D80)</f>
        <v/>
      </c>
      <c r="F83" s="17" t="str">
        <f>IF($C83="","",ANAGRAFICA!$E80)</f>
        <v/>
      </c>
      <c r="G83" s="17" t="str">
        <f>IF($C83="","",ANAGRAFICA!$F80)</f>
        <v/>
      </c>
      <c r="H83" s="17" t="str">
        <f>IF($C83="","",ANAGRAFICA!$G80)</f>
        <v/>
      </c>
      <c r="I83" s="17" t="str">
        <f>IF($C83="","",ANAGRAFICA!$L80)</f>
        <v/>
      </c>
      <c r="J83" s="16" t="str">
        <f t="shared" si="25"/>
        <v/>
      </c>
      <c r="K83" s="16" t="str">
        <f t="shared" si="26"/>
        <v/>
      </c>
      <c r="L83" s="16" t="str">
        <f t="shared" si="27"/>
        <v/>
      </c>
      <c r="M83" s="16" t="str">
        <f t="shared" si="28"/>
        <v/>
      </c>
      <c r="N83" s="16" t="str">
        <f t="shared" si="29"/>
        <v/>
      </c>
      <c r="O83" s="16" t="str">
        <f t="shared" si="30"/>
        <v/>
      </c>
      <c r="P83" s="17" t="str">
        <f t="shared" si="31"/>
        <v/>
      </c>
      <c r="Q83" s="31" t="str">
        <f>IF(OR($C83="",'BUDGET COMMESSA'!$D80="",'BUDGET COMMESSA'!$D80&lt;=0,ANAGRAFICA!$J80=""),"",IF(OR($I83="Finito ritenute non previste",$I83="Finito con sblocco ritenute",$I83="Finito senza sblocco ritenute"),0,IF(AND($BK83&gt;=$BJ83,ANAGRAFICA!$R80="Ritardo produttivo FIDA"),IF(ANAGRAFICA!$T80&lt;&gt;"",MAX(0,ANAGRAFICA!$J80-ANAGRAFICA!$T80),MAX(0,$Y83-ANAGRAFICA!$J80)),0)))</f>
        <v/>
      </c>
      <c r="R83" s="17" t="str">
        <f t="shared" si="32"/>
        <v/>
      </c>
      <c r="S83" s="17" t="str">
        <f t="shared" si="33"/>
        <v/>
      </c>
      <c r="T83" s="17" t="str">
        <f t="shared" si="34"/>
        <v/>
      </c>
      <c r="U83" s="16" t="str">
        <f t="shared" si="35"/>
        <v/>
      </c>
      <c r="V83" s="16" t="str">
        <f t="shared" si="36"/>
        <v/>
      </c>
      <c r="W83" s="16" t="str">
        <f t="shared" si="37"/>
        <v/>
      </c>
      <c r="X83" s="40"/>
      <c r="Y83" s="14"/>
      <c r="AZ83" t="str">
        <f>IF($C83="","",ANAGRAFICA!$P80)</f>
        <v/>
      </c>
      <c r="BA83" t="str">
        <f>IF($C83="","",SUMIF('MOVIMENTI 2026'!$B$7:$B$4206,$C83,'MOVIMENTI 2026'!$I$7:$I$4206)+SUMIF('SALDI AL 31.12.2025'!$A$6:$A$505,$C83,'SALDI AL 31.12.2025'!$C$6:$C$505))</f>
        <v/>
      </c>
      <c r="BB83" t="str">
        <f>IF($C83="","",SUMIF('MOVIMENTI 2026'!$B$7:$B$4206,$C83,'MOVIMENTI 2026'!$J$7:$J$4206)+SUMIF('SALDI AL 31.12.2025'!$A$6:$A$505,$C83,'SALDI AL 31.12.2025'!$D$6:$D$505))</f>
        <v/>
      </c>
      <c r="BC83" t="str">
        <f>IF($C83="","",SUMIF('MOVIMENTI 2026'!$B$7:$B$4206,$C83,'MOVIMENTI 2026'!$K$7:$K$4206)+SUMIF('SALDI AL 31.12.2025'!$A$6:$A$505,$C83,'SALDI AL 31.12.2025'!$E$6:$E$505))</f>
        <v/>
      </c>
      <c r="BD83" t="str">
        <f>IF($C83="","",SUMIF('MOVIMENTI 2026'!$B$7:$B$4206,$C83,'MOVIMENTI 2026'!$L$7:$L$4206)+SUMIF('SALDI AL 31.12.2025'!$A$6:$A$505,$C83,'SALDI AL 31.12.2025'!$F$6:$F$505))</f>
        <v/>
      </c>
      <c r="BE83" t="str">
        <f t="shared" si="38"/>
        <v/>
      </c>
      <c r="BF83" t="str">
        <f t="shared" si="39"/>
        <v/>
      </c>
      <c r="BG83" t="str">
        <f t="shared" si="40"/>
        <v/>
      </c>
      <c r="BH83" t="str">
        <f>IFERROR(IF(OR($C83="",ANAGRAFICA!$I80="",ANAGRAFICA!$J80="",ANAGRAFICA!$J80&lt;=ANAGRAFICA!$I80,$Y83=""),"",IF(OR($I83="Finito ritenute non previste",$I83="Finito con sblocco ritenute",$I83="Finito senza sblocco ritenute"),1,MAX(0,MIN(1,($Y83-ANAGRAFICA!$I80)/(ANAGRAFICA!$J80-ANAGRAFICA!$I80))))),"")</f>
        <v/>
      </c>
      <c r="BI83" t="str">
        <f t="shared" si="41"/>
        <v/>
      </c>
      <c r="BJ83" t="str">
        <f>IFERROR(IF($C83="","",'BUDGET COMMESSA'!$D80),"")</f>
        <v/>
      </c>
      <c r="BK83" t="str">
        <f>IF($C83="","",SUMIF('MOVIMENTI 2026'!$B$7:$B$4206,$C83,'MOVIMENTI 2026'!$N$7:$N$4206)+SUMIF('SALDI AL 31.12.2025'!$A$6:$A$505,$C83,'SALDI AL 31.12.2025'!$H$6:$H$505))</f>
        <v/>
      </c>
      <c r="BL83" t="str">
        <f t="shared" si="42"/>
        <v/>
      </c>
      <c r="BM83" t="str">
        <f t="shared" si="43"/>
        <v/>
      </c>
      <c r="BN83" t="str">
        <f t="shared" si="44"/>
        <v/>
      </c>
      <c r="BO83" t="str">
        <f>IFERROR(IF($C83="","",'BUDGET COMMESSA'!$G80),"")</f>
        <v/>
      </c>
      <c r="BP83" t="str">
        <f>IF($C83="","",SUMIF('COSTI DIRETTI'!$C$6:$C$505,$C83,'COSTI DIRETTI'!$H$6:$H$505)+SUMIF('SALDI AL 31.12.2025'!$A$6:$A$505,$C83,'SALDI AL 31.12.2025'!$I$6:$I$505))</f>
        <v/>
      </c>
      <c r="BQ83" t="str">
        <f t="shared" si="45"/>
        <v/>
      </c>
      <c r="BR83" t="str">
        <f t="shared" si="46"/>
        <v/>
      </c>
      <c r="BS83" t="str">
        <f>IF($C83="","",$BK83*PARAMETRI!$B$4+$BP83)</f>
        <v/>
      </c>
      <c r="BT83">
        <f t="shared" si="47"/>
        <v>0</v>
      </c>
      <c r="BU83">
        <f t="shared" si="48"/>
        <v>0</v>
      </c>
      <c r="BV83" t="str">
        <f>IF($C83="","",SUMIF('MOVIMENTI 2026'!$B$7:$B$4206,$C83,'MOVIMENTI 2026'!$P$7:$P$4206)+SUMIF('SALDI AL 31.12.2025'!$A$6:$A$505,$C83,'SALDI AL 31.12.2025'!$G$6:$G$505))</f>
        <v/>
      </c>
    </row>
    <row r="84" spans="1:74" ht="16" x14ac:dyDescent="0.15">
      <c r="A84" s="17" t="str">
        <f>IFERROR(IF($C84="","",IF(OR($BF84&gt;0,$V84&gt;$J84,AND(ISNUMBER($Q84),$Q84&gt;0),AND($BI84&lt;&gt;"",$BI84&lt;-PARAMETRI!$B$6),AND($BM84&lt;&gt;"",$BM84&gt;=1),AND($BN84&lt;&gt;"",$BN84&gt;PARAMETRI!$B$8),AND(ISNUMBER($BR84),$BR84&gt;0)),"CRITICO",IF(OR($AZ84="",LEFT($C84,5)="TEMP",$BJ84="",$BO84="",ANAGRAFICA!$I81="",ANAGRAFICA!$J81="",$Y84="",AND(OR($I84="Finito ritenute non previste",$I84="Finito con sblocco ritenute",$I84="Finito senza sblocco ritenute"),ANAGRAFICA!$K81=""),OR(AND(ANAGRAFICA!$T81&lt;&gt;"",ANAGRAFICA!$J81&lt;&gt;ANAGRAFICA!$T81,OR(ANAGRAFICA!$R81="",ANAGRAFICA!$R81="Nessuna variazione")),AND(ANAGRAFICA!$J81="",ANAGRAFICA!$R81&lt;&gt;"",ANAGRAFICA!$R81&lt;&gt;"Nessuna variazione")),AND($BI84&lt;&gt;"",$BI84&lt;-PARAMETRI!$B$5),AND($BN84&lt;&gt;"",$BN84&gt;PARAMETRI!$B$7),AND($W84&gt;0,$M84&gt;$W84*PARAMETRI!$B$9),AND($O84&gt;0,OR($I84="Finito ritenute non previste",$I84="Finito con sblocco ritenute",$I84="Finito senza sblocco ritenute")),AND($BA84&gt;0,$BO84&gt;0,$BP84=0),AND(OR($I84="Finito ritenute non previste",$I84="Finito con sblocco ritenute",$I84="Finito senza sblocco ritenute"),$W84&gt;0,$N84&gt;$W84*PARAMETRI!$B$9),$V84&gt;0),"ATTENZIONE","REGOLARE"))),"ATTENZIONE")</f>
        <v/>
      </c>
      <c r="B84" s="17" t="str">
        <f>IFERROR(IF($C84="","",IF($BF84&gt;0,"FATTURATO OLTRE VALORE RECUPERABILE; ","")&amp;IF($V84&gt;$J84,"PERDITE ACCETTATE OLTRE CONTRATTO; ","")&amp;IF($V84&gt;0,"PERDITA SAL ACCETTATA (€ "&amp;TEXT($V84,"#,##0.00")&amp;"); ","")&amp;IF(AND(ISNUMBER($Q84),$Q84&gt;0),"RITARDO PRODUTTIVO ("&amp;TEXT($Q84,"0")&amp;" GG); ","")&amp;IF(AND($BI84&lt;&gt;"",$BI84&lt;-PARAMETRI!$B$5),"AVANZAMENTO PIÙ LENTO DEL TEMPO; ","")&amp;IF(AND($BM84&lt;&gt;"",$BM84&gt;1),"ORE OLTRE BUDGET; ","")&amp;IF(AND($BM84&lt;&gt;"",$BM84=1),"ORE PREVENTIVATE ESAURITE; ","")&amp;IF(AND($BN84&lt;&gt;"",$BN84&gt;PARAMETRI!$B$7),"CONSUMO ORE SUPERIORE ALL'AVANZAMENTO; ","")&amp;IF(AND(ISNUMBER($BR84),$BR84&gt;0),"COSTI DIRETTI OLTRE BUDGET; ","")&amp;IF(AND($W84&gt;0,$M84&gt;$W84*PARAMETRI!$B$9),"SAL MATURATO NON FATTURATO; ","")&amp;IF(AND($O84&gt;0,OR($I84="Finito ritenute non previste",$I84="Finito con sblocco ritenute",$I84="Finito senza sblocco ritenute")),"RITENUTE DA SBLOCCARE; ","")&amp;IF(AND($BA84&gt;0,$BO84&gt;0,$BP84=0),"COSTI DIRETTI NON REGISTRATI; ","")&amp;IF(AND(OR($I84="Finito ritenute non previste",$I84="Finito con sblocco ritenute",$I84="Finito senza sblocco ritenute"),$W84&gt;0,$N84&gt;$W84*PARAMETRI!$B$9),"CANTIERE FINITO CON RESIDUO LAVORI; ","")&amp;IF(AND(OR($I84="Finito ritenute non previste",$I84="Finito con sblocco ritenute",$I84="Finito senza sblocco ritenute"),ANAGRAFICA!$K81=""),"DATA FINE EFFETTIVA MANCANTE; ","")&amp;IF(OR(AND(ANAGRAFICA!$T81&lt;&gt;"",ANAGRAFICA!$J81&lt;&gt;ANAGRAFICA!$T81,OR(ANAGRAFICA!$R81="",ANAGRAFICA!$R81="Nessuna variazione")),AND(ANAGRAFICA!$J81="",ANAGRAFICA!$R81&lt;&gt;"",ANAGRAFICA!$R81&lt;&gt;"Nessuna variazione")),"GESTIONE DATA FINE INCOMPLETA; ","")&amp;IF($Y84="","AGGIORNATO AL MANCANTE; ","")&amp;IF(OR($AZ84="",$BJ84="",$BO84="",ANAGRAFICA!$I81="",ANAGRAFICA!$J81=""),"DATI PREVISIONALI INCOMPLETI; ","")&amp;IF(LEFT($C84,5)="TEMP","CODICE COMMESSA TEMPORANEO; ","")),"DATI INCOMPLETI; ")</f>
        <v/>
      </c>
      <c r="C84" s="17" t="str">
        <f>IF(ANAGRAFICA!$B81="","",ANAGRAFICA!$B81)</f>
        <v/>
      </c>
      <c r="D84" s="17" t="str">
        <f>IF($C84="","",ANAGRAFICA!$C81)</f>
        <v/>
      </c>
      <c r="E84" s="17" t="str">
        <f>IF($C84="","",ANAGRAFICA!$D81)</f>
        <v/>
      </c>
      <c r="F84" s="17" t="str">
        <f>IF($C84="","",ANAGRAFICA!$E81)</f>
        <v/>
      </c>
      <c r="G84" s="17" t="str">
        <f>IF($C84="","",ANAGRAFICA!$F81)</f>
        <v/>
      </c>
      <c r="H84" s="17" t="str">
        <f>IF($C84="","",ANAGRAFICA!$G81)</f>
        <v/>
      </c>
      <c r="I84" s="17" t="str">
        <f>IF($C84="","",ANAGRAFICA!$L81)</f>
        <v/>
      </c>
      <c r="J84" s="16" t="str">
        <f t="shared" si="25"/>
        <v/>
      </c>
      <c r="K84" s="16" t="str">
        <f t="shared" si="26"/>
        <v/>
      </c>
      <c r="L84" s="16" t="str">
        <f t="shared" si="27"/>
        <v/>
      </c>
      <c r="M84" s="16" t="str">
        <f t="shared" si="28"/>
        <v/>
      </c>
      <c r="N84" s="16" t="str">
        <f t="shared" si="29"/>
        <v/>
      </c>
      <c r="O84" s="16" t="str">
        <f t="shared" si="30"/>
        <v/>
      </c>
      <c r="P84" s="17" t="str">
        <f t="shared" si="31"/>
        <v/>
      </c>
      <c r="Q84" s="31" t="str">
        <f>IF(OR($C84="",'BUDGET COMMESSA'!$D81="",'BUDGET COMMESSA'!$D81&lt;=0,ANAGRAFICA!$J81=""),"",IF(OR($I84="Finito ritenute non previste",$I84="Finito con sblocco ritenute",$I84="Finito senza sblocco ritenute"),0,IF(AND($BK84&gt;=$BJ84,ANAGRAFICA!$R81="Ritardo produttivo FIDA"),IF(ANAGRAFICA!$T81&lt;&gt;"",MAX(0,ANAGRAFICA!$J81-ANAGRAFICA!$T81),MAX(0,$Y84-ANAGRAFICA!$J81)),0)))</f>
        <v/>
      </c>
      <c r="R84" s="17" t="str">
        <f t="shared" si="32"/>
        <v/>
      </c>
      <c r="S84" s="17" t="str">
        <f t="shared" si="33"/>
        <v/>
      </c>
      <c r="T84" s="17" t="str">
        <f t="shared" si="34"/>
        <v/>
      </c>
      <c r="U84" s="16" t="str">
        <f t="shared" si="35"/>
        <v/>
      </c>
      <c r="V84" s="16" t="str">
        <f t="shared" si="36"/>
        <v/>
      </c>
      <c r="W84" s="16" t="str">
        <f t="shared" si="37"/>
        <v/>
      </c>
      <c r="X84" s="40"/>
      <c r="Y84" s="14"/>
      <c r="AZ84" t="str">
        <f>IF($C84="","",ANAGRAFICA!$P81)</f>
        <v/>
      </c>
      <c r="BA84" t="str">
        <f>IF($C84="","",SUMIF('MOVIMENTI 2026'!$B$7:$B$4206,$C84,'MOVIMENTI 2026'!$I$7:$I$4206)+SUMIF('SALDI AL 31.12.2025'!$A$6:$A$505,$C84,'SALDI AL 31.12.2025'!$C$6:$C$505))</f>
        <v/>
      </c>
      <c r="BB84" t="str">
        <f>IF($C84="","",SUMIF('MOVIMENTI 2026'!$B$7:$B$4206,$C84,'MOVIMENTI 2026'!$J$7:$J$4206)+SUMIF('SALDI AL 31.12.2025'!$A$6:$A$505,$C84,'SALDI AL 31.12.2025'!$D$6:$D$505))</f>
        <v/>
      </c>
      <c r="BC84" t="str">
        <f>IF($C84="","",SUMIF('MOVIMENTI 2026'!$B$7:$B$4206,$C84,'MOVIMENTI 2026'!$K$7:$K$4206)+SUMIF('SALDI AL 31.12.2025'!$A$6:$A$505,$C84,'SALDI AL 31.12.2025'!$E$6:$E$505))</f>
        <v/>
      </c>
      <c r="BD84" t="str">
        <f>IF($C84="","",SUMIF('MOVIMENTI 2026'!$B$7:$B$4206,$C84,'MOVIMENTI 2026'!$L$7:$L$4206)+SUMIF('SALDI AL 31.12.2025'!$A$6:$A$505,$C84,'SALDI AL 31.12.2025'!$F$6:$F$505))</f>
        <v/>
      </c>
      <c r="BE84" t="str">
        <f t="shared" si="38"/>
        <v/>
      </c>
      <c r="BF84" t="str">
        <f t="shared" si="39"/>
        <v/>
      </c>
      <c r="BG84" t="str">
        <f t="shared" si="40"/>
        <v/>
      </c>
      <c r="BH84" t="str">
        <f>IFERROR(IF(OR($C84="",ANAGRAFICA!$I81="",ANAGRAFICA!$J81="",ANAGRAFICA!$J81&lt;=ANAGRAFICA!$I81,$Y84=""),"",IF(OR($I84="Finito ritenute non previste",$I84="Finito con sblocco ritenute",$I84="Finito senza sblocco ritenute"),1,MAX(0,MIN(1,($Y84-ANAGRAFICA!$I81)/(ANAGRAFICA!$J81-ANAGRAFICA!$I81))))),"")</f>
        <v/>
      </c>
      <c r="BI84" t="str">
        <f t="shared" si="41"/>
        <v/>
      </c>
      <c r="BJ84" t="str">
        <f>IFERROR(IF($C84="","",'BUDGET COMMESSA'!$D81),"")</f>
        <v/>
      </c>
      <c r="BK84" t="str">
        <f>IF($C84="","",SUMIF('MOVIMENTI 2026'!$B$7:$B$4206,$C84,'MOVIMENTI 2026'!$N$7:$N$4206)+SUMIF('SALDI AL 31.12.2025'!$A$6:$A$505,$C84,'SALDI AL 31.12.2025'!$H$6:$H$505))</f>
        <v/>
      </c>
      <c r="BL84" t="str">
        <f t="shared" si="42"/>
        <v/>
      </c>
      <c r="BM84" t="str">
        <f t="shared" si="43"/>
        <v/>
      </c>
      <c r="BN84" t="str">
        <f t="shared" si="44"/>
        <v/>
      </c>
      <c r="BO84" t="str">
        <f>IFERROR(IF($C84="","",'BUDGET COMMESSA'!$G81),"")</f>
        <v/>
      </c>
      <c r="BP84" t="str">
        <f>IF($C84="","",SUMIF('COSTI DIRETTI'!$C$6:$C$505,$C84,'COSTI DIRETTI'!$H$6:$H$505)+SUMIF('SALDI AL 31.12.2025'!$A$6:$A$505,$C84,'SALDI AL 31.12.2025'!$I$6:$I$505))</f>
        <v/>
      </c>
      <c r="BQ84" t="str">
        <f t="shared" si="45"/>
        <v/>
      </c>
      <c r="BR84" t="str">
        <f t="shared" si="46"/>
        <v/>
      </c>
      <c r="BS84" t="str">
        <f>IF($C84="","",$BK84*PARAMETRI!$B$4+$BP84)</f>
        <v/>
      </c>
      <c r="BT84">
        <f t="shared" si="47"/>
        <v>0</v>
      </c>
      <c r="BU84">
        <f t="shared" si="48"/>
        <v>0</v>
      </c>
      <c r="BV84" t="str">
        <f>IF($C84="","",SUMIF('MOVIMENTI 2026'!$B$7:$B$4206,$C84,'MOVIMENTI 2026'!$P$7:$P$4206)+SUMIF('SALDI AL 31.12.2025'!$A$6:$A$505,$C84,'SALDI AL 31.12.2025'!$G$6:$G$505))</f>
        <v/>
      </c>
    </row>
    <row r="85" spans="1:74" ht="16" x14ac:dyDescent="0.15">
      <c r="A85" s="17" t="str">
        <f>IFERROR(IF($C85="","",IF(OR($BF85&gt;0,$V85&gt;$J85,AND(ISNUMBER($Q85),$Q85&gt;0),AND($BI85&lt;&gt;"",$BI85&lt;-PARAMETRI!$B$6),AND($BM85&lt;&gt;"",$BM85&gt;=1),AND($BN85&lt;&gt;"",$BN85&gt;PARAMETRI!$B$8),AND(ISNUMBER($BR85),$BR85&gt;0)),"CRITICO",IF(OR($AZ85="",LEFT($C85,5)="TEMP",$BJ85="",$BO85="",ANAGRAFICA!$I82="",ANAGRAFICA!$J82="",$Y85="",AND(OR($I85="Finito ritenute non previste",$I85="Finito con sblocco ritenute",$I85="Finito senza sblocco ritenute"),ANAGRAFICA!$K82=""),OR(AND(ANAGRAFICA!$T82&lt;&gt;"",ANAGRAFICA!$J82&lt;&gt;ANAGRAFICA!$T82,OR(ANAGRAFICA!$R82="",ANAGRAFICA!$R82="Nessuna variazione")),AND(ANAGRAFICA!$J82="",ANAGRAFICA!$R82&lt;&gt;"",ANAGRAFICA!$R82&lt;&gt;"Nessuna variazione")),AND($BI85&lt;&gt;"",$BI85&lt;-PARAMETRI!$B$5),AND($BN85&lt;&gt;"",$BN85&gt;PARAMETRI!$B$7),AND($W85&gt;0,$M85&gt;$W85*PARAMETRI!$B$9),AND($O85&gt;0,OR($I85="Finito ritenute non previste",$I85="Finito con sblocco ritenute",$I85="Finito senza sblocco ritenute")),AND($BA85&gt;0,$BO85&gt;0,$BP85=0),AND(OR($I85="Finito ritenute non previste",$I85="Finito con sblocco ritenute",$I85="Finito senza sblocco ritenute"),$W85&gt;0,$N85&gt;$W85*PARAMETRI!$B$9),$V85&gt;0),"ATTENZIONE","REGOLARE"))),"ATTENZIONE")</f>
        <v/>
      </c>
      <c r="B85" s="17" t="str">
        <f>IFERROR(IF($C85="","",IF($BF85&gt;0,"FATTURATO OLTRE VALORE RECUPERABILE; ","")&amp;IF($V85&gt;$J85,"PERDITE ACCETTATE OLTRE CONTRATTO; ","")&amp;IF($V85&gt;0,"PERDITA SAL ACCETTATA (€ "&amp;TEXT($V85,"#,##0.00")&amp;"); ","")&amp;IF(AND(ISNUMBER($Q85),$Q85&gt;0),"RITARDO PRODUTTIVO ("&amp;TEXT($Q85,"0")&amp;" GG); ","")&amp;IF(AND($BI85&lt;&gt;"",$BI85&lt;-PARAMETRI!$B$5),"AVANZAMENTO PIÙ LENTO DEL TEMPO; ","")&amp;IF(AND($BM85&lt;&gt;"",$BM85&gt;1),"ORE OLTRE BUDGET; ","")&amp;IF(AND($BM85&lt;&gt;"",$BM85=1),"ORE PREVENTIVATE ESAURITE; ","")&amp;IF(AND($BN85&lt;&gt;"",$BN85&gt;PARAMETRI!$B$7),"CONSUMO ORE SUPERIORE ALL'AVANZAMENTO; ","")&amp;IF(AND(ISNUMBER($BR85),$BR85&gt;0),"COSTI DIRETTI OLTRE BUDGET; ","")&amp;IF(AND($W85&gt;0,$M85&gt;$W85*PARAMETRI!$B$9),"SAL MATURATO NON FATTURATO; ","")&amp;IF(AND($O85&gt;0,OR($I85="Finito ritenute non previste",$I85="Finito con sblocco ritenute",$I85="Finito senza sblocco ritenute")),"RITENUTE DA SBLOCCARE; ","")&amp;IF(AND($BA85&gt;0,$BO85&gt;0,$BP85=0),"COSTI DIRETTI NON REGISTRATI; ","")&amp;IF(AND(OR($I85="Finito ritenute non previste",$I85="Finito con sblocco ritenute",$I85="Finito senza sblocco ritenute"),$W85&gt;0,$N85&gt;$W85*PARAMETRI!$B$9),"CANTIERE FINITO CON RESIDUO LAVORI; ","")&amp;IF(AND(OR($I85="Finito ritenute non previste",$I85="Finito con sblocco ritenute",$I85="Finito senza sblocco ritenute"),ANAGRAFICA!$K82=""),"DATA FINE EFFETTIVA MANCANTE; ","")&amp;IF(OR(AND(ANAGRAFICA!$T82&lt;&gt;"",ANAGRAFICA!$J82&lt;&gt;ANAGRAFICA!$T82,OR(ANAGRAFICA!$R82="",ANAGRAFICA!$R82="Nessuna variazione")),AND(ANAGRAFICA!$J82="",ANAGRAFICA!$R82&lt;&gt;"",ANAGRAFICA!$R82&lt;&gt;"Nessuna variazione")),"GESTIONE DATA FINE INCOMPLETA; ","")&amp;IF($Y85="","AGGIORNATO AL MANCANTE; ","")&amp;IF(OR($AZ85="",$BJ85="",$BO85="",ANAGRAFICA!$I82="",ANAGRAFICA!$J82=""),"DATI PREVISIONALI INCOMPLETI; ","")&amp;IF(LEFT($C85,5)="TEMP","CODICE COMMESSA TEMPORANEO; ","")),"DATI INCOMPLETI; ")</f>
        <v/>
      </c>
      <c r="C85" s="17" t="str">
        <f>IF(ANAGRAFICA!$B82="","",ANAGRAFICA!$B82)</f>
        <v/>
      </c>
      <c r="D85" s="17" t="str">
        <f>IF($C85="","",ANAGRAFICA!$C82)</f>
        <v/>
      </c>
      <c r="E85" s="17" t="str">
        <f>IF($C85="","",ANAGRAFICA!$D82)</f>
        <v/>
      </c>
      <c r="F85" s="17" t="str">
        <f>IF($C85="","",ANAGRAFICA!$E82)</f>
        <v/>
      </c>
      <c r="G85" s="17" t="str">
        <f>IF($C85="","",ANAGRAFICA!$F82)</f>
        <v/>
      </c>
      <c r="H85" s="17" t="str">
        <f>IF($C85="","",ANAGRAFICA!$G82)</f>
        <v/>
      </c>
      <c r="I85" s="17" t="str">
        <f>IF($C85="","",ANAGRAFICA!$L82)</f>
        <v/>
      </c>
      <c r="J85" s="16" t="str">
        <f t="shared" si="25"/>
        <v/>
      </c>
      <c r="K85" s="16" t="str">
        <f t="shared" si="26"/>
        <v/>
      </c>
      <c r="L85" s="16" t="str">
        <f t="shared" si="27"/>
        <v/>
      </c>
      <c r="M85" s="16" t="str">
        <f t="shared" si="28"/>
        <v/>
      </c>
      <c r="N85" s="16" t="str">
        <f t="shared" si="29"/>
        <v/>
      </c>
      <c r="O85" s="16" t="str">
        <f t="shared" si="30"/>
        <v/>
      </c>
      <c r="P85" s="17" t="str">
        <f t="shared" si="31"/>
        <v/>
      </c>
      <c r="Q85" s="31" t="str">
        <f>IF(OR($C85="",'BUDGET COMMESSA'!$D82="",'BUDGET COMMESSA'!$D82&lt;=0,ANAGRAFICA!$J82=""),"",IF(OR($I85="Finito ritenute non previste",$I85="Finito con sblocco ritenute",$I85="Finito senza sblocco ritenute"),0,IF(AND($BK85&gt;=$BJ85,ANAGRAFICA!$R82="Ritardo produttivo FIDA"),IF(ANAGRAFICA!$T82&lt;&gt;"",MAX(0,ANAGRAFICA!$J82-ANAGRAFICA!$T82),MAX(0,$Y85-ANAGRAFICA!$J82)),0)))</f>
        <v/>
      </c>
      <c r="R85" s="17" t="str">
        <f t="shared" si="32"/>
        <v/>
      </c>
      <c r="S85" s="17" t="str">
        <f t="shared" si="33"/>
        <v/>
      </c>
      <c r="T85" s="17" t="str">
        <f t="shared" si="34"/>
        <v/>
      </c>
      <c r="U85" s="16" t="str">
        <f t="shared" si="35"/>
        <v/>
      </c>
      <c r="V85" s="16" t="str">
        <f t="shared" si="36"/>
        <v/>
      </c>
      <c r="W85" s="16" t="str">
        <f t="shared" si="37"/>
        <v/>
      </c>
      <c r="X85" s="40"/>
      <c r="Y85" s="14"/>
      <c r="AZ85" t="str">
        <f>IF($C85="","",ANAGRAFICA!$P82)</f>
        <v/>
      </c>
      <c r="BA85" t="str">
        <f>IF($C85="","",SUMIF('MOVIMENTI 2026'!$B$7:$B$4206,$C85,'MOVIMENTI 2026'!$I$7:$I$4206)+SUMIF('SALDI AL 31.12.2025'!$A$6:$A$505,$C85,'SALDI AL 31.12.2025'!$C$6:$C$505))</f>
        <v/>
      </c>
      <c r="BB85" t="str">
        <f>IF($C85="","",SUMIF('MOVIMENTI 2026'!$B$7:$B$4206,$C85,'MOVIMENTI 2026'!$J$7:$J$4206)+SUMIF('SALDI AL 31.12.2025'!$A$6:$A$505,$C85,'SALDI AL 31.12.2025'!$D$6:$D$505))</f>
        <v/>
      </c>
      <c r="BC85" t="str">
        <f>IF($C85="","",SUMIF('MOVIMENTI 2026'!$B$7:$B$4206,$C85,'MOVIMENTI 2026'!$K$7:$K$4206)+SUMIF('SALDI AL 31.12.2025'!$A$6:$A$505,$C85,'SALDI AL 31.12.2025'!$E$6:$E$505))</f>
        <v/>
      </c>
      <c r="BD85" t="str">
        <f>IF($C85="","",SUMIF('MOVIMENTI 2026'!$B$7:$B$4206,$C85,'MOVIMENTI 2026'!$L$7:$L$4206)+SUMIF('SALDI AL 31.12.2025'!$A$6:$A$505,$C85,'SALDI AL 31.12.2025'!$F$6:$F$505))</f>
        <v/>
      </c>
      <c r="BE85" t="str">
        <f t="shared" si="38"/>
        <v/>
      </c>
      <c r="BF85" t="str">
        <f t="shared" si="39"/>
        <v/>
      </c>
      <c r="BG85" t="str">
        <f t="shared" si="40"/>
        <v/>
      </c>
      <c r="BH85" t="str">
        <f>IFERROR(IF(OR($C85="",ANAGRAFICA!$I82="",ANAGRAFICA!$J82="",ANAGRAFICA!$J82&lt;=ANAGRAFICA!$I82,$Y85=""),"",IF(OR($I85="Finito ritenute non previste",$I85="Finito con sblocco ritenute",$I85="Finito senza sblocco ritenute"),1,MAX(0,MIN(1,($Y85-ANAGRAFICA!$I82)/(ANAGRAFICA!$J82-ANAGRAFICA!$I82))))),"")</f>
        <v/>
      </c>
      <c r="BI85" t="str">
        <f t="shared" si="41"/>
        <v/>
      </c>
      <c r="BJ85" t="str">
        <f>IFERROR(IF($C85="","",'BUDGET COMMESSA'!$D82),"")</f>
        <v/>
      </c>
      <c r="BK85" t="str">
        <f>IF($C85="","",SUMIF('MOVIMENTI 2026'!$B$7:$B$4206,$C85,'MOVIMENTI 2026'!$N$7:$N$4206)+SUMIF('SALDI AL 31.12.2025'!$A$6:$A$505,$C85,'SALDI AL 31.12.2025'!$H$6:$H$505))</f>
        <v/>
      </c>
      <c r="BL85" t="str">
        <f t="shared" si="42"/>
        <v/>
      </c>
      <c r="BM85" t="str">
        <f t="shared" si="43"/>
        <v/>
      </c>
      <c r="BN85" t="str">
        <f t="shared" si="44"/>
        <v/>
      </c>
      <c r="BO85" t="str">
        <f>IFERROR(IF($C85="","",'BUDGET COMMESSA'!$G82),"")</f>
        <v/>
      </c>
      <c r="BP85" t="str">
        <f>IF($C85="","",SUMIF('COSTI DIRETTI'!$C$6:$C$505,$C85,'COSTI DIRETTI'!$H$6:$H$505)+SUMIF('SALDI AL 31.12.2025'!$A$6:$A$505,$C85,'SALDI AL 31.12.2025'!$I$6:$I$505))</f>
        <v/>
      </c>
      <c r="BQ85" t="str">
        <f t="shared" si="45"/>
        <v/>
      </c>
      <c r="BR85" t="str">
        <f t="shared" si="46"/>
        <v/>
      </c>
      <c r="BS85" t="str">
        <f>IF($C85="","",$BK85*PARAMETRI!$B$4+$BP85)</f>
        <v/>
      </c>
      <c r="BT85">
        <f t="shared" si="47"/>
        <v>0</v>
      </c>
      <c r="BU85">
        <f t="shared" si="48"/>
        <v>0</v>
      </c>
      <c r="BV85" t="str">
        <f>IF($C85="","",SUMIF('MOVIMENTI 2026'!$B$7:$B$4206,$C85,'MOVIMENTI 2026'!$P$7:$P$4206)+SUMIF('SALDI AL 31.12.2025'!$A$6:$A$505,$C85,'SALDI AL 31.12.2025'!$G$6:$G$505))</f>
        <v/>
      </c>
    </row>
    <row r="86" spans="1:74" ht="16" x14ac:dyDescent="0.15">
      <c r="A86" s="17" t="str">
        <f>IFERROR(IF($C86="","",IF(OR($BF86&gt;0,$V86&gt;$J86,AND(ISNUMBER($Q86),$Q86&gt;0),AND($BI86&lt;&gt;"",$BI86&lt;-PARAMETRI!$B$6),AND($BM86&lt;&gt;"",$BM86&gt;=1),AND($BN86&lt;&gt;"",$BN86&gt;PARAMETRI!$B$8),AND(ISNUMBER($BR86),$BR86&gt;0)),"CRITICO",IF(OR($AZ86="",LEFT($C86,5)="TEMP",$BJ86="",$BO86="",ANAGRAFICA!$I83="",ANAGRAFICA!$J83="",$Y86="",AND(OR($I86="Finito ritenute non previste",$I86="Finito con sblocco ritenute",$I86="Finito senza sblocco ritenute"),ANAGRAFICA!$K83=""),OR(AND(ANAGRAFICA!$T83&lt;&gt;"",ANAGRAFICA!$J83&lt;&gt;ANAGRAFICA!$T83,OR(ANAGRAFICA!$R83="",ANAGRAFICA!$R83="Nessuna variazione")),AND(ANAGRAFICA!$J83="",ANAGRAFICA!$R83&lt;&gt;"",ANAGRAFICA!$R83&lt;&gt;"Nessuna variazione")),AND($BI86&lt;&gt;"",$BI86&lt;-PARAMETRI!$B$5),AND($BN86&lt;&gt;"",$BN86&gt;PARAMETRI!$B$7),AND($W86&gt;0,$M86&gt;$W86*PARAMETRI!$B$9),AND($O86&gt;0,OR($I86="Finito ritenute non previste",$I86="Finito con sblocco ritenute",$I86="Finito senza sblocco ritenute")),AND($BA86&gt;0,$BO86&gt;0,$BP86=0),AND(OR($I86="Finito ritenute non previste",$I86="Finito con sblocco ritenute",$I86="Finito senza sblocco ritenute"),$W86&gt;0,$N86&gt;$W86*PARAMETRI!$B$9),$V86&gt;0),"ATTENZIONE","REGOLARE"))),"ATTENZIONE")</f>
        <v/>
      </c>
      <c r="B86" s="17" t="str">
        <f>IFERROR(IF($C86="","",IF($BF86&gt;0,"FATTURATO OLTRE VALORE RECUPERABILE; ","")&amp;IF($V86&gt;$J86,"PERDITE ACCETTATE OLTRE CONTRATTO; ","")&amp;IF($V86&gt;0,"PERDITA SAL ACCETTATA (€ "&amp;TEXT($V86,"#,##0.00")&amp;"); ","")&amp;IF(AND(ISNUMBER($Q86),$Q86&gt;0),"RITARDO PRODUTTIVO ("&amp;TEXT($Q86,"0")&amp;" GG); ","")&amp;IF(AND($BI86&lt;&gt;"",$BI86&lt;-PARAMETRI!$B$5),"AVANZAMENTO PIÙ LENTO DEL TEMPO; ","")&amp;IF(AND($BM86&lt;&gt;"",$BM86&gt;1),"ORE OLTRE BUDGET; ","")&amp;IF(AND($BM86&lt;&gt;"",$BM86=1),"ORE PREVENTIVATE ESAURITE; ","")&amp;IF(AND($BN86&lt;&gt;"",$BN86&gt;PARAMETRI!$B$7),"CONSUMO ORE SUPERIORE ALL'AVANZAMENTO; ","")&amp;IF(AND(ISNUMBER($BR86),$BR86&gt;0),"COSTI DIRETTI OLTRE BUDGET; ","")&amp;IF(AND($W86&gt;0,$M86&gt;$W86*PARAMETRI!$B$9),"SAL MATURATO NON FATTURATO; ","")&amp;IF(AND($O86&gt;0,OR($I86="Finito ritenute non previste",$I86="Finito con sblocco ritenute",$I86="Finito senza sblocco ritenute")),"RITENUTE DA SBLOCCARE; ","")&amp;IF(AND($BA86&gt;0,$BO86&gt;0,$BP86=0),"COSTI DIRETTI NON REGISTRATI; ","")&amp;IF(AND(OR($I86="Finito ritenute non previste",$I86="Finito con sblocco ritenute",$I86="Finito senza sblocco ritenute"),$W86&gt;0,$N86&gt;$W86*PARAMETRI!$B$9),"CANTIERE FINITO CON RESIDUO LAVORI; ","")&amp;IF(AND(OR($I86="Finito ritenute non previste",$I86="Finito con sblocco ritenute",$I86="Finito senza sblocco ritenute"),ANAGRAFICA!$K83=""),"DATA FINE EFFETTIVA MANCANTE; ","")&amp;IF(OR(AND(ANAGRAFICA!$T83&lt;&gt;"",ANAGRAFICA!$J83&lt;&gt;ANAGRAFICA!$T83,OR(ANAGRAFICA!$R83="",ANAGRAFICA!$R83="Nessuna variazione")),AND(ANAGRAFICA!$J83="",ANAGRAFICA!$R83&lt;&gt;"",ANAGRAFICA!$R83&lt;&gt;"Nessuna variazione")),"GESTIONE DATA FINE INCOMPLETA; ","")&amp;IF($Y86="","AGGIORNATO AL MANCANTE; ","")&amp;IF(OR($AZ86="",$BJ86="",$BO86="",ANAGRAFICA!$I83="",ANAGRAFICA!$J83=""),"DATI PREVISIONALI INCOMPLETI; ","")&amp;IF(LEFT($C86,5)="TEMP","CODICE COMMESSA TEMPORANEO; ","")),"DATI INCOMPLETI; ")</f>
        <v/>
      </c>
      <c r="C86" s="17" t="str">
        <f>IF(ANAGRAFICA!$B83="","",ANAGRAFICA!$B83)</f>
        <v/>
      </c>
      <c r="D86" s="17" t="str">
        <f>IF($C86="","",ANAGRAFICA!$C83)</f>
        <v/>
      </c>
      <c r="E86" s="17" t="str">
        <f>IF($C86="","",ANAGRAFICA!$D83)</f>
        <v/>
      </c>
      <c r="F86" s="17" t="str">
        <f>IF($C86="","",ANAGRAFICA!$E83)</f>
        <v/>
      </c>
      <c r="G86" s="17" t="str">
        <f>IF($C86="","",ANAGRAFICA!$F83)</f>
        <v/>
      </c>
      <c r="H86" s="17" t="str">
        <f>IF($C86="","",ANAGRAFICA!$G83)</f>
        <v/>
      </c>
      <c r="I86" s="17" t="str">
        <f>IF($C86="","",ANAGRAFICA!$L83)</f>
        <v/>
      </c>
      <c r="J86" s="16" t="str">
        <f t="shared" si="25"/>
        <v/>
      </c>
      <c r="K86" s="16" t="str">
        <f t="shared" si="26"/>
        <v/>
      </c>
      <c r="L86" s="16" t="str">
        <f t="shared" si="27"/>
        <v/>
      </c>
      <c r="M86" s="16" t="str">
        <f t="shared" si="28"/>
        <v/>
      </c>
      <c r="N86" s="16" t="str">
        <f t="shared" si="29"/>
        <v/>
      </c>
      <c r="O86" s="16" t="str">
        <f t="shared" si="30"/>
        <v/>
      </c>
      <c r="P86" s="17" t="str">
        <f t="shared" si="31"/>
        <v/>
      </c>
      <c r="Q86" s="31" t="str">
        <f>IF(OR($C86="",'BUDGET COMMESSA'!$D83="",'BUDGET COMMESSA'!$D83&lt;=0,ANAGRAFICA!$J83=""),"",IF(OR($I86="Finito ritenute non previste",$I86="Finito con sblocco ritenute",$I86="Finito senza sblocco ritenute"),0,IF(AND($BK86&gt;=$BJ86,ANAGRAFICA!$R83="Ritardo produttivo FIDA"),IF(ANAGRAFICA!$T83&lt;&gt;"",MAX(0,ANAGRAFICA!$J83-ANAGRAFICA!$T83),MAX(0,$Y86-ANAGRAFICA!$J83)),0)))</f>
        <v/>
      </c>
      <c r="R86" s="17" t="str">
        <f t="shared" si="32"/>
        <v/>
      </c>
      <c r="S86" s="17" t="str">
        <f t="shared" si="33"/>
        <v/>
      </c>
      <c r="T86" s="17" t="str">
        <f t="shared" si="34"/>
        <v/>
      </c>
      <c r="U86" s="16" t="str">
        <f t="shared" si="35"/>
        <v/>
      </c>
      <c r="V86" s="16" t="str">
        <f t="shared" si="36"/>
        <v/>
      </c>
      <c r="W86" s="16" t="str">
        <f t="shared" si="37"/>
        <v/>
      </c>
      <c r="X86" s="40"/>
      <c r="Y86" s="14"/>
      <c r="AZ86" t="str">
        <f>IF($C86="","",ANAGRAFICA!$P83)</f>
        <v/>
      </c>
      <c r="BA86" t="str">
        <f>IF($C86="","",SUMIF('MOVIMENTI 2026'!$B$7:$B$4206,$C86,'MOVIMENTI 2026'!$I$7:$I$4206)+SUMIF('SALDI AL 31.12.2025'!$A$6:$A$505,$C86,'SALDI AL 31.12.2025'!$C$6:$C$505))</f>
        <v/>
      </c>
      <c r="BB86" t="str">
        <f>IF($C86="","",SUMIF('MOVIMENTI 2026'!$B$7:$B$4206,$C86,'MOVIMENTI 2026'!$J$7:$J$4206)+SUMIF('SALDI AL 31.12.2025'!$A$6:$A$505,$C86,'SALDI AL 31.12.2025'!$D$6:$D$505))</f>
        <v/>
      </c>
      <c r="BC86" t="str">
        <f>IF($C86="","",SUMIF('MOVIMENTI 2026'!$B$7:$B$4206,$C86,'MOVIMENTI 2026'!$K$7:$K$4206)+SUMIF('SALDI AL 31.12.2025'!$A$6:$A$505,$C86,'SALDI AL 31.12.2025'!$E$6:$E$505))</f>
        <v/>
      </c>
      <c r="BD86" t="str">
        <f>IF($C86="","",SUMIF('MOVIMENTI 2026'!$B$7:$B$4206,$C86,'MOVIMENTI 2026'!$L$7:$L$4206)+SUMIF('SALDI AL 31.12.2025'!$A$6:$A$505,$C86,'SALDI AL 31.12.2025'!$F$6:$F$505))</f>
        <v/>
      </c>
      <c r="BE86" t="str">
        <f t="shared" si="38"/>
        <v/>
      </c>
      <c r="BF86" t="str">
        <f t="shared" si="39"/>
        <v/>
      </c>
      <c r="BG86" t="str">
        <f t="shared" si="40"/>
        <v/>
      </c>
      <c r="BH86" t="str">
        <f>IFERROR(IF(OR($C86="",ANAGRAFICA!$I83="",ANAGRAFICA!$J83="",ANAGRAFICA!$J83&lt;=ANAGRAFICA!$I83,$Y86=""),"",IF(OR($I86="Finito ritenute non previste",$I86="Finito con sblocco ritenute",$I86="Finito senza sblocco ritenute"),1,MAX(0,MIN(1,($Y86-ANAGRAFICA!$I83)/(ANAGRAFICA!$J83-ANAGRAFICA!$I83))))),"")</f>
        <v/>
      </c>
      <c r="BI86" t="str">
        <f t="shared" si="41"/>
        <v/>
      </c>
      <c r="BJ86" t="str">
        <f>IFERROR(IF($C86="","",'BUDGET COMMESSA'!$D83),"")</f>
        <v/>
      </c>
      <c r="BK86" t="str">
        <f>IF($C86="","",SUMIF('MOVIMENTI 2026'!$B$7:$B$4206,$C86,'MOVIMENTI 2026'!$N$7:$N$4206)+SUMIF('SALDI AL 31.12.2025'!$A$6:$A$505,$C86,'SALDI AL 31.12.2025'!$H$6:$H$505))</f>
        <v/>
      </c>
      <c r="BL86" t="str">
        <f t="shared" si="42"/>
        <v/>
      </c>
      <c r="BM86" t="str">
        <f t="shared" si="43"/>
        <v/>
      </c>
      <c r="BN86" t="str">
        <f t="shared" si="44"/>
        <v/>
      </c>
      <c r="BO86" t="str">
        <f>IFERROR(IF($C86="","",'BUDGET COMMESSA'!$G83),"")</f>
        <v/>
      </c>
      <c r="BP86" t="str">
        <f>IF($C86="","",SUMIF('COSTI DIRETTI'!$C$6:$C$505,$C86,'COSTI DIRETTI'!$H$6:$H$505)+SUMIF('SALDI AL 31.12.2025'!$A$6:$A$505,$C86,'SALDI AL 31.12.2025'!$I$6:$I$505))</f>
        <v/>
      </c>
      <c r="BQ86" t="str">
        <f t="shared" si="45"/>
        <v/>
      </c>
      <c r="BR86" t="str">
        <f t="shared" si="46"/>
        <v/>
      </c>
      <c r="BS86" t="str">
        <f>IF($C86="","",$BK86*PARAMETRI!$B$4+$BP86)</f>
        <v/>
      </c>
      <c r="BT86">
        <f t="shared" si="47"/>
        <v>0</v>
      </c>
      <c r="BU86">
        <f t="shared" si="48"/>
        <v>0</v>
      </c>
      <c r="BV86" t="str">
        <f>IF($C86="","",SUMIF('MOVIMENTI 2026'!$B$7:$B$4206,$C86,'MOVIMENTI 2026'!$P$7:$P$4206)+SUMIF('SALDI AL 31.12.2025'!$A$6:$A$505,$C86,'SALDI AL 31.12.2025'!$G$6:$G$505))</f>
        <v/>
      </c>
    </row>
    <row r="87" spans="1:74" ht="16" x14ac:dyDescent="0.15">
      <c r="A87" s="17" t="str">
        <f>IFERROR(IF($C87="","",IF(OR($BF87&gt;0,$V87&gt;$J87,AND(ISNUMBER($Q87),$Q87&gt;0),AND($BI87&lt;&gt;"",$BI87&lt;-PARAMETRI!$B$6),AND($BM87&lt;&gt;"",$BM87&gt;=1),AND($BN87&lt;&gt;"",$BN87&gt;PARAMETRI!$B$8),AND(ISNUMBER($BR87),$BR87&gt;0)),"CRITICO",IF(OR($AZ87="",LEFT($C87,5)="TEMP",$BJ87="",$BO87="",ANAGRAFICA!$I84="",ANAGRAFICA!$J84="",$Y87="",AND(OR($I87="Finito ritenute non previste",$I87="Finito con sblocco ritenute",$I87="Finito senza sblocco ritenute"),ANAGRAFICA!$K84=""),OR(AND(ANAGRAFICA!$T84&lt;&gt;"",ANAGRAFICA!$J84&lt;&gt;ANAGRAFICA!$T84,OR(ANAGRAFICA!$R84="",ANAGRAFICA!$R84="Nessuna variazione")),AND(ANAGRAFICA!$J84="",ANAGRAFICA!$R84&lt;&gt;"",ANAGRAFICA!$R84&lt;&gt;"Nessuna variazione")),AND($BI87&lt;&gt;"",$BI87&lt;-PARAMETRI!$B$5),AND($BN87&lt;&gt;"",$BN87&gt;PARAMETRI!$B$7),AND($W87&gt;0,$M87&gt;$W87*PARAMETRI!$B$9),AND($O87&gt;0,OR($I87="Finito ritenute non previste",$I87="Finito con sblocco ritenute",$I87="Finito senza sblocco ritenute")),AND($BA87&gt;0,$BO87&gt;0,$BP87=0),AND(OR($I87="Finito ritenute non previste",$I87="Finito con sblocco ritenute",$I87="Finito senza sblocco ritenute"),$W87&gt;0,$N87&gt;$W87*PARAMETRI!$B$9),$V87&gt;0),"ATTENZIONE","REGOLARE"))),"ATTENZIONE")</f>
        <v/>
      </c>
      <c r="B87" s="17" t="str">
        <f>IFERROR(IF($C87="","",IF($BF87&gt;0,"FATTURATO OLTRE VALORE RECUPERABILE; ","")&amp;IF($V87&gt;$J87,"PERDITE ACCETTATE OLTRE CONTRATTO; ","")&amp;IF($V87&gt;0,"PERDITA SAL ACCETTATA (€ "&amp;TEXT($V87,"#,##0.00")&amp;"); ","")&amp;IF(AND(ISNUMBER($Q87),$Q87&gt;0),"RITARDO PRODUTTIVO ("&amp;TEXT($Q87,"0")&amp;" GG); ","")&amp;IF(AND($BI87&lt;&gt;"",$BI87&lt;-PARAMETRI!$B$5),"AVANZAMENTO PIÙ LENTO DEL TEMPO; ","")&amp;IF(AND($BM87&lt;&gt;"",$BM87&gt;1),"ORE OLTRE BUDGET; ","")&amp;IF(AND($BM87&lt;&gt;"",$BM87=1),"ORE PREVENTIVATE ESAURITE; ","")&amp;IF(AND($BN87&lt;&gt;"",$BN87&gt;PARAMETRI!$B$7),"CONSUMO ORE SUPERIORE ALL'AVANZAMENTO; ","")&amp;IF(AND(ISNUMBER($BR87),$BR87&gt;0),"COSTI DIRETTI OLTRE BUDGET; ","")&amp;IF(AND($W87&gt;0,$M87&gt;$W87*PARAMETRI!$B$9),"SAL MATURATO NON FATTURATO; ","")&amp;IF(AND($O87&gt;0,OR($I87="Finito ritenute non previste",$I87="Finito con sblocco ritenute",$I87="Finito senza sblocco ritenute")),"RITENUTE DA SBLOCCARE; ","")&amp;IF(AND($BA87&gt;0,$BO87&gt;0,$BP87=0),"COSTI DIRETTI NON REGISTRATI; ","")&amp;IF(AND(OR($I87="Finito ritenute non previste",$I87="Finito con sblocco ritenute",$I87="Finito senza sblocco ritenute"),$W87&gt;0,$N87&gt;$W87*PARAMETRI!$B$9),"CANTIERE FINITO CON RESIDUO LAVORI; ","")&amp;IF(AND(OR($I87="Finito ritenute non previste",$I87="Finito con sblocco ritenute",$I87="Finito senza sblocco ritenute"),ANAGRAFICA!$K84=""),"DATA FINE EFFETTIVA MANCANTE; ","")&amp;IF(OR(AND(ANAGRAFICA!$T84&lt;&gt;"",ANAGRAFICA!$J84&lt;&gt;ANAGRAFICA!$T84,OR(ANAGRAFICA!$R84="",ANAGRAFICA!$R84="Nessuna variazione")),AND(ANAGRAFICA!$J84="",ANAGRAFICA!$R84&lt;&gt;"",ANAGRAFICA!$R84&lt;&gt;"Nessuna variazione")),"GESTIONE DATA FINE INCOMPLETA; ","")&amp;IF($Y87="","AGGIORNATO AL MANCANTE; ","")&amp;IF(OR($AZ87="",$BJ87="",$BO87="",ANAGRAFICA!$I84="",ANAGRAFICA!$J84=""),"DATI PREVISIONALI INCOMPLETI; ","")&amp;IF(LEFT($C87,5)="TEMP","CODICE COMMESSA TEMPORANEO; ","")),"DATI INCOMPLETI; ")</f>
        <v/>
      </c>
      <c r="C87" s="17" t="str">
        <f>IF(ANAGRAFICA!$B84="","",ANAGRAFICA!$B84)</f>
        <v/>
      </c>
      <c r="D87" s="17" t="str">
        <f>IF($C87="","",ANAGRAFICA!$C84)</f>
        <v/>
      </c>
      <c r="E87" s="17" t="str">
        <f>IF($C87="","",ANAGRAFICA!$D84)</f>
        <v/>
      </c>
      <c r="F87" s="17" t="str">
        <f>IF($C87="","",ANAGRAFICA!$E84)</f>
        <v/>
      </c>
      <c r="G87" s="17" t="str">
        <f>IF($C87="","",ANAGRAFICA!$F84)</f>
        <v/>
      </c>
      <c r="H87" s="17" t="str">
        <f>IF($C87="","",ANAGRAFICA!$G84)</f>
        <v/>
      </c>
      <c r="I87" s="17" t="str">
        <f>IF($C87="","",ANAGRAFICA!$L84)</f>
        <v/>
      </c>
      <c r="J87" s="16" t="str">
        <f t="shared" si="25"/>
        <v/>
      </c>
      <c r="K87" s="16" t="str">
        <f t="shared" si="26"/>
        <v/>
      </c>
      <c r="L87" s="16" t="str">
        <f t="shared" si="27"/>
        <v/>
      </c>
      <c r="M87" s="16" t="str">
        <f t="shared" si="28"/>
        <v/>
      </c>
      <c r="N87" s="16" t="str">
        <f t="shared" si="29"/>
        <v/>
      </c>
      <c r="O87" s="16" t="str">
        <f t="shared" si="30"/>
        <v/>
      </c>
      <c r="P87" s="17" t="str">
        <f t="shared" si="31"/>
        <v/>
      </c>
      <c r="Q87" s="31" t="str">
        <f>IF(OR($C87="",'BUDGET COMMESSA'!$D84="",'BUDGET COMMESSA'!$D84&lt;=0,ANAGRAFICA!$J84=""),"",IF(OR($I87="Finito ritenute non previste",$I87="Finito con sblocco ritenute",$I87="Finito senza sblocco ritenute"),0,IF(AND($BK87&gt;=$BJ87,ANAGRAFICA!$R84="Ritardo produttivo FIDA"),IF(ANAGRAFICA!$T84&lt;&gt;"",MAX(0,ANAGRAFICA!$J84-ANAGRAFICA!$T84),MAX(0,$Y87-ANAGRAFICA!$J84)),0)))</f>
        <v/>
      </c>
      <c r="R87" s="17" t="str">
        <f t="shared" si="32"/>
        <v/>
      </c>
      <c r="S87" s="17" t="str">
        <f t="shared" si="33"/>
        <v/>
      </c>
      <c r="T87" s="17" t="str">
        <f t="shared" si="34"/>
        <v/>
      </c>
      <c r="U87" s="16" t="str">
        <f t="shared" si="35"/>
        <v/>
      </c>
      <c r="V87" s="16" t="str">
        <f t="shared" si="36"/>
        <v/>
      </c>
      <c r="W87" s="16" t="str">
        <f t="shared" si="37"/>
        <v/>
      </c>
      <c r="X87" s="40"/>
      <c r="Y87" s="14"/>
      <c r="AZ87" t="str">
        <f>IF($C87="","",ANAGRAFICA!$P84)</f>
        <v/>
      </c>
      <c r="BA87" t="str">
        <f>IF($C87="","",SUMIF('MOVIMENTI 2026'!$B$7:$B$4206,$C87,'MOVIMENTI 2026'!$I$7:$I$4206)+SUMIF('SALDI AL 31.12.2025'!$A$6:$A$505,$C87,'SALDI AL 31.12.2025'!$C$6:$C$505))</f>
        <v/>
      </c>
      <c r="BB87" t="str">
        <f>IF($C87="","",SUMIF('MOVIMENTI 2026'!$B$7:$B$4206,$C87,'MOVIMENTI 2026'!$J$7:$J$4206)+SUMIF('SALDI AL 31.12.2025'!$A$6:$A$505,$C87,'SALDI AL 31.12.2025'!$D$6:$D$505))</f>
        <v/>
      </c>
      <c r="BC87" t="str">
        <f>IF($C87="","",SUMIF('MOVIMENTI 2026'!$B$7:$B$4206,$C87,'MOVIMENTI 2026'!$K$7:$K$4206)+SUMIF('SALDI AL 31.12.2025'!$A$6:$A$505,$C87,'SALDI AL 31.12.2025'!$E$6:$E$505))</f>
        <v/>
      </c>
      <c r="BD87" t="str">
        <f>IF($C87="","",SUMIF('MOVIMENTI 2026'!$B$7:$B$4206,$C87,'MOVIMENTI 2026'!$L$7:$L$4206)+SUMIF('SALDI AL 31.12.2025'!$A$6:$A$505,$C87,'SALDI AL 31.12.2025'!$F$6:$F$505))</f>
        <v/>
      </c>
      <c r="BE87" t="str">
        <f t="shared" si="38"/>
        <v/>
      </c>
      <c r="BF87" t="str">
        <f t="shared" si="39"/>
        <v/>
      </c>
      <c r="BG87" t="str">
        <f t="shared" si="40"/>
        <v/>
      </c>
      <c r="BH87" t="str">
        <f>IFERROR(IF(OR($C87="",ANAGRAFICA!$I84="",ANAGRAFICA!$J84="",ANAGRAFICA!$J84&lt;=ANAGRAFICA!$I84,$Y87=""),"",IF(OR($I87="Finito ritenute non previste",$I87="Finito con sblocco ritenute",$I87="Finito senza sblocco ritenute"),1,MAX(0,MIN(1,($Y87-ANAGRAFICA!$I84)/(ANAGRAFICA!$J84-ANAGRAFICA!$I84))))),"")</f>
        <v/>
      </c>
      <c r="BI87" t="str">
        <f t="shared" si="41"/>
        <v/>
      </c>
      <c r="BJ87" t="str">
        <f>IFERROR(IF($C87="","",'BUDGET COMMESSA'!$D84),"")</f>
        <v/>
      </c>
      <c r="BK87" t="str">
        <f>IF($C87="","",SUMIF('MOVIMENTI 2026'!$B$7:$B$4206,$C87,'MOVIMENTI 2026'!$N$7:$N$4206)+SUMIF('SALDI AL 31.12.2025'!$A$6:$A$505,$C87,'SALDI AL 31.12.2025'!$H$6:$H$505))</f>
        <v/>
      </c>
      <c r="BL87" t="str">
        <f t="shared" si="42"/>
        <v/>
      </c>
      <c r="BM87" t="str">
        <f t="shared" si="43"/>
        <v/>
      </c>
      <c r="BN87" t="str">
        <f t="shared" si="44"/>
        <v/>
      </c>
      <c r="BO87" t="str">
        <f>IFERROR(IF($C87="","",'BUDGET COMMESSA'!$G84),"")</f>
        <v/>
      </c>
      <c r="BP87" t="str">
        <f>IF($C87="","",SUMIF('COSTI DIRETTI'!$C$6:$C$505,$C87,'COSTI DIRETTI'!$H$6:$H$505)+SUMIF('SALDI AL 31.12.2025'!$A$6:$A$505,$C87,'SALDI AL 31.12.2025'!$I$6:$I$505))</f>
        <v/>
      </c>
      <c r="BQ87" t="str">
        <f t="shared" si="45"/>
        <v/>
      </c>
      <c r="BR87" t="str">
        <f t="shared" si="46"/>
        <v/>
      </c>
      <c r="BS87" t="str">
        <f>IF($C87="","",$BK87*PARAMETRI!$B$4+$BP87)</f>
        <v/>
      </c>
      <c r="BT87">
        <f t="shared" si="47"/>
        <v>0</v>
      </c>
      <c r="BU87">
        <f t="shared" si="48"/>
        <v>0</v>
      </c>
      <c r="BV87" t="str">
        <f>IF($C87="","",SUMIF('MOVIMENTI 2026'!$B$7:$B$4206,$C87,'MOVIMENTI 2026'!$P$7:$P$4206)+SUMIF('SALDI AL 31.12.2025'!$A$6:$A$505,$C87,'SALDI AL 31.12.2025'!$G$6:$G$505))</f>
        <v/>
      </c>
    </row>
    <row r="88" spans="1:74" ht="16" x14ac:dyDescent="0.15">
      <c r="A88" s="17" t="str">
        <f>IFERROR(IF($C88="","",IF(OR($BF88&gt;0,$V88&gt;$J88,AND(ISNUMBER($Q88),$Q88&gt;0),AND($BI88&lt;&gt;"",$BI88&lt;-PARAMETRI!$B$6),AND($BM88&lt;&gt;"",$BM88&gt;=1),AND($BN88&lt;&gt;"",$BN88&gt;PARAMETRI!$B$8),AND(ISNUMBER($BR88),$BR88&gt;0)),"CRITICO",IF(OR($AZ88="",LEFT($C88,5)="TEMP",$BJ88="",$BO88="",ANAGRAFICA!$I85="",ANAGRAFICA!$J85="",$Y88="",AND(OR($I88="Finito ritenute non previste",$I88="Finito con sblocco ritenute",$I88="Finito senza sblocco ritenute"),ANAGRAFICA!$K85=""),OR(AND(ANAGRAFICA!$T85&lt;&gt;"",ANAGRAFICA!$J85&lt;&gt;ANAGRAFICA!$T85,OR(ANAGRAFICA!$R85="",ANAGRAFICA!$R85="Nessuna variazione")),AND(ANAGRAFICA!$J85="",ANAGRAFICA!$R85&lt;&gt;"",ANAGRAFICA!$R85&lt;&gt;"Nessuna variazione")),AND($BI88&lt;&gt;"",$BI88&lt;-PARAMETRI!$B$5),AND($BN88&lt;&gt;"",$BN88&gt;PARAMETRI!$B$7),AND($W88&gt;0,$M88&gt;$W88*PARAMETRI!$B$9),AND($O88&gt;0,OR($I88="Finito ritenute non previste",$I88="Finito con sblocco ritenute",$I88="Finito senza sblocco ritenute")),AND($BA88&gt;0,$BO88&gt;0,$BP88=0),AND(OR($I88="Finito ritenute non previste",$I88="Finito con sblocco ritenute",$I88="Finito senza sblocco ritenute"),$W88&gt;0,$N88&gt;$W88*PARAMETRI!$B$9),$V88&gt;0),"ATTENZIONE","REGOLARE"))),"ATTENZIONE")</f>
        <v/>
      </c>
      <c r="B88" s="17" t="str">
        <f>IFERROR(IF($C88="","",IF($BF88&gt;0,"FATTURATO OLTRE VALORE RECUPERABILE; ","")&amp;IF($V88&gt;$J88,"PERDITE ACCETTATE OLTRE CONTRATTO; ","")&amp;IF($V88&gt;0,"PERDITA SAL ACCETTATA (€ "&amp;TEXT($V88,"#,##0.00")&amp;"); ","")&amp;IF(AND(ISNUMBER($Q88),$Q88&gt;0),"RITARDO PRODUTTIVO ("&amp;TEXT($Q88,"0")&amp;" GG); ","")&amp;IF(AND($BI88&lt;&gt;"",$BI88&lt;-PARAMETRI!$B$5),"AVANZAMENTO PIÙ LENTO DEL TEMPO; ","")&amp;IF(AND($BM88&lt;&gt;"",$BM88&gt;1),"ORE OLTRE BUDGET; ","")&amp;IF(AND($BM88&lt;&gt;"",$BM88=1),"ORE PREVENTIVATE ESAURITE; ","")&amp;IF(AND($BN88&lt;&gt;"",$BN88&gt;PARAMETRI!$B$7),"CONSUMO ORE SUPERIORE ALL'AVANZAMENTO; ","")&amp;IF(AND(ISNUMBER($BR88),$BR88&gt;0),"COSTI DIRETTI OLTRE BUDGET; ","")&amp;IF(AND($W88&gt;0,$M88&gt;$W88*PARAMETRI!$B$9),"SAL MATURATO NON FATTURATO; ","")&amp;IF(AND($O88&gt;0,OR($I88="Finito ritenute non previste",$I88="Finito con sblocco ritenute",$I88="Finito senza sblocco ritenute")),"RITENUTE DA SBLOCCARE; ","")&amp;IF(AND($BA88&gt;0,$BO88&gt;0,$BP88=0),"COSTI DIRETTI NON REGISTRATI; ","")&amp;IF(AND(OR($I88="Finito ritenute non previste",$I88="Finito con sblocco ritenute",$I88="Finito senza sblocco ritenute"),$W88&gt;0,$N88&gt;$W88*PARAMETRI!$B$9),"CANTIERE FINITO CON RESIDUO LAVORI; ","")&amp;IF(AND(OR($I88="Finito ritenute non previste",$I88="Finito con sblocco ritenute",$I88="Finito senza sblocco ritenute"),ANAGRAFICA!$K85=""),"DATA FINE EFFETTIVA MANCANTE; ","")&amp;IF(OR(AND(ANAGRAFICA!$T85&lt;&gt;"",ANAGRAFICA!$J85&lt;&gt;ANAGRAFICA!$T85,OR(ANAGRAFICA!$R85="",ANAGRAFICA!$R85="Nessuna variazione")),AND(ANAGRAFICA!$J85="",ANAGRAFICA!$R85&lt;&gt;"",ANAGRAFICA!$R85&lt;&gt;"Nessuna variazione")),"GESTIONE DATA FINE INCOMPLETA; ","")&amp;IF($Y88="","AGGIORNATO AL MANCANTE; ","")&amp;IF(OR($AZ88="",$BJ88="",$BO88="",ANAGRAFICA!$I85="",ANAGRAFICA!$J85=""),"DATI PREVISIONALI INCOMPLETI; ","")&amp;IF(LEFT($C88,5)="TEMP","CODICE COMMESSA TEMPORANEO; ","")),"DATI INCOMPLETI; ")</f>
        <v/>
      </c>
      <c r="C88" s="17" t="str">
        <f>IF(ANAGRAFICA!$B85="","",ANAGRAFICA!$B85)</f>
        <v/>
      </c>
      <c r="D88" s="17" t="str">
        <f>IF($C88="","",ANAGRAFICA!$C85)</f>
        <v/>
      </c>
      <c r="E88" s="17" t="str">
        <f>IF($C88="","",ANAGRAFICA!$D85)</f>
        <v/>
      </c>
      <c r="F88" s="17" t="str">
        <f>IF($C88="","",ANAGRAFICA!$E85)</f>
        <v/>
      </c>
      <c r="G88" s="17" t="str">
        <f>IF($C88="","",ANAGRAFICA!$F85)</f>
        <v/>
      </c>
      <c r="H88" s="17" t="str">
        <f>IF($C88="","",ANAGRAFICA!$G85)</f>
        <v/>
      </c>
      <c r="I88" s="17" t="str">
        <f>IF($C88="","",ANAGRAFICA!$L85)</f>
        <v/>
      </c>
      <c r="J88" s="16" t="str">
        <f t="shared" si="25"/>
        <v/>
      </c>
      <c r="K88" s="16" t="str">
        <f t="shared" si="26"/>
        <v/>
      </c>
      <c r="L88" s="16" t="str">
        <f t="shared" si="27"/>
        <v/>
      </c>
      <c r="M88" s="16" t="str">
        <f t="shared" si="28"/>
        <v/>
      </c>
      <c r="N88" s="16" t="str">
        <f t="shared" si="29"/>
        <v/>
      </c>
      <c r="O88" s="16" t="str">
        <f t="shared" si="30"/>
        <v/>
      </c>
      <c r="P88" s="17" t="str">
        <f t="shared" si="31"/>
        <v/>
      </c>
      <c r="Q88" s="31" t="str">
        <f>IF(OR($C88="",'BUDGET COMMESSA'!$D85="",'BUDGET COMMESSA'!$D85&lt;=0,ANAGRAFICA!$J85=""),"",IF(OR($I88="Finito ritenute non previste",$I88="Finito con sblocco ritenute",$I88="Finito senza sblocco ritenute"),0,IF(AND($BK88&gt;=$BJ88,ANAGRAFICA!$R85="Ritardo produttivo FIDA"),IF(ANAGRAFICA!$T85&lt;&gt;"",MAX(0,ANAGRAFICA!$J85-ANAGRAFICA!$T85),MAX(0,$Y88-ANAGRAFICA!$J85)),0)))</f>
        <v/>
      </c>
      <c r="R88" s="17" t="str">
        <f t="shared" si="32"/>
        <v/>
      </c>
      <c r="S88" s="17" t="str">
        <f t="shared" si="33"/>
        <v/>
      </c>
      <c r="T88" s="17" t="str">
        <f t="shared" si="34"/>
        <v/>
      </c>
      <c r="U88" s="16" t="str">
        <f t="shared" si="35"/>
        <v/>
      </c>
      <c r="V88" s="16" t="str">
        <f t="shared" si="36"/>
        <v/>
      </c>
      <c r="W88" s="16" t="str">
        <f t="shared" si="37"/>
        <v/>
      </c>
      <c r="X88" s="40"/>
      <c r="Y88" s="14"/>
      <c r="AZ88" t="str">
        <f>IF($C88="","",ANAGRAFICA!$P85)</f>
        <v/>
      </c>
      <c r="BA88" t="str">
        <f>IF($C88="","",SUMIF('MOVIMENTI 2026'!$B$7:$B$4206,$C88,'MOVIMENTI 2026'!$I$7:$I$4206)+SUMIF('SALDI AL 31.12.2025'!$A$6:$A$505,$C88,'SALDI AL 31.12.2025'!$C$6:$C$505))</f>
        <v/>
      </c>
      <c r="BB88" t="str">
        <f>IF($C88="","",SUMIF('MOVIMENTI 2026'!$B$7:$B$4206,$C88,'MOVIMENTI 2026'!$J$7:$J$4206)+SUMIF('SALDI AL 31.12.2025'!$A$6:$A$505,$C88,'SALDI AL 31.12.2025'!$D$6:$D$505))</f>
        <v/>
      </c>
      <c r="BC88" t="str">
        <f>IF($C88="","",SUMIF('MOVIMENTI 2026'!$B$7:$B$4206,$C88,'MOVIMENTI 2026'!$K$7:$K$4206)+SUMIF('SALDI AL 31.12.2025'!$A$6:$A$505,$C88,'SALDI AL 31.12.2025'!$E$6:$E$505))</f>
        <v/>
      </c>
      <c r="BD88" t="str">
        <f>IF($C88="","",SUMIF('MOVIMENTI 2026'!$B$7:$B$4206,$C88,'MOVIMENTI 2026'!$L$7:$L$4206)+SUMIF('SALDI AL 31.12.2025'!$A$6:$A$505,$C88,'SALDI AL 31.12.2025'!$F$6:$F$505))</f>
        <v/>
      </c>
      <c r="BE88" t="str">
        <f t="shared" si="38"/>
        <v/>
      </c>
      <c r="BF88" t="str">
        <f t="shared" si="39"/>
        <v/>
      </c>
      <c r="BG88" t="str">
        <f t="shared" si="40"/>
        <v/>
      </c>
      <c r="BH88" t="str">
        <f>IFERROR(IF(OR($C88="",ANAGRAFICA!$I85="",ANAGRAFICA!$J85="",ANAGRAFICA!$J85&lt;=ANAGRAFICA!$I85,$Y88=""),"",IF(OR($I88="Finito ritenute non previste",$I88="Finito con sblocco ritenute",$I88="Finito senza sblocco ritenute"),1,MAX(0,MIN(1,($Y88-ANAGRAFICA!$I85)/(ANAGRAFICA!$J85-ANAGRAFICA!$I85))))),"")</f>
        <v/>
      </c>
      <c r="BI88" t="str">
        <f t="shared" si="41"/>
        <v/>
      </c>
      <c r="BJ88" t="str">
        <f>IFERROR(IF($C88="","",'BUDGET COMMESSA'!$D85),"")</f>
        <v/>
      </c>
      <c r="BK88" t="str">
        <f>IF($C88="","",SUMIF('MOVIMENTI 2026'!$B$7:$B$4206,$C88,'MOVIMENTI 2026'!$N$7:$N$4206)+SUMIF('SALDI AL 31.12.2025'!$A$6:$A$505,$C88,'SALDI AL 31.12.2025'!$H$6:$H$505))</f>
        <v/>
      </c>
      <c r="BL88" t="str">
        <f t="shared" si="42"/>
        <v/>
      </c>
      <c r="BM88" t="str">
        <f t="shared" si="43"/>
        <v/>
      </c>
      <c r="BN88" t="str">
        <f t="shared" si="44"/>
        <v/>
      </c>
      <c r="BO88" t="str">
        <f>IFERROR(IF($C88="","",'BUDGET COMMESSA'!$G85),"")</f>
        <v/>
      </c>
      <c r="BP88" t="str">
        <f>IF($C88="","",SUMIF('COSTI DIRETTI'!$C$6:$C$505,$C88,'COSTI DIRETTI'!$H$6:$H$505)+SUMIF('SALDI AL 31.12.2025'!$A$6:$A$505,$C88,'SALDI AL 31.12.2025'!$I$6:$I$505))</f>
        <v/>
      </c>
      <c r="BQ88" t="str">
        <f t="shared" si="45"/>
        <v/>
      </c>
      <c r="BR88" t="str">
        <f t="shared" si="46"/>
        <v/>
      </c>
      <c r="BS88" t="str">
        <f>IF($C88="","",$BK88*PARAMETRI!$B$4+$BP88)</f>
        <v/>
      </c>
      <c r="BT88">
        <f t="shared" si="47"/>
        <v>0</v>
      </c>
      <c r="BU88">
        <f t="shared" si="48"/>
        <v>0</v>
      </c>
      <c r="BV88" t="str">
        <f>IF($C88="","",SUMIF('MOVIMENTI 2026'!$B$7:$B$4206,$C88,'MOVIMENTI 2026'!$P$7:$P$4206)+SUMIF('SALDI AL 31.12.2025'!$A$6:$A$505,$C88,'SALDI AL 31.12.2025'!$G$6:$G$505))</f>
        <v/>
      </c>
    </row>
    <row r="89" spans="1:74" ht="16" x14ac:dyDescent="0.15">
      <c r="A89" s="17" t="str">
        <f>IFERROR(IF($C89="","",IF(OR($BF89&gt;0,$V89&gt;$J89,AND(ISNUMBER($Q89),$Q89&gt;0),AND($BI89&lt;&gt;"",$BI89&lt;-PARAMETRI!$B$6),AND($BM89&lt;&gt;"",$BM89&gt;=1),AND($BN89&lt;&gt;"",$BN89&gt;PARAMETRI!$B$8),AND(ISNUMBER($BR89),$BR89&gt;0)),"CRITICO",IF(OR($AZ89="",LEFT($C89,5)="TEMP",$BJ89="",$BO89="",ANAGRAFICA!$I86="",ANAGRAFICA!$J86="",$Y89="",AND(OR($I89="Finito ritenute non previste",$I89="Finito con sblocco ritenute",$I89="Finito senza sblocco ritenute"),ANAGRAFICA!$K86=""),OR(AND(ANAGRAFICA!$T86&lt;&gt;"",ANAGRAFICA!$J86&lt;&gt;ANAGRAFICA!$T86,OR(ANAGRAFICA!$R86="",ANAGRAFICA!$R86="Nessuna variazione")),AND(ANAGRAFICA!$J86="",ANAGRAFICA!$R86&lt;&gt;"",ANAGRAFICA!$R86&lt;&gt;"Nessuna variazione")),AND($BI89&lt;&gt;"",$BI89&lt;-PARAMETRI!$B$5),AND($BN89&lt;&gt;"",$BN89&gt;PARAMETRI!$B$7),AND($W89&gt;0,$M89&gt;$W89*PARAMETRI!$B$9),AND($O89&gt;0,OR($I89="Finito ritenute non previste",$I89="Finito con sblocco ritenute",$I89="Finito senza sblocco ritenute")),AND($BA89&gt;0,$BO89&gt;0,$BP89=0),AND(OR($I89="Finito ritenute non previste",$I89="Finito con sblocco ritenute",$I89="Finito senza sblocco ritenute"),$W89&gt;0,$N89&gt;$W89*PARAMETRI!$B$9),$V89&gt;0),"ATTENZIONE","REGOLARE"))),"ATTENZIONE")</f>
        <v/>
      </c>
      <c r="B89" s="17" t="str">
        <f>IFERROR(IF($C89="","",IF($BF89&gt;0,"FATTURATO OLTRE VALORE RECUPERABILE; ","")&amp;IF($V89&gt;$J89,"PERDITE ACCETTATE OLTRE CONTRATTO; ","")&amp;IF($V89&gt;0,"PERDITA SAL ACCETTATA (€ "&amp;TEXT($V89,"#,##0.00")&amp;"); ","")&amp;IF(AND(ISNUMBER($Q89),$Q89&gt;0),"RITARDO PRODUTTIVO ("&amp;TEXT($Q89,"0")&amp;" GG); ","")&amp;IF(AND($BI89&lt;&gt;"",$BI89&lt;-PARAMETRI!$B$5),"AVANZAMENTO PIÙ LENTO DEL TEMPO; ","")&amp;IF(AND($BM89&lt;&gt;"",$BM89&gt;1),"ORE OLTRE BUDGET; ","")&amp;IF(AND($BM89&lt;&gt;"",$BM89=1),"ORE PREVENTIVATE ESAURITE; ","")&amp;IF(AND($BN89&lt;&gt;"",$BN89&gt;PARAMETRI!$B$7),"CONSUMO ORE SUPERIORE ALL'AVANZAMENTO; ","")&amp;IF(AND(ISNUMBER($BR89),$BR89&gt;0),"COSTI DIRETTI OLTRE BUDGET; ","")&amp;IF(AND($W89&gt;0,$M89&gt;$W89*PARAMETRI!$B$9),"SAL MATURATO NON FATTURATO; ","")&amp;IF(AND($O89&gt;0,OR($I89="Finito ritenute non previste",$I89="Finito con sblocco ritenute",$I89="Finito senza sblocco ritenute")),"RITENUTE DA SBLOCCARE; ","")&amp;IF(AND($BA89&gt;0,$BO89&gt;0,$BP89=0),"COSTI DIRETTI NON REGISTRATI; ","")&amp;IF(AND(OR($I89="Finito ritenute non previste",$I89="Finito con sblocco ritenute",$I89="Finito senza sblocco ritenute"),$W89&gt;0,$N89&gt;$W89*PARAMETRI!$B$9),"CANTIERE FINITO CON RESIDUO LAVORI; ","")&amp;IF(AND(OR($I89="Finito ritenute non previste",$I89="Finito con sblocco ritenute",$I89="Finito senza sblocco ritenute"),ANAGRAFICA!$K86=""),"DATA FINE EFFETTIVA MANCANTE; ","")&amp;IF(OR(AND(ANAGRAFICA!$T86&lt;&gt;"",ANAGRAFICA!$J86&lt;&gt;ANAGRAFICA!$T86,OR(ANAGRAFICA!$R86="",ANAGRAFICA!$R86="Nessuna variazione")),AND(ANAGRAFICA!$J86="",ANAGRAFICA!$R86&lt;&gt;"",ANAGRAFICA!$R86&lt;&gt;"Nessuna variazione")),"GESTIONE DATA FINE INCOMPLETA; ","")&amp;IF($Y89="","AGGIORNATO AL MANCANTE; ","")&amp;IF(OR($AZ89="",$BJ89="",$BO89="",ANAGRAFICA!$I86="",ANAGRAFICA!$J86=""),"DATI PREVISIONALI INCOMPLETI; ","")&amp;IF(LEFT($C89,5)="TEMP","CODICE COMMESSA TEMPORANEO; ","")),"DATI INCOMPLETI; ")</f>
        <v/>
      </c>
      <c r="C89" s="17" t="str">
        <f>IF(ANAGRAFICA!$B86="","",ANAGRAFICA!$B86)</f>
        <v/>
      </c>
      <c r="D89" s="17" t="str">
        <f>IF($C89="","",ANAGRAFICA!$C86)</f>
        <v/>
      </c>
      <c r="E89" s="17" t="str">
        <f>IF($C89="","",ANAGRAFICA!$D86)</f>
        <v/>
      </c>
      <c r="F89" s="17" t="str">
        <f>IF($C89="","",ANAGRAFICA!$E86)</f>
        <v/>
      </c>
      <c r="G89" s="17" t="str">
        <f>IF($C89="","",ANAGRAFICA!$F86)</f>
        <v/>
      </c>
      <c r="H89" s="17" t="str">
        <f>IF($C89="","",ANAGRAFICA!$G86)</f>
        <v/>
      </c>
      <c r="I89" s="17" t="str">
        <f>IF($C89="","",ANAGRAFICA!$L86)</f>
        <v/>
      </c>
      <c r="J89" s="16" t="str">
        <f t="shared" si="25"/>
        <v/>
      </c>
      <c r="K89" s="16" t="str">
        <f t="shared" si="26"/>
        <v/>
      </c>
      <c r="L89" s="16" t="str">
        <f t="shared" si="27"/>
        <v/>
      </c>
      <c r="M89" s="16" t="str">
        <f t="shared" si="28"/>
        <v/>
      </c>
      <c r="N89" s="16" t="str">
        <f t="shared" si="29"/>
        <v/>
      </c>
      <c r="O89" s="16" t="str">
        <f t="shared" si="30"/>
        <v/>
      </c>
      <c r="P89" s="17" t="str">
        <f t="shared" si="31"/>
        <v/>
      </c>
      <c r="Q89" s="31" t="str">
        <f>IF(OR($C89="",'BUDGET COMMESSA'!$D86="",'BUDGET COMMESSA'!$D86&lt;=0,ANAGRAFICA!$J86=""),"",IF(OR($I89="Finito ritenute non previste",$I89="Finito con sblocco ritenute",$I89="Finito senza sblocco ritenute"),0,IF(AND($BK89&gt;=$BJ89,ANAGRAFICA!$R86="Ritardo produttivo FIDA"),IF(ANAGRAFICA!$T86&lt;&gt;"",MAX(0,ANAGRAFICA!$J86-ANAGRAFICA!$T86),MAX(0,$Y89-ANAGRAFICA!$J86)),0)))</f>
        <v/>
      </c>
      <c r="R89" s="17" t="str">
        <f t="shared" si="32"/>
        <v/>
      </c>
      <c r="S89" s="17" t="str">
        <f t="shared" si="33"/>
        <v/>
      </c>
      <c r="T89" s="17" t="str">
        <f t="shared" si="34"/>
        <v/>
      </c>
      <c r="U89" s="16" t="str">
        <f t="shared" si="35"/>
        <v/>
      </c>
      <c r="V89" s="16" t="str">
        <f t="shared" si="36"/>
        <v/>
      </c>
      <c r="W89" s="16" t="str">
        <f t="shared" si="37"/>
        <v/>
      </c>
      <c r="X89" s="40"/>
      <c r="Y89" s="14"/>
      <c r="AZ89" t="str">
        <f>IF($C89="","",ANAGRAFICA!$P86)</f>
        <v/>
      </c>
      <c r="BA89" t="str">
        <f>IF($C89="","",SUMIF('MOVIMENTI 2026'!$B$7:$B$4206,$C89,'MOVIMENTI 2026'!$I$7:$I$4206)+SUMIF('SALDI AL 31.12.2025'!$A$6:$A$505,$C89,'SALDI AL 31.12.2025'!$C$6:$C$505))</f>
        <v/>
      </c>
      <c r="BB89" t="str">
        <f>IF($C89="","",SUMIF('MOVIMENTI 2026'!$B$7:$B$4206,$C89,'MOVIMENTI 2026'!$J$7:$J$4206)+SUMIF('SALDI AL 31.12.2025'!$A$6:$A$505,$C89,'SALDI AL 31.12.2025'!$D$6:$D$505))</f>
        <v/>
      </c>
      <c r="BC89" t="str">
        <f>IF($C89="","",SUMIF('MOVIMENTI 2026'!$B$7:$B$4206,$C89,'MOVIMENTI 2026'!$K$7:$K$4206)+SUMIF('SALDI AL 31.12.2025'!$A$6:$A$505,$C89,'SALDI AL 31.12.2025'!$E$6:$E$505))</f>
        <v/>
      </c>
      <c r="BD89" t="str">
        <f>IF($C89="","",SUMIF('MOVIMENTI 2026'!$B$7:$B$4206,$C89,'MOVIMENTI 2026'!$L$7:$L$4206)+SUMIF('SALDI AL 31.12.2025'!$A$6:$A$505,$C89,'SALDI AL 31.12.2025'!$F$6:$F$505))</f>
        <v/>
      </c>
      <c r="BE89" t="str">
        <f t="shared" si="38"/>
        <v/>
      </c>
      <c r="BF89" t="str">
        <f t="shared" si="39"/>
        <v/>
      </c>
      <c r="BG89" t="str">
        <f t="shared" si="40"/>
        <v/>
      </c>
      <c r="BH89" t="str">
        <f>IFERROR(IF(OR($C89="",ANAGRAFICA!$I86="",ANAGRAFICA!$J86="",ANAGRAFICA!$J86&lt;=ANAGRAFICA!$I86,$Y89=""),"",IF(OR($I89="Finito ritenute non previste",$I89="Finito con sblocco ritenute",$I89="Finito senza sblocco ritenute"),1,MAX(0,MIN(1,($Y89-ANAGRAFICA!$I86)/(ANAGRAFICA!$J86-ANAGRAFICA!$I86))))),"")</f>
        <v/>
      </c>
      <c r="BI89" t="str">
        <f t="shared" si="41"/>
        <v/>
      </c>
      <c r="BJ89" t="str">
        <f>IFERROR(IF($C89="","",'BUDGET COMMESSA'!$D86),"")</f>
        <v/>
      </c>
      <c r="BK89" t="str">
        <f>IF($C89="","",SUMIF('MOVIMENTI 2026'!$B$7:$B$4206,$C89,'MOVIMENTI 2026'!$N$7:$N$4206)+SUMIF('SALDI AL 31.12.2025'!$A$6:$A$505,$C89,'SALDI AL 31.12.2025'!$H$6:$H$505))</f>
        <v/>
      </c>
      <c r="BL89" t="str">
        <f t="shared" si="42"/>
        <v/>
      </c>
      <c r="BM89" t="str">
        <f t="shared" si="43"/>
        <v/>
      </c>
      <c r="BN89" t="str">
        <f t="shared" si="44"/>
        <v/>
      </c>
      <c r="BO89" t="str">
        <f>IFERROR(IF($C89="","",'BUDGET COMMESSA'!$G86),"")</f>
        <v/>
      </c>
      <c r="BP89" t="str">
        <f>IF($C89="","",SUMIF('COSTI DIRETTI'!$C$6:$C$505,$C89,'COSTI DIRETTI'!$H$6:$H$505)+SUMIF('SALDI AL 31.12.2025'!$A$6:$A$505,$C89,'SALDI AL 31.12.2025'!$I$6:$I$505))</f>
        <v/>
      </c>
      <c r="BQ89" t="str">
        <f t="shared" si="45"/>
        <v/>
      </c>
      <c r="BR89" t="str">
        <f t="shared" si="46"/>
        <v/>
      </c>
      <c r="BS89" t="str">
        <f>IF($C89="","",$BK89*PARAMETRI!$B$4+$BP89)</f>
        <v/>
      </c>
      <c r="BT89">
        <f t="shared" si="47"/>
        <v>0</v>
      </c>
      <c r="BU89">
        <f t="shared" si="48"/>
        <v>0</v>
      </c>
      <c r="BV89" t="str">
        <f>IF($C89="","",SUMIF('MOVIMENTI 2026'!$B$7:$B$4206,$C89,'MOVIMENTI 2026'!$P$7:$P$4206)+SUMIF('SALDI AL 31.12.2025'!$A$6:$A$505,$C89,'SALDI AL 31.12.2025'!$G$6:$G$505))</f>
        <v/>
      </c>
    </row>
    <row r="90" spans="1:74" ht="16" x14ac:dyDescent="0.15">
      <c r="A90" s="17" t="str">
        <f>IFERROR(IF($C90="","",IF(OR($BF90&gt;0,$V90&gt;$J90,AND(ISNUMBER($Q90),$Q90&gt;0),AND($BI90&lt;&gt;"",$BI90&lt;-PARAMETRI!$B$6),AND($BM90&lt;&gt;"",$BM90&gt;=1),AND($BN90&lt;&gt;"",$BN90&gt;PARAMETRI!$B$8),AND(ISNUMBER($BR90),$BR90&gt;0)),"CRITICO",IF(OR($AZ90="",LEFT($C90,5)="TEMP",$BJ90="",$BO90="",ANAGRAFICA!$I87="",ANAGRAFICA!$J87="",$Y90="",AND(OR($I90="Finito ritenute non previste",$I90="Finito con sblocco ritenute",$I90="Finito senza sblocco ritenute"),ANAGRAFICA!$K87=""),OR(AND(ANAGRAFICA!$T87&lt;&gt;"",ANAGRAFICA!$J87&lt;&gt;ANAGRAFICA!$T87,OR(ANAGRAFICA!$R87="",ANAGRAFICA!$R87="Nessuna variazione")),AND(ANAGRAFICA!$J87="",ANAGRAFICA!$R87&lt;&gt;"",ANAGRAFICA!$R87&lt;&gt;"Nessuna variazione")),AND($BI90&lt;&gt;"",$BI90&lt;-PARAMETRI!$B$5),AND($BN90&lt;&gt;"",$BN90&gt;PARAMETRI!$B$7),AND($W90&gt;0,$M90&gt;$W90*PARAMETRI!$B$9),AND($O90&gt;0,OR($I90="Finito ritenute non previste",$I90="Finito con sblocco ritenute",$I90="Finito senza sblocco ritenute")),AND($BA90&gt;0,$BO90&gt;0,$BP90=0),AND(OR($I90="Finito ritenute non previste",$I90="Finito con sblocco ritenute",$I90="Finito senza sblocco ritenute"),$W90&gt;0,$N90&gt;$W90*PARAMETRI!$B$9),$V90&gt;0),"ATTENZIONE","REGOLARE"))),"ATTENZIONE")</f>
        <v/>
      </c>
      <c r="B90" s="17" t="str">
        <f>IFERROR(IF($C90="","",IF($BF90&gt;0,"FATTURATO OLTRE VALORE RECUPERABILE; ","")&amp;IF($V90&gt;$J90,"PERDITE ACCETTATE OLTRE CONTRATTO; ","")&amp;IF($V90&gt;0,"PERDITA SAL ACCETTATA (€ "&amp;TEXT($V90,"#,##0.00")&amp;"); ","")&amp;IF(AND(ISNUMBER($Q90),$Q90&gt;0),"RITARDO PRODUTTIVO ("&amp;TEXT($Q90,"0")&amp;" GG); ","")&amp;IF(AND($BI90&lt;&gt;"",$BI90&lt;-PARAMETRI!$B$5),"AVANZAMENTO PIÙ LENTO DEL TEMPO; ","")&amp;IF(AND($BM90&lt;&gt;"",$BM90&gt;1),"ORE OLTRE BUDGET; ","")&amp;IF(AND($BM90&lt;&gt;"",$BM90=1),"ORE PREVENTIVATE ESAURITE; ","")&amp;IF(AND($BN90&lt;&gt;"",$BN90&gt;PARAMETRI!$B$7),"CONSUMO ORE SUPERIORE ALL'AVANZAMENTO; ","")&amp;IF(AND(ISNUMBER($BR90),$BR90&gt;0),"COSTI DIRETTI OLTRE BUDGET; ","")&amp;IF(AND($W90&gt;0,$M90&gt;$W90*PARAMETRI!$B$9),"SAL MATURATO NON FATTURATO; ","")&amp;IF(AND($O90&gt;0,OR($I90="Finito ritenute non previste",$I90="Finito con sblocco ritenute",$I90="Finito senza sblocco ritenute")),"RITENUTE DA SBLOCCARE; ","")&amp;IF(AND($BA90&gt;0,$BO90&gt;0,$BP90=0),"COSTI DIRETTI NON REGISTRATI; ","")&amp;IF(AND(OR($I90="Finito ritenute non previste",$I90="Finito con sblocco ritenute",$I90="Finito senza sblocco ritenute"),$W90&gt;0,$N90&gt;$W90*PARAMETRI!$B$9),"CANTIERE FINITO CON RESIDUO LAVORI; ","")&amp;IF(AND(OR($I90="Finito ritenute non previste",$I90="Finito con sblocco ritenute",$I90="Finito senza sblocco ritenute"),ANAGRAFICA!$K87=""),"DATA FINE EFFETTIVA MANCANTE; ","")&amp;IF(OR(AND(ANAGRAFICA!$T87&lt;&gt;"",ANAGRAFICA!$J87&lt;&gt;ANAGRAFICA!$T87,OR(ANAGRAFICA!$R87="",ANAGRAFICA!$R87="Nessuna variazione")),AND(ANAGRAFICA!$J87="",ANAGRAFICA!$R87&lt;&gt;"",ANAGRAFICA!$R87&lt;&gt;"Nessuna variazione")),"GESTIONE DATA FINE INCOMPLETA; ","")&amp;IF($Y90="","AGGIORNATO AL MANCANTE; ","")&amp;IF(OR($AZ90="",$BJ90="",$BO90="",ANAGRAFICA!$I87="",ANAGRAFICA!$J87=""),"DATI PREVISIONALI INCOMPLETI; ","")&amp;IF(LEFT($C90,5)="TEMP","CODICE COMMESSA TEMPORANEO; ","")),"DATI INCOMPLETI; ")</f>
        <v/>
      </c>
      <c r="C90" s="17" t="str">
        <f>IF(ANAGRAFICA!$B87="","",ANAGRAFICA!$B87)</f>
        <v/>
      </c>
      <c r="D90" s="17" t="str">
        <f>IF($C90="","",ANAGRAFICA!$C87)</f>
        <v/>
      </c>
      <c r="E90" s="17" t="str">
        <f>IF($C90="","",ANAGRAFICA!$D87)</f>
        <v/>
      </c>
      <c r="F90" s="17" t="str">
        <f>IF($C90="","",ANAGRAFICA!$E87)</f>
        <v/>
      </c>
      <c r="G90" s="17" t="str">
        <f>IF($C90="","",ANAGRAFICA!$F87)</f>
        <v/>
      </c>
      <c r="H90" s="17" t="str">
        <f>IF($C90="","",ANAGRAFICA!$G87)</f>
        <v/>
      </c>
      <c r="I90" s="17" t="str">
        <f>IF($C90="","",ANAGRAFICA!$L87)</f>
        <v/>
      </c>
      <c r="J90" s="16" t="str">
        <f t="shared" si="25"/>
        <v/>
      </c>
      <c r="K90" s="16" t="str">
        <f t="shared" si="26"/>
        <v/>
      </c>
      <c r="L90" s="16" t="str">
        <f t="shared" si="27"/>
        <v/>
      </c>
      <c r="M90" s="16" t="str">
        <f t="shared" si="28"/>
        <v/>
      </c>
      <c r="N90" s="16" t="str">
        <f t="shared" si="29"/>
        <v/>
      </c>
      <c r="O90" s="16" t="str">
        <f t="shared" si="30"/>
        <v/>
      </c>
      <c r="P90" s="17" t="str">
        <f t="shared" si="31"/>
        <v/>
      </c>
      <c r="Q90" s="31" t="str">
        <f>IF(OR($C90="",'BUDGET COMMESSA'!$D87="",'BUDGET COMMESSA'!$D87&lt;=0,ANAGRAFICA!$J87=""),"",IF(OR($I90="Finito ritenute non previste",$I90="Finito con sblocco ritenute",$I90="Finito senza sblocco ritenute"),0,IF(AND($BK90&gt;=$BJ90,ANAGRAFICA!$R87="Ritardo produttivo FIDA"),IF(ANAGRAFICA!$T87&lt;&gt;"",MAX(0,ANAGRAFICA!$J87-ANAGRAFICA!$T87),MAX(0,$Y90-ANAGRAFICA!$J87)),0)))</f>
        <v/>
      </c>
      <c r="R90" s="17" t="str">
        <f t="shared" si="32"/>
        <v/>
      </c>
      <c r="S90" s="17" t="str">
        <f t="shared" si="33"/>
        <v/>
      </c>
      <c r="T90" s="17" t="str">
        <f t="shared" si="34"/>
        <v/>
      </c>
      <c r="U90" s="16" t="str">
        <f t="shared" si="35"/>
        <v/>
      </c>
      <c r="V90" s="16" t="str">
        <f t="shared" si="36"/>
        <v/>
      </c>
      <c r="W90" s="16" t="str">
        <f t="shared" si="37"/>
        <v/>
      </c>
      <c r="X90" s="40"/>
      <c r="Y90" s="14"/>
      <c r="AZ90" t="str">
        <f>IF($C90="","",ANAGRAFICA!$P87)</f>
        <v/>
      </c>
      <c r="BA90" t="str">
        <f>IF($C90="","",SUMIF('MOVIMENTI 2026'!$B$7:$B$4206,$C90,'MOVIMENTI 2026'!$I$7:$I$4206)+SUMIF('SALDI AL 31.12.2025'!$A$6:$A$505,$C90,'SALDI AL 31.12.2025'!$C$6:$C$505))</f>
        <v/>
      </c>
      <c r="BB90" t="str">
        <f>IF($C90="","",SUMIF('MOVIMENTI 2026'!$B$7:$B$4206,$C90,'MOVIMENTI 2026'!$J$7:$J$4206)+SUMIF('SALDI AL 31.12.2025'!$A$6:$A$505,$C90,'SALDI AL 31.12.2025'!$D$6:$D$505))</f>
        <v/>
      </c>
      <c r="BC90" t="str">
        <f>IF($C90="","",SUMIF('MOVIMENTI 2026'!$B$7:$B$4206,$C90,'MOVIMENTI 2026'!$K$7:$K$4206)+SUMIF('SALDI AL 31.12.2025'!$A$6:$A$505,$C90,'SALDI AL 31.12.2025'!$E$6:$E$505))</f>
        <v/>
      </c>
      <c r="BD90" t="str">
        <f>IF($C90="","",SUMIF('MOVIMENTI 2026'!$B$7:$B$4206,$C90,'MOVIMENTI 2026'!$L$7:$L$4206)+SUMIF('SALDI AL 31.12.2025'!$A$6:$A$505,$C90,'SALDI AL 31.12.2025'!$F$6:$F$505))</f>
        <v/>
      </c>
      <c r="BE90" t="str">
        <f t="shared" si="38"/>
        <v/>
      </c>
      <c r="BF90" t="str">
        <f t="shared" si="39"/>
        <v/>
      </c>
      <c r="BG90" t="str">
        <f t="shared" si="40"/>
        <v/>
      </c>
      <c r="BH90" t="str">
        <f>IFERROR(IF(OR($C90="",ANAGRAFICA!$I87="",ANAGRAFICA!$J87="",ANAGRAFICA!$J87&lt;=ANAGRAFICA!$I87,$Y90=""),"",IF(OR($I90="Finito ritenute non previste",$I90="Finito con sblocco ritenute",$I90="Finito senza sblocco ritenute"),1,MAX(0,MIN(1,($Y90-ANAGRAFICA!$I87)/(ANAGRAFICA!$J87-ANAGRAFICA!$I87))))),"")</f>
        <v/>
      </c>
      <c r="BI90" t="str">
        <f t="shared" si="41"/>
        <v/>
      </c>
      <c r="BJ90" t="str">
        <f>IFERROR(IF($C90="","",'BUDGET COMMESSA'!$D87),"")</f>
        <v/>
      </c>
      <c r="BK90" t="str">
        <f>IF($C90="","",SUMIF('MOVIMENTI 2026'!$B$7:$B$4206,$C90,'MOVIMENTI 2026'!$N$7:$N$4206)+SUMIF('SALDI AL 31.12.2025'!$A$6:$A$505,$C90,'SALDI AL 31.12.2025'!$H$6:$H$505))</f>
        <v/>
      </c>
      <c r="BL90" t="str">
        <f t="shared" si="42"/>
        <v/>
      </c>
      <c r="BM90" t="str">
        <f t="shared" si="43"/>
        <v/>
      </c>
      <c r="BN90" t="str">
        <f t="shared" si="44"/>
        <v/>
      </c>
      <c r="BO90" t="str">
        <f>IFERROR(IF($C90="","",'BUDGET COMMESSA'!$G87),"")</f>
        <v/>
      </c>
      <c r="BP90" t="str">
        <f>IF($C90="","",SUMIF('COSTI DIRETTI'!$C$6:$C$505,$C90,'COSTI DIRETTI'!$H$6:$H$505)+SUMIF('SALDI AL 31.12.2025'!$A$6:$A$505,$C90,'SALDI AL 31.12.2025'!$I$6:$I$505))</f>
        <v/>
      </c>
      <c r="BQ90" t="str">
        <f t="shared" si="45"/>
        <v/>
      </c>
      <c r="BR90" t="str">
        <f t="shared" si="46"/>
        <v/>
      </c>
      <c r="BS90" t="str">
        <f>IF($C90="","",$BK90*PARAMETRI!$B$4+$BP90)</f>
        <v/>
      </c>
      <c r="BT90">
        <f t="shared" si="47"/>
        <v>0</v>
      </c>
      <c r="BU90">
        <f t="shared" si="48"/>
        <v>0</v>
      </c>
      <c r="BV90" t="str">
        <f>IF($C90="","",SUMIF('MOVIMENTI 2026'!$B$7:$B$4206,$C90,'MOVIMENTI 2026'!$P$7:$P$4206)+SUMIF('SALDI AL 31.12.2025'!$A$6:$A$505,$C90,'SALDI AL 31.12.2025'!$G$6:$G$505))</f>
        <v/>
      </c>
    </row>
    <row r="91" spans="1:74" ht="16" x14ac:dyDescent="0.15">
      <c r="A91" s="17" t="str">
        <f>IFERROR(IF($C91="","",IF(OR($BF91&gt;0,$V91&gt;$J91,AND(ISNUMBER($Q91),$Q91&gt;0),AND($BI91&lt;&gt;"",$BI91&lt;-PARAMETRI!$B$6),AND($BM91&lt;&gt;"",$BM91&gt;=1),AND($BN91&lt;&gt;"",$BN91&gt;PARAMETRI!$B$8),AND(ISNUMBER($BR91),$BR91&gt;0)),"CRITICO",IF(OR($AZ91="",LEFT($C91,5)="TEMP",$BJ91="",$BO91="",ANAGRAFICA!$I88="",ANAGRAFICA!$J88="",$Y91="",AND(OR($I91="Finito ritenute non previste",$I91="Finito con sblocco ritenute",$I91="Finito senza sblocco ritenute"),ANAGRAFICA!$K88=""),OR(AND(ANAGRAFICA!$T88&lt;&gt;"",ANAGRAFICA!$J88&lt;&gt;ANAGRAFICA!$T88,OR(ANAGRAFICA!$R88="",ANAGRAFICA!$R88="Nessuna variazione")),AND(ANAGRAFICA!$J88="",ANAGRAFICA!$R88&lt;&gt;"",ANAGRAFICA!$R88&lt;&gt;"Nessuna variazione")),AND($BI91&lt;&gt;"",$BI91&lt;-PARAMETRI!$B$5),AND($BN91&lt;&gt;"",$BN91&gt;PARAMETRI!$B$7),AND($W91&gt;0,$M91&gt;$W91*PARAMETRI!$B$9),AND($O91&gt;0,OR($I91="Finito ritenute non previste",$I91="Finito con sblocco ritenute",$I91="Finito senza sblocco ritenute")),AND($BA91&gt;0,$BO91&gt;0,$BP91=0),AND(OR($I91="Finito ritenute non previste",$I91="Finito con sblocco ritenute",$I91="Finito senza sblocco ritenute"),$W91&gt;0,$N91&gt;$W91*PARAMETRI!$B$9),$V91&gt;0),"ATTENZIONE","REGOLARE"))),"ATTENZIONE")</f>
        <v/>
      </c>
      <c r="B91" s="17" t="str">
        <f>IFERROR(IF($C91="","",IF($BF91&gt;0,"FATTURATO OLTRE VALORE RECUPERABILE; ","")&amp;IF($V91&gt;$J91,"PERDITE ACCETTATE OLTRE CONTRATTO; ","")&amp;IF($V91&gt;0,"PERDITA SAL ACCETTATA (€ "&amp;TEXT($V91,"#,##0.00")&amp;"); ","")&amp;IF(AND(ISNUMBER($Q91),$Q91&gt;0),"RITARDO PRODUTTIVO ("&amp;TEXT($Q91,"0")&amp;" GG); ","")&amp;IF(AND($BI91&lt;&gt;"",$BI91&lt;-PARAMETRI!$B$5),"AVANZAMENTO PIÙ LENTO DEL TEMPO; ","")&amp;IF(AND($BM91&lt;&gt;"",$BM91&gt;1),"ORE OLTRE BUDGET; ","")&amp;IF(AND($BM91&lt;&gt;"",$BM91=1),"ORE PREVENTIVATE ESAURITE; ","")&amp;IF(AND($BN91&lt;&gt;"",$BN91&gt;PARAMETRI!$B$7),"CONSUMO ORE SUPERIORE ALL'AVANZAMENTO; ","")&amp;IF(AND(ISNUMBER($BR91),$BR91&gt;0),"COSTI DIRETTI OLTRE BUDGET; ","")&amp;IF(AND($W91&gt;0,$M91&gt;$W91*PARAMETRI!$B$9),"SAL MATURATO NON FATTURATO; ","")&amp;IF(AND($O91&gt;0,OR($I91="Finito ritenute non previste",$I91="Finito con sblocco ritenute",$I91="Finito senza sblocco ritenute")),"RITENUTE DA SBLOCCARE; ","")&amp;IF(AND($BA91&gt;0,$BO91&gt;0,$BP91=0),"COSTI DIRETTI NON REGISTRATI; ","")&amp;IF(AND(OR($I91="Finito ritenute non previste",$I91="Finito con sblocco ritenute",$I91="Finito senza sblocco ritenute"),$W91&gt;0,$N91&gt;$W91*PARAMETRI!$B$9),"CANTIERE FINITO CON RESIDUO LAVORI; ","")&amp;IF(AND(OR($I91="Finito ritenute non previste",$I91="Finito con sblocco ritenute",$I91="Finito senza sblocco ritenute"),ANAGRAFICA!$K88=""),"DATA FINE EFFETTIVA MANCANTE; ","")&amp;IF(OR(AND(ANAGRAFICA!$T88&lt;&gt;"",ANAGRAFICA!$J88&lt;&gt;ANAGRAFICA!$T88,OR(ANAGRAFICA!$R88="",ANAGRAFICA!$R88="Nessuna variazione")),AND(ANAGRAFICA!$J88="",ANAGRAFICA!$R88&lt;&gt;"",ANAGRAFICA!$R88&lt;&gt;"Nessuna variazione")),"GESTIONE DATA FINE INCOMPLETA; ","")&amp;IF($Y91="","AGGIORNATO AL MANCANTE; ","")&amp;IF(OR($AZ91="",$BJ91="",$BO91="",ANAGRAFICA!$I88="",ANAGRAFICA!$J88=""),"DATI PREVISIONALI INCOMPLETI; ","")&amp;IF(LEFT($C91,5)="TEMP","CODICE COMMESSA TEMPORANEO; ","")),"DATI INCOMPLETI; ")</f>
        <v/>
      </c>
      <c r="C91" s="17" t="str">
        <f>IF(ANAGRAFICA!$B88="","",ANAGRAFICA!$B88)</f>
        <v/>
      </c>
      <c r="D91" s="17" t="str">
        <f>IF($C91="","",ANAGRAFICA!$C88)</f>
        <v/>
      </c>
      <c r="E91" s="17" t="str">
        <f>IF($C91="","",ANAGRAFICA!$D88)</f>
        <v/>
      </c>
      <c r="F91" s="17" t="str">
        <f>IF($C91="","",ANAGRAFICA!$E88)</f>
        <v/>
      </c>
      <c r="G91" s="17" t="str">
        <f>IF($C91="","",ANAGRAFICA!$F88)</f>
        <v/>
      </c>
      <c r="H91" s="17" t="str">
        <f>IF($C91="","",ANAGRAFICA!$G88)</f>
        <v/>
      </c>
      <c r="I91" s="17" t="str">
        <f>IF($C91="","",ANAGRAFICA!$L88)</f>
        <v/>
      </c>
      <c r="J91" s="16" t="str">
        <f t="shared" si="25"/>
        <v/>
      </c>
      <c r="K91" s="16" t="str">
        <f t="shared" si="26"/>
        <v/>
      </c>
      <c r="L91" s="16" t="str">
        <f t="shared" si="27"/>
        <v/>
      </c>
      <c r="M91" s="16" t="str">
        <f t="shared" si="28"/>
        <v/>
      </c>
      <c r="N91" s="16" t="str">
        <f t="shared" si="29"/>
        <v/>
      </c>
      <c r="O91" s="16" t="str">
        <f t="shared" si="30"/>
        <v/>
      </c>
      <c r="P91" s="17" t="str">
        <f t="shared" si="31"/>
        <v/>
      </c>
      <c r="Q91" s="31" t="str">
        <f>IF(OR($C91="",'BUDGET COMMESSA'!$D88="",'BUDGET COMMESSA'!$D88&lt;=0,ANAGRAFICA!$J88=""),"",IF(OR($I91="Finito ritenute non previste",$I91="Finito con sblocco ritenute",$I91="Finito senza sblocco ritenute"),0,IF(AND($BK91&gt;=$BJ91,ANAGRAFICA!$R88="Ritardo produttivo FIDA"),IF(ANAGRAFICA!$T88&lt;&gt;"",MAX(0,ANAGRAFICA!$J88-ANAGRAFICA!$T88),MAX(0,$Y91-ANAGRAFICA!$J88)),0)))</f>
        <v/>
      </c>
      <c r="R91" s="17" t="str">
        <f t="shared" si="32"/>
        <v/>
      </c>
      <c r="S91" s="17" t="str">
        <f t="shared" si="33"/>
        <v/>
      </c>
      <c r="T91" s="17" t="str">
        <f t="shared" si="34"/>
        <v/>
      </c>
      <c r="U91" s="16" t="str">
        <f t="shared" si="35"/>
        <v/>
      </c>
      <c r="V91" s="16" t="str">
        <f t="shared" si="36"/>
        <v/>
      </c>
      <c r="W91" s="16" t="str">
        <f t="shared" si="37"/>
        <v/>
      </c>
      <c r="X91" s="40"/>
      <c r="Y91" s="14"/>
      <c r="AZ91" t="str">
        <f>IF($C91="","",ANAGRAFICA!$P88)</f>
        <v/>
      </c>
      <c r="BA91" t="str">
        <f>IF($C91="","",SUMIF('MOVIMENTI 2026'!$B$7:$B$4206,$C91,'MOVIMENTI 2026'!$I$7:$I$4206)+SUMIF('SALDI AL 31.12.2025'!$A$6:$A$505,$C91,'SALDI AL 31.12.2025'!$C$6:$C$505))</f>
        <v/>
      </c>
      <c r="BB91" t="str">
        <f>IF($C91="","",SUMIF('MOVIMENTI 2026'!$B$7:$B$4206,$C91,'MOVIMENTI 2026'!$J$7:$J$4206)+SUMIF('SALDI AL 31.12.2025'!$A$6:$A$505,$C91,'SALDI AL 31.12.2025'!$D$6:$D$505))</f>
        <v/>
      </c>
      <c r="BC91" t="str">
        <f>IF($C91="","",SUMIF('MOVIMENTI 2026'!$B$7:$B$4206,$C91,'MOVIMENTI 2026'!$K$7:$K$4206)+SUMIF('SALDI AL 31.12.2025'!$A$6:$A$505,$C91,'SALDI AL 31.12.2025'!$E$6:$E$505))</f>
        <v/>
      </c>
      <c r="BD91" t="str">
        <f>IF($C91="","",SUMIF('MOVIMENTI 2026'!$B$7:$B$4206,$C91,'MOVIMENTI 2026'!$L$7:$L$4206)+SUMIF('SALDI AL 31.12.2025'!$A$6:$A$505,$C91,'SALDI AL 31.12.2025'!$F$6:$F$505))</f>
        <v/>
      </c>
      <c r="BE91" t="str">
        <f t="shared" si="38"/>
        <v/>
      </c>
      <c r="BF91" t="str">
        <f t="shared" si="39"/>
        <v/>
      </c>
      <c r="BG91" t="str">
        <f t="shared" si="40"/>
        <v/>
      </c>
      <c r="BH91" t="str">
        <f>IFERROR(IF(OR($C91="",ANAGRAFICA!$I88="",ANAGRAFICA!$J88="",ANAGRAFICA!$J88&lt;=ANAGRAFICA!$I88,$Y91=""),"",IF(OR($I91="Finito ritenute non previste",$I91="Finito con sblocco ritenute",$I91="Finito senza sblocco ritenute"),1,MAX(0,MIN(1,($Y91-ANAGRAFICA!$I88)/(ANAGRAFICA!$J88-ANAGRAFICA!$I88))))),"")</f>
        <v/>
      </c>
      <c r="BI91" t="str">
        <f t="shared" si="41"/>
        <v/>
      </c>
      <c r="BJ91" t="str">
        <f>IFERROR(IF($C91="","",'BUDGET COMMESSA'!$D88),"")</f>
        <v/>
      </c>
      <c r="BK91" t="str">
        <f>IF($C91="","",SUMIF('MOVIMENTI 2026'!$B$7:$B$4206,$C91,'MOVIMENTI 2026'!$N$7:$N$4206)+SUMIF('SALDI AL 31.12.2025'!$A$6:$A$505,$C91,'SALDI AL 31.12.2025'!$H$6:$H$505))</f>
        <v/>
      </c>
      <c r="BL91" t="str">
        <f t="shared" si="42"/>
        <v/>
      </c>
      <c r="BM91" t="str">
        <f t="shared" si="43"/>
        <v/>
      </c>
      <c r="BN91" t="str">
        <f t="shared" si="44"/>
        <v/>
      </c>
      <c r="BO91" t="str">
        <f>IFERROR(IF($C91="","",'BUDGET COMMESSA'!$G88),"")</f>
        <v/>
      </c>
      <c r="BP91" t="str">
        <f>IF($C91="","",SUMIF('COSTI DIRETTI'!$C$6:$C$505,$C91,'COSTI DIRETTI'!$H$6:$H$505)+SUMIF('SALDI AL 31.12.2025'!$A$6:$A$505,$C91,'SALDI AL 31.12.2025'!$I$6:$I$505))</f>
        <v/>
      </c>
      <c r="BQ91" t="str">
        <f t="shared" si="45"/>
        <v/>
      </c>
      <c r="BR91" t="str">
        <f t="shared" si="46"/>
        <v/>
      </c>
      <c r="BS91" t="str">
        <f>IF($C91="","",$BK91*PARAMETRI!$B$4+$BP91)</f>
        <v/>
      </c>
      <c r="BT91">
        <f t="shared" si="47"/>
        <v>0</v>
      </c>
      <c r="BU91">
        <f t="shared" si="48"/>
        <v>0</v>
      </c>
      <c r="BV91" t="str">
        <f>IF($C91="","",SUMIF('MOVIMENTI 2026'!$B$7:$B$4206,$C91,'MOVIMENTI 2026'!$P$7:$P$4206)+SUMIF('SALDI AL 31.12.2025'!$A$6:$A$505,$C91,'SALDI AL 31.12.2025'!$G$6:$G$505))</f>
        <v/>
      </c>
    </row>
    <row r="92" spans="1:74" ht="16" x14ac:dyDescent="0.15">
      <c r="A92" s="17" t="str">
        <f>IFERROR(IF($C92="","",IF(OR($BF92&gt;0,$V92&gt;$J92,AND(ISNUMBER($Q92),$Q92&gt;0),AND($BI92&lt;&gt;"",$BI92&lt;-PARAMETRI!$B$6),AND($BM92&lt;&gt;"",$BM92&gt;=1),AND($BN92&lt;&gt;"",$BN92&gt;PARAMETRI!$B$8),AND(ISNUMBER($BR92),$BR92&gt;0)),"CRITICO",IF(OR($AZ92="",LEFT($C92,5)="TEMP",$BJ92="",$BO92="",ANAGRAFICA!$I89="",ANAGRAFICA!$J89="",$Y92="",AND(OR($I92="Finito ritenute non previste",$I92="Finito con sblocco ritenute",$I92="Finito senza sblocco ritenute"),ANAGRAFICA!$K89=""),OR(AND(ANAGRAFICA!$T89&lt;&gt;"",ANAGRAFICA!$J89&lt;&gt;ANAGRAFICA!$T89,OR(ANAGRAFICA!$R89="",ANAGRAFICA!$R89="Nessuna variazione")),AND(ANAGRAFICA!$J89="",ANAGRAFICA!$R89&lt;&gt;"",ANAGRAFICA!$R89&lt;&gt;"Nessuna variazione")),AND($BI92&lt;&gt;"",$BI92&lt;-PARAMETRI!$B$5),AND($BN92&lt;&gt;"",$BN92&gt;PARAMETRI!$B$7),AND($W92&gt;0,$M92&gt;$W92*PARAMETRI!$B$9),AND($O92&gt;0,OR($I92="Finito ritenute non previste",$I92="Finito con sblocco ritenute",$I92="Finito senza sblocco ritenute")),AND($BA92&gt;0,$BO92&gt;0,$BP92=0),AND(OR($I92="Finito ritenute non previste",$I92="Finito con sblocco ritenute",$I92="Finito senza sblocco ritenute"),$W92&gt;0,$N92&gt;$W92*PARAMETRI!$B$9),$V92&gt;0),"ATTENZIONE","REGOLARE"))),"ATTENZIONE")</f>
        <v/>
      </c>
      <c r="B92" s="17" t="str">
        <f>IFERROR(IF($C92="","",IF($BF92&gt;0,"FATTURATO OLTRE VALORE RECUPERABILE; ","")&amp;IF($V92&gt;$J92,"PERDITE ACCETTATE OLTRE CONTRATTO; ","")&amp;IF($V92&gt;0,"PERDITA SAL ACCETTATA (€ "&amp;TEXT($V92,"#,##0.00")&amp;"); ","")&amp;IF(AND(ISNUMBER($Q92),$Q92&gt;0),"RITARDO PRODUTTIVO ("&amp;TEXT($Q92,"0")&amp;" GG); ","")&amp;IF(AND($BI92&lt;&gt;"",$BI92&lt;-PARAMETRI!$B$5),"AVANZAMENTO PIÙ LENTO DEL TEMPO; ","")&amp;IF(AND($BM92&lt;&gt;"",$BM92&gt;1),"ORE OLTRE BUDGET; ","")&amp;IF(AND($BM92&lt;&gt;"",$BM92=1),"ORE PREVENTIVATE ESAURITE; ","")&amp;IF(AND($BN92&lt;&gt;"",$BN92&gt;PARAMETRI!$B$7),"CONSUMO ORE SUPERIORE ALL'AVANZAMENTO; ","")&amp;IF(AND(ISNUMBER($BR92),$BR92&gt;0),"COSTI DIRETTI OLTRE BUDGET; ","")&amp;IF(AND($W92&gt;0,$M92&gt;$W92*PARAMETRI!$B$9),"SAL MATURATO NON FATTURATO; ","")&amp;IF(AND($O92&gt;0,OR($I92="Finito ritenute non previste",$I92="Finito con sblocco ritenute",$I92="Finito senza sblocco ritenute")),"RITENUTE DA SBLOCCARE; ","")&amp;IF(AND($BA92&gt;0,$BO92&gt;0,$BP92=0),"COSTI DIRETTI NON REGISTRATI; ","")&amp;IF(AND(OR($I92="Finito ritenute non previste",$I92="Finito con sblocco ritenute",$I92="Finito senza sblocco ritenute"),$W92&gt;0,$N92&gt;$W92*PARAMETRI!$B$9),"CANTIERE FINITO CON RESIDUO LAVORI; ","")&amp;IF(AND(OR($I92="Finito ritenute non previste",$I92="Finito con sblocco ritenute",$I92="Finito senza sblocco ritenute"),ANAGRAFICA!$K89=""),"DATA FINE EFFETTIVA MANCANTE; ","")&amp;IF(OR(AND(ANAGRAFICA!$T89&lt;&gt;"",ANAGRAFICA!$J89&lt;&gt;ANAGRAFICA!$T89,OR(ANAGRAFICA!$R89="",ANAGRAFICA!$R89="Nessuna variazione")),AND(ANAGRAFICA!$J89="",ANAGRAFICA!$R89&lt;&gt;"",ANAGRAFICA!$R89&lt;&gt;"Nessuna variazione")),"GESTIONE DATA FINE INCOMPLETA; ","")&amp;IF($Y92="","AGGIORNATO AL MANCANTE; ","")&amp;IF(OR($AZ92="",$BJ92="",$BO92="",ANAGRAFICA!$I89="",ANAGRAFICA!$J89=""),"DATI PREVISIONALI INCOMPLETI; ","")&amp;IF(LEFT($C92,5)="TEMP","CODICE COMMESSA TEMPORANEO; ","")),"DATI INCOMPLETI; ")</f>
        <v/>
      </c>
      <c r="C92" s="17" t="str">
        <f>IF(ANAGRAFICA!$B89="","",ANAGRAFICA!$B89)</f>
        <v/>
      </c>
      <c r="D92" s="17" t="str">
        <f>IF($C92="","",ANAGRAFICA!$C89)</f>
        <v/>
      </c>
      <c r="E92" s="17" t="str">
        <f>IF($C92="","",ANAGRAFICA!$D89)</f>
        <v/>
      </c>
      <c r="F92" s="17" t="str">
        <f>IF($C92="","",ANAGRAFICA!$E89)</f>
        <v/>
      </c>
      <c r="G92" s="17" t="str">
        <f>IF($C92="","",ANAGRAFICA!$F89)</f>
        <v/>
      </c>
      <c r="H92" s="17" t="str">
        <f>IF($C92="","",ANAGRAFICA!$G89)</f>
        <v/>
      </c>
      <c r="I92" s="17" t="str">
        <f>IF($C92="","",ANAGRAFICA!$L89)</f>
        <v/>
      </c>
      <c r="J92" s="16" t="str">
        <f t="shared" si="25"/>
        <v/>
      </c>
      <c r="K92" s="16" t="str">
        <f t="shared" si="26"/>
        <v/>
      </c>
      <c r="L92" s="16" t="str">
        <f t="shared" si="27"/>
        <v/>
      </c>
      <c r="M92" s="16" t="str">
        <f t="shared" si="28"/>
        <v/>
      </c>
      <c r="N92" s="16" t="str">
        <f t="shared" si="29"/>
        <v/>
      </c>
      <c r="O92" s="16" t="str">
        <f t="shared" si="30"/>
        <v/>
      </c>
      <c r="P92" s="17" t="str">
        <f t="shared" si="31"/>
        <v/>
      </c>
      <c r="Q92" s="31" t="str">
        <f>IF(OR($C92="",'BUDGET COMMESSA'!$D89="",'BUDGET COMMESSA'!$D89&lt;=0,ANAGRAFICA!$J89=""),"",IF(OR($I92="Finito ritenute non previste",$I92="Finito con sblocco ritenute",$I92="Finito senza sblocco ritenute"),0,IF(AND($BK92&gt;=$BJ92,ANAGRAFICA!$R89="Ritardo produttivo FIDA"),IF(ANAGRAFICA!$T89&lt;&gt;"",MAX(0,ANAGRAFICA!$J89-ANAGRAFICA!$T89),MAX(0,$Y92-ANAGRAFICA!$J89)),0)))</f>
        <v/>
      </c>
      <c r="R92" s="17" t="str">
        <f t="shared" si="32"/>
        <v/>
      </c>
      <c r="S92" s="17" t="str">
        <f t="shared" si="33"/>
        <v/>
      </c>
      <c r="T92" s="17" t="str">
        <f t="shared" si="34"/>
        <v/>
      </c>
      <c r="U92" s="16" t="str">
        <f t="shared" si="35"/>
        <v/>
      </c>
      <c r="V92" s="16" t="str">
        <f t="shared" si="36"/>
        <v/>
      </c>
      <c r="W92" s="16" t="str">
        <f t="shared" si="37"/>
        <v/>
      </c>
      <c r="X92" s="40"/>
      <c r="Y92" s="14"/>
      <c r="AZ92" t="str">
        <f>IF($C92="","",ANAGRAFICA!$P89)</f>
        <v/>
      </c>
      <c r="BA92" t="str">
        <f>IF($C92="","",SUMIF('MOVIMENTI 2026'!$B$7:$B$4206,$C92,'MOVIMENTI 2026'!$I$7:$I$4206)+SUMIF('SALDI AL 31.12.2025'!$A$6:$A$505,$C92,'SALDI AL 31.12.2025'!$C$6:$C$505))</f>
        <v/>
      </c>
      <c r="BB92" t="str">
        <f>IF($C92="","",SUMIF('MOVIMENTI 2026'!$B$7:$B$4206,$C92,'MOVIMENTI 2026'!$J$7:$J$4206)+SUMIF('SALDI AL 31.12.2025'!$A$6:$A$505,$C92,'SALDI AL 31.12.2025'!$D$6:$D$505))</f>
        <v/>
      </c>
      <c r="BC92" t="str">
        <f>IF($C92="","",SUMIF('MOVIMENTI 2026'!$B$7:$B$4206,$C92,'MOVIMENTI 2026'!$K$7:$K$4206)+SUMIF('SALDI AL 31.12.2025'!$A$6:$A$505,$C92,'SALDI AL 31.12.2025'!$E$6:$E$505))</f>
        <v/>
      </c>
      <c r="BD92" t="str">
        <f>IF($C92="","",SUMIF('MOVIMENTI 2026'!$B$7:$B$4206,$C92,'MOVIMENTI 2026'!$L$7:$L$4206)+SUMIF('SALDI AL 31.12.2025'!$A$6:$A$505,$C92,'SALDI AL 31.12.2025'!$F$6:$F$505))</f>
        <v/>
      </c>
      <c r="BE92" t="str">
        <f t="shared" si="38"/>
        <v/>
      </c>
      <c r="BF92" t="str">
        <f t="shared" si="39"/>
        <v/>
      </c>
      <c r="BG92" t="str">
        <f t="shared" si="40"/>
        <v/>
      </c>
      <c r="BH92" t="str">
        <f>IFERROR(IF(OR($C92="",ANAGRAFICA!$I89="",ANAGRAFICA!$J89="",ANAGRAFICA!$J89&lt;=ANAGRAFICA!$I89,$Y92=""),"",IF(OR($I92="Finito ritenute non previste",$I92="Finito con sblocco ritenute",$I92="Finito senza sblocco ritenute"),1,MAX(0,MIN(1,($Y92-ANAGRAFICA!$I89)/(ANAGRAFICA!$J89-ANAGRAFICA!$I89))))),"")</f>
        <v/>
      </c>
      <c r="BI92" t="str">
        <f t="shared" si="41"/>
        <v/>
      </c>
      <c r="BJ92" t="str">
        <f>IFERROR(IF($C92="","",'BUDGET COMMESSA'!$D89),"")</f>
        <v/>
      </c>
      <c r="BK92" t="str">
        <f>IF($C92="","",SUMIF('MOVIMENTI 2026'!$B$7:$B$4206,$C92,'MOVIMENTI 2026'!$N$7:$N$4206)+SUMIF('SALDI AL 31.12.2025'!$A$6:$A$505,$C92,'SALDI AL 31.12.2025'!$H$6:$H$505))</f>
        <v/>
      </c>
      <c r="BL92" t="str">
        <f t="shared" si="42"/>
        <v/>
      </c>
      <c r="BM92" t="str">
        <f t="shared" si="43"/>
        <v/>
      </c>
      <c r="BN92" t="str">
        <f t="shared" si="44"/>
        <v/>
      </c>
      <c r="BO92" t="str">
        <f>IFERROR(IF($C92="","",'BUDGET COMMESSA'!$G89),"")</f>
        <v/>
      </c>
      <c r="BP92" t="str">
        <f>IF($C92="","",SUMIF('COSTI DIRETTI'!$C$6:$C$505,$C92,'COSTI DIRETTI'!$H$6:$H$505)+SUMIF('SALDI AL 31.12.2025'!$A$6:$A$505,$C92,'SALDI AL 31.12.2025'!$I$6:$I$505))</f>
        <v/>
      </c>
      <c r="BQ92" t="str">
        <f t="shared" si="45"/>
        <v/>
      </c>
      <c r="BR92" t="str">
        <f t="shared" si="46"/>
        <v/>
      </c>
      <c r="BS92" t="str">
        <f>IF($C92="","",$BK92*PARAMETRI!$B$4+$BP92)</f>
        <v/>
      </c>
      <c r="BT92">
        <f t="shared" si="47"/>
        <v>0</v>
      </c>
      <c r="BU92">
        <f t="shared" si="48"/>
        <v>0</v>
      </c>
      <c r="BV92" t="str">
        <f>IF($C92="","",SUMIF('MOVIMENTI 2026'!$B$7:$B$4206,$C92,'MOVIMENTI 2026'!$P$7:$P$4206)+SUMIF('SALDI AL 31.12.2025'!$A$6:$A$505,$C92,'SALDI AL 31.12.2025'!$G$6:$G$505))</f>
        <v/>
      </c>
    </row>
    <row r="93" spans="1:74" ht="16" x14ac:dyDescent="0.15">
      <c r="A93" s="17" t="str">
        <f>IFERROR(IF($C93="","",IF(OR($BF93&gt;0,$V93&gt;$J93,AND(ISNUMBER($Q93),$Q93&gt;0),AND($BI93&lt;&gt;"",$BI93&lt;-PARAMETRI!$B$6),AND($BM93&lt;&gt;"",$BM93&gt;=1),AND($BN93&lt;&gt;"",$BN93&gt;PARAMETRI!$B$8),AND(ISNUMBER($BR93),$BR93&gt;0)),"CRITICO",IF(OR($AZ93="",LEFT($C93,5)="TEMP",$BJ93="",$BO93="",ANAGRAFICA!$I90="",ANAGRAFICA!$J90="",$Y93="",AND(OR($I93="Finito ritenute non previste",$I93="Finito con sblocco ritenute",$I93="Finito senza sblocco ritenute"),ANAGRAFICA!$K90=""),OR(AND(ANAGRAFICA!$T90&lt;&gt;"",ANAGRAFICA!$J90&lt;&gt;ANAGRAFICA!$T90,OR(ANAGRAFICA!$R90="",ANAGRAFICA!$R90="Nessuna variazione")),AND(ANAGRAFICA!$J90="",ANAGRAFICA!$R90&lt;&gt;"",ANAGRAFICA!$R90&lt;&gt;"Nessuna variazione")),AND($BI93&lt;&gt;"",$BI93&lt;-PARAMETRI!$B$5),AND($BN93&lt;&gt;"",$BN93&gt;PARAMETRI!$B$7),AND($W93&gt;0,$M93&gt;$W93*PARAMETRI!$B$9),AND($O93&gt;0,OR($I93="Finito ritenute non previste",$I93="Finito con sblocco ritenute",$I93="Finito senza sblocco ritenute")),AND($BA93&gt;0,$BO93&gt;0,$BP93=0),AND(OR($I93="Finito ritenute non previste",$I93="Finito con sblocco ritenute",$I93="Finito senza sblocco ritenute"),$W93&gt;0,$N93&gt;$W93*PARAMETRI!$B$9),$V93&gt;0),"ATTENZIONE","REGOLARE"))),"ATTENZIONE")</f>
        <v/>
      </c>
      <c r="B93" s="17" t="str">
        <f>IFERROR(IF($C93="","",IF($BF93&gt;0,"FATTURATO OLTRE VALORE RECUPERABILE; ","")&amp;IF($V93&gt;$J93,"PERDITE ACCETTATE OLTRE CONTRATTO; ","")&amp;IF($V93&gt;0,"PERDITA SAL ACCETTATA (€ "&amp;TEXT($V93,"#,##0.00")&amp;"); ","")&amp;IF(AND(ISNUMBER($Q93),$Q93&gt;0),"RITARDO PRODUTTIVO ("&amp;TEXT($Q93,"0")&amp;" GG); ","")&amp;IF(AND($BI93&lt;&gt;"",$BI93&lt;-PARAMETRI!$B$5),"AVANZAMENTO PIÙ LENTO DEL TEMPO; ","")&amp;IF(AND($BM93&lt;&gt;"",$BM93&gt;1),"ORE OLTRE BUDGET; ","")&amp;IF(AND($BM93&lt;&gt;"",$BM93=1),"ORE PREVENTIVATE ESAURITE; ","")&amp;IF(AND($BN93&lt;&gt;"",$BN93&gt;PARAMETRI!$B$7),"CONSUMO ORE SUPERIORE ALL'AVANZAMENTO; ","")&amp;IF(AND(ISNUMBER($BR93),$BR93&gt;0),"COSTI DIRETTI OLTRE BUDGET; ","")&amp;IF(AND($W93&gt;0,$M93&gt;$W93*PARAMETRI!$B$9),"SAL MATURATO NON FATTURATO; ","")&amp;IF(AND($O93&gt;0,OR($I93="Finito ritenute non previste",$I93="Finito con sblocco ritenute",$I93="Finito senza sblocco ritenute")),"RITENUTE DA SBLOCCARE; ","")&amp;IF(AND($BA93&gt;0,$BO93&gt;0,$BP93=0),"COSTI DIRETTI NON REGISTRATI; ","")&amp;IF(AND(OR($I93="Finito ritenute non previste",$I93="Finito con sblocco ritenute",$I93="Finito senza sblocco ritenute"),$W93&gt;0,$N93&gt;$W93*PARAMETRI!$B$9),"CANTIERE FINITO CON RESIDUO LAVORI; ","")&amp;IF(AND(OR($I93="Finito ritenute non previste",$I93="Finito con sblocco ritenute",$I93="Finito senza sblocco ritenute"),ANAGRAFICA!$K90=""),"DATA FINE EFFETTIVA MANCANTE; ","")&amp;IF(OR(AND(ANAGRAFICA!$T90&lt;&gt;"",ANAGRAFICA!$J90&lt;&gt;ANAGRAFICA!$T90,OR(ANAGRAFICA!$R90="",ANAGRAFICA!$R90="Nessuna variazione")),AND(ANAGRAFICA!$J90="",ANAGRAFICA!$R90&lt;&gt;"",ANAGRAFICA!$R90&lt;&gt;"Nessuna variazione")),"GESTIONE DATA FINE INCOMPLETA; ","")&amp;IF($Y93="","AGGIORNATO AL MANCANTE; ","")&amp;IF(OR($AZ93="",$BJ93="",$BO93="",ANAGRAFICA!$I90="",ANAGRAFICA!$J90=""),"DATI PREVISIONALI INCOMPLETI; ","")&amp;IF(LEFT($C93,5)="TEMP","CODICE COMMESSA TEMPORANEO; ","")),"DATI INCOMPLETI; ")</f>
        <v/>
      </c>
      <c r="C93" s="17" t="str">
        <f>IF(ANAGRAFICA!$B90="","",ANAGRAFICA!$B90)</f>
        <v/>
      </c>
      <c r="D93" s="17" t="str">
        <f>IF($C93="","",ANAGRAFICA!$C90)</f>
        <v/>
      </c>
      <c r="E93" s="17" t="str">
        <f>IF($C93="","",ANAGRAFICA!$D90)</f>
        <v/>
      </c>
      <c r="F93" s="17" t="str">
        <f>IF($C93="","",ANAGRAFICA!$E90)</f>
        <v/>
      </c>
      <c r="G93" s="17" t="str">
        <f>IF($C93="","",ANAGRAFICA!$F90)</f>
        <v/>
      </c>
      <c r="H93" s="17" t="str">
        <f>IF($C93="","",ANAGRAFICA!$G90)</f>
        <v/>
      </c>
      <c r="I93" s="17" t="str">
        <f>IF($C93="","",ANAGRAFICA!$L90)</f>
        <v/>
      </c>
      <c r="J93" s="16" t="str">
        <f t="shared" si="25"/>
        <v/>
      </c>
      <c r="K93" s="16" t="str">
        <f t="shared" si="26"/>
        <v/>
      </c>
      <c r="L93" s="16" t="str">
        <f t="shared" si="27"/>
        <v/>
      </c>
      <c r="M93" s="16" t="str">
        <f t="shared" si="28"/>
        <v/>
      </c>
      <c r="N93" s="16" t="str">
        <f t="shared" si="29"/>
        <v/>
      </c>
      <c r="O93" s="16" t="str">
        <f t="shared" si="30"/>
        <v/>
      </c>
      <c r="P93" s="17" t="str">
        <f t="shared" si="31"/>
        <v/>
      </c>
      <c r="Q93" s="31" t="str">
        <f>IF(OR($C93="",'BUDGET COMMESSA'!$D90="",'BUDGET COMMESSA'!$D90&lt;=0,ANAGRAFICA!$J90=""),"",IF(OR($I93="Finito ritenute non previste",$I93="Finito con sblocco ritenute",$I93="Finito senza sblocco ritenute"),0,IF(AND($BK93&gt;=$BJ93,ANAGRAFICA!$R90="Ritardo produttivo FIDA"),IF(ANAGRAFICA!$T90&lt;&gt;"",MAX(0,ANAGRAFICA!$J90-ANAGRAFICA!$T90),MAX(0,$Y93-ANAGRAFICA!$J90)),0)))</f>
        <v/>
      </c>
      <c r="R93" s="17" t="str">
        <f t="shared" si="32"/>
        <v/>
      </c>
      <c r="S93" s="17" t="str">
        <f t="shared" si="33"/>
        <v/>
      </c>
      <c r="T93" s="17" t="str">
        <f t="shared" si="34"/>
        <v/>
      </c>
      <c r="U93" s="16" t="str">
        <f t="shared" si="35"/>
        <v/>
      </c>
      <c r="V93" s="16" t="str">
        <f t="shared" si="36"/>
        <v/>
      </c>
      <c r="W93" s="16" t="str">
        <f t="shared" si="37"/>
        <v/>
      </c>
      <c r="X93" s="40"/>
      <c r="Y93" s="14"/>
      <c r="AZ93" t="str">
        <f>IF($C93="","",ANAGRAFICA!$P90)</f>
        <v/>
      </c>
      <c r="BA93" t="str">
        <f>IF($C93="","",SUMIF('MOVIMENTI 2026'!$B$7:$B$4206,$C93,'MOVIMENTI 2026'!$I$7:$I$4206)+SUMIF('SALDI AL 31.12.2025'!$A$6:$A$505,$C93,'SALDI AL 31.12.2025'!$C$6:$C$505))</f>
        <v/>
      </c>
      <c r="BB93" t="str">
        <f>IF($C93="","",SUMIF('MOVIMENTI 2026'!$B$7:$B$4206,$C93,'MOVIMENTI 2026'!$J$7:$J$4206)+SUMIF('SALDI AL 31.12.2025'!$A$6:$A$505,$C93,'SALDI AL 31.12.2025'!$D$6:$D$505))</f>
        <v/>
      </c>
      <c r="BC93" t="str">
        <f>IF($C93="","",SUMIF('MOVIMENTI 2026'!$B$7:$B$4206,$C93,'MOVIMENTI 2026'!$K$7:$K$4206)+SUMIF('SALDI AL 31.12.2025'!$A$6:$A$505,$C93,'SALDI AL 31.12.2025'!$E$6:$E$505))</f>
        <v/>
      </c>
      <c r="BD93" t="str">
        <f>IF($C93="","",SUMIF('MOVIMENTI 2026'!$B$7:$B$4206,$C93,'MOVIMENTI 2026'!$L$7:$L$4206)+SUMIF('SALDI AL 31.12.2025'!$A$6:$A$505,$C93,'SALDI AL 31.12.2025'!$F$6:$F$505))</f>
        <v/>
      </c>
      <c r="BE93" t="str">
        <f t="shared" si="38"/>
        <v/>
      </c>
      <c r="BF93" t="str">
        <f t="shared" si="39"/>
        <v/>
      </c>
      <c r="BG93" t="str">
        <f t="shared" si="40"/>
        <v/>
      </c>
      <c r="BH93" t="str">
        <f>IFERROR(IF(OR($C93="",ANAGRAFICA!$I90="",ANAGRAFICA!$J90="",ANAGRAFICA!$J90&lt;=ANAGRAFICA!$I90,$Y93=""),"",IF(OR($I93="Finito ritenute non previste",$I93="Finito con sblocco ritenute",$I93="Finito senza sblocco ritenute"),1,MAX(0,MIN(1,($Y93-ANAGRAFICA!$I90)/(ANAGRAFICA!$J90-ANAGRAFICA!$I90))))),"")</f>
        <v/>
      </c>
      <c r="BI93" t="str">
        <f t="shared" si="41"/>
        <v/>
      </c>
      <c r="BJ93" t="str">
        <f>IFERROR(IF($C93="","",'BUDGET COMMESSA'!$D90),"")</f>
        <v/>
      </c>
      <c r="BK93" t="str">
        <f>IF($C93="","",SUMIF('MOVIMENTI 2026'!$B$7:$B$4206,$C93,'MOVIMENTI 2026'!$N$7:$N$4206)+SUMIF('SALDI AL 31.12.2025'!$A$6:$A$505,$C93,'SALDI AL 31.12.2025'!$H$6:$H$505))</f>
        <v/>
      </c>
      <c r="BL93" t="str">
        <f t="shared" si="42"/>
        <v/>
      </c>
      <c r="BM93" t="str">
        <f t="shared" si="43"/>
        <v/>
      </c>
      <c r="BN93" t="str">
        <f t="shared" si="44"/>
        <v/>
      </c>
      <c r="BO93" t="str">
        <f>IFERROR(IF($C93="","",'BUDGET COMMESSA'!$G90),"")</f>
        <v/>
      </c>
      <c r="BP93" t="str">
        <f>IF($C93="","",SUMIF('COSTI DIRETTI'!$C$6:$C$505,$C93,'COSTI DIRETTI'!$H$6:$H$505)+SUMIF('SALDI AL 31.12.2025'!$A$6:$A$505,$C93,'SALDI AL 31.12.2025'!$I$6:$I$505))</f>
        <v/>
      </c>
      <c r="BQ93" t="str">
        <f t="shared" si="45"/>
        <v/>
      </c>
      <c r="BR93" t="str">
        <f t="shared" si="46"/>
        <v/>
      </c>
      <c r="BS93" t="str">
        <f>IF($C93="","",$BK93*PARAMETRI!$B$4+$BP93)</f>
        <v/>
      </c>
      <c r="BT93">
        <f t="shared" si="47"/>
        <v>0</v>
      </c>
      <c r="BU93">
        <f t="shared" si="48"/>
        <v>0</v>
      </c>
      <c r="BV93" t="str">
        <f>IF($C93="","",SUMIF('MOVIMENTI 2026'!$B$7:$B$4206,$C93,'MOVIMENTI 2026'!$P$7:$P$4206)+SUMIF('SALDI AL 31.12.2025'!$A$6:$A$505,$C93,'SALDI AL 31.12.2025'!$G$6:$G$505))</f>
        <v/>
      </c>
    </row>
    <row r="94" spans="1:74" ht="16" x14ac:dyDescent="0.15">
      <c r="A94" s="17" t="str">
        <f>IFERROR(IF($C94="","",IF(OR($BF94&gt;0,$V94&gt;$J94,AND(ISNUMBER($Q94),$Q94&gt;0),AND($BI94&lt;&gt;"",$BI94&lt;-PARAMETRI!$B$6),AND($BM94&lt;&gt;"",$BM94&gt;=1),AND($BN94&lt;&gt;"",$BN94&gt;PARAMETRI!$B$8),AND(ISNUMBER($BR94),$BR94&gt;0)),"CRITICO",IF(OR($AZ94="",LEFT($C94,5)="TEMP",$BJ94="",$BO94="",ANAGRAFICA!$I91="",ANAGRAFICA!$J91="",$Y94="",AND(OR($I94="Finito ritenute non previste",$I94="Finito con sblocco ritenute",$I94="Finito senza sblocco ritenute"),ANAGRAFICA!$K91=""),OR(AND(ANAGRAFICA!$T91&lt;&gt;"",ANAGRAFICA!$J91&lt;&gt;ANAGRAFICA!$T91,OR(ANAGRAFICA!$R91="",ANAGRAFICA!$R91="Nessuna variazione")),AND(ANAGRAFICA!$J91="",ANAGRAFICA!$R91&lt;&gt;"",ANAGRAFICA!$R91&lt;&gt;"Nessuna variazione")),AND($BI94&lt;&gt;"",$BI94&lt;-PARAMETRI!$B$5),AND($BN94&lt;&gt;"",$BN94&gt;PARAMETRI!$B$7),AND($W94&gt;0,$M94&gt;$W94*PARAMETRI!$B$9),AND($O94&gt;0,OR($I94="Finito ritenute non previste",$I94="Finito con sblocco ritenute",$I94="Finito senza sblocco ritenute")),AND($BA94&gt;0,$BO94&gt;0,$BP94=0),AND(OR($I94="Finito ritenute non previste",$I94="Finito con sblocco ritenute",$I94="Finito senza sblocco ritenute"),$W94&gt;0,$N94&gt;$W94*PARAMETRI!$B$9),$V94&gt;0),"ATTENZIONE","REGOLARE"))),"ATTENZIONE")</f>
        <v/>
      </c>
      <c r="B94" s="17" t="str">
        <f>IFERROR(IF($C94="","",IF($BF94&gt;0,"FATTURATO OLTRE VALORE RECUPERABILE; ","")&amp;IF($V94&gt;$J94,"PERDITE ACCETTATE OLTRE CONTRATTO; ","")&amp;IF($V94&gt;0,"PERDITA SAL ACCETTATA (€ "&amp;TEXT($V94,"#,##0.00")&amp;"); ","")&amp;IF(AND(ISNUMBER($Q94),$Q94&gt;0),"RITARDO PRODUTTIVO ("&amp;TEXT($Q94,"0")&amp;" GG); ","")&amp;IF(AND($BI94&lt;&gt;"",$BI94&lt;-PARAMETRI!$B$5),"AVANZAMENTO PIÙ LENTO DEL TEMPO; ","")&amp;IF(AND($BM94&lt;&gt;"",$BM94&gt;1),"ORE OLTRE BUDGET; ","")&amp;IF(AND($BM94&lt;&gt;"",$BM94=1),"ORE PREVENTIVATE ESAURITE; ","")&amp;IF(AND($BN94&lt;&gt;"",$BN94&gt;PARAMETRI!$B$7),"CONSUMO ORE SUPERIORE ALL'AVANZAMENTO; ","")&amp;IF(AND(ISNUMBER($BR94),$BR94&gt;0),"COSTI DIRETTI OLTRE BUDGET; ","")&amp;IF(AND($W94&gt;0,$M94&gt;$W94*PARAMETRI!$B$9),"SAL MATURATO NON FATTURATO; ","")&amp;IF(AND($O94&gt;0,OR($I94="Finito ritenute non previste",$I94="Finito con sblocco ritenute",$I94="Finito senza sblocco ritenute")),"RITENUTE DA SBLOCCARE; ","")&amp;IF(AND($BA94&gt;0,$BO94&gt;0,$BP94=0),"COSTI DIRETTI NON REGISTRATI; ","")&amp;IF(AND(OR($I94="Finito ritenute non previste",$I94="Finito con sblocco ritenute",$I94="Finito senza sblocco ritenute"),$W94&gt;0,$N94&gt;$W94*PARAMETRI!$B$9),"CANTIERE FINITO CON RESIDUO LAVORI; ","")&amp;IF(AND(OR($I94="Finito ritenute non previste",$I94="Finito con sblocco ritenute",$I94="Finito senza sblocco ritenute"),ANAGRAFICA!$K91=""),"DATA FINE EFFETTIVA MANCANTE; ","")&amp;IF(OR(AND(ANAGRAFICA!$T91&lt;&gt;"",ANAGRAFICA!$J91&lt;&gt;ANAGRAFICA!$T91,OR(ANAGRAFICA!$R91="",ANAGRAFICA!$R91="Nessuna variazione")),AND(ANAGRAFICA!$J91="",ANAGRAFICA!$R91&lt;&gt;"",ANAGRAFICA!$R91&lt;&gt;"Nessuna variazione")),"GESTIONE DATA FINE INCOMPLETA; ","")&amp;IF($Y94="","AGGIORNATO AL MANCANTE; ","")&amp;IF(OR($AZ94="",$BJ94="",$BO94="",ANAGRAFICA!$I91="",ANAGRAFICA!$J91=""),"DATI PREVISIONALI INCOMPLETI; ","")&amp;IF(LEFT($C94,5)="TEMP","CODICE COMMESSA TEMPORANEO; ","")),"DATI INCOMPLETI; ")</f>
        <v/>
      </c>
      <c r="C94" s="17" t="str">
        <f>IF(ANAGRAFICA!$B91="","",ANAGRAFICA!$B91)</f>
        <v/>
      </c>
      <c r="D94" s="17" t="str">
        <f>IF($C94="","",ANAGRAFICA!$C91)</f>
        <v/>
      </c>
      <c r="E94" s="17" t="str">
        <f>IF($C94="","",ANAGRAFICA!$D91)</f>
        <v/>
      </c>
      <c r="F94" s="17" t="str">
        <f>IF($C94="","",ANAGRAFICA!$E91)</f>
        <v/>
      </c>
      <c r="G94" s="17" t="str">
        <f>IF($C94="","",ANAGRAFICA!$F91)</f>
        <v/>
      </c>
      <c r="H94" s="17" t="str">
        <f>IF($C94="","",ANAGRAFICA!$G91)</f>
        <v/>
      </c>
      <c r="I94" s="17" t="str">
        <f>IF($C94="","",ANAGRAFICA!$L91)</f>
        <v/>
      </c>
      <c r="J94" s="16" t="str">
        <f t="shared" si="25"/>
        <v/>
      </c>
      <c r="K94" s="16" t="str">
        <f t="shared" si="26"/>
        <v/>
      </c>
      <c r="L94" s="16" t="str">
        <f t="shared" si="27"/>
        <v/>
      </c>
      <c r="M94" s="16" t="str">
        <f t="shared" si="28"/>
        <v/>
      </c>
      <c r="N94" s="16" t="str">
        <f t="shared" si="29"/>
        <v/>
      </c>
      <c r="O94" s="16" t="str">
        <f t="shared" si="30"/>
        <v/>
      </c>
      <c r="P94" s="17" t="str">
        <f t="shared" si="31"/>
        <v/>
      </c>
      <c r="Q94" s="31" t="str">
        <f>IF(OR($C94="",'BUDGET COMMESSA'!$D91="",'BUDGET COMMESSA'!$D91&lt;=0,ANAGRAFICA!$J91=""),"",IF(OR($I94="Finito ritenute non previste",$I94="Finito con sblocco ritenute",$I94="Finito senza sblocco ritenute"),0,IF(AND($BK94&gt;=$BJ94,ANAGRAFICA!$R91="Ritardo produttivo FIDA"),IF(ANAGRAFICA!$T91&lt;&gt;"",MAX(0,ANAGRAFICA!$J91-ANAGRAFICA!$T91),MAX(0,$Y94-ANAGRAFICA!$J91)),0)))</f>
        <v/>
      </c>
      <c r="R94" s="17" t="str">
        <f t="shared" si="32"/>
        <v/>
      </c>
      <c r="S94" s="17" t="str">
        <f t="shared" si="33"/>
        <v/>
      </c>
      <c r="T94" s="17" t="str">
        <f t="shared" si="34"/>
        <v/>
      </c>
      <c r="U94" s="16" t="str">
        <f t="shared" si="35"/>
        <v/>
      </c>
      <c r="V94" s="16" t="str">
        <f t="shared" si="36"/>
        <v/>
      </c>
      <c r="W94" s="16" t="str">
        <f t="shared" si="37"/>
        <v/>
      </c>
      <c r="X94" s="40"/>
      <c r="Y94" s="14"/>
      <c r="AZ94" t="str">
        <f>IF($C94="","",ANAGRAFICA!$P91)</f>
        <v/>
      </c>
      <c r="BA94" t="str">
        <f>IF($C94="","",SUMIF('MOVIMENTI 2026'!$B$7:$B$4206,$C94,'MOVIMENTI 2026'!$I$7:$I$4206)+SUMIF('SALDI AL 31.12.2025'!$A$6:$A$505,$C94,'SALDI AL 31.12.2025'!$C$6:$C$505))</f>
        <v/>
      </c>
      <c r="BB94" t="str">
        <f>IF($C94="","",SUMIF('MOVIMENTI 2026'!$B$7:$B$4206,$C94,'MOVIMENTI 2026'!$J$7:$J$4206)+SUMIF('SALDI AL 31.12.2025'!$A$6:$A$505,$C94,'SALDI AL 31.12.2025'!$D$6:$D$505))</f>
        <v/>
      </c>
      <c r="BC94" t="str">
        <f>IF($C94="","",SUMIF('MOVIMENTI 2026'!$B$7:$B$4206,$C94,'MOVIMENTI 2026'!$K$7:$K$4206)+SUMIF('SALDI AL 31.12.2025'!$A$6:$A$505,$C94,'SALDI AL 31.12.2025'!$E$6:$E$505))</f>
        <v/>
      </c>
      <c r="BD94" t="str">
        <f>IF($C94="","",SUMIF('MOVIMENTI 2026'!$B$7:$B$4206,$C94,'MOVIMENTI 2026'!$L$7:$L$4206)+SUMIF('SALDI AL 31.12.2025'!$A$6:$A$505,$C94,'SALDI AL 31.12.2025'!$F$6:$F$505))</f>
        <v/>
      </c>
      <c r="BE94" t="str">
        <f t="shared" si="38"/>
        <v/>
      </c>
      <c r="BF94" t="str">
        <f t="shared" si="39"/>
        <v/>
      </c>
      <c r="BG94" t="str">
        <f t="shared" si="40"/>
        <v/>
      </c>
      <c r="BH94" t="str">
        <f>IFERROR(IF(OR($C94="",ANAGRAFICA!$I91="",ANAGRAFICA!$J91="",ANAGRAFICA!$J91&lt;=ANAGRAFICA!$I91,$Y94=""),"",IF(OR($I94="Finito ritenute non previste",$I94="Finito con sblocco ritenute",$I94="Finito senza sblocco ritenute"),1,MAX(0,MIN(1,($Y94-ANAGRAFICA!$I91)/(ANAGRAFICA!$J91-ANAGRAFICA!$I91))))),"")</f>
        <v/>
      </c>
      <c r="BI94" t="str">
        <f t="shared" si="41"/>
        <v/>
      </c>
      <c r="BJ94" t="str">
        <f>IFERROR(IF($C94="","",'BUDGET COMMESSA'!$D91),"")</f>
        <v/>
      </c>
      <c r="BK94" t="str">
        <f>IF($C94="","",SUMIF('MOVIMENTI 2026'!$B$7:$B$4206,$C94,'MOVIMENTI 2026'!$N$7:$N$4206)+SUMIF('SALDI AL 31.12.2025'!$A$6:$A$505,$C94,'SALDI AL 31.12.2025'!$H$6:$H$505))</f>
        <v/>
      </c>
      <c r="BL94" t="str">
        <f t="shared" si="42"/>
        <v/>
      </c>
      <c r="BM94" t="str">
        <f t="shared" si="43"/>
        <v/>
      </c>
      <c r="BN94" t="str">
        <f t="shared" si="44"/>
        <v/>
      </c>
      <c r="BO94" t="str">
        <f>IFERROR(IF($C94="","",'BUDGET COMMESSA'!$G91),"")</f>
        <v/>
      </c>
      <c r="BP94" t="str">
        <f>IF($C94="","",SUMIF('COSTI DIRETTI'!$C$6:$C$505,$C94,'COSTI DIRETTI'!$H$6:$H$505)+SUMIF('SALDI AL 31.12.2025'!$A$6:$A$505,$C94,'SALDI AL 31.12.2025'!$I$6:$I$505))</f>
        <v/>
      </c>
      <c r="BQ94" t="str">
        <f t="shared" si="45"/>
        <v/>
      </c>
      <c r="BR94" t="str">
        <f t="shared" si="46"/>
        <v/>
      </c>
      <c r="BS94" t="str">
        <f>IF($C94="","",$BK94*PARAMETRI!$B$4+$BP94)</f>
        <v/>
      </c>
      <c r="BT94">
        <f t="shared" si="47"/>
        <v>0</v>
      </c>
      <c r="BU94">
        <f t="shared" si="48"/>
        <v>0</v>
      </c>
      <c r="BV94" t="str">
        <f>IF($C94="","",SUMIF('MOVIMENTI 2026'!$B$7:$B$4206,$C94,'MOVIMENTI 2026'!$P$7:$P$4206)+SUMIF('SALDI AL 31.12.2025'!$A$6:$A$505,$C94,'SALDI AL 31.12.2025'!$G$6:$G$505))</f>
        <v/>
      </c>
    </row>
    <row r="95" spans="1:74" ht="16" x14ac:dyDescent="0.15">
      <c r="A95" s="17" t="str">
        <f>IFERROR(IF($C95="","",IF(OR($BF95&gt;0,$V95&gt;$J95,AND(ISNUMBER($Q95),$Q95&gt;0),AND($BI95&lt;&gt;"",$BI95&lt;-PARAMETRI!$B$6),AND($BM95&lt;&gt;"",$BM95&gt;=1),AND($BN95&lt;&gt;"",$BN95&gt;PARAMETRI!$B$8),AND(ISNUMBER($BR95),$BR95&gt;0)),"CRITICO",IF(OR($AZ95="",LEFT($C95,5)="TEMP",$BJ95="",$BO95="",ANAGRAFICA!$I92="",ANAGRAFICA!$J92="",$Y95="",AND(OR($I95="Finito ritenute non previste",$I95="Finito con sblocco ritenute",$I95="Finito senza sblocco ritenute"),ANAGRAFICA!$K92=""),OR(AND(ANAGRAFICA!$T92&lt;&gt;"",ANAGRAFICA!$J92&lt;&gt;ANAGRAFICA!$T92,OR(ANAGRAFICA!$R92="",ANAGRAFICA!$R92="Nessuna variazione")),AND(ANAGRAFICA!$J92="",ANAGRAFICA!$R92&lt;&gt;"",ANAGRAFICA!$R92&lt;&gt;"Nessuna variazione")),AND($BI95&lt;&gt;"",$BI95&lt;-PARAMETRI!$B$5),AND($BN95&lt;&gt;"",$BN95&gt;PARAMETRI!$B$7),AND($W95&gt;0,$M95&gt;$W95*PARAMETRI!$B$9),AND($O95&gt;0,OR($I95="Finito ritenute non previste",$I95="Finito con sblocco ritenute",$I95="Finito senza sblocco ritenute")),AND($BA95&gt;0,$BO95&gt;0,$BP95=0),AND(OR($I95="Finito ritenute non previste",$I95="Finito con sblocco ritenute",$I95="Finito senza sblocco ritenute"),$W95&gt;0,$N95&gt;$W95*PARAMETRI!$B$9),$V95&gt;0),"ATTENZIONE","REGOLARE"))),"ATTENZIONE")</f>
        <v/>
      </c>
      <c r="B95" s="17" t="str">
        <f>IFERROR(IF($C95="","",IF($BF95&gt;0,"FATTURATO OLTRE VALORE RECUPERABILE; ","")&amp;IF($V95&gt;$J95,"PERDITE ACCETTATE OLTRE CONTRATTO; ","")&amp;IF($V95&gt;0,"PERDITA SAL ACCETTATA (€ "&amp;TEXT($V95,"#,##0.00")&amp;"); ","")&amp;IF(AND(ISNUMBER($Q95),$Q95&gt;0),"RITARDO PRODUTTIVO ("&amp;TEXT($Q95,"0")&amp;" GG); ","")&amp;IF(AND($BI95&lt;&gt;"",$BI95&lt;-PARAMETRI!$B$5),"AVANZAMENTO PIÙ LENTO DEL TEMPO; ","")&amp;IF(AND($BM95&lt;&gt;"",$BM95&gt;1),"ORE OLTRE BUDGET; ","")&amp;IF(AND($BM95&lt;&gt;"",$BM95=1),"ORE PREVENTIVATE ESAURITE; ","")&amp;IF(AND($BN95&lt;&gt;"",$BN95&gt;PARAMETRI!$B$7),"CONSUMO ORE SUPERIORE ALL'AVANZAMENTO; ","")&amp;IF(AND(ISNUMBER($BR95),$BR95&gt;0),"COSTI DIRETTI OLTRE BUDGET; ","")&amp;IF(AND($W95&gt;0,$M95&gt;$W95*PARAMETRI!$B$9),"SAL MATURATO NON FATTURATO; ","")&amp;IF(AND($O95&gt;0,OR($I95="Finito ritenute non previste",$I95="Finito con sblocco ritenute",$I95="Finito senza sblocco ritenute")),"RITENUTE DA SBLOCCARE; ","")&amp;IF(AND($BA95&gt;0,$BO95&gt;0,$BP95=0),"COSTI DIRETTI NON REGISTRATI; ","")&amp;IF(AND(OR($I95="Finito ritenute non previste",$I95="Finito con sblocco ritenute",$I95="Finito senza sblocco ritenute"),$W95&gt;0,$N95&gt;$W95*PARAMETRI!$B$9),"CANTIERE FINITO CON RESIDUO LAVORI; ","")&amp;IF(AND(OR($I95="Finito ritenute non previste",$I95="Finito con sblocco ritenute",$I95="Finito senza sblocco ritenute"),ANAGRAFICA!$K92=""),"DATA FINE EFFETTIVA MANCANTE; ","")&amp;IF(OR(AND(ANAGRAFICA!$T92&lt;&gt;"",ANAGRAFICA!$J92&lt;&gt;ANAGRAFICA!$T92,OR(ANAGRAFICA!$R92="",ANAGRAFICA!$R92="Nessuna variazione")),AND(ANAGRAFICA!$J92="",ANAGRAFICA!$R92&lt;&gt;"",ANAGRAFICA!$R92&lt;&gt;"Nessuna variazione")),"GESTIONE DATA FINE INCOMPLETA; ","")&amp;IF($Y95="","AGGIORNATO AL MANCANTE; ","")&amp;IF(OR($AZ95="",$BJ95="",$BO95="",ANAGRAFICA!$I92="",ANAGRAFICA!$J92=""),"DATI PREVISIONALI INCOMPLETI; ","")&amp;IF(LEFT($C95,5)="TEMP","CODICE COMMESSA TEMPORANEO; ","")),"DATI INCOMPLETI; ")</f>
        <v/>
      </c>
      <c r="C95" s="17" t="str">
        <f>IF(ANAGRAFICA!$B92="","",ANAGRAFICA!$B92)</f>
        <v/>
      </c>
      <c r="D95" s="17" t="str">
        <f>IF($C95="","",ANAGRAFICA!$C92)</f>
        <v/>
      </c>
      <c r="E95" s="17" t="str">
        <f>IF($C95="","",ANAGRAFICA!$D92)</f>
        <v/>
      </c>
      <c r="F95" s="17" t="str">
        <f>IF($C95="","",ANAGRAFICA!$E92)</f>
        <v/>
      </c>
      <c r="G95" s="17" t="str">
        <f>IF($C95="","",ANAGRAFICA!$F92)</f>
        <v/>
      </c>
      <c r="H95" s="17" t="str">
        <f>IF($C95="","",ANAGRAFICA!$G92)</f>
        <v/>
      </c>
      <c r="I95" s="17" t="str">
        <f>IF($C95="","",ANAGRAFICA!$L92)</f>
        <v/>
      </c>
      <c r="J95" s="16" t="str">
        <f t="shared" si="25"/>
        <v/>
      </c>
      <c r="K95" s="16" t="str">
        <f t="shared" si="26"/>
        <v/>
      </c>
      <c r="L95" s="16" t="str">
        <f t="shared" si="27"/>
        <v/>
      </c>
      <c r="M95" s="16" t="str">
        <f t="shared" si="28"/>
        <v/>
      </c>
      <c r="N95" s="16" t="str">
        <f t="shared" si="29"/>
        <v/>
      </c>
      <c r="O95" s="16" t="str">
        <f t="shared" si="30"/>
        <v/>
      </c>
      <c r="P95" s="17" t="str">
        <f t="shared" si="31"/>
        <v/>
      </c>
      <c r="Q95" s="31" t="str">
        <f>IF(OR($C95="",'BUDGET COMMESSA'!$D92="",'BUDGET COMMESSA'!$D92&lt;=0,ANAGRAFICA!$J92=""),"",IF(OR($I95="Finito ritenute non previste",$I95="Finito con sblocco ritenute",$I95="Finito senza sblocco ritenute"),0,IF(AND($BK95&gt;=$BJ95,ANAGRAFICA!$R92="Ritardo produttivo FIDA"),IF(ANAGRAFICA!$T92&lt;&gt;"",MAX(0,ANAGRAFICA!$J92-ANAGRAFICA!$T92),MAX(0,$Y95-ANAGRAFICA!$J92)),0)))</f>
        <v/>
      </c>
      <c r="R95" s="17" t="str">
        <f t="shared" si="32"/>
        <v/>
      </c>
      <c r="S95" s="17" t="str">
        <f t="shared" si="33"/>
        <v/>
      </c>
      <c r="T95" s="17" t="str">
        <f t="shared" si="34"/>
        <v/>
      </c>
      <c r="U95" s="16" t="str">
        <f t="shared" si="35"/>
        <v/>
      </c>
      <c r="V95" s="16" t="str">
        <f t="shared" si="36"/>
        <v/>
      </c>
      <c r="W95" s="16" t="str">
        <f t="shared" si="37"/>
        <v/>
      </c>
      <c r="X95" s="40"/>
      <c r="Y95" s="14"/>
      <c r="AZ95" t="str">
        <f>IF($C95="","",ANAGRAFICA!$P92)</f>
        <v/>
      </c>
      <c r="BA95" t="str">
        <f>IF($C95="","",SUMIF('MOVIMENTI 2026'!$B$7:$B$4206,$C95,'MOVIMENTI 2026'!$I$7:$I$4206)+SUMIF('SALDI AL 31.12.2025'!$A$6:$A$505,$C95,'SALDI AL 31.12.2025'!$C$6:$C$505))</f>
        <v/>
      </c>
      <c r="BB95" t="str">
        <f>IF($C95="","",SUMIF('MOVIMENTI 2026'!$B$7:$B$4206,$C95,'MOVIMENTI 2026'!$J$7:$J$4206)+SUMIF('SALDI AL 31.12.2025'!$A$6:$A$505,$C95,'SALDI AL 31.12.2025'!$D$6:$D$505))</f>
        <v/>
      </c>
      <c r="BC95" t="str">
        <f>IF($C95="","",SUMIF('MOVIMENTI 2026'!$B$7:$B$4206,$C95,'MOVIMENTI 2026'!$K$7:$K$4206)+SUMIF('SALDI AL 31.12.2025'!$A$6:$A$505,$C95,'SALDI AL 31.12.2025'!$E$6:$E$505))</f>
        <v/>
      </c>
      <c r="BD95" t="str">
        <f>IF($C95="","",SUMIF('MOVIMENTI 2026'!$B$7:$B$4206,$C95,'MOVIMENTI 2026'!$L$7:$L$4206)+SUMIF('SALDI AL 31.12.2025'!$A$6:$A$505,$C95,'SALDI AL 31.12.2025'!$F$6:$F$505))</f>
        <v/>
      </c>
      <c r="BE95" t="str">
        <f t="shared" si="38"/>
        <v/>
      </c>
      <c r="BF95" t="str">
        <f t="shared" si="39"/>
        <v/>
      </c>
      <c r="BG95" t="str">
        <f t="shared" si="40"/>
        <v/>
      </c>
      <c r="BH95" t="str">
        <f>IFERROR(IF(OR($C95="",ANAGRAFICA!$I92="",ANAGRAFICA!$J92="",ANAGRAFICA!$J92&lt;=ANAGRAFICA!$I92,$Y95=""),"",IF(OR($I95="Finito ritenute non previste",$I95="Finito con sblocco ritenute",$I95="Finito senza sblocco ritenute"),1,MAX(0,MIN(1,($Y95-ANAGRAFICA!$I92)/(ANAGRAFICA!$J92-ANAGRAFICA!$I92))))),"")</f>
        <v/>
      </c>
      <c r="BI95" t="str">
        <f t="shared" si="41"/>
        <v/>
      </c>
      <c r="BJ95" t="str">
        <f>IFERROR(IF($C95="","",'BUDGET COMMESSA'!$D92),"")</f>
        <v/>
      </c>
      <c r="BK95" t="str">
        <f>IF($C95="","",SUMIF('MOVIMENTI 2026'!$B$7:$B$4206,$C95,'MOVIMENTI 2026'!$N$7:$N$4206)+SUMIF('SALDI AL 31.12.2025'!$A$6:$A$505,$C95,'SALDI AL 31.12.2025'!$H$6:$H$505))</f>
        <v/>
      </c>
      <c r="BL95" t="str">
        <f t="shared" si="42"/>
        <v/>
      </c>
      <c r="BM95" t="str">
        <f t="shared" si="43"/>
        <v/>
      </c>
      <c r="BN95" t="str">
        <f t="shared" si="44"/>
        <v/>
      </c>
      <c r="BO95" t="str">
        <f>IFERROR(IF($C95="","",'BUDGET COMMESSA'!$G92),"")</f>
        <v/>
      </c>
      <c r="BP95" t="str">
        <f>IF($C95="","",SUMIF('COSTI DIRETTI'!$C$6:$C$505,$C95,'COSTI DIRETTI'!$H$6:$H$505)+SUMIF('SALDI AL 31.12.2025'!$A$6:$A$505,$C95,'SALDI AL 31.12.2025'!$I$6:$I$505))</f>
        <v/>
      </c>
      <c r="BQ95" t="str">
        <f t="shared" si="45"/>
        <v/>
      </c>
      <c r="BR95" t="str">
        <f t="shared" si="46"/>
        <v/>
      </c>
      <c r="BS95" t="str">
        <f>IF($C95="","",$BK95*PARAMETRI!$B$4+$BP95)</f>
        <v/>
      </c>
      <c r="BT95">
        <f t="shared" si="47"/>
        <v>0</v>
      </c>
      <c r="BU95">
        <f t="shared" si="48"/>
        <v>0</v>
      </c>
      <c r="BV95" t="str">
        <f>IF($C95="","",SUMIF('MOVIMENTI 2026'!$B$7:$B$4206,$C95,'MOVIMENTI 2026'!$P$7:$P$4206)+SUMIF('SALDI AL 31.12.2025'!$A$6:$A$505,$C95,'SALDI AL 31.12.2025'!$G$6:$G$505))</f>
        <v/>
      </c>
    </row>
    <row r="96" spans="1:74" ht="16" x14ac:dyDescent="0.15">
      <c r="A96" s="17" t="str">
        <f>IFERROR(IF($C96="","",IF(OR($BF96&gt;0,$V96&gt;$J96,AND(ISNUMBER($Q96),$Q96&gt;0),AND($BI96&lt;&gt;"",$BI96&lt;-PARAMETRI!$B$6),AND($BM96&lt;&gt;"",$BM96&gt;=1),AND($BN96&lt;&gt;"",$BN96&gt;PARAMETRI!$B$8),AND(ISNUMBER($BR96),$BR96&gt;0)),"CRITICO",IF(OR($AZ96="",LEFT($C96,5)="TEMP",$BJ96="",$BO96="",ANAGRAFICA!$I93="",ANAGRAFICA!$J93="",$Y96="",AND(OR($I96="Finito ritenute non previste",$I96="Finito con sblocco ritenute",$I96="Finito senza sblocco ritenute"),ANAGRAFICA!$K93=""),OR(AND(ANAGRAFICA!$T93&lt;&gt;"",ANAGRAFICA!$J93&lt;&gt;ANAGRAFICA!$T93,OR(ANAGRAFICA!$R93="",ANAGRAFICA!$R93="Nessuna variazione")),AND(ANAGRAFICA!$J93="",ANAGRAFICA!$R93&lt;&gt;"",ANAGRAFICA!$R93&lt;&gt;"Nessuna variazione")),AND($BI96&lt;&gt;"",$BI96&lt;-PARAMETRI!$B$5),AND($BN96&lt;&gt;"",$BN96&gt;PARAMETRI!$B$7),AND($W96&gt;0,$M96&gt;$W96*PARAMETRI!$B$9),AND($O96&gt;0,OR($I96="Finito ritenute non previste",$I96="Finito con sblocco ritenute",$I96="Finito senza sblocco ritenute")),AND($BA96&gt;0,$BO96&gt;0,$BP96=0),AND(OR($I96="Finito ritenute non previste",$I96="Finito con sblocco ritenute",$I96="Finito senza sblocco ritenute"),$W96&gt;0,$N96&gt;$W96*PARAMETRI!$B$9),$V96&gt;0),"ATTENZIONE","REGOLARE"))),"ATTENZIONE")</f>
        <v/>
      </c>
      <c r="B96" s="17" t="str">
        <f>IFERROR(IF($C96="","",IF($BF96&gt;0,"FATTURATO OLTRE VALORE RECUPERABILE; ","")&amp;IF($V96&gt;$J96,"PERDITE ACCETTATE OLTRE CONTRATTO; ","")&amp;IF($V96&gt;0,"PERDITA SAL ACCETTATA (€ "&amp;TEXT($V96,"#,##0.00")&amp;"); ","")&amp;IF(AND(ISNUMBER($Q96),$Q96&gt;0),"RITARDO PRODUTTIVO ("&amp;TEXT($Q96,"0")&amp;" GG); ","")&amp;IF(AND($BI96&lt;&gt;"",$BI96&lt;-PARAMETRI!$B$5),"AVANZAMENTO PIÙ LENTO DEL TEMPO; ","")&amp;IF(AND($BM96&lt;&gt;"",$BM96&gt;1),"ORE OLTRE BUDGET; ","")&amp;IF(AND($BM96&lt;&gt;"",$BM96=1),"ORE PREVENTIVATE ESAURITE; ","")&amp;IF(AND($BN96&lt;&gt;"",$BN96&gt;PARAMETRI!$B$7),"CONSUMO ORE SUPERIORE ALL'AVANZAMENTO; ","")&amp;IF(AND(ISNUMBER($BR96),$BR96&gt;0),"COSTI DIRETTI OLTRE BUDGET; ","")&amp;IF(AND($W96&gt;0,$M96&gt;$W96*PARAMETRI!$B$9),"SAL MATURATO NON FATTURATO; ","")&amp;IF(AND($O96&gt;0,OR($I96="Finito ritenute non previste",$I96="Finito con sblocco ritenute",$I96="Finito senza sblocco ritenute")),"RITENUTE DA SBLOCCARE; ","")&amp;IF(AND($BA96&gt;0,$BO96&gt;0,$BP96=0),"COSTI DIRETTI NON REGISTRATI; ","")&amp;IF(AND(OR($I96="Finito ritenute non previste",$I96="Finito con sblocco ritenute",$I96="Finito senza sblocco ritenute"),$W96&gt;0,$N96&gt;$W96*PARAMETRI!$B$9),"CANTIERE FINITO CON RESIDUO LAVORI; ","")&amp;IF(AND(OR($I96="Finito ritenute non previste",$I96="Finito con sblocco ritenute",$I96="Finito senza sblocco ritenute"),ANAGRAFICA!$K93=""),"DATA FINE EFFETTIVA MANCANTE; ","")&amp;IF(OR(AND(ANAGRAFICA!$T93&lt;&gt;"",ANAGRAFICA!$J93&lt;&gt;ANAGRAFICA!$T93,OR(ANAGRAFICA!$R93="",ANAGRAFICA!$R93="Nessuna variazione")),AND(ANAGRAFICA!$J93="",ANAGRAFICA!$R93&lt;&gt;"",ANAGRAFICA!$R93&lt;&gt;"Nessuna variazione")),"GESTIONE DATA FINE INCOMPLETA; ","")&amp;IF($Y96="","AGGIORNATO AL MANCANTE; ","")&amp;IF(OR($AZ96="",$BJ96="",$BO96="",ANAGRAFICA!$I93="",ANAGRAFICA!$J93=""),"DATI PREVISIONALI INCOMPLETI; ","")&amp;IF(LEFT($C96,5)="TEMP","CODICE COMMESSA TEMPORANEO; ","")),"DATI INCOMPLETI; ")</f>
        <v/>
      </c>
      <c r="C96" s="17" t="str">
        <f>IF(ANAGRAFICA!$B93="","",ANAGRAFICA!$B93)</f>
        <v/>
      </c>
      <c r="D96" s="17" t="str">
        <f>IF($C96="","",ANAGRAFICA!$C93)</f>
        <v/>
      </c>
      <c r="E96" s="17" t="str">
        <f>IF($C96="","",ANAGRAFICA!$D93)</f>
        <v/>
      </c>
      <c r="F96" s="17" t="str">
        <f>IF($C96="","",ANAGRAFICA!$E93)</f>
        <v/>
      </c>
      <c r="G96" s="17" t="str">
        <f>IF($C96="","",ANAGRAFICA!$F93)</f>
        <v/>
      </c>
      <c r="H96" s="17" t="str">
        <f>IF($C96="","",ANAGRAFICA!$G93)</f>
        <v/>
      </c>
      <c r="I96" s="17" t="str">
        <f>IF($C96="","",ANAGRAFICA!$L93)</f>
        <v/>
      </c>
      <c r="J96" s="16" t="str">
        <f t="shared" si="25"/>
        <v/>
      </c>
      <c r="K96" s="16" t="str">
        <f t="shared" si="26"/>
        <v/>
      </c>
      <c r="L96" s="16" t="str">
        <f t="shared" si="27"/>
        <v/>
      </c>
      <c r="M96" s="16" t="str">
        <f t="shared" si="28"/>
        <v/>
      </c>
      <c r="N96" s="16" t="str">
        <f t="shared" si="29"/>
        <v/>
      </c>
      <c r="O96" s="16" t="str">
        <f t="shared" si="30"/>
        <v/>
      </c>
      <c r="P96" s="17" t="str">
        <f t="shared" si="31"/>
        <v/>
      </c>
      <c r="Q96" s="31" t="str">
        <f>IF(OR($C96="",'BUDGET COMMESSA'!$D93="",'BUDGET COMMESSA'!$D93&lt;=0,ANAGRAFICA!$J93=""),"",IF(OR($I96="Finito ritenute non previste",$I96="Finito con sblocco ritenute",$I96="Finito senza sblocco ritenute"),0,IF(AND($BK96&gt;=$BJ96,ANAGRAFICA!$R93="Ritardo produttivo FIDA"),IF(ANAGRAFICA!$T93&lt;&gt;"",MAX(0,ANAGRAFICA!$J93-ANAGRAFICA!$T93),MAX(0,$Y96-ANAGRAFICA!$J93)),0)))</f>
        <v/>
      </c>
      <c r="R96" s="17" t="str">
        <f t="shared" si="32"/>
        <v/>
      </c>
      <c r="S96" s="17" t="str">
        <f t="shared" si="33"/>
        <v/>
      </c>
      <c r="T96" s="17" t="str">
        <f t="shared" si="34"/>
        <v/>
      </c>
      <c r="U96" s="16" t="str">
        <f t="shared" si="35"/>
        <v/>
      </c>
      <c r="V96" s="16" t="str">
        <f t="shared" si="36"/>
        <v/>
      </c>
      <c r="W96" s="16" t="str">
        <f t="shared" si="37"/>
        <v/>
      </c>
      <c r="X96" s="40"/>
      <c r="Y96" s="14"/>
      <c r="AZ96" t="str">
        <f>IF($C96="","",ANAGRAFICA!$P93)</f>
        <v/>
      </c>
      <c r="BA96" t="str">
        <f>IF($C96="","",SUMIF('MOVIMENTI 2026'!$B$7:$B$4206,$C96,'MOVIMENTI 2026'!$I$7:$I$4206)+SUMIF('SALDI AL 31.12.2025'!$A$6:$A$505,$C96,'SALDI AL 31.12.2025'!$C$6:$C$505))</f>
        <v/>
      </c>
      <c r="BB96" t="str">
        <f>IF($C96="","",SUMIF('MOVIMENTI 2026'!$B$7:$B$4206,$C96,'MOVIMENTI 2026'!$J$7:$J$4206)+SUMIF('SALDI AL 31.12.2025'!$A$6:$A$505,$C96,'SALDI AL 31.12.2025'!$D$6:$D$505))</f>
        <v/>
      </c>
      <c r="BC96" t="str">
        <f>IF($C96="","",SUMIF('MOVIMENTI 2026'!$B$7:$B$4206,$C96,'MOVIMENTI 2026'!$K$7:$K$4206)+SUMIF('SALDI AL 31.12.2025'!$A$6:$A$505,$C96,'SALDI AL 31.12.2025'!$E$6:$E$505))</f>
        <v/>
      </c>
      <c r="BD96" t="str">
        <f>IF($C96="","",SUMIF('MOVIMENTI 2026'!$B$7:$B$4206,$C96,'MOVIMENTI 2026'!$L$7:$L$4206)+SUMIF('SALDI AL 31.12.2025'!$A$6:$A$505,$C96,'SALDI AL 31.12.2025'!$F$6:$F$505))</f>
        <v/>
      </c>
      <c r="BE96" t="str">
        <f t="shared" si="38"/>
        <v/>
      </c>
      <c r="BF96" t="str">
        <f t="shared" si="39"/>
        <v/>
      </c>
      <c r="BG96" t="str">
        <f t="shared" si="40"/>
        <v/>
      </c>
      <c r="BH96" t="str">
        <f>IFERROR(IF(OR($C96="",ANAGRAFICA!$I93="",ANAGRAFICA!$J93="",ANAGRAFICA!$J93&lt;=ANAGRAFICA!$I93,$Y96=""),"",IF(OR($I96="Finito ritenute non previste",$I96="Finito con sblocco ritenute",$I96="Finito senza sblocco ritenute"),1,MAX(0,MIN(1,($Y96-ANAGRAFICA!$I93)/(ANAGRAFICA!$J93-ANAGRAFICA!$I93))))),"")</f>
        <v/>
      </c>
      <c r="BI96" t="str">
        <f t="shared" si="41"/>
        <v/>
      </c>
      <c r="BJ96" t="str">
        <f>IFERROR(IF($C96="","",'BUDGET COMMESSA'!$D93),"")</f>
        <v/>
      </c>
      <c r="BK96" t="str">
        <f>IF($C96="","",SUMIF('MOVIMENTI 2026'!$B$7:$B$4206,$C96,'MOVIMENTI 2026'!$N$7:$N$4206)+SUMIF('SALDI AL 31.12.2025'!$A$6:$A$505,$C96,'SALDI AL 31.12.2025'!$H$6:$H$505))</f>
        <v/>
      </c>
      <c r="BL96" t="str">
        <f t="shared" si="42"/>
        <v/>
      </c>
      <c r="BM96" t="str">
        <f t="shared" si="43"/>
        <v/>
      </c>
      <c r="BN96" t="str">
        <f t="shared" si="44"/>
        <v/>
      </c>
      <c r="BO96" t="str">
        <f>IFERROR(IF($C96="","",'BUDGET COMMESSA'!$G93),"")</f>
        <v/>
      </c>
      <c r="BP96" t="str">
        <f>IF($C96="","",SUMIF('COSTI DIRETTI'!$C$6:$C$505,$C96,'COSTI DIRETTI'!$H$6:$H$505)+SUMIF('SALDI AL 31.12.2025'!$A$6:$A$505,$C96,'SALDI AL 31.12.2025'!$I$6:$I$505))</f>
        <v/>
      </c>
      <c r="BQ96" t="str">
        <f t="shared" si="45"/>
        <v/>
      </c>
      <c r="BR96" t="str">
        <f t="shared" si="46"/>
        <v/>
      </c>
      <c r="BS96" t="str">
        <f>IF($C96="","",$BK96*PARAMETRI!$B$4+$BP96)</f>
        <v/>
      </c>
      <c r="BT96">
        <f t="shared" si="47"/>
        <v>0</v>
      </c>
      <c r="BU96">
        <f t="shared" si="48"/>
        <v>0</v>
      </c>
      <c r="BV96" t="str">
        <f>IF($C96="","",SUMIF('MOVIMENTI 2026'!$B$7:$B$4206,$C96,'MOVIMENTI 2026'!$P$7:$P$4206)+SUMIF('SALDI AL 31.12.2025'!$A$6:$A$505,$C96,'SALDI AL 31.12.2025'!$G$6:$G$505))</f>
        <v/>
      </c>
    </row>
    <row r="97" spans="1:74" ht="16" x14ac:dyDescent="0.15">
      <c r="A97" s="17" t="str">
        <f>IFERROR(IF($C97="","",IF(OR($BF97&gt;0,$V97&gt;$J97,AND(ISNUMBER($Q97),$Q97&gt;0),AND($BI97&lt;&gt;"",$BI97&lt;-PARAMETRI!$B$6),AND($BM97&lt;&gt;"",$BM97&gt;=1),AND($BN97&lt;&gt;"",$BN97&gt;PARAMETRI!$B$8),AND(ISNUMBER($BR97),$BR97&gt;0)),"CRITICO",IF(OR($AZ97="",LEFT($C97,5)="TEMP",$BJ97="",$BO97="",ANAGRAFICA!$I94="",ANAGRAFICA!$J94="",$Y97="",AND(OR($I97="Finito ritenute non previste",$I97="Finito con sblocco ritenute",$I97="Finito senza sblocco ritenute"),ANAGRAFICA!$K94=""),OR(AND(ANAGRAFICA!$T94&lt;&gt;"",ANAGRAFICA!$J94&lt;&gt;ANAGRAFICA!$T94,OR(ANAGRAFICA!$R94="",ANAGRAFICA!$R94="Nessuna variazione")),AND(ANAGRAFICA!$J94="",ANAGRAFICA!$R94&lt;&gt;"",ANAGRAFICA!$R94&lt;&gt;"Nessuna variazione")),AND($BI97&lt;&gt;"",$BI97&lt;-PARAMETRI!$B$5),AND($BN97&lt;&gt;"",$BN97&gt;PARAMETRI!$B$7),AND($W97&gt;0,$M97&gt;$W97*PARAMETRI!$B$9),AND($O97&gt;0,OR($I97="Finito ritenute non previste",$I97="Finito con sblocco ritenute",$I97="Finito senza sblocco ritenute")),AND($BA97&gt;0,$BO97&gt;0,$BP97=0),AND(OR($I97="Finito ritenute non previste",$I97="Finito con sblocco ritenute",$I97="Finito senza sblocco ritenute"),$W97&gt;0,$N97&gt;$W97*PARAMETRI!$B$9),$V97&gt;0),"ATTENZIONE","REGOLARE"))),"ATTENZIONE")</f>
        <v/>
      </c>
      <c r="B97" s="17" t="str">
        <f>IFERROR(IF($C97="","",IF($BF97&gt;0,"FATTURATO OLTRE VALORE RECUPERABILE; ","")&amp;IF($V97&gt;$J97,"PERDITE ACCETTATE OLTRE CONTRATTO; ","")&amp;IF($V97&gt;0,"PERDITA SAL ACCETTATA (€ "&amp;TEXT($V97,"#,##0.00")&amp;"); ","")&amp;IF(AND(ISNUMBER($Q97),$Q97&gt;0),"RITARDO PRODUTTIVO ("&amp;TEXT($Q97,"0")&amp;" GG); ","")&amp;IF(AND($BI97&lt;&gt;"",$BI97&lt;-PARAMETRI!$B$5),"AVANZAMENTO PIÙ LENTO DEL TEMPO; ","")&amp;IF(AND($BM97&lt;&gt;"",$BM97&gt;1),"ORE OLTRE BUDGET; ","")&amp;IF(AND($BM97&lt;&gt;"",$BM97=1),"ORE PREVENTIVATE ESAURITE; ","")&amp;IF(AND($BN97&lt;&gt;"",$BN97&gt;PARAMETRI!$B$7),"CONSUMO ORE SUPERIORE ALL'AVANZAMENTO; ","")&amp;IF(AND(ISNUMBER($BR97),$BR97&gt;0),"COSTI DIRETTI OLTRE BUDGET; ","")&amp;IF(AND($W97&gt;0,$M97&gt;$W97*PARAMETRI!$B$9),"SAL MATURATO NON FATTURATO; ","")&amp;IF(AND($O97&gt;0,OR($I97="Finito ritenute non previste",$I97="Finito con sblocco ritenute",$I97="Finito senza sblocco ritenute")),"RITENUTE DA SBLOCCARE; ","")&amp;IF(AND($BA97&gt;0,$BO97&gt;0,$BP97=0),"COSTI DIRETTI NON REGISTRATI; ","")&amp;IF(AND(OR($I97="Finito ritenute non previste",$I97="Finito con sblocco ritenute",$I97="Finito senza sblocco ritenute"),$W97&gt;0,$N97&gt;$W97*PARAMETRI!$B$9),"CANTIERE FINITO CON RESIDUO LAVORI; ","")&amp;IF(AND(OR($I97="Finito ritenute non previste",$I97="Finito con sblocco ritenute",$I97="Finito senza sblocco ritenute"),ANAGRAFICA!$K94=""),"DATA FINE EFFETTIVA MANCANTE; ","")&amp;IF(OR(AND(ANAGRAFICA!$T94&lt;&gt;"",ANAGRAFICA!$J94&lt;&gt;ANAGRAFICA!$T94,OR(ANAGRAFICA!$R94="",ANAGRAFICA!$R94="Nessuna variazione")),AND(ANAGRAFICA!$J94="",ANAGRAFICA!$R94&lt;&gt;"",ANAGRAFICA!$R94&lt;&gt;"Nessuna variazione")),"GESTIONE DATA FINE INCOMPLETA; ","")&amp;IF($Y97="","AGGIORNATO AL MANCANTE; ","")&amp;IF(OR($AZ97="",$BJ97="",$BO97="",ANAGRAFICA!$I94="",ANAGRAFICA!$J94=""),"DATI PREVISIONALI INCOMPLETI; ","")&amp;IF(LEFT($C97,5)="TEMP","CODICE COMMESSA TEMPORANEO; ","")),"DATI INCOMPLETI; ")</f>
        <v/>
      </c>
      <c r="C97" s="17" t="str">
        <f>IF(ANAGRAFICA!$B94="","",ANAGRAFICA!$B94)</f>
        <v/>
      </c>
      <c r="D97" s="17" t="str">
        <f>IF($C97="","",ANAGRAFICA!$C94)</f>
        <v/>
      </c>
      <c r="E97" s="17" t="str">
        <f>IF($C97="","",ANAGRAFICA!$D94)</f>
        <v/>
      </c>
      <c r="F97" s="17" t="str">
        <f>IF($C97="","",ANAGRAFICA!$E94)</f>
        <v/>
      </c>
      <c r="G97" s="17" t="str">
        <f>IF($C97="","",ANAGRAFICA!$F94)</f>
        <v/>
      </c>
      <c r="H97" s="17" t="str">
        <f>IF($C97="","",ANAGRAFICA!$G94)</f>
        <v/>
      </c>
      <c r="I97" s="17" t="str">
        <f>IF($C97="","",ANAGRAFICA!$L94)</f>
        <v/>
      </c>
      <c r="J97" s="16" t="str">
        <f t="shared" si="25"/>
        <v/>
      </c>
      <c r="K97" s="16" t="str">
        <f t="shared" si="26"/>
        <v/>
      </c>
      <c r="L97" s="16" t="str">
        <f t="shared" si="27"/>
        <v/>
      </c>
      <c r="M97" s="16" t="str">
        <f t="shared" si="28"/>
        <v/>
      </c>
      <c r="N97" s="16" t="str">
        <f t="shared" si="29"/>
        <v/>
      </c>
      <c r="O97" s="16" t="str">
        <f t="shared" si="30"/>
        <v/>
      </c>
      <c r="P97" s="17" t="str">
        <f t="shared" si="31"/>
        <v/>
      </c>
      <c r="Q97" s="31" t="str">
        <f>IF(OR($C97="",'BUDGET COMMESSA'!$D94="",'BUDGET COMMESSA'!$D94&lt;=0,ANAGRAFICA!$J94=""),"",IF(OR($I97="Finito ritenute non previste",$I97="Finito con sblocco ritenute",$I97="Finito senza sblocco ritenute"),0,IF(AND($BK97&gt;=$BJ97,ANAGRAFICA!$R94="Ritardo produttivo FIDA"),IF(ANAGRAFICA!$T94&lt;&gt;"",MAX(0,ANAGRAFICA!$J94-ANAGRAFICA!$T94),MAX(0,$Y97-ANAGRAFICA!$J94)),0)))</f>
        <v/>
      </c>
      <c r="R97" s="17" t="str">
        <f t="shared" si="32"/>
        <v/>
      </c>
      <c r="S97" s="17" t="str">
        <f t="shared" si="33"/>
        <v/>
      </c>
      <c r="T97" s="17" t="str">
        <f t="shared" si="34"/>
        <v/>
      </c>
      <c r="U97" s="16" t="str">
        <f t="shared" si="35"/>
        <v/>
      </c>
      <c r="V97" s="16" t="str">
        <f t="shared" si="36"/>
        <v/>
      </c>
      <c r="W97" s="16" t="str">
        <f t="shared" si="37"/>
        <v/>
      </c>
      <c r="X97" s="40"/>
      <c r="Y97" s="14"/>
      <c r="AZ97" t="str">
        <f>IF($C97="","",ANAGRAFICA!$P94)</f>
        <v/>
      </c>
      <c r="BA97" t="str">
        <f>IF($C97="","",SUMIF('MOVIMENTI 2026'!$B$7:$B$4206,$C97,'MOVIMENTI 2026'!$I$7:$I$4206)+SUMIF('SALDI AL 31.12.2025'!$A$6:$A$505,$C97,'SALDI AL 31.12.2025'!$C$6:$C$505))</f>
        <v/>
      </c>
      <c r="BB97" t="str">
        <f>IF($C97="","",SUMIF('MOVIMENTI 2026'!$B$7:$B$4206,$C97,'MOVIMENTI 2026'!$J$7:$J$4206)+SUMIF('SALDI AL 31.12.2025'!$A$6:$A$505,$C97,'SALDI AL 31.12.2025'!$D$6:$D$505))</f>
        <v/>
      </c>
      <c r="BC97" t="str">
        <f>IF($C97="","",SUMIF('MOVIMENTI 2026'!$B$7:$B$4206,$C97,'MOVIMENTI 2026'!$K$7:$K$4206)+SUMIF('SALDI AL 31.12.2025'!$A$6:$A$505,$C97,'SALDI AL 31.12.2025'!$E$6:$E$505))</f>
        <v/>
      </c>
      <c r="BD97" t="str">
        <f>IF($C97="","",SUMIF('MOVIMENTI 2026'!$B$7:$B$4206,$C97,'MOVIMENTI 2026'!$L$7:$L$4206)+SUMIF('SALDI AL 31.12.2025'!$A$6:$A$505,$C97,'SALDI AL 31.12.2025'!$F$6:$F$505))</f>
        <v/>
      </c>
      <c r="BE97" t="str">
        <f t="shared" si="38"/>
        <v/>
      </c>
      <c r="BF97" t="str">
        <f t="shared" si="39"/>
        <v/>
      </c>
      <c r="BG97" t="str">
        <f t="shared" si="40"/>
        <v/>
      </c>
      <c r="BH97" t="str">
        <f>IFERROR(IF(OR($C97="",ANAGRAFICA!$I94="",ANAGRAFICA!$J94="",ANAGRAFICA!$J94&lt;=ANAGRAFICA!$I94,$Y97=""),"",IF(OR($I97="Finito ritenute non previste",$I97="Finito con sblocco ritenute",$I97="Finito senza sblocco ritenute"),1,MAX(0,MIN(1,($Y97-ANAGRAFICA!$I94)/(ANAGRAFICA!$J94-ANAGRAFICA!$I94))))),"")</f>
        <v/>
      </c>
      <c r="BI97" t="str">
        <f t="shared" si="41"/>
        <v/>
      </c>
      <c r="BJ97" t="str">
        <f>IFERROR(IF($C97="","",'BUDGET COMMESSA'!$D94),"")</f>
        <v/>
      </c>
      <c r="BK97" t="str">
        <f>IF($C97="","",SUMIF('MOVIMENTI 2026'!$B$7:$B$4206,$C97,'MOVIMENTI 2026'!$N$7:$N$4206)+SUMIF('SALDI AL 31.12.2025'!$A$6:$A$505,$C97,'SALDI AL 31.12.2025'!$H$6:$H$505))</f>
        <v/>
      </c>
      <c r="BL97" t="str">
        <f t="shared" si="42"/>
        <v/>
      </c>
      <c r="BM97" t="str">
        <f t="shared" si="43"/>
        <v/>
      </c>
      <c r="BN97" t="str">
        <f t="shared" si="44"/>
        <v/>
      </c>
      <c r="BO97" t="str">
        <f>IFERROR(IF($C97="","",'BUDGET COMMESSA'!$G94),"")</f>
        <v/>
      </c>
      <c r="BP97" t="str">
        <f>IF($C97="","",SUMIF('COSTI DIRETTI'!$C$6:$C$505,$C97,'COSTI DIRETTI'!$H$6:$H$505)+SUMIF('SALDI AL 31.12.2025'!$A$6:$A$505,$C97,'SALDI AL 31.12.2025'!$I$6:$I$505))</f>
        <v/>
      </c>
      <c r="BQ97" t="str">
        <f t="shared" si="45"/>
        <v/>
      </c>
      <c r="BR97" t="str">
        <f t="shared" si="46"/>
        <v/>
      </c>
      <c r="BS97" t="str">
        <f>IF($C97="","",$BK97*PARAMETRI!$B$4+$BP97)</f>
        <v/>
      </c>
      <c r="BT97">
        <f t="shared" si="47"/>
        <v>0</v>
      </c>
      <c r="BU97">
        <f t="shared" si="48"/>
        <v>0</v>
      </c>
      <c r="BV97" t="str">
        <f>IF($C97="","",SUMIF('MOVIMENTI 2026'!$B$7:$B$4206,$C97,'MOVIMENTI 2026'!$P$7:$P$4206)+SUMIF('SALDI AL 31.12.2025'!$A$6:$A$505,$C97,'SALDI AL 31.12.2025'!$G$6:$G$505))</f>
        <v/>
      </c>
    </row>
    <row r="98" spans="1:74" ht="16" x14ac:dyDescent="0.15">
      <c r="A98" s="17" t="str">
        <f>IFERROR(IF($C98="","",IF(OR($BF98&gt;0,$V98&gt;$J98,AND(ISNUMBER($Q98),$Q98&gt;0),AND($BI98&lt;&gt;"",$BI98&lt;-PARAMETRI!$B$6),AND($BM98&lt;&gt;"",$BM98&gt;=1),AND($BN98&lt;&gt;"",$BN98&gt;PARAMETRI!$B$8),AND(ISNUMBER($BR98),$BR98&gt;0)),"CRITICO",IF(OR($AZ98="",LEFT($C98,5)="TEMP",$BJ98="",$BO98="",ANAGRAFICA!$I95="",ANAGRAFICA!$J95="",$Y98="",AND(OR($I98="Finito ritenute non previste",$I98="Finito con sblocco ritenute",$I98="Finito senza sblocco ritenute"),ANAGRAFICA!$K95=""),OR(AND(ANAGRAFICA!$T95&lt;&gt;"",ANAGRAFICA!$J95&lt;&gt;ANAGRAFICA!$T95,OR(ANAGRAFICA!$R95="",ANAGRAFICA!$R95="Nessuna variazione")),AND(ANAGRAFICA!$J95="",ANAGRAFICA!$R95&lt;&gt;"",ANAGRAFICA!$R95&lt;&gt;"Nessuna variazione")),AND($BI98&lt;&gt;"",$BI98&lt;-PARAMETRI!$B$5),AND($BN98&lt;&gt;"",$BN98&gt;PARAMETRI!$B$7),AND($W98&gt;0,$M98&gt;$W98*PARAMETRI!$B$9),AND($O98&gt;0,OR($I98="Finito ritenute non previste",$I98="Finito con sblocco ritenute",$I98="Finito senza sblocco ritenute")),AND($BA98&gt;0,$BO98&gt;0,$BP98=0),AND(OR($I98="Finito ritenute non previste",$I98="Finito con sblocco ritenute",$I98="Finito senza sblocco ritenute"),$W98&gt;0,$N98&gt;$W98*PARAMETRI!$B$9),$V98&gt;0),"ATTENZIONE","REGOLARE"))),"ATTENZIONE")</f>
        <v/>
      </c>
      <c r="B98" s="17" t="str">
        <f>IFERROR(IF($C98="","",IF($BF98&gt;0,"FATTURATO OLTRE VALORE RECUPERABILE; ","")&amp;IF($V98&gt;$J98,"PERDITE ACCETTATE OLTRE CONTRATTO; ","")&amp;IF($V98&gt;0,"PERDITA SAL ACCETTATA (€ "&amp;TEXT($V98,"#,##0.00")&amp;"); ","")&amp;IF(AND(ISNUMBER($Q98),$Q98&gt;0),"RITARDO PRODUTTIVO ("&amp;TEXT($Q98,"0")&amp;" GG); ","")&amp;IF(AND($BI98&lt;&gt;"",$BI98&lt;-PARAMETRI!$B$5),"AVANZAMENTO PIÙ LENTO DEL TEMPO; ","")&amp;IF(AND($BM98&lt;&gt;"",$BM98&gt;1),"ORE OLTRE BUDGET; ","")&amp;IF(AND($BM98&lt;&gt;"",$BM98=1),"ORE PREVENTIVATE ESAURITE; ","")&amp;IF(AND($BN98&lt;&gt;"",$BN98&gt;PARAMETRI!$B$7),"CONSUMO ORE SUPERIORE ALL'AVANZAMENTO; ","")&amp;IF(AND(ISNUMBER($BR98),$BR98&gt;0),"COSTI DIRETTI OLTRE BUDGET; ","")&amp;IF(AND($W98&gt;0,$M98&gt;$W98*PARAMETRI!$B$9),"SAL MATURATO NON FATTURATO; ","")&amp;IF(AND($O98&gt;0,OR($I98="Finito ritenute non previste",$I98="Finito con sblocco ritenute",$I98="Finito senza sblocco ritenute")),"RITENUTE DA SBLOCCARE; ","")&amp;IF(AND($BA98&gt;0,$BO98&gt;0,$BP98=0),"COSTI DIRETTI NON REGISTRATI; ","")&amp;IF(AND(OR($I98="Finito ritenute non previste",$I98="Finito con sblocco ritenute",$I98="Finito senza sblocco ritenute"),$W98&gt;0,$N98&gt;$W98*PARAMETRI!$B$9),"CANTIERE FINITO CON RESIDUO LAVORI; ","")&amp;IF(AND(OR($I98="Finito ritenute non previste",$I98="Finito con sblocco ritenute",$I98="Finito senza sblocco ritenute"),ANAGRAFICA!$K95=""),"DATA FINE EFFETTIVA MANCANTE; ","")&amp;IF(OR(AND(ANAGRAFICA!$T95&lt;&gt;"",ANAGRAFICA!$J95&lt;&gt;ANAGRAFICA!$T95,OR(ANAGRAFICA!$R95="",ANAGRAFICA!$R95="Nessuna variazione")),AND(ANAGRAFICA!$J95="",ANAGRAFICA!$R95&lt;&gt;"",ANAGRAFICA!$R95&lt;&gt;"Nessuna variazione")),"GESTIONE DATA FINE INCOMPLETA; ","")&amp;IF($Y98="","AGGIORNATO AL MANCANTE; ","")&amp;IF(OR($AZ98="",$BJ98="",$BO98="",ANAGRAFICA!$I95="",ANAGRAFICA!$J95=""),"DATI PREVISIONALI INCOMPLETI; ","")&amp;IF(LEFT($C98,5)="TEMP","CODICE COMMESSA TEMPORANEO; ","")),"DATI INCOMPLETI; ")</f>
        <v/>
      </c>
      <c r="C98" s="17" t="str">
        <f>IF(ANAGRAFICA!$B95="","",ANAGRAFICA!$B95)</f>
        <v/>
      </c>
      <c r="D98" s="17" t="str">
        <f>IF($C98="","",ANAGRAFICA!$C95)</f>
        <v/>
      </c>
      <c r="E98" s="17" t="str">
        <f>IF($C98="","",ANAGRAFICA!$D95)</f>
        <v/>
      </c>
      <c r="F98" s="17" t="str">
        <f>IF($C98="","",ANAGRAFICA!$E95)</f>
        <v/>
      </c>
      <c r="G98" s="17" t="str">
        <f>IF($C98="","",ANAGRAFICA!$F95)</f>
        <v/>
      </c>
      <c r="H98" s="17" t="str">
        <f>IF($C98="","",ANAGRAFICA!$G95)</f>
        <v/>
      </c>
      <c r="I98" s="17" t="str">
        <f>IF($C98="","",ANAGRAFICA!$L95)</f>
        <v/>
      </c>
      <c r="J98" s="16" t="str">
        <f t="shared" si="25"/>
        <v/>
      </c>
      <c r="K98" s="16" t="str">
        <f t="shared" si="26"/>
        <v/>
      </c>
      <c r="L98" s="16" t="str">
        <f t="shared" si="27"/>
        <v/>
      </c>
      <c r="M98" s="16" t="str">
        <f t="shared" si="28"/>
        <v/>
      </c>
      <c r="N98" s="16" t="str">
        <f t="shared" si="29"/>
        <v/>
      </c>
      <c r="O98" s="16" t="str">
        <f t="shared" si="30"/>
        <v/>
      </c>
      <c r="P98" s="17" t="str">
        <f t="shared" si="31"/>
        <v/>
      </c>
      <c r="Q98" s="31" t="str">
        <f>IF(OR($C98="",'BUDGET COMMESSA'!$D95="",'BUDGET COMMESSA'!$D95&lt;=0,ANAGRAFICA!$J95=""),"",IF(OR($I98="Finito ritenute non previste",$I98="Finito con sblocco ritenute",$I98="Finito senza sblocco ritenute"),0,IF(AND($BK98&gt;=$BJ98,ANAGRAFICA!$R95="Ritardo produttivo FIDA"),IF(ANAGRAFICA!$T95&lt;&gt;"",MAX(0,ANAGRAFICA!$J95-ANAGRAFICA!$T95),MAX(0,$Y98-ANAGRAFICA!$J95)),0)))</f>
        <v/>
      </c>
      <c r="R98" s="17" t="str">
        <f t="shared" si="32"/>
        <v/>
      </c>
      <c r="S98" s="17" t="str">
        <f t="shared" si="33"/>
        <v/>
      </c>
      <c r="T98" s="17" t="str">
        <f t="shared" si="34"/>
        <v/>
      </c>
      <c r="U98" s="16" t="str">
        <f t="shared" si="35"/>
        <v/>
      </c>
      <c r="V98" s="16" t="str">
        <f t="shared" si="36"/>
        <v/>
      </c>
      <c r="W98" s="16" t="str">
        <f t="shared" si="37"/>
        <v/>
      </c>
      <c r="X98" s="40"/>
      <c r="Y98" s="14"/>
      <c r="AZ98" t="str">
        <f>IF($C98="","",ANAGRAFICA!$P95)</f>
        <v/>
      </c>
      <c r="BA98" t="str">
        <f>IF($C98="","",SUMIF('MOVIMENTI 2026'!$B$7:$B$4206,$C98,'MOVIMENTI 2026'!$I$7:$I$4206)+SUMIF('SALDI AL 31.12.2025'!$A$6:$A$505,$C98,'SALDI AL 31.12.2025'!$C$6:$C$505))</f>
        <v/>
      </c>
      <c r="BB98" t="str">
        <f>IF($C98="","",SUMIF('MOVIMENTI 2026'!$B$7:$B$4206,$C98,'MOVIMENTI 2026'!$J$7:$J$4206)+SUMIF('SALDI AL 31.12.2025'!$A$6:$A$505,$C98,'SALDI AL 31.12.2025'!$D$6:$D$505))</f>
        <v/>
      </c>
      <c r="BC98" t="str">
        <f>IF($C98="","",SUMIF('MOVIMENTI 2026'!$B$7:$B$4206,$C98,'MOVIMENTI 2026'!$K$7:$K$4206)+SUMIF('SALDI AL 31.12.2025'!$A$6:$A$505,$C98,'SALDI AL 31.12.2025'!$E$6:$E$505))</f>
        <v/>
      </c>
      <c r="BD98" t="str">
        <f>IF($C98="","",SUMIF('MOVIMENTI 2026'!$B$7:$B$4206,$C98,'MOVIMENTI 2026'!$L$7:$L$4206)+SUMIF('SALDI AL 31.12.2025'!$A$6:$A$505,$C98,'SALDI AL 31.12.2025'!$F$6:$F$505))</f>
        <v/>
      </c>
      <c r="BE98" t="str">
        <f t="shared" si="38"/>
        <v/>
      </c>
      <c r="BF98" t="str">
        <f t="shared" si="39"/>
        <v/>
      </c>
      <c r="BG98" t="str">
        <f t="shared" si="40"/>
        <v/>
      </c>
      <c r="BH98" t="str">
        <f>IFERROR(IF(OR($C98="",ANAGRAFICA!$I95="",ANAGRAFICA!$J95="",ANAGRAFICA!$J95&lt;=ANAGRAFICA!$I95,$Y98=""),"",IF(OR($I98="Finito ritenute non previste",$I98="Finito con sblocco ritenute",$I98="Finito senza sblocco ritenute"),1,MAX(0,MIN(1,($Y98-ANAGRAFICA!$I95)/(ANAGRAFICA!$J95-ANAGRAFICA!$I95))))),"")</f>
        <v/>
      </c>
      <c r="BI98" t="str">
        <f t="shared" si="41"/>
        <v/>
      </c>
      <c r="BJ98" t="str">
        <f>IFERROR(IF($C98="","",'BUDGET COMMESSA'!$D95),"")</f>
        <v/>
      </c>
      <c r="BK98" t="str">
        <f>IF($C98="","",SUMIF('MOVIMENTI 2026'!$B$7:$B$4206,$C98,'MOVIMENTI 2026'!$N$7:$N$4206)+SUMIF('SALDI AL 31.12.2025'!$A$6:$A$505,$C98,'SALDI AL 31.12.2025'!$H$6:$H$505))</f>
        <v/>
      </c>
      <c r="BL98" t="str">
        <f t="shared" si="42"/>
        <v/>
      </c>
      <c r="BM98" t="str">
        <f t="shared" si="43"/>
        <v/>
      </c>
      <c r="BN98" t="str">
        <f t="shared" si="44"/>
        <v/>
      </c>
      <c r="BO98" t="str">
        <f>IFERROR(IF($C98="","",'BUDGET COMMESSA'!$G95),"")</f>
        <v/>
      </c>
      <c r="BP98" t="str">
        <f>IF($C98="","",SUMIF('COSTI DIRETTI'!$C$6:$C$505,$C98,'COSTI DIRETTI'!$H$6:$H$505)+SUMIF('SALDI AL 31.12.2025'!$A$6:$A$505,$C98,'SALDI AL 31.12.2025'!$I$6:$I$505))</f>
        <v/>
      </c>
      <c r="BQ98" t="str">
        <f t="shared" si="45"/>
        <v/>
      </c>
      <c r="BR98" t="str">
        <f t="shared" si="46"/>
        <v/>
      </c>
      <c r="BS98" t="str">
        <f>IF($C98="","",$BK98*PARAMETRI!$B$4+$BP98)</f>
        <v/>
      </c>
      <c r="BT98">
        <f t="shared" si="47"/>
        <v>0</v>
      </c>
      <c r="BU98">
        <f t="shared" si="48"/>
        <v>0</v>
      </c>
      <c r="BV98" t="str">
        <f>IF($C98="","",SUMIF('MOVIMENTI 2026'!$B$7:$B$4206,$C98,'MOVIMENTI 2026'!$P$7:$P$4206)+SUMIF('SALDI AL 31.12.2025'!$A$6:$A$505,$C98,'SALDI AL 31.12.2025'!$G$6:$G$505))</f>
        <v/>
      </c>
    </row>
    <row r="99" spans="1:74" ht="16" x14ac:dyDescent="0.15">
      <c r="A99" s="17" t="str">
        <f>IFERROR(IF($C99="","",IF(OR($BF99&gt;0,$V99&gt;$J99,AND(ISNUMBER($Q99),$Q99&gt;0),AND($BI99&lt;&gt;"",$BI99&lt;-PARAMETRI!$B$6),AND($BM99&lt;&gt;"",$BM99&gt;=1),AND($BN99&lt;&gt;"",$BN99&gt;PARAMETRI!$B$8),AND(ISNUMBER($BR99),$BR99&gt;0)),"CRITICO",IF(OR($AZ99="",LEFT($C99,5)="TEMP",$BJ99="",$BO99="",ANAGRAFICA!$I96="",ANAGRAFICA!$J96="",$Y99="",AND(OR($I99="Finito ritenute non previste",$I99="Finito con sblocco ritenute",$I99="Finito senza sblocco ritenute"),ANAGRAFICA!$K96=""),OR(AND(ANAGRAFICA!$T96&lt;&gt;"",ANAGRAFICA!$J96&lt;&gt;ANAGRAFICA!$T96,OR(ANAGRAFICA!$R96="",ANAGRAFICA!$R96="Nessuna variazione")),AND(ANAGRAFICA!$J96="",ANAGRAFICA!$R96&lt;&gt;"",ANAGRAFICA!$R96&lt;&gt;"Nessuna variazione")),AND($BI99&lt;&gt;"",$BI99&lt;-PARAMETRI!$B$5),AND($BN99&lt;&gt;"",$BN99&gt;PARAMETRI!$B$7),AND($W99&gt;0,$M99&gt;$W99*PARAMETRI!$B$9),AND($O99&gt;0,OR($I99="Finito ritenute non previste",$I99="Finito con sblocco ritenute",$I99="Finito senza sblocco ritenute")),AND($BA99&gt;0,$BO99&gt;0,$BP99=0),AND(OR($I99="Finito ritenute non previste",$I99="Finito con sblocco ritenute",$I99="Finito senza sblocco ritenute"),$W99&gt;0,$N99&gt;$W99*PARAMETRI!$B$9),$V99&gt;0),"ATTENZIONE","REGOLARE"))),"ATTENZIONE")</f>
        <v/>
      </c>
      <c r="B99" s="17" t="str">
        <f>IFERROR(IF($C99="","",IF($BF99&gt;0,"FATTURATO OLTRE VALORE RECUPERABILE; ","")&amp;IF($V99&gt;$J99,"PERDITE ACCETTATE OLTRE CONTRATTO; ","")&amp;IF($V99&gt;0,"PERDITA SAL ACCETTATA (€ "&amp;TEXT($V99,"#,##0.00")&amp;"); ","")&amp;IF(AND(ISNUMBER($Q99),$Q99&gt;0),"RITARDO PRODUTTIVO ("&amp;TEXT($Q99,"0")&amp;" GG); ","")&amp;IF(AND($BI99&lt;&gt;"",$BI99&lt;-PARAMETRI!$B$5),"AVANZAMENTO PIÙ LENTO DEL TEMPO; ","")&amp;IF(AND($BM99&lt;&gt;"",$BM99&gt;1),"ORE OLTRE BUDGET; ","")&amp;IF(AND($BM99&lt;&gt;"",$BM99=1),"ORE PREVENTIVATE ESAURITE; ","")&amp;IF(AND($BN99&lt;&gt;"",$BN99&gt;PARAMETRI!$B$7),"CONSUMO ORE SUPERIORE ALL'AVANZAMENTO; ","")&amp;IF(AND(ISNUMBER($BR99),$BR99&gt;0),"COSTI DIRETTI OLTRE BUDGET; ","")&amp;IF(AND($W99&gt;0,$M99&gt;$W99*PARAMETRI!$B$9),"SAL MATURATO NON FATTURATO; ","")&amp;IF(AND($O99&gt;0,OR($I99="Finito ritenute non previste",$I99="Finito con sblocco ritenute",$I99="Finito senza sblocco ritenute")),"RITENUTE DA SBLOCCARE; ","")&amp;IF(AND($BA99&gt;0,$BO99&gt;0,$BP99=0),"COSTI DIRETTI NON REGISTRATI; ","")&amp;IF(AND(OR($I99="Finito ritenute non previste",$I99="Finito con sblocco ritenute",$I99="Finito senza sblocco ritenute"),$W99&gt;0,$N99&gt;$W99*PARAMETRI!$B$9),"CANTIERE FINITO CON RESIDUO LAVORI; ","")&amp;IF(AND(OR($I99="Finito ritenute non previste",$I99="Finito con sblocco ritenute",$I99="Finito senza sblocco ritenute"),ANAGRAFICA!$K96=""),"DATA FINE EFFETTIVA MANCANTE; ","")&amp;IF(OR(AND(ANAGRAFICA!$T96&lt;&gt;"",ANAGRAFICA!$J96&lt;&gt;ANAGRAFICA!$T96,OR(ANAGRAFICA!$R96="",ANAGRAFICA!$R96="Nessuna variazione")),AND(ANAGRAFICA!$J96="",ANAGRAFICA!$R96&lt;&gt;"",ANAGRAFICA!$R96&lt;&gt;"Nessuna variazione")),"GESTIONE DATA FINE INCOMPLETA; ","")&amp;IF($Y99="","AGGIORNATO AL MANCANTE; ","")&amp;IF(OR($AZ99="",$BJ99="",$BO99="",ANAGRAFICA!$I96="",ANAGRAFICA!$J96=""),"DATI PREVISIONALI INCOMPLETI; ","")&amp;IF(LEFT($C99,5)="TEMP","CODICE COMMESSA TEMPORANEO; ","")),"DATI INCOMPLETI; ")</f>
        <v/>
      </c>
      <c r="C99" s="17" t="str">
        <f>IF(ANAGRAFICA!$B96="","",ANAGRAFICA!$B96)</f>
        <v/>
      </c>
      <c r="D99" s="17" t="str">
        <f>IF($C99="","",ANAGRAFICA!$C96)</f>
        <v/>
      </c>
      <c r="E99" s="17" t="str">
        <f>IF($C99="","",ANAGRAFICA!$D96)</f>
        <v/>
      </c>
      <c r="F99" s="17" t="str">
        <f>IF($C99="","",ANAGRAFICA!$E96)</f>
        <v/>
      </c>
      <c r="G99" s="17" t="str">
        <f>IF($C99="","",ANAGRAFICA!$F96)</f>
        <v/>
      </c>
      <c r="H99" s="17" t="str">
        <f>IF($C99="","",ANAGRAFICA!$G96)</f>
        <v/>
      </c>
      <c r="I99" s="17" t="str">
        <f>IF($C99="","",ANAGRAFICA!$L96)</f>
        <v/>
      </c>
      <c r="J99" s="16" t="str">
        <f t="shared" si="25"/>
        <v/>
      </c>
      <c r="K99" s="16" t="str">
        <f t="shared" si="26"/>
        <v/>
      </c>
      <c r="L99" s="16" t="str">
        <f t="shared" si="27"/>
        <v/>
      </c>
      <c r="M99" s="16" t="str">
        <f t="shared" si="28"/>
        <v/>
      </c>
      <c r="N99" s="16" t="str">
        <f t="shared" si="29"/>
        <v/>
      </c>
      <c r="O99" s="16" t="str">
        <f t="shared" si="30"/>
        <v/>
      </c>
      <c r="P99" s="17" t="str">
        <f t="shared" si="31"/>
        <v/>
      </c>
      <c r="Q99" s="31" t="str">
        <f>IF(OR($C99="",'BUDGET COMMESSA'!$D96="",'BUDGET COMMESSA'!$D96&lt;=0,ANAGRAFICA!$J96=""),"",IF(OR($I99="Finito ritenute non previste",$I99="Finito con sblocco ritenute",$I99="Finito senza sblocco ritenute"),0,IF(AND($BK99&gt;=$BJ99,ANAGRAFICA!$R96="Ritardo produttivo FIDA"),IF(ANAGRAFICA!$T96&lt;&gt;"",MAX(0,ANAGRAFICA!$J96-ANAGRAFICA!$T96),MAX(0,$Y99-ANAGRAFICA!$J96)),0)))</f>
        <v/>
      </c>
      <c r="R99" s="17" t="str">
        <f t="shared" si="32"/>
        <v/>
      </c>
      <c r="S99" s="17" t="str">
        <f t="shared" si="33"/>
        <v/>
      </c>
      <c r="T99" s="17" t="str">
        <f t="shared" si="34"/>
        <v/>
      </c>
      <c r="U99" s="16" t="str">
        <f t="shared" si="35"/>
        <v/>
      </c>
      <c r="V99" s="16" t="str">
        <f t="shared" si="36"/>
        <v/>
      </c>
      <c r="W99" s="16" t="str">
        <f t="shared" si="37"/>
        <v/>
      </c>
      <c r="X99" s="40"/>
      <c r="Y99" s="14"/>
      <c r="AZ99" t="str">
        <f>IF($C99="","",ANAGRAFICA!$P96)</f>
        <v/>
      </c>
      <c r="BA99" t="str">
        <f>IF($C99="","",SUMIF('MOVIMENTI 2026'!$B$7:$B$4206,$C99,'MOVIMENTI 2026'!$I$7:$I$4206)+SUMIF('SALDI AL 31.12.2025'!$A$6:$A$505,$C99,'SALDI AL 31.12.2025'!$C$6:$C$505))</f>
        <v/>
      </c>
      <c r="BB99" t="str">
        <f>IF($C99="","",SUMIF('MOVIMENTI 2026'!$B$7:$B$4206,$C99,'MOVIMENTI 2026'!$J$7:$J$4206)+SUMIF('SALDI AL 31.12.2025'!$A$6:$A$505,$C99,'SALDI AL 31.12.2025'!$D$6:$D$505))</f>
        <v/>
      </c>
      <c r="BC99" t="str">
        <f>IF($C99="","",SUMIF('MOVIMENTI 2026'!$B$7:$B$4206,$C99,'MOVIMENTI 2026'!$K$7:$K$4206)+SUMIF('SALDI AL 31.12.2025'!$A$6:$A$505,$C99,'SALDI AL 31.12.2025'!$E$6:$E$505))</f>
        <v/>
      </c>
      <c r="BD99" t="str">
        <f>IF($C99="","",SUMIF('MOVIMENTI 2026'!$B$7:$B$4206,$C99,'MOVIMENTI 2026'!$L$7:$L$4206)+SUMIF('SALDI AL 31.12.2025'!$A$6:$A$505,$C99,'SALDI AL 31.12.2025'!$F$6:$F$505))</f>
        <v/>
      </c>
      <c r="BE99" t="str">
        <f t="shared" si="38"/>
        <v/>
      </c>
      <c r="BF99" t="str">
        <f t="shared" si="39"/>
        <v/>
      </c>
      <c r="BG99" t="str">
        <f t="shared" si="40"/>
        <v/>
      </c>
      <c r="BH99" t="str">
        <f>IFERROR(IF(OR($C99="",ANAGRAFICA!$I96="",ANAGRAFICA!$J96="",ANAGRAFICA!$J96&lt;=ANAGRAFICA!$I96,$Y99=""),"",IF(OR($I99="Finito ritenute non previste",$I99="Finito con sblocco ritenute",$I99="Finito senza sblocco ritenute"),1,MAX(0,MIN(1,($Y99-ANAGRAFICA!$I96)/(ANAGRAFICA!$J96-ANAGRAFICA!$I96))))),"")</f>
        <v/>
      </c>
      <c r="BI99" t="str">
        <f t="shared" si="41"/>
        <v/>
      </c>
      <c r="BJ99" t="str">
        <f>IFERROR(IF($C99="","",'BUDGET COMMESSA'!$D96),"")</f>
        <v/>
      </c>
      <c r="BK99" t="str">
        <f>IF($C99="","",SUMIF('MOVIMENTI 2026'!$B$7:$B$4206,$C99,'MOVIMENTI 2026'!$N$7:$N$4206)+SUMIF('SALDI AL 31.12.2025'!$A$6:$A$505,$C99,'SALDI AL 31.12.2025'!$H$6:$H$505))</f>
        <v/>
      </c>
      <c r="BL99" t="str">
        <f t="shared" si="42"/>
        <v/>
      </c>
      <c r="BM99" t="str">
        <f t="shared" si="43"/>
        <v/>
      </c>
      <c r="BN99" t="str">
        <f t="shared" si="44"/>
        <v/>
      </c>
      <c r="BO99" t="str">
        <f>IFERROR(IF($C99="","",'BUDGET COMMESSA'!$G96),"")</f>
        <v/>
      </c>
      <c r="BP99" t="str">
        <f>IF($C99="","",SUMIF('COSTI DIRETTI'!$C$6:$C$505,$C99,'COSTI DIRETTI'!$H$6:$H$505)+SUMIF('SALDI AL 31.12.2025'!$A$6:$A$505,$C99,'SALDI AL 31.12.2025'!$I$6:$I$505))</f>
        <v/>
      </c>
      <c r="BQ99" t="str">
        <f t="shared" si="45"/>
        <v/>
      </c>
      <c r="BR99" t="str">
        <f t="shared" si="46"/>
        <v/>
      </c>
      <c r="BS99" t="str">
        <f>IF($C99="","",$BK99*PARAMETRI!$B$4+$BP99)</f>
        <v/>
      </c>
      <c r="BT99">
        <f t="shared" si="47"/>
        <v>0</v>
      </c>
      <c r="BU99">
        <f t="shared" si="48"/>
        <v>0</v>
      </c>
      <c r="BV99" t="str">
        <f>IF($C99="","",SUMIF('MOVIMENTI 2026'!$B$7:$B$4206,$C99,'MOVIMENTI 2026'!$P$7:$P$4206)+SUMIF('SALDI AL 31.12.2025'!$A$6:$A$505,$C99,'SALDI AL 31.12.2025'!$G$6:$G$505))</f>
        <v/>
      </c>
    </row>
    <row r="100" spans="1:74" ht="16" x14ac:dyDescent="0.15">
      <c r="A100" s="17" t="str">
        <f>IFERROR(IF($C100="","",IF(OR($BF100&gt;0,$V100&gt;$J100,AND(ISNUMBER($Q100),$Q100&gt;0),AND($BI100&lt;&gt;"",$BI100&lt;-PARAMETRI!$B$6),AND($BM100&lt;&gt;"",$BM100&gt;=1),AND($BN100&lt;&gt;"",$BN100&gt;PARAMETRI!$B$8),AND(ISNUMBER($BR100),$BR100&gt;0)),"CRITICO",IF(OR($AZ100="",LEFT($C100,5)="TEMP",$BJ100="",$BO100="",ANAGRAFICA!$I97="",ANAGRAFICA!$J97="",$Y100="",AND(OR($I100="Finito ritenute non previste",$I100="Finito con sblocco ritenute",$I100="Finito senza sblocco ritenute"),ANAGRAFICA!$K97=""),OR(AND(ANAGRAFICA!$T97&lt;&gt;"",ANAGRAFICA!$J97&lt;&gt;ANAGRAFICA!$T97,OR(ANAGRAFICA!$R97="",ANAGRAFICA!$R97="Nessuna variazione")),AND(ANAGRAFICA!$J97="",ANAGRAFICA!$R97&lt;&gt;"",ANAGRAFICA!$R97&lt;&gt;"Nessuna variazione")),AND($BI100&lt;&gt;"",$BI100&lt;-PARAMETRI!$B$5),AND($BN100&lt;&gt;"",$BN100&gt;PARAMETRI!$B$7),AND($W100&gt;0,$M100&gt;$W100*PARAMETRI!$B$9),AND($O100&gt;0,OR($I100="Finito ritenute non previste",$I100="Finito con sblocco ritenute",$I100="Finito senza sblocco ritenute")),AND($BA100&gt;0,$BO100&gt;0,$BP100=0),AND(OR($I100="Finito ritenute non previste",$I100="Finito con sblocco ritenute",$I100="Finito senza sblocco ritenute"),$W100&gt;0,$N100&gt;$W100*PARAMETRI!$B$9),$V100&gt;0),"ATTENZIONE","REGOLARE"))),"ATTENZIONE")</f>
        <v/>
      </c>
      <c r="B100" s="17" t="str">
        <f>IFERROR(IF($C100="","",IF($BF100&gt;0,"FATTURATO OLTRE VALORE RECUPERABILE; ","")&amp;IF($V100&gt;$J100,"PERDITE ACCETTATE OLTRE CONTRATTO; ","")&amp;IF($V100&gt;0,"PERDITA SAL ACCETTATA (€ "&amp;TEXT($V100,"#,##0.00")&amp;"); ","")&amp;IF(AND(ISNUMBER($Q100),$Q100&gt;0),"RITARDO PRODUTTIVO ("&amp;TEXT($Q100,"0")&amp;" GG); ","")&amp;IF(AND($BI100&lt;&gt;"",$BI100&lt;-PARAMETRI!$B$5),"AVANZAMENTO PIÙ LENTO DEL TEMPO; ","")&amp;IF(AND($BM100&lt;&gt;"",$BM100&gt;1),"ORE OLTRE BUDGET; ","")&amp;IF(AND($BM100&lt;&gt;"",$BM100=1),"ORE PREVENTIVATE ESAURITE; ","")&amp;IF(AND($BN100&lt;&gt;"",$BN100&gt;PARAMETRI!$B$7),"CONSUMO ORE SUPERIORE ALL'AVANZAMENTO; ","")&amp;IF(AND(ISNUMBER($BR100),$BR100&gt;0),"COSTI DIRETTI OLTRE BUDGET; ","")&amp;IF(AND($W100&gt;0,$M100&gt;$W100*PARAMETRI!$B$9),"SAL MATURATO NON FATTURATO; ","")&amp;IF(AND($O100&gt;0,OR($I100="Finito ritenute non previste",$I100="Finito con sblocco ritenute",$I100="Finito senza sblocco ritenute")),"RITENUTE DA SBLOCCARE; ","")&amp;IF(AND($BA100&gt;0,$BO100&gt;0,$BP100=0),"COSTI DIRETTI NON REGISTRATI; ","")&amp;IF(AND(OR($I100="Finito ritenute non previste",$I100="Finito con sblocco ritenute",$I100="Finito senza sblocco ritenute"),$W100&gt;0,$N100&gt;$W100*PARAMETRI!$B$9),"CANTIERE FINITO CON RESIDUO LAVORI; ","")&amp;IF(AND(OR($I100="Finito ritenute non previste",$I100="Finito con sblocco ritenute",$I100="Finito senza sblocco ritenute"),ANAGRAFICA!$K97=""),"DATA FINE EFFETTIVA MANCANTE; ","")&amp;IF(OR(AND(ANAGRAFICA!$T97&lt;&gt;"",ANAGRAFICA!$J97&lt;&gt;ANAGRAFICA!$T97,OR(ANAGRAFICA!$R97="",ANAGRAFICA!$R97="Nessuna variazione")),AND(ANAGRAFICA!$J97="",ANAGRAFICA!$R97&lt;&gt;"",ANAGRAFICA!$R97&lt;&gt;"Nessuna variazione")),"GESTIONE DATA FINE INCOMPLETA; ","")&amp;IF($Y100="","AGGIORNATO AL MANCANTE; ","")&amp;IF(OR($AZ100="",$BJ100="",$BO100="",ANAGRAFICA!$I97="",ANAGRAFICA!$J97=""),"DATI PREVISIONALI INCOMPLETI; ","")&amp;IF(LEFT($C100,5)="TEMP","CODICE COMMESSA TEMPORANEO; ","")),"DATI INCOMPLETI; ")</f>
        <v/>
      </c>
      <c r="C100" s="17" t="str">
        <f>IF(ANAGRAFICA!$B97="","",ANAGRAFICA!$B97)</f>
        <v/>
      </c>
      <c r="D100" s="17" t="str">
        <f>IF($C100="","",ANAGRAFICA!$C97)</f>
        <v/>
      </c>
      <c r="E100" s="17" t="str">
        <f>IF($C100="","",ANAGRAFICA!$D97)</f>
        <v/>
      </c>
      <c r="F100" s="17" t="str">
        <f>IF($C100="","",ANAGRAFICA!$E97)</f>
        <v/>
      </c>
      <c r="G100" s="17" t="str">
        <f>IF($C100="","",ANAGRAFICA!$F97)</f>
        <v/>
      </c>
      <c r="H100" s="17" t="str">
        <f>IF($C100="","",ANAGRAFICA!$G97)</f>
        <v/>
      </c>
      <c r="I100" s="17" t="str">
        <f>IF($C100="","",ANAGRAFICA!$L97)</f>
        <v/>
      </c>
      <c r="J100" s="16" t="str">
        <f t="shared" si="25"/>
        <v/>
      </c>
      <c r="K100" s="16" t="str">
        <f t="shared" si="26"/>
        <v/>
      </c>
      <c r="L100" s="16" t="str">
        <f t="shared" si="27"/>
        <v/>
      </c>
      <c r="M100" s="16" t="str">
        <f t="shared" si="28"/>
        <v/>
      </c>
      <c r="N100" s="16" t="str">
        <f t="shared" si="29"/>
        <v/>
      </c>
      <c r="O100" s="16" t="str">
        <f t="shared" si="30"/>
        <v/>
      </c>
      <c r="P100" s="17" t="str">
        <f t="shared" si="31"/>
        <v/>
      </c>
      <c r="Q100" s="31" t="str">
        <f>IF(OR($C100="",'BUDGET COMMESSA'!$D97="",'BUDGET COMMESSA'!$D97&lt;=0,ANAGRAFICA!$J97=""),"",IF(OR($I100="Finito ritenute non previste",$I100="Finito con sblocco ritenute",$I100="Finito senza sblocco ritenute"),0,IF(AND($BK100&gt;=$BJ100,ANAGRAFICA!$R97="Ritardo produttivo FIDA"),IF(ANAGRAFICA!$T97&lt;&gt;"",MAX(0,ANAGRAFICA!$J97-ANAGRAFICA!$T97),MAX(0,$Y100-ANAGRAFICA!$J97)),0)))</f>
        <v/>
      </c>
      <c r="R100" s="17" t="str">
        <f t="shared" si="32"/>
        <v/>
      </c>
      <c r="S100" s="17" t="str">
        <f t="shared" si="33"/>
        <v/>
      </c>
      <c r="T100" s="17" t="str">
        <f t="shared" si="34"/>
        <v/>
      </c>
      <c r="U100" s="16" t="str">
        <f t="shared" si="35"/>
        <v/>
      </c>
      <c r="V100" s="16" t="str">
        <f t="shared" si="36"/>
        <v/>
      </c>
      <c r="W100" s="16" t="str">
        <f t="shared" si="37"/>
        <v/>
      </c>
      <c r="X100" s="40"/>
      <c r="Y100" s="14"/>
      <c r="AZ100" t="str">
        <f>IF($C100="","",ANAGRAFICA!$P97)</f>
        <v/>
      </c>
      <c r="BA100" t="str">
        <f>IF($C100="","",SUMIF('MOVIMENTI 2026'!$B$7:$B$4206,$C100,'MOVIMENTI 2026'!$I$7:$I$4206)+SUMIF('SALDI AL 31.12.2025'!$A$6:$A$505,$C100,'SALDI AL 31.12.2025'!$C$6:$C$505))</f>
        <v/>
      </c>
      <c r="BB100" t="str">
        <f>IF($C100="","",SUMIF('MOVIMENTI 2026'!$B$7:$B$4206,$C100,'MOVIMENTI 2026'!$J$7:$J$4206)+SUMIF('SALDI AL 31.12.2025'!$A$6:$A$505,$C100,'SALDI AL 31.12.2025'!$D$6:$D$505))</f>
        <v/>
      </c>
      <c r="BC100" t="str">
        <f>IF($C100="","",SUMIF('MOVIMENTI 2026'!$B$7:$B$4206,$C100,'MOVIMENTI 2026'!$K$7:$K$4206)+SUMIF('SALDI AL 31.12.2025'!$A$6:$A$505,$C100,'SALDI AL 31.12.2025'!$E$6:$E$505))</f>
        <v/>
      </c>
      <c r="BD100" t="str">
        <f>IF($C100="","",SUMIF('MOVIMENTI 2026'!$B$7:$B$4206,$C100,'MOVIMENTI 2026'!$L$7:$L$4206)+SUMIF('SALDI AL 31.12.2025'!$A$6:$A$505,$C100,'SALDI AL 31.12.2025'!$F$6:$F$505))</f>
        <v/>
      </c>
      <c r="BE100" t="str">
        <f t="shared" si="38"/>
        <v/>
      </c>
      <c r="BF100" t="str">
        <f t="shared" si="39"/>
        <v/>
      </c>
      <c r="BG100" t="str">
        <f t="shared" si="40"/>
        <v/>
      </c>
      <c r="BH100" t="str">
        <f>IFERROR(IF(OR($C100="",ANAGRAFICA!$I97="",ANAGRAFICA!$J97="",ANAGRAFICA!$J97&lt;=ANAGRAFICA!$I97,$Y100=""),"",IF(OR($I100="Finito ritenute non previste",$I100="Finito con sblocco ritenute",$I100="Finito senza sblocco ritenute"),1,MAX(0,MIN(1,($Y100-ANAGRAFICA!$I97)/(ANAGRAFICA!$J97-ANAGRAFICA!$I97))))),"")</f>
        <v/>
      </c>
      <c r="BI100" t="str">
        <f t="shared" si="41"/>
        <v/>
      </c>
      <c r="BJ100" t="str">
        <f>IFERROR(IF($C100="","",'BUDGET COMMESSA'!$D97),"")</f>
        <v/>
      </c>
      <c r="BK100" t="str">
        <f>IF($C100="","",SUMIF('MOVIMENTI 2026'!$B$7:$B$4206,$C100,'MOVIMENTI 2026'!$N$7:$N$4206)+SUMIF('SALDI AL 31.12.2025'!$A$6:$A$505,$C100,'SALDI AL 31.12.2025'!$H$6:$H$505))</f>
        <v/>
      </c>
      <c r="BL100" t="str">
        <f t="shared" si="42"/>
        <v/>
      </c>
      <c r="BM100" t="str">
        <f t="shared" si="43"/>
        <v/>
      </c>
      <c r="BN100" t="str">
        <f t="shared" si="44"/>
        <v/>
      </c>
      <c r="BO100" t="str">
        <f>IFERROR(IF($C100="","",'BUDGET COMMESSA'!$G97),"")</f>
        <v/>
      </c>
      <c r="BP100" t="str">
        <f>IF($C100="","",SUMIF('COSTI DIRETTI'!$C$6:$C$505,$C100,'COSTI DIRETTI'!$H$6:$H$505)+SUMIF('SALDI AL 31.12.2025'!$A$6:$A$505,$C100,'SALDI AL 31.12.2025'!$I$6:$I$505))</f>
        <v/>
      </c>
      <c r="BQ100" t="str">
        <f t="shared" si="45"/>
        <v/>
      </c>
      <c r="BR100" t="str">
        <f t="shared" si="46"/>
        <v/>
      </c>
      <c r="BS100" t="str">
        <f>IF($C100="","",$BK100*PARAMETRI!$B$4+$BP100)</f>
        <v/>
      </c>
      <c r="BT100">
        <f t="shared" si="47"/>
        <v>0</v>
      </c>
      <c r="BU100">
        <f t="shared" si="48"/>
        <v>0</v>
      </c>
      <c r="BV100" t="str">
        <f>IF($C100="","",SUMIF('MOVIMENTI 2026'!$B$7:$B$4206,$C100,'MOVIMENTI 2026'!$P$7:$P$4206)+SUMIF('SALDI AL 31.12.2025'!$A$6:$A$505,$C100,'SALDI AL 31.12.2025'!$G$6:$G$505))</f>
        <v/>
      </c>
    </row>
    <row r="101" spans="1:74" ht="16" x14ac:dyDescent="0.15">
      <c r="A101" s="17" t="str">
        <f>IFERROR(IF($C101="","",IF(OR($BF101&gt;0,$V101&gt;$J101,AND(ISNUMBER($Q101),$Q101&gt;0),AND($BI101&lt;&gt;"",$BI101&lt;-PARAMETRI!$B$6),AND($BM101&lt;&gt;"",$BM101&gt;=1),AND($BN101&lt;&gt;"",$BN101&gt;PARAMETRI!$B$8),AND(ISNUMBER($BR101),$BR101&gt;0)),"CRITICO",IF(OR($AZ101="",LEFT($C101,5)="TEMP",$BJ101="",$BO101="",ANAGRAFICA!$I98="",ANAGRAFICA!$J98="",$Y101="",AND(OR($I101="Finito ritenute non previste",$I101="Finito con sblocco ritenute",$I101="Finito senza sblocco ritenute"),ANAGRAFICA!$K98=""),OR(AND(ANAGRAFICA!$T98&lt;&gt;"",ANAGRAFICA!$J98&lt;&gt;ANAGRAFICA!$T98,OR(ANAGRAFICA!$R98="",ANAGRAFICA!$R98="Nessuna variazione")),AND(ANAGRAFICA!$J98="",ANAGRAFICA!$R98&lt;&gt;"",ANAGRAFICA!$R98&lt;&gt;"Nessuna variazione")),AND($BI101&lt;&gt;"",$BI101&lt;-PARAMETRI!$B$5),AND($BN101&lt;&gt;"",$BN101&gt;PARAMETRI!$B$7),AND($W101&gt;0,$M101&gt;$W101*PARAMETRI!$B$9),AND($O101&gt;0,OR($I101="Finito ritenute non previste",$I101="Finito con sblocco ritenute",$I101="Finito senza sblocco ritenute")),AND($BA101&gt;0,$BO101&gt;0,$BP101=0),AND(OR($I101="Finito ritenute non previste",$I101="Finito con sblocco ritenute",$I101="Finito senza sblocco ritenute"),$W101&gt;0,$N101&gt;$W101*PARAMETRI!$B$9),$V101&gt;0),"ATTENZIONE","REGOLARE"))),"ATTENZIONE")</f>
        <v/>
      </c>
      <c r="B101" s="17" t="str">
        <f>IFERROR(IF($C101="","",IF($BF101&gt;0,"FATTURATO OLTRE VALORE RECUPERABILE; ","")&amp;IF($V101&gt;$J101,"PERDITE ACCETTATE OLTRE CONTRATTO; ","")&amp;IF($V101&gt;0,"PERDITA SAL ACCETTATA (€ "&amp;TEXT($V101,"#,##0.00")&amp;"); ","")&amp;IF(AND(ISNUMBER($Q101),$Q101&gt;0),"RITARDO PRODUTTIVO ("&amp;TEXT($Q101,"0")&amp;" GG); ","")&amp;IF(AND($BI101&lt;&gt;"",$BI101&lt;-PARAMETRI!$B$5),"AVANZAMENTO PIÙ LENTO DEL TEMPO; ","")&amp;IF(AND($BM101&lt;&gt;"",$BM101&gt;1),"ORE OLTRE BUDGET; ","")&amp;IF(AND($BM101&lt;&gt;"",$BM101=1),"ORE PREVENTIVATE ESAURITE; ","")&amp;IF(AND($BN101&lt;&gt;"",$BN101&gt;PARAMETRI!$B$7),"CONSUMO ORE SUPERIORE ALL'AVANZAMENTO; ","")&amp;IF(AND(ISNUMBER($BR101),$BR101&gt;0),"COSTI DIRETTI OLTRE BUDGET; ","")&amp;IF(AND($W101&gt;0,$M101&gt;$W101*PARAMETRI!$B$9),"SAL MATURATO NON FATTURATO; ","")&amp;IF(AND($O101&gt;0,OR($I101="Finito ritenute non previste",$I101="Finito con sblocco ritenute",$I101="Finito senza sblocco ritenute")),"RITENUTE DA SBLOCCARE; ","")&amp;IF(AND($BA101&gt;0,$BO101&gt;0,$BP101=0),"COSTI DIRETTI NON REGISTRATI; ","")&amp;IF(AND(OR($I101="Finito ritenute non previste",$I101="Finito con sblocco ritenute",$I101="Finito senza sblocco ritenute"),$W101&gt;0,$N101&gt;$W101*PARAMETRI!$B$9),"CANTIERE FINITO CON RESIDUO LAVORI; ","")&amp;IF(AND(OR($I101="Finito ritenute non previste",$I101="Finito con sblocco ritenute",$I101="Finito senza sblocco ritenute"),ANAGRAFICA!$K98=""),"DATA FINE EFFETTIVA MANCANTE; ","")&amp;IF(OR(AND(ANAGRAFICA!$T98&lt;&gt;"",ANAGRAFICA!$J98&lt;&gt;ANAGRAFICA!$T98,OR(ANAGRAFICA!$R98="",ANAGRAFICA!$R98="Nessuna variazione")),AND(ANAGRAFICA!$J98="",ANAGRAFICA!$R98&lt;&gt;"",ANAGRAFICA!$R98&lt;&gt;"Nessuna variazione")),"GESTIONE DATA FINE INCOMPLETA; ","")&amp;IF($Y101="","AGGIORNATO AL MANCANTE; ","")&amp;IF(OR($AZ101="",$BJ101="",$BO101="",ANAGRAFICA!$I98="",ANAGRAFICA!$J98=""),"DATI PREVISIONALI INCOMPLETI; ","")&amp;IF(LEFT($C101,5)="TEMP","CODICE COMMESSA TEMPORANEO; ","")),"DATI INCOMPLETI; ")</f>
        <v/>
      </c>
      <c r="C101" s="17" t="str">
        <f>IF(ANAGRAFICA!$B98="","",ANAGRAFICA!$B98)</f>
        <v/>
      </c>
      <c r="D101" s="17" t="str">
        <f>IF($C101="","",ANAGRAFICA!$C98)</f>
        <v/>
      </c>
      <c r="E101" s="17" t="str">
        <f>IF($C101="","",ANAGRAFICA!$D98)</f>
        <v/>
      </c>
      <c r="F101" s="17" t="str">
        <f>IF($C101="","",ANAGRAFICA!$E98)</f>
        <v/>
      </c>
      <c r="G101" s="17" t="str">
        <f>IF($C101="","",ANAGRAFICA!$F98)</f>
        <v/>
      </c>
      <c r="H101" s="17" t="str">
        <f>IF($C101="","",ANAGRAFICA!$G98)</f>
        <v/>
      </c>
      <c r="I101" s="17" t="str">
        <f>IF($C101="","",ANAGRAFICA!$L98)</f>
        <v/>
      </c>
      <c r="J101" s="16" t="str">
        <f t="shared" si="25"/>
        <v/>
      </c>
      <c r="K101" s="16" t="str">
        <f t="shared" si="26"/>
        <v/>
      </c>
      <c r="L101" s="16" t="str">
        <f t="shared" si="27"/>
        <v/>
      </c>
      <c r="M101" s="16" t="str">
        <f t="shared" si="28"/>
        <v/>
      </c>
      <c r="N101" s="16" t="str">
        <f t="shared" si="29"/>
        <v/>
      </c>
      <c r="O101" s="16" t="str">
        <f t="shared" si="30"/>
        <v/>
      </c>
      <c r="P101" s="17" t="str">
        <f t="shared" si="31"/>
        <v/>
      </c>
      <c r="Q101" s="31" t="str">
        <f>IF(OR($C101="",'BUDGET COMMESSA'!$D98="",'BUDGET COMMESSA'!$D98&lt;=0,ANAGRAFICA!$J98=""),"",IF(OR($I101="Finito ritenute non previste",$I101="Finito con sblocco ritenute",$I101="Finito senza sblocco ritenute"),0,IF(AND($BK101&gt;=$BJ101,ANAGRAFICA!$R98="Ritardo produttivo FIDA"),IF(ANAGRAFICA!$T98&lt;&gt;"",MAX(0,ANAGRAFICA!$J98-ANAGRAFICA!$T98),MAX(0,$Y101-ANAGRAFICA!$J98)),0)))</f>
        <v/>
      </c>
      <c r="R101" s="17" t="str">
        <f t="shared" si="32"/>
        <v/>
      </c>
      <c r="S101" s="17" t="str">
        <f t="shared" si="33"/>
        <v/>
      </c>
      <c r="T101" s="17" t="str">
        <f t="shared" si="34"/>
        <v/>
      </c>
      <c r="U101" s="16" t="str">
        <f t="shared" si="35"/>
        <v/>
      </c>
      <c r="V101" s="16" t="str">
        <f t="shared" si="36"/>
        <v/>
      </c>
      <c r="W101" s="16" t="str">
        <f t="shared" si="37"/>
        <v/>
      </c>
      <c r="X101" s="40"/>
      <c r="Y101" s="14"/>
      <c r="AZ101" t="str">
        <f>IF($C101="","",ANAGRAFICA!$P98)</f>
        <v/>
      </c>
      <c r="BA101" t="str">
        <f>IF($C101="","",SUMIF('MOVIMENTI 2026'!$B$7:$B$4206,$C101,'MOVIMENTI 2026'!$I$7:$I$4206)+SUMIF('SALDI AL 31.12.2025'!$A$6:$A$505,$C101,'SALDI AL 31.12.2025'!$C$6:$C$505))</f>
        <v/>
      </c>
      <c r="BB101" t="str">
        <f>IF($C101="","",SUMIF('MOVIMENTI 2026'!$B$7:$B$4206,$C101,'MOVIMENTI 2026'!$J$7:$J$4206)+SUMIF('SALDI AL 31.12.2025'!$A$6:$A$505,$C101,'SALDI AL 31.12.2025'!$D$6:$D$505))</f>
        <v/>
      </c>
      <c r="BC101" t="str">
        <f>IF($C101="","",SUMIF('MOVIMENTI 2026'!$B$7:$B$4206,$C101,'MOVIMENTI 2026'!$K$7:$K$4206)+SUMIF('SALDI AL 31.12.2025'!$A$6:$A$505,$C101,'SALDI AL 31.12.2025'!$E$6:$E$505))</f>
        <v/>
      </c>
      <c r="BD101" t="str">
        <f>IF($C101="","",SUMIF('MOVIMENTI 2026'!$B$7:$B$4206,$C101,'MOVIMENTI 2026'!$L$7:$L$4206)+SUMIF('SALDI AL 31.12.2025'!$A$6:$A$505,$C101,'SALDI AL 31.12.2025'!$F$6:$F$505))</f>
        <v/>
      </c>
      <c r="BE101" t="str">
        <f t="shared" si="38"/>
        <v/>
      </c>
      <c r="BF101" t="str">
        <f t="shared" si="39"/>
        <v/>
      </c>
      <c r="BG101" t="str">
        <f t="shared" si="40"/>
        <v/>
      </c>
      <c r="BH101" t="str">
        <f>IFERROR(IF(OR($C101="",ANAGRAFICA!$I98="",ANAGRAFICA!$J98="",ANAGRAFICA!$J98&lt;=ANAGRAFICA!$I98,$Y101=""),"",IF(OR($I101="Finito ritenute non previste",$I101="Finito con sblocco ritenute",$I101="Finito senza sblocco ritenute"),1,MAX(0,MIN(1,($Y101-ANAGRAFICA!$I98)/(ANAGRAFICA!$J98-ANAGRAFICA!$I98))))),"")</f>
        <v/>
      </c>
      <c r="BI101" t="str">
        <f t="shared" si="41"/>
        <v/>
      </c>
      <c r="BJ101" t="str">
        <f>IFERROR(IF($C101="","",'BUDGET COMMESSA'!$D98),"")</f>
        <v/>
      </c>
      <c r="BK101" t="str">
        <f>IF($C101="","",SUMIF('MOVIMENTI 2026'!$B$7:$B$4206,$C101,'MOVIMENTI 2026'!$N$7:$N$4206)+SUMIF('SALDI AL 31.12.2025'!$A$6:$A$505,$C101,'SALDI AL 31.12.2025'!$H$6:$H$505))</f>
        <v/>
      </c>
      <c r="BL101" t="str">
        <f t="shared" si="42"/>
        <v/>
      </c>
      <c r="BM101" t="str">
        <f t="shared" si="43"/>
        <v/>
      </c>
      <c r="BN101" t="str">
        <f t="shared" si="44"/>
        <v/>
      </c>
      <c r="BO101" t="str">
        <f>IFERROR(IF($C101="","",'BUDGET COMMESSA'!$G98),"")</f>
        <v/>
      </c>
      <c r="BP101" t="str">
        <f>IF($C101="","",SUMIF('COSTI DIRETTI'!$C$6:$C$505,$C101,'COSTI DIRETTI'!$H$6:$H$505)+SUMIF('SALDI AL 31.12.2025'!$A$6:$A$505,$C101,'SALDI AL 31.12.2025'!$I$6:$I$505))</f>
        <v/>
      </c>
      <c r="BQ101" t="str">
        <f t="shared" si="45"/>
        <v/>
      </c>
      <c r="BR101" t="str">
        <f t="shared" si="46"/>
        <v/>
      </c>
      <c r="BS101" t="str">
        <f>IF($C101="","",$BK101*PARAMETRI!$B$4+$BP101)</f>
        <v/>
      </c>
      <c r="BT101">
        <f t="shared" si="47"/>
        <v>0</v>
      </c>
      <c r="BU101">
        <f t="shared" si="48"/>
        <v>0</v>
      </c>
      <c r="BV101" t="str">
        <f>IF($C101="","",SUMIF('MOVIMENTI 2026'!$B$7:$B$4206,$C101,'MOVIMENTI 2026'!$P$7:$P$4206)+SUMIF('SALDI AL 31.12.2025'!$A$6:$A$505,$C101,'SALDI AL 31.12.2025'!$G$6:$G$505))</f>
        <v/>
      </c>
    </row>
    <row r="102" spans="1:74" ht="16" x14ac:dyDescent="0.15">
      <c r="A102" s="17" t="str">
        <f>IFERROR(IF($C102="","",IF(OR($BF102&gt;0,$V102&gt;$J102,AND(ISNUMBER($Q102),$Q102&gt;0),AND($BI102&lt;&gt;"",$BI102&lt;-PARAMETRI!$B$6),AND($BM102&lt;&gt;"",$BM102&gt;=1),AND($BN102&lt;&gt;"",$BN102&gt;PARAMETRI!$B$8),AND(ISNUMBER($BR102),$BR102&gt;0)),"CRITICO",IF(OR($AZ102="",LEFT($C102,5)="TEMP",$BJ102="",$BO102="",ANAGRAFICA!$I99="",ANAGRAFICA!$J99="",$Y102="",AND(OR($I102="Finito ritenute non previste",$I102="Finito con sblocco ritenute",$I102="Finito senza sblocco ritenute"),ANAGRAFICA!$K99=""),OR(AND(ANAGRAFICA!$T99&lt;&gt;"",ANAGRAFICA!$J99&lt;&gt;ANAGRAFICA!$T99,OR(ANAGRAFICA!$R99="",ANAGRAFICA!$R99="Nessuna variazione")),AND(ANAGRAFICA!$J99="",ANAGRAFICA!$R99&lt;&gt;"",ANAGRAFICA!$R99&lt;&gt;"Nessuna variazione")),AND($BI102&lt;&gt;"",$BI102&lt;-PARAMETRI!$B$5),AND($BN102&lt;&gt;"",$BN102&gt;PARAMETRI!$B$7),AND($W102&gt;0,$M102&gt;$W102*PARAMETRI!$B$9),AND($O102&gt;0,OR($I102="Finito ritenute non previste",$I102="Finito con sblocco ritenute",$I102="Finito senza sblocco ritenute")),AND($BA102&gt;0,$BO102&gt;0,$BP102=0),AND(OR($I102="Finito ritenute non previste",$I102="Finito con sblocco ritenute",$I102="Finito senza sblocco ritenute"),$W102&gt;0,$N102&gt;$W102*PARAMETRI!$B$9),$V102&gt;0),"ATTENZIONE","REGOLARE"))),"ATTENZIONE")</f>
        <v/>
      </c>
      <c r="B102" s="17" t="str">
        <f>IFERROR(IF($C102="","",IF($BF102&gt;0,"FATTURATO OLTRE VALORE RECUPERABILE; ","")&amp;IF($V102&gt;$J102,"PERDITE ACCETTATE OLTRE CONTRATTO; ","")&amp;IF($V102&gt;0,"PERDITA SAL ACCETTATA (€ "&amp;TEXT($V102,"#,##0.00")&amp;"); ","")&amp;IF(AND(ISNUMBER($Q102),$Q102&gt;0),"RITARDO PRODUTTIVO ("&amp;TEXT($Q102,"0")&amp;" GG); ","")&amp;IF(AND($BI102&lt;&gt;"",$BI102&lt;-PARAMETRI!$B$5),"AVANZAMENTO PIÙ LENTO DEL TEMPO; ","")&amp;IF(AND($BM102&lt;&gt;"",$BM102&gt;1),"ORE OLTRE BUDGET; ","")&amp;IF(AND($BM102&lt;&gt;"",$BM102=1),"ORE PREVENTIVATE ESAURITE; ","")&amp;IF(AND($BN102&lt;&gt;"",$BN102&gt;PARAMETRI!$B$7),"CONSUMO ORE SUPERIORE ALL'AVANZAMENTO; ","")&amp;IF(AND(ISNUMBER($BR102),$BR102&gt;0),"COSTI DIRETTI OLTRE BUDGET; ","")&amp;IF(AND($W102&gt;0,$M102&gt;$W102*PARAMETRI!$B$9),"SAL MATURATO NON FATTURATO; ","")&amp;IF(AND($O102&gt;0,OR($I102="Finito ritenute non previste",$I102="Finito con sblocco ritenute",$I102="Finito senza sblocco ritenute")),"RITENUTE DA SBLOCCARE; ","")&amp;IF(AND($BA102&gt;0,$BO102&gt;0,$BP102=0),"COSTI DIRETTI NON REGISTRATI; ","")&amp;IF(AND(OR($I102="Finito ritenute non previste",$I102="Finito con sblocco ritenute",$I102="Finito senza sblocco ritenute"),$W102&gt;0,$N102&gt;$W102*PARAMETRI!$B$9),"CANTIERE FINITO CON RESIDUO LAVORI; ","")&amp;IF(AND(OR($I102="Finito ritenute non previste",$I102="Finito con sblocco ritenute",$I102="Finito senza sblocco ritenute"),ANAGRAFICA!$K99=""),"DATA FINE EFFETTIVA MANCANTE; ","")&amp;IF(OR(AND(ANAGRAFICA!$T99&lt;&gt;"",ANAGRAFICA!$J99&lt;&gt;ANAGRAFICA!$T99,OR(ANAGRAFICA!$R99="",ANAGRAFICA!$R99="Nessuna variazione")),AND(ANAGRAFICA!$J99="",ANAGRAFICA!$R99&lt;&gt;"",ANAGRAFICA!$R99&lt;&gt;"Nessuna variazione")),"GESTIONE DATA FINE INCOMPLETA; ","")&amp;IF($Y102="","AGGIORNATO AL MANCANTE; ","")&amp;IF(OR($AZ102="",$BJ102="",$BO102="",ANAGRAFICA!$I99="",ANAGRAFICA!$J99=""),"DATI PREVISIONALI INCOMPLETI; ","")&amp;IF(LEFT($C102,5)="TEMP","CODICE COMMESSA TEMPORANEO; ","")),"DATI INCOMPLETI; ")</f>
        <v/>
      </c>
      <c r="C102" s="17" t="str">
        <f>IF(ANAGRAFICA!$B99="","",ANAGRAFICA!$B99)</f>
        <v/>
      </c>
      <c r="D102" s="17" t="str">
        <f>IF($C102="","",ANAGRAFICA!$C99)</f>
        <v/>
      </c>
      <c r="E102" s="17" t="str">
        <f>IF($C102="","",ANAGRAFICA!$D99)</f>
        <v/>
      </c>
      <c r="F102" s="17" t="str">
        <f>IF($C102="","",ANAGRAFICA!$E99)</f>
        <v/>
      </c>
      <c r="G102" s="17" t="str">
        <f>IF($C102="","",ANAGRAFICA!$F99)</f>
        <v/>
      </c>
      <c r="H102" s="17" t="str">
        <f>IF($C102="","",ANAGRAFICA!$G99)</f>
        <v/>
      </c>
      <c r="I102" s="17" t="str">
        <f>IF($C102="","",ANAGRAFICA!$L99)</f>
        <v/>
      </c>
      <c r="J102" s="16" t="str">
        <f t="shared" si="25"/>
        <v/>
      </c>
      <c r="K102" s="16" t="str">
        <f t="shared" si="26"/>
        <v/>
      </c>
      <c r="L102" s="16" t="str">
        <f t="shared" si="27"/>
        <v/>
      </c>
      <c r="M102" s="16" t="str">
        <f t="shared" si="28"/>
        <v/>
      </c>
      <c r="N102" s="16" t="str">
        <f t="shared" si="29"/>
        <v/>
      </c>
      <c r="O102" s="16" t="str">
        <f t="shared" si="30"/>
        <v/>
      </c>
      <c r="P102" s="17" t="str">
        <f t="shared" si="31"/>
        <v/>
      </c>
      <c r="Q102" s="31" t="str">
        <f>IF(OR($C102="",'BUDGET COMMESSA'!$D99="",'BUDGET COMMESSA'!$D99&lt;=0,ANAGRAFICA!$J99=""),"",IF(OR($I102="Finito ritenute non previste",$I102="Finito con sblocco ritenute",$I102="Finito senza sblocco ritenute"),0,IF(AND($BK102&gt;=$BJ102,ANAGRAFICA!$R99="Ritardo produttivo FIDA"),IF(ANAGRAFICA!$T99&lt;&gt;"",MAX(0,ANAGRAFICA!$J99-ANAGRAFICA!$T99),MAX(0,$Y102-ANAGRAFICA!$J99)),0)))</f>
        <v/>
      </c>
      <c r="R102" s="17" t="str">
        <f t="shared" si="32"/>
        <v/>
      </c>
      <c r="S102" s="17" t="str">
        <f t="shared" si="33"/>
        <v/>
      </c>
      <c r="T102" s="17" t="str">
        <f t="shared" si="34"/>
        <v/>
      </c>
      <c r="U102" s="16" t="str">
        <f t="shared" si="35"/>
        <v/>
      </c>
      <c r="V102" s="16" t="str">
        <f t="shared" si="36"/>
        <v/>
      </c>
      <c r="W102" s="16" t="str">
        <f t="shared" si="37"/>
        <v/>
      </c>
      <c r="X102" s="40"/>
      <c r="Y102" s="14"/>
      <c r="AZ102" t="str">
        <f>IF($C102="","",ANAGRAFICA!$P99)</f>
        <v/>
      </c>
      <c r="BA102" t="str">
        <f>IF($C102="","",SUMIF('MOVIMENTI 2026'!$B$7:$B$4206,$C102,'MOVIMENTI 2026'!$I$7:$I$4206)+SUMIF('SALDI AL 31.12.2025'!$A$6:$A$505,$C102,'SALDI AL 31.12.2025'!$C$6:$C$505))</f>
        <v/>
      </c>
      <c r="BB102" t="str">
        <f>IF($C102="","",SUMIF('MOVIMENTI 2026'!$B$7:$B$4206,$C102,'MOVIMENTI 2026'!$J$7:$J$4206)+SUMIF('SALDI AL 31.12.2025'!$A$6:$A$505,$C102,'SALDI AL 31.12.2025'!$D$6:$D$505))</f>
        <v/>
      </c>
      <c r="BC102" t="str">
        <f>IF($C102="","",SUMIF('MOVIMENTI 2026'!$B$7:$B$4206,$C102,'MOVIMENTI 2026'!$K$7:$K$4206)+SUMIF('SALDI AL 31.12.2025'!$A$6:$A$505,$C102,'SALDI AL 31.12.2025'!$E$6:$E$505))</f>
        <v/>
      </c>
      <c r="BD102" t="str">
        <f>IF($C102="","",SUMIF('MOVIMENTI 2026'!$B$7:$B$4206,$C102,'MOVIMENTI 2026'!$L$7:$L$4206)+SUMIF('SALDI AL 31.12.2025'!$A$6:$A$505,$C102,'SALDI AL 31.12.2025'!$F$6:$F$505))</f>
        <v/>
      </c>
      <c r="BE102" t="str">
        <f t="shared" si="38"/>
        <v/>
      </c>
      <c r="BF102" t="str">
        <f t="shared" si="39"/>
        <v/>
      </c>
      <c r="BG102" t="str">
        <f t="shared" si="40"/>
        <v/>
      </c>
      <c r="BH102" t="str">
        <f>IFERROR(IF(OR($C102="",ANAGRAFICA!$I99="",ANAGRAFICA!$J99="",ANAGRAFICA!$J99&lt;=ANAGRAFICA!$I99,$Y102=""),"",IF(OR($I102="Finito ritenute non previste",$I102="Finito con sblocco ritenute",$I102="Finito senza sblocco ritenute"),1,MAX(0,MIN(1,($Y102-ANAGRAFICA!$I99)/(ANAGRAFICA!$J99-ANAGRAFICA!$I99))))),"")</f>
        <v/>
      </c>
      <c r="BI102" t="str">
        <f t="shared" si="41"/>
        <v/>
      </c>
      <c r="BJ102" t="str">
        <f>IFERROR(IF($C102="","",'BUDGET COMMESSA'!$D99),"")</f>
        <v/>
      </c>
      <c r="BK102" t="str">
        <f>IF($C102="","",SUMIF('MOVIMENTI 2026'!$B$7:$B$4206,$C102,'MOVIMENTI 2026'!$N$7:$N$4206)+SUMIF('SALDI AL 31.12.2025'!$A$6:$A$505,$C102,'SALDI AL 31.12.2025'!$H$6:$H$505))</f>
        <v/>
      </c>
      <c r="BL102" t="str">
        <f t="shared" si="42"/>
        <v/>
      </c>
      <c r="BM102" t="str">
        <f t="shared" si="43"/>
        <v/>
      </c>
      <c r="BN102" t="str">
        <f t="shared" si="44"/>
        <v/>
      </c>
      <c r="BO102" t="str">
        <f>IFERROR(IF($C102="","",'BUDGET COMMESSA'!$G99),"")</f>
        <v/>
      </c>
      <c r="BP102" t="str">
        <f>IF($C102="","",SUMIF('COSTI DIRETTI'!$C$6:$C$505,$C102,'COSTI DIRETTI'!$H$6:$H$505)+SUMIF('SALDI AL 31.12.2025'!$A$6:$A$505,$C102,'SALDI AL 31.12.2025'!$I$6:$I$505))</f>
        <v/>
      </c>
      <c r="BQ102" t="str">
        <f t="shared" si="45"/>
        <v/>
      </c>
      <c r="BR102" t="str">
        <f t="shared" si="46"/>
        <v/>
      </c>
      <c r="BS102" t="str">
        <f>IF($C102="","",$BK102*PARAMETRI!$B$4+$BP102)</f>
        <v/>
      </c>
      <c r="BT102">
        <f t="shared" si="47"/>
        <v>0</v>
      </c>
      <c r="BU102">
        <f t="shared" si="48"/>
        <v>0</v>
      </c>
      <c r="BV102" t="str">
        <f>IF($C102="","",SUMIF('MOVIMENTI 2026'!$B$7:$B$4206,$C102,'MOVIMENTI 2026'!$P$7:$P$4206)+SUMIF('SALDI AL 31.12.2025'!$A$6:$A$505,$C102,'SALDI AL 31.12.2025'!$G$6:$G$505))</f>
        <v/>
      </c>
    </row>
    <row r="103" spans="1:74" ht="16" x14ac:dyDescent="0.15">
      <c r="A103" s="17" t="str">
        <f>IFERROR(IF($C103="","",IF(OR($BF103&gt;0,$V103&gt;$J103,AND(ISNUMBER($Q103),$Q103&gt;0),AND($BI103&lt;&gt;"",$BI103&lt;-PARAMETRI!$B$6),AND($BM103&lt;&gt;"",$BM103&gt;=1),AND($BN103&lt;&gt;"",$BN103&gt;PARAMETRI!$B$8),AND(ISNUMBER($BR103),$BR103&gt;0)),"CRITICO",IF(OR($AZ103="",LEFT($C103,5)="TEMP",$BJ103="",$BO103="",ANAGRAFICA!$I100="",ANAGRAFICA!$J100="",$Y103="",AND(OR($I103="Finito ritenute non previste",$I103="Finito con sblocco ritenute",$I103="Finito senza sblocco ritenute"),ANAGRAFICA!$K100=""),OR(AND(ANAGRAFICA!$T100&lt;&gt;"",ANAGRAFICA!$J100&lt;&gt;ANAGRAFICA!$T100,OR(ANAGRAFICA!$R100="",ANAGRAFICA!$R100="Nessuna variazione")),AND(ANAGRAFICA!$J100="",ANAGRAFICA!$R100&lt;&gt;"",ANAGRAFICA!$R100&lt;&gt;"Nessuna variazione")),AND($BI103&lt;&gt;"",$BI103&lt;-PARAMETRI!$B$5),AND($BN103&lt;&gt;"",$BN103&gt;PARAMETRI!$B$7),AND($W103&gt;0,$M103&gt;$W103*PARAMETRI!$B$9),AND($O103&gt;0,OR($I103="Finito ritenute non previste",$I103="Finito con sblocco ritenute",$I103="Finito senza sblocco ritenute")),AND($BA103&gt;0,$BO103&gt;0,$BP103=0),AND(OR($I103="Finito ritenute non previste",$I103="Finito con sblocco ritenute",$I103="Finito senza sblocco ritenute"),$W103&gt;0,$N103&gt;$W103*PARAMETRI!$B$9),$V103&gt;0),"ATTENZIONE","REGOLARE"))),"ATTENZIONE")</f>
        <v/>
      </c>
      <c r="B103" s="17" t="str">
        <f>IFERROR(IF($C103="","",IF($BF103&gt;0,"FATTURATO OLTRE VALORE RECUPERABILE; ","")&amp;IF($V103&gt;$J103,"PERDITE ACCETTATE OLTRE CONTRATTO; ","")&amp;IF($V103&gt;0,"PERDITA SAL ACCETTATA (€ "&amp;TEXT($V103,"#,##0.00")&amp;"); ","")&amp;IF(AND(ISNUMBER($Q103),$Q103&gt;0),"RITARDO PRODUTTIVO ("&amp;TEXT($Q103,"0")&amp;" GG); ","")&amp;IF(AND($BI103&lt;&gt;"",$BI103&lt;-PARAMETRI!$B$5),"AVANZAMENTO PIÙ LENTO DEL TEMPO; ","")&amp;IF(AND($BM103&lt;&gt;"",$BM103&gt;1),"ORE OLTRE BUDGET; ","")&amp;IF(AND($BM103&lt;&gt;"",$BM103=1),"ORE PREVENTIVATE ESAURITE; ","")&amp;IF(AND($BN103&lt;&gt;"",$BN103&gt;PARAMETRI!$B$7),"CONSUMO ORE SUPERIORE ALL'AVANZAMENTO; ","")&amp;IF(AND(ISNUMBER($BR103),$BR103&gt;0),"COSTI DIRETTI OLTRE BUDGET; ","")&amp;IF(AND($W103&gt;0,$M103&gt;$W103*PARAMETRI!$B$9),"SAL MATURATO NON FATTURATO; ","")&amp;IF(AND($O103&gt;0,OR($I103="Finito ritenute non previste",$I103="Finito con sblocco ritenute",$I103="Finito senza sblocco ritenute")),"RITENUTE DA SBLOCCARE; ","")&amp;IF(AND($BA103&gt;0,$BO103&gt;0,$BP103=0),"COSTI DIRETTI NON REGISTRATI; ","")&amp;IF(AND(OR($I103="Finito ritenute non previste",$I103="Finito con sblocco ritenute",$I103="Finito senza sblocco ritenute"),$W103&gt;0,$N103&gt;$W103*PARAMETRI!$B$9),"CANTIERE FINITO CON RESIDUO LAVORI; ","")&amp;IF(AND(OR($I103="Finito ritenute non previste",$I103="Finito con sblocco ritenute",$I103="Finito senza sblocco ritenute"),ANAGRAFICA!$K100=""),"DATA FINE EFFETTIVA MANCANTE; ","")&amp;IF(OR(AND(ANAGRAFICA!$T100&lt;&gt;"",ANAGRAFICA!$J100&lt;&gt;ANAGRAFICA!$T100,OR(ANAGRAFICA!$R100="",ANAGRAFICA!$R100="Nessuna variazione")),AND(ANAGRAFICA!$J100="",ANAGRAFICA!$R100&lt;&gt;"",ANAGRAFICA!$R100&lt;&gt;"Nessuna variazione")),"GESTIONE DATA FINE INCOMPLETA; ","")&amp;IF($Y103="","AGGIORNATO AL MANCANTE; ","")&amp;IF(OR($AZ103="",$BJ103="",$BO103="",ANAGRAFICA!$I100="",ANAGRAFICA!$J100=""),"DATI PREVISIONALI INCOMPLETI; ","")&amp;IF(LEFT($C103,5)="TEMP","CODICE COMMESSA TEMPORANEO; ","")),"DATI INCOMPLETI; ")</f>
        <v/>
      </c>
      <c r="C103" s="17" t="str">
        <f>IF(ANAGRAFICA!$B100="","",ANAGRAFICA!$B100)</f>
        <v/>
      </c>
      <c r="D103" s="17" t="str">
        <f>IF($C103="","",ANAGRAFICA!$C100)</f>
        <v/>
      </c>
      <c r="E103" s="17" t="str">
        <f>IF($C103="","",ANAGRAFICA!$D100)</f>
        <v/>
      </c>
      <c r="F103" s="17" t="str">
        <f>IF($C103="","",ANAGRAFICA!$E100)</f>
        <v/>
      </c>
      <c r="G103" s="17" t="str">
        <f>IF($C103="","",ANAGRAFICA!$F100)</f>
        <v/>
      </c>
      <c r="H103" s="17" t="str">
        <f>IF($C103="","",ANAGRAFICA!$G100)</f>
        <v/>
      </c>
      <c r="I103" s="17" t="str">
        <f>IF($C103="","",ANAGRAFICA!$L100)</f>
        <v/>
      </c>
      <c r="J103" s="16" t="str">
        <f t="shared" si="25"/>
        <v/>
      </c>
      <c r="K103" s="16" t="str">
        <f t="shared" si="26"/>
        <v/>
      </c>
      <c r="L103" s="16" t="str">
        <f t="shared" si="27"/>
        <v/>
      </c>
      <c r="M103" s="16" t="str">
        <f t="shared" si="28"/>
        <v/>
      </c>
      <c r="N103" s="16" t="str">
        <f t="shared" si="29"/>
        <v/>
      </c>
      <c r="O103" s="16" t="str">
        <f t="shared" si="30"/>
        <v/>
      </c>
      <c r="P103" s="17" t="str">
        <f t="shared" si="31"/>
        <v/>
      </c>
      <c r="Q103" s="31" t="str">
        <f>IF(OR($C103="",'BUDGET COMMESSA'!$D100="",'BUDGET COMMESSA'!$D100&lt;=0,ANAGRAFICA!$J100=""),"",IF(OR($I103="Finito ritenute non previste",$I103="Finito con sblocco ritenute",$I103="Finito senza sblocco ritenute"),0,IF(AND($BK103&gt;=$BJ103,ANAGRAFICA!$R100="Ritardo produttivo FIDA"),IF(ANAGRAFICA!$T100&lt;&gt;"",MAX(0,ANAGRAFICA!$J100-ANAGRAFICA!$T100),MAX(0,$Y103-ANAGRAFICA!$J100)),0)))</f>
        <v/>
      </c>
      <c r="R103" s="17" t="str">
        <f t="shared" si="32"/>
        <v/>
      </c>
      <c r="S103" s="17" t="str">
        <f t="shared" si="33"/>
        <v/>
      </c>
      <c r="T103" s="17" t="str">
        <f t="shared" si="34"/>
        <v/>
      </c>
      <c r="U103" s="16" t="str">
        <f t="shared" si="35"/>
        <v/>
      </c>
      <c r="V103" s="16" t="str">
        <f t="shared" si="36"/>
        <v/>
      </c>
      <c r="W103" s="16" t="str">
        <f t="shared" si="37"/>
        <v/>
      </c>
      <c r="X103" s="40"/>
      <c r="Y103" s="14"/>
      <c r="AZ103" t="str">
        <f>IF($C103="","",ANAGRAFICA!$P100)</f>
        <v/>
      </c>
      <c r="BA103" t="str">
        <f>IF($C103="","",SUMIF('MOVIMENTI 2026'!$B$7:$B$4206,$C103,'MOVIMENTI 2026'!$I$7:$I$4206)+SUMIF('SALDI AL 31.12.2025'!$A$6:$A$505,$C103,'SALDI AL 31.12.2025'!$C$6:$C$505))</f>
        <v/>
      </c>
      <c r="BB103" t="str">
        <f>IF($C103="","",SUMIF('MOVIMENTI 2026'!$B$7:$B$4206,$C103,'MOVIMENTI 2026'!$J$7:$J$4206)+SUMIF('SALDI AL 31.12.2025'!$A$6:$A$505,$C103,'SALDI AL 31.12.2025'!$D$6:$D$505))</f>
        <v/>
      </c>
      <c r="BC103" t="str">
        <f>IF($C103="","",SUMIF('MOVIMENTI 2026'!$B$7:$B$4206,$C103,'MOVIMENTI 2026'!$K$7:$K$4206)+SUMIF('SALDI AL 31.12.2025'!$A$6:$A$505,$C103,'SALDI AL 31.12.2025'!$E$6:$E$505))</f>
        <v/>
      </c>
      <c r="BD103" t="str">
        <f>IF($C103="","",SUMIF('MOVIMENTI 2026'!$B$7:$B$4206,$C103,'MOVIMENTI 2026'!$L$7:$L$4206)+SUMIF('SALDI AL 31.12.2025'!$A$6:$A$505,$C103,'SALDI AL 31.12.2025'!$F$6:$F$505))</f>
        <v/>
      </c>
      <c r="BE103" t="str">
        <f t="shared" si="38"/>
        <v/>
      </c>
      <c r="BF103" t="str">
        <f t="shared" si="39"/>
        <v/>
      </c>
      <c r="BG103" t="str">
        <f t="shared" si="40"/>
        <v/>
      </c>
      <c r="BH103" t="str">
        <f>IFERROR(IF(OR($C103="",ANAGRAFICA!$I100="",ANAGRAFICA!$J100="",ANAGRAFICA!$J100&lt;=ANAGRAFICA!$I100,$Y103=""),"",IF(OR($I103="Finito ritenute non previste",$I103="Finito con sblocco ritenute",$I103="Finito senza sblocco ritenute"),1,MAX(0,MIN(1,($Y103-ANAGRAFICA!$I100)/(ANAGRAFICA!$J100-ANAGRAFICA!$I100))))),"")</f>
        <v/>
      </c>
      <c r="BI103" t="str">
        <f t="shared" si="41"/>
        <v/>
      </c>
      <c r="BJ103" t="str">
        <f>IFERROR(IF($C103="","",'BUDGET COMMESSA'!$D100),"")</f>
        <v/>
      </c>
      <c r="BK103" t="str">
        <f>IF($C103="","",SUMIF('MOVIMENTI 2026'!$B$7:$B$4206,$C103,'MOVIMENTI 2026'!$N$7:$N$4206)+SUMIF('SALDI AL 31.12.2025'!$A$6:$A$505,$C103,'SALDI AL 31.12.2025'!$H$6:$H$505))</f>
        <v/>
      </c>
      <c r="BL103" t="str">
        <f t="shared" si="42"/>
        <v/>
      </c>
      <c r="BM103" t="str">
        <f t="shared" si="43"/>
        <v/>
      </c>
      <c r="BN103" t="str">
        <f t="shared" si="44"/>
        <v/>
      </c>
      <c r="BO103" t="str">
        <f>IFERROR(IF($C103="","",'BUDGET COMMESSA'!$G100),"")</f>
        <v/>
      </c>
      <c r="BP103" t="str">
        <f>IF($C103="","",SUMIF('COSTI DIRETTI'!$C$6:$C$505,$C103,'COSTI DIRETTI'!$H$6:$H$505)+SUMIF('SALDI AL 31.12.2025'!$A$6:$A$505,$C103,'SALDI AL 31.12.2025'!$I$6:$I$505))</f>
        <v/>
      </c>
      <c r="BQ103" t="str">
        <f t="shared" si="45"/>
        <v/>
      </c>
      <c r="BR103" t="str">
        <f t="shared" si="46"/>
        <v/>
      </c>
      <c r="BS103" t="str">
        <f>IF($C103="","",$BK103*PARAMETRI!$B$4+$BP103)</f>
        <v/>
      </c>
      <c r="BT103">
        <f t="shared" si="47"/>
        <v>0</v>
      </c>
      <c r="BU103">
        <f t="shared" si="48"/>
        <v>0</v>
      </c>
      <c r="BV103" t="str">
        <f>IF($C103="","",SUMIF('MOVIMENTI 2026'!$B$7:$B$4206,$C103,'MOVIMENTI 2026'!$P$7:$P$4206)+SUMIF('SALDI AL 31.12.2025'!$A$6:$A$505,$C103,'SALDI AL 31.12.2025'!$G$6:$G$505))</f>
        <v/>
      </c>
    </row>
    <row r="104" spans="1:74" ht="16" x14ac:dyDescent="0.15">
      <c r="A104" s="17" t="str">
        <f>IFERROR(IF($C104="","",IF(OR($BF104&gt;0,$V104&gt;$J104,AND(ISNUMBER($Q104),$Q104&gt;0),AND($BI104&lt;&gt;"",$BI104&lt;-PARAMETRI!$B$6),AND($BM104&lt;&gt;"",$BM104&gt;=1),AND($BN104&lt;&gt;"",$BN104&gt;PARAMETRI!$B$8),AND(ISNUMBER($BR104),$BR104&gt;0)),"CRITICO",IF(OR($AZ104="",LEFT($C104,5)="TEMP",$BJ104="",$BO104="",ANAGRAFICA!$I101="",ANAGRAFICA!$J101="",$Y104="",AND(OR($I104="Finito ritenute non previste",$I104="Finito con sblocco ritenute",$I104="Finito senza sblocco ritenute"),ANAGRAFICA!$K101=""),OR(AND(ANAGRAFICA!$T101&lt;&gt;"",ANAGRAFICA!$J101&lt;&gt;ANAGRAFICA!$T101,OR(ANAGRAFICA!$R101="",ANAGRAFICA!$R101="Nessuna variazione")),AND(ANAGRAFICA!$J101="",ANAGRAFICA!$R101&lt;&gt;"",ANAGRAFICA!$R101&lt;&gt;"Nessuna variazione")),AND($BI104&lt;&gt;"",$BI104&lt;-PARAMETRI!$B$5),AND($BN104&lt;&gt;"",$BN104&gt;PARAMETRI!$B$7),AND($W104&gt;0,$M104&gt;$W104*PARAMETRI!$B$9),AND($O104&gt;0,OR($I104="Finito ritenute non previste",$I104="Finito con sblocco ritenute",$I104="Finito senza sblocco ritenute")),AND($BA104&gt;0,$BO104&gt;0,$BP104=0),AND(OR($I104="Finito ritenute non previste",$I104="Finito con sblocco ritenute",$I104="Finito senza sblocco ritenute"),$W104&gt;0,$N104&gt;$W104*PARAMETRI!$B$9),$V104&gt;0),"ATTENZIONE","REGOLARE"))),"ATTENZIONE")</f>
        <v/>
      </c>
      <c r="B104" s="17" t="str">
        <f>IFERROR(IF($C104="","",IF($BF104&gt;0,"FATTURATO OLTRE VALORE RECUPERABILE; ","")&amp;IF($V104&gt;$J104,"PERDITE ACCETTATE OLTRE CONTRATTO; ","")&amp;IF($V104&gt;0,"PERDITA SAL ACCETTATA (€ "&amp;TEXT($V104,"#,##0.00")&amp;"); ","")&amp;IF(AND(ISNUMBER($Q104),$Q104&gt;0),"RITARDO PRODUTTIVO ("&amp;TEXT($Q104,"0")&amp;" GG); ","")&amp;IF(AND($BI104&lt;&gt;"",$BI104&lt;-PARAMETRI!$B$5),"AVANZAMENTO PIÙ LENTO DEL TEMPO; ","")&amp;IF(AND($BM104&lt;&gt;"",$BM104&gt;1),"ORE OLTRE BUDGET; ","")&amp;IF(AND($BM104&lt;&gt;"",$BM104=1),"ORE PREVENTIVATE ESAURITE; ","")&amp;IF(AND($BN104&lt;&gt;"",$BN104&gt;PARAMETRI!$B$7),"CONSUMO ORE SUPERIORE ALL'AVANZAMENTO; ","")&amp;IF(AND(ISNUMBER($BR104),$BR104&gt;0),"COSTI DIRETTI OLTRE BUDGET; ","")&amp;IF(AND($W104&gt;0,$M104&gt;$W104*PARAMETRI!$B$9),"SAL MATURATO NON FATTURATO; ","")&amp;IF(AND($O104&gt;0,OR($I104="Finito ritenute non previste",$I104="Finito con sblocco ritenute",$I104="Finito senza sblocco ritenute")),"RITENUTE DA SBLOCCARE; ","")&amp;IF(AND($BA104&gt;0,$BO104&gt;0,$BP104=0),"COSTI DIRETTI NON REGISTRATI; ","")&amp;IF(AND(OR($I104="Finito ritenute non previste",$I104="Finito con sblocco ritenute",$I104="Finito senza sblocco ritenute"),$W104&gt;0,$N104&gt;$W104*PARAMETRI!$B$9),"CANTIERE FINITO CON RESIDUO LAVORI; ","")&amp;IF(AND(OR($I104="Finito ritenute non previste",$I104="Finito con sblocco ritenute",$I104="Finito senza sblocco ritenute"),ANAGRAFICA!$K101=""),"DATA FINE EFFETTIVA MANCANTE; ","")&amp;IF(OR(AND(ANAGRAFICA!$T101&lt;&gt;"",ANAGRAFICA!$J101&lt;&gt;ANAGRAFICA!$T101,OR(ANAGRAFICA!$R101="",ANAGRAFICA!$R101="Nessuna variazione")),AND(ANAGRAFICA!$J101="",ANAGRAFICA!$R101&lt;&gt;"",ANAGRAFICA!$R101&lt;&gt;"Nessuna variazione")),"GESTIONE DATA FINE INCOMPLETA; ","")&amp;IF($Y104="","AGGIORNATO AL MANCANTE; ","")&amp;IF(OR($AZ104="",$BJ104="",$BO104="",ANAGRAFICA!$I101="",ANAGRAFICA!$J101=""),"DATI PREVISIONALI INCOMPLETI; ","")&amp;IF(LEFT($C104,5)="TEMP","CODICE COMMESSA TEMPORANEO; ","")),"DATI INCOMPLETI; ")</f>
        <v/>
      </c>
      <c r="C104" s="17" t="str">
        <f>IF(ANAGRAFICA!$B101="","",ANAGRAFICA!$B101)</f>
        <v/>
      </c>
      <c r="D104" s="17" t="str">
        <f>IF($C104="","",ANAGRAFICA!$C101)</f>
        <v/>
      </c>
      <c r="E104" s="17" t="str">
        <f>IF($C104="","",ANAGRAFICA!$D101)</f>
        <v/>
      </c>
      <c r="F104" s="17" t="str">
        <f>IF($C104="","",ANAGRAFICA!$E101)</f>
        <v/>
      </c>
      <c r="G104" s="17" t="str">
        <f>IF($C104="","",ANAGRAFICA!$F101)</f>
        <v/>
      </c>
      <c r="H104" s="17" t="str">
        <f>IF($C104="","",ANAGRAFICA!$G101)</f>
        <v/>
      </c>
      <c r="I104" s="17" t="str">
        <f>IF($C104="","",ANAGRAFICA!$L101)</f>
        <v/>
      </c>
      <c r="J104" s="16" t="str">
        <f t="shared" si="25"/>
        <v/>
      </c>
      <c r="K104" s="16" t="str">
        <f t="shared" si="26"/>
        <v/>
      </c>
      <c r="L104" s="16" t="str">
        <f t="shared" si="27"/>
        <v/>
      </c>
      <c r="M104" s="16" t="str">
        <f t="shared" si="28"/>
        <v/>
      </c>
      <c r="N104" s="16" t="str">
        <f t="shared" si="29"/>
        <v/>
      </c>
      <c r="O104" s="16" t="str">
        <f t="shared" si="30"/>
        <v/>
      </c>
      <c r="P104" s="17" t="str">
        <f t="shared" si="31"/>
        <v/>
      </c>
      <c r="Q104" s="31" t="str">
        <f>IF(OR($C104="",'BUDGET COMMESSA'!$D101="",'BUDGET COMMESSA'!$D101&lt;=0,ANAGRAFICA!$J101=""),"",IF(OR($I104="Finito ritenute non previste",$I104="Finito con sblocco ritenute",$I104="Finito senza sblocco ritenute"),0,IF(AND($BK104&gt;=$BJ104,ANAGRAFICA!$R101="Ritardo produttivo FIDA"),IF(ANAGRAFICA!$T101&lt;&gt;"",MAX(0,ANAGRAFICA!$J101-ANAGRAFICA!$T101),MAX(0,$Y104-ANAGRAFICA!$J101)),0)))</f>
        <v/>
      </c>
      <c r="R104" s="17" t="str">
        <f t="shared" si="32"/>
        <v/>
      </c>
      <c r="S104" s="17" t="str">
        <f t="shared" si="33"/>
        <v/>
      </c>
      <c r="T104" s="17" t="str">
        <f t="shared" si="34"/>
        <v/>
      </c>
      <c r="U104" s="16" t="str">
        <f t="shared" si="35"/>
        <v/>
      </c>
      <c r="V104" s="16" t="str">
        <f t="shared" si="36"/>
        <v/>
      </c>
      <c r="W104" s="16" t="str">
        <f t="shared" si="37"/>
        <v/>
      </c>
      <c r="X104" s="40"/>
      <c r="Y104" s="14"/>
      <c r="AZ104" t="str">
        <f>IF($C104="","",ANAGRAFICA!$P101)</f>
        <v/>
      </c>
      <c r="BA104" t="str">
        <f>IF($C104="","",SUMIF('MOVIMENTI 2026'!$B$7:$B$4206,$C104,'MOVIMENTI 2026'!$I$7:$I$4206)+SUMIF('SALDI AL 31.12.2025'!$A$6:$A$505,$C104,'SALDI AL 31.12.2025'!$C$6:$C$505))</f>
        <v/>
      </c>
      <c r="BB104" t="str">
        <f>IF($C104="","",SUMIF('MOVIMENTI 2026'!$B$7:$B$4206,$C104,'MOVIMENTI 2026'!$J$7:$J$4206)+SUMIF('SALDI AL 31.12.2025'!$A$6:$A$505,$C104,'SALDI AL 31.12.2025'!$D$6:$D$505))</f>
        <v/>
      </c>
      <c r="BC104" t="str">
        <f>IF($C104="","",SUMIF('MOVIMENTI 2026'!$B$7:$B$4206,$C104,'MOVIMENTI 2026'!$K$7:$K$4206)+SUMIF('SALDI AL 31.12.2025'!$A$6:$A$505,$C104,'SALDI AL 31.12.2025'!$E$6:$E$505))</f>
        <v/>
      </c>
      <c r="BD104" t="str">
        <f>IF($C104="","",SUMIF('MOVIMENTI 2026'!$B$7:$B$4206,$C104,'MOVIMENTI 2026'!$L$7:$L$4206)+SUMIF('SALDI AL 31.12.2025'!$A$6:$A$505,$C104,'SALDI AL 31.12.2025'!$F$6:$F$505))</f>
        <v/>
      </c>
      <c r="BE104" t="str">
        <f t="shared" si="38"/>
        <v/>
      </c>
      <c r="BF104" t="str">
        <f t="shared" si="39"/>
        <v/>
      </c>
      <c r="BG104" t="str">
        <f t="shared" si="40"/>
        <v/>
      </c>
      <c r="BH104" t="str">
        <f>IFERROR(IF(OR($C104="",ANAGRAFICA!$I101="",ANAGRAFICA!$J101="",ANAGRAFICA!$J101&lt;=ANAGRAFICA!$I101,$Y104=""),"",IF(OR($I104="Finito ritenute non previste",$I104="Finito con sblocco ritenute",$I104="Finito senza sblocco ritenute"),1,MAX(0,MIN(1,($Y104-ANAGRAFICA!$I101)/(ANAGRAFICA!$J101-ANAGRAFICA!$I101))))),"")</f>
        <v/>
      </c>
      <c r="BI104" t="str">
        <f t="shared" si="41"/>
        <v/>
      </c>
      <c r="BJ104" t="str">
        <f>IFERROR(IF($C104="","",'BUDGET COMMESSA'!$D101),"")</f>
        <v/>
      </c>
      <c r="BK104" t="str">
        <f>IF($C104="","",SUMIF('MOVIMENTI 2026'!$B$7:$B$4206,$C104,'MOVIMENTI 2026'!$N$7:$N$4206)+SUMIF('SALDI AL 31.12.2025'!$A$6:$A$505,$C104,'SALDI AL 31.12.2025'!$H$6:$H$505))</f>
        <v/>
      </c>
      <c r="BL104" t="str">
        <f t="shared" si="42"/>
        <v/>
      </c>
      <c r="BM104" t="str">
        <f t="shared" si="43"/>
        <v/>
      </c>
      <c r="BN104" t="str">
        <f t="shared" si="44"/>
        <v/>
      </c>
      <c r="BO104" t="str">
        <f>IFERROR(IF($C104="","",'BUDGET COMMESSA'!$G101),"")</f>
        <v/>
      </c>
      <c r="BP104" t="str">
        <f>IF($C104="","",SUMIF('COSTI DIRETTI'!$C$6:$C$505,$C104,'COSTI DIRETTI'!$H$6:$H$505)+SUMIF('SALDI AL 31.12.2025'!$A$6:$A$505,$C104,'SALDI AL 31.12.2025'!$I$6:$I$505))</f>
        <v/>
      </c>
      <c r="BQ104" t="str">
        <f t="shared" si="45"/>
        <v/>
      </c>
      <c r="BR104" t="str">
        <f t="shared" si="46"/>
        <v/>
      </c>
      <c r="BS104" t="str">
        <f>IF($C104="","",$BK104*PARAMETRI!$B$4+$BP104)</f>
        <v/>
      </c>
      <c r="BT104">
        <f t="shared" si="47"/>
        <v>0</v>
      </c>
      <c r="BU104">
        <f t="shared" si="48"/>
        <v>0</v>
      </c>
      <c r="BV104" t="str">
        <f>IF($C104="","",SUMIF('MOVIMENTI 2026'!$B$7:$B$4206,$C104,'MOVIMENTI 2026'!$P$7:$P$4206)+SUMIF('SALDI AL 31.12.2025'!$A$6:$A$505,$C104,'SALDI AL 31.12.2025'!$G$6:$G$505))</f>
        <v/>
      </c>
    </row>
    <row r="105" spans="1:74" ht="16" x14ac:dyDescent="0.15">
      <c r="A105" s="17" t="str">
        <f>IFERROR(IF($C105="","",IF(OR($BF105&gt;0,$V105&gt;$J105,AND(ISNUMBER($Q105),$Q105&gt;0),AND($BI105&lt;&gt;"",$BI105&lt;-PARAMETRI!$B$6),AND($BM105&lt;&gt;"",$BM105&gt;=1),AND($BN105&lt;&gt;"",$BN105&gt;PARAMETRI!$B$8),AND(ISNUMBER($BR105),$BR105&gt;0)),"CRITICO",IF(OR($AZ105="",LEFT($C105,5)="TEMP",$BJ105="",$BO105="",ANAGRAFICA!$I102="",ANAGRAFICA!$J102="",$Y105="",AND(OR($I105="Finito ritenute non previste",$I105="Finito con sblocco ritenute",$I105="Finito senza sblocco ritenute"),ANAGRAFICA!$K102=""),OR(AND(ANAGRAFICA!$T102&lt;&gt;"",ANAGRAFICA!$J102&lt;&gt;ANAGRAFICA!$T102,OR(ANAGRAFICA!$R102="",ANAGRAFICA!$R102="Nessuna variazione")),AND(ANAGRAFICA!$J102="",ANAGRAFICA!$R102&lt;&gt;"",ANAGRAFICA!$R102&lt;&gt;"Nessuna variazione")),AND($BI105&lt;&gt;"",$BI105&lt;-PARAMETRI!$B$5),AND($BN105&lt;&gt;"",$BN105&gt;PARAMETRI!$B$7),AND($W105&gt;0,$M105&gt;$W105*PARAMETRI!$B$9),AND($O105&gt;0,OR($I105="Finito ritenute non previste",$I105="Finito con sblocco ritenute",$I105="Finito senza sblocco ritenute")),AND($BA105&gt;0,$BO105&gt;0,$BP105=0),AND(OR($I105="Finito ritenute non previste",$I105="Finito con sblocco ritenute",$I105="Finito senza sblocco ritenute"),$W105&gt;0,$N105&gt;$W105*PARAMETRI!$B$9),$V105&gt;0),"ATTENZIONE","REGOLARE"))),"ATTENZIONE")</f>
        <v/>
      </c>
      <c r="B105" s="17" t="str">
        <f>IFERROR(IF($C105="","",IF($BF105&gt;0,"FATTURATO OLTRE VALORE RECUPERABILE; ","")&amp;IF($V105&gt;$J105,"PERDITE ACCETTATE OLTRE CONTRATTO; ","")&amp;IF($V105&gt;0,"PERDITA SAL ACCETTATA (€ "&amp;TEXT($V105,"#,##0.00")&amp;"); ","")&amp;IF(AND(ISNUMBER($Q105),$Q105&gt;0),"RITARDO PRODUTTIVO ("&amp;TEXT($Q105,"0")&amp;" GG); ","")&amp;IF(AND($BI105&lt;&gt;"",$BI105&lt;-PARAMETRI!$B$5),"AVANZAMENTO PIÙ LENTO DEL TEMPO; ","")&amp;IF(AND($BM105&lt;&gt;"",$BM105&gt;1),"ORE OLTRE BUDGET; ","")&amp;IF(AND($BM105&lt;&gt;"",$BM105=1),"ORE PREVENTIVATE ESAURITE; ","")&amp;IF(AND($BN105&lt;&gt;"",$BN105&gt;PARAMETRI!$B$7),"CONSUMO ORE SUPERIORE ALL'AVANZAMENTO; ","")&amp;IF(AND(ISNUMBER($BR105),$BR105&gt;0),"COSTI DIRETTI OLTRE BUDGET; ","")&amp;IF(AND($W105&gt;0,$M105&gt;$W105*PARAMETRI!$B$9),"SAL MATURATO NON FATTURATO; ","")&amp;IF(AND($O105&gt;0,OR($I105="Finito ritenute non previste",$I105="Finito con sblocco ritenute",$I105="Finito senza sblocco ritenute")),"RITENUTE DA SBLOCCARE; ","")&amp;IF(AND($BA105&gt;0,$BO105&gt;0,$BP105=0),"COSTI DIRETTI NON REGISTRATI; ","")&amp;IF(AND(OR($I105="Finito ritenute non previste",$I105="Finito con sblocco ritenute",$I105="Finito senza sblocco ritenute"),$W105&gt;0,$N105&gt;$W105*PARAMETRI!$B$9),"CANTIERE FINITO CON RESIDUO LAVORI; ","")&amp;IF(AND(OR($I105="Finito ritenute non previste",$I105="Finito con sblocco ritenute",$I105="Finito senza sblocco ritenute"),ANAGRAFICA!$K102=""),"DATA FINE EFFETTIVA MANCANTE; ","")&amp;IF(OR(AND(ANAGRAFICA!$T102&lt;&gt;"",ANAGRAFICA!$J102&lt;&gt;ANAGRAFICA!$T102,OR(ANAGRAFICA!$R102="",ANAGRAFICA!$R102="Nessuna variazione")),AND(ANAGRAFICA!$J102="",ANAGRAFICA!$R102&lt;&gt;"",ANAGRAFICA!$R102&lt;&gt;"Nessuna variazione")),"GESTIONE DATA FINE INCOMPLETA; ","")&amp;IF($Y105="","AGGIORNATO AL MANCANTE; ","")&amp;IF(OR($AZ105="",$BJ105="",$BO105="",ANAGRAFICA!$I102="",ANAGRAFICA!$J102=""),"DATI PREVISIONALI INCOMPLETI; ","")&amp;IF(LEFT($C105,5)="TEMP","CODICE COMMESSA TEMPORANEO; ","")),"DATI INCOMPLETI; ")</f>
        <v/>
      </c>
      <c r="C105" s="17" t="str">
        <f>IF(ANAGRAFICA!$B102="","",ANAGRAFICA!$B102)</f>
        <v/>
      </c>
      <c r="D105" s="17" t="str">
        <f>IF($C105="","",ANAGRAFICA!$C102)</f>
        <v/>
      </c>
      <c r="E105" s="17" t="str">
        <f>IF($C105="","",ANAGRAFICA!$D102)</f>
        <v/>
      </c>
      <c r="F105" s="17" t="str">
        <f>IF($C105="","",ANAGRAFICA!$E102)</f>
        <v/>
      </c>
      <c r="G105" s="17" t="str">
        <f>IF($C105="","",ANAGRAFICA!$F102)</f>
        <v/>
      </c>
      <c r="H105" s="17" t="str">
        <f>IF($C105="","",ANAGRAFICA!$G102)</f>
        <v/>
      </c>
      <c r="I105" s="17" t="str">
        <f>IF($C105="","",ANAGRAFICA!$L102)</f>
        <v/>
      </c>
      <c r="J105" s="16" t="str">
        <f t="shared" si="25"/>
        <v/>
      </c>
      <c r="K105" s="16" t="str">
        <f t="shared" si="26"/>
        <v/>
      </c>
      <c r="L105" s="16" t="str">
        <f t="shared" si="27"/>
        <v/>
      </c>
      <c r="M105" s="16" t="str">
        <f t="shared" si="28"/>
        <v/>
      </c>
      <c r="N105" s="16" t="str">
        <f t="shared" si="29"/>
        <v/>
      </c>
      <c r="O105" s="16" t="str">
        <f t="shared" si="30"/>
        <v/>
      </c>
      <c r="P105" s="17" t="str">
        <f t="shared" si="31"/>
        <v/>
      </c>
      <c r="Q105" s="31" t="str">
        <f>IF(OR($C105="",'BUDGET COMMESSA'!$D102="",'BUDGET COMMESSA'!$D102&lt;=0,ANAGRAFICA!$J102=""),"",IF(OR($I105="Finito ritenute non previste",$I105="Finito con sblocco ritenute",$I105="Finito senza sblocco ritenute"),0,IF(AND($BK105&gt;=$BJ105,ANAGRAFICA!$R102="Ritardo produttivo FIDA"),IF(ANAGRAFICA!$T102&lt;&gt;"",MAX(0,ANAGRAFICA!$J102-ANAGRAFICA!$T102),MAX(0,$Y105-ANAGRAFICA!$J102)),0)))</f>
        <v/>
      </c>
      <c r="R105" s="17" t="str">
        <f t="shared" si="32"/>
        <v/>
      </c>
      <c r="S105" s="17" t="str">
        <f t="shared" si="33"/>
        <v/>
      </c>
      <c r="T105" s="17" t="str">
        <f t="shared" si="34"/>
        <v/>
      </c>
      <c r="U105" s="16" t="str">
        <f t="shared" si="35"/>
        <v/>
      </c>
      <c r="V105" s="16" t="str">
        <f t="shared" si="36"/>
        <v/>
      </c>
      <c r="W105" s="16" t="str">
        <f t="shared" si="37"/>
        <v/>
      </c>
      <c r="X105" s="40"/>
      <c r="Y105" s="14"/>
      <c r="AZ105" t="str">
        <f>IF($C105="","",ANAGRAFICA!$P102)</f>
        <v/>
      </c>
      <c r="BA105" t="str">
        <f>IF($C105="","",SUMIF('MOVIMENTI 2026'!$B$7:$B$4206,$C105,'MOVIMENTI 2026'!$I$7:$I$4206)+SUMIF('SALDI AL 31.12.2025'!$A$6:$A$505,$C105,'SALDI AL 31.12.2025'!$C$6:$C$505))</f>
        <v/>
      </c>
      <c r="BB105" t="str">
        <f>IF($C105="","",SUMIF('MOVIMENTI 2026'!$B$7:$B$4206,$C105,'MOVIMENTI 2026'!$J$7:$J$4206)+SUMIF('SALDI AL 31.12.2025'!$A$6:$A$505,$C105,'SALDI AL 31.12.2025'!$D$6:$D$505))</f>
        <v/>
      </c>
      <c r="BC105" t="str">
        <f>IF($C105="","",SUMIF('MOVIMENTI 2026'!$B$7:$B$4206,$C105,'MOVIMENTI 2026'!$K$7:$K$4206)+SUMIF('SALDI AL 31.12.2025'!$A$6:$A$505,$C105,'SALDI AL 31.12.2025'!$E$6:$E$505))</f>
        <v/>
      </c>
      <c r="BD105" t="str">
        <f>IF($C105="","",SUMIF('MOVIMENTI 2026'!$B$7:$B$4206,$C105,'MOVIMENTI 2026'!$L$7:$L$4206)+SUMIF('SALDI AL 31.12.2025'!$A$6:$A$505,$C105,'SALDI AL 31.12.2025'!$F$6:$F$505))</f>
        <v/>
      </c>
      <c r="BE105" t="str">
        <f t="shared" si="38"/>
        <v/>
      </c>
      <c r="BF105" t="str">
        <f t="shared" si="39"/>
        <v/>
      </c>
      <c r="BG105" t="str">
        <f t="shared" si="40"/>
        <v/>
      </c>
      <c r="BH105" t="str">
        <f>IFERROR(IF(OR($C105="",ANAGRAFICA!$I102="",ANAGRAFICA!$J102="",ANAGRAFICA!$J102&lt;=ANAGRAFICA!$I102,$Y105=""),"",IF(OR($I105="Finito ritenute non previste",$I105="Finito con sblocco ritenute",$I105="Finito senza sblocco ritenute"),1,MAX(0,MIN(1,($Y105-ANAGRAFICA!$I102)/(ANAGRAFICA!$J102-ANAGRAFICA!$I102))))),"")</f>
        <v/>
      </c>
      <c r="BI105" t="str">
        <f t="shared" si="41"/>
        <v/>
      </c>
      <c r="BJ105" t="str">
        <f>IFERROR(IF($C105="","",'BUDGET COMMESSA'!$D102),"")</f>
        <v/>
      </c>
      <c r="BK105" t="str">
        <f>IF($C105="","",SUMIF('MOVIMENTI 2026'!$B$7:$B$4206,$C105,'MOVIMENTI 2026'!$N$7:$N$4206)+SUMIF('SALDI AL 31.12.2025'!$A$6:$A$505,$C105,'SALDI AL 31.12.2025'!$H$6:$H$505))</f>
        <v/>
      </c>
      <c r="BL105" t="str">
        <f t="shared" si="42"/>
        <v/>
      </c>
      <c r="BM105" t="str">
        <f t="shared" si="43"/>
        <v/>
      </c>
      <c r="BN105" t="str">
        <f t="shared" si="44"/>
        <v/>
      </c>
      <c r="BO105" t="str">
        <f>IFERROR(IF($C105="","",'BUDGET COMMESSA'!$G102),"")</f>
        <v/>
      </c>
      <c r="BP105" t="str">
        <f>IF($C105="","",SUMIF('COSTI DIRETTI'!$C$6:$C$505,$C105,'COSTI DIRETTI'!$H$6:$H$505)+SUMIF('SALDI AL 31.12.2025'!$A$6:$A$505,$C105,'SALDI AL 31.12.2025'!$I$6:$I$505))</f>
        <v/>
      </c>
      <c r="BQ105" t="str">
        <f t="shared" si="45"/>
        <v/>
      </c>
      <c r="BR105" t="str">
        <f t="shared" si="46"/>
        <v/>
      </c>
      <c r="BS105" t="str">
        <f>IF($C105="","",$BK105*PARAMETRI!$B$4+$BP105)</f>
        <v/>
      </c>
      <c r="BT105">
        <f t="shared" si="47"/>
        <v>0</v>
      </c>
      <c r="BU105">
        <f t="shared" si="48"/>
        <v>0</v>
      </c>
      <c r="BV105" t="str">
        <f>IF($C105="","",SUMIF('MOVIMENTI 2026'!$B$7:$B$4206,$C105,'MOVIMENTI 2026'!$P$7:$P$4206)+SUMIF('SALDI AL 31.12.2025'!$A$6:$A$505,$C105,'SALDI AL 31.12.2025'!$G$6:$G$505))</f>
        <v/>
      </c>
    </row>
    <row r="106" spans="1:74" ht="16" x14ac:dyDescent="0.15">
      <c r="A106" s="17" t="str">
        <f>IFERROR(IF($C106="","",IF(OR($BF106&gt;0,$V106&gt;$J106,AND(ISNUMBER($Q106),$Q106&gt;0),AND($BI106&lt;&gt;"",$BI106&lt;-PARAMETRI!$B$6),AND($BM106&lt;&gt;"",$BM106&gt;=1),AND($BN106&lt;&gt;"",$BN106&gt;PARAMETRI!$B$8),AND(ISNUMBER($BR106),$BR106&gt;0)),"CRITICO",IF(OR($AZ106="",LEFT($C106,5)="TEMP",$BJ106="",$BO106="",ANAGRAFICA!$I103="",ANAGRAFICA!$J103="",$Y106="",AND(OR($I106="Finito ritenute non previste",$I106="Finito con sblocco ritenute",$I106="Finito senza sblocco ritenute"),ANAGRAFICA!$K103=""),OR(AND(ANAGRAFICA!$T103&lt;&gt;"",ANAGRAFICA!$J103&lt;&gt;ANAGRAFICA!$T103,OR(ANAGRAFICA!$R103="",ANAGRAFICA!$R103="Nessuna variazione")),AND(ANAGRAFICA!$J103="",ANAGRAFICA!$R103&lt;&gt;"",ANAGRAFICA!$R103&lt;&gt;"Nessuna variazione")),AND($BI106&lt;&gt;"",$BI106&lt;-PARAMETRI!$B$5),AND($BN106&lt;&gt;"",$BN106&gt;PARAMETRI!$B$7),AND($W106&gt;0,$M106&gt;$W106*PARAMETRI!$B$9),AND($O106&gt;0,OR($I106="Finito ritenute non previste",$I106="Finito con sblocco ritenute",$I106="Finito senza sblocco ritenute")),AND($BA106&gt;0,$BO106&gt;0,$BP106=0),AND(OR($I106="Finito ritenute non previste",$I106="Finito con sblocco ritenute",$I106="Finito senza sblocco ritenute"),$W106&gt;0,$N106&gt;$W106*PARAMETRI!$B$9),$V106&gt;0),"ATTENZIONE","REGOLARE"))),"ATTENZIONE")</f>
        <v/>
      </c>
      <c r="B106" s="17" t="str">
        <f>IFERROR(IF($C106="","",IF($BF106&gt;0,"FATTURATO OLTRE VALORE RECUPERABILE; ","")&amp;IF($V106&gt;$J106,"PERDITE ACCETTATE OLTRE CONTRATTO; ","")&amp;IF($V106&gt;0,"PERDITA SAL ACCETTATA (€ "&amp;TEXT($V106,"#,##0.00")&amp;"); ","")&amp;IF(AND(ISNUMBER($Q106),$Q106&gt;0),"RITARDO PRODUTTIVO ("&amp;TEXT($Q106,"0")&amp;" GG); ","")&amp;IF(AND($BI106&lt;&gt;"",$BI106&lt;-PARAMETRI!$B$5),"AVANZAMENTO PIÙ LENTO DEL TEMPO; ","")&amp;IF(AND($BM106&lt;&gt;"",$BM106&gt;1),"ORE OLTRE BUDGET; ","")&amp;IF(AND($BM106&lt;&gt;"",$BM106=1),"ORE PREVENTIVATE ESAURITE; ","")&amp;IF(AND($BN106&lt;&gt;"",$BN106&gt;PARAMETRI!$B$7),"CONSUMO ORE SUPERIORE ALL'AVANZAMENTO; ","")&amp;IF(AND(ISNUMBER($BR106),$BR106&gt;0),"COSTI DIRETTI OLTRE BUDGET; ","")&amp;IF(AND($W106&gt;0,$M106&gt;$W106*PARAMETRI!$B$9),"SAL MATURATO NON FATTURATO; ","")&amp;IF(AND($O106&gt;0,OR($I106="Finito ritenute non previste",$I106="Finito con sblocco ritenute",$I106="Finito senza sblocco ritenute")),"RITENUTE DA SBLOCCARE; ","")&amp;IF(AND($BA106&gt;0,$BO106&gt;0,$BP106=0),"COSTI DIRETTI NON REGISTRATI; ","")&amp;IF(AND(OR($I106="Finito ritenute non previste",$I106="Finito con sblocco ritenute",$I106="Finito senza sblocco ritenute"),$W106&gt;0,$N106&gt;$W106*PARAMETRI!$B$9),"CANTIERE FINITO CON RESIDUO LAVORI; ","")&amp;IF(AND(OR($I106="Finito ritenute non previste",$I106="Finito con sblocco ritenute",$I106="Finito senza sblocco ritenute"),ANAGRAFICA!$K103=""),"DATA FINE EFFETTIVA MANCANTE; ","")&amp;IF(OR(AND(ANAGRAFICA!$T103&lt;&gt;"",ANAGRAFICA!$J103&lt;&gt;ANAGRAFICA!$T103,OR(ANAGRAFICA!$R103="",ANAGRAFICA!$R103="Nessuna variazione")),AND(ANAGRAFICA!$J103="",ANAGRAFICA!$R103&lt;&gt;"",ANAGRAFICA!$R103&lt;&gt;"Nessuna variazione")),"GESTIONE DATA FINE INCOMPLETA; ","")&amp;IF($Y106="","AGGIORNATO AL MANCANTE; ","")&amp;IF(OR($AZ106="",$BJ106="",$BO106="",ANAGRAFICA!$I103="",ANAGRAFICA!$J103=""),"DATI PREVISIONALI INCOMPLETI; ","")&amp;IF(LEFT($C106,5)="TEMP","CODICE COMMESSA TEMPORANEO; ","")),"DATI INCOMPLETI; ")</f>
        <v/>
      </c>
      <c r="C106" s="17" t="str">
        <f>IF(ANAGRAFICA!$B103="","",ANAGRAFICA!$B103)</f>
        <v/>
      </c>
      <c r="D106" s="17" t="str">
        <f>IF($C106="","",ANAGRAFICA!$C103)</f>
        <v/>
      </c>
      <c r="E106" s="17" t="str">
        <f>IF($C106="","",ANAGRAFICA!$D103)</f>
        <v/>
      </c>
      <c r="F106" s="17" t="str">
        <f>IF($C106="","",ANAGRAFICA!$E103)</f>
        <v/>
      </c>
      <c r="G106" s="17" t="str">
        <f>IF($C106="","",ANAGRAFICA!$F103)</f>
        <v/>
      </c>
      <c r="H106" s="17" t="str">
        <f>IF($C106="","",ANAGRAFICA!$G103)</f>
        <v/>
      </c>
      <c r="I106" s="17" t="str">
        <f>IF($C106="","",ANAGRAFICA!$L103)</f>
        <v/>
      </c>
      <c r="J106" s="16" t="str">
        <f t="shared" si="25"/>
        <v/>
      </c>
      <c r="K106" s="16" t="str">
        <f t="shared" si="26"/>
        <v/>
      </c>
      <c r="L106" s="16" t="str">
        <f t="shared" si="27"/>
        <v/>
      </c>
      <c r="M106" s="16" t="str">
        <f t="shared" si="28"/>
        <v/>
      </c>
      <c r="N106" s="16" t="str">
        <f t="shared" si="29"/>
        <v/>
      </c>
      <c r="O106" s="16" t="str">
        <f t="shared" si="30"/>
        <v/>
      </c>
      <c r="P106" s="17" t="str">
        <f t="shared" si="31"/>
        <v/>
      </c>
      <c r="Q106" s="31" t="str">
        <f>IF(OR($C106="",'BUDGET COMMESSA'!$D103="",'BUDGET COMMESSA'!$D103&lt;=0,ANAGRAFICA!$J103=""),"",IF(OR($I106="Finito ritenute non previste",$I106="Finito con sblocco ritenute",$I106="Finito senza sblocco ritenute"),0,IF(AND($BK106&gt;=$BJ106,ANAGRAFICA!$R103="Ritardo produttivo FIDA"),IF(ANAGRAFICA!$T103&lt;&gt;"",MAX(0,ANAGRAFICA!$J103-ANAGRAFICA!$T103),MAX(0,$Y106-ANAGRAFICA!$J103)),0)))</f>
        <v/>
      </c>
      <c r="R106" s="17" t="str">
        <f t="shared" si="32"/>
        <v/>
      </c>
      <c r="S106" s="17" t="str">
        <f t="shared" si="33"/>
        <v/>
      </c>
      <c r="T106" s="17" t="str">
        <f t="shared" si="34"/>
        <v/>
      </c>
      <c r="U106" s="16" t="str">
        <f t="shared" si="35"/>
        <v/>
      </c>
      <c r="V106" s="16" t="str">
        <f t="shared" si="36"/>
        <v/>
      </c>
      <c r="W106" s="16" t="str">
        <f t="shared" si="37"/>
        <v/>
      </c>
      <c r="X106" s="40"/>
      <c r="Y106" s="14"/>
      <c r="AZ106" t="str">
        <f>IF($C106="","",ANAGRAFICA!$P103)</f>
        <v/>
      </c>
      <c r="BA106" t="str">
        <f>IF($C106="","",SUMIF('MOVIMENTI 2026'!$B$7:$B$4206,$C106,'MOVIMENTI 2026'!$I$7:$I$4206)+SUMIF('SALDI AL 31.12.2025'!$A$6:$A$505,$C106,'SALDI AL 31.12.2025'!$C$6:$C$505))</f>
        <v/>
      </c>
      <c r="BB106" t="str">
        <f>IF($C106="","",SUMIF('MOVIMENTI 2026'!$B$7:$B$4206,$C106,'MOVIMENTI 2026'!$J$7:$J$4206)+SUMIF('SALDI AL 31.12.2025'!$A$6:$A$505,$C106,'SALDI AL 31.12.2025'!$D$6:$D$505))</f>
        <v/>
      </c>
      <c r="BC106" t="str">
        <f>IF($C106="","",SUMIF('MOVIMENTI 2026'!$B$7:$B$4206,$C106,'MOVIMENTI 2026'!$K$7:$K$4206)+SUMIF('SALDI AL 31.12.2025'!$A$6:$A$505,$C106,'SALDI AL 31.12.2025'!$E$6:$E$505))</f>
        <v/>
      </c>
      <c r="BD106" t="str">
        <f>IF($C106="","",SUMIF('MOVIMENTI 2026'!$B$7:$B$4206,$C106,'MOVIMENTI 2026'!$L$7:$L$4206)+SUMIF('SALDI AL 31.12.2025'!$A$6:$A$505,$C106,'SALDI AL 31.12.2025'!$F$6:$F$505))</f>
        <v/>
      </c>
      <c r="BE106" t="str">
        <f t="shared" si="38"/>
        <v/>
      </c>
      <c r="BF106" t="str">
        <f t="shared" si="39"/>
        <v/>
      </c>
      <c r="BG106" t="str">
        <f t="shared" si="40"/>
        <v/>
      </c>
      <c r="BH106" t="str">
        <f>IFERROR(IF(OR($C106="",ANAGRAFICA!$I103="",ANAGRAFICA!$J103="",ANAGRAFICA!$J103&lt;=ANAGRAFICA!$I103,$Y106=""),"",IF(OR($I106="Finito ritenute non previste",$I106="Finito con sblocco ritenute",$I106="Finito senza sblocco ritenute"),1,MAX(0,MIN(1,($Y106-ANAGRAFICA!$I103)/(ANAGRAFICA!$J103-ANAGRAFICA!$I103))))),"")</f>
        <v/>
      </c>
      <c r="BI106" t="str">
        <f t="shared" si="41"/>
        <v/>
      </c>
      <c r="BJ106" t="str">
        <f>IFERROR(IF($C106="","",'BUDGET COMMESSA'!$D103),"")</f>
        <v/>
      </c>
      <c r="BK106" t="str">
        <f>IF($C106="","",SUMIF('MOVIMENTI 2026'!$B$7:$B$4206,$C106,'MOVIMENTI 2026'!$N$7:$N$4206)+SUMIF('SALDI AL 31.12.2025'!$A$6:$A$505,$C106,'SALDI AL 31.12.2025'!$H$6:$H$505))</f>
        <v/>
      </c>
      <c r="BL106" t="str">
        <f t="shared" si="42"/>
        <v/>
      </c>
      <c r="BM106" t="str">
        <f t="shared" si="43"/>
        <v/>
      </c>
      <c r="BN106" t="str">
        <f t="shared" si="44"/>
        <v/>
      </c>
      <c r="BO106" t="str">
        <f>IFERROR(IF($C106="","",'BUDGET COMMESSA'!$G103),"")</f>
        <v/>
      </c>
      <c r="BP106" t="str">
        <f>IF($C106="","",SUMIF('COSTI DIRETTI'!$C$6:$C$505,$C106,'COSTI DIRETTI'!$H$6:$H$505)+SUMIF('SALDI AL 31.12.2025'!$A$6:$A$505,$C106,'SALDI AL 31.12.2025'!$I$6:$I$505))</f>
        <v/>
      </c>
      <c r="BQ106" t="str">
        <f t="shared" si="45"/>
        <v/>
      </c>
      <c r="BR106" t="str">
        <f t="shared" si="46"/>
        <v/>
      </c>
      <c r="BS106" t="str">
        <f>IF($C106="","",$BK106*PARAMETRI!$B$4+$BP106)</f>
        <v/>
      </c>
      <c r="BT106">
        <f t="shared" si="47"/>
        <v>0</v>
      </c>
      <c r="BU106">
        <f t="shared" si="48"/>
        <v>0</v>
      </c>
      <c r="BV106" t="str">
        <f>IF($C106="","",SUMIF('MOVIMENTI 2026'!$B$7:$B$4206,$C106,'MOVIMENTI 2026'!$P$7:$P$4206)+SUMIF('SALDI AL 31.12.2025'!$A$6:$A$505,$C106,'SALDI AL 31.12.2025'!$G$6:$G$505))</f>
        <v/>
      </c>
    </row>
    <row r="107" spans="1:74" ht="16" x14ac:dyDescent="0.15">
      <c r="A107" s="17" t="str">
        <f>IFERROR(IF($C107="","",IF(OR($BF107&gt;0,$V107&gt;$J107,AND(ISNUMBER($Q107),$Q107&gt;0),AND($BI107&lt;&gt;"",$BI107&lt;-PARAMETRI!$B$6),AND($BM107&lt;&gt;"",$BM107&gt;=1),AND($BN107&lt;&gt;"",$BN107&gt;PARAMETRI!$B$8),AND(ISNUMBER($BR107),$BR107&gt;0)),"CRITICO",IF(OR($AZ107="",LEFT($C107,5)="TEMP",$BJ107="",$BO107="",ANAGRAFICA!$I104="",ANAGRAFICA!$J104="",$Y107="",AND(OR($I107="Finito ritenute non previste",$I107="Finito con sblocco ritenute",$I107="Finito senza sblocco ritenute"),ANAGRAFICA!$K104=""),OR(AND(ANAGRAFICA!$T104&lt;&gt;"",ANAGRAFICA!$J104&lt;&gt;ANAGRAFICA!$T104,OR(ANAGRAFICA!$R104="",ANAGRAFICA!$R104="Nessuna variazione")),AND(ANAGRAFICA!$J104="",ANAGRAFICA!$R104&lt;&gt;"",ANAGRAFICA!$R104&lt;&gt;"Nessuna variazione")),AND($BI107&lt;&gt;"",$BI107&lt;-PARAMETRI!$B$5),AND($BN107&lt;&gt;"",$BN107&gt;PARAMETRI!$B$7),AND($W107&gt;0,$M107&gt;$W107*PARAMETRI!$B$9),AND($O107&gt;0,OR($I107="Finito ritenute non previste",$I107="Finito con sblocco ritenute",$I107="Finito senza sblocco ritenute")),AND($BA107&gt;0,$BO107&gt;0,$BP107=0),AND(OR($I107="Finito ritenute non previste",$I107="Finito con sblocco ritenute",$I107="Finito senza sblocco ritenute"),$W107&gt;0,$N107&gt;$W107*PARAMETRI!$B$9),$V107&gt;0),"ATTENZIONE","REGOLARE"))),"ATTENZIONE")</f>
        <v/>
      </c>
      <c r="B107" s="17" t="str">
        <f>IFERROR(IF($C107="","",IF($BF107&gt;0,"FATTURATO OLTRE VALORE RECUPERABILE; ","")&amp;IF($V107&gt;$J107,"PERDITE ACCETTATE OLTRE CONTRATTO; ","")&amp;IF($V107&gt;0,"PERDITA SAL ACCETTATA (€ "&amp;TEXT($V107,"#,##0.00")&amp;"); ","")&amp;IF(AND(ISNUMBER($Q107),$Q107&gt;0),"RITARDO PRODUTTIVO ("&amp;TEXT($Q107,"0")&amp;" GG); ","")&amp;IF(AND($BI107&lt;&gt;"",$BI107&lt;-PARAMETRI!$B$5),"AVANZAMENTO PIÙ LENTO DEL TEMPO; ","")&amp;IF(AND($BM107&lt;&gt;"",$BM107&gt;1),"ORE OLTRE BUDGET; ","")&amp;IF(AND($BM107&lt;&gt;"",$BM107=1),"ORE PREVENTIVATE ESAURITE; ","")&amp;IF(AND($BN107&lt;&gt;"",$BN107&gt;PARAMETRI!$B$7),"CONSUMO ORE SUPERIORE ALL'AVANZAMENTO; ","")&amp;IF(AND(ISNUMBER($BR107),$BR107&gt;0),"COSTI DIRETTI OLTRE BUDGET; ","")&amp;IF(AND($W107&gt;0,$M107&gt;$W107*PARAMETRI!$B$9),"SAL MATURATO NON FATTURATO; ","")&amp;IF(AND($O107&gt;0,OR($I107="Finito ritenute non previste",$I107="Finito con sblocco ritenute",$I107="Finito senza sblocco ritenute")),"RITENUTE DA SBLOCCARE; ","")&amp;IF(AND($BA107&gt;0,$BO107&gt;0,$BP107=0),"COSTI DIRETTI NON REGISTRATI; ","")&amp;IF(AND(OR($I107="Finito ritenute non previste",$I107="Finito con sblocco ritenute",$I107="Finito senza sblocco ritenute"),$W107&gt;0,$N107&gt;$W107*PARAMETRI!$B$9),"CANTIERE FINITO CON RESIDUO LAVORI; ","")&amp;IF(AND(OR($I107="Finito ritenute non previste",$I107="Finito con sblocco ritenute",$I107="Finito senza sblocco ritenute"),ANAGRAFICA!$K104=""),"DATA FINE EFFETTIVA MANCANTE; ","")&amp;IF(OR(AND(ANAGRAFICA!$T104&lt;&gt;"",ANAGRAFICA!$J104&lt;&gt;ANAGRAFICA!$T104,OR(ANAGRAFICA!$R104="",ANAGRAFICA!$R104="Nessuna variazione")),AND(ANAGRAFICA!$J104="",ANAGRAFICA!$R104&lt;&gt;"",ANAGRAFICA!$R104&lt;&gt;"Nessuna variazione")),"GESTIONE DATA FINE INCOMPLETA; ","")&amp;IF($Y107="","AGGIORNATO AL MANCANTE; ","")&amp;IF(OR($AZ107="",$BJ107="",$BO107="",ANAGRAFICA!$I104="",ANAGRAFICA!$J104=""),"DATI PREVISIONALI INCOMPLETI; ","")&amp;IF(LEFT($C107,5)="TEMP","CODICE COMMESSA TEMPORANEO; ","")),"DATI INCOMPLETI; ")</f>
        <v/>
      </c>
      <c r="C107" s="17" t="str">
        <f>IF(ANAGRAFICA!$B104="","",ANAGRAFICA!$B104)</f>
        <v/>
      </c>
      <c r="D107" s="17" t="str">
        <f>IF($C107="","",ANAGRAFICA!$C104)</f>
        <v/>
      </c>
      <c r="E107" s="17" t="str">
        <f>IF($C107="","",ANAGRAFICA!$D104)</f>
        <v/>
      </c>
      <c r="F107" s="17" t="str">
        <f>IF($C107="","",ANAGRAFICA!$E104)</f>
        <v/>
      </c>
      <c r="G107" s="17" t="str">
        <f>IF($C107="","",ANAGRAFICA!$F104)</f>
        <v/>
      </c>
      <c r="H107" s="17" t="str">
        <f>IF($C107="","",ANAGRAFICA!$G104)</f>
        <v/>
      </c>
      <c r="I107" s="17" t="str">
        <f>IF($C107="","",ANAGRAFICA!$L104)</f>
        <v/>
      </c>
      <c r="J107" s="16" t="str">
        <f t="shared" si="25"/>
        <v/>
      </c>
      <c r="K107" s="16" t="str">
        <f t="shared" si="26"/>
        <v/>
      </c>
      <c r="L107" s="16" t="str">
        <f t="shared" si="27"/>
        <v/>
      </c>
      <c r="M107" s="16" t="str">
        <f t="shared" si="28"/>
        <v/>
      </c>
      <c r="N107" s="16" t="str">
        <f t="shared" si="29"/>
        <v/>
      </c>
      <c r="O107" s="16" t="str">
        <f t="shared" si="30"/>
        <v/>
      </c>
      <c r="P107" s="17" t="str">
        <f t="shared" si="31"/>
        <v/>
      </c>
      <c r="Q107" s="31" t="str">
        <f>IF(OR($C107="",'BUDGET COMMESSA'!$D104="",'BUDGET COMMESSA'!$D104&lt;=0,ANAGRAFICA!$J104=""),"",IF(OR($I107="Finito ritenute non previste",$I107="Finito con sblocco ritenute",$I107="Finito senza sblocco ritenute"),0,IF(AND($BK107&gt;=$BJ107,ANAGRAFICA!$R104="Ritardo produttivo FIDA"),IF(ANAGRAFICA!$T104&lt;&gt;"",MAX(0,ANAGRAFICA!$J104-ANAGRAFICA!$T104),MAX(0,$Y107-ANAGRAFICA!$J104)),0)))</f>
        <v/>
      </c>
      <c r="R107" s="17" t="str">
        <f t="shared" si="32"/>
        <v/>
      </c>
      <c r="S107" s="17" t="str">
        <f t="shared" si="33"/>
        <v/>
      </c>
      <c r="T107" s="17" t="str">
        <f t="shared" si="34"/>
        <v/>
      </c>
      <c r="U107" s="16" t="str">
        <f t="shared" si="35"/>
        <v/>
      </c>
      <c r="V107" s="16" t="str">
        <f t="shared" si="36"/>
        <v/>
      </c>
      <c r="W107" s="16" t="str">
        <f t="shared" si="37"/>
        <v/>
      </c>
      <c r="X107" s="40"/>
      <c r="Y107" s="14"/>
      <c r="AZ107" t="str">
        <f>IF($C107="","",ANAGRAFICA!$P104)</f>
        <v/>
      </c>
      <c r="BA107" t="str">
        <f>IF($C107="","",SUMIF('MOVIMENTI 2026'!$B$7:$B$4206,$C107,'MOVIMENTI 2026'!$I$7:$I$4206)+SUMIF('SALDI AL 31.12.2025'!$A$6:$A$505,$C107,'SALDI AL 31.12.2025'!$C$6:$C$505))</f>
        <v/>
      </c>
      <c r="BB107" t="str">
        <f>IF($C107="","",SUMIF('MOVIMENTI 2026'!$B$7:$B$4206,$C107,'MOVIMENTI 2026'!$J$7:$J$4206)+SUMIF('SALDI AL 31.12.2025'!$A$6:$A$505,$C107,'SALDI AL 31.12.2025'!$D$6:$D$505))</f>
        <v/>
      </c>
      <c r="BC107" t="str">
        <f>IF($C107="","",SUMIF('MOVIMENTI 2026'!$B$7:$B$4206,$C107,'MOVIMENTI 2026'!$K$7:$K$4206)+SUMIF('SALDI AL 31.12.2025'!$A$6:$A$505,$C107,'SALDI AL 31.12.2025'!$E$6:$E$505))</f>
        <v/>
      </c>
      <c r="BD107" t="str">
        <f>IF($C107="","",SUMIF('MOVIMENTI 2026'!$B$7:$B$4206,$C107,'MOVIMENTI 2026'!$L$7:$L$4206)+SUMIF('SALDI AL 31.12.2025'!$A$6:$A$505,$C107,'SALDI AL 31.12.2025'!$F$6:$F$505))</f>
        <v/>
      </c>
      <c r="BE107" t="str">
        <f t="shared" si="38"/>
        <v/>
      </c>
      <c r="BF107" t="str">
        <f t="shared" si="39"/>
        <v/>
      </c>
      <c r="BG107" t="str">
        <f t="shared" si="40"/>
        <v/>
      </c>
      <c r="BH107" t="str">
        <f>IFERROR(IF(OR($C107="",ANAGRAFICA!$I104="",ANAGRAFICA!$J104="",ANAGRAFICA!$J104&lt;=ANAGRAFICA!$I104,$Y107=""),"",IF(OR($I107="Finito ritenute non previste",$I107="Finito con sblocco ritenute",$I107="Finito senza sblocco ritenute"),1,MAX(0,MIN(1,($Y107-ANAGRAFICA!$I104)/(ANAGRAFICA!$J104-ANAGRAFICA!$I104))))),"")</f>
        <v/>
      </c>
      <c r="BI107" t="str">
        <f t="shared" si="41"/>
        <v/>
      </c>
      <c r="BJ107" t="str">
        <f>IFERROR(IF($C107="","",'BUDGET COMMESSA'!$D104),"")</f>
        <v/>
      </c>
      <c r="BK107" t="str">
        <f>IF($C107="","",SUMIF('MOVIMENTI 2026'!$B$7:$B$4206,$C107,'MOVIMENTI 2026'!$N$7:$N$4206)+SUMIF('SALDI AL 31.12.2025'!$A$6:$A$505,$C107,'SALDI AL 31.12.2025'!$H$6:$H$505))</f>
        <v/>
      </c>
      <c r="BL107" t="str">
        <f t="shared" si="42"/>
        <v/>
      </c>
      <c r="BM107" t="str">
        <f t="shared" si="43"/>
        <v/>
      </c>
      <c r="BN107" t="str">
        <f t="shared" si="44"/>
        <v/>
      </c>
      <c r="BO107" t="str">
        <f>IFERROR(IF($C107="","",'BUDGET COMMESSA'!$G104),"")</f>
        <v/>
      </c>
      <c r="BP107" t="str">
        <f>IF($C107="","",SUMIF('COSTI DIRETTI'!$C$6:$C$505,$C107,'COSTI DIRETTI'!$H$6:$H$505)+SUMIF('SALDI AL 31.12.2025'!$A$6:$A$505,$C107,'SALDI AL 31.12.2025'!$I$6:$I$505))</f>
        <v/>
      </c>
      <c r="BQ107" t="str">
        <f t="shared" si="45"/>
        <v/>
      </c>
      <c r="BR107" t="str">
        <f t="shared" si="46"/>
        <v/>
      </c>
      <c r="BS107" t="str">
        <f>IF($C107="","",$BK107*PARAMETRI!$B$4+$BP107)</f>
        <v/>
      </c>
      <c r="BT107">
        <f t="shared" si="47"/>
        <v>0</v>
      </c>
      <c r="BU107">
        <f t="shared" si="48"/>
        <v>0</v>
      </c>
      <c r="BV107" t="str">
        <f>IF($C107="","",SUMIF('MOVIMENTI 2026'!$B$7:$B$4206,$C107,'MOVIMENTI 2026'!$P$7:$P$4206)+SUMIF('SALDI AL 31.12.2025'!$A$6:$A$505,$C107,'SALDI AL 31.12.2025'!$G$6:$G$505))</f>
        <v/>
      </c>
    </row>
    <row r="108" spans="1:74" ht="16" x14ac:dyDescent="0.15">
      <c r="A108" s="17" t="str">
        <f>IFERROR(IF($C108="","",IF(OR($BF108&gt;0,$V108&gt;$J108,AND(ISNUMBER($Q108),$Q108&gt;0),AND($BI108&lt;&gt;"",$BI108&lt;-PARAMETRI!$B$6),AND($BM108&lt;&gt;"",$BM108&gt;=1),AND($BN108&lt;&gt;"",$BN108&gt;PARAMETRI!$B$8),AND(ISNUMBER($BR108),$BR108&gt;0)),"CRITICO",IF(OR($AZ108="",LEFT($C108,5)="TEMP",$BJ108="",$BO108="",ANAGRAFICA!$I105="",ANAGRAFICA!$J105="",$Y108="",AND(OR($I108="Finito ritenute non previste",$I108="Finito con sblocco ritenute",$I108="Finito senza sblocco ritenute"),ANAGRAFICA!$K105=""),OR(AND(ANAGRAFICA!$T105&lt;&gt;"",ANAGRAFICA!$J105&lt;&gt;ANAGRAFICA!$T105,OR(ANAGRAFICA!$R105="",ANAGRAFICA!$R105="Nessuna variazione")),AND(ANAGRAFICA!$J105="",ANAGRAFICA!$R105&lt;&gt;"",ANAGRAFICA!$R105&lt;&gt;"Nessuna variazione")),AND($BI108&lt;&gt;"",$BI108&lt;-PARAMETRI!$B$5),AND($BN108&lt;&gt;"",$BN108&gt;PARAMETRI!$B$7),AND($W108&gt;0,$M108&gt;$W108*PARAMETRI!$B$9),AND($O108&gt;0,OR($I108="Finito ritenute non previste",$I108="Finito con sblocco ritenute",$I108="Finito senza sblocco ritenute")),AND($BA108&gt;0,$BO108&gt;0,$BP108=0),AND(OR($I108="Finito ritenute non previste",$I108="Finito con sblocco ritenute",$I108="Finito senza sblocco ritenute"),$W108&gt;0,$N108&gt;$W108*PARAMETRI!$B$9),$V108&gt;0),"ATTENZIONE","REGOLARE"))),"ATTENZIONE")</f>
        <v/>
      </c>
      <c r="B108" s="17" t="str">
        <f>IFERROR(IF($C108="","",IF($BF108&gt;0,"FATTURATO OLTRE VALORE RECUPERABILE; ","")&amp;IF($V108&gt;$J108,"PERDITE ACCETTATE OLTRE CONTRATTO; ","")&amp;IF($V108&gt;0,"PERDITA SAL ACCETTATA (€ "&amp;TEXT($V108,"#,##0.00")&amp;"); ","")&amp;IF(AND(ISNUMBER($Q108),$Q108&gt;0),"RITARDO PRODUTTIVO ("&amp;TEXT($Q108,"0")&amp;" GG); ","")&amp;IF(AND($BI108&lt;&gt;"",$BI108&lt;-PARAMETRI!$B$5),"AVANZAMENTO PIÙ LENTO DEL TEMPO; ","")&amp;IF(AND($BM108&lt;&gt;"",$BM108&gt;1),"ORE OLTRE BUDGET; ","")&amp;IF(AND($BM108&lt;&gt;"",$BM108=1),"ORE PREVENTIVATE ESAURITE; ","")&amp;IF(AND($BN108&lt;&gt;"",$BN108&gt;PARAMETRI!$B$7),"CONSUMO ORE SUPERIORE ALL'AVANZAMENTO; ","")&amp;IF(AND(ISNUMBER($BR108),$BR108&gt;0),"COSTI DIRETTI OLTRE BUDGET; ","")&amp;IF(AND($W108&gt;0,$M108&gt;$W108*PARAMETRI!$B$9),"SAL MATURATO NON FATTURATO; ","")&amp;IF(AND($O108&gt;0,OR($I108="Finito ritenute non previste",$I108="Finito con sblocco ritenute",$I108="Finito senza sblocco ritenute")),"RITENUTE DA SBLOCCARE; ","")&amp;IF(AND($BA108&gt;0,$BO108&gt;0,$BP108=0),"COSTI DIRETTI NON REGISTRATI; ","")&amp;IF(AND(OR($I108="Finito ritenute non previste",$I108="Finito con sblocco ritenute",$I108="Finito senza sblocco ritenute"),$W108&gt;0,$N108&gt;$W108*PARAMETRI!$B$9),"CANTIERE FINITO CON RESIDUO LAVORI; ","")&amp;IF(AND(OR($I108="Finito ritenute non previste",$I108="Finito con sblocco ritenute",$I108="Finito senza sblocco ritenute"),ANAGRAFICA!$K105=""),"DATA FINE EFFETTIVA MANCANTE; ","")&amp;IF(OR(AND(ANAGRAFICA!$T105&lt;&gt;"",ANAGRAFICA!$J105&lt;&gt;ANAGRAFICA!$T105,OR(ANAGRAFICA!$R105="",ANAGRAFICA!$R105="Nessuna variazione")),AND(ANAGRAFICA!$J105="",ANAGRAFICA!$R105&lt;&gt;"",ANAGRAFICA!$R105&lt;&gt;"Nessuna variazione")),"GESTIONE DATA FINE INCOMPLETA; ","")&amp;IF($Y108="","AGGIORNATO AL MANCANTE; ","")&amp;IF(OR($AZ108="",$BJ108="",$BO108="",ANAGRAFICA!$I105="",ANAGRAFICA!$J105=""),"DATI PREVISIONALI INCOMPLETI; ","")&amp;IF(LEFT($C108,5)="TEMP","CODICE COMMESSA TEMPORANEO; ","")),"DATI INCOMPLETI; ")</f>
        <v/>
      </c>
      <c r="C108" s="17" t="str">
        <f>IF(ANAGRAFICA!$B105="","",ANAGRAFICA!$B105)</f>
        <v/>
      </c>
      <c r="D108" s="17" t="str">
        <f>IF($C108="","",ANAGRAFICA!$C105)</f>
        <v/>
      </c>
      <c r="E108" s="17" t="str">
        <f>IF($C108="","",ANAGRAFICA!$D105)</f>
        <v/>
      </c>
      <c r="F108" s="17" t="str">
        <f>IF($C108="","",ANAGRAFICA!$E105)</f>
        <v/>
      </c>
      <c r="G108" s="17" t="str">
        <f>IF($C108="","",ANAGRAFICA!$F105)</f>
        <v/>
      </c>
      <c r="H108" s="17" t="str">
        <f>IF($C108="","",ANAGRAFICA!$G105)</f>
        <v/>
      </c>
      <c r="I108" s="17" t="str">
        <f>IF($C108="","",ANAGRAFICA!$L105)</f>
        <v/>
      </c>
      <c r="J108" s="16" t="str">
        <f t="shared" si="25"/>
        <v/>
      </c>
      <c r="K108" s="16" t="str">
        <f t="shared" si="26"/>
        <v/>
      </c>
      <c r="L108" s="16" t="str">
        <f t="shared" si="27"/>
        <v/>
      </c>
      <c r="M108" s="16" t="str">
        <f t="shared" si="28"/>
        <v/>
      </c>
      <c r="N108" s="16" t="str">
        <f t="shared" si="29"/>
        <v/>
      </c>
      <c r="O108" s="16" t="str">
        <f t="shared" si="30"/>
        <v/>
      </c>
      <c r="P108" s="17" t="str">
        <f t="shared" si="31"/>
        <v/>
      </c>
      <c r="Q108" s="31" t="str">
        <f>IF(OR($C108="",'BUDGET COMMESSA'!$D105="",'BUDGET COMMESSA'!$D105&lt;=0,ANAGRAFICA!$J105=""),"",IF(OR($I108="Finito ritenute non previste",$I108="Finito con sblocco ritenute",$I108="Finito senza sblocco ritenute"),0,IF(AND($BK108&gt;=$BJ108,ANAGRAFICA!$R105="Ritardo produttivo FIDA"),IF(ANAGRAFICA!$T105&lt;&gt;"",MAX(0,ANAGRAFICA!$J105-ANAGRAFICA!$T105),MAX(0,$Y108-ANAGRAFICA!$J105)),0)))</f>
        <v/>
      </c>
      <c r="R108" s="17" t="str">
        <f t="shared" si="32"/>
        <v/>
      </c>
      <c r="S108" s="17" t="str">
        <f t="shared" si="33"/>
        <v/>
      </c>
      <c r="T108" s="17" t="str">
        <f t="shared" si="34"/>
        <v/>
      </c>
      <c r="U108" s="16" t="str">
        <f t="shared" si="35"/>
        <v/>
      </c>
      <c r="V108" s="16" t="str">
        <f t="shared" si="36"/>
        <v/>
      </c>
      <c r="W108" s="16" t="str">
        <f t="shared" si="37"/>
        <v/>
      </c>
      <c r="X108" s="40"/>
      <c r="Y108" s="14"/>
      <c r="AZ108" t="str">
        <f>IF($C108="","",ANAGRAFICA!$P105)</f>
        <v/>
      </c>
      <c r="BA108" t="str">
        <f>IF($C108="","",SUMIF('MOVIMENTI 2026'!$B$7:$B$4206,$C108,'MOVIMENTI 2026'!$I$7:$I$4206)+SUMIF('SALDI AL 31.12.2025'!$A$6:$A$505,$C108,'SALDI AL 31.12.2025'!$C$6:$C$505))</f>
        <v/>
      </c>
      <c r="BB108" t="str">
        <f>IF($C108="","",SUMIF('MOVIMENTI 2026'!$B$7:$B$4206,$C108,'MOVIMENTI 2026'!$J$7:$J$4206)+SUMIF('SALDI AL 31.12.2025'!$A$6:$A$505,$C108,'SALDI AL 31.12.2025'!$D$6:$D$505))</f>
        <v/>
      </c>
      <c r="BC108" t="str">
        <f>IF($C108="","",SUMIF('MOVIMENTI 2026'!$B$7:$B$4206,$C108,'MOVIMENTI 2026'!$K$7:$K$4206)+SUMIF('SALDI AL 31.12.2025'!$A$6:$A$505,$C108,'SALDI AL 31.12.2025'!$E$6:$E$505))</f>
        <v/>
      </c>
      <c r="BD108" t="str">
        <f>IF($C108="","",SUMIF('MOVIMENTI 2026'!$B$7:$B$4206,$C108,'MOVIMENTI 2026'!$L$7:$L$4206)+SUMIF('SALDI AL 31.12.2025'!$A$6:$A$505,$C108,'SALDI AL 31.12.2025'!$F$6:$F$505))</f>
        <v/>
      </c>
      <c r="BE108" t="str">
        <f t="shared" si="38"/>
        <v/>
      </c>
      <c r="BF108" t="str">
        <f t="shared" si="39"/>
        <v/>
      </c>
      <c r="BG108" t="str">
        <f t="shared" si="40"/>
        <v/>
      </c>
      <c r="BH108" t="str">
        <f>IFERROR(IF(OR($C108="",ANAGRAFICA!$I105="",ANAGRAFICA!$J105="",ANAGRAFICA!$J105&lt;=ANAGRAFICA!$I105,$Y108=""),"",IF(OR($I108="Finito ritenute non previste",$I108="Finito con sblocco ritenute",$I108="Finito senza sblocco ritenute"),1,MAX(0,MIN(1,($Y108-ANAGRAFICA!$I105)/(ANAGRAFICA!$J105-ANAGRAFICA!$I105))))),"")</f>
        <v/>
      </c>
      <c r="BI108" t="str">
        <f t="shared" si="41"/>
        <v/>
      </c>
      <c r="BJ108" t="str">
        <f>IFERROR(IF($C108="","",'BUDGET COMMESSA'!$D105),"")</f>
        <v/>
      </c>
      <c r="BK108" t="str">
        <f>IF($C108="","",SUMIF('MOVIMENTI 2026'!$B$7:$B$4206,$C108,'MOVIMENTI 2026'!$N$7:$N$4206)+SUMIF('SALDI AL 31.12.2025'!$A$6:$A$505,$C108,'SALDI AL 31.12.2025'!$H$6:$H$505))</f>
        <v/>
      </c>
      <c r="BL108" t="str">
        <f t="shared" si="42"/>
        <v/>
      </c>
      <c r="BM108" t="str">
        <f t="shared" si="43"/>
        <v/>
      </c>
      <c r="BN108" t="str">
        <f t="shared" si="44"/>
        <v/>
      </c>
      <c r="BO108" t="str">
        <f>IFERROR(IF($C108="","",'BUDGET COMMESSA'!$G105),"")</f>
        <v/>
      </c>
      <c r="BP108" t="str">
        <f>IF($C108="","",SUMIF('COSTI DIRETTI'!$C$6:$C$505,$C108,'COSTI DIRETTI'!$H$6:$H$505)+SUMIF('SALDI AL 31.12.2025'!$A$6:$A$505,$C108,'SALDI AL 31.12.2025'!$I$6:$I$505))</f>
        <v/>
      </c>
      <c r="BQ108" t="str">
        <f t="shared" si="45"/>
        <v/>
      </c>
      <c r="BR108" t="str">
        <f t="shared" si="46"/>
        <v/>
      </c>
      <c r="BS108" t="str">
        <f>IF($C108="","",$BK108*PARAMETRI!$B$4+$BP108)</f>
        <v/>
      </c>
      <c r="BT108">
        <f t="shared" si="47"/>
        <v>0</v>
      </c>
      <c r="BU108">
        <f t="shared" si="48"/>
        <v>0</v>
      </c>
      <c r="BV108" t="str">
        <f>IF($C108="","",SUMIF('MOVIMENTI 2026'!$B$7:$B$4206,$C108,'MOVIMENTI 2026'!$P$7:$P$4206)+SUMIF('SALDI AL 31.12.2025'!$A$6:$A$505,$C108,'SALDI AL 31.12.2025'!$G$6:$G$505))</f>
        <v/>
      </c>
    </row>
    <row r="109" spans="1:74" ht="16" x14ac:dyDescent="0.15">
      <c r="A109" s="17" t="str">
        <f>IFERROR(IF($C109="","",IF(OR($BF109&gt;0,$V109&gt;$J109,AND(ISNUMBER($Q109),$Q109&gt;0),AND($BI109&lt;&gt;"",$BI109&lt;-PARAMETRI!$B$6),AND($BM109&lt;&gt;"",$BM109&gt;=1),AND($BN109&lt;&gt;"",$BN109&gt;PARAMETRI!$B$8),AND(ISNUMBER($BR109),$BR109&gt;0)),"CRITICO",IF(OR($AZ109="",LEFT($C109,5)="TEMP",$BJ109="",$BO109="",ANAGRAFICA!$I106="",ANAGRAFICA!$J106="",$Y109="",AND(OR($I109="Finito ritenute non previste",$I109="Finito con sblocco ritenute",$I109="Finito senza sblocco ritenute"),ANAGRAFICA!$K106=""),OR(AND(ANAGRAFICA!$T106&lt;&gt;"",ANAGRAFICA!$J106&lt;&gt;ANAGRAFICA!$T106,OR(ANAGRAFICA!$R106="",ANAGRAFICA!$R106="Nessuna variazione")),AND(ANAGRAFICA!$J106="",ANAGRAFICA!$R106&lt;&gt;"",ANAGRAFICA!$R106&lt;&gt;"Nessuna variazione")),AND($BI109&lt;&gt;"",$BI109&lt;-PARAMETRI!$B$5),AND($BN109&lt;&gt;"",$BN109&gt;PARAMETRI!$B$7),AND($W109&gt;0,$M109&gt;$W109*PARAMETRI!$B$9),AND($O109&gt;0,OR($I109="Finito ritenute non previste",$I109="Finito con sblocco ritenute",$I109="Finito senza sblocco ritenute")),AND($BA109&gt;0,$BO109&gt;0,$BP109=0),AND(OR($I109="Finito ritenute non previste",$I109="Finito con sblocco ritenute",$I109="Finito senza sblocco ritenute"),$W109&gt;0,$N109&gt;$W109*PARAMETRI!$B$9),$V109&gt;0),"ATTENZIONE","REGOLARE"))),"ATTENZIONE")</f>
        <v/>
      </c>
      <c r="B109" s="17" t="str">
        <f>IFERROR(IF($C109="","",IF($BF109&gt;0,"FATTURATO OLTRE VALORE RECUPERABILE; ","")&amp;IF($V109&gt;$J109,"PERDITE ACCETTATE OLTRE CONTRATTO; ","")&amp;IF($V109&gt;0,"PERDITA SAL ACCETTATA (€ "&amp;TEXT($V109,"#,##0.00")&amp;"); ","")&amp;IF(AND(ISNUMBER($Q109),$Q109&gt;0),"RITARDO PRODUTTIVO ("&amp;TEXT($Q109,"0")&amp;" GG); ","")&amp;IF(AND($BI109&lt;&gt;"",$BI109&lt;-PARAMETRI!$B$5),"AVANZAMENTO PIÙ LENTO DEL TEMPO; ","")&amp;IF(AND($BM109&lt;&gt;"",$BM109&gt;1),"ORE OLTRE BUDGET; ","")&amp;IF(AND($BM109&lt;&gt;"",$BM109=1),"ORE PREVENTIVATE ESAURITE; ","")&amp;IF(AND($BN109&lt;&gt;"",$BN109&gt;PARAMETRI!$B$7),"CONSUMO ORE SUPERIORE ALL'AVANZAMENTO; ","")&amp;IF(AND(ISNUMBER($BR109),$BR109&gt;0),"COSTI DIRETTI OLTRE BUDGET; ","")&amp;IF(AND($W109&gt;0,$M109&gt;$W109*PARAMETRI!$B$9),"SAL MATURATO NON FATTURATO; ","")&amp;IF(AND($O109&gt;0,OR($I109="Finito ritenute non previste",$I109="Finito con sblocco ritenute",$I109="Finito senza sblocco ritenute")),"RITENUTE DA SBLOCCARE; ","")&amp;IF(AND($BA109&gt;0,$BO109&gt;0,$BP109=0),"COSTI DIRETTI NON REGISTRATI; ","")&amp;IF(AND(OR($I109="Finito ritenute non previste",$I109="Finito con sblocco ritenute",$I109="Finito senza sblocco ritenute"),$W109&gt;0,$N109&gt;$W109*PARAMETRI!$B$9),"CANTIERE FINITO CON RESIDUO LAVORI; ","")&amp;IF(AND(OR($I109="Finito ritenute non previste",$I109="Finito con sblocco ritenute",$I109="Finito senza sblocco ritenute"),ANAGRAFICA!$K106=""),"DATA FINE EFFETTIVA MANCANTE; ","")&amp;IF(OR(AND(ANAGRAFICA!$T106&lt;&gt;"",ANAGRAFICA!$J106&lt;&gt;ANAGRAFICA!$T106,OR(ANAGRAFICA!$R106="",ANAGRAFICA!$R106="Nessuna variazione")),AND(ANAGRAFICA!$J106="",ANAGRAFICA!$R106&lt;&gt;"",ANAGRAFICA!$R106&lt;&gt;"Nessuna variazione")),"GESTIONE DATA FINE INCOMPLETA; ","")&amp;IF($Y109="","AGGIORNATO AL MANCANTE; ","")&amp;IF(OR($AZ109="",$BJ109="",$BO109="",ANAGRAFICA!$I106="",ANAGRAFICA!$J106=""),"DATI PREVISIONALI INCOMPLETI; ","")&amp;IF(LEFT($C109,5)="TEMP","CODICE COMMESSA TEMPORANEO; ","")),"DATI INCOMPLETI; ")</f>
        <v/>
      </c>
      <c r="C109" s="17" t="str">
        <f>IF(ANAGRAFICA!$B106="","",ANAGRAFICA!$B106)</f>
        <v/>
      </c>
      <c r="D109" s="17" t="str">
        <f>IF($C109="","",ANAGRAFICA!$C106)</f>
        <v/>
      </c>
      <c r="E109" s="17" t="str">
        <f>IF($C109="","",ANAGRAFICA!$D106)</f>
        <v/>
      </c>
      <c r="F109" s="17" t="str">
        <f>IF($C109="","",ANAGRAFICA!$E106)</f>
        <v/>
      </c>
      <c r="G109" s="17" t="str">
        <f>IF($C109="","",ANAGRAFICA!$F106)</f>
        <v/>
      </c>
      <c r="H109" s="17" t="str">
        <f>IF($C109="","",ANAGRAFICA!$G106)</f>
        <v/>
      </c>
      <c r="I109" s="17" t="str">
        <f>IF($C109="","",ANAGRAFICA!$L106)</f>
        <v/>
      </c>
      <c r="J109" s="16" t="str">
        <f t="shared" si="25"/>
        <v/>
      </c>
      <c r="K109" s="16" t="str">
        <f t="shared" si="26"/>
        <v/>
      </c>
      <c r="L109" s="16" t="str">
        <f t="shared" si="27"/>
        <v/>
      </c>
      <c r="M109" s="16" t="str">
        <f t="shared" si="28"/>
        <v/>
      </c>
      <c r="N109" s="16" t="str">
        <f t="shared" si="29"/>
        <v/>
      </c>
      <c r="O109" s="16" t="str">
        <f t="shared" si="30"/>
        <v/>
      </c>
      <c r="P109" s="17" t="str">
        <f t="shared" si="31"/>
        <v/>
      </c>
      <c r="Q109" s="31" t="str">
        <f>IF(OR($C109="",'BUDGET COMMESSA'!$D106="",'BUDGET COMMESSA'!$D106&lt;=0,ANAGRAFICA!$J106=""),"",IF(OR($I109="Finito ritenute non previste",$I109="Finito con sblocco ritenute",$I109="Finito senza sblocco ritenute"),0,IF(AND($BK109&gt;=$BJ109,ANAGRAFICA!$R106="Ritardo produttivo FIDA"),IF(ANAGRAFICA!$T106&lt;&gt;"",MAX(0,ANAGRAFICA!$J106-ANAGRAFICA!$T106),MAX(0,$Y109-ANAGRAFICA!$J106)),0)))</f>
        <v/>
      </c>
      <c r="R109" s="17" t="str">
        <f t="shared" si="32"/>
        <v/>
      </c>
      <c r="S109" s="17" t="str">
        <f t="shared" si="33"/>
        <v/>
      </c>
      <c r="T109" s="17" t="str">
        <f t="shared" si="34"/>
        <v/>
      </c>
      <c r="U109" s="16" t="str">
        <f t="shared" si="35"/>
        <v/>
      </c>
      <c r="V109" s="16" t="str">
        <f t="shared" si="36"/>
        <v/>
      </c>
      <c r="W109" s="16" t="str">
        <f t="shared" si="37"/>
        <v/>
      </c>
      <c r="X109" s="40"/>
      <c r="Y109" s="14"/>
      <c r="AZ109" t="str">
        <f>IF($C109="","",ANAGRAFICA!$P106)</f>
        <v/>
      </c>
      <c r="BA109" t="str">
        <f>IF($C109="","",SUMIF('MOVIMENTI 2026'!$B$7:$B$4206,$C109,'MOVIMENTI 2026'!$I$7:$I$4206)+SUMIF('SALDI AL 31.12.2025'!$A$6:$A$505,$C109,'SALDI AL 31.12.2025'!$C$6:$C$505))</f>
        <v/>
      </c>
      <c r="BB109" t="str">
        <f>IF($C109="","",SUMIF('MOVIMENTI 2026'!$B$7:$B$4206,$C109,'MOVIMENTI 2026'!$J$7:$J$4206)+SUMIF('SALDI AL 31.12.2025'!$A$6:$A$505,$C109,'SALDI AL 31.12.2025'!$D$6:$D$505))</f>
        <v/>
      </c>
      <c r="BC109" t="str">
        <f>IF($C109="","",SUMIF('MOVIMENTI 2026'!$B$7:$B$4206,$C109,'MOVIMENTI 2026'!$K$7:$K$4206)+SUMIF('SALDI AL 31.12.2025'!$A$6:$A$505,$C109,'SALDI AL 31.12.2025'!$E$6:$E$505))</f>
        <v/>
      </c>
      <c r="BD109" t="str">
        <f>IF($C109="","",SUMIF('MOVIMENTI 2026'!$B$7:$B$4206,$C109,'MOVIMENTI 2026'!$L$7:$L$4206)+SUMIF('SALDI AL 31.12.2025'!$A$6:$A$505,$C109,'SALDI AL 31.12.2025'!$F$6:$F$505))</f>
        <v/>
      </c>
      <c r="BE109" t="str">
        <f t="shared" si="38"/>
        <v/>
      </c>
      <c r="BF109" t="str">
        <f t="shared" si="39"/>
        <v/>
      </c>
      <c r="BG109" t="str">
        <f t="shared" si="40"/>
        <v/>
      </c>
      <c r="BH109" t="str">
        <f>IFERROR(IF(OR($C109="",ANAGRAFICA!$I106="",ANAGRAFICA!$J106="",ANAGRAFICA!$J106&lt;=ANAGRAFICA!$I106,$Y109=""),"",IF(OR($I109="Finito ritenute non previste",$I109="Finito con sblocco ritenute",$I109="Finito senza sblocco ritenute"),1,MAX(0,MIN(1,($Y109-ANAGRAFICA!$I106)/(ANAGRAFICA!$J106-ANAGRAFICA!$I106))))),"")</f>
        <v/>
      </c>
      <c r="BI109" t="str">
        <f t="shared" si="41"/>
        <v/>
      </c>
      <c r="BJ109" t="str">
        <f>IFERROR(IF($C109="","",'BUDGET COMMESSA'!$D106),"")</f>
        <v/>
      </c>
      <c r="BK109" t="str">
        <f>IF($C109="","",SUMIF('MOVIMENTI 2026'!$B$7:$B$4206,$C109,'MOVIMENTI 2026'!$N$7:$N$4206)+SUMIF('SALDI AL 31.12.2025'!$A$6:$A$505,$C109,'SALDI AL 31.12.2025'!$H$6:$H$505))</f>
        <v/>
      </c>
      <c r="BL109" t="str">
        <f t="shared" si="42"/>
        <v/>
      </c>
      <c r="BM109" t="str">
        <f t="shared" si="43"/>
        <v/>
      </c>
      <c r="BN109" t="str">
        <f t="shared" si="44"/>
        <v/>
      </c>
      <c r="BO109" t="str">
        <f>IFERROR(IF($C109="","",'BUDGET COMMESSA'!$G106),"")</f>
        <v/>
      </c>
      <c r="BP109" t="str">
        <f>IF($C109="","",SUMIF('COSTI DIRETTI'!$C$6:$C$505,$C109,'COSTI DIRETTI'!$H$6:$H$505)+SUMIF('SALDI AL 31.12.2025'!$A$6:$A$505,$C109,'SALDI AL 31.12.2025'!$I$6:$I$505))</f>
        <v/>
      </c>
      <c r="BQ109" t="str">
        <f t="shared" si="45"/>
        <v/>
      </c>
      <c r="BR109" t="str">
        <f t="shared" si="46"/>
        <v/>
      </c>
      <c r="BS109" t="str">
        <f>IF($C109="","",$BK109*PARAMETRI!$B$4+$BP109)</f>
        <v/>
      </c>
      <c r="BT109">
        <f t="shared" si="47"/>
        <v>0</v>
      </c>
      <c r="BU109">
        <f t="shared" si="48"/>
        <v>0</v>
      </c>
      <c r="BV109" t="str">
        <f>IF($C109="","",SUMIF('MOVIMENTI 2026'!$B$7:$B$4206,$C109,'MOVIMENTI 2026'!$P$7:$P$4206)+SUMIF('SALDI AL 31.12.2025'!$A$6:$A$505,$C109,'SALDI AL 31.12.2025'!$G$6:$G$505))</f>
        <v/>
      </c>
    </row>
    <row r="110" spans="1:74" ht="16" x14ac:dyDescent="0.15">
      <c r="A110" s="17" t="str">
        <f>IFERROR(IF($C110="","",IF(OR($BF110&gt;0,$V110&gt;$J110,AND(ISNUMBER($Q110),$Q110&gt;0),AND($BI110&lt;&gt;"",$BI110&lt;-PARAMETRI!$B$6),AND($BM110&lt;&gt;"",$BM110&gt;=1),AND($BN110&lt;&gt;"",$BN110&gt;PARAMETRI!$B$8),AND(ISNUMBER($BR110),$BR110&gt;0)),"CRITICO",IF(OR($AZ110="",LEFT($C110,5)="TEMP",$BJ110="",$BO110="",ANAGRAFICA!$I107="",ANAGRAFICA!$J107="",$Y110="",AND(OR($I110="Finito ritenute non previste",$I110="Finito con sblocco ritenute",$I110="Finito senza sblocco ritenute"),ANAGRAFICA!$K107=""),OR(AND(ANAGRAFICA!$T107&lt;&gt;"",ANAGRAFICA!$J107&lt;&gt;ANAGRAFICA!$T107,OR(ANAGRAFICA!$R107="",ANAGRAFICA!$R107="Nessuna variazione")),AND(ANAGRAFICA!$J107="",ANAGRAFICA!$R107&lt;&gt;"",ANAGRAFICA!$R107&lt;&gt;"Nessuna variazione")),AND($BI110&lt;&gt;"",$BI110&lt;-PARAMETRI!$B$5),AND($BN110&lt;&gt;"",$BN110&gt;PARAMETRI!$B$7),AND($W110&gt;0,$M110&gt;$W110*PARAMETRI!$B$9),AND($O110&gt;0,OR($I110="Finito ritenute non previste",$I110="Finito con sblocco ritenute",$I110="Finito senza sblocco ritenute")),AND($BA110&gt;0,$BO110&gt;0,$BP110=0),AND(OR($I110="Finito ritenute non previste",$I110="Finito con sblocco ritenute",$I110="Finito senza sblocco ritenute"),$W110&gt;0,$N110&gt;$W110*PARAMETRI!$B$9),$V110&gt;0),"ATTENZIONE","REGOLARE"))),"ATTENZIONE")</f>
        <v/>
      </c>
      <c r="B110" s="17" t="str">
        <f>IFERROR(IF($C110="","",IF($BF110&gt;0,"FATTURATO OLTRE VALORE RECUPERABILE; ","")&amp;IF($V110&gt;$J110,"PERDITE ACCETTATE OLTRE CONTRATTO; ","")&amp;IF($V110&gt;0,"PERDITA SAL ACCETTATA (€ "&amp;TEXT($V110,"#,##0.00")&amp;"); ","")&amp;IF(AND(ISNUMBER($Q110),$Q110&gt;0),"RITARDO PRODUTTIVO ("&amp;TEXT($Q110,"0")&amp;" GG); ","")&amp;IF(AND($BI110&lt;&gt;"",$BI110&lt;-PARAMETRI!$B$5),"AVANZAMENTO PIÙ LENTO DEL TEMPO; ","")&amp;IF(AND($BM110&lt;&gt;"",$BM110&gt;1),"ORE OLTRE BUDGET; ","")&amp;IF(AND($BM110&lt;&gt;"",$BM110=1),"ORE PREVENTIVATE ESAURITE; ","")&amp;IF(AND($BN110&lt;&gt;"",$BN110&gt;PARAMETRI!$B$7),"CONSUMO ORE SUPERIORE ALL'AVANZAMENTO; ","")&amp;IF(AND(ISNUMBER($BR110),$BR110&gt;0),"COSTI DIRETTI OLTRE BUDGET; ","")&amp;IF(AND($W110&gt;0,$M110&gt;$W110*PARAMETRI!$B$9),"SAL MATURATO NON FATTURATO; ","")&amp;IF(AND($O110&gt;0,OR($I110="Finito ritenute non previste",$I110="Finito con sblocco ritenute",$I110="Finito senza sblocco ritenute")),"RITENUTE DA SBLOCCARE; ","")&amp;IF(AND($BA110&gt;0,$BO110&gt;0,$BP110=0),"COSTI DIRETTI NON REGISTRATI; ","")&amp;IF(AND(OR($I110="Finito ritenute non previste",$I110="Finito con sblocco ritenute",$I110="Finito senza sblocco ritenute"),$W110&gt;0,$N110&gt;$W110*PARAMETRI!$B$9),"CANTIERE FINITO CON RESIDUO LAVORI; ","")&amp;IF(AND(OR($I110="Finito ritenute non previste",$I110="Finito con sblocco ritenute",$I110="Finito senza sblocco ritenute"),ANAGRAFICA!$K107=""),"DATA FINE EFFETTIVA MANCANTE; ","")&amp;IF(OR(AND(ANAGRAFICA!$T107&lt;&gt;"",ANAGRAFICA!$J107&lt;&gt;ANAGRAFICA!$T107,OR(ANAGRAFICA!$R107="",ANAGRAFICA!$R107="Nessuna variazione")),AND(ANAGRAFICA!$J107="",ANAGRAFICA!$R107&lt;&gt;"",ANAGRAFICA!$R107&lt;&gt;"Nessuna variazione")),"GESTIONE DATA FINE INCOMPLETA; ","")&amp;IF($Y110="","AGGIORNATO AL MANCANTE; ","")&amp;IF(OR($AZ110="",$BJ110="",$BO110="",ANAGRAFICA!$I107="",ANAGRAFICA!$J107=""),"DATI PREVISIONALI INCOMPLETI; ","")&amp;IF(LEFT($C110,5)="TEMP","CODICE COMMESSA TEMPORANEO; ","")),"DATI INCOMPLETI; ")</f>
        <v/>
      </c>
      <c r="C110" s="17" t="str">
        <f>IF(ANAGRAFICA!$B107="","",ANAGRAFICA!$B107)</f>
        <v/>
      </c>
      <c r="D110" s="17" t="str">
        <f>IF($C110="","",ANAGRAFICA!$C107)</f>
        <v/>
      </c>
      <c r="E110" s="17" t="str">
        <f>IF($C110="","",ANAGRAFICA!$D107)</f>
        <v/>
      </c>
      <c r="F110" s="17" t="str">
        <f>IF($C110="","",ANAGRAFICA!$E107)</f>
        <v/>
      </c>
      <c r="G110" s="17" t="str">
        <f>IF($C110="","",ANAGRAFICA!$F107)</f>
        <v/>
      </c>
      <c r="H110" s="17" t="str">
        <f>IF($C110="","",ANAGRAFICA!$G107)</f>
        <v/>
      </c>
      <c r="I110" s="17" t="str">
        <f>IF($C110="","",ANAGRAFICA!$L107)</f>
        <v/>
      </c>
      <c r="J110" s="16" t="str">
        <f t="shared" si="25"/>
        <v/>
      </c>
      <c r="K110" s="16" t="str">
        <f t="shared" si="26"/>
        <v/>
      </c>
      <c r="L110" s="16" t="str">
        <f t="shared" si="27"/>
        <v/>
      </c>
      <c r="M110" s="16" t="str">
        <f t="shared" si="28"/>
        <v/>
      </c>
      <c r="N110" s="16" t="str">
        <f t="shared" si="29"/>
        <v/>
      </c>
      <c r="O110" s="16" t="str">
        <f t="shared" si="30"/>
        <v/>
      </c>
      <c r="P110" s="17" t="str">
        <f t="shared" si="31"/>
        <v/>
      </c>
      <c r="Q110" s="31" t="str">
        <f>IF(OR($C110="",'BUDGET COMMESSA'!$D107="",'BUDGET COMMESSA'!$D107&lt;=0,ANAGRAFICA!$J107=""),"",IF(OR($I110="Finito ritenute non previste",$I110="Finito con sblocco ritenute",$I110="Finito senza sblocco ritenute"),0,IF(AND($BK110&gt;=$BJ110,ANAGRAFICA!$R107="Ritardo produttivo FIDA"),IF(ANAGRAFICA!$T107&lt;&gt;"",MAX(0,ANAGRAFICA!$J107-ANAGRAFICA!$T107),MAX(0,$Y110-ANAGRAFICA!$J107)),0)))</f>
        <v/>
      </c>
      <c r="R110" s="17" t="str">
        <f t="shared" si="32"/>
        <v/>
      </c>
      <c r="S110" s="17" t="str">
        <f t="shared" si="33"/>
        <v/>
      </c>
      <c r="T110" s="17" t="str">
        <f t="shared" si="34"/>
        <v/>
      </c>
      <c r="U110" s="16" t="str">
        <f t="shared" si="35"/>
        <v/>
      </c>
      <c r="V110" s="16" t="str">
        <f t="shared" si="36"/>
        <v/>
      </c>
      <c r="W110" s="16" t="str">
        <f t="shared" si="37"/>
        <v/>
      </c>
      <c r="X110" s="40"/>
      <c r="Y110" s="14"/>
      <c r="AZ110" t="str">
        <f>IF($C110="","",ANAGRAFICA!$P107)</f>
        <v/>
      </c>
      <c r="BA110" t="str">
        <f>IF($C110="","",SUMIF('MOVIMENTI 2026'!$B$7:$B$4206,$C110,'MOVIMENTI 2026'!$I$7:$I$4206)+SUMIF('SALDI AL 31.12.2025'!$A$6:$A$505,$C110,'SALDI AL 31.12.2025'!$C$6:$C$505))</f>
        <v/>
      </c>
      <c r="BB110" t="str">
        <f>IF($C110="","",SUMIF('MOVIMENTI 2026'!$B$7:$B$4206,$C110,'MOVIMENTI 2026'!$J$7:$J$4206)+SUMIF('SALDI AL 31.12.2025'!$A$6:$A$505,$C110,'SALDI AL 31.12.2025'!$D$6:$D$505))</f>
        <v/>
      </c>
      <c r="BC110" t="str">
        <f>IF($C110="","",SUMIF('MOVIMENTI 2026'!$B$7:$B$4206,$C110,'MOVIMENTI 2026'!$K$7:$K$4206)+SUMIF('SALDI AL 31.12.2025'!$A$6:$A$505,$C110,'SALDI AL 31.12.2025'!$E$6:$E$505))</f>
        <v/>
      </c>
      <c r="BD110" t="str">
        <f>IF($C110="","",SUMIF('MOVIMENTI 2026'!$B$7:$B$4206,$C110,'MOVIMENTI 2026'!$L$7:$L$4206)+SUMIF('SALDI AL 31.12.2025'!$A$6:$A$505,$C110,'SALDI AL 31.12.2025'!$F$6:$F$505))</f>
        <v/>
      </c>
      <c r="BE110" t="str">
        <f t="shared" si="38"/>
        <v/>
      </c>
      <c r="BF110" t="str">
        <f t="shared" si="39"/>
        <v/>
      </c>
      <c r="BG110" t="str">
        <f t="shared" si="40"/>
        <v/>
      </c>
      <c r="BH110" t="str">
        <f>IFERROR(IF(OR($C110="",ANAGRAFICA!$I107="",ANAGRAFICA!$J107="",ANAGRAFICA!$J107&lt;=ANAGRAFICA!$I107,$Y110=""),"",IF(OR($I110="Finito ritenute non previste",$I110="Finito con sblocco ritenute",$I110="Finito senza sblocco ritenute"),1,MAX(0,MIN(1,($Y110-ANAGRAFICA!$I107)/(ANAGRAFICA!$J107-ANAGRAFICA!$I107))))),"")</f>
        <v/>
      </c>
      <c r="BI110" t="str">
        <f t="shared" si="41"/>
        <v/>
      </c>
      <c r="BJ110" t="str">
        <f>IFERROR(IF($C110="","",'BUDGET COMMESSA'!$D107),"")</f>
        <v/>
      </c>
      <c r="BK110" t="str">
        <f>IF($C110="","",SUMIF('MOVIMENTI 2026'!$B$7:$B$4206,$C110,'MOVIMENTI 2026'!$N$7:$N$4206)+SUMIF('SALDI AL 31.12.2025'!$A$6:$A$505,$C110,'SALDI AL 31.12.2025'!$H$6:$H$505))</f>
        <v/>
      </c>
      <c r="BL110" t="str">
        <f t="shared" si="42"/>
        <v/>
      </c>
      <c r="BM110" t="str">
        <f t="shared" si="43"/>
        <v/>
      </c>
      <c r="BN110" t="str">
        <f t="shared" si="44"/>
        <v/>
      </c>
      <c r="BO110" t="str">
        <f>IFERROR(IF($C110="","",'BUDGET COMMESSA'!$G107),"")</f>
        <v/>
      </c>
      <c r="BP110" t="str">
        <f>IF($C110="","",SUMIF('COSTI DIRETTI'!$C$6:$C$505,$C110,'COSTI DIRETTI'!$H$6:$H$505)+SUMIF('SALDI AL 31.12.2025'!$A$6:$A$505,$C110,'SALDI AL 31.12.2025'!$I$6:$I$505))</f>
        <v/>
      </c>
      <c r="BQ110" t="str">
        <f t="shared" si="45"/>
        <v/>
      </c>
      <c r="BR110" t="str">
        <f t="shared" si="46"/>
        <v/>
      </c>
      <c r="BS110" t="str">
        <f>IF($C110="","",$BK110*PARAMETRI!$B$4+$BP110)</f>
        <v/>
      </c>
      <c r="BT110">
        <f t="shared" si="47"/>
        <v>0</v>
      </c>
      <c r="BU110">
        <f t="shared" si="48"/>
        <v>0</v>
      </c>
      <c r="BV110" t="str">
        <f>IF($C110="","",SUMIF('MOVIMENTI 2026'!$B$7:$B$4206,$C110,'MOVIMENTI 2026'!$P$7:$P$4206)+SUMIF('SALDI AL 31.12.2025'!$A$6:$A$505,$C110,'SALDI AL 31.12.2025'!$G$6:$G$505))</f>
        <v/>
      </c>
    </row>
    <row r="111" spans="1:74" ht="16" x14ac:dyDescent="0.15">
      <c r="A111" s="17" t="str">
        <f>IFERROR(IF($C111="","",IF(OR($BF111&gt;0,$V111&gt;$J111,AND(ISNUMBER($Q111),$Q111&gt;0),AND($BI111&lt;&gt;"",$BI111&lt;-PARAMETRI!$B$6),AND($BM111&lt;&gt;"",$BM111&gt;=1),AND($BN111&lt;&gt;"",$BN111&gt;PARAMETRI!$B$8),AND(ISNUMBER($BR111),$BR111&gt;0)),"CRITICO",IF(OR($AZ111="",LEFT($C111,5)="TEMP",$BJ111="",$BO111="",ANAGRAFICA!$I108="",ANAGRAFICA!$J108="",$Y111="",AND(OR($I111="Finito ritenute non previste",$I111="Finito con sblocco ritenute",$I111="Finito senza sblocco ritenute"),ANAGRAFICA!$K108=""),OR(AND(ANAGRAFICA!$T108&lt;&gt;"",ANAGRAFICA!$J108&lt;&gt;ANAGRAFICA!$T108,OR(ANAGRAFICA!$R108="",ANAGRAFICA!$R108="Nessuna variazione")),AND(ANAGRAFICA!$J108="",ANAGRAFICA!$R108&lt;&gt;"",ANAGRAFICA!$R108&lt;&gt;"Nessuna variazione")),AND($BI111&lt;&gt;"",$BI111&lt;-PARAMETRI!$B$5),AND($BN111&lt;&gt;"",$BN111&gt;PARAMETRI!$B$7),AND($W111&gt;0,$M111&gt;$W111*PARAMETRI!$B$9),AND($O111&gt;0,OR($I111="Finito ritenute non previste",$I111="Finito con sblocco ritenute",$I111="Finito senza sblocco ritenute")),AND($BA111&gt;0,$BO111&gt;0,$BP111=0),AND(OR($I111="Finito ritenute non previste",$I111="Finito con sblocco ritenute",$I111="Finito senza sblocco ritenute"),$W111&gt;0,$N111&gt;$W111*PARAMETRI!$B$9),$V111&gt;0),"ATTENZIONE","REGOLARE"))),"ATTENZIONE")</f>
        <v/>
      </c>
      <c r="B111" s="17" t="str">
        <f>IFERROR(IF($C111="","",IF($BF111&gt;0,"FATTURATO OLTRE VALORE RECUPERABILE; ","")&amp;IF($V111&gt;$J111,"PERDITE ACCETTATE OLTRE CONTRATTO; ","")&amp;IF($V111&gt;0,"PERDITA SAL ACCETTATA (€ "&amp;TEXT($V111,"#,##0.00")&amp;"); ","")&amp;IF(AND(ISNUMBER($Q111),$Q111&gt;0),"RITARDO PRODUTTIVO ("&amp;TEXT($Q111,"0")&amp;" GG); ","")&amp;IF(AND($BI111&lt;&gt;"",$BI111&lt;-PARAMETRI!$B$5),"AVANZAMENTO PIÙ LENTO DEL TEMPO; ","")&amp;IF(AND($BM111&lt;&gt;"",$BM111&gt;1),"ORE OLTRE BUDGET; ","")&amp;IF(AND($BM111&lt;&gt;"",$BM111=1),"ORE PREVENTIVATE ESAURITE; ","")&amp;IF(AND($BN111&lt;&gt;"",$BN111&gt;PARAMETRI!$B$7),"CONSUMO ORE SUPERIORE ALL'AVANZAMENTO; ","")&amp;IF(AND(ISNUMBER($BR111),$BR111&gt;0),"COSTI DIRETTI OLTRE BUDGET; ","")&amp;IF(AND($W111&gt;0,$M111&gt;$W111*PARAMETRI!$B$9),"SAL MATURATO NON FATTURATO; ","")&amp;IF(AND($O111&gt;0,OR($I111="Finito ritenute non previste",$I111="Finito con sblocco ritenute",$I111="Finito senza sblocco ritenute")),"RITENUTE DA SBLOCCARE; ","")&amp;IF(AND($BA111&gt;0,$BO111&gt;0,$BP111=0),"COSTI DIRETTI NON REGISTRATI; ","")&amp;IF(AND(OR($I111="Finito ritenute non previste",$I111="Finito con sblocco ritenute",$I111="Finito senza sblocco ritenute"),$W111&gt;0,$N111&gt;$W111*PARAMETRI!$B$9),"CANTIERE FINITO CON RESIDUO LAVORI; ","")&amp;IF(AND(OR($I111="Finito ritenute non previste",$I111="Finito con sblocco ritenute",$I111="Finito senza sblocco ritenute"),ANAGRAFICA!$K108=""),"DATA FINE EFFETTIVA MANCANTE; ","")&amp;IF(OR(AND(ANAGRAFICA!$T108&lt;&gt;"",ANAGRAFICA!$J108&lt;&gt;ANAGRAFICA!$T108,OR(ANAGRAFICA!$R108="",ANAGRAFICA!$R108="Nessuna variazione")),AND(ANAGRAFICA!$J108="",ANAGRAFICA!$R108&lt;&gt;"",ANAGRAFICA!$R108&lt;&gt;"Nessuna variazione")),"GESTIONE DATA FINE INCOMPLETA; ","")&amp;IF($Y111="","AGGIORNATO AL MANCANTE; ","")&amp;IF(OR($AZ111="",$BJ111="",$BO111="",ANAGRAFICA!$I108="",ANAGRAFICA!$J108=""),"DATI PREVISIONALI INCOMPLETI; ","")&amp;IF(LEFT($C111,5)="TEMP","CODICE COMMESSA TEMPORANEO; ","")),"DATI INCOMPLETI; ")</f>
        <v/>
      </c>
      <c r="C111" s="17" t="str">
        <f>IF(ANAGRAFICA!$B108="","",ANAGRAFICA!$B108)</f>
        <v/>
      </c>
      <c r="D111" s="17" t="str">
        <f>IF($C111="","",ANAGRAFICA!$C108)</f>
        <v/>
      </c>
      <c r="E111" s="17" t="str">
        <f>IF($C111="","",ANAGRAFICA!$D108)</f>
        <v/>
      </c>
      <c r="F111" s="17" t="str">
        <f>IF($C111="","",ANAGRAFICA!$E108)</f>
        <v/>
      </c>
      <c r="G111" s="17" t="str">
        <f>IF($C111="","",ANAGRAFICA!$F108)</f>
        <v/>
      </c>
      <c r="H111" s="17" t="str">
        <f>IF($C111="","",ANAGRAFICA!$G108)</f>
        <v/>
      </c>
      <c r="I111" s="17" t="str">
        <f>IF($C111="","",ANAGRAFICA!$L108)</f>
        <v/>
      </c>
      <c r="J111" s="16" t="str">
        <f t="shared" si="25"/>
        <v/>
      </c>
      <c r="K111" s="16" t="str">
        <f t="shared" si="26"/>
        <v/>
      </c>
      <c r="L111" s="16" t="str">
        <f t="shared" si="27"/>
        <v/>
      </c>
      <c r="M111" s="16" t="str">
        <f t="shared" si="28"/>
        <v/>
      </c>
      <c r="N111" s="16" t="str">
        <f t="shared" si="29"/>
        <v/>
      </c>
      <c r="O111" s="16" t="str">
        <f t="shared" si="30"/>
        <v/>
      </c>
      <c r="P111" s="17" t="str">
        <f t="shared" si="31"/>
        <v/>
      </c>
      <c r="Q111" s="31" t="str">
        <f>IF(OR($C111="",'BUDGET COMMESSA'!$D108="",'BUDGET COMMESSA'!$D108&lt;=0,ANAGRAFICA!$J108=""),"",IF(OR($I111="Finito ritenute non previste",$I111="Finito con sblocco ritenute",$I111="Finito senza sblocco ritenute"),0,IF(AND($BK111&gt;=$BJ111,ANAGRAFICA!$R108="Ritardo produttivo FIDA"),IF(ANAGRAFICA!$T108&lt;&gt;"",MAX(0,ANAGRAFICA!$J108-ANAGRAFICA!$T108),MAX(0,$Y111-ANAGRAFICA!$J108)),0)))</f>
        <v/>
      </c>
      <c r="R111" s="17" t="str">
        <f t="shared" si="32"/>
        <v/>
      </c>
      <c r="S111" s="17" t="str">
        <f t="shared" si="33"/>
        <v/>
      </c>
      <c r="T111" s="17" t="str">
        <f t="shared" si="34"/>
        <v/>
      </c>
      <c r="U111" s="16" t="str">
        <f t="shared" si="35"/>
        <v/>
      </c>
      <c r="V111" s="16" t="str">
        <f t="shared" si="36"/>
        <v/>
      </c>
      <c r="W111" s="16" t="str">
        <f t="shared" si="37"/>
        <v/>
      </c>
      <c r="X111" s="40"/>
      <c r="Y111" s="14"/>
      <c r="AZ111" t="str">
        <f>IF($C111="","",ANAGRAFICA!$P108)</f>
        <v/>
      </c>
      <c r="BA111" t="str">
        <f>IF($C111="","",SUMIF('MOVIMENTI 2026'!$B$7:$B$4206,$C111,'MOVIMENTI 2026'!$I$7:$I$4206)+SUMIF('SALDI AL 31.12.2025'!$A$6:$A$505,$C111,'SALDI AL 31.12.2025'!$C$6:$C$505))</f>
        <v/>
      </c>
      <c r="BB111" t="str">
        <f>IF($C111="","",SUMIF('MOVIMENTI 2026'!$B$7:$B$4206,$C111,'MOVIMENTI 2026'!$J$7:$J$4206)+SUMIF('SALDI AL 31.12.2025'!$A$6:$A$505,$C111,'SALDI AL 31.12.2025'!$D$6:$D$505))</f>
        <v/>
      </c>
      <c r="BC111" t="str">
        <f>IF($C111="","",SUMIF('MOVIMENTI 2026'!$B$7:$B$4206,$C111,'MOVIMENTI 2026'!$K$7:$K$4206)+SUMIF('SALDI AL 31.12.2025'!$A$6:$A$505,$C111,'SALDI AL 31.12.2025'!$E$6:$E$505))</f>
        <v/>
      </c>
      <c r="BD111" t="str">
        <f>IF($C111="","",SUMIF('MOVIMENTI 2026'!$B$7:$B$4206,$C111,'MOVIMENTI 2026'!$L$7:$L$4206)+SUMIF('SALDI AL 31.12.2025'!$A$6:$A$505,$C111,'SALDI AL 31.12.2025'!$F$6:$F$505))</f>
        <v/>
      </c>
      <c r="BE111" t="str">
        <f t="shared" si="38"/>
        <v/>
      </c>
      <c r="BF111" t="str">
        <f t="shared" si="39"/>
        <v/>
      </c>
      <c r="BG111" t="str">
        <f t="shared" si="40"/>
        <v/>
      </c>
      <c r="BH111" t="str">
        <f>IFERROR(IF(OR($C111="",ANAGRAFICA!$I108="",ANAGRAFICA!$J108="",ANAGRAFICA!$J108&lt;=ANAGRAFICA!$I108,$Y111=""),"",IF(OR($I111="Finito ritenute non previste",$I111="Finito con sblocco ritenute",$I111="Finito senza sblocco ritenute"),1,MAX(0,MIN(1,($Y111-ANAGRAFICA!$I108)/(ANAGRAFICA!$J108-ANAGRAFICA!$I108))))),"")</f>
        <v/>
      </c>
      <c r="BI111" t="str">
        <f t="shared" si="41"/>
        <v/>
      </c>
      <c r="BJ111" t="str">
        <f>IFERROR(IF($C111="","",'BUDGET COMMESSA'!$D108),"")</f>
        <v/>
      </c>
      <c r="BK111" t="str">
        <f>IF($C111="","",SUMIF('MOVIMENTI 2026'!$B$7:$B$4206,$C111,'MOVIMENTI 2026'!$N$7:$N$4206)+SUMIF('SALDI AL 31.12.2025'!$A$6:$A$505,$C111,'SALDI AL 31.12.2025'!$H$6:$H$505))</f>
        <v/>
      </c>
      <c r="BL111" t="str">
        <f t="shared" si="42"/>
        <v/>
      </c>
      <c r="BM111" t="str">
        <f t="shared" si="43"/>
        <v/>
      </c>
      <c r="BN111" t="str">
        <f t="shared" si="44"/>
        <v/>
      </c>
      <c r="BO111" t="str">
        <f>IFERROR(IF($C111="","",'BUDGET COMMESSA'!$G108),"")</f>
        <v/>
      </c>
      <c r="BP111" t="str">
        <f>IF($C111="","",SUMIF('COSTI DIRETTI'!$C$6:$C$505,$C111,'COSTI DIRETTI'!$H$6:$H$505)+SUMIF('SALDI AL 31.12.2025'!$A$6:$A$505,$C111,'SALDI AL 31.12.2025'!$I$6:$I$505))</f>
        <v/>
      </c>
      <c r="BQ111" t="str">
        <f t="shared" si="45"/>
        <v/>
      </c>
      <c r="BR111" t="str">
        <f t="shared" si="46"/>
        <v/>
      </c>
      <c r="BS111" t="str">
        <f>IF($C111="","",$BK111*PARAMETRI!$B$4+$BP111)</f>
        <v/>
      </c>
      <c r="BT111">
        <f t="shared" si="47"/>
        <v>0</v>
      </c>
      <c r="BU111">
        <f t="shared" si="48"/>
        <v>0</v>
      </c>
      <c r="BV111" t="str">
        <f>IF($C111="","",SUMIF('MOVIMENTI 2026'!$B$7:$B$4206,$C111,'MOVIMENTI 2026'!$P$7:$P$4206)+SUMIF('SALDI AL 31.12.2025'!$A$6:$A$505,$C111,'SALDI AL 31.12.2025'!$G$6:$G$505))</f>
        <v/>
      </c>
    </row>
    <row r="112" spans="1:74" ht="16" x14ac:dyDescent="0.15">
      <c r="A112" s="17" t="str">
        <f>IFERROR(IF($C112="","",IF(OR($BF112&gt;0,$V112&gt;$J112,AND(ISNUMBER($Q112),$Q112&gt;0),AND($BI112&lt;&gt;"",$BI112&lt;-PARAMETRI!$B$6),AND($BM112&lt;&gt;"",$BM112&gt;=1),AND($BN112&lt;&gt;"",$BN112&gt;PARAMETRI!$B$8),AND(ISNUMBER($BR112),$BR112&gt;0)),"CRITICO",IF(OR($AZ112="",LEFT($C112,5)="TEMP",$BJ112="",$BO112="",ANAGRAFICA!$I109="",ANAGRAFICA!$J109="",$Y112="",AND(OR($I112="Finito ritenute non previste",$I112="Finito con sblocco ritenute",$I112="Finito senza sblocco ritenute"),ANAGRAFICA!$K109=""),OR(AND(ANAGRAFICA!$T109&lt;&gt;"",ANAGRAFICA!$J109&lt;&gt;ANAGRAFICA!$T109,OR(ANAGRAFICA!$R109="",ANAGRAFICA!$R109="Nessuna variazione")),AND(ANAGRAFICA!$J109="",ANAGRAFICA!$R109&lt;&gt;"",ANAGRAFICA!$R109&lt;&gt;"Nessuna variazione")),AND($BI112&lt;&gt;"",$BI112&lt;-PARAMETRI!$B$5),AND($BN112&lt;&gt;"",$BN112&gt;PARAMETRI!$B$7),AND($W112&gt;0,$M112&gt;$W112*PARAMETRI!$B$9),AND($O112&gt;0,OR($I112="Finito ritenute non previste",$I112="Finito con sblocco ritenute",$I112="Finito senza sblocco ritenute")),AND($BA112&gt;0,$BO112&gt;0,$BP112=0),AND(OR($I112="Finito ritenute non previste",$I112="Finito con sblocco ritenute",$I112="Finito senza sblocco ritenute"),$W112&gt;0,$N112&gt;$W112*PARAMETRI!$B$9),$V112&gt;0),"ATTENZIONE","REGOLARE"))),"ATTENZIONE")</f>
        <v/>
      </c>
      <c r="B112" s="17" t="str">
        <f>IFERROR(IF($C112="","",IF($BF112&gt;0,"FATTURATO OLTRE VALORE RECUPERABILE; ","")&amp;IF($V112&gt;$J112,"PERDITE ACCETTATE OLTRE CONTRATTO; ","")&amp;IF($V112&gt;0,"PERDITA SAL ACCETTATA (€ "&amp;TEXT($V112,"#,##0.00")&amp;"); ","")&amp;IF(AND(ISNUMBER($Q112),$Q112&gt;0),"RITARDO PRODUTTIVO ("&amp;TEXT($Q112,"0")&amp;" GG); ","")&amp;IF(AND($BI112&lt;&gt;"",$BI112&lt;-PARAMETRI!$B$5),"AVANZAMENTO PIÙ LENTO DEL TEMPO; ","")&amp;IF(AND($BM112&lt;&gt;"",$BM112&gt;1),"ORE OLTRE BUDGET; ","")&amp;IF(AND($BM112&lt;&gt;"",$BM112=1),"ORE PREVENTIVATE ESAURITE; ","")&amp;IF(AND($BN112&lt;&gt;"",$BN112&gt;PARAMETRI!$B$7),"CONSUMO ORE SUPERIORE ALL'AVANZAMENTO; ","")&amp;IF(AND(ISNUMBER($BR112),$BR112&gt;0),"COSTI DIRETTI OLTRE BUDGET; ","")&amp;IF(AND($W112&gt;0,$M112&gt;$W112*PARAMETRI!$B$9),"SAL MATURATO NON FATTURATO; ","")&amp;IF(AND($O112&gt;0,OR($I112="Finito ritenute non previste",$I112="Finito con sblocco ritenute",$I112="Finito senza sblocco ritenute")),"RITENUTE DA SBLOCCARE; ","")&amp;IF(AND($BA112&gt;0,$BO112&gt;0,$BP112=0),"COSTI DIRETTI NON REGISTRATI; ","")&amp;IF(AND(OR($I112="Finito ritenute non previste",$I112="Finito con sblocco ritenute",$I112="Finito senza sblocco ritenute"),$W112&gt;0,$N112&gt;$W112*PARAMETRI!$B$9),"CANTIERE FINITO CON RESIDUO LAVORI; ","")&amp;IF(AND(OR($I112="Finito ritenute non previste",$I112="Finito con sblocco ritenute",$I112="Finito senza sblocco ritenute"),ANAGRAFICA!$K109=""),"DATA FINE EFFETTIVA MANCANTE; ","")&amp;IF(OR(AND(ANAGRAFICA!$T109&lt;&gt;"",ANAGRAFICA!$J109&lt;&gt;ANAGRAFICA!$T109,OR(ANAGRAFICA!$R109="",ANAGRAFICA!$R109="Nessuna variazione")),AND(ANAGRAFICA!$J109="",ANAGRAFICA!$R109&lt;&gt;"",ANAGRAFICA!$R109&lt;&gt;"Nessuna variazione")),"GESTIONE DATA FINE INCOMPLETA; ","")&amp;IF($Y112="","AGGIORNATO AL MANCANTE; ","")&amp;IF(OR($AZ112="",$BJ112="",$BO112="",ANAGRAFICA!$I109="",ANAGRAFICA!$J109=""),"DATI PREVISIONALI INCOMPLETI; ","")&amp;IF(LEFT($C112,5)="TEMP","CODICE COMMESSA TEMPORANEO; ","")),"DATI INCOMPLETI; ")</f>
        <v/>
      </c>
      <c r="C112" s="17" t="str">
        <f>IF(ANAGRAFICA!$B109="","",ANAGRAFICA!$B109)</f>
        <v/>
      </c>
      <c r="D112" s="17" t="str">
        <f>IF($C112="","",ANAGRAFICA!$C109)</f>
        <v/>
      </c>
      <c r="E112" s="17" t="str">
        <f>IF($C112="","",ANAGRAFICA!$D109)</f>
        <v/>
      </c>
      <c r="F112" s="17" t="str">
        <f>IF($C112="","",ANAGRAFICA!$E109)</f>
        <v/>
      </c>
      <c r="G112" s="17" t="str">
        <f>IF($C112="","",ANAGRAFICA!$F109)</f>
        <v/>
      </c>
      <c r="H112" s="17" t="str">
        <f>IF($C112="","",ANAGRAFICA!$G109)</f>
        <v/>
      </c>
      <c r="I112" s="17" t="str">
        <f>IF($C112="","",ANAGRAFICA!$L109)</f>
        <v/>
      </c>
      <c r="J112" s="16" t="str">
        <f t="shared" si="25"/>
        <v/>
      </c>
      <c r="K112" s="16" t="str">
        <f t="shared" si="26"/>
        <v/>
      </c>
      <c r="L112" s="16" t="str">
        <f t="shared" si="27"/>
        <v/>
      </c>
      <c r="M112" s="16" t="str">
        <f t="shared" si="28"/>
        <v/>
      </c>
      <c r="N112" s="16" t="str">
        <f t="shared" si="29"/>
        <v/>
      </c>
      <c r="O112" s="16" t="str">
        <f t="shared" si="30"/>
        <v/>
      </c>
      <c r="P112" s="17" t="str">
        <f t="shared" si="31"/>
        <v/>
      </c>
      <c r="Q112" s="31" t="str">
        <f>IF(OR($C112="",'BUDGET COMMESSA'!$D109="",'BUDGET COMMESSA'!$D109&lt;=0,ANAGRAFICA!$J109=""),"",IF(OR($I112="Finito ritenute non previste",$I112="Finito con sblocco ritenute",$I112="Finito senza sblocco ritenute"),0,IF(AND($BK112&gt;=$BJ112,ANAGRAFICA!$R109="Ritardo produttivo FIDA"),IF(ANAGRAFICA!$T109&lt;&gt;"",MAX(0,ANAGRAFICA!$J109-ANAGRAFICA!$T109),MAX(0,$Y112-ANAGRAFICA!$J109)),0)))</f>
        <v/>
      </c>
      <c r="R112" s="17" t="str">
        <f t="shared" si="32"/>
        <v/>
      </c>
      <c r="S112" s="17" t="str">
        <f t="shared" si="33"/>
        <v/>
      </c>
      <c r="T112" s="17" t="str">
        <f t="shared" si="34"/>
        <v/>
      </c>
      <c r="U112" s="16" t="str">
        <f t="shared" si="35"/>
        <v/>
      </c>
      <c r="V112" s="16" t="str">
        <f t="shared" si="36"/>
        <v/>
      </c>
      <c r="W112" s="16" t="str">
        <f t="shared" si="37"/>
        <v/>
      </c>
      <c r="X112" s="40"/>
      <c r="Y112" s="14"/>
      <c r="AZ112" t="str">
        <f>IF($C112="","",ANAGRAFICA!$P109)</f>
        <v/>
      </c>
      <c r="BA112" t="str">
        <f>IF($C112="","",SUMIF('MOVIMENTI 2026'!$B$7:$B$4206,$C112,'MOVIMENTI 2026'!$I$7:$I$4206)+SUMIF('SALDI AL 31.12.2025'!$A$6:$A$505,$C112,'SALDI AL 31.12.2025'!$C$6:$C$505))</f>
        <v/>
      </c>
      <c r="BB112" t="str">
        <f>IF($C112="","",SUMIF('MOVIMENTI 2026'!$B$7:$B$4206,$C112,'MOVIMENTI 2026'!$J$7:$J$4206)+SUMIF('SALDI AL 31.12.2025'!$A$6:$A$505,$C112,'SALDI AL 31.12.2025'!$D$6:$D$505))</f>
        <v/>
      </c>
      <c r="BC112" t="str">
        <f>IF($C112="","",SUMIF('MOVIMENTI 2026'!$B$7:$B$4206,$C112,'MOVIMENTI 2026'!$K$7:$K$4206)+SUMIF('SALDI AL 31.12.2025'!$A$6:$A$505,$C112,'SALDI AL 31.12.2025'!$E$6:$E$505))</f>
        <v/>
      </c>
      <c r="BD112" t="str">
        <f>IF($C112="","",SUMIF('MOVIMENTI 2026'!$B$7:$B$4206,$C112,'MOVIMENTI 2026'!$L$7:$L$4206)+SUMIF('SALDI AL 31.12.2025'!$A$6:$A$505,$C112,'SALDI AL 31.12.2025'!$F$6:$F$505))</f>
        <v/>
      </c>
      <c r="BE112" t="str">
        <f t="shared" si="38"/>
        <v/>
      </c>
      <c r="BF112" t="str">
        <f t="shared" si="39"/>
        <v/>
      </c>
      <c r="BG112" t="str">
        <f t="shared" si="40"/>
        <v/>
      </c>
      <c r="BH112" t="str">
        <f>IFERROR(IF(OR($C112="",ANAGRAFICA!$I109="",ANAGRAFICA!$J109="",ANAGRAFICA!$J109&lt;=ANAGRAFICA!$I109,$Y112=""),"",IF(OR($I112="Finito ritenute non previste",$I112="Finito con sblocco ritenute",$I112="Finito senza sblocco ritenute"),1,MAX(0,MIN(1,($Y112-ANAGRAFICA!$I109)/(ANAGRAFICA!$J109-ANAGRAFICA!$I109))))),"")</f>
        <v/>
      </c>
      <c r="BI112" t="str">
        <f t="shared" si="41"/>
        <v/>
      </c>
      <c r="BJ112" t="str">
        <f>IFERROR(IF($C112="","",'BUDGET COMMESSA'!$D109),"")</f>
        <v/>
      </c>
      <c r="BK112" t="str">
        <f>IF($C112="","",SUMIF('MOVIMENTI 2026'!$B$7:$B$4206,$C112,'MOVIMENTI 2026'!$N$7:$N$4206)+SUMIF('SALDI AL 31.12.2025'!$A$6:$A$505,$C112,'SALDI AL 31.12.2025'!$H$6:$H$505))</f>
        <v/>
      </c>
      <c r="BL112" t="str">
        <f t="shared" si="42"/>
        <v/>
      </c>
      <c r="BM112" t="str">
        <f t="shared" si="43"/>
        <v/>
      </c>
      <c r="BN112" t="str">
        <f t="shared" si="44"/>
        <v/>
      </c>
      <c r="BO112" t="str">
        <f>IFERROR(IF($C112="","",'BUDGET COMMESSA'!$G109),"")</f>
        <v/>
      </c>
      <c r="BP112" t="str">
        <f>IF($C112="","",SUMIF('COSTI DIRETTI'!$C$6:$C$505,$C112,'COSTI DIRETTI'!$H$6:$H$505)+SUMIF('SALDI AL 31.12.2025'!$A$6:$A$505,$C112,'SALDI AL 31.12.2025'!$I$6:$I$505))</f>
        <v/>
      </c>
      <c r="BQ112" t="str">
        <f t="shared" si="45"/>
        <v/>
      </c>
      <c r="BR112" t="str">
        <f t="shared" si="46"/>
        <v/>
      </c>
      <c r="BS112" t="str">
        <f>IF($C112="","",$BK112*PARAMETRI!$B$4+$BP112)</f>
        <v/>
      </c>
      <c r="BT112">
        <f t="shared" si="47"/>
        <v>0</v>
      </c>
      <c r="BU112">
        <f t="shared" si="48"/>
        <v>0</v>
      </c>
      <c r="BV112" t="str">
        <f>IF($C112="","",SUMIF('MOVIMENTI 2026'!$B$7:$B$4206,$C112,'MOVIMENTI 2026'!$P$7:$P$4206)+SUMIF('SALDI AL 31.12.2025'!$A$6:$A$505,$C112,'SALDI AL 31.12.2025'!$G$6:$G$505))</f>
        <v/>
      </c>
    </row>
    <row r="113" spans="1:74" ht="16" x14ac:dyDescent="0.15">
      <c r="A113" s="17" t="str">
        <f>IFERROR(IF($C113="","",IF(OR($BF113&gt;0,$V113&gt;$J113,AND(ISNUMBER($Q113),$Q113&gt;0),AND($BI113&lt;&gt;"",$BI113&lt;-PARAMETRI!$B$6),AND($BM113&lt;&gt;"",$BM113&gt;=1),AND($BN113&lt;&gt;"",$BN113&gt;PARAMETRI!$B$8),AND(ISNUMBER($BR113),$BR113&gt;0)),"CRITICO",IF(OR($AZ113="",LEFT($C113,5)="TEMP",$BJ113="",$BO113="",ANAGRAFICA!$I110="",ANAGRAFICA!$J110="",$Y113="",AND(OR($I113="Finito ritenute non previste",$I113="Finito con sblocco ritenute",$I113="Finito senza sblocco ritenute"),ANAGRAFICA!$K110=""),OR(AND(ANAGRAFICA!$T110&lt;&gt;"",ANAGRAFICA!$J110&lt;&gt;ANAGRAFICA!$T110,OR(ANAGRAFICA!$R110="",ANAGRAFICA!$R110="Nessuna variazione")),AND(ANAGRAFICA!$J110="",ANAGRAFICA!$R110&lt;&gt;"",ANAGRAFICA!$R110&lt;&gt;"Nessuna variazione")),AND($BI113&lt;&gt;"",$BI113&lt;-PARAMETRI!$B$5),AND($BN113&lt;&gt;"",$BN113&gt;PARAMETRI!$B$7),AND($W113&gt;0,$M113&gt;$W113*PARAMETRI!$B$9),AND($O113&gt;0,OR($I113="Finito ritenute non previste",$I113="Finito con sblocco ritenute",$I113="Finito senza sblocco ritenute")),AND($BA113&gt;0,$BO113&gt;0,$BP113=0),AND(OR($I113="Finito ritenute non previste",$I113="Finito con sblocco ritenute",$I113="Finito senza sblocco ritenute"),$W113&gt;0,$N113&gt;$W113*PARAMETRI!$B$9),$V113&gt;0),"ATTENZIONE","REGOLARE"))),"ATTENZIONE")</f>
        <v/>
      </c>
      <c r="B113" s="17" t="str">
        <f>IFERROR(IF($C113="","",IF($BF113&gt;0,"FATTURATO OLTRE VALORE RECUPERABILE; ","")&amp;IF($V113&gt;$J113,"PERDITE ACCETTATE OLTRE CONTRATTO; ","")&amp;IF($V113&gt;0,"PERDITA SAL ACCETTATA (€ "&amp;TEXT($V113,"#,##0.00")&amp;"); ","")&amp;IF(AND(ISNUMBER($Q113),$Q113&gt;0),"RITARDO PRODUTTIVO ("&amp;TEXT($Q113,"0")&amp;" GG); ","")&amp;IF(AND($BI113&lt;&gt;"",$BI113&lt;-PARAMETRI!$B$5),"AVANZAMENTO PIÙ LENTO DEL TEMPO; ","")&amp;IF(AND($BM113&lt;&gt;"",$BM113&gt;1),"ORE OLTRE BUDGET; ","")&amp;IF(AND($BM113&lt;&gt;"",$BM113=1),"ORE PREVENTIVATE ESAURITE; ","")&amp;IF(AND($BN113&lt;&gt;"",$BN113&gt;PARAMETRI!$B$7),"CONSUMO ORE SUPERIORE ALL'AVANZAMENTO; ","")&amp;IF(AND(ISNUMBER($BR113),$BR113&gt;0),"COSTI DIRETTI OLTRE BUDGET; ","")&amp;IF(AND($W113&gt;0,$M113&gt;$W113*PARAMETRI!$B$9),"SAL MATURATO NON FATTURATO; ","")&amp;IF(AND($O113&gt;0,OR($I113="Finito ritenute non previste",$I113="Finito con sblocco ritenute",$I113="Finito senza sblocco ritenute")),"RITENUTE DA SBLOCCARE; ","")&amp;IF(AND($BA113&gt;0,$BO113&gt;0,$BP113=0),"COSTI DIRETTI NON REGISTRATI; ","")&amp;IF(AND(OR($I113="Finito ritenute non previste",$I113="Finito con sblocco ritenute",$I113="Finito senza sblocco ritenute"),$W113&gt;0,$N113&gt;$W113*PARAMETRI!$B$9),"CANTIERE FINITO CON RESIDUO LAVORI; ","")&amp;IF(AND(OR($I113="Finito ritenute non previste",$I113="Finito con sblocco ritenute",$I113="Finito senza sblocco ritenute"),ANAGRAFICA!$K110=""),"DATA FINE EFFETTIVA MANCANTE; ","")&amp;IF(OR(AND(ANAGRAFICA!$T110&lt;&gt;"",ANAGRAFICA!$J110&lt;&gt;ANAGRAFICA!$T110,OR(ANAGRAFICA!$R110="",ANAGRAFICA!$R110="Nessuna variazione")),AND(ANAGRAFICA!$J110="",ANAGRAFICA!$R110&lt;&gt;"",ANAGRAFICA!$R110&lt;&gt;"Nessuna variazione")),"GESTIONE DATA FINE INCOMPLETA; ","")&amp;IF($Y113="","AGGIORNATO AL MANCANTE; ","")&amp;IF(OR($AZ113="",$BJ113="",$BO113="",ANAGRAFICA!$I110="",ANAGRAFICA!$J110=""),"DATI PREVISIONALI INCOMPLETI; ","")&amp;IF(LEFT($C113,5)="TEMP","CODICE COMMESSA TEMPORANEO; ","")),"DATI INCOMPLETI; ")</f>
        <v/>
      </c>
      <c r="C113" s="17" t="str">
        <f>IF(ANAGRAFICA!$B110="","",ANAGRAFICA!$B110)</f>
        <v/>
      </c>
      <c r="D113" s="17" t="str">
        <f>IF($C113="","",ANAGRAFICA!$C110)</f>
        <v/>
      </c>
      <c r="E113" s="17" t="str">
        <f>IF($C113="","",ANAGRAFICA!$D110)</f>
        <v/>
      </c>
      <c r="F113" s="17" t="str">
        <f>IF($C113="","",ANAGRAFICA!$E110)</f>
        <v/>
      </c>
      <c r="G113" s="17" t="str">
        <f>IF($C113="","",ANAGRAFICA!$F110)</f>
        <v/>
      </c>
      <c r="H113" s="17" t="str">
        <f>IF($C113="","",ANAGRAFICA!$G110)</f>
        <v/>
      </c>
      <c r="I113" s="17" t="str">
        <f>IF($C113="","",ANAGRAFICA!$L110)</f>
        <v/>
      </c>
      <c r="J113" s="16" t="str">
        <f t="shared" si="25"/>
        <v/>
      </c>
      <c r="K113" s="16" t="str">
        <f t="shared" si="26"/>
        <v/>
      </c>
      <c r="L113" s="16" t="str">
        <f t="shared" si="27"/>
        <v/>
      </c>
      <c r="M113" s="16" t="str">
        <f t="shared" si="28"/>
        <v/>
      </c>
      <c r="N113" s="16" t="str">
        <f t="shared" si="29"/>
        <v/>
      </c>
      <c r="O113" s="16" t="str">
        <f t="shared" si="30"/>
        <v/>
      </c>
      <c r="P113" s="17" t="str">
        <f t="shared" si="31"/>
        <v/>
      </c>
      <c r="Q113" s="31" t="str">
        <f>IF(OR($C113="",'BUDGET COMMESSA'!$D110="",'BUDGET COMMESSA'!$D110&lt;=0,ANAGRAFICA!$J110=""),"",IF(OR($I113="Finito ritenute non previste",$I113="Finito con sblocco ritenute",$I113="Finito senza sblocco ritenute"),0,IF(AND($BK113&gt;=$BJ113,ANAGRAFICA!$R110="Ritardo produttivo FIDA"),IF(ANAGRAFICA!$T110&lt;&gt;"",MAX(0,ANAGRAFICA!$J110-ANAGRAFICA!$T110),MAX(0,$Y113-ANAGRAFICA!$J110)),0)))</f>
        <v/>
      </c>
      <c r="R113" s="17" t="str">
        <f t="shared" si="32"/>
        <v/>
      </c>
      <c r="S113" s="17" t="str">
        <f t="shared" si="33"/>
        <v/>
      </c>
      <c r="T113" s="17" t="str">
        <f t="shared" si="34"/>
        <v/>
      </c>
      <c r="U113" s="16" t="str">
        <f t="shared" si="35"/>
        <v/>
      </c>
      <c r="V113" s="16" t="str">
        <f t="shared" si="36"/>
        <v/>
      </c>
      <c r="W113" s="16" t="str">
        <f t="shared" si="37"/>
        <v/>
      </c>
      <c r="X113" s="40"/>
      <c r="Y113" s="14"/>
      <c r="AZ113" t="str">
        <f>IF($C113="","",ANAGRAFICA!$P110)</f>
        <v/>
      </c>
      <c r="BA113" t="str">
        <f>IF($C113="","",SUMIF('MOVIMENTI 2026'!$B$7:$B$4206,$C113,'MOVIMENTI 2026'!$I$7:$I$4206)+SUMIF('SALDI AL 31.12.2025'!$A$6:$A$505,$C113,'SALDI AL 31.12.2025'!$C$6:$C$505))</f>
        <v/>
      </c>
      <c r="BB113" t="str">
        <f>IF($C113="","",SUMIF('MOVIMENTI 2026'!$B$7:$B$4206,$C113,'MOVIMENTI 2026'!$J$7:$J$4206)+SUMIF('SALDI AL 31.12.2025'!$A$6:$A$505,$C113,'SALDI AL 31.12.2025'!$D$6:$D$505))</f>
        <v/>
      </c>
      <c r="BC113" t="str">
        <f>IF($C113="","",SUMIF('MOVIMENTI 2026'!$B$7:$B$4206,$C113,'MOVIMENTI 2026'!$K$7:$K$4206)+SUMIF('SALDI AL 31.12.2025'!$A$6:$A$505,$C113,'SALDI AL 31.12.2025'!$E$6:$E$505))</f>
        <v/>
      </c>
      <c r="BD113" t="str">
        <f>IF($C113="","",SUMIF('MOVIMENTI 2026'!$B$7:$B$4206,$C113,'MOVIMENTI 2026'!$L$7:$L$4206)+SUMIF('SALDI AL 31.12.2025'!$A$6:$A$505,$C113,'SALDI AL 31.12.2025'!$F$6:$F$505))</f>
        <v/>
      </c>
      <c r="BE113" t="str">
        <f t="shared" si="38"/>
        <v/>
      </c>
      <c r="BF113" t="str">
        <f t="shared" si="39"/>
        <v/>
      </c>
      <c r="BG113" t="str">
        <f t="shared" si="40"/>
        <v/>
      </c>
      <c r="BH113" t="str">
        <f>IFERROR(IF(OR($C113="",ANAGRAFICA!$I110="",ANAGRAFICA!$J110="",ANAGRAFICA!$J110&lt;=ANAGRAFICA!$I110,$Y113=""),"",IF(OR($I113="Finito ritenute non previste",$I113="Finito con sblocco ritenute",$I113="Finito senza sblocco ritenute"),1,MAX(0,MIN(1,($Y113-ANAGRAFICA!$I110)/(ANAGRAFICA!$J110-ANAGRAFICA!$I110))))),"")</f>
        <v/>
      </c>
      <c r="BI113" t="str">
        <f t="shared" si="41"/>
        <v/>
      </c>
      <c r="BJ113" t="str">
        <f>IFERROR(IF($C113="","",'BUDGET COMMESSA'!$D110),"")</f>
        <v/>
      </c>
      <c r="BK113" t="str">
        <f>IF($C113="","",SUMIF('MOVIMENTI 2026'!$B$7:$B$4206,$C113,'MOVIMENTI 2026'!$N$7:$N$4206)+SUMIF('SALDI AL 31.12.2025'!$A$6:$A$505,$C113,'SALDI AL 31.12.2025'!$H$6:$H$505))</f>
        <v/>
      </c>
      <c r="BL113" t="str">
        <f t="shared" si="42"/>
        <v/>
      </c>
      <c r="BM113" t="str">
        <f t="shared" si="43"/>
        <v/>
      </c>
      <c r="BN113" t="str">
        <f t="shared" si="44"/>
        <v/>
      </c>
      <c r="BO113" t="str">
        <f>IFERROR(IF($C113="","",'BUDGET COMMESSA'!$G110),"")</f>
        <v/>
      </c>
      <c r="BP113" t="str">
        <f>IF($C113="","",SUMIF('COSTI DIRETTI'!$C$6:$C$505,$C113,'COSTI DIRETTI'!$H$6:$H$505)+SUMIF('SALDI AL 31.12.2025'!$A$6:$A$505,$C113,'SALDI AL 31.12.2025'!$I$6:$I$505))</f>
        <v/>
      </c>
      <c r="BQ113" t="str">
        <f t="shared" si="45"/>
        <v/>
      </c>
      <c r="BR113" t="str">
        <f t="shared" si="46"/>
        <v/>
      </c>
      <c r="BS113" t="str">
        <f>IF($C113="","",$BK113*PARAMETRI!$B$4+$BP113)</f>
        <v/>
      </c>
      <c r="BT113">
        <f t="shared" si="47"/>
        <v>0</v>
      </c>
      <c r="BU113">
        <f t="shared" si="48"/>
        <v>0</v>
      </c>
      <c r="BV113" t="str">
        <f>IF($C113="","",SUMIF('MOVIMENTI 2026'!$B$7:$B$4206,$C113,'MOVIMENTI 2026'!$P$7:$P$4206)+SUMIF('SALDI AL 31.12.2025'!$A$6:$A$505,$C113,'SALDI AL 31.12.2025'!$G$6:$G$505))</f>
        <v/>
      </c>
    </row>
    <row r="114" spans="1:74" ht="16" x14ac:dyDescent="0.15">
      <c r="A114" s="17" t="str">
        <f>IFERROR(IF($C114="","",IF(OR($BF114&gt;0,$V114&gt;$J114,AND(ISNUMBER($Q114),$Q114&gt;0),AND($BI114&lt;&gt;"",$BI114&lt;-PARAMETRI!$B$6),AND($BM114&lt;&gt;"",$BM114&gt;=1),AND($BN114&lt;&gt;"",$BN114&gt;PARAMETRI!$B$8),AND(ISNUMBER($BR114),$BR114&gt;0)),"CRITICO",IF(OR($AZ114="",LEFT($C114,5)="TEMP",$BJ114="",$BO114="",ANAGRAFICA!$I111="",ANAGRAFICA!$J111="",$Y114="",AND(OR($I114="Finito ritenute non previste",$I114="Finito con sblocco ritenute",$I114="Finito senza sblocco ritenute"),ANAGRAFICA!$K111=""),OR(AND(ANAGRAFICA!$T111&lt;&gt;"",ANAGRAFICA!$J111&lt;&gt;ANAGRAFICA!$T111,OR(ANAGRAFICA!$R111="",ANAGRAFICA!$R111="Nessuna variazione")),AND(ANAGRAFICA!$J111="",ANAGRAFICA!$R111&lt;&gt;"",ANAGRAFICA!$R111&lt;&gt;"Nessuna variazione")),AND($BI114&lt;&gt;"",$BI114&lt;-PARAMETRI!$B$5),AND($BN114&lt;&gt;"",$BN114&gt;PARAMETRI!$B$7),AND($W114&gt;0,$M114&gt;$W114*PARAMETRI!$B$9),AND($O114&gt;0,OR($I114="Finito ritenute non previste",$I114="Finito con sblocco ritenute",$I114="Finito senza sblocco ritenute")),AND($BA114&gt;0,$BO114&gt;0,$BP114=0),AND(OR($I114="Finito ritenute non previste",$I114="Finito con sblocco ritenute",$I114="Finito senza sblocco ritenute"),$W114&gt;0,$N114&gt;$W114*PARAMETRI!$B$9),$V114&gt;0),"ATTENZIONE","REGOLARE"))),"ATTENZIONE")</f>
        <v/>
      </c>
      <c r="B114" s="17" t="str">
        <f>IFERROR(IF($C114="","",IF($BF114&gt;0,"FATTURATO OLTRE VALORE RECUPERABILE; ","")&amp;IF($V114&gt;$J114,"PERDITE ACCETTATE OLTRE CONTRATTO; ","")&amp;IF($V114&gt;0,"PERDITA SAL ACCETTATA (€ "&amp;TEXT($V114,"#,##0.00")&amp;"); ","")&amp;IF(AND(ISNUMBER($Q114),$Q114&gt;0),"RITARDO PRODUTTIVO ("&amp;TEXT($Q114,"0")&amp;" GG); ","")&amp;IF(AND($BI114&lt;&gt;"",$BI114&lt;-PARAMETRI!$B$5),"AVANZAMENTO PIÙ LENTO DEL TEMPO; ","")&amp;IF(AND($BM114&lt;&gt;"",$BM114&gt;1),"ORE OLTRE BUDGET; ","")&amp;IF(AND($BM114&lt;&gt;"",$BM114=1),"ORE PREVENTIVATE ESAURITE; ","")&amp;IF(AND($BN114&lt;&gt;"",$BN114&gt;PARAMETRI!$B$7),"CONSUMO ORE SUPERIORE ALL'AVANZAMENTO; ","")&amp;IF(AND(ISNUMBER($BR114),$BR114&gt;0),"COSTI DIRETTI OLTRE BUDGET; ","")&amp;IF(AND($W114&gt;0,$M114&gt;$W114*PARAMETRI!$B$9),"SAL MATURATO NON FATTURATO; ","")&amp;IF(AND($O114&gt;0,OR($I114="Finito ritenute non previste",$I114="Finito con sblocco ritenute",$I114="Finito senza sblocco ritenute")),"RITENUTE DA SBLOCCARE; ","")&amp;IF(AND($BA114&gt;0,$BO114&gt;0,$BP114=0),"COSTI DIRETTI NON REGISTRATI; ","")&amp;IF(AND(OR($I114="Finito ritenute non previste",$I114="Finito con sblocco ritenute",$I114="Finito senza sblocco ritenute"),$W114&gt;0,$N114&gt;$W114*PARAMETRI!$B$9),"CANTIERE FINITO CON RESIDUO LAVORI; ","")&amp;IF(AND(OR($I114="Finito ritenute non previste",$I114="Finito con sblocco ritenute",$I114="Finito senza sblocco ritenute"),ANAGRAFICA!$K111=""),"DATA FINE EFFETTIVA MANCANTE; ","")&amp;IF(OR(AND(ANAGRAFICA!$T111&lt;&gt;"",ANAGRAFICA!$J111&lt;&gt;ANAGRAFICA!$T111,OR(ANAGRAFICA!$R111="",ANAGRAFICA!$R111="Nessuna variazione")),AND(ANAGRAFICA!$J111="",ANAGRAFICA!$R111&lt;&gt;"",ANAGRAFICA!$R111&lt;&gt;"Nessuna variazione")),"GESTIONE DATA FINE INCOMPLETA; ","")&amp;IF($Y114="","AGGIORNATO AL MANCANTE; ","")&amp;IF(OR($AZ114="",$BJ114="",$BO114="",ANAGRAFICA!$I111="",ANAGRAFICA!$J111=""),"DATI PREVISIONALI INCOMPLETI; ","")&amp;IF(LEFT($C114,5)="TEMP","CODICE COMMESSA TEMPORANEO; ","")),"DATI INCOMPLETI; ")</f>
        <v/>
      </c>
      <c r="C114" s="17" t="str">
        <f>IF(ANAGRAFICA!$B111="","",ANAGRAFICA!$B111)</f>
        <v/>
      </c>
      <c r="D114" s="17" t="str">
        <f>IF($C114="","",ANAGRAFICA!$C111)</f>
        <v/>
      </c>
      <c r="E114" s="17" t="str">
        <f>IF($C114="","",ANAGRAFICA!$D111)</f>
        <v/>
      </c>
      <c r="F114" s="17" t="str">
        <f>IF($C114="","",ANAGRAFICA!$E111)</f>
        <v/>
      </c>
      <c r="G114" s="17" t="str">
        <f>IF($C114="","",ANAGRAFICA!$F111)</f>
        <v/>
      </c>
      <c r="H114" s="17" t="str">
        <f>IF($C114="","",ANAGRAFICA!$G111)</f>
        <v/>
      </c>
      <c r="I114" s="17" t="str">
        <f>IF($C114="","",ANAGRAFICA!$L111)</f>
        <v/>
      </c>
      <c r="J114" s="16" t="str">
        <f t="shared" si="25"/>
        <v/>
      </c>
      <c r="K114" s="16" t="str">
        <f t="shared" si="26"/>
        <v/>
      </c>
      <c r="L114" s="16" t="str">
        <f t="shared" si="27"/>
        <v/>
      </c>
      <c r="M114" s="16" t="str">
        <f t="shared" si="28"/>
        <v/>
      </c>
      <c r="N114" s="16" t="str">
        <f t="shared" si="29"/>
        <v/>
      </c>
      <c r="O114" s="16" t="str">
        <f t="shared" si="30"/>
        <v/>
      </c>
      <c r="P114" s="17" t="str">
        <f t="shared" si="31"/>
        <v/>
      </c>
      <c r="Q114" s="31" t="str">
        <f>IF(OR($C114="",'BUDGET COMMESSA'!$D111="",'BUDGET COMMESSA'!$D111&lt;=0,ANAGRAFICA!$J111=""),"",IF(OR($I114="Finito ritenute non previste",$I114="Finito con sblocco ritenute",$I114="Finito senza sblocco ritenute"),0,IF(AND($BK114&gt;=$BJ114,ANAGRAFICA!$R111="Ritardo produttivo FIDA"),IF(ANAGRAFICA!$T111&lt;&gt;"",MAX(0,ANAGRAFICA!$J111-ANAGRAFICA!$T111),MAX(0,$Y114-ANAGRAFICA!$J111)),0)))</f>
        <v/>
      </c>
      <c r="R114" s="17" t="str">
        <f t="shared" si="32"/>
        <v/>
      </c>
      <c r="S114" s="17" t="str">
        <f t="shared" si="33"/>
        <v/>
      </c>
      <c r="T114" s="17" t="str">
        <f t="shared" si="34"/>
        <v/>
      </c>
      <c r="U114" s="16" t="str">
        <f t="shared" si="35"/>
        <v/>
      </c>
      <c r="V114" s="16" t="str">
        <f t="shared" si="36"/>
        <v/>
      </c>
      <c r="W114" s="16" t="str">
        <f t="shared" si="37"/>
        <v/>
      </c>
      <c r="X114" s="40"/>
      <c r="Y114" s="14"/>
      <c r="AZ114" t="str">
        <f>IF($C114="","",ANAGRAFICA!$P111)</f>
        <v/>
      </c>
      <c r="BA114" t="str">
        <f>IF($C114="","",SUMIF('MOVIMENTI 2026'!$B$7:$B$4206,$C114,'MOVIMENTI 2026'!$I$7:$I$4206)+SUMIF('SALDI AL 31.12.2025'!$A$6:$A$505,$C114,'SALDI AL 31.12.2025'!$C$6:$C$505))</f>
        <v/>
      </c>
      <c r="BB114" t="str">
        <f>IF($C114="","",SUMIF('MOVIMENTI 2026'!$B$7:$B$4206,$C114,'MOVIMENTI 2026'!$J$7:$J$4206)+SUMIF('SALDI AL 31.12.2025'!$A$6:$A$505,$C114,'SALDI AL 31.12.2025'!$D$6:$D$505))</f>
        <v/>
      </c>
      <c r="BC114" t="str">
        <f>IF($C114="","",SUMIF('MOVIMENTI 2026'!$B$7:$B$4206,$C114,'MOVIMENTI 2026'!$K$7:$K$4206)+SUMIF('SALDI AL 31.12.2025'!$A$6:$A$505,$C114,'SALDI AL 31.12.2025'!$E$6:$E$505))</f>
        <v/>
      </c>
      <c r="BD114" t="str">
        <f>IF($C114="","",SUMIF('MOVIMENTI 2026'!$B$7:$B$4206,$C114,'MOVIMENTI 2026'!$L$7:$L$4206)+SUMIF('SALDI AL 31.12.2025'!$A$6:$A$505,$C114,'SALDI AL 31.12.2025'!$F$6:$F$505))</f>
        <v/>
      </c>
      <c r="BE114" t="str">
        <f t="shared" si="38"/>
        <v/>
      </c>
      <c r="BF114" t="str">
        <f t="shared" si="39"/>
        <v/>
      </c>
      <c r="BG114" t="str">
        <f t="shared" si="40"/>
        <v/>
      </c>
      <c r="BH114" t="str">
        <f>IFERROR(IF(OR($C114="",ANAGRAFICA!$I111="",ANAGRAFICA!$J111="",ANAGRAFICA!$J111&lt;=ANAGRAFICA!$I111,$Y114=""),"",IF(OR($I114="Finito ritenute non previste",$I114="Finito con sblocco ritenute",$I114="Finito senza sblocco ritenute"),1,MAX(0,MIN(1,($Y114-ANAGRAFICA!$I111)/(ANAGRAFICA!$J111-ANAGRAFICA!$I111))))),"")</f>
        <v/>
      </c>
      <c r="BI114" t="str">
        <f t="shared" si="41"/>
        <v/>
      </c>
      <c r="BJ114" t="str">
        <f>IFERROR(IF($C114="","",'BUDGET COMMESSA'!$D111),"")</f>
        <v/>
      </c>
      <c r="BK114" t="str">
        <f>IF($C114="","",SUMIF('MOVIMENTI 2026'!$B$7:$B$4206,$C114,'MOVIMENTI 2026'!$N$7:$N$4206)+SUMIF('SALDI AL 31.12.2025'!$A$6:$A$505,$C114,'SALDI AL 31.12.2025'!$H$6:$H$505))</f>
        <v/>
      </c>
      <c r="BL114" t="str">
        <f t="shared" si="42"/>
        <v/>
      </c>
      <c r="BM114" t="str">
        <f t="shared" si="43"/>
        <v/>
      </c>
      <c r="BN114" t="str">
        <f t="shared" si="44"/>
        <v/>
      </c>
      <c r="BO114" t="str">
        <f>IFERROR(IF($C114="","",'BUDGET COMMESSA'!$G111),"")</f>
        <v/>
      </c>
      <c r="BP114" t="str">
        <f>IF($C114="","",SUMIF('COSTI DIRETTI'!$C$6:$C$505,$C114,'COSTI DIRETTI'!$H$6:$H$505)+SUMIF('SALDI AL 31.12.2025'!$A$6:$A$505,$C114,'SALDI AL 31.12.2025'!$I$6:$I$505))</f>
        <v/>
      </c>
      <c r="BQ114" t="str">
        <f t="shared" si="45"/>
        <v/>
      </c>
      <c r="BR114" t="str">
        <f t="shared" si="46"/>
        <v/>
      </c>
      <c r="BS114" t="str">
        <f>IF($C114="","",$BK114*PARAMETRI!$B$4+$BP114)</f>
        <v/>
      </c>
      <c r="BT114">
        <f t="shared" si="47"/>
        <v>0</v>
      </c>
      <c r="BU114">
        <f t="shared" si="48"/>
        <v>0</v>
      </c>
      <c r="BV114" t="str">
        <f>IF($C114="","",SUMIF('MOVIMENTI 2026'!$B$7:$B$4206,$C114,'MOVIMENTI 2026'!$P$7:$P$4206)+SUMIF('SALDI AL 31.12.2025'!$A$6:$A$505,$C114,'SALDI AL 31.12.2025'!$G$6:$G$505))</f>
        <v/>
      </c>
    </row>
    <row r="115" spans="1:74" ht="16" x14ac:dyDescent="0.15">
      <c r="A115" s="17" t="str">
        <f>IFERROR(IF($C115="","",IF(OR($BF115&gt;0,$V115&gt;$J115,AND(ISNUMBER($Q115),$Q115&gt;0),AND($BI115&lt;&gt;"",$BI115&lt;-PARAMETRI!$B$6),AND($BM115&lt;&gt;"",$BM115&gt;=1),AND($BN115&lt;&gt;"",$BN115&gt;PARAMETRI!$B$8),AND(ISNUMBER($BR115),$BR115&gt;0)),"CRITICO",IF(OR($AZ115="",LEFT($C115,5)="TEMP",$BJ115="",$BO115="",ANAGRAFICA!$I112="",ANAGRAFICA!$J112="",$Y115="",AND(OR($I115="Finito ritenute non previste",$I115="Finito con sblocco ritenute",$I115="Finito senza sblocco ritenute"),ANAGRAFICA!$K112=""),OR(AND(ANAGRAFICA!$T112&lt;&gt;"",ANAGRAFICA!$J112&lt;&gt;ANAGRAFICA!$T112,OR(ANAGRAFICA!$R112="",ANAGRAFICA!$R112="Nessuna variazione")),AND(ANAGRAFICA!$J112="",ANAGRAFICA!$R112&lt;&gt;"",ANAGRAFICA!$R112&lt;&gt;"Nessuna variazione")),AND($BI115&lt;&gt;"",$BI115&lt;-PARAMETRI!$B$5),AND($BN115&lt;&gt;"",$BN115&gt;PARAMETRI!$B$7),AND($W115&gt;0,$M115&gt;$W115*PARAMETRI!$B$9),AND($O115&gt;0,OR($I115="Finito ritenute non previste",$I115="Finito con sblocco ritenute",$I115="Finito senza sblocco ritenute")),AND($BA115&gt;0,$BO115&gt;0,$BP115=0),AND(OR($I115="Finito ritenute non previste",$I115="Finito con sblocco ritenute",$I115="Finito senza sblocco ritenute"),$W115&gt;0,$N115&gt;$W115*PARAMETRI!$B$9),$V115&gt;0),"ATTENZIONE","REGOLARE"))),"ATTENZIONE")</f>
        <v/>
      </c>
      <c r="B115" s="17" t="str">
        <f>IFERROR(IF($C115="","",IF($BF115&gt;0,"FATTURATO OLTRE VALORE RECUPERABILE; ","")&amp;IF($V115&gt;$J115,"PERDITE ACCETTATE OLTRE CONTRATTO; ","")&amp;IF($V115&gt;0,"PERDITA SAL ACCETTATA (€ "&amp;TEXT($V115,"#,##0.00")&amp;"); ","")&amp;IF(AND(ISNUMBER($Q115),$Q115&gt;0),"RITARDO PRODUTTIVO ("&amp;TEXT($Q115,"0")&amp;" GG); ","")&amp;IF(AND($BI115&lt;&gt;"",$BI115&lt;-PARAMETRI!$B$5),"AVANZAMENTO PIÙ LENTO DEL TEMPO; ","")&amp;IF(AND($BM115&lt;&gt;"",$BM115&gt;1),"ORE OLTRE BUDGET; ","")&amp;IF(AND($BM115&lt;&gt;"",$BM115=1),"ORE PREVENTIVATE ESAURITE; ","")&amp;IF(AND($BN115&lt;&gt;"",$BN115&gt;PARAMETRI!$B$7),"CONSUMO ORE SUPERIORE ALL'AVANZAMENTO; ","")&amp;IF(AND(ISNUMBER($BR115),$BR115&gt;0),"COSTI DIRETTI OLTRE BUDGET; ","")&amp;IF(AND($W115&gt;0,$M115&gt;$W115*PARAMETRI!$B$9),"SAL MATURATO NON FATTURATO; ","")&amp;IF(AND($O115&gt;0,OR($I115="Finito ritenute non previste",$I115="Finito con sblocco ritenute",$I115="Finito senza sblocco ritenute")),"RITENUTE DA SBLOCCARE; ","")&amp;IF(AND($BA115&gt;0,$BO115&gt;0,$BP115=0),"COSTI DIRETTI NON REGISTRATI; ","")&amp;IF(AND(OR($I115="Finito ritenute non previste",$I115="Finito con sblocco ritenute",$I115="Finito senza sblocco ritenute"),$W115&gt;0,$N115&gt;$W115*PARAMETRI!$B$9),"CANTIERE FINITO CON RESIDUO LAVORI; ","")&amp;IF(AND(OR($I115="Finito ritenute non previste",$I115="Finito con sblocco ritenute",$I115="Finito senza sblocco ritenute"),ANAGRAFICA!$K112=""),"DATA FINE EFFETTIVA MANCANTE; ","")&amp;IF(OR(AND(ANAGRAFICA!$T112&lt;&gt;"",ANAGRAFICA!$J112&lt;&gt;ANAGRAFICA!$T112,OR(ANAGRAFICA!$R112="",ANAGRAFICA!$R112="Nessuna variazione")),AND(ANAGRAFICA!$J112="",ANAGRAFICA!$R112&lt;&gt;"",ANAGRAFICA!$R112&lt;&gt;"Nessuna variazione")),"GESTIONE DATA FINE INCOMPLETA; ","")&amp;IF($Y115="","AGGIORNATO AL MANCANTE; ","")&amp;IF(OR($AZ115="",$BJ115="",$BO115="",ANAGRAFICA!$I112="",ANAGRAFICA!$J112=""),"DATI PREVISIONALI INCOMPLETI; ","")&amp;IF(LEFT($C115,5)="TEMP","CODICE COMMESSA TEMPORANEO; ","")),"DATI INCOMPLETI; ")</f>
        <v/>
      </c>
      <c r="C115" s="17" t="str">
        <f>IF(ANAGRAFICA!$B112="","",ANAGRAFICA!$B112)</f>
        <v/>
      </c>
      <c r="D115" s="17" t="str">
        <f>IF($C115="","",ANAGRAFICA!$C112)</f>
        <v/>
      </c>
      <c r="E115" s="17" t="str">
        <f>IF($C115="","",ANAGRAFICA!$D112)</f>
        <v/>
      </c>
      <c r="F115" s="17" t="str">
        <f>IF($C115="","",ANAGRAFICA!$E112)</f>
        <v/>
      </c>
      <c r="G115" s="17" t="str">
        <f>IF($C115="","",ANAGRAFICA!$F112)</f>
        <v/>
      </c>
      <c r="H115" s="17" t="str">
        <f>IF($C115="","",ANAGRAFICA!$G112)</f>
        <v/>
      </c>
      <c r="I115" s="17" t="str">
        <f>IF($C115="","",ANAGRAFICA!$L112)</f>
        <v/>
      </c>
      <c r="J115" s="16" t="str">
        <f t="shared" si="25"/>
        <v/>
      </c>
      <c r="K115" s="16" t="str">
        <f t="shared" si="26"/>
        <v/>
      </c>
      <c r="L115" s="16" t="str">
        <f t="shared" si="27"/>
        <v/>
      </c>
      <c r="M115" s="16" t="str">
        <f t="shared" si="28"/>
        <v/>
      </c>
      <c r="N115" s="16" t="str">
        <f t="shared" si="29"/>
        <v/>
      </c>
      <c r="O115" s="16" t="str">
        <f t="shared" si="30"/>
        <v/>
      </c>
      <c r="P115" s="17" t="str">
        <f t="shared" si="31"/>
        <v/>
      </c>
      <c r="Q115" s="31" t="str">
        <f>IF(OR($C115="",'BUDGET COMMESSA'!$D112="",'BUDGET COMMESSA'!$D112&lt;=0,ANAGRAFICA!$J112=""),"",IF(OR($I115="Finito ritenute non previste",$I115="Finito con sblocco ritenute",$I115="Finito senza sblocco ritenute"),0,IF(AND($BK115&gt;=$BJ115,ANAGRAFICA!$R112="Ritardo produttivo FIDA"),IF(ANAGRAFICA!$T112&lt;&gt;"",MAX(0,ANAGRAFICA!$J112-ANAGRAFICA!$T112),MAX(0,$Y115-ANAGRAFICA!$J112)),0)))</f>
        <v/>
      </c>
      <c r="R115" s="17" t="str">
        <f t="shared" si="32"/>
        <v/>
      </c>
      <c r="S115" s="17" t="str">
        <f t="shared" si="33"/>
        <v/>
      </c>
      <c r="T115" s="17" t="str">
        <f t="shared" si="34"/>
        <v/>
      </c>
      <c r="U115" s="16" t="str">
        <f t="shared" si="35"/>
        <v/>
      </c>
      <c r="V115" s="16" t="str">
        <f t="shared" si="36"/>
        <v/>
      </c>
      <c r="W115" s="16" t="str">
        <f t="shared" si="37"/>
        <v/>
      </c>
      <c r="X115" s="40"/>
      <c r="Y115" s="14"/>
      <c r="AZ115" t="str">
        <f>IF($C115="","",ANAGRAFICA!$P112)</f>
        <v/>
      </c>
      <c r="BA115" t="str">
        <f>IF($C115="","",SUMIF('MOVIMENTI 2026'!$B$7:$B$4206,$C115,'MOVIMENTI 2026'!$I$7:$I$4206)+SUMIF('SALDI AL 31.12.2025'!$A$6:$A$505,$C115,'SALDI AL 31.12.2025'!$C$6:$C$505))</f>
        <v/>
      </c>
      <c r="BB115" t="str">
        <f>IF($C115="","",SUMIF('MOVIMENTI 2026'!$B$7:$B$4206,$C115,'MOVIMENTI 2026'!$J$7:$J$4206)+SUMIF('SALDI AL 31.12.2025'!$A$6:$A$505,$C115,'SALDI AL 31.12.2025'!$D$6:$D$505))</f>
        <v/>
      </c>
      <c r="BC115" t="str">
        <f>IF($C115="","",SUMIF('MOVIMENTI 2026'!$B$7:$B$4206,$C115,'MOVIMENTI 2026'!$K$7:$K$4206)+SUMIF('SALDI AL 31.12.2025'!$A$6:$A$505,$C115,'SALDI AL 31.12.2025'!$E$6:$E$505))</f>
        <v/>
      </c>
      <c r="BD115" t="str">
        <f>IF($C115="","",SUMIF('MOVIMENTI 2026'!$B$7:$B$4206,$C115,'MOVIMENTI 2026'!$L$7:$L$4206)+SUMIF('SALDI AL 31.12.2025'!$A$6:$A$505,$C115,'SALDI AL 31.12.2025'!$F$6:$F$505))</f>
        <v/>
      </c>
      <c r="BE115" t="str">
        <f t="shared" si="38"/>
        <v/>
      </c>
      <c r="BF115" t="str">
        <f t="shared" si="39"/>
        <v/>
      </c>
      <c r="BG115" t="str">
        <f t="shared" si="40"/>
        <v/>
      </c>
      <c r="BH115" t="str">
        <f>IFERROR(IF(OR($C115="",ANAGRAFICA!$I112="",ANAGRAFICA!$J112="",ANAGRAFICA!$J112&lt;=ANAGRAFICA!$I112,$Y115=""),"",IF(OR($I115="Finito ritenute non previste",$I115="Finito con sblocco ritenute",$I115="Finito senza sblocco ritenute"),1,MAX(0,MIN(1,($Y115-ANAGRAFICA!$I112)/(ANAGRAFICA!$J112-ANAGRAFICA!$I112))))),"")</f>
        <v/>
      </c>
      <c r="BI115" t="str">
        <f t="shared" si="41"/>
        <v/>
      </c>
      <c r="BJ115" t="str">
        <f>IFERROR(IF($C115="","",'BUDGET COMMESSA'!$D112),"")</f>
        <v/>
      </c>
      <c r="BK115" t="str">
        <f>IF($C115="","",SUMIF('MOVIMENTI 2026'!$B$7:$B$4206,$C115,'MOVIMENTI 2026'!$N$7:$N$4206)+SUMIF('SALDI AL 31.12.2025'!$A$6:$A$505,$C115,'SALDI AL 31.12.2025'!$H$6:$H$505))</f>
        <v/>
      </c>
      <c r="BL115" t="str">
        <f t="shared" si="42"/>
        <v/>
      </c>
      <c r="BM115" t="str">
        <f t="shared" si="43"/>
        <v/>
      </c>
      <c r="BN115" t="str">
        <f t="shared" si="44"/>
        <v/>
      </c>
      <c r="BO115" t="str">
        <f>IFERROR(IF($C115="","",'BUDGET COMMESSA'!$G112),"")</f>
        <v/>
      </c>
      <c r="BP115" t="str">
        <f>IF($C115="","",SUMIF('COSTI DIRETTI'!$C$6:$C$505,$C115,'COSTI DIRETTI'!$H$6:$H$505)+SUMIF('SALDI AL 31.12.2025'!$A$6:$A$505,$C115,'SALDI AL 31.12.2025'!$I$6:$I$505))</f>
        <v/>
      </c>
      <c r="BQ115" t="str">
        <f t="shared" si="45"/>
        <v/>
      </c>
      <c r="BR115" t="str">
        <f t="shared" si="46"/>
        <v/>
      </c>
      <c r="BS115" t="str">
        <f>IF($C115="","",$BK115*PARAMETRI!$B$4+$BP115)</f>
        <v/>
      </c>
      <c r="BT115">
        <f t="shared" si="47"/>
        <v>0</v>
      </c>
      <c r="BU115">
        <f t="shared" si="48"/>
        <v>0</v>
      </c>
      <c r="BV115" t="str">
        <f>IF($C115="","",SUMIF('MOVIMENTI 2026'!$B$7:$B$4206,$C115,'MOVIMENTI 2026'!$P$7:$P$4206)+SUMIF('SALDI AL 31.12.2025'!$A$6:$A$505,$C115,'SALDI AL 31.12.2025'!$G$6:$G$505))</f>
        <v/>
      </c>
    </row>
    <row r="116" spans="1:74" ht="16" x14ac:dyDescent="0.15">
      <c r="A116" s="17" t="str">
        <f>IFERROR(IF($C116="","",IF(OR($BF116&gt;0,$V116&gt;$J116,AND(ISNUMBER($Q116),$Q116&gt;0),AND($BI116&lt;&gt;"",$BI116&lt;-PARAMETRI!$B$6),AND($BM116&lt;&gt;"",$BM116&gt;=1),AND($BN116&lt;&gt;"",$BN116&gt;PARAMETRI!$B$8),AND(ISNUMBER($BR116),$BR116&gt;0)),"CRITICO",IF(OR($AZ116="",LEFT($C116,5)="TEMP",$BJ116="",$BO116="",ANAGRAFICA!$I113="",ANAGRAFICA!$J113="",$Y116="",AND(OR($I116="Finito ritenute non previste",$I116="Finito con sblocco ritenute",$I116="Finito senza sblocco ritenute"),ANAGRAFICA!$K113=""),OR(AND(ANAGRAFICA!$T113&lt;&gt;"",ANAGRAFICA!$J113&lt;&gt;ANAGRAFICA!$T113,OR(ANAGRAFICA!$R113="",ANAGRAFICA!$R113="Nessuna variazione")),AND(ANAGRAFICA!$J113="",ANAGRAFICA!$R113&lt;&gt;"",ANAGRAFICA!$R113&lt;&gt;"Nessuna variazione")),AND($BI116&lt;&gt;"",$BI116&lt;-PARAMETRI!$B$5),AND($BN116&lt;&gt;"",$BN116&gt;PARAMETRI!$B$7),AND($W116&gt;0,$M116&gt;$W116*PARAMETRI!$B$9),AND($O116&gt;0,OR($I116="Finito ritenute non previste",$I116="Finito con sblocco ritenute",$I116="Finito senza sblocco ritenute")),AND($BA116&gt;0,$BO116&gt;0,$BP116=0),AND(OR($I116="Finito ritenute non previste",$I116="Finito con sblocco ritenute",$I116="Finito senza sblocco ritenute"),$W116&gt;0,$N116&gt;$W116*PARAMETRI!$B$9),$V116&gt;0),"ATTENZIONE","REGOLARE"))),"ATTENZIONE")</f>
        <v/>
      </c>
      <c r="B116" s="17" t="str">
        <f>IFERROR(IF($C116="","",IF($BF116&gt;0,"FATTURATO OLTRE VALORE RECUPERABILE; ","")&amp;IF($V116&gt;$J116,"PERDITE ACCETTATE OLTRE CONTRATTO; ","")&amp;IF($V116&gt;0,"PERDITA SAL ACCETTATA (€ "&amp;TEXT($V116,"#,##0.00")&amp;"); ","")&amp;IF(AND(ISNUMBER($Q116),$Q116&gt;0),"RITARDO PRODUTTIVO ("&amp;TEXT($Q116,"0")&amp;" GG); ","")&amp;IF(AND($BI116&lt;&gt;"",$BI116&lt;-PARAMETRI!$B$5),"AVANZAMENTO PIÙ LENTO DEL TEMPO; ","")&amp;IF(AND($BM116&lt;&gt;"",$BM116&gt;1),"ORE OLTRE BUDGET; ","")&amp;IF(AND($BM116&lt;&gt;"",$BM116=1),"ORE PREVENTIVATE ESAURITE; ","")&amp;IF(AND($BN116&lt;&gt;"",$BN116&gt;PARAMETRI!$B$7),"CONSUMO ORE SUPERIORE ALL'AVANZAMENTO; ","")&amp;IF(AND(ISNUMBER($BR116),$BR116&gt;0),"COSTI DIRETTI OLTRE BUDGET; ","")&amp;IF(AND($W116&gt;0,$M116&gt;$W116*PARAMETRI!$B$9),"SAL MATURATO NON FATTURATO; ","")&amp;IF(AND($O116&gt;0,OR($I116="Finito ritenute non previste",$I116="Finito con sblocco ritenute",$I116="Finito senza sblocco ritenute")),"RITENUTE DA SBLOCCARE; ","")&amp;IF(AND($BA116&gt;0,$BO116&gt;0,$BP116=0),"COSTI DIRETTI NON REGISTRATI; ","")&amp;IF(AND(OR($I116="Finito ritenute non previste",$I116="Finito con sblocco ritenute",$I116="Finito senza sblocco ritenute"),$W116&gt;0,$N116&gt;$W116*PARAMETRI!$B$9),"CANTIERE FINITO CON RESIDUO LAVORI; ","")&amp;IF(AND(OR($I116="Finito ritenute non previste",$I116="Finito con sblocco ritenute",$I116="Finito senza sblocco ritenute"),ANAGRAFICA!$K113=""),"DATA FINE EFFETTIVA MANCANTE; ","")&amp;IF(OR(AND(ANAGRAFICA!$T113&lt;&gt;"",ANAGRAFICA!$J113&lt;&gt;ANAGRAFICA!$T113,OR(ANAGRAFICA!$R113="",ANAGRAFICA!$R113="Nessuna variazione")),AND(ANAGRAFICA!$J113="",ANAGRAFICA!$R113&lt;&gt;"",ANAGRAFICA!$R113&lt;&gt;"Nessuna variazione")),"GESTIONE DATA FINE INCOMPLETA; ","")&amp;IF($Y116="","AGGIORNATO AL MANCANTE; ","")&amp;IF(OR($AZ116="",$BJ116="",$BO116="",ANAGRAFICA!$I113="",ANAGRAFICA!$J113=""),"DATI PREVISIONALI INCOMPLETI; ","")&amp;IF(LEFT($C116,5)="TEMP","CODICE COMMESSA TEMPORANEO; ","")),"DATI INCOMPLETI; ")</f>
        <v/>
      </c>
      <c r="C116" s="17" t="str">
        <f>IF(ANAGRAFICA!$B113="","",ANAGRAFICA!$B113)</f>
        <v/>
      </c>
      <c r="D116" s="17" t="str">
        <f>IF($C116="","",ANAGRAFICA!$C113)</f>
        <v/>
      </c>
      <c r="E116" s="17" t="str">
        <f>IF($C116="","",ANAGRAFICA!$D113)</f>
        <v/>
      </c>
      <c r="F116" s="17" t="str">
        <f>IF($C116="","",ANAGRAFICA!$E113)</f>
        <v/>
      </c>
      <c r="G116" s="17" t="str">
        <f>IF($C116="","",ANAGRAFICA!$F113)</f>
        <v/>
      </c>
      <c r="H116" s="17" t="str">
        <f>IF($C116="","",ANAGRAFICA!$G113)</f>
        <v/>
      </c>
      <c r="I116" s="17" t="str">
        <f>IF($C116="","",ANAGRAFICA!$L113)</f>
        <v/>
      </c>
      <c r="J116" s="16" t="str">
        <f t="shared" si="25"/>
        <v/>
      </c>
      <c r="K116" s="16" t="str">
        <f t="shared" si="26"/>
        <v/>
      </c>
      <c r="L116" s="16" t="str">
        <f t="shared" si="27"/>
        <v/>
      </c>
      <c r="M116" s="16" t="str">
        <f t="shared" si="28"/>
        <v/>
      </c>
      <c r="N116" s="16" t="str">
        <f t="shared" si="29"/>
        <v/>
      </c>
      <c r="O116" s="16" t="str">
        <f t="shared" si="30"/>
        <v/>
      </c>
      <c r="P116" s="17" t="str">
        <f t="shared" si="31"/>
        <v/>
      </c>
      <c r="Q116" s="31" t="str">
        <f>IF(OR($C116="",'BUDGET COMMESSA'!$D113="",'BUDGET COMMESSA'!$D113&lt;=0,ANAGRAFICA!$J113=""),"",IF(OR($I116="Finito ritenute non previste",$I116="Finito con sblocco ritenute",$I116="Finito senza sblocco ritenute"),0,IF(AND($BK116&gt;=$BJ116,ANAGRAFICA!$R113="Ritardo produttivo FIDA"),IF(ANAGRAFICA!$T113&lt;&gt;"",MAX(0,ANAGRAFICA!$J113-ANAGRAFICA!$T113),MAX(0,$Y116-ANAGRAFICA!$J113)),0)))</f>
        <v/>
      </c>
      <c r="R116" s="17" t="str">
        <f t="shared" si="32"/>
        <v/>
      </c>
      <c r="S116" s="17" t="str">
        <f t="shared" si="33"/>
        <v/>
      </c>
      <c r="T116" s="17" t="str">
        <f t="shared" si="34"/>
        <v/>
      </c>
      <c r="U116" s="16" t="str">
        <f t="shared" si="35"/>
        <v/>
      </c>
      <c r="V116" s="16" t="str">
        <f t="shared" si="36"/>
        <v/>
      </c>
      <c r="W116" s="16" t="str">
        <f t="shared" si="37"/>
        <v/>
      </c>
      <c r="X116" s="40"/>
      <c r="Y116" s="14"/>
      <c r="AZ116" t="str">
        <f>IF($C116="","",ANAGRAFICA!$P113)</f>
        <v/>
      </c>
      <c r="BA116" t="str">
        <f>IF($C116="","",SUMIF('MOVIMENTI 2026'!$B$7:$B$4206,$C116,'MOVIMENTI 2026'!$I$7:$I$4206)+SUMIF('SALDI AL 31.12.2025'!$A$6:$A$505,$C116,'SALDI AL 31.12.2025'!$C$6:$C$505))</f>
        <v/>
      </c>
      <c r="BB116" t="str">
        <f>IF($C116="","",SUMIF('MOVIMENTI 2026'!$B$7:$B$4206,$C116,'MOVIMENTI 2026'!$J$7:$J$4206)+SUMIF('SALDI AL 31.12.2025'!$A$6:$A$505,$C116,'SALDI AL 31.12.2025'!$D$6:$D$505))</f>
        <v/>
      </c>
      <c r="BC116" t="str">
        <f>IF($C116="","",SUMIF('MOVIMENTI 2026'!$B$7:$B$4206,$C116,'MOVIMENTI 2026'!$K$7:$K$4206)+SUMIF('SALDI AL 31.12.2025'!$A$6:$A$505,$C116,'SALDI AL 31.12.2025'!$E$6:$E$505))</f>
        <v/>
      </c>
      <c r="BD116" t="str">
        <f>IF($C116="","",SUMIF('MOVIMENTI 2026'!$B$7:$B$4206,$C116,'MOVIMENTI 2026'!$L$7:$L$4206)+SUMIF('SALDI AL 31.12.2025'!$A$6:$A$505,$C116,'SALDI AL 31.12.2025'!$F$6:$F$505))</f>
        <v/>
      </c>
      <c r="BE116" t="str">
        <f t="shared" si="38"/>
        <v/>
      </c>
      <c r="BF116" t="str">
        <f t="shared" si="39"/>
        <v/>
      </c>
      <c r="BG116" t="str">
        <f t="shared" si="40"/>
        <v/>
      </c>
      <c r="BH116" t="str">
        <f>IFERROR(IF(OR($C116="",ANAGRAFICA!$I113="",ANAGRAFICA!$J113="",ANAGRAFICA!$J113&lt;=ANAGRAFICA!$I113,$Y116=""),"",IF(OR($I116="Finito ritenute non previste",$I116="Finito con sblocco ritenute",$I116="Finito senza sblocco ritenute"),1,MAX(0,MIN(1,($Y116-ANAGRAFICA!$I113)/(ANAGRAFICA!$J113-ANAGRAFICA!$I113))))),"")</f>
        <v/>
      </c>
      <c r="BI116" t="str">
        <f t="shared" si="41"/>
        <v/>
      </c>
      <c r="BJ116" t="str">
        <f>IFERROR(IF($C116="","",'BUDGET COMMESSA'!$D113),"")</f>
        <v/>
      </c>
      <c r="BK116" t="str">
        <f>IF($C116="","",SUMIF('MOVIMENTI 2026'!$B$7:$B$4206,$C116,'MOVIMENTI 2026'!$N$7:$N$4206)+SUMIF('SALDI AL 31.12.2025'!$A$6:$A$505,$C116,'SALDI AL 31.12.2025'!$H$6:$H$505))</f>
        <v/>
      </c>
      <c r="BL116" t="str">
        <f t="shared" si="42"/>
        <v/>
      </c>
      <c r="BM116" t="str">
        <f t="shared" si="43"/>
        <v/>
      </c>
      <c r="BN116" t="str">
        <f t="shared" si="44"/>
        <v/>
      </c>
      <c r="BO116" t="str">
        <f>IFERROR(IF($C116="","",'BUDGET COMMESSA'!$G113),"")</f>
        <v/>
      </c>
      <c r="BP116" t="str">
        <f>IF($C116="","",SUMIF('COSTI DIRETTI'!$C$6:$C$505,$C116,'COSTI DIRETTI'!$H$6:$H$505)+SUMIF('SALDI AL 31.12.2025'!$A$6:$A$505,$C116,'SALDI AL 31.12.2025'!$I$6:$I$505))</f>
        <v/>
      </c>
      <c r="BQ116" t="str">
        <f t="shared" si="45"/>
        <v/>
      </c>
      <c r="BR116" t="str">
        <f t="shared" si="46"/>
        <v/>
      </c>
      <c r="BS116" t="str">
        <f>IF($C116="","",$BK116*PARAMETRI!$B$4+$BP116)</f>
        <v/>
      </c>
      <c r="BT116">
        <f t="shared" si="47"/>
        <v>0</v>
      </c>
      <c r="BU116">
        <f t="shared" si="48"/>
        <v>0</v>
      </c>
      <c r="BV116" t="str">
        <f>IF($C116="","",SUMIF('MOVIMENTI 2026'!$B$7:$B$4206,$C116,'MOVIMENTI 2026'!$P$7:$P$4206)+SUMIF('SALDI AL 31.12.2025'!$A$6:$A$505,$C116,'SALDI AL 31.12.2025'!$G$6:$G$505))</f>
        <v/>
      </c>
    </row>
    <row r="117" spans="1:74" ht="16" x14ac:dyDescent="0.15">
      <c r="A117" s="17" t="str">
        <f>IFERROR(IF($C117="","",IF(OR($BF117&gt;0,$V117&gt;$J117,AND(ISNUMBER($Q117),$Q117&gt;0),AND($BI117&lt;&gt;"",$BI117&lt;-PARAMETRI!$B$6),AND($BM117&lt;&gt;"",$BM117&gt;=1),AND($BN117&lt;&gt;"",$BN117&gt;PARAMETRI!$B$8),AND(ISNUMBER($BR117),$BR117&gt;0)),"CRITICO",IF(OR($AZ117="",LEFT($C117,5)="TEMP",$BJ117="",$BO117="",ANAGRAFICA!$I114="",ANAGRAFICA!$J114="",$Y117="",AND(OR($I117="Finito ritenute non previste",$I117="Finito con sblocco ritenute",$I117="Finito senza sblocco ritenute"),ANAGRAFICA!$K114=""),OR(AND(ANAGRAFICA!$T114&lt;&gt;"",ANAGRAFICA!$J114&lt;&gt;ANAGRAFICA!$T114,OR(ANAGRAFICA!$R114="",ANAGRAFICA!$R114="Nessuna variazione")),AND(ANAGRAFICA!$J114="",ANAGRAFICA!$R114&lt;&gt;"",ANAGRAFICA!$R114&lt;&gt;"Nessuna variazione")),AND($BI117&lt;&gt;"",$BI117&lt;-PARAMETRI!$B$5),AND($BN117&lt;&gt;"",$BN117&gt;PARAMETRI!$B$7),AND($W117&gt;0,$M117&gt;$W117*PARAMETRI!$B$9),AND($O117&gt;0,OR($I117="Finito ritenute non previste",$I117="Finito con sblocco ritenute",$I117="Finito senza sblocco ritenute")),AND($BA117&gt;0,$BO117&gt;0,$BP117=0),AND(OR($I117="Finito ritenute non previste",$I117="Finito con sblocco ritenute",$I117="Finito senza sblocco ritenute"),$W117&gt;0,$N117&gt;$W117*PARAMETRI!$B$9),$V117&gt;0),"ATTENZIONE","REGOLARE"))),"ATTENZIONE")</f>
        <v/>
      </c>
      <c r="B117" s="17" t="str">
        <f>IFERROR(IF($C117="","",IF($BF117&gt;0,"FATTURATO OLTRE VALORE RECUPERABILE; ","")&amp;IF($V117&gt;$J117,"PERDITE ACCETTATE OLTRE CONTRATTO; ","")&amp;IF($V117&gt;0,"PERDITA SAL ACCETTATA (€ "&amp;TEXT($V117,"#,##0.00")&amp;"); ","")&amp;IF(AND(ISNUMBER($Q117),$Q117&gt;0),"RITARDO PRODUTTIVO ("&amp;TEXT($Q117,"0")&amp;" GG); ","")&amp;IF(AND($BI117&lt;&gt;"",$BI117&lt;-PARAMETRI!$B$5),"AVANZAMENTO PIÙ LENTO DEL TEMPO; ","")&amp;IF(AND($BM117&lt;&gt;"",$BM117&gt;1),"ORE OLTRE BUDGET; ","")&amp;IF(AND($BM117&lt;&gt;"",$BM117=1),"ORE PREVENTIVATE ESAURITE; ","")&amp;IF(AND($BN117&lt;&gt;"",$BN117&gt;PARAMETRI!$B$7),"CONSUMO ORE SUPERIORE ALL'AVANZAMENTO; ","")&amp;IF(AND(ISNUMBER($BR117),$BR117&gt;0),"COSTI DIRETTI OLTRE BUDGET; ","")&amp;IF(AND($W117&gt;0,$M117&gt;$W117*PARAMETRI!$B$9),"SAL MATURATO NON FATTURATO; ","")&amp;IF(AND($O117&gt;0,OR($I117="Finito ritenute non previste",$I117="Finito con sblocco ritenute",$I117="Finito senza sblocco ritenute")),"RITENUTE DA SBLOCCARE; ","")&amp;IF(AND($BA117&gt;0,$BO117&gt;0,$BP117=0),"COSTI DIRETTI NON REGISTRATI; ","")&amp;IF(AND(OR($I117="Finito ritenute non previste",$I117="Finito con sblocco ritenute",$I117="Finito senza sblocco ritenute"),$W117&gt;0,$N117&gt;$W117*PARAMETRI!$B$9),"CANTIERE FINITO CON RESIDUO LAVORI; ","")&amp;IF(AND(OR($I117="Finito ritenute non previste",$I117="Finito con sblocco ritenute",$I117="Finito senza sblocco ritenute"),ANAGRAFICA!$K114=""),"DATA FINE EFFETTIVA MANCANTE; ","")&amp;IF(OR(AND(ANAGRAFICA!$T114&lt;&gt;"",ANAGRAFICA!$J114&lt;&gt;ANAGRAFICA!$T114,OR(ANAGRAFICA!$R114="",ANAGRAFICA!$R114="Nessuna variazione")),AND(ANAGRAFICA!$J114="",ANAGRAFICA!$R114&lt;&gt;"",ANAGRAFICA!$R114&lt;&gt;"Nessuna variazione")),"GESTIONE DATA FINE INCOMPLETA; ","")&amp;IF($Y117="","AGGIORNATO AL MANCANTE; ","")&amp;IF(OR($AZ117="",$BJ117="",$BO117="",ANAGRAFICA!$I114="",ANAGRAFICA!$J114=""),"DATI PREVISIONALI INCOMPLETI; ","")&amp;IF(LEFT($C117,5)="TEMP","CODICE COMMESSA TEMPORANEO; ","")),"DATI INCOMPLETI; ")</f>
        <v/>
      </c>
      <c r="C117" s="17" t="str">
        <f>IF(ANAGRAFICA!$B114="","",ANAGRAFICA!$B114)</f>
        <v/>
      </c>
      <c r="D117" s="17" t="str">
        <f>IF($C117="","",ANAGRAFICA!$C114)</f>
        <v/>
      </c>
      <c r="E117" s="17" t="str">
        <f>IF($C117="","",ANAGRAFICA!$D114)</f>
        <v/>
      </c>
      <c r="F117" s="17" t="str">
        <f>IF($C117="","",ANAGRAFICA!$E114)</f>
        <v/>
      </c>
      <c r="G117" s="17" t="str">
        <f>IF($C117="","",ANAGRAFICA!$F114)</f>
        <v/>
      </c>
      <c r="H117" s="17" t="str">
        <f>IF($C117="","",ANAGRAFICA!$G114)</f>
        <v/>
      </c>
      <c r="I117" s="17" t="str">
        <f>IF($C117="","",ANAGRAFICA!$L114)</f>
        <v/>
      </c>
      <c r="J117" s="16" t="str">
        <f t="shared" si="25"/>
        <v/>
      </c>
      <c r="K117" s="16" t="str">
        <f t="shared" si="26"/>
        <v/>
      </c>
      <c r="L117" s="16" t="str">
        <f t="shared" si="27"/>
        <v/>
      </c>
      <c r="M117" s="16" t="str">
        <f t="shared" si="28"/>
        <v/>
      </c>
      <c r="N117" s="16" t="str">
        <f t="shared" si="29"/>
        <v/>
      </c>
      <c r="O117" s="16" t="str">
        <f t="shared" si="30"/>
        <v/>
      </c>
      <c r="P117" s="17" t="str">
        <f t="shared" si="31"/>
        <v/>
      </c>
      <c r="Q117" s="31" t="str">
        <f>IF(OR($C117="",'BUDGET COMMESSA'!$D114="",'BUDGET COMMESSA'!$D114&lt;=0,ANAGRAFICA!$J114=""),"",IF(OR($I117="Finito ritenute non previste",$I117="Finito con sblocco ritenute",$I117="Finito senza sblocco ritenute"),0,IF(AND($BK117&gt;=$BJ117,ANAGRAFICA!$R114="Ritardo produttivo FIDA"),IF(ANAGRAFICA!$T114&lt;&gt;"",MAX(0,ANAGRAFICA!$J114-ANAGRAFICA!$T114),MAX(0,$Y117-ANAGRAFICA!$J114)),0)))</f>
        <v/>
      </c>
      <c r="R117" s="17" t="str">
        <f t="shared" si="32"/>
        <v/>
      </c>
      <c r="S117" s="17" t="str">
        <f t="shared" si="33"/>
        <v/>
      </c>
      <c r="T117" s="17" t="str">
        <f t="shared" si="34"/>
        <v/>
      </c>
      <c r="U117" s="16" t="str">
        <f t="shared" si="35"/>
        <v/>
      </c>
      <c r="V117" s="16" t="str">
        <f t="shared" si="36"/>
        <v/>
      </c>
      <c r="W117" s="16" t="str">
        <f t="shared" si="37"/>
        <v/>
      </c>
      <c r="X117" s="40"/>
      <c r="Y117" s="14"/>
      <c r="AZ117" t="str">
        <f>IF($C117="","",ANAGRAFICA!$P114)</f>
        <v/>
      </c>
      <c r="BA117" t="str">
        <f>IF($C117="","",SUMIF('MOVIMENTI 2026'!$B$7:$B$4206,$C117,'MOVIMENTI 2026'!$I$7:$I$4206)+SUMIF('SALDI AL 31.12.2025'!$A$6:$A$505,$C117,'SALDI AL 31.12.2025'!$C$6:$C$505))</f>
        <v/>
      </c>
      <c r="BB117" t="str">
        <f>IF($C117="","",SUMIF('MOVIMENTI 2026'!$B$7:$B$4206,$C117,'MOVIMENTI 2026'!$J$7:$J$4206)+SUMIF('SALDI AL 31.12.2025'!$A$6:$A$505,$C117,'SALDI AL 31.12.2025'!$D$6:$D$505))</f>
        <v/>
      </c>
      <c r="BC117" t="str">
        <f>IF($C117="","",SUMIF('MOVIMENTI 2026'!$B$7:$B$4206,$C117,'MOVIMENTI 2026'!$K$7:$K$4206)+SUMIF('SALDI AL 31.12.2025'!$A$6:$A$505,$C117,'SALDI AL 31.12.2025'!$E$6:$E$505))</f>
        <v/>
      </c>
      <c r="BD117" t="str">
        <f>IF($C117="","",SUMIF('MOVIMENTI 2026'!$B$7:$B$4206,$C117,'MOVIMENTI 2026'!$L$7:$L$4206)+SUMIF('SALDI AL 31.12.2025'!$A$6:$A$505,$C117,'SALDI AL 31.12.2025'!$F$6:$F$505))</f>
        <v/>
      </c>
      <c r="BE117" t="str">
        <f t="shared" si="38"/>
        <v/>
      </c>
      <c r="BF117" t="str">
        <f t="shared" si="39"/>
        <v/>
      </c>
      <c r="BG117" t="str">
        <f t="shared" si="40"/>
        <v/>
      </c>
      <c r="BH117" t="str">
        <f>IFERROR(IF(OR($C117="",ANAGRAFICA!$I114="",ANAGRAFICA!$J114="",ANAGRAFICA!$J114&lt;=ANAGRAFICA!$I114,$Y117=""),"",IF(OR($I117="Finito ritenute non previste",$I117="Finito con sblocco ritenute",$I117="Finito senza sblocco ritenute"),1,MAX(0,MIN(1,($Y117-ANAGRAFICA!$I114)/(ANAGRAFICA!$J114-ANAGRAFICA!$I114))))),"")</f>
        <v/>
      </c>
      <c r="BI117" t="str">
        <f t="shared" si="41"/>
        <v/>
      </c>
      <c r="BJ117" t="str">
        <f>IFERROR(IF($C117="","",'BUDGET COMMESSA'!$D114),"")</f>
        <v/>
      </c>
      <c r="BK117" t="str">
        <f>IF($C117="","",SUMIF('MOVIMENTI 2026'!$B$7:$B$4206,$C117,'MOVIMENTI 2026'!$N$7:$N$4206)+SUMIF('SALDI AL 31.12.2025'!$A$6:$A$505,$C117,'SALDI AL 31.12.2025'!$H$6:$H$505))</f>
        <v/>
      </c>
      <c r="BL117" t="str">
        <f t="shared" si="42"/>
        <v/>
      </c>
      <c r="BM117" t="str">
        <f t="shared" si="43"/>
        <v/>
      </c>
      <c r="BN117" t="str">
        <f t="shared" si="44"/>
        <v/>
      </c>
      <c r="BO117" t="str">
        <f>IFERROR(IF($C117="","",'BUDGET COMMESSA'!$G114),"")</f>
        <v/>
      </c>
      <c r="BP117" t="str">
        <f>IF($C117="","",SUMIF('COSTI DIRETTI'!$C$6:$C$505,$C117,'COSTI DIRETTI'!$H$6:$H$505)+SUMIF('SALDI AL 31.12.2025'!$A$6:$A$505,$C117,'SALDI AL 31.12.2025'!$I$6:$I$505))</f>
        <v/>
      </c>
      <c r="BQ117" t="str">
        <f t="shared" si="45"/>
        <v/>
      </c>
      <c r="BR117" t="str">
        <f t="shared" si="46"/>
        <v/>
      </c>
      <c r="BS117" t="str">
        <f>IF($C117="","",$BK117*PARAMETRI!$B$4+$BP117)</f>
        <v/>
      </c>
      <c r="BT117">
        <f t="shared" si="47"/>
        <v>0</v>
      </c>
      <c r="BU117">
        <f t="shared" si="48"/>
        <v>0</v>
      </c>
      <c r="BV117" t="str">
        <f>IF($C117="","",SUMIF('MOVIMENTI 2026'!$B$7:$B$4206,$C117,'MOVIMENTI 2026'!$P$7:$P$4206)+SUMIF('SALDI AL 31.12.2025'!$A$6:$A$505,$C117,'SALDI AL 31.12.2025'!$G$6:$G$505))</f>
        <v/>
      </c>
    </row>
    <row r="118" spans="1:74" ht="16" x14ac:dyDescent="0.15">
      <c r="A118" s="17" t="str">
        <f>IFERROR(IF($C118="","",IF(OR($BF118&gt;0,$V118&gt;$J118,AND(ISNUMBER($Q118),$Q118&gt;0),AND($BI118&lt;&gt;"",$BI118&lt;-PARAMETRI!$B$6),AND($BM118&lt;&gt;"",$BM118&gt;=1),AND($BN118&lt;&gt;"",$BN118&gt;PARAMETRI!$B$8),AND(ISNUMBER($BR118),$BR118&gt;0)),"CRITICO",IF(OR($AZ118="",LEFT($C118,5)="TEMP",$BJ118="",$BO118="",ANAGRAFICA!$I115="",ANAGRAFICA!$J115="",$Y118="",AND(OR($I118="Finito ritenute non previste",$I118="Finito con sblocco ritenute",$I118="Finito senza sblocco ritenute"),ANAGRAFICA!$K115=""),OR(AND(ANAGRAFICA!$T115&lt;&gt;"",ANAGRAFICA!$J115&lt;&gt;ANAGRAFICA!$T115,OR(ANAGRAFICA!$R115="",ANAGRAFICA!$R115="Nessuna variazione")),AND(ANAGRAFICA!$J115="",ANAGRAFICA!$R115&lt;&gt;"",ANAGRAFICA!$R115&lt;&gt;"Nessuna variazione")),AND($BI118&lt;&gt;"",$BI118&lt;-PARAMETRI!$B$5),AND($BN118&lt;&gt;"",$BN118&gt;PARAMETRI!$B$7),AND($W118&gt;0,$M118&gt;$W118*PARAMETRI!$B$9),AND($O118&gt;0,OR($I118="Finito ritenute non previste",$I118="Finito con sblocco ritenute",$I118="Finito senza sblocco ritenute")),AND($BA118&gt;0,$BO118&gt;0,$BP118=0),AND(OR($I118="Finito ritenute non previste",$I118="Finito con sblocco ritenute",$I118="Finito senza sblocco ritenute"),$W118&gt;0,$N118&gt;$W118*PARAMETRI!$B$9),$V118&gt;0),"ATTENZIONE","REGOLARE"))),"ATTENZIONE")</f>
        <v/>
      </c>
      <c r="B118" s="17" t="str">
        <f>IFERROR(IF($C118="","",IF($BF118&gt;0,"FATTURATO OLTRE VALORE RECUPERABILE; ","")&amp;IF($V118&gt;$J118,"PERDITE ACCETTATE OLTRE CONTRATTO; ","")&amp;IF($V118&gt;0,"PERDITA SAL ACCETTATA (€ "&amp;TEXT($V118,"#,##0.00")&amp;"); ","")&amp;IF(AND(ISNUMBER($Q118),$Q118&gt;0),"RITARDO PRODUTTIVO ("&amp;TEXT($Q118,"0")&amp;" GG); ","")&amp;IF(AND($BI118&lt;&gt;"",$BI118&lt;-PARAMETRI!$B$5),"AVANZAMENTO PIÙ LENTO DEL TEMPO; ","")&amp;IF(AND($BM118&lt;&gt;"",$BM118&gt;1),"ORE OLTRE BUDGET; ","")&amp;IF(AND($BM118&lt;&gt;"",$BM118=1),"ORE PREVENTIVATE ESAURITE; ","")&amp;IF(AND($BN118&lt;&gt;"",$BN118&gt;PARAMETRI!$B$7),"CONSUMO ORE SUPERIORE ALL'AVANZAMENTO; ","")&amp;IF(AND(ISNUMBER($BR118),$BR118&gt;0),"COSTI DIRETTI OLTRE BUDGET; ","")&amp;IF(AND($W118&gt;0,$M118&gt;$W118*PARAMETRI!$B$9),"SAL MATURATO NON FATTURATO; ","")&amp;IF(AND($O118&gt;0,OR($I118="Finito ritenute non previste",$I118="Finito con sblocco ritenute",$I118="Finito senza sblocco ritenute")),"RITENUTE DA SBLOCCARE; ","")&amp;IF(AND($BA118&gt;0,$BO118&gt;0,$BP118=0),"COSTI DIRETTI NON REGISTRATI; ","")&amp;IF(AND(OR($I118="Finito ritenute non previste",$I118="Finito con sblocco ritenute",$I118="Finito senza sblocco ritenute"),$W118&gt;0,$N118&gt;$W118*PARAMETRI!$B$9),"CANTIERE FINITO CON RESIDUO LAVORI; ","")&amp;IF(AND(OR($I118="Finito ritenute non previste",$I118="Finito con sblocco ritenute",$I118="Finito senza sblocco ritenute"),ANAGRAFICA!$K115=""),"DATA FINE EFFETTIVA MANCANTE; ","")&amp;IF(OR(AND(ANAGRAFICA!$T115&lt;&gt;"",ANAGRAFICA!$J115&lt;&gt;ANAGRAFICA!$T115,OR(ANAGRAFICA!$R115="",ANAGRAFICA!$R115="Nessuna variazione")),AND(ANAGRAFICA!$J115="",ANAGRAFICA!$R115&lt;&gt;"",ANAGRAFICA!$R115&lt;&gt;"Nessuna variazione")),"GESTIONE DATA FINE INCOMPLETA; ","")&amp;IF($Y118="","AGGIORNATO AL MANCANTE; ","")&amp;IF(OR($AZ118="",$BJ118="",$BO118="",ANAGRAFICA!$I115="",ANAGRAFICA!$J115=""),"DATI PREVISIONALI INCOMPLETI; ","")&amp;IF(LEFT($C118,5)="TEMP","CODICE COMMESSA TEMPORANEO; ","")),"DATI INCOMPLETI; ")</f>
        <v/>
      </c>
      <c r="C118" s="17" t="str">
        <f>IF(ANAGRAFICA!$B115="","",ANAGRAFICA!$B115)</f>
        <v/>
      </c>
      <c r="D118" s="17" t="str">
        <f>IF($C118="","",ANAGRAFICA!$C115)</f>
        <v/>
      </c>
      <c r="E118" s="17" t="str">
        <f>IF($C118="","",ANAGRAFICA!$D115)</f>
        <v/>
      </c>
      <c r="F118" s="17" t="str">
        <f>IF($C118="","",ANAGRAFICA!$E115)</f>
        <v/>
      </c>
      <c r="G118" s="17" t="str">
        <f>IF($C118="","",ANAGRAFICA!$F115)</f>
        <v/>
      </c>
      <c r="H118" s="17" t="str">
        <f>IF($C118="","",ANAGRAFICA!$G115)</f>
        <v/>
      </c>
      <c r="I118" s="17" t="str">
        <f>IF($C118="","",ANAGRAFICA!$L115)</f>
        <v/>
      </c>
      <c r="J118" s="16" t="str">
        <f t="shared" si="25"/>
        <v/>
      </c>
      <c r="K118" s="16" t="str">
        <f t="shared" si="26"/>
        <v/>
      </c>
      <c r="L118" s="16" t="str">
        <f t="shared" si="27"/>
        <v/>
      </c>
      <c r="M118" s="16" t="str">
        <f t="shared" si="28"/>
        <v/>
      </c>
      <c r="N118" s="16" t="str">
        <f t="shared" si="29"/>
        <v/>
      </c>
      <c r="O118" s="16" t="str">
        <f t="shared" si="30"/>
        <v/>
      </c>
      <c r="P118" s="17" t="str">
        <f t="shared" si="31"/>
        <v/>
      </c>
      <c r="Q118" s="31" t="str">
        <f>IF(OR($C118="",'BUDGET COMMESSA'!$D115="",'BUDGET COMMESSA'!$D115&lt;=0,ANAGRAFICA!$J115=""),"",IF(OR($I118="Finito ritenute non previste",$I118="Finito con sblocco ritenute",$I118="Finito senza sblocco ritenute"),0,IF(AND($BK118&gt;=$BJ118,ANAGRAFICA!$R115="Ritardo produttivo FIDA"),IF(ANAGRAFICA!$T115&lt;&gt;"",MAX(0,ANAGRAFICA!$J115-ANAGRAFICA!$T115),MAX(0,$Y118-ANAGRAFICA!$J115)),0)))</f>
        <v/>
      </c>
      <c r="R118" s="17" t="str">
        <f t="shared" si="32"/>
        <v/>
      </c>
      <c r="S118" s="17" t="str">
        <f t="shared" si="33"/>
        <v/>
      </c>
      <c r="T118" s="17" t="str">
        <f t="shared" si="34"/>
        <v/>
      </c>
      <c r="U118" s="16" t="str">
        <f t="shared" si="35"/>
        <v/>
      </c>
      <c r="V118" s="16" t="str">
        <f t="shared" si="36"/>
        <v/>
      </c>
      <c r="W118" s="16" t="str">
        <f t="shared" si="37"/>
        <v/>
      </c>
      <c r="X118" s="40"/>
      <c r="Y118" s="14"/>
      <c r="AZ118" t="str">
        <f>IF($C118="","",ANAGRAFICA!$P115)</f>
        <v/>
      </c>
      <c r="BA118" t="str">
        <f>IF($C118="","",SUMIF('MOVIMENTI 2026'!$B$7:$B$4206,$C118,'MOVIMENTI 2026'!$I$7:$I$4206)+SUMIF('SALDI AL 31.12.2025'!$A$6:$A$505,$C118,'SALDI AL 31.12.2025'!$C$6:$C$505))</f>
        <v/>
      </c>
      <c r="BB118" t="str">
        <f>IF($C118="","",SUMIF('MOVIMENTI 2026'!$B$7:$B$4206,$C118,'MOVIMENTI 2026'!$J$7:$J$4206)+SUMIF('SALDI AL 31.12.2025'!$A$6:$A$505,$C118,'SALDI AL 31.12.2025'!$D$6:$D$505))</f>
        <v/>
      </c>
      <c r="BC118" t="str">
        <f>IF($C118="","",SUMIF('MOVIMENTI 2026'!$B$7:$B$4206,$C118,'MOVIMENTI 2026'!$K$7:$K$4206)+SUMIF('SALDI AL 31.12.2025'!$A$6:$A$505,$C118,'SALDI AL 31.12.2025'!$E$6:$E$505))</f>
        <v/>
      </c>
      <c r="BD118" t="str">
        <f>IF($C118="","",SUMIF('MOVIMENTI 2026'!$B$7:$B$4206,$C118,'MOVIMENTI 2026'!$L$7:$L$4206)+SUMIF('SALDI AL 31.12.2025'!$A$6:$A$505,$C118,'SALDI AL 31.12.2025'!$F$6:$F$505))</f>
        <v/>
      </c>
      <c r="BE118" t="str">
        <f t="shared" si="38"/>
        <v/>
      </c>
      <c r="BF118" t="str">
        <f t="shared" si="39"/>
        <v/>
      </c>
      <c r="BG118" t="str">
        <f t="shared" si="40"/>
        <v/>
      </c>
      <c r="BH118" t="str">
        <f>IFERROR(IF(OR($C118="",ANAGRAFICA!$I115="",ANAGRAFICA!$J115="",ANAGRAFICA!$J115&lt;=ANAGRAFICA!$I115,$Y118=""),"",IF(OR($I118="Finito ritenute non previste",$I118="Finito con sblocco ritenute",$I118="Finito senza sblocco ritenute"),1,MAX(0,MIN(1,($Y118-ANAGRAFICA!$I115)/(ANAGRAFICA!$J115-ANAGRAFICA!$I115))))),"")</f>
        <v/>
      </c>
      <c r="BI118" t="str">
        <f t="shared" si="41"/>
        <v/>
      </c>
      <c r="BJ118" t="str">
        <f>IFERROR(IF($C118="","",'BUDGET COMMESSA'!$D115),"")</f>
        <v/>
      </c>
      <c r="BK118" t="str">
        <f>IF($C118="","",SUMIF('MOVIMENTI 2026'!$B$7:$B$4206,$C118,'MOVIMENTI 2026'!$N$7:$N$4206)+SUMIF('SALDI AL 31.12.2025'!$A$6:$A$505,$C118,'SALDI AL 31.12.2025'!$H$6:$H$505))</f>
        <v/>
      </c>
      <c r="BL118" t="str">
        <f t="shared" si="42"/>
        <v/>
      </c>
      <c r="BM118" t="str">
        <f t="shared" si="43"/>
        <v/>
      </c>
      <c r="BN118" t="str">
        <f t="shared" si="44"/>
        <v/>
      </c>
      <c r="BO118" t="str">
        <f>IFERROR(IF($C118="","",'BUDGET COMMESSA'!$G115),"")</f>
        <v/>
      </c>
      <c r="BP118" t="str">
        <f>IF($C118="","",SUMIF('COSTI DIRETTI'!$C$6:$C$505,$C118,'COSTI DIRETTI'!$H$6:$H$505)+SUMIF('SALDI AL 31.12.2025'!$A$6:$A$505,$C118,'SALDI AL 31.12.2025'!$I$6:$I$505))</f>
        <v/>
      </c>
      <c r="BQ118" t="str">
        <f t="shared" si="45"/>
        <v/>
      </c>
      <c r="BR118" t="str">
        <f t="shared" si="46"/>
        <v/>
      </c>
      <c r="BS118" t="str">
        <f>IF($C118="","",$BK118*PARAMETRI!$B$4+$BP118)</f>
        <v/>
      </c>
      <c r="BT118">
        <f t="shared" si="47"/>
        <v>0</v>
      </c>
      <c r="BU118">
        <f t="shared" si="48"/>
        <v>0</v>
      </c>
      <c r="BV118" t="str">
        <f>IF($C118="","",SUMIF('MOVIMENTI 2026'!$B$7:$B$4206,$C118,'MOVIMENTI 2026'!$P$7:$P$4206)+SUMIF('SALDI AL 31.12.2025'!$A$6:$A$505,$C118,'SALDI AL 31.12.2025'!$G$6:$G$505))</f>
        <v/>
      </c>
    </row>
    <row r="119" spans="1:74" ht="16" x14ac:dyDescent="0.15">
      <c r="A119" s="17" t="str">
        <f>IFERROR(IF($C119="","",IF(OR($BF119&gt;0,$V119&gt;$J119,AND(ISNUMBER($Q119),$Q119&gt;0),AND($BI119&lt;&gt;"",$BI119&lt;-PARAMETRI!$B$6),AND($BM119&lt;&gt;"",$BM119&gt;=1),AND($BN119&lt;&gt;"",$BN119&gt;PARAMETRI!$B$8),AND(ISNUMBER($BR119),$BR119&gt;0)),"CRITICO",IF(OR($AZ119="",LEFT($C119,5)="TEMP",$BJ119="",$BO119="",ANAGRAFICA!$I116="",ANAGRAFICA!$J116="",$Y119="",AND(OR($I119="Finito ritenute non previste",$I119="Finito con sblocco ritenute",$I119="Finito senza sblocco ritenute"),ANAGRAFICA!$K116=""),OR(AND(ANAGRAFICA!$T116&lt;&gt;"",ANAGRAFICA!$J116&lt;&gt;ANAGRAFICA!$T116,OR(ANAGRAFICA!$R116="",ANAGRAFICA!$R116="Nessuna variazione")),AND(ANAGRAFICA!$J116="",ANAGRAFICA!$R116&lt;&gt;"",ANAGRAFICA!$R116&lt;&gt;"Nessuna variazione")),AND($BI119&lt;&gt;"",$BI119&lt;-PARAMETRI!$B$5),AND($BN119&lt;&gt;"",$BN119&gt;PARAMETRI!$B$7),AND($W119&gt;0,$M119&gt;$W119*PARAMETRI!$B$9),AND($O119&gt;0,OR($I119="Finito ritenute non previste",$I119="Finito con sblocco ritenute",$I119="Finito senza sblocco ritenute")),AND($BA119&gt;0,$BO119&gt;0,$BP119=0),AND(OR($I119="Finito ritenute non previste",$I119="Finito con sblocco ritenute",$I119="Finito senza sblocco ritenute"),$W119&gt;0,$N119&gt;$W119*PARAMETRI!$B$9),$V119&gt;0),"ATTENZIONE","REGOLARE"))),"ATTENZIONE")</f>
        <v/>
      </c>
      <c r="B119" s="17" t="str">
        <f>IFERROR(IF($C119="","",IF($BF119&gt;0,"FATTURATO OLTRE VALORE RECUPERABILE; ","")&amp;IF($V119&gt;$J119,"PERDITE ACCETTATE OLTRE CONTRATTO; ","")&amp;IF($V119&gt;0,"PERDITA SAL ACCETTATA (€ "&amp;TEXT($V119,"#,##0.00")&amp;"); ","")&amp;IF(AND(ISNUMBER($Q119),$Q119&gt;0),"RITARDO PRODUTTIVO ("&amp;TEXT($Q119,"0")&amp;" GG); ","")&amp;IF(AND($BI119&lt;&gt;"",$BI119&lt;-PARAMETRI!$B$5),"AVANZAMENTO PIÙ LENTO DEL TEMPO; ","")&amp;IF(AND($BM119&lt;&gt;"",$BM119&gt;1),"ORE OLTRE BUDGET; ","")&amp;IF(AND($BM119&lt;&gt;"",$BM119=1),"ORE PREVENTIVATE ESAURITE; ","")&amp;IF(AND($BN119&lt;&gt;"",$BN119&gt;PARAMETRI!$B$7),"CONSUMO ORE SUPERIORE ALL'AVANZAMENTO; ","")&amp;IF(AND(ISNUMBER($BR119),$BR119&gt;0),"COSTI DIRETTI OLTRE BUDGET; ","")&amp;IF(AND($W119&gt;0,$M119&gt;$W119*PARAMETRI!$B$9),"SAL MATURATO NON FATTURATO; ","")&amp;IF(AND($O119&gt;0,OR($I119="Finito ritenute non previste",$I119="Finito con sblocco ritenute",$I119="Finito senza sblocco ritenute")),"RITENUTE DA SBLOCCARE; ","")&amp;IF(AND($BA119&gt;0,$BO119&gt;0,$BP119=0),"COSTI DIRETTI NON REGISTRATI; ","")&amp;IF(AND(OR($I119="Finito ritenute non previste",$I119="Finito con sblocco ritenute",$I119="Finito senza sblocco ritenute"),$W119&gt;0,$N119&gt;$W119*PARAMETRI!$B$9),"CANTIERE FINITO CON RESIDUO LAVORI; ","")&amp;IF(AND(OR($I119="Finito ritenute non previste",$I119="Finito con sblocco ritenute",$I119="Finito senza sblocco ritenute"),ANAGRAFICA!$K116=""),"DATA FINE EFFETTIVA MANCANTE; ","")&amp;IF(OR(AND(ANAGRAFICA!$T116&lt;&gt;"",ANAGRAFICA!$J116&lt;&gt;ANAGRAFICA!$T116,OR(ANAGRAFICA!$R116="",ANAGRAFICA!$R116="Nessuna variazione")),AND(ANAGRAFICA!$J116="",ANAGRAFICA!$R116&lt;&gt;"",ANAGRAFICA!$R116&lt;&gt;"Nessuna variazione")),"GESTIONE DATA FINE INCOMPLETA; ","")&amp;IF($Y119="","AGGIORNATO AL MANCANTE; ","")&amp;IF(OR($AZ119="",$BJ119="",$BO119="",ANAGRAFICA!$I116="",ANAGRAFICA!$J116=""),"DATI PREVISIONALI INCOMPLETI; ","")&amp;IF(LEFT($C119,5)="TEMP","CODICE COMMESSA TEMPORANEO; ","")),"DATI INCOMPLETI; ")</f>
        <v/>
      </c>
      <c r="C119" s="17" t="str">
        <f>IF(ANAGRAFICA!$B116="","",ANAGRAFICA!$B116)</f>
        <v/>
      </c>
      <c r="D119" s="17" t="str">
        <f>IF($C119="","",ANAGRAFICA!$C116)</f>
        <v/>
      </c>
      <c r="E119" s="17" t="str">
        <f>IF($C119="","",ANAGRAFICA!$D116)</f>
        <v/>
      </c>
      <c r="F119" s="17" t="str">
        <f>IF($C119="","",ANAGRAFICA!$E116)</f>
        <v/>
      </c>
      <c r="G119" s="17" t="str">
        <f>IF($C119="","",ANAGRAFICA!$F116)</f>
        <v/>
      </c>
      <c r="H119" s="17" t="str">
        <f>IF($C119="","",ANAGRAFICA!$G116)</f>
        <v/>
      </c>
      <c r="I119" s="17" t="str">
        <f>IF($C119="","",ANAGRAFICA!$L116)</f>
        <v/>
      </c>
      <c r="J119" s="16" t="str">
        <f t="shared" si="25"/>
        <v/>
      </c>
      <c r="K119" s="16" t="str">
        <f t="shared" si="26"/>
        <v/>
      </c>
      <c r="L119" s="16" t="str">
        <f t="shared" si="27"/>
        <v/>
      </c>
      <c r="M119" s="16" t="str">
        <f t="shared" si="28"/>
        <v/>
      </c>
      <c r="N119" s="16" t="str">
        <f t="shared" si="29"/>
        <v/>
      </c>
      <c r="O119" s="16" t="str">
        <f t="shared" si="30"/>
        <v/>
      </c>
      <c r="P119" s="17" t="str">
        <f t="shared" si="31"/>
        <v/>
      </c>
      <c r="Q119" s="31" t="str">
        <f>IF(OR($C119="",'BUDGET COMMESSA'!$D116="",'BUDGET COMMESSA'!$D116&lt;=0,ANAGRAFICA!$J116=""),"",IF(OR($I119="Finito ritenute non previste",$I119="Finito con sblocco ritenute",$I119="Finito senza sblocco ritenute"),0,IF(AND($BK119&gt;=$BJ119,ANAGRAFICA!$R116="Ritardo produttivo FIDA"),IF(ANAGRAFICA!$T116&lt;&gt;"",MAX(0,ANAGRAFICA!$J116-ANAGRAFICA!$T116),MAX(0,$Y119-ANAGRAFICA!$J116)),0)))</f>
        <v/>
      </c>
      <c r="R119" s="17" t="str">
        <f t="shared" si="32"/>
        <v/>
      </c>
      <c r="S119" s="17" t="str">
        <f t="shared" si="33"/>
        <v/>
      </c>
      <c r="T119" s="17" t="str">
        <f t="shared" si="34"/>
        <v/>
      </c>
      <c r="U119" s="16" t="str">
        <f t="shared" si="35"/>
        <v/>
      </c>
      <c r="V119" s="16" t="str">
        <f t="shared" si="36"/>
        <v/>
      </c>
      <c r="W119" s="16" t="str">
        <f t="shared" si="37"/>
        <v/>
      </c>
      <c r="X119" s="40"/>
      <c r="Y119" s="14"/>
      <c r="AZ119" t="str">
        <f>IF($C119="","",ANAGRAFICA!$P116)</f>
        <v/>
      </c>
      <c r="BA119" t="str">
        <f>IF($C119="","",SUMIF('MOVIMENTI 2026'!$B$7:$B$4206,$C119,'MOVIMENTI 2026'!$I$7:$I$4206)+SUMIF('SALDI AL 31.12.2025'!$A$6:$A$505,$C119,'SALDI AL 31.12.2025'!$C$6:$C$505))</f>
        <v/>
      </c>
      <c r="BB119" t="str">
        <f>IF($C119="","",SUMIF('MOVIMENTI 2026'!$B$7:$B$4206,$C119,'MOVIMENTI 2026'!$J$7:$J$4206)+SUMIF('SALDI AL 31.12.2025'!$A$6:$A$505,$C119,'SALDI AL 31.12.2025'!$D$6:$D$505))</f>
        <v/>
      </c>
      <c r="BC119" t="str">
        <f>IF($C119="","",SUMIF('MOVIMENTI 2026'!$B$7:$B$4206,$C119,'MOVIMENTI 2026'!$K$7:$K$4206)+SUMIF('SALDI AL 31.12.2025'!$A$6:$A$505,$C119,'SALDI AL 31.12.2025'!$E$6:$E$505))</f>
        <v/>
      </c>
      <c r="BD119" t="str">
        <f>IF($C119="","",SUMIF('MOVIMENTI 2026'!$B$7:$B$4206,$C119,'MOVIMENTI 2026'!$L$7:$L$4206)+SUMIF('SALDI AL 31.12.2025'!$A$6:$A$505,$C119,'SALDI AL 31.12.2025'!$F$6:$F$505))</f>
        <v/>
      </c>
      <c r="BE119" t="str">
        <f t="shared" si="38"/>
        <v/>
      </c>
      <c r="BF119" t="str">
        <f t="shared" si="39"/>
        <v/>
      </c>
      <c r="BG119" t="str">
        <f t="shared" si="40"/>
        <v/>
      </c>
      <c r="BH119" t="str">
        <f>IFERROR(IF(OR($C119="",ANAGRAFICA!$I116="",ANAGRAFICA!$J116="",ANAGRAFICA!$J116&lt;=ANAGRAFICA!$I116,$Y119=""),"",IF(OR($I119="Finito ritenute non previste",$I119="Finito con sblocco ritenute",$I119="Finito senza sblocco ritenute"),1,MAX(0,MIN(1,($Y119-ANAGRAFICA!$I116)/(ANAGRAFICA!$J116-ANAGRAFICA!$I116))))),"")</f>
        <v/>
      </c>
      <c r="BI119" t="str">
        <f t="shared" si="41"/>
        <v/>
      </c>
      <c r="BJ119" t="str">
        <f>IFERROR(IF($C119="","",'BUDGET COMMESSA'!$D116),"")</f>
        <v/>
      </c>
      <c r="BK119" t="str">
        <f>IF($C119="","",SUMIF('MOVIMENTI 2026'!$B$7:$B$4206,$C119,'MOVIMENTI 2026'!$N$7:$N$4206)+SUMIF('SALDI AL 31.12.2025'!$A$6:$A$505,$C119,'SALDI AL 31.12.2025'!$H$6:$H$505))</f>
        <v/>
      </c>
      <c r="BL119" t="str">
        <f t="shared" si="42"/>
        <v/>
      </c>
      <c r="BM119" t="str">
        <f t="shared" si="43"/>
        <v/>
      </c>
      <c r="BN119" t="str">
        <f t="shared" si="44"/>
        <v/>
      </c>
      <c r="BO119" t="str">
        <f>IFERROR(IF($C119="","",'BUDGET COMMESSA'!$G116),"")</f>
        <v/>
      </c>
      <c r="BP119" t="str">
        <f>IF($C119="","",SUMIF('COSTI DIRETTI'!$C$6:$C$505,$C119,'COSTI DIRETTI'!$H$6:$H$505)+SUMIF('SALDI AL 31.12.2025'!$A$6:$A$505,$C119,'SALDI AL 31.12.2025'!$I$6:$I$505))</f>
        <v/>
      </c>
      <c r="BQ119" t="str">
        <f t="shared" si="45"/>
        <v/>
      </c>
      <c r="BR119" t="str">
        <f t="shared" si="46"/>
        <v/>
      </c>
      <c r="BS119" t="str">
        <f>IF($C119="","",$BK119*PARAMETRI!$B$4+$BP119)</f>
        <v/>
      </c>
      <c r="BT119">
        <f t="shared" si="47"/>
        <v>0</v>
      </c>
      <c r="BU119">
        <f t="shared" si="48"/>
        <v>0</v>
      </c>
      <c r="BV119" t="str">
        <f>IF($C119="","",SUMIF('MOVIMENTI 2026'!$B$7:$B$4206,$C119,'MOVIMENTI 2026'!$P$7:$P$4206)+SUMIF('SALDI AL 31.12.2025'!$A$6:$A$505,$C119,'SALDI AL 31.12.2025'!$G$6:$G$505))</f>
        <v/>
      </c>
    </row>
    <row r="120" spans="1:74" ht="16" x14ac:dyDescent="0.15">
      <c r="A120" s="17" t="str">
        <f>IFERROR(IF($C120="","",IF(OR($BF120&gt;0,$V120&gt;$J120,AND(ISNUMBER($Q120),$Q120&gt;0),AND($BI120&lt;&gt;"",$BI120&lt;-PARAMETRI!$B$6),AND($BM120&lt;&gt;"",$BM120&gt;=1),AND($BN120&lt;&gt;"",$BN120&gt;PARAMETRI!$B$8),AND(ISNUMBER($BR120),$BR120&gt;0)),"CRITICO",IF(OR($AZ120="",LEFT($C120,5)="TEMP",$BJ120="",$BO120="",ANAGRAFICA!$I117="",ANAGRAFICA!$J117="",$Y120="",AND(OR($I120="Finito ritenute non previste",$I120="Finito con sblocco ritenute",$I120="Finito senza sblocco ritenute"),ANAGRAFICA!$K117=""),OR(AND(ANAGRAFICA!$T117&lt;&gt;"",ANAGRAFICA!$J117&lt;&gt;ANAGRAFICA!$T117,OR(ANAGRAFICA!$R117="",ANAGRAFICA!$R117="Nessuna variazione")),AND(ANAGRAFICA!$J117="",ANAGRAFICA!$R117&lt;&gt;"",ANAGRAFICA!$R117&lt;&gt;"Nessuna variazione")),AND($BI120&lt;&gt;"",$BI120&lt;-PARAMETRI!$B$5),AND($BN120&lt;&gt;"",$BN120&gt;PARAMETRI!$B$7),AND($W120&gt;0,$M120&gt;$W120*PARAMETRI!$B$9),AND($O120&gt;0,OR($I120="Finito ritenute non previste",$I120="Finito con sblocco ritenute",$I120="Finito senza sblocco ritenute")),AND($BA120&gt;0,$BO120&gt;0,$BP120=0),AND(OR($I120="Finito ritenute non previste",$I120="Finito con sblocco ritenute",$I120="Finito senza sblocco ritenute"),$W120&gt;0,$N120&gt;$W120*PARAMETRI!$B$9),$V120&gt;0),"ATTENZIONE","REGOLARE"))),"ATTENZIONE")</f>
        <v/>
      </c>
      <c r="B120" s="17" t="str">
        <f>IFERROR(IF($C120="","",IF($BF120&gt;0,"FATTURATO OLTRE VALORE RECUPERABILE; ","")&amp;IF($V120&gt;$J120,"PERDITE ACCETTATE OLTRE CONTRATTO; ","")&amp;IF($V120&gt;0,"PERDITA SAL ACCETTATA (€ "&amp;TEXT($V120,"#,##0.00")&amp;"); ","")&amp;IF(AND(ISNUMBER($Q120),$Q120&gt;0),"RITARDO PRODUTTIVO ("&amp;TEXT($Q120,"0")&amp;" GG); ","")&amp;IF(AND($BI120&lt;&gt;"",$BI120&lt;-PARAMETRI!$B$5),"AVANZAMENTO PIÙ LENTO DEL TEMPO; ","")&amp;IF(AND($BM120&lt;&gt;"",$BM120&gt;1),"ORE OLTRE BUDGET; ","")&amp;IF(AND($BM120&lt;&gt;"",$BM120=1),"ORE PREVENTIVATE ESAURITE; ","")&amp;IF(AND($BN120&lt;&gt;"",$BN120&gt;PARAMETRI!$B$7),"CONSUMO ORE SUPERIORE ALL'AVANZAMENTO; ","")&amp;IF(AND(ISNUMBER($BR120),$BR120&gt;0),"COSTI DIRETTI OLTRE BUDGET; ","")&amp;IF(AND($W120&gt;0,$M120&gt;$W120*PARAMETRI!$B$9),"SAL MATURATO NON FATTURATO; ","")&amp;IF(AND($O120&gt;0,OR($I120="Finito ritenute non previste",$I120="Finito con sblocco ritenute",$I120="Finito senza sblocco ritenute")),"RITENUTE DA SBLOCCARE; ","")&amp;IF(AND($BA120&gt;0,$BO120&gt;0,$BP120=0),"COSTI DIRETTI NON REGISTRATI; ","")&amp;IF(AND(OR($I120="Finito ritenute non previste",$I120="Finito con sblocco ritenute",$I120="Finito senza sblocco ritenute"),$W120&gt;0,$N120&gt;$W120*PARAMETRI!$B$9),"CANTIERE FINITO CON RESIDUO LAVORI; ","")&amp;IF(AND(OR($I120="Finito ritenute non previste",$I120="Finito con sblocco ritenute",$I120="Finito senza sblocco ritenute"),ANAGRAFICA!$K117=""),"DATA FINE EFFETTIVA MANCANTE; ","")&amp;IF(OR(AND(ANAGRAFICA!$T117&lt;&gt;"",ANAGRAFICA!$J117&lt;&gt;ANAGRAFICA!$T117,OR(ANAGRAFICA!$R117="",ANAGRAFICA!$R117="Nessuna variazione")),AND(ANAGRAFICA!$J117="",ANAGRAFICA!$R117&lt;&gt;"",ANAGRAFICA!$R117&lt;&gt;"Nessuna variazione")),"GESTIONE DATA FINE INCOMPLETA; ","")&amp;IF($Y120="","AGGIORNATO AL MANCANTE; ","")&amp;IF(OR($AZ120="",$BJ120="",$BO120="",ANAGRAFICA!$I117="",ANAGRAFICA!$J117=""),"DATI PREVISIONALI INCOMPLETI; ","")&amp;IF(LEFT($C120,5)="TEMP","CODICE COMMESSA TEMPORANEO; ","")),"DATI INCOMPLETI; ")</f>
        <v/>
      </c>
      <c r="C120" s="17" t="str">
        <f>IF(ANAGRAFICA!$B117="","",ANAGRAFICA!$B117)</f>
        <v/>
      </c>
      <c r="D120" s="17" t="str">
        <f>IF($C120="","",ANAGRAFICA!$C117)</f>
        <v/>
      </c>
      <c r="E120" s="17" t="str">
        <f>IF($C120="","",ANAGRAFICA!$D117)</f>
        <v/>
      </c>
      <c r="F120" s="17" t="str">
        <f>IF($C120="","",ANAGRAFICA!$E117)</f>
        <v/>
      </c>
      <c r="G120" s="17" t="str">
        <f>IF($C120="","",ANAGRAFICA!$F117)</f>
        <v/>
      </c>
      <c r="H120" s="17" t="str">
        <f>IF($C120="","",ANAGRAFICA!$G117)</f>
        <v/>
      </c>
      <c r="I120" s="17" t="str">
        <f>IF($C120="","",ANAGRAFICA!$L117)</f>
        <v/>
      </c>
      <c r="J120" s="16" t="str">
        <f t="shared" si="25"/>
        <v/>
      </c>
      <c r="K120" s="16" t="str">
        <f t="shared" si="26"/>
        <v/>
      </c>
      <c r="L120" s="16" t="str">
        <f t="shared" si="27"/>
        <v/>
      </c>
      <c r="M120" s="16" t="str">
        <f t="shared" si="28"/>
        <v/>
      </c>
      <c r="N120" s="16" t="str">
        <f t="shared" si="29"/>
        <v/>
      </c>
      <c r="O120" s="16" t="str">
        <f t="shared" si="30"/>
        <v/>
      </c>
      <c r="P120" s="17" t="str">
        <f t="shared" si="31"/>
        <v/>
      </c>
      <c r="Q120" s="31" t="str">
        <f>IF(OR($C120="",'BUDGET COMMESSA'!$D117="",'BUDGET COMMESSA'!$D117&lt;=0,ANAGRAFICA!$J117=""),"",IF(OR($I120="Finito ritenute non previste",$I120="Finito con sblocco ritenute",$I120="Finito senza sblocco ritenute"),0,IF(AND($BK120&gt;=$BJ120,ANAGRAFICA!$R117="Ritardo produttivo FIDA"),IF(ANAGRAFICA!$T117&lt;&gt;"",MAX(0,ANAGRAFICA!$J117-ANAGRAFICA!$T117),MAX(0,$Y120-ANAGRAFICA!$J117)),0)))</f>
        <v/>
      </c>
      <c r="R120" s="17" t="str">
        <f t="shared" si="32"/>
        <v/>
      </c>
      <c r="S120" s="17" t="str">
        <f t="shared" si="33"/>
        <v/>
      </c>
      <c r="T120" s="17" t="str">
        <f t="shared" si="34"/>
        <v/>
      </c>
      <c r="U120" s="16" t="str">
        <f t="shared" si="35"/>
        <v/>
      </c>
      <c r="V120" s="16" t="str">
        <f t="shared" si="36"/>
        <v/>
      </c>
      <c r="W120" s="16" t="str">
        <f t="shared" si="37"/>
        <v/>
      </c>
      <c r="X120" s="40"/>
      <c r="Y120" s="14"/>
      <c r="AZ120" t="str">
        <f>IF($C120="","",ANAGRAFICA!$P117)</f>
        <v/>
      </c>
      <c r="BA120" t="str">
        <f>IF($C120="","",SUMIF('MOVIMENTI 2026'!$B$7:$B$4206,$C120,'MOVIMENTI 2026'!$I$7:$I$4206)+SUMIF('SALDI AL 31.12.2025'!$A$6:$A$505,$C120,'SALDI AL 31.12.2025'!$C$6:$C$505))</f>
        <v/>
      </c>
      <c r="BB120" t="str">
        <f>IF($C120="","",SUMIF('MOVIMENTI 2026'!$B$7:$B$4206,$C120,'MOVIMENTI 2026'!$J$7:$J$4206)+SUMIF('SALDI AL 31.12.2025'!$A$6:$A$505,$C120,'SALDI AL 31.12.2025'!$D$6:$D$505))</f>
        <v/>
      </c>
      <c r="BC120" t="str">
        <f>IF($C120="","",SUMIF('MOVIMENTI 2026'!$B$7:$B$4206,$C120,'MOVIMENTI 2026'!$K$7:$K$4206)+SUMIF('SALDI AL 31.12.2025'!$A$6:$A$505,$C120,'SALDI AL 31.12.2025'!$E$6:$E$505))</f>
        <v/>
      </c>
      <c r="BD120" t="str">
        <f>IF($C120="","",SUMIF('MOVIMENTI 2026'!$B$7:$B$4206,$C120,'MOVIMENTI 2026'!$L$7:$L$4206)+SUMIF('SALDI AL 31.12.2025'!$A$6:$A$505,$C120,'SALDI AL 31.12.2025'!$F$6:$F$505))</f>
        <v/>
      </c>
      <c r="BE120" t="str">
        <f t="shared" si="38"/>
        <v/>
      </c>
      <c r="BF120" t="str">
        <f t="shared" si="39"/>
        <v/>
      </c>
      <c r="BG120" t="str">
        <f t="shared" si="40"/>
        <v/>
      </c>
      <c r="BH120" t="str">
        <f>IFERROR(IF(OR($C120="",ANAGRAFICA!$I117="",ANAGRAFICA!$J117="",ANAGRAFICA!$J117&lt;=ANAGRAFICA!$I117,$Y120=""),"",IF(OR($I120="Finito ritenute non previste",$I120="Finito con sblocco ritenute",$I120="Finito senza sblocco ritenute"),1,MAX(0,MIN(1,($Y120-ANAGRAFICA!$I117)/(ANAGRAFICA!$J117-ANAGRAFICA!$I117))))),"")</f>
        <v/>
      </c>
      <c r="BI120" t="str">
        <f t="shared" si="41"/>
        <v/>
      </c>
      <c r="BJ120" t="str">
        <f>IFERROR(IF($C120="","",'BUDGET COMMESSA'!$D117),"")</f>
        <v/>
      </c>
      <c r="BK120" t="str">
        <f>IF($C120="","",SUMIF('MOVIMENTI 2026'!$B$7:$B$4206,$C120,'MOVIMENTI 2026'!$N$7:$N$4206)+SUMIF('SALDI AL 31.12.2025'!$A$6:$A$505,$C120,'SALDI AL 31.12.2025'!$H$6:$H$505))</f>
        <v/>
      </c>
      <c r="BL120" t="str">
        <f t="shared" si="42"/>
        <v/>
      </c>
      <c r="BM120" t="str">
        <f t="shared" si="43"/>
        <v/>
      </c>
      <c r="BN120" t="str">
        <f t="shared" si="44"/>
        <v/>
      </c>
      <c r="BO120" t="str">
        <f>IFERROR(IF($C120="","",'BUDGET COMMESSA'!$G117),"")</f>
        <v/>
      </c>
      <c r="BP120" t="str">
        <f>IF($C120="","",SUMIF('COSTI DIRETTI'!$C$6:$C$505,$C120,'COSTI DIRETTI'!$H$6:$H$505)+SUMIF('SALDI AL 31.12.2025'!$A$6:$A$505,$C120,'SALDI AL 31.12.2025'!$I$6:$I$505))</f>
        <v/>
      </c>
      <c r="BQ120" t="str">
        <f t="shared" si="45"/>
        <v/>
      </c>
      <c r="BR120" t="str">
        <f t="shared" si="46"/>
        <v/>
      </c>
      <c r="BS120" t="str">
        <f>IF($C120="","",$BK120*PARAMETRI!$B$4+$BP120)</f>
        <v/>
      </c>
      <c r="BT120">
        <f t="shared" si="47"/>
        <v>0</v>
      </c>
      <c r="BU120">
        <f t="shared" si="48"/>
        <v>0</v>
      </c>
      <c r="BV120" t="str">
        <f>IF($C120="","",SUMIF('MOVIMENTI 2026'!$B$7:$B$4206,$C120,'MOVIMENTI 2026'!$P$7:$P$4206)+SUMIF('SALDI AL 31.12.2025'!$A$6:$A$505,$C120,'SALDI AL 31.12.2025'!$G$6:$G$505))</f>
        <v/>
      </c>
    </row>
    <row r="121" spans="1:74" ht="16" x14ac:dyDescent="0.15">
      <c r="A121" s="17" t="str">
        <f>IFERROR(IF($C121="","",IF(OR($BF121&gt;0,$V121&gt;$J121,AND(ISNUMBER($Q121),$Q121&gt;0),AND($BI121&lt;&gt;"",$BI121&lt;-PARAMETRI!$B$6),AND($BM121&lt;&gt;"",$BM121&gt;=1),AND($BN121&lt;&gt;"",$BN121&gt;PARAMETRI!$B$8),AND(ISNUMBER($BR121),$BR121&gt;0)),"CRITICO",IF(OR($AZ121="",LEFT($C121,5)="TEMP",$BJ121="",$BO121="",ANAGRAFICA!$I118="",ANAGRAFICA!$J118="",$Y121="",AND(OR($I121="Finito ritenute non previste",$I121="Finito con sblocco ritenute",$I121="Finito senza sblocco ritenute"),ANAGRAFICA!$K118=""),OR(AND(ANAGRAFICA!$T118&lt;&gt;"",ANAGRAFICA!$J118&lt;&gt;ANAGRAFICA!$T118,OR(ANAGRAFICA!$R118="",ANAGRAFICA!$R118="Nessuna variazione")),AND(ANAGRAFICA!$J118="",ANAGRAFICA!$R118&lt;&gt;"",ANAGRAFICA!$R118&lt;&gt;"Nessuna variazione")),AND($BI121&lt;&gt;"",$BI121&lt;-PARAMETRI!$B$5),AND($BN121&lt;&gt;"",$BN121&gt;PARAMETRI!$B$7),AND($W121&gt;0,$M121&gt;$W121*PARAMETRI!$B$9),AND($O121&gt;0,OR($I121="Finito ritenute non previste",$I121="Finito con sblocco ritenute",$I121="Finito senza sblocco ritenute")),AND($BA121&gt;0,$BO121&gt;0,$BP121=0),AND(OR($I121="Finito ritenute non previste",$I121="Finito con sblocco ritenute",$I121="Finito senza sblocco ritenute"),$W121&gt;0,$N121&gt;$W121*PARAMETRI!$B$9),$V121&gt;0),"ATTENZIONE","REGOLARE"))),"ATTENZIONE")</f>
        <v/>
      </c>
      <c r="B121" s="17" t="str">
        <f>IFERROR(IF($C121="","",IF($BF121&gt;0,"FATTURATO OLTRE VALORE RECUPERABILE; ","")&amp;IF($V121&gt;$J121,"PERDITE ACCETTATE OLTRE CONTRATTO; ","")&amp;IF($V121&gt;0,"PERDITA SAL ACCETTATA (€ "&amp;TEXT($V121,"#,##0.00")&amp;"); ","")&amp;IF(AND(ISNUMBER($Q121),$Q121&gt;0),"RITARDO PRODUTTIVO ("&amp;TEXT($Q121,"0")&amp;" GG); ","")&amp;IF(AND($BI121&lt;&gt;"",$BI121&lt;-PARAMETRI!$B$5),"AVANZAMENTO PIÙ LENTO DEL TEMPO; ","")&amp;IF(AND($BM121&lt;&gt;"",$BM121&gt;1),"ORE OLTRE BUDGET; ","")&amp;IF(AND($BM121&lt;&gt;"",$BM121=1),"ORE PREVENTIVATE ESAURITE; ","")&amp;IF(AND($BN121&lt;&gt;"",$BN121&gt;PARAMETRI!$B$7),"CONSUMO ORE SUPERIORE ALL'AVANZAMENTO; ","")&amp;IF(AND(ISNUMBER($BR121),$BR121&gt;0),"COSTI DIRETTI OLTRE BUDGET; ","")&amp;IF(AND($W121&gt;0,$M121&gt;$W121*PARAMETRI!$B$9),"SAL MATURATO NON FATTURATO; ","")&amp;IF(AND($O121&gt;0,OR($I121="Finito ritenute non previste",$I121="Finito con sblocco ritenute",$I121="Finito senza sblocco ritenute")),"RITENUTE DA SBLOCCARE; ","")&amp;IF(AND($BA121&gt;0,$BO121&gt;0,$BP121=0),"COSTI DIRETTI NON REGISTRATI; ","")&amp;IF(AND(OR($I121="Finito ritenute non previste",$I121="Finito con sblocco ritenute",$I121="Finito senza sblocco ritenute"),$W121&gt;0,$N121&gt;$W121*PARAMETRI!$B$9),"CANTIERE FINITO CON RESIDUO LAVORI; ","")&amp;IF(AND(OR($I121="Finito ritenute non previste",$I121="Finito con sblocco ritenute",$I121="Finito senza sblocco ritenute"),ANAGRAFICA!$K118=""),"DATA FINE EFFETTIVA MANCANTE; ","")&amp;IF(OR(AND(ANAGRAFICA!$T118&lt;&gt;"",ANAGRAFICA!$J118&lt;&gt;ANAGRAFICA!$T118,OR(ANAGRAFICA!$R118="",ANAGRAFICA!$R118="Nessuna variazione")),AND(ANAGRAFICA!$J118="",ANAGRAFICA!$R118&lt;&gt;"",ANAGRAFICA!$R118&lt;&gt;"Nessuna variazione")),"GESTIONE DATA FINE INCOMPLETA; ","")&amp;IF($Y121="","AGGIORNATO AL MANCANTE; ","")&amp;IF(OR($AZ121="",$BJ121="",$BO121="",ANAGRAFICA!$I118="",ANAGRAFICA!$J118=""),"DATI PREVISIONALI INCOMPLETI; ","")&amp;IF(LEFT($C121,5)="TEMP","CODICE COMMESSA TEMPORANEO; ","")),"DATI INCOMPLETI; ")</f>
        <v/>
      </c>
      <c r="C121" s="17" t="str">
        <f>IF(ANAGRAFICA!$B118="","",ANAGRAFICA!$B118)</f>
        <v/>
      </c>
      <c r="D121" s="17" t="str">
        <f>IF($C121="","",ANAGRAFICA!$C118)</f>
        <v/>
      </c>
      <c r="E121" s="17" t="str">
        <f>IF($C121="","",ANAGRAFICA!$D118)</f>
        <v/>
      </c>
      <c r="F121" s="17" t="str">
        <f>IF($C121="","",ANAGRAFICA!$E118)</f>
        <v/>
      </c>
      <c r="G121" s="17" t="str">
        <f>IF($C121="","",ANAGRAFICA!$F118)</f>
        <v/>
      </c>
      <c r="H121" s="17" t="str">
        <f>IF($C121="","",ANAGRAFICA!$G118)</f>
        <v/>
      </c>
      <c r="I121" s="17" t="str">
        <f>IF($C121="","",ANAGRAFICA!$L118)</f>
        <v/>
      </c>
      <c r="J121" s="16" t="str">
        <f t="shared" si="25"/>
        <v/>
      </c>
      <c r="K121" s="16" t="str">
        <f t="shared" si="26"/>
        <v/>
      </c>
      <c r="L121" s="16" t="str">
        <f t="shared" si="27"/>
        <v/>
      </c>
      <c r="M121" s="16" t="str">
        <f t="shared" si="28"/>
        <v/>
      </c>
      <c r="N121" s="16" t="str">
        <f t="shared" si="29"/>
        <v/>
      </c>
      <c r="O121" s="16" t="str">
        <f t="shared" si="30"/>
        <v/>
      </c>
      <c r="P121" s="17" t="str">
        <f t="shared" si="31"/>
        <v/>
      </c>
      <c r="Q121" s="31" t="str">
        <f>IF(OR($C121="",'BUDGET COMMESSA'!$D118="",'BUDGET COMMESSA'!$D118&lt;=0,ANAGRAFICA!$J118=""),"",IF(OR($I121="Finito ritenute non previste",$I121="Finito con sblocco ritenute",$I121="Finito senza sblocco ritenute"),0,IF(AND($BK121&gt;=$BJ121,ANAGRAFICA!$R118="Ritardo produttivo FIDA"),IF(ANAGRAFICA!$T118&lt;&gt;"",MAX(0,ANAGRAFICA!$J118-ANAGRAFICA!$T118),MAX(0,$Y121-ANAGRAFICA!$J118)),0)))</f>
        <v/>
      </c>
      <c r="R121" s="17" t="str">
        <f t="shared" si="32"/>
        <v/>
      </c>
      <c r="S121" s="17" t="str">
        <f t="shared" si="33"/>
        <v/>
      </c>
      <c r="T121" s="17" t="str">
        <f t="shared" si="34"/>
        <v/>
      </c>
      <c r="U121" s="16" t="str">
        <f t="shared" si="35"/>
        <v/>
      </c>
      <c r="V121" s="16" t="str">
        <f t="shared" si="36"/>
        <v/>
      </c>
      <c r="W121" s="16" t="str">
        <f t="shared" si="37"/>
        <v/>
      </c>
      <c r="X121" s="40"/>
      <c r="Y121" s="14"/>
      <c r="AZ121" t="str">
        <f>IF($C121="","",ANAGRAFICA!$P118)</f>
        <v/>
      </c>
      <c r="BA121" t="str">
        <f>IF($C121="","",SUMIF('MOVIMENTI 2026'!$B$7:$B$4206,$C121,'MOVIMENTI 2026'!$I$7:$I$4206)+SUMIF('SALDI AL 31.12.2025'!$A$6:$A$505,$C121,'SALDI AL 31.12.2025'!$C$6:$C$505))</f>
        <v/>
      </c>
      <c r="BB121" t="str">
        <f>IF($C121="","",SUMIF('MOVIMENTI 2026'!$B$7:$B$4206,$C121,'MOVIMENTI 2026'!$J$7:$J$4206)+SUMIF('SALDI AL 31.12.2025'!$A$6:$A$505,$C121,'SALDI AL 31.12.2025'!$D$6:$D$505))</f>
        <v/>
      </c>
      <c r="BC121" t="str">
        <f>IF($C121="","",SUMIF('MOVIMENTI 2026'!$B$7:$B$4206,$C121,'MOVIMENTI 2026'!$K$7:$K$4206)+SUMIF('SALDI AL 31.12.2025'!$A$6:$A$505,$C121,'SALDI AL 31.12.2025'!$E$6:$E$505))</f>
        <v/>
      </c>
      <c r="BD121" t="str">
        <f>IF($C121="","",SUMIF('MOVIMENTI 2026'!$B$7:$B$4206,$C121,'MOVIMENTI 2026'!$L$7:$L$4206)+SUMIF('SALDI AL 31.12.2025'!$A$6:$A$505,$C121,'SALDI AL 31.12.2025'!$F$6:$F$505))</f>
        <v/>
      </c>
      <c r="BE121" t="str">
        <f t="shared" si="38"/>
        <v/>
      </c>
      <c r="BF121" t="str">
        <f t="shared" si="39"/>
        <v/>
      </c>
      <c r="BG121" t="str">
        <f t="shared" si="40"/>
        <v/>
      </c>
      <c r="BH121" t="str">
        <f>IFERROR(IF(OR($C121="",ANAGRAFICA!$I118="",ANAGRAFICA!$J118="",ANAGRAFICA!$J118&lt;=ANAGRAFICA!$I118,$Y121=""),"",IF(OR($I121="Finito ritenute non previste",$I121="Finito con sblocco ritenute",$I121="Finito senza sblocco ritenute"),1,MAX(0,MIN(1,($Y121-ANAGRAFICA!$I118)/(ANAGRAFICA!$J118-ANAGRAFICA!$I118))))),"")</f>
        <v/>
      </c>
      <c r="BI121" t="str">
        <f t="shared" si="41"/>
        <v/>
      </c>
      <c r="BJ121" t="str">
        <f>IFERROR(IF($C121="","",'BUDGET COMMESSA'!$D118),"")</f>
        <v/>
      </c>
      <c r="BK121" t="str">
        <f>IF($C121="","",SUMIF('MOVIMENTI 2026'!$B$7:$B$4206,$C121,'MOVIMENTI 2026'!$N$7:$N$4206)+SUMIF('SALDI AL 31.12.2025'!$A$6:$A$505,$C121,'SALDI AL 31.12.2025'!$H$6:$H$505))</f>
        <v/>
      </c>
      <c r="BL121" t="str">
        <f t="shared" si="42"/>
        <v/>
      </c>
      <c r="BM121" t="str">
        <f t="shared" si="43"/>
        <v/>
      </c>
      <c r="BN121" t="str">
        <f t="shared" si="44"/>
        <v/>
      </c>
      <c r="BO121" t="str">
        <f>IFERROR(IF($C121="","",'BUDGET COMMESSA'!$G118),"")</f>
        <v/>
      </c>
      <c r="BP121" t="str">
        <f>IF($C121="","",SUMIF('COSTI DIRETTI'!$C$6:$C$505,$C121,'COSTI DIRETTI'!$H$6:$H$505)+SUMIF('SALDI AL 31.12.2025'!$A$6:$A$505,$C121,'SALDI AL 31.12.2025'!$I$6:$I$505))</f>
        <v/>
      </c>
      <c r="BQ121" t="str">
        <f t="shared" si="45"/>
        <v/>
      </c>
      <c r="BR121" t="str">
        <f t="shared" si="46"/>
        <v/>
      </c>
      <c r="BS121" t="str">
        <f>IF($C121="","",$BK121*PARAMETRI!$B$4+$BP121)</f>
        <v/>
      </c>
      <c r="BT121">
        <f t="shared" si="47"/>
        <v>0</v>
      </c>
      <c r="BU121">
        <f t="shared" si="48"/>
        <v>0</v>
      </c>
      <c r="BV121" t="str">
        <f>IF($C121="","",SUMIF('MOVIMENTI 2026'!$B$7:$B$4206,$C121,'MOVIMENTI 2026'!$P$7:$P$4206)+SUMIF('SALDI AL 31.12.2025'!$A$6:$A$505,$C121,'SALDI AL 31.12.2025'!$G$6:$G$505))</f>
        <v/>
      </c>
    </row>
    <row r="122" spans="1:74" ht="16" x14ac:dyDescent="0.15">
      <c r="A122" s="17" t="str">
        <f>IFERROR(IF($C122="","",IF(OR($BF122&gt;0,$V122&gt;$J122,AND(ISNUMBER($Q122),$Q122&gt;0),AND($BI122&lt;&gt;"",$BI122&lt;-PARAMETRI!$B$6),AND($BM122&lt;&gt;"",$BM122&gt;=1),AND($BN122&lt;&gt;"",$BN122&gt;PARAMETRI!$B$8),AND(ISNUMBER($BR122),$BR122&gt;0)),"CRITICO",IF(OR($AZ122="",LEFT($C122,5)="TEMP",$BJ122="",$BO122="",ANAGRAFICA!$I119="",ANAGRAFICA!$J119="",$Y122="",AND(OR($I122="Finito ritenute non previste",$I122="Finito con sblocco ritenute",$I122="Finito senza sblocco ritenute"),ANAGRAFICA!$K119=""),OR(AND(ANAGRAFICA!$T119&lt;&gt;"",ANAGRAFICA!$J119&lt;&gt;ANAGRAFICA!$T119,OR(ANAGRAFICA!$R119="",ANAGRAFICA!$R119="Nessuna variazione")),AND(ANAGRAFICA!$J119="",ANAGRAFICA!$R119&lt;&gt;"",ANAGRAFICA!$R119&lt;&gt;"Nessuna variazione")),AND($BI122&lt;&gt;"",$BI122&lt;-PARAMETRI!$B$5),AND($BN122&lt;&gt;"",$BN122&gt;PARAMETRI!$B$7),AND($W122&gt;0,$M122&gt;$W122*PARAMETRI!$B$9),AND($O122&gt;0,OR($I122="Finito ritenute non previste",$I122="Finito con sblocco ritenute",$I122="Finito senza sblocco ritenute")),AND($BA122&gt;0,$BO122&gt;0,$BP122=0),AND(OR($I122="Finito ritenute non previste",$I122="Finito con sblocco ritenute",$I122="Finito senza sblocco ritenute"),$W122&gt;0,$N122&gt;$W122*PARAMETRI!$B$9),$V122&gt;0),"ATTENZIONE","REGOLARE"))),"ATTENZIONE")</f>
        <v/>
      </c>
      <c r="B122" s="17" t="str">
        <f>IFERROR(IF($C122="","",IF($BF122&gt;0,"FATTURATO OLTRE VALORE RECUPERABILE; ","")&amp;IF($V122&gt;$J122,"PERDITE ACCETTATE OLTRE CONTRATTO; ","")&amp;IF($V122&gt;0,"PERDITA SAL ACCETTATA (€ "&amp;TEXT($V122,"#,##0.00")&amp;"); ","")&amp;IF(AND(ISNUMBER($Q122),$Q122&gt;0),"RITARDO PRODUTTIVO ("&amp;TEXT($Q122,"0")&amp;" GG); ","")&amp;IF(AND($BI122&lt;&gt;"",$BI122&lt;-PARAMETRI!$B$5),"AVANZAMENTO PIÙ LENTO DEL TEMPO; ","")&amp;IF(AND($BM122&lt;&gt;"",$BM122&gt;1),"ORE OLTRE BUDGET; ","")&amp;IF(AND($BM122&lt;&gt;"",$BM122=1),"ORE PREVENTIVATE ESAURITE; ","")&amp;IF(AND($BN122&lt;&gt;"",$BN122&gt;PARAMETRI!$B$7),"CONSUMO ORE SUPERIORE ALL'AVANZAMENTO; ","")&amp;IF(AND(ISNUMBER($BR122),$BR122&gt;0),"COSTI DIRETTI OLTRE BUDGET; ","")&amp;IF(AND($W122&gt;0,$M122&gt;$W122*PARAMETRI!$B$9),"SAL MATURATO NON FATTURATO; ","")&amp;IF(AND($O122&gt;0,OR($I122="Finito ritenute non previste",$I122="Finito con sblocco ritenute",$I122="Finito senza sblocco ritenute")),"RITENUTE DA SBLOCCARE; ","")&amp;IF(AND($BA122&gt;0,$BO122&gt;0,$BP122=0),"COSTI DIRETTI NON REGISTRATI; ","")&amp;IF(AND(OR($I122="Finito ritenute non previste",$I122="Finito con sblocco ritenute",$I122="Finito senza sblocco ritenute"),$W122&gt;0,$N122&gt;$W122*PARAMETRI!$B$9),"CANTIERE FINITO CON RESIDUO LAVORI; ","")&amp;IF(AND(OR($I122="Finito ritenute non previste",$I122="Finito con sblocco ritenute",$I122="Finito senza sblocco ritenute"),ANAGRAFICA!$K119=""),"DATA FINE EFFETTIVA MANCANTE; ","")&amp;IF(OR(AND(ANAGRAFICA!$T119&lt;&gt;"",ANAGRAFICA!$J119&lt;&gt;ANAGRAFICA!$T119,OR(ANAGRAFICA!$R119="",ANAGRAFICA!$R119="Nessuna variazione")),AND(ANAGRAFICA!$J119="",ANAGRAFICA!$R119&lt;&gt;"",ANAGRAFICA!$R119&lt;&gt;"Nessuna variazione")),"GESTIONE DATA FINE INCOMPLETA; ","")&amp;IF($Y122="","AGGIORNATO AL MANCANTE; ","")&amp;IF(OR($AZ122="",$BJ122="",$BO122="",ANAGRAFICA!$I119="",ANAGRAFICA!$J119=""),"DATI PREVISIONALI INCOMPLETI; ","")&amp;IF(LEFT($C122,5)="TEMP","CODICE COMMESSA TEMPORANEO; ","")),"DATI INCOMPLETI; ")</f>
        <v/>
      </c>
      <c r="C122" s="17" t="str">
        <f>IF(ANAGRAFICA!$B119="","",ANAGRAFICA!$B119)</f>
        <v/>
      </c>
      <c r="D122" s="17" t="str">
        <f>IF($C122="","",ANAGRAFICA!$C119)</f>
        <v/>
      </c>
      <c r="E122" s="17" t="str">
        <f>IF($C122="","",ANAGRAFICA!$D119)</f>
        <v/>
      </c>
      <c r="F122" s="17" t="str">
        <f>IF($C122="","",ANAGRAFICA!$E119)</f>
        <v/>
      </c>
      <c r="G122" s="17" t="str">
        <f>IF($C122="","",ANAGRAFICA!$F119)</f>
        <v/>
      </c>
      <c r="H122" s="17" t="str">
        <f>IF($C122="","",ANAGRAFICA!$G119)</f>
        <v/>
      </c>
      <c r="I122" s="17" t="str">
        <f>IF($C122="","",ANAGRAFICA!$L119)</f>
        <v/>
      </c>
      <c r="J122" s="16" t="str">
        <f t="shared" si="25"/>
        <v/>
      </c>
      <c r="K122" s="16" t="str">
        <f t="shared" si="26"/>
        <v/>
      </c>
      <c r="L122" s="16" t="str">
        <f t="shared" si="27"/>
        <v/>
      </c>
      <c r="M122" s="16" t="str">
        <f t="shared" si="28"/>
        <v/>
      </c>
      <c r="N122" s="16" t="str">
        <f t="shared" si="29"/>
        <v/>
      </c>
      <c r="O122" s="16" t="str">
        <f t="shared" si="30"/>
        <v/>
      </c>
      <c r="P122" s="17" t="str">
        <f t="shared" si="31"/>
        <v/>
      </c>
      <c r="Q122" s="31" t="str">
        <f>IF(OR($C122="",'BUDGET COMMESSA'!$D119="",'BUDGET COMMESSA'!$D119&lt;=0,ANAGRAFICA!$J119=""),"",IF(OR($I122="Finito ritenute non previste",$I122="Finito con sblocco ritenute",$I122="Finito senza sblocco ritenute"),0,IF(AND($BK122&gt;=$BJ122,ANAGRAFICA!$R119="Ritardo produttivo FIDA"),IF(ANAGRAFICA!$T119&lt;&gt;"",MAX(0,ANAGRAFICA!$J119-ANAGRAFICA!$T119),MAX(0,$Y122-ANAGRAFICA!$J119)),0)))</f>
        <v/>
      </c>
      <c r="R122" s="17" t="str">
        <f t="shared" si="32"/>
        <v/>
      </c>
      <c r="S122" s="17" t="str">
        <f t="shared" si="33"/>
        <v/>
      </c>
      <c r="T122" s="17" t="str">
        <f t="shared" si="34"/>
        <v/>
      </c>
      <c r="U122" s="16" t="str">
        <f t="shared" si="35"/>
        <v/>
      </c>
      <c r="V122" s="16" t="str">
        <f t="shared" si="36"/>
        <v/>
      </c>
      <c r="W122" s="16" t="str">
        <f t="shared" si="37"/>
        <v/>
      </c>
      <c r="X122" s="40"/>
      <c r="Y122" s="14"/>
      <c r="AZ122" t="str">
        <f>IF($C122="","",ANAGRAFICA!$P119)</f>
        <v/>
      </c>
      <c r="BA122" t="str">
        <f>IF($C122="","",SUMIF('MOVIMENTI 2026'!$B$7:$B$4206,$C122,'MOVIMENTI 2026'!$I$7:$I$4206)+SUMIF('SALDI AL 31.12.2025'!$A$6:$A$505,$C122,'SALDI AL 31.12.2025'!$C$6:$C$505))</f>
        <v/>
      </c>
      <c r="BB122" t="str">
        <f>IF($C122="","",SUMIF('MOVIMENTI 2026'!$B$7:$B$4206,$C122,'MOVIMENTI 2026'!$J$7:$J$4206)+SUMIF('SALDI AL 31.12.2025'!$A$6:$A$505,$C122,'SALDI AL 31.12.2025'!$D$6:$D$505))</f>
        <v/>
      </c>
      <c r="BC122" t="str">
        <f>IF($C122="","",SUMIF('MOVIMENTI 2026'!$B$7:$B$4206,$C122,'MOVIMENTI 2026'!$K$7:$K$4206)+SUMIF('SALDI AL 31.12.2025'!$A$6:$A$505,$C122,'SALDI AL 31.12.2025'!$E$6:$E$505))</f>
        <v/>
      </c>
      <c r="BD122" t="str">
        <f>IF($C122="","",SUMIF('MOVIMENTI 2026'!$B$7:$B$4206,$C122,'MOVIMENTI 2026'!$L$7:$L$4206)+SUMIF('SALDI AL 31.12.2025'!$A$6:$A$505,$C122,'SALDI AL 31.12.2025'!$F$6:$F$505))</f>
        <v/>
      </c>
      <c r="BE122" t="str">
        <f t="shared" si="38"/>
        <v/>
      </c>
      <c r="BF122" t="str">
        <f t="shared" si="39"/>
        <v/>
      </c>
      <c r="BG122" t="str">
        <f t="shared" si="40"/>
        <v/>
      </c>
      <c r="BH122" t="str">
        <f>IFERROR(IF(OR($C122="",ANAGRAFICA!$I119="",ANAGRAFICA!$J119="",ANAGRAFICA!$J119&lt;=ANAGRAFICA!$I119,$Y122=""),"",IF(OR($I122="Finito ritenute non previste",$I122="Finito con sblocco ritenute",$I122="Finito senza sblocco ritenute"),1,MAX(0,MIN(1,($Y122-ANAGRAFICA!$I119)/(ANAGRAFICA!$J119-ANAGRAFICA!$I119))))),"")</f>
        <v/>
      </c>
      <c r="BI122" t="str">
        <f t="shared" si="41"/>
        <v/>
      </c>
      <c r="BJ122" t="str">
        <f>IFERROR(IF($C122="","",'BUDGET COMMESSA'!$D119),"")</f>
        <v/>
      </c>
      <c r="BK122" t="str">
        <f>IF($C122="","",SUMIF('MOVIMENTI 2026'!$B$7:$B$4206,$C122,'MOVIMENTI 2026'!$N$7:$N$4206)+SUMIF('SALDI AL 31.12.2025'!$A$6:$A$505,$C122,'SALDI AL 31.12.2025'!$H$6:$H$505))</f>
        <v/>
      </c>
      <c r="BL122" t="str">
        <f t="shared" si="42"/>
        <v/>
      </c>
      <c r="BM122" t="str">
        <f t="shared" si="43"/>
        <v/>
      </c>
      <c r="BN122" t="str">
        <f t="shared" si="44"/>
        <v/>
      </c>
      <c r="BO122" t="str">
        <f>IFERROR(IF($C122="","",'BUDGET COMMESSA'!$G119),"")</f>
        <v/>
      </c>
      <c r="BP122" t="str">
        <f>IF($C122="","",SUMIF('COSTI DIRETTI'!$C$6:$C$505,$C122,'COSTI DIRETTI'!$H$6:$H$505)+SUMIF('SALDI AL 31.12.2025'!$A$6:$A$505,$C122,'SALDI AL 31.12.2025'!$I$6:$I$505))</f>
        <v/>
      </c>
      <c r="BQ122" t="str">
        <f t="shared" si="45"/>
        <v/>
      </c>
      <c r="BR122" t="str">
        <f t="shared" si="46"/>
        <v/>
      </c>
      <c r="BS122" t="str">
        <f>IF($C122="","",$BK122*PARAMETRI!$B$4+$BP122)</f>
        <v/>
      </c>
      <c r="BT122">
        <f t="shared" si="47"/>
        <v>0</v>
      </c>
      <c r="BU122">
        <f t="shared" si="48"/>
        <v>0</v>
      </c>
      <c r="BV122" t="str">
        <f>IF($C122="","",SUMIF('MOVIMENTI 2026'!$B$7:$B$4206,$C122,'MOVIMENTI 2026'!$P$7:$P$4206)+SUMIF('SALDI AL 31.12.2025'!$A$6:$A$505,$C122,'SALDI AL 31.12.2025'!$G$6:$G$505))</f>
        <v/>
      </c>
    </row>
    <row r="123" spans="1:74" ht="16" x14ac:dyDescent="0.15">
      <c r="A123" s="17" t="str">
        <f>IFERROR(IF($C123="","",IF(OR($BF123&gt;0,$V123&gt;$J123,AND(ISNUMBER($Q123),$Q123&gt;0),AND($BI123&lt;&gt;"",$BI123&lt;-PARAMETRI!$B$6),AND($BM123&lt;&gt;"",$BM123&gt;=1),AND($BN123&lt;&gt;"",$BN123&gt;PARAMETRI!$B$8),AND(ISNUMBER($BR123),$BR123&gt;0)),"CRITICO",IF(OR($AZ123="",LEFT($C123,5)="TEMP",$BJ123="",$BO123="",ANAGRAFICA!$I120="",ANAGRAFICA!$J120="",$Y123="",AND(OR($I123="Finito ritenute non previste",$I123="Finito con sblocco ritenute",$I123="Finito senza sblocco ritenute"),ANAGRAFICA!$K120=""),OR(AND(ANAGRAFICA!$T120&lt;&gt;"",ANAGRAFICA!$J120&lt;&gt;ANAGRAFICA!$T120,OR(ANAGRAFICA!$R120="",ANAGRAFICA!$R120="Nessuna variazione")),AND(ANAGRAFICA!$J120="",ANAGRAFICA!$R120&lt;&gt;"",ANAGRAFICA!$R120&lt;&gt;"Nessuna variazione")),AND($BI123&lt;&gt;"",$BI123&lt;-PARAMETRI!$B$5),AND($BN123&lt;&gt;"",$BN123&gt;PARAMETRI!$B$7),AND($W123&gt;0,$M123&gt;$W123*PARAMETRI!$B$9),AND($O123&gt;0,OR($I123="Finito ritenute non previste",$I123="Finito con sblocco ritenute",$I123="Finito senza sblocco ritenute")),AND($BA123&gt;0,$BO123&gt;0,$BP123=0),AND(OR($I123="Finito ritenute non previste",$I123="Finito con sblocco ritenute",$I123="Finito senza sblocco ritenute"),$W123&gt;0,$N123&gt;$W123*PARAMETRI!$B$9),$V123&gt;0),"ATTENZIONE","REGOLARE"))),"ATTENZIONE")</f>
        <v/>
      </c>
      <c r="B123" s="17" t="str">
        <f>IFERROR(IF($C123="","",IF($BF123&gt;0,"FATTURATO OLTRE VALORE RECUPERABILE; ","")&amp;IF($V123&gt;$J123,"PERDITE ACCETTATE OLTRE CONTRATTO; ","")&amp;IF($V123&gt;0,"PERDITA SAL ACCETTATA (€ "&amp;TEXT($V123,"#,##0.00")&amp;"); ","")&amp;IF(AND(ISNUMBER($Q123),$Q123&gt;0),"RITARDO PRODUTTIVO ("&amp;TEXT($Q123,"0")&amp;" GG); ","")&amp;IF(AND($BI123&lt;&gt;"",$BI123&lt;-PARAMETRI!$B$5),"AVANZAMENTO PIÙ LENTO DEL TEMPO; ","")&amp;IF(AND($BM123&lt;&gt;"",$BM123&gt;1),"ORE OLTRE BUDGET; ","")&amp;IF(AND($BM123&lt;&gt;"",$BM123=1),"ORE PREVENTIVATE ESAURITE; ","")&amp;IF(AND($BN123&lt;&gt;"",$BN123&gt;PARAMETRI!$B$7),"CONSUMO ORE SUPERIORE ALL'AVANZAMENTO; ","")&amp;IF(AND(ISNUMBER($BR123),$BR123&gt;0),"COSTI DIRETTI OLTRE BUDGET; ","")&amp;IF(AND($W123&gt;0,$M123&gt;$W123*PARAMETRI!$B$9),"SAL MATURATO NON FATTURATO; ","")&amp;IF(AND($O123&gt;0,OR($I123="Finito ritenute non previste",$I123="Finito con sblocco ritenute",$I123="Finito senza sblocco ritenute")),"RITENUTE DA SBLOCCARE; ","")&amp;IF(AND($BA123&gt;0,$BO123&gt;0,$BP123=0),"COSTI DIRETTI NON REGISTRATI; ","")&amp;IF(AND(OR($I123="Finito ritenute non previste",$I123="Finito con sblocco ritenute",$I123="Finito senza sblocco ritenute"),$W123&gt;0,$N123&gt;$W123*PARAMETRI!$B$9),"CANTIERE FINITO CON RESIDUO LAVORI; ","")&amp;IF(AND(OR($I123="Finito ritenute non previste",$I123="Finito con sblocco ritenute",$I123="Finito senza sblocco ritenute"),ANAGRAFICA!$K120=""),"DATA FINE EFFETTIVA MANCANTE; ","")&amp;IF(OR(AND(ANAGRAFICA!$T120&lt;&gt;"",ANAGRAFICA!$J120&lt;&gt;ANAGRAFICA!$T120,OR(ANAGRAFICA!$R120="",ANAGRAFICA!$R120="Nessuna variazione")),AND(ANAGRAFICA!$J120="",ANAGRAFICA!$R120&lt;&gt;"",ANAGRAFICA!$R120&lt;&gt;"Nessuna variazione")),"GESTIONE DATA FINE INCOMPLETA; ","")&amp;IF($Y123="","AGGIORNATO AL MANCANTE; ","")&amp;IF(OR($AZ123="",$BJ123="",$BO123="",ANAGRAFICA!$I120="",ANAGRAFICA!$J120=""),"DATI PREVISIONALI INCOMPLETI; ","")&amp;IF(LEFT($C123,5)="TEMP","CODICE COMMESSA TEMPORANEO; ","")),"DATI INCOMPLETI; ")</f>
        <v/>
      </c>
      <c r="C123" s="17" t="str">
        <f>IF(ANAGRAFICA!$B120="","",ANAGRAFICA!$B120)</f>
        <v/>
      </c>
      <c r="D123" s="17" t="str">
        <f>IF($C123="","",ANAGRAFICA!$C120)</f>
        <v/>
      </c>
      <c r="E123" s="17" t="str">
        <f>IF($C123="","",ANAGRAFICA!$D120)</f>
        <v/>
      </c>
      <c r="F123" s="17" t="str">
        <f>IF($C123="","",ANAGRAFICA!$E120)</f>
        <v/>
      </c>
      <c r="G123" s="17" t="str">
        <f>IF($C123="","",ANAGRAFICA!$F120)</f>
        <v/>
      </c>
      <c r="H123" s="17" t="str">
        <f>IF($C123="","",ANAGRAFICA!$G120)</f>
        <v/>
      </c>
      <c r="I123" s="17" t="str">
        <f>IF($C123="","",ANAGRAFICA!$L120)</f>
        <v/>
      </c>
      <c r="J123" s="16" t="str">
        <f t="shared" si="25"/>
        <v/>
      </c>
      <c r="K123" s="16" t="str">
        <f t="shared" si="26"/>
        <v/>
      </c>
      <c r="L123" s="16" t="str">
        <f t="shared" si="27"/>
        <v/>
      </c>
      <c r="M123" s="16" t="str">
        <f t="shared" si="28"/>
        <v/>
      </c>
      <c r="N123" s="16" t="str">
        <f t="shared" si="29"/>
        <v/>
      </c>
      <c r="O123" s="16" t="str">
        <f t="shared" si="30"/>
        <v/>
      </c>
      <c r="P123" s="17" t="str">
        <f t="shared" si="31"/>
        <v/>
      </c>
      <c r="Q123" s="31" t="str">
        <f>IF(OR($C123="",'BUDGET COMMESSA'!$D120="",'BUDGET COMMESSA'!$D120&lt;=0,ANAGRAFICA!$J120=""),"",IF(OR($I123="Finito ritenute non previste",$I123="Finito con sblocco ritenute",$I123="Finito senza sblocco ritenute"),0,IF(AND($BK123&gt;=$BJ123,ANAGRAFICA!$R120="Ritardo produttivo FIDA"),IF(ANAGRAFICA!$T120&lt;&gt;"",MAX(0,ANAGRAFICA!$J120-ANAGRAFICA!$T120),MAX(0,$Y123-ANAGRAFICA!$J120)),0)))</f>
        <v/>
      </c>
      <c r="R123" s="17" t="str">
        <f t="shared" si="32"/>
        <v/>
      </c>
      <c r="S123" s="17" t="str">
        <f t="shared" si="33"/>
        <v/>
      </c>
      <c r="T123" s="17" t="str">
        <f t="shared" si="34"/>
        <v/>
      </c>
      <c r="U123" s="16" t="str">
        <f t="shared" si="35"/>
        <v/>
      </c>
      <c r="V123" s="16" t="str">
        <f t="shared" si="36"/>
        <v/>
      </c>
      <c r="W123" s="16" t="str">
        <f t="shared" si="37"/>
        <v/>
      </c>
      <c r="X123" s="40"/>
      <c r="Y123" s="14"/>
      <c r="AZ123" t="str">
        <f>IF($C123="","",ANAGRAFICA!$P120)</f>
        <v/>
      </c>
      <c r="BA123" t="str">
        <f>IF($C123="","",SUMIF('MOVIMENTI 2026'!$B$7:$B$4206,$C123,'MOVIMENTI 2026'!$I$7:$I$4206)+SUMIF('SALDI AL 31.12.2025'!$A$6:$A$505,$C123,'SALDI AL 31.12.2025'!$C$6:$C$505))</f>
        <v/>
      </c>
      <c r="BB123" t="str">
        <f>IF($C123="","",SUMIF('MOVIMENTI 2026'!$B$7:$B$4206,$C123,'MOVIMENTI 2026'!$J$7:$J$4206)+SUMIF('SALDI AL 31.12.2025'!$A$6:$A$505,$C123,'SALDI AL 31.12.2025'!$D$6:$D$505))</f>
        <v/>
      </c>
      <c r="BC123" t="str">
        <f>IF($C123="","",SUMIF('MOVIMENTI 2026'!$B$7:$B$4206,$C123,'MOVIMENTI 2026'!$K$7:$K$4206)+SUMIF('SALDI AL 31.12.2025'!$A$6:$A$505,$C123,'SALDI AL 31.12.2025'!$E$6:$E$505))</f>
        <v/>
      </c>
      <c r="BD123" t="str">
        <f>IF($C123="","",SUMIF('MOVIMENTI 2026'!$B$7:$B$4206,$C123,'MOVIMENTI 2026'!$L$7:$L$4206)+SUMIF('SALDI AL 31.12.2025'!$A$6:$A$505,$C123,'SALDI AL 31.12.2025'!$F$6:$F$505))</f>
        <v/>
      </c>
      <c r="BE123" t="str">
        <f t="shared" si="38"/>
        <v/>
      </c>
      <c r="BF123" t="str">
        <f t="shared" si="39"/>
        <v/>
      </c>
      <c r="BG123" t="str">
        <f t="shared" si="40"/>
        <v/>
      </c>
      <c r="BH123" t="str">
        <f>IFERROR(IF(OR($C123="",ANAGRAFICA!$I120="",ANAGRAFICA!$J120="",ANAGRAFICA!$J120&lt;=ANAGRAFICA!$I120,$Y123=""),"",IF(OR($I123="Finito ritenute non previste",$I123="Finito con sblocco ritenute",$I123="Finito senza sblocco ritenute"),1,MAX(0,MIN(1,($Y123-ANAGRAFICA!$I120)/(ANAGRAFICA!$J120-ANAGRAFICA!$I120))))),"")</f>
        <v/>
      </c>
      <c r="BI123" t="str">
        <f t="shared" si="41"/>
        <v/>
      </c>
      <c r="BJ123" t="str">
        <f>IFERROR(IF($C123="","",'BUDGET COMMESSA'!$D120),"")</f>
        <v/>
      </c>
      <c r="BK123" t="str">
        <f>IF($C123="","",SUMIF('MOVIMENTI 2026'!$B$7:$B$4206,$C123,'MOVIMENTI 2026'!$N$7:$N$4206)+SUMIF('SALDI AL 31.12.2025'!$A$6:$A$505,$C123,'SALDI AL 31.12.2025'!$H$6:$H$505))</f>
        <v/>
      </c>
      <c r="BL123" t="str">
        <f t="shared" si="42"/>
        <v/>
      </c>
      <c r="BM123" t="str">
        <f t="shared" si="43"/>
        <v/>
      </c>
      <c r="BN123" t="str">
        <f t="shared" si="44"/>
        <v/>
      </c>
      <c r="BO123" t="str">
        <f>IFERROR(IF($C123="","",'BUDGET COMMESSA'!$G120),"")</f>
        <v/>
      </c>
      <c r="BP123" t="str">
        <f>IF($C123="","",SUMIF('COSTI DIRETTI'!$C$6:$C$505,$C123,'COSTI DIRETTI'!$H$6:$H$505)+SUMIF('SALDI AL 31.12.2025'!$A$6:$A$505,$C123,'SALDI AL 31.12.2025'!$I$6:$I$505))</f>
        <v/>
      </c>
      <c r="BQ123" t="str">
        <f t="shared" si="45"/>
        <v/>
      </c>
      <c r="BR123" t="str">
        <f t="shared" si="46"/>
        <v/>
      </c>
      <c r="BS123" t="str">
        <f>IF($C123="","",$BK123*PARAMETRI!$B$4+$BP123)</f>
        <v/>
      </c>
      <c r="BT123">
        <f t="shared" si="47"/>
        <v>0</v>
      </c>
      <c r="BU123">
        <f t="shared" si="48"/>
        <v>0</v>
      </c>
      <c r="BV123" t="str">
        <f>IF($C123="","",SUMIF('MOVIMENTI 2026'!$B$7:$B$4206,$C123,'MOVIMENTI 2026'!$P$7:$P$4206)+SUMIF('SALDI AL 31.12.2025'!$A$6:$A$505,$C123,'SALDI AL 31.12.2025'!$G$6:$G$505))</f>
        <v/>
      </c>
    </row>
    <row r="124" spans="1:74" ht="16" x14ac:dyDescent="0.15">
      <c r="A124" s="17" t="str">
        <f>IFERROR(IF($C124="","",IF(OR($BF124&gt;0,$V124&gt;$J124,AND(ISNUMBER($Q124),$Q124&gt;0),AND($BI124&lt;&gt;"",$BI124&lt;-PARAMETRI!$B$6),AND($BM124&lt;&gt;"",$BM124&gt;=1),AND($BN124&lt;&gt;"",$BN124&gt;PARAMETRI!$B$8),AND(ISNUMBER($BR124),$BR124&gt;0)),"CRITICO",IF(OR($AZ124="",LEFT($C124,5)="TEMP",$BJ124="",$BO124="",ANAGRAFICA!$I121="",ANAGRAFICA!$J121="",$Y124="",AND(OR($I124="Finito ritenute non previste",$I124="Finito con sblocco ritenute",$I124="Finito senza sblocco ritenute"),ANAGRAFICA!$K121=""),OR(AND(ANAGRAFICA!$T121&lt;&gt;"",ANAGRAFICA!$J121&lt;&gt;ANAGRAFICA!$T121,OR(ANAGRAFICA!$R121="",ANAGRAFICA!$R121="Nessuna variazione")),AND(ANAGRAFICA!$J121="",ANAGRAFICA!$R121&lt;&gt;"",ANAGRAFICA!$R121&lt;&gt;"Nessuna variazione")),AND($BI124&lt;&gt;"",$BI124&lt;-PARAMETRI!$B$5),AND($BN124&lt;&gt;"",$BN124&gt;PARAMETRI!$B$7),AND($W124&gt;0,$M124&gt;$W124*PARAMETRI!$B$9),AND($O124&gt;0,OR($I124="Finito ritenute non previste",$I124="Finito con sblocco ritenute",$I124="Finito senza sblocco ritenute")),AND($BA124&gt;0,$BO124&gt;0,$BP124=0),AND(OR($I124="Finito ritenute non previste",$I124="Finito con sblocco ritenute",$I124="Finito senza sblocco ritenute"),$W124&gt;0,$N124&gt;$W124*PARAMETRI!$B$9),$V124&gt;0),"ATTENZIONE","REGOLARE"))),"ATTENZIONE")</f>
        <v/>
      </c>
      <c r="B124" s="17" t="str">
        <f>IFERROR(IF($C124="","",IF($BF124&gt;0,"FATTURATO OLTRE VALORE RECUPERABILE; ","")&amp;IF($V124&gt;$J124,"PERDITE ACCETTATE OLTRE CONTRATTO; ","")&amp;IF($V124&gt;0,"PERDITA SAL ACCETTATA (€ "&amp;TEXT($V124,"#,##0.00")&amp;"); ","")&amp;IF(AND(ISNUMBER($Q124),$Q124&gt;0),"RITARDO PRODUTTIVO ("&amp;TEXT($Q124,"0")&amp;" GG); ","")&amp;IF(AND($BI124&lt;&gt;"",$BI124&lt;-PARAMETRI!$B$5),"AVANZAMENTO PIÙ LENTO DEL TEMPO; ","")&amp;IF(AND($BM124&lt;&gt;"",$BM124&gt;1),"ORE OLTRE BUDGET; ","")&amp;IF(AND($BM124&lt;&gt;"",$BM124=1),"ORE PREVENTIVATE ESAURITE; ","")&amp;IF(AND($BN124&lt;&gt;"",$BN124&gt;PARAMETRI!$B$7),"CONSUMO ORE SUPERIORE ALL'AVANZAMENTO; ","")&amp;IF(AND(ISNUMBER($BR124),$BR124&gt;0),"COSTI DIRETTI OLTRE BUDGET; ","")&amp;IF(AND($W124&gt;0,$M124&gt;$W124*PARAMETRI!$B$9),"SAL MATURATO NON FATTURATO; ","")&amp;IF(AND($O124&gt;0,OR($I124="Finito ritenute non previste",$I124="Finito con sblocco ritenute",$I124="Finito senza sblocco ritenute")),"RITENUTE DA SBLOCCARE; ","")&amp;IF(AND($BA124&gt;0,$BO124&gt;0,$BP124=0),"COSTI DIRETTI NON REGISTRATI; ","")&amp;IF(AND(OR($I124="Finito ritenute non previste",$I124="Finito con sblocco ritenute",$I124="Finito senza sblocco ritenute"),$W124&gt;0,$N124&gt;$W124*PARAMETRI!$B$9),"CANTIERE FINITO CON RESIDUO LAVORI; ","")&amp;IF(AND(OR($I124="Finito ritenute non previste",$I124="Finito con sblocco ritenute",$I124="Finito senza sblocco ritenute"),ANAGRAFICA!$K121=""),"DATA FINE EFFETTIVA MANCANTE; ","")&amp;IF(OR(AND(ANAGRAFICA!$T121&lt;&gt;"",ANAGRAFICA!$J121&lt;&gt;ANAGRAFICA!$T121,OR(ANAGRAFICA!$R121="",ANAGRAFICA!$R121="Nessuna variazione")),AND(ANAGRAFICA!$J121="",ANAGRAFICA!$R121&lt;&gt;"",ANAGRAFICA!$R121&lt;&gt;"Nessuna variazione")),"GESTIONE DATA FINE INCOMPLETA; ","")&amp;IF($Y124="","AGGIORNATO AL MANCANTE; ","")&amp;IF(OR($AZ124="",$BJ124="",$BO124="",ANAGRAFICA!$I121="",ANAGRAFICA!$J121=""),"DATI PREVISIONALI INCOMPLETI; ","")&amp;IF(LEFT($C124,5)="TEMP","CODICE COMMESSA TEMPORANEO; ","")),"DATI INCOMPLETI; ")</f>
        <v/>
      </c>
      <c r="C124" s="17" t="str">
        <f>IF(ANAGRAFICA!$B121="","",ANAGRAFICA!$B121)</f>
        <v/>
      </c>
      <c r="D124" s="17" t="str">
        <f>IF($C124="","",ANAGRAFICA!$C121)</f>
        <v/>
      </c>
      <c r="E124" s="17" t="str">
        <f>IF($C124="","",ANAGRAFICA!$D121)</f>
        <v/>
      </c>
      <c r="F124" s="17" t="str">
        <f>IF($C124="","",ANAGRAFICA!$E121)</f>
        <v/>
      </c>
      <c r="G124" s="17" t="str">
        <f>IF($C124="","",ANAGRAFICA!$F121)</f>
        <v/>
      </c>
      <c r="H124" s="17" t="str">
        <f>IF($C124="","",ANAGRAFICA!$G121)</f>
        <v/>
      </c>
      <c r="I124" s="17" t="str">
        <f>IF($C124="","",ANAGRAFICA!$L121)</f>
        <v/>
      </c>
      <c r="J124" s="16" t="str">
        <f t="shared" si="25"/>
        <v/>
      </c>
      <c r="K124" s="16" t="str">
        <f t="shared" si="26"/>
        <v/>
      </c>
      <c r="L124" s="16" t="str">
        <f t="shared" si="27"/>
        <v/>
      </c>
      <c r="M124" s="16" t="str">
        <f t="shared" si="28"/>
        <v/>
      </c>
      <c r="N124" s="16" t="str">
        <f t="shared" si="29"/>
        <v/>
      </c>
      <c r="O124" s="16" t="str">
        <f t="shared" si="30"/>
        <v/>
      </c>
      <c r="P124" s="17" t="str">
        <f t="shared" si="31"/>
        <v/>
      </c>
      <c r="Q124" s="31" t="str">
        <f>IF(OR($C124="",'BUDGET COMMESSA'!$D121="",'BUDGET COMMESSA'!$D121&lt;=0,ANAGRAFICA!$J121=""),"",IF(OR($I124="Finito ritenute non previste",$I124="Finito con sblocco ritenute",$I124="Finito senza sblocco ritenute"),0,IF(AND($BK124&gt;=$BJ124,ANAGRAFICA!$R121="Ritardo produttivo FIDA"),IF(ANAGRAFICA!$T121&lt;&gt;"",MAX(0,ANAGRAFICA!$J121-ANAGRAFICA!$T121),MAX(0,$Y124-ANAGRAFICA!$J121)),0)))</f>
        <v/>
      </c>
      <c r="R124" s="17" t="str">
        <f t="shared" si="32"/>
        <v/>
      </c>
      <c r="S124" s="17" t="str">
        <f t="shared" si="33"/>
        <v/>
      </c>
      <c r="T124" s="17" t="str">
        <f t="shared" si="34"/>
        <v/>
      </c>
      <c r="U124" s="16" t="str">
        <f t="shared" si="35"/>
        <v/>
      </c>
      <c r="V124" s="16" t="str">
        <f t="shared" si="36"/>
        <v/>
      </c>
      <c r="W124" s="16" t="str">
        <f t="shared" si="37"/>
        <v/>
      </c>
      <c r="X124" s="40"/>
      <c r="Y124" s="14"/>
      <c r="AZ124" t="str">
        <f>IF($C124="","",ANAGRAFICA!$P121)</f>
        <v/>
      </c>
      <c r="BA124" t="str">
        <f>IF($C124="","",SUMIF('MOVIMENTI 2026'!$B$7:$B$4206,$C124,'MOVIMENTI 2026'!$I$7:$I$4206)+SUMIF('SALDI AL 31.12.2025'!$A$6:$A$505,$C124,'SALDI AL 31.12.2025'!$C$6:$C$505))</f>
        <v/>
      </c>
      <c r="BB124" t="str">
        <f>IF($C124="","",SUMIF('MOVIMENTI 2026'!$B$7:$B$4206,$C124,'MOVIMENTI 2026'!$J$7:$J$4206)+SUMIF('SALDI AL 31.12.2025'!$A$6:$A$505,$C124,'SALDI AL 31.12.2025'!$D$6:$D$505))</f>
        <v/>
      </c>
      <c r="BC124" t="str">
        <f>IF($C124="","",SUMIF('MOVIMENTI 2026'!$B$7:$B$4206,$C124,'MOVIMENTI 2026'!$K$7:$K$4206)+SUMIF('SALDI AL 31.12.2025'!$A$6:$A$505,$C124,'SALDI AL 31.12.2025'!$E$6:$E$505))</f>
        <v/>
      </c>
      <c r="BD124" t="str">
        <f>IF($C124="","",SUMIF('MOVIMENTI 2026'!$B$7:$B$4206,$C124,'MOVIMENTI 2026'!$L$7:$L$4206)+SUMIF('SALDI AL 31.12.2025'!$A$6:$A$505,$C124,'SALDI AL 31.12.2025'!$F$6:$F$505))</f>
        <v/>
      </c>
      <c r="BE124" t="str">
        <f t="shared" si="38"/>
        <v/>
      </c>
      <c r="BF124" t="str">
        <f t="shared" si="39"/>
        <v/>
      </c>
      <c r="BG124" t="str">
        <f t="shared" si="40"/>
        <v/>
      </c>
      <c r="BH124" t="str">
        <f>IFERROR(IF(OR($C124="",ANAGRAFICA!$I121="",ANAGRAFICA!$J121="",ANAGRAFICA!$J121&lt;=ANAGRAFICA!$I121,$Y124=""),"",IF(OR($I124="Finito ritenute non previste",$I124="Finito con sblocco ritenute",$I124="Finito senza sblocco ritenute"),1,MAX(0,MIN(1,($Y124-ANAGRAFICA!$I121)/(ANAGRAFICA!$J121-ANAGRAFICA!$I121))))),"")</f>
        <v/>
      </c>
      <c r="BI124" t="str">
        <f t="shared" si="41"/>
        <v/>
      </c>
      <c r="BJ124" t="str">
        <f>IFERROR(IF($C124="","",'BUDGET COMMESSA'!$D121),"")</f>
        <v/>
      </c>
      <c r="BK124" t="str">
        <f>IF($C124="","",SUMIF('MOVIMENTI 2026'!$B$7:$B$4206,$C124,'MOVIMENTI 2026'!$N$7:$N$4206)+SUMIF('SALDI AL 31.12.2025'!$A$6:$A$505,$C124,'SALDI AL 31.12.2025'!$H$6:$H$505))</f>
        <v/>
      </c>
      <c r="BL124" t="str">
        <f t="shared" si="42"/>
        <v/>
      </c>
      <c r="BM124" t="str">
        <f t="shared" si="43"/>
        <v/>
      </c>
      <c r="BN124" t="str">
        <f t="shared" si="44"/>
        <v/>
      </c>
      <c r="BO124" t="str">
        <f>IFERROR(IF($C124="","",'BUDGET COMMESSA'!$G121),"")</f>
        <v/>
      </c>
      <c r="BP124" t="str">
        <f>IF($C124="","",SUMIF('COSTI DIRETTI'!$C$6:$C$505,$C124,'COSTI DIRETTI'!$H$6:$H$505)+SUMIF('SALDI AL 31.12.2025'!$A$6:$A$505,$C124,'SALDI AL 31.12.2025'!$I$6:$I$505))</f>
        <v/>
      </c>
      <c r="BQ124" t="str">
        <f t="shared" si="45"/>
        <v/>
      </c>
      <c r="BR124" t="str">
        <f t="shared" si="46"/>
        <v/>
      </c>
      <c r="BS124" t="str">
        <f>IF($C124="","",$BK124*PARAMETRI!$B$4+$BP124)</f>
        <v/>
      </c>
      <c r="BT124">
        <f t="shared" si="47"/>
        <v>0</v>
      </c>
      <c r="BU124">
        <f t="shared" si="48"/>
        <v>0</v>
      </c>
      <c r="BV124" t="str">
        <f>IF($C124="","",SUMIF('MOVIMENTI 2026'!$B$7:$B$4206,$C124,'MOVIMENTI 2026'!$P$7:$P$4206)+SUMIF('SALDI AL 31.12.2025'!$A$6:$A$505,$C124,'SALDI AL 31.12.2025'!$G$6:$G$505))</f>
        <v/>
      </c>
    </row>
    <row r="125" spans="1:74" ht="16" x14ac:dyDescent="0.15">
      <c r="A125" s="17" t="str">
        <f>IFERROR(IF($C125="","",IF(OR($BF125&gt;0,$V125&gt;$J125,AND(ISNUMBER($Q125),$Q125&gt;0),AND($BI125&lt;&gt;"",$BI125&lt;-PARAMETRI!$B$6),AND($BM125&lt;&gt;"",$BM125&gt;=1),AND($BN125&lt;&gt;"",$BN125&gt;PARAMETRI!$B$8),AND(ISNUMBER($BR125),$BR125&gt;0)),"CRITICO",IF(OR($AZ125="",LEFT($C125,5)="TEMP",$BJ125="",$BO125="",ANAGRAFICA!$I122="",ANAGRAFICA!$J122="",$Y125="",AND(OR($I125="Finito ritenute non previste",$I125="Finito con sblocco ritenute",$I125="Finito senza sblocco ritenute"),ANAGRAFICA!$K122=""),OR(AND(ANAGRAFICA!$T122&lt;&gt;"",ANAGRAFICA!$J122&lt;&gt;ANAGRAFICA!$T122,OR(ANAGRAFICA!$R122="",ANAGRAFICA!$R122="Nessuna variazione")),AND(ANAGRAFICA!$J122="",ANAGRAFICA!$R122&lt;&gt;"",ANAGRAFICA!$R122&lt;&gt;"Nessuna variazione")),AND($BI125&lt;&gt;"",$BI125&lt;-PARAMETRI!$B$5),AND($BN125&lt;&gt;"",$BN125&gt;PARAMETRI!$B$7),AND($W125&gt;0,$M125&gt;$W125*PARAMETRI!$B$9),AND($O125&gt;0,OR($I125="Finito ritenute non previste",$I125="Finito con sblocco ritenute",$I125="Finito senza sblocco ritenute")),AND($BA125&gt;0,$BO125&gt;0,$BP125=0),AND(OR($I125="Finito ritenute non previste",$I125="Finito con sblocco ritenute",$I125="Finito senza sblocco ritenute"),$W125&gt;0,$N125&gt;$W125*PARAMETRI!$B$9),$V125&gt;0),"ATTENZIONE","REGOLARE"))),"ATTENZIONE")</f>
        <v/>
      </c>
      <c r="B125" s="17" t="str">
        <f>IFERROR(IF($C125="","",IF($BF125&gt;0,"FATTURATO OLTRE VALORE RECUPERABILE; ","")&amp;IF($V125&gt;$J125,"PERDITE ACCETTATE OLTRE CONTRATTO; ","")&amp;IF($V125&gt;0,"PERDITA SAL ACCETTATA (€ "&amp;TEXT($V125,"#,##0.00")&amp;"); ","")&amp;IF(AND(ISNUMBER($Q125),$Q125&gt;0),"RITARDO PRODUTTIVO ("&amp;TEXT($Q125,"0")&amp;" GG); ","")&amp;IF(AND($BI125&lt;&gt;"",$BI125&lt;-PARAMETRI!$B$5),"AVANZAMENTO PIÙ LENTO DEL TEMPO; ","")&amp;IF(AND($BM125&lt;&gt;"",$BM125&gt;1),"ORE OLTRE BUDGET; ","")&amp;IF(AND($BM125&lt;&gt;"",$BM125=1),"ORE PREVENTIVATE ESAURITE; ","")&amp;IF(AND($BN125&lt;&gt;"",$BN125&gt;PARAMETRI!$B$7),"CONSUMO ORE SUPERIORE ALL'AVANZAMENTO; ","")&amp;IF(AND(ISNUMBER($BR125),$BR125&gt;0),"COSTI DIRETTI OLTRE BUDGET; ","")&amp;IF(AND($W125&gt;0,$M125&gt;$W125*PARAMETRI!$B$9),"SAL MATURATO NON FATTURATO; ","")&amp;IF(AND($O125&gt;0,OR($I125="Finito ritenute non previste",$I125="Finito con sblocco ritenute",$I125="Finito senza sblocco ritenute")),"RITENUTE DA SBLOCCARE; ","")&amp;IF(AND($BA125&gt;0,$BO125&gt;0,$BP125=0),"COSTI DIRETTI NON REGISTRATI; ","")&amp;IF(AND(OR($I125="Finito ritenute non previste",$I125="Finito con sblocco ritenute",$I125="Finito senza sblocco ritenute"),$W125&gt;0,$N125&gt;$W125*PARAMETRI!$B$9),"CANTIERE FINITO CON RESIDUO LAVORI; ","")&amp;IF(AND(OR($I125="Finito ritenute non previste",$I125="Finito con sblocco ritenute",$I125="Finito senza sblocco ritenute"),ANAGRAFICA!$K122=""),"DATA FINE EFFETTIVA MANCANTE; ","")&amp;IF(OR(AND(ANAGRAFICA!$T122&lt;&gt;"",ANAGRAFICA!$J122&lt;&gt;ANAGRAFICA!$T122,OR(ANAGRAFICA!$R122="",ANAGRAFICA!$R122="Nessuna variazione")),AND(ANAGRAFICA!$J122="",ANAGRAFICA!$R122&lt;&gt;"",ANAGRAFICA!$R122&lt;&gt;"Nessuna variazione")),"GESTIONE DATA FINE INCOMPLETA; ","")&amp;IF($Y125="","AGGIORNATO AL MANCANTE; ","")&amp;IF(OR($AZ125="",$BJ125="",$BO125="",ANAGRAFICA!$I122="",ANAGRAFICA!$J122=""),"DATI PREVISIONALI INCOMPLETI; ","")&amp;IF(LEFT($C125,5)="TEMP","CODICE COMMESSA TEMPORANEO; ","")),"DATI INCOMPLETI; ")</f>
        <v/>
      </c>
      <c r="C125" s="17" t="str">
        <f>IF(ANAGRAFICA!$B122="","",ANAGRAFICA!$B122)</f>
        <v/>
      </c>
      <c r="D125" s="17" t="str">
        <f>IF($C125="","",ANAGRAFICA!$C122)</f>
        <v/>
      </c>
      <c r="E125" s="17" t="str">
        <f>IF($C125="","",ANAGRAFICA!$D122)</f>
        <v/>
      </c>
      <c r="F125" s="17" t="str">
        <f>IF($C125="","",ANAGRAFICA!$E122)</f>
        <v/>
      </c>
      <c r="G125" s="17" t="str">
        <f>IF($C125="","",ANAGRAFICA!$F122)</f>
        <v/>
      </c>
      <c r="H125" s="17" t="str">
        <f>IF($C125="","",ANAGRAFICA!$G122)</f>
        <v/>
      </c>
      <c r="I125" s="17" t="str">
        <f>IF($C125="","",ANAGRAFICA!$L122)</f>
        <v/>
      </c>
      <c r="J125" s="16" t="str">
        <f t="shared" si="25"/>
        <v/>
      </c>
      <c r="K125" s="16" t="str">
        <f t="shared" si="26"/>
        <v/>
      </c>
      <c r="L125" s="16" t="str">
        <f t="shared" si="27"/>
        <v/>
      </c>
      <c r="M125" s="16" t="str">
        <f t="shared" si="28"/>
        <v/>
      </c>
      <c r="N125" s="16" t="str">
        <f t="shared" si="29"/>
        <v/>
      </c>
      <c r="O125" s="16" t="str">
        <f t="shared" si="30"/>
        <v/>
      </c>
      <c r="P125" s="17" t="str">
        <f t="shared" si="31"/>
        <v/>
      </c>
      <c r="Q125" s="31" t="str">
        <f>IF(OR($C125="",'BUDGET COMMESSA'!$D122="",'BUDGET COMMESSA'!$D122&lt;=0,ANAGRAFICA!$J122=""),"",IF(OR($I125="Finito ritenute non previste",$I125="Finito con sblocco ritenute",$I125="Finito senza sblocco ritenute"),0,IF(AND($BK125&gt;=$BJ125,ANAGRAFICA!$R122="Ritardo produttivo FIDA"),IF(ANAGRAFICA!$T122&lt;&gt;"",MAX(0,ANAGRAFICA!$J122-ANAGRAFICA!$T122),MAX(0,$Y125-ANAGRAFICA!$J122)),0)))</f>
        <v/>
      </c>
      <c r="R125" s="17" t="str">
        <f t="shared" si="32"/>
        <v/>
      </c>
      <c r="S125" s="17" t="str">
        <f t="shared" si="33"/>
        <v/>
      </c>
      <c r="T125" s="17" t="str">
        <f t="shared" si="34"/>
        <v/>
      </c>
      <c r="U125" s="16" t="str">
        <f t="shared" si="35"/>
        <v/>
      </c>
      <c r="V125" s="16" t="str">
        <f t="shared" si="36"/>
        <v/>
      </c>
      <c r="W125" s="16" t="str">
        <f t="shared" si="37"/>
        <v/>
      </c>
      <c r="X125" s="40"/>
      <c r="Y125" s="14"/>
      <c r="AZ125" t="str">
        <f>IF($C125="","",ANAGRAFICA!$P122)</f>
        <v/>
      </c>
      <c r="BA125" t="str">
        <f>IF($C125="","",SUMIF('MOVIMENTI 2026'!$B$7:$B$4206,$C125,'MOVIMENTI 2026'!$I$7:$I$4206)+SUMIF('SALDI AL 31.12.2025'!$A$6:$A$505,$C125,'SALDI AL 31.12.2025'!$C$6:$C$505))</f>
        <v/>
      </c>
      <c r="BB125" t="str">
        <f>IF($C125="","",SUMIF('MOVIMENTI 2026'!$B$7:$B$4206,$C125,'MOVIMENTI 2026'!$J$7:$J$4206)+SUMIF('SALDI AL 31.12.2025'!$A$6:$A$505,$C125,'SALDI AL 31.12.2025'!$D$6:$D$505))</f>
        <v/>
      </c>
      <c r="BC125" t="str">
        <f>IF($C125="","",SUMIF('MOVIMENTI 2026'!$B$7:$B$4206,$C125,'MOVIMENTI 2026'!$K$7:$K$4206)+SUMIF('SALDI AL 31.12.2025'!$A$6:$A$505,$C125,'SALDI AL 31.12.2025'!$E$6:$E$505))</f>
        <v/>
      </c>
      <c r="BD125" t="str">
        <f>IF($C125="","",SUMIF('MOVIMENTI 2026'!$B$7:$B$4206,$C125,'MOVIMENTI 2026'!$L$7:$L$4206)+SUMIF('SALDI AL 31.12.2025'!$A$6:$A$505,$C125,'SALDI AL 31.12.2025'!$F$6:$F$505))</f>
        <v/>
      </c>
      <c r="BE125" t="str">
        <f t="shared" si="38"/>
        <v/>
      </c>
      <c r="BF125" t="str">
        <f t="shared" si="39"/>
        <v/>
      </c>
      <c r="BG125" t="str">
        <f t="shared" si="40"/>
        <v/>
      </c>
      <c r="BH125" t="str">
        <f>IFERROR(IF(OR($C125="",ANAGRAFICA!$I122="",ANAGRAFICA!$J122="",ANAGRAFICA!$J122&lt;=ANAGRAFICA!$I122,$Y125=""),"",IF(OR($I125="Finito ritenute non previste",$I125="Finito con sblocco ritenute",$I125="Finito senza sblocco ritenute"),1,MAX(0,MIN(1,($Y125-ANAGRAFICA!$I122)/(ANAGRAFICA!$J122-ANAGRAFICA!$I122))))),"")</f>
        <v/>
      </c>
      <c r="BI125" t="str">
        <f t="shared" si="41"/>
        <v/>
      </c>
      <c r="BJ125" t="str">
        <f>IFERROR(IF($C125="","",'BUDGET COMMESSA'!$D122),"")</f>
        <v/>
      </c>
      <c r="BK125" t="str">
        <f>IF($C125="","",SUMIF('MOVIMENTI 2026'!$B$7:$B$4206,$C125,'MOVIMENTI 2026'!$N$7:$N$4206)+SUMIF('SALDI AL 31.12.2025'!$A$6:$A$505,$C125,'SALDI AL 31.12.2025'!$H$6:$H$505))</f>
        <v/>
      </c>
      <c r="BL125" t="str">
        <f t="shared" si="42"/>
        <v/>
      </c>
      <c r="BM125" t="str">
        <f t="shared" si="43"/>
        <v/>
      </c>
      <c r="BN125" t="str">
        <f t="shared" si="44"/>
        <v/>
      </c>
      <c r="BO125" t="str">
        <f>IFERROR(IF($C125="","",'BUDGET COMMESSA'!$G122),"")</f>
        <v/>
      </c>
      <c r="BP125" t="str">
        <f>IF($C125="","",SUMIF('COSTI DIRETTI'!$C$6:$C$505,$C125,'COSTI DIRETTI'!$H$6:$H$505)+SUMIF('SALDI AL 31.12.2025'!$A$6:$A$505,$C125,'SALDI AL 31.12.2025'!$I$6:$I$505))</f>
        <v/>
      </c>
      <c r="BQ125" t="str">
        <f t="shared" si="45"/>
        <v/>
      </c>
      <c r="BR125" t="str">
        <f t="shared" si="46"/>
        <v/>
      </c>
      <c r="BS125" t="str">
        <f>IF($C125="","",$BK125*PARAMETRI!$B$4+$BP125)</f>
        <v/>
      </c>
      <c r="BT125">
        <f t="shared" si="47"/>
        <v>0</v>
      </c>
      <c r="BU125">
        <f t="shared" si="48"/>
        <v>0</v>
      </c>
      <c r="BV125" t="str">
        <f>IF($C125="","",SUMIF('MOVIMENTI 2026'!$B$7:$B$4206,$C125,'MOVIMENTI 2026'!$P$7:$P$4206)+SUMIF('SALDI AL 31.12.2025'!$A$6:$A$505,$C125,'SALDI AL 31.12.2025'!$G$6:$G$505))</f>
        <v/>
      </c>
    </row>
    <row r="126" spans="1:74" ht="16" x14ac:dyDescent="0.15">
      <c r="A126" s="17" t="str">
        <f>IFERROR(IF($C126="","",IF(OR($BF126&gt;0,$V126&gt;$J126,AND(ISNUMBER($Q126),$Q126&gt;0),AND($BI126&lt;&gt;"",$BI126&lt;-PARAMETRI!$B$6),AND($BM126&lt;&gt;"",$BM126&gt;=1),AND($BN126&lt;&gt;"",$BN126&gt;PARAMETRI!$B$8),AND(ISNUMBER($BR126),$BR126&gt;0)),"CRITICO",IF(OR($AZ126="",LEFT($C126,5)="TEMP",$BJ126="",$BO126="",ANAGRAFICA!$I123="",ANAGRAFICA!$J123="",$Y126="",AND(OR($I126="Finito ritenute non previste",$I126="Finito con sblocco ritenute",$I126="Finito senza sblocco ritenute"),ANAGRAFICA!$K123=""),OR(AND(ANAGRAFICA!$T123&lt;&gt;"",ANAGRAFICA!$J123&lt;&gt;ANAGRAFICA!$T123,OR(ANAGRAFICA!$R123="",ANAGRAFICA!$R123="Nessuna variazione")),AND(ANAGRAFICA!$J123="",ANAGRAFICA!$R123&lt;&gt;"",ANAGRAFICA!$R123&lt;&gt;"Nessuna variazione")),AND($BI126&lt;&gt;"",$BI126&lt;-PARAMETRI!$B$5),AND($BN126&lt;&gt;"",$BN126&gt;PARAMETRI!$B$7),AND($W126&gt;0,$M126&gt;$W126*PARAMETRI!$B$9),AND($O126&gt;0,OR($I126="Finito ritenute non previste",$I126="Finito con sblocco ritenute",$I126="Finito senza sblocco ritenute")),AND($BA126&gt;0,$BO126&gt;0,$BP126=0),AND(OR($I126="Finito ritenute non previste",$I126="Finito con sblocco ritenute",$I126="Finito senza sblocco ritenute"),$W126&gt;0,$N126&gt;$W126*PARAMETRI!$B$9),$V126&gt;0),"ATTENZIONE","REGOLARE"))),"ATTENZIONE")</f>
        <v/>
      </c>
      <c r="B126" s="17" t="str">
        <f>IFERROR(IF($C126="","",IF($BF126&gt;0,"FATTURATO OLTRE VALORE RECUPERABILE; ","")&amp;IF($V126&gt;$J126,"PERDITE ACCETTATE OLTRE CONTRATTO; ","")&amp;IF($V126&gt;0,"PERDITA SAL ACCETTATA (€ "&amp;TEXT($V126,"#,##0.00")&amp;"); ","")&amp;IF(AND(ISNUMBER($Q126),$Q126&gt;0),"RITARDO PRODUTTIVO ("&amp;TEXT($Q126,"0")&amp;" GG); ","")&amp;IF(AND($BI126&lt;&gt;"",$BI126&lt;-PARAMETRI!$B$5),"AVANZAMENTO PIÙ LENTO DEL TEMPO; ","")&amp;IF(AND($BM126&lt;&gt;"",$BM126&gt;1),"ORE OLTRE BUDGET; ","")&amp;IF(AND($BM126&lt;&gt;"",$BM126=1),"ORE PREVENTIVATE ESAURITE; ","")&amp;IF(AND($BN126&lt;&gt;"",$BN126&gt;PARAMETRI!$B$7),"CONSUMO ORE SUPERIORE ALL'AVANZAMENTO; ","")&amp;IF(AND(ISNUMBER($BR126),$BR126&gt;0),"COSTI DIRETTI OLTRE BUDGET; ","")&amp;IF(AND($W126&gt;0,$M126&gt;$W126*PARAMETRI!$B$9),"SAL MATURATO NON FATTURATO; ","")&amp;IF(AND($O126&gt;0,OR($I126="Finito ritenute non previste",$I126="Finito con sblocco ritenute",$I126="Finito senza sblocco ritenute")),"RITENUTE DA SBLOCCARE; ","")&amp;IF(AND($BA126&gt;0,$BO126&gt;0,$BP126=0),"COSTI DIRETTI NON REGISTRATI; ","")&amp;IF(AND(OR($I126="Finito ritenute non previste",$I126="Finito con sblocco ritenute",$I126="Finito senza sblocco ritenute"),$W126&gt;0,$N126&gt;$W126*PARAMETRI!$B$9),"CANTIERE FINITO CON RESIDUO LAVORI; ","")&amp;IF(AND(OR($I126="Finito ritenute non previste",$I126="Finito con sblocco ritenute",$I126="Finito senza sblocco ritenute"),ANAGRAFICA!$K123=""),"DATA FINE EFFETTIVA MANCANTE; ","")&amp;IF(OR(AND(ANAGRAFICA!$T123&lt;&gt;"",ANAGRAFICA!$J123&lt;&gt;ANAGRAFICA!$T123,OR(ANAGRAFICA!$R123="",ANAGRAFICA!$R123="Nessuna variazione")),AND(ANAGRAFICA!$J123="",ANAGRAFICA!$R123&lt;&gt;"",ANAGRAFICA!$R123&lt;&gt;"Nessuna variazione")),"GESTIONE DATA FINE INCOMPLETA; ","")&amp;IF($Y126="","AGGIORNATO AL MANCANTE; ","")&amp;IF(OR($AZ126="",$BJ126="",$BO126="",ANAGRAFICA!$I123="",ANAGRAFICA!$J123=""),"DATI PREVISIONALI INCOMPLETI; ","")&amp;IF(LEFT($C126,5)="TEMP","CODICE COMMESSA TEMPORANEO; ","")),"DATI INCOMPLETI; ")</f>
        <v/>
      </c>
      <c r="C126" s="17" t="str">
        <f>IF(ANAGRAFICA!$B123="","",ANAGRAFICA!$B123)</f>
        <v/>
      </c>
      <c r="D126" s="17" t="str">
        <f>IF($C126="","",ANAGRAFICA!$C123)</f>
        <v/>
      </c>
      <c r="E126" s="17" t="str">
        <f>IF($C126="","",ANAGRAFICA!$D123)</f>
        <v/>
      </c>
      <c r="F126" s="17" t="str">
        <f>IF($C126="","",ANAGRAFICA!$E123)</f>
        <v/>
      </c>
      <c r="G126" s="17" t="str">
        <f>IF($C126="","",ANAGRAFICA!$F123)</f>
        <v/>
      </c>
      <c r="H126" s="17" t="str">
        <f>IF($C126="","",ANAGRAFICA!$G123)</f>
        <v/>
      </c>
      <c r="I126" s="17" t="str">
        <f>IF($C126="","",ANAGRAFICA!$L123)</f>
        <v/>
      </c>
      <c r="J126" s="16" t="str">
        <f t="shared" si="25"/>
        <v/>
      </c>
      <c r="K126" s="16" t="str">
        <f t="shared" si="26"/>
        <v/>
      </c>
      <c r="L126" s="16" t="str">
        <f t="shared" si="27"/>
        <v/>
      </c>
      <c r="M126" s="16" t="str">
        <f t="shared" si="28"/>
        <v/>
      </c>
      <c r="N126" s="16" t="str">
        <f t="shared" si="29"/>
        <v/>
      </c>
      <c r="O126" s="16" t="str">
        <f t="shared" si="30"/>
        <v/>
      </c>
      <c r="P126" s="17" t="str">
        <f t="shared" si="31"/>
        <v/>
      </c>
      <c r="Q126" s="31" t="str">
        <f>IF(OR($C126="",'BUDGET COMMESSA'!$D123="",'BUDGET COMMESSA'!$D123&lt;=0,ANAGRAFICA!$J123=""),"",IF(OR($I126="Finito ritenute non previste",$I126="Finito con sblocco ritenute",$I126="Finito senza sblocco ritenute"),0,IF(AND($BK126&gt;=$BJ126,ANAGRAFICA!$R123="Ritardo produttivo FIDA"),IF(ANAGRAFICA!$T123&lt;&gt;"",MAX(0,ANAGRAFICA!$J123-ANAGRAFICA!$T123),MAX(0,$Y126-ANAGRAFICA!$J123)),0)))</f>
        <v/>
      </c>
      <c r="R126" s="17" t="str">
        <f t="shared" si="32"/>
        <v/>
      </c>
      <c r="S126" s="17" t="str">
        <f t="shared" si="33"/>
        <v/>
      </c>
      <c r="T126" s="17" t="str">
        <f t="shared" si="34"/>
        <v/>
      </c>
      <c r="U126" s="16" t="str">
        <f t="shared" si="35"/>
        <v/>
      </c>
      <c r="V126" s="16" t="str">
        <f t="shared" si="36"/>
        <v/>
      </c>
      <c r="W126" s="16" t="str">
        <f t="shared" si="37"/>
        <v/>
      </c>
      <c r="X126" s="40"/>
      <c r="Y126" s="14"/>
      <c r="AZ126" t="str">
        <f>IF($C126="","",ANAGRAFICA!$P123)</f>
        <v/>
      </c>
      <c r="BA126" t="str">
        <f>IF($C126="","",SUMIF('MOVIMENTI 2026'!$B$7:$B$4206,$C126,'MOVIMENTI 2026'!$I$7:$I$4206)+SUMIF('SALDI AL 31.12.2025'!$A$6:$A$505,$C126,'SALDI AL 31.12.2025'!$C$6:$C$505))</f>
        <v/>
      </c>
      <c r="BB126" t="str">
        <f>IF($C126="","",SUMIF('MOVIMENTI 2026'!$B$7:$B$4206,$C126,'MOVIMENTI 2026'!$J$7:$J$4206)+SUMIF('SALDI AL 31.12.2025'!$A$6:$A$505,$C126,'SALDI AL 31.12.2025'!$D$6:$D$505))</f>
        <v/>
      </c>
      <c r="BC126" t="str">
        <f>IF($C126="","",SUMIF('MOVIMENTI 2026'!$B$7:$B$4206,$C126,'MOVIMENTI 2026'!$K$7:$K$4206)+SUMIF('SALDI AL 31.12.2025'!$A$6:$A$505,$C126,'SALDI AL 31.12.2025'!$E$6:$E$505))</f>
        <v/>
      </c>
      <c r="BD126" t="str">
        <f>IF($C126="","",SUMIF('MOVIMENTI 2026'!$B$7:$B$4206,$C126,'MOVIMENTI 2026'!$L$7:$L$4206)+SUMIF('SALDI AL 31.12.2025'!$A$6:$A$505,$C126,'SALDI AL 31.12.2025'!$F$6:$F$505))</f>
        <v/>
      </c>
      <c r="BE126" t="str">
        <f t="shared" si="38"/>
        <v/>
      </c>
      <c r="BF126" t="str">
        <f t="shared" si="39"/>
        <v/>
      </c>
      <c r="BG126" t="str">
        <f t="shared" si="40"/>
        <v/>
      </c>
      <c r="BH126" t="str">
        <f>IFERROR(IF(OR($C126="",ANAGRAFICA!$I123="",ANAGRAFICA!$J123="",ANAGRAFICA!$J123&lt;=ANAGRAFICA!$I123,$Y126=""),"",IF(OR($I126="Finito ritenute non previste",$I126="Finito con sblocco ritenute",$I126="Finito senza sblocco ritenute"),1,MAX(0,MIN(1,($Y126-ANAGRAFICA!$I123)/(ANAGRAFICA!$J123-ANAGRAFICA!$I123))))),"")</f>
        <v/>
      </c>
      <c r="BI126" t="str">
        <f t="shared" si="41"/>
        <v/>
      </c>
      <c r="BJ126" t="str">
        <f>IFERROR(IF($C126="","",'BUDGET COMMESSA'!$D123),"")</f>
        <v/>
      </c>
      <c r="BK126" t="str">
        <f>IF($C126="","",SUMIF('MOVIMENTI 2026'!$B$7:$B$4206,$C126,'MOVIMENTI 2026'!$N$7:$N$4206)+SUMIF('SALDI AL 31.12.2025'!$A$6:$A$505,$C126,'SALDI AL 31.12.2025'!$H$6:$H$505))</f>
        <v/>
      </c>
      <c r="BL126" t="str">
        <f t="shared" si="42"/>
        <v/>
      </c>
      <c r="BM126" t="str">
        <f t="shared" si="43"/>
        <v/>
      </c>
      <c r="BN126" t="str">
        <f t="shared" si="44"/>
        <v/>
      </c>
      <c r="BO126" t="str">
        <f>IFERROR(IF($C126="","",'BUDGET COMMESSA'!$G123),"")</f>
        <v/>
      </c>
      <c r="BP126" t="str">
        <f>IF($C126="","",SUMIF('COSTI DIRETTI'!$C$6:$C$505,$C126,'COSTI DIRETTI'!$H$6:$H$505)+SUMIF('SALDI AL 31.12.2025'!$A$6:$A$505,$C126,'SALDI AL 31.12.2025'!$I$6:$I$505))</f>
        <v/>
      </c>
      <c r="BQ126" t="str">
        <f t="shared" si="45"/>
        <v/>
      </c>
      <c r="BR126" t="str">
        <f t="shared" si="46"/>
        <v/>
      </c>
      <c r="BS126" t="str">
        <f>IF($C126="","",$BK126*PARAMETRI!$B$4+$BP126)</f>
        <v/>
      </c>
      <c r="BT126">
        <f t="shared" si="47"/>
        <v>0</v>
      </c>
      <c r="BU126">
        <f t="shared" si="48"/>
        <v>0</v>
      </c>
      <c r="BV126" t="str">
        <f>IF($C126="","",SUMIF('MOVIMENTI 2026'!$B$7:$B$4206,$C126,'MOVIMENTI 2026'!$P$7:$P$4206)+SUMIF('SALDI AL 31.12.2025'!$A$6:$A$505,$C126,'SALDI AL 31.12.2025'!$G$6:$G$505))</f>
        <v/>
      </c>
    </row>
    <row r="127" spans="1:74" ht="16" x14ac:dyDescent="0.15">
      <c r="A127" s="17" t="str">
        <f>IFERROR(IF($C127="","",IF(OR($BF127&gt;0,$V127&gt;$J127,AND(ISNUMBER($Q127),$Q127&gt;0),AND($BI127&lt;&gt;"",$BI127&lt;-PARAMETRI!$B$6),AND($BM127&lt;&gt;"",$BM127&gt;=1),AND($BN127&lt;&gt;"",$BN127&gt;PARAMETRI!$B$8),AND(ISNUMBER($BR127),$BR127&gt;0)),"CRITICO",IF(OR($AZ127="",LEFT($C127,5)="TEMP",$BJ127="",$BO127="",ANAGRAFICA!$I124="",ANAGRAFICA!$J124="",$Y127="",AND(OR($I127="Finito ritenute non previste",$I127="Finito con sblocco ritenute",$I127="Finito senza sblocco ritenute"),ANAGRAFICA!$K124=""),OR(AND(ANAGRAFICA!$T124&lt;&gt;"",ANAGRAFICA!$J124&lt;&gt;ANAGRAFICA!$T124,OR(ANAGRAFICA!$R124="",ANAGRAFICA!$R124="Nessuna variazione")),AND(ANAGRAFICA!$J124="",ANAGRAFICA!$R124&lt;&gt;"",ANAGRAFICA!$R124&lt;&gt;"Nessuna variazione")),AND($BI127&lt;&gt;"",$BI127&lt;-PARAMETRI!$B$5),AND($BN127&lt;&gt;"",$BN127&gt;PARAMETRI!$B$7),AND($W127&gt;0,$M127&gt;$W127*PARAMETRI!$B$9),AND($O127&gt;0,OR($I127="Finito ritenute non previste",$I127="Finito con sblocco ritenute",$I127="Finito senza sblocco ritenute")),AND($BA127&gt;0,$BO127&gt;0,$BP127=0),AND(OR($I127="Finito ritenute non previste",$I127="Finito con sblocco ritenute",$I127="Finito senza sblocco ritenute"),$W127&gt;0,$N127&gt;$W127*PARAMETRI!$B$9),$V127&gt;0),"ATTENZIONE","REGOLARE"))),"ATTENZIONE")</f>
        <v/>
      </c>
      <c r="B127" s="17" t="str">
        <f>IFERROR(IF($C127="","",IF($BF127&gt;0,"FATTURATO OLTRE VALORE RECUPERABILE; ","")&amp;IF($V127&gt;$J127,"PERDITE ACCETTATE OLTRE CONTRATTO; ","")&amp;IF($V127&gt;0,"PERDITA SAL ACCETTATA (€ "&amp;TEXT($V127,"#,##0.00")&amp;"); ","")&amp;IF(AND(ISNUMBER($Q127),$Q127&gt;0),"RITARDO PRODUTTIVO ("&amp;TEXT($Q127,"0")&amp;" GG); ","")&amp;IF(AND($BI127&lt;&gt;"",$BI127&lt;-PARAMETRI!$B$5),"AVANZAMENTO PIÙ LENTO DEL TEMPO; ","")&amp;IF(AND($BM127&lt;&gt;"",$BM127&gt;1),"ORE OLTRE BUDGET; ","")&amp;IF(AND($BM127&lt;&gt;"",$BM127=1),"ORE PREVENTIVATE ESAURITE; ","")&amp;IF(AND($BN127&lt;&gt;"",$BN127&gt;PARAMETRI!$B$7),"CONSUMO ORE SUPERIORE ALL'AVANZAMENTO; ","")&amp;IF(AND(ISNUMBER($BR127),$BR127&gt;0),"COSTI DIRETTI OLTRE BUDGET; ","")&amp;IF(AND($W127&gt;0,$M127&gt;$W127*PARAMETRI!$B$9),"SAL MATURATO NON FATTURATO; ","")&amp;IF(AND($O127&gt;0,OR($I127="Finito ritenute non previste",$I127="Finito con sblocco ritenute",$I127="Finito senza sblocco ritenute")),"RITENUTE DA SBLOCCARE; ","")&amp;IF(AND($BA127&gt;0,$BO127&gt;0,$BP127=0),"COSTI DIRETTI NON REGISTRATI; ","")&amp;IF(AND(OR($I127="Finito ritenute non previste",$I127="Finito con sblocco ritenute",$I127="Finito senza sblocco ritenute"),$W127&gt;0,$N127&gt;$W127*PARAMETRI!$B$9),"CANTIERE FINITO CON RESIDUO LAVORI; ","")&amp;IF(AND(OR($I127="Finito ritenute non previste",$I127="Finito con sblocco ritenute",$I127="Finito senza sblocco ritenute"),ANAGRAFICA!$K124=""),"DATA FINE EFFETTIVA MANCANTE; ","")&amp;IF(OR(AND(ANAGRAFICA!$T124&lt;&gt;"",ANAGRAFICA!$J124&lt;&gt;ANAGRAFICA!$T124,OR(ANAGRAFICA!$R124="",ANAGRAFICA!$R124="Nessuna variazione")),AND(ANAGRAFICA!$J124="",ANAGRAFICA!$R124&lt;&gt;"",ANAGRAFICA!$R124&lt;&gt;"Nessuna variazione")),"GESTIONE DATA FINE INCOMPLETA; ","")&amp;IF($Y127="","AGGIORNATO AL MANCANTE; ","")&amp;IF(OR($AZ127="",$BJ127="",$BO127="",ANAGRAFICA!$I124="",ANAGRAFICA!$J124=""),"DATI PREVISIONALI INCOMPLETI; ","")&amp;IF(LEFT($C127,5)="TEMP","CODICE COMMESSA TEMPORANEO; ","")),"DATI INCOMPLETI; ")</f>
        <v/>
      </c>
      <c r="C127" s="17" t="str">
        <f>IF(ANAGRAFICA!$B124="","",ANAGRAFICA!$B124)</f>
        <v/>
      </c>
      <c r="D127" s="17" t="str">
        <f>IF($C127="","",ANAGRAFICA!$C124)</f>
        <v/>
      </c>
      <c r="E127" s="17" t="str">
        <f>IF($C127="","",ANAGRAFICA!$D124)</f>
        <v/>
      </c>
      <c r="F127" s="17" t="str">
        <f>IF($C127="","",ANAGRAFICA!$E124)</f>
        <v/>
      </c>
      <c r="G127" s="17" t="str">
        <f>IF($C127="","",ANAGRAFICA!$F124)</f>
        <v/>
      </c>
      <c r="H127" s="17" t="str">
        <f>IF($C127="","",ANAGRAFICA!$G124)</f>
        <v/>
      </c>
      <c r="I127" s="17" t="str">
        <f>IF($C127="","",ANAGRAFICA!$L124)</f>
        <v/>
      </c>
      <c r="J127" s="16" t="str">
        <f t="shared" si="25"/>
        <v/>
      </c>
      <c r="K127" s="16" t="str">
        <f t="shared" si="26"/>
        <v/>
      </c>
      <c r="L127" s="16" t="str">
        <f t="shared" si="27"/>
        <v/>
      </c>
      <c r="M127" s="16" t="str">
        <f t="shared" si="28"/>
        <v/>
      </c>
      <c r="N127" s="16" t="str">
        <f t="shared" si="29"/>
        <v/>
      </c>
      <c r="O127" s="16" t="str">
        <f t="shared" si="30"/>
        <v/>
      </c>
      <c r="P127" s="17" t="str">
        <f t="shared" si="31"/>
        <v/>
      </c>
      <c r="Q127" s="31" t="str">
        <f>IF(OR($C127="",'BUDGET COMMESSA'!$D124="",'BUDGET COMMESSA'!$D124&lt;=0,ANAGRAFICA!$J124=""),"",IF(OR($I127="Finito ritenute non previste",$I127="Finito con sblocco ritenute",$I127="Finito senza sblocco ritenute"),0,IF(AND($BK127&gt;=$BJ127,ANAGRAFICA!$R124="Ritardo produttivo FIDA"),IF(ANAGRAFICA!$T124&lt;&gt;"",MAX(0,ANAGRAFICA!$J124-ANAGRAFICA!$T124),MAX(0,$Y127-ANAGRAFICA!$J124)),0)))</f>
        <v/>
      </c>
      <c r="R127" s="17" t="str">
        <f t="shared" si="32"/>
        <v/>
      </c>
      <c r="S127" s="17" t="str">
        <f t="shared" si="33"/>
        <v/>
      </c>
      <c r="T127" s="17" t="str">
        <f t="shared" si="34"/>
        <v/>
      </c>
      <c r="U127" s="16" t="str">
        <f t="shared" si="35"/>
        <v/>
      </c>
      <c r="V127" s="16" t="str">
        <f t="shared" si="36"/>
        <v/>
      </c>
      <c r="W127" s="16" t="str">
        <f t="shared" si="37"/>
        <v/>
      </c>
      <c r="X127" s="40"/>
      <c r="Y127" s="14"/>
      <c r="AZ127" t="str">
        <f>IF($C127="","",ANAGRAFICA!$P124)</f>
        <v/>
      </c>
      <c r="BA127" t="str">
        <f>IF($C127="","",SUMIF('MOVIMENTI 2026'!$B$7:$B$4206,$C127,'MOVIMENTI 2026'!$I$7:$I$4206)+SUMIF('SALDI AL 31.12.2025'!$A$6:$A$505,$C127,'SALDI AL 31.12.2025'!$C$6:$C$505))</f>
        <v/>
      </c>
      <c r="BB127" t="str">
        <f>IF($C127="","",SUMIF('MOVIMENTI 2026'!$B$7:$B$4206,$C127,'MOVIMENTI 2026'!$J$7:$J$4206)+SUMIF('SALDI AL 31.12.2025'!$A$6:$A$505,$C127,'SALDI AL 31.12.2025'!$D$6:$D$505))</f>
        <v/>
      </c>
      <c r="BC127" t="str">
        <f>IF($C127="","",SUMIF('MOVIMENTI 2026'!$B$7:$B$4206,$C127,'MOVIMENTI 2026'!$K$7:$K$4206)+SUMIF('SALDI AL 31.12.2025'!$A$6:$A$505,$C127,'SALDI AL 31.12.2025'!$E$6:$E$505))</f>
        <v/>
      </c>
      <c r="BD127" t="str">
        <f>IF($C127="","",SUMIF('MOVIMENTI 2026'!$B$7:$B$4206,$C127,'MOVIMENTI 2026'!$L$7:$L$4206)+SUMIF('SALDI AL 31.12.2025'!$A$6:$A$505,$C127,'SALDI AL 31.12.2025'!$F$6:$F$505))</f>
        <v/>
      </c>
      <c r="BE127" t="str">
        <f t="shared" si="38"/>
        <v/>
      </c>
      <c r="BF127" t="str">
        <f t="shared" si="39"/>
        <v/>
      </c>
      <c r="BG127" t="str">
        <f t="shared" si="40"/>
        <v/>
      </c>
      <c r="BH127" t="str">
        <f>IFERROR(IF(OR($C127="",ANAGRAFICA!$I124="",ANAGRAFICA!$J124="",ANAGRAFICA!$J124&lt;=ANAGRAFICA!$I124,$Y127=""),"",IF(OR($I127="Finito ritenute non previste",$I127="Finito con sblocco ritenute",$I127="Finito senza sblocco ritenute"),1,MAX(0,MIN(1,($Y127-ANAGRAFICA!$I124)/(ANAGRAFICA!$J124-ANAGRAFICA!$I124))))),"")</f>
        <v/>
      </c>
      <c r="BI127" t="str">
        <f t="shared" si="41"/>
        <v/>
      </c>
      <c r="BJ127" t="str">
        <f>IFERROR(IF($C127="","",'BUDGET COMMESSA'!$D124),"")</f>
        <v/>
      </c>
      <c r="BK127" t="str">
        <f>IF($C127="","",SUMIF('MOVIMENTI 2026'!$B$7:$B$4206,$C127,'MOVIMENTI 2026'!$N$7:$N$4206)+SUMIF('SALDI AL 31.12.2025'!$A$6:$A$505,$C127,'SALDI AL 31.12.2025'!$H$6:$H$505))</f>
        <v/>
      </c>
      <c r="BL127" t="str">
        <f t="shared" si="42"/>
        <v/>
      </c>
      <c r="BM127" t="str">
        <f t="shared" si="43"/>
        <v/>
      </c>
      <c r="BN127" t="str">
        <f t="shared" si="44"/>
        <v/>
      </c>
      <c r="BO127" t="str">
        <f>IFERROR(IF($C127="","",'BUDGET COMMESSA'!$G124),"")</f>
        <v/>
      </c>
      <c r="BP127" t="str">
        <f>IF($C127="","",SUMIF('COSTI DIRETTI'!$C$6:$C$505,$C127,'COSTI DIRETTI'!$H$6:$H$505)+SUMIF('SALDI AL 31.12.2025'!$A$6:$A$505,$C127,'SALDI AL 31.12.2025'!$I$6:$I$505))</f>
        <v/>
      </c>
      <c r="BQ127" t="str">
        <f t="shared" si="45"/>
        <v/>
      </c>
      <c r="BR127" t="str">
        <f t="shared" si="46"/>
        <v/>
      </c>
      <c r="BS127" t="str">
        <f>IF($C127="","",$BK127*PARAMETRI!$B$4+$BP127)</f>
        <v/>
      </c>
      <c r="BT127">
        <f t="shared" si="47"/>
        <v>0</v>
      </c>
      <c r="BU127">
        <f t="shared" si="48"/>
        <v>0</v>
      </c>
      <c r="BV127" t="str">
        <f>IF($C127="","",SUMIF('MOVIMENTI 2026'!$B$7:$B$4206,$C127,'MOVIMENTI 2026'!$P$7:$P$4206)+SUMIF('SALDI AL 31.12.2025'!$A$6:$A$505,$C127,'SALDI AL 31.12.2025'!$G$6:$G$505))</f>
        <v/>
      </c>
    </row>
    <row r="128" spans="1:74" ht="16" x14ac:dyDescent="0.15">
      <c r="A128" s="17" t="str">
        <f>IFERROR(IF($C128="","",IF(OR($BF128&gt;0,$V128&gt;$J128,AND(ISNUMBER($Q128),$Q128&gt;0),AND($BI128&lt;&gt;"",$BI128&lt;-PARAMETRI!$B$6),AND($BM128&lt;&gt;"",$BM128&gt;=1),AND($BN128&lt;&gt;"",$BN128&gt;PARAMETRI!$B$8),AND(ISNUMBER($BR128),$BR128&gt;0)),"CRITICO",IF(OR($AZ128="",LEFT($C128,5)="TEMP",$BJ128="",$BO128="",ANAGRAFICA!$I125="",ANAGRAFICA!$J125="",$Y128="",AND(OR($I128="Finito ritenute non previste",$I128="Finito con sblocco ritenute",$I128="Finito senza sblocco ritenute"),ANAGRAFICA!$K125=""),OR(AND(ANAGRAFICA!$T125&lt;&gt;"",ANAGRAFICA!$J125&lt;&gt;ANAGRAFICA!$T125,OR(ANAGRAFICA!$R125="",ANAGRAFICA!$R125="Nessuna variazione")),AND(ANAGRAFICA!$J125="",ANAGRAFICA!$R125&lt;&gt;"",ANAGRAFICA!$R125&lt;&gt;"Nessuna variazione")),AND($BI128&lt;&gt;"",$BI128&lt;-PARAMETRI!$B$5),AND($BN128&lt;&gt;"",$BN128&gt;PARAMETRI!$B$7),AND($W128&gt;0,$M128&gt;$W128*PARAMETRI!$B$9),AND($O128&gt;0,OR($I128="Finito ritenute non previste",$I128="Finito con sblocco ritenute",$I128="Finito senza sblocco ritenute")),AND($BA128&gt;0,$BO128&gt;0,$BP128=0),AND(OR($I128="Finito ritenute non previste",$I128="Finito con sblocco ritenute",$I128="Finito senza sblocco ritenute"),$W128&gt;0,$N128&gt;$W128*PARAMETRI!$B$9),$V128&gt;0),"ATTENZIONE","REGOLARE"))),"ATTENZIONE")</f>
        <v/>
      </c>
      <c r="B128" s="17" t="str">
        <f>IFERROR(IF($C128="","",IF($BF128&gt;0,"FATTURATO OLTRE VALORE RECUPERABILE; ","")&amp;IF($V128&gt;$J128,"PERDITE ACCETTATE OLTRE CONTRATTO; ","")&amp;IF($V128&gt;0,"PERDITA SAL ACCETTATA (€ "&amp;TEXT($V128,"#,##0.00")&amp;"); ","")&amp;IF(AND(ISNUMBER($Q128),$Q128&gt;0),"RITARDO PRODUTTIVO ("&amp;TEXT($Q128,"0")&amp;" GG); ","")&amp;IF(AND($BI128&lt;&gt;"",$BI128&lt;-PARAMETRI!$B$5),"AVANZAMENTO PIÙ LENTO DEL TEMPO; ","")&amp;IF(AND($BM128&lt;&gt;"",$BM128&gt;1),"ORE OLTRE BUDGET; ","")&amp;IF(AND($BM128&lt;&gt;"",$BM128=1),"ORE PREVENTIVATE ESAURITE; ","")&amp;IF(AND($BN128&lt;&gt;"",$BN128&gt;PARAMETRI!$B$7),"CONSUMO ORE SUPERIORE ALL'AVANZAMENTO; ","")&amp;IF(AND(ISNUMBER($BR128),$BR128&gt;0),"COSTI DIRETTI OLTRE BUDGET; ","")&amp;IF(AND($W128&gt;0,$M128&gt;$W128*PARAMETRI!$B$9),"SAL MATURATO NON FATTURATO; ","")&amp;IF(AND($O128&gt;0,OR($I128="Finito ritenute non previste",$I128="Finito con sblocco ritenute",$I128="Finito senza sblocco ritenute")),"RITENUTE DA SBLOCCARE; ","")&amp;IF(AND($BA128&gt;0,$BO128&gt;0,$BP128=0),"COSTI DIRETTI NON REGISTRATI; ","")&amp;IF(AND(OR($I128="Finito ritenute non previste",$I128="Finito con sblocco ritenute",$I128="Finito senza sblocco ritenute"),$W128&gt;0,$N128&gt;$W128*PARAMETRI!$B$9),"CANTIERE FINITO CON RESIDUO LAVORI; ","")&amp;IF(AND(OR($I128="Finito ritenute non previste",$I128="Finito con sblocco ritenute",$I128="Finito senza sblocco ritenute"),ANAGRAFICA!$K125=""),"DATA FINE EFFETTIVA MANCANTE; ","")&amp;IF(OR(AND(ANAGRAFICA!$T125&lt;&gt;"",ANAGRAFICA!$J125&lt;&gt;ANAGRAFICA!$T125,OR(ANAGRAFICA!$R125="",ANAGRAFICA!$R125="Nessuna variazione")),AND(ANAGRAFICA!$J125="",ANAGRAFICA!$R125&lt;&gt;"",ANAGRAFICA!$R125&lt;&gt;"Nessuna variazione")),"GESTIONE DATA FINE INCOMPLETA; ","")&amp;IF($Y128="","AGGIORNATO AL MANCANTE; ","")&amp;IF(OR($AZ128="",$BJ128="",$BO128="",ANAGRAFICA!$I125="",ANAGRAFICA!$J125=""),"DATI PREVISIONALI INCOMPLETI; ","")&amp;IF(LEFT($C128,5)="TEMP","CODICE COMMESSA TEMPORANEO; ","")),"DATI INCOMPLETI; ")</f>
        <v/>
      </c>
      <c r="C128" s="17" t="str">
        <f>IF(ANAGRAFICA!$B125="","",ANAGRAFICA!$B125)</f>
        <v/>
      </c>
      <c r="D128" s="17" t="str">
        <f>IF($C128="","",ANAGRAFICA!$C125)</f>
        <v/>
      </c>
      <c r="E128" s="17" t="str">
        <f>IF($C128="","",ANAGRAFICA!$D125)</f>
        <v/>
      </c>
      <c r="F128" s="17" t="str">
        <f>IF($C128="","",ANAGRAFICA!$E125)</f>
        <v/>
      </c>
      <c r="G128" s="17" t="str">
        <f>IF($C128="","",ANAGRAFICA!$F125)</f>
        <v/>
      </c>
      <c r="H128" s="17" t="str">
        <f>IF($C128="","",ANAGRAFICA!$G125)</f>
        <v/>
      </c>
      <c r="I128" s="17" t="str">
        <f>IF($C128="","",ANAGRAFICA!$L125)</f>
        <v/>
      </c>
      <c r="J128" s="16" t="str">
        <f t="shared" si="25"/>
        <v/>
      </c>
      <c r="K128" s="16" t="str">
        <f t="shared" si="26"/>
        <v/>
      </c>
      <c r="L128" s="16" t="str">
        <f t="shared" si="27"/>
        <v/>
      </c>
      <c r="M128" s="16" t="str">
        <f t="shared" si="28"/>
        <v/>
      </c>
      <c r="N128" s="16" t="str">
        <f t="shared" si="29"/>
        <v/>
      </c>
      <c r="O128" s="16" t="str">
        <f t="shared" si="30"/>
        <v/>
      </c>
      <c r="P128" s="17" t="str">
        <f t="shared" si="31"/>
        <v/>
      </c>
      <c r="Q128" s="31" t="str">
        <f>IF(OR($C128="",'BUDGET COMMESSA'!$D125="",'BUDGET COMMESSA'!$D125&lt;=0,ANAGRAFICA!$J125=""),"",IF(OR($I128="Finito ritenute non previste",$I128="Finito con sblocco ritenute",$I128="Finito senza sblocco ritenute"),0,IF(AND($BK128&gt;=$BJ128,ANAGRAFICA!$R125="Ritardo produttivo FIDA"),IF(ANAGRAFICA!$T125&lt;&gt;"",MAX(0,ANAGRAFICA!$J125-ANAGRAFICA!$T125),MAX(0,$Y128-ANAGRAFICA!$J125)),0)))</f>
        <v/>
      </c>
      <c r="R128" s="17" t="str">
        <f t="shared" si="32"/>
        <v/>
      </c>
      <c r="S128" s="17" t="str">
        <f t="shared" si="33"/>
        <v/>
      </c>
      <c r="T128" s="17" t="str">
        <f t="shared" si="34"/>
        <v/>
      </c>
      <c r="U128" s="16" t="str">
        <f t="shared" si="35"/>
        <v/>
      </c>
      <c r="V128" s="16" t="str">
        <f t="shared" si="36"/>
        <v/>
      </c>
      <c r="W128" s="16" t="str">
        <f t="shared" si="37"/>
        <v/>
      </c>
      <c r="X128" s="40"/>
      <c r="Y128" s="14"/>
      <c r="AZ128" t="str">
        <f>IF($C128="","",ANAGRAFICA!$P125)</f>
        <v/>
      </c>
      <c r="BA128" t="str">
        <f>IF($C128="","",SUMIF('MOVIMENTI 2026'!$B$7:$B$4206,$C128,'MOVIMENTI 2026'!$I$7:$I$4206)+SUMIF('SALDI AL 31.12.2025'!$A$6:$A$505,$C128,'SALDI AL 31.12.2025'!$C$6:$C$505))</f>
        <v/>
      </c>
      <c r="BB128" t="str">
        <f>IF($C128="","",SUMIF('MOVIMENTI 2026'!$B$7:$B$4206,$C128,'MOVIMENTI 2026'!$J$7:$J$4206)+SUMIF('SALDI AL 31.12.2025'!$A$6:$A$505,$C128,'SALDI AL 31.12.2025'!$D$6:$D$505))</f>
        <v/>
      </c>
      <c r="BC128" t="str">
        <f>IF($C128="","",SUMIF('MOVIMENTI 2026'!$B$7:$B$4206,$C128,'MOVIMENTI 2026'!$K$7:$K$4206)+SUMIF('SALDI AL 31.12.2025'!$A$6:$A$505,$C128,'SALDI AL 31.12.2025'!$E$6:$E$505))</f>
        <v/>
      </c>
      <c r="BD128" t="str">
        <f>IF($C128="","",SUMIF('MOVIMENTI 2026'!$B$7:$B$4206,$C128,'MOVIMENTI 2026'!$L$7:$L$4206)+SUMIF('SALDI AL 31.12.2025'!$A$6:$A$505,$C128,'SALDI AL 31.12.2025'!$F$6:$F$505))</f>
        <v/>
      </c>
      <c r="BE128" t="str">
        <f t="shared" si="38"/>
        <v/>
      </c>
      <c r="BF128" t="str">
        <f t="shared" si="39"/>
        <v/>
      </c>
      <c r="BG128" t="str">
        <f t="shared" si="40"/>
        <v/>
      </c>
      <c r="BH128" t="str">
        <f>IFERROR(IF(OR($C128="",ANAGRAFICA!$I125="",ANAGRAFICA!$J125="",ANAGRAFICA!$J125&lt;=ANAGRAFICA!$I125,$Y128=""),"",IF(OR($I128="Finito ritenute non previste",$I128="Finito con sblocco ritenute",$I128="Finito senza sblocco ritenute"),1,MAX(0,MIN(1,($Y128-ANAGRAFICA!$I125)/(ANAGRAFICA!$J125-ANAGRAFICA!$I125))))),"")</f>
        <v/>
      </c>
      <c r="BI128" t="str">
        <f t="shared" si="41"/>
        <v/>
      </c>
      <c r="BJ128" t="str">
        <f>IFERROR(IF($C128="","",'BUDGET COMMESSA'!$D125),"")</f>
        <v/>
      </c>
      <c r="BK128" t="str">
        <f>IF($C128="","",SUMIF('MOVIMENTI 2026'!$B$7:$B$4206,$C128,'MOVIMENTI 2026'!$N$7:$N$4206)+SUMIF('SALDI AL 31.12.2025'!$A$6:$A$505,$C128,'SALDI AL 31.12.2025'!$H$6:$H$505))</f>
        <v/>
      </c>
      <c r="BL128" t="str">
        <f t="shared" si="42"/>
        <v/>
      </c>
      <c r="BM128" t="str">
        <f t="shared" si="43"/>
        <v/>
      </c>
      <c r="BN128" t="str">
        <f t="shared" si="44"/>
        <v/>
      </c>
      <c r="BO128" t="str">
        <f>IFERROR(IF($C128="","",'BUDGET COMMESSA'!$G125),"")</f>
        <v/>
      </c>
      <c r="BP128" t="str">
        <f>IF($C128="","",SUMIF('COSTI DIRETTI'!$C$6:$C$505,$C128,'COSTI DIRETTI'!$H$6:$H$505)+SUMIF('SALDI AL 31.12.2025'!$A$6:$A$505,$C128,'SALDI AL 31.12.2025'!$I$6:$I$505))</f>
        <v/>
      </c>
      <c r="BQ128" t="str">
        <f t="shared" si="45"/>
        <v/>
      </c>
      <c r="BR128" t="str">
        <f t="shared" si="46"/>
        <v/>
      </c>
      <c r="BS128" t="str">
        <f>IF($C128="","",$BK128*PARAMETRI!$B$4+$BP128)</f>
        <v/>
      </c>
      <c r="BT128">
        <f t="shared" si="47"/>
        <v>0</v>
      </c>
      <c r="BU128">
        <f t="shared" si="48"/>
        <v>0</v>
      </c>
      <c r="BV128" t="str">
        <f>IF($C128="","",SUMIF('MOVIMENTI 2026'!$B$7:$B$4206,$C128,'MOVIMENTI 2026'!$P$7:$P$4206)+SUMIF('SALDI AL 31.12.2025'!$A$6:$A$505,$C128,'SALDI AL 31.12.2025'!$G$6:$G$505))</f>
        <v/>
      </c>
    </row>
    <row r="129" spans="1:74" ht="16" x14ac:dyDescent="0.15">
      <c r="A129" s="17" t="str">
        <f>IFERROR(IF($C129="","",IF(OR($BF129&gt;0,$V129&gt;$J129,AND(ISNUMBER($Q129),$Q129&gt;0),AND($BI129&lt;&gt;"",$BI129&lt;-PARAMETRI!$B$6),AND($BM129&lt;&gt;"",$BM129&gt;=1),AND($BN129&lt;&gt;"",$BN129&gt;PARAMETRI!$B$8),AND(ISNUMBER($BR129),$BR129&gt;0)),"CRITICO",IF(OR($AZ129="",LEFT($C129,5)="TEMP",$BJ129="",$BO129="",ANAGRAFICA!$I126="",ANAGRAFICA!$J126="",$Y129="",AND(OR($I129="Finito ritenute non previste",$I129="Finito con sblocco ritenute",$I129="Finito senza sblocco ritenute"),ANAGRAFICA!$K126=""),OR(AND(ANAGRAFICA!$T126&lt;&gt;"",ANAGRAFICA!$J126&lt;&gt;ANAGRAFICA!$T126,OR(ANAGRAFICA!$R126="",ANAGRAFICA!$R126="Nessuna variazione")),AND(ANAGRAFICA!$J126="",ANAGRAFICA!$R126&lt;&gt;"",ANAGRAFICA!$R126&lt;&gt;"Nessuna variazione")),AND($BI129&lt;&gt;"",$BI129&lt;-PARAMETRI!$B$5),AND($BN129&lt;&gt;"",$BN129&gt;PARAMETRI!$B$7),AND($W129&gt;0,$M129&gt;$W129*PARAMETRI!$B$9),AND($O129&gt;0,OR($I129="Finito ritenute non previste",$I129="Finito con sblocco ritenute",$I129="Finito senza sblocco ritenute")),AND($BA129&gt;0,$BO129&gt;0,$BP129=0),AND(OR($I129="Finito ritenute non previste",$I129="Finito con sblocco ritenute",$I129="Finito senza sblocco ritenute"),$W129&gt;0,$N129&gt;$W129*PARAMETRI!$B$9),$V129&gt;0),"ATTENZIONE","REGOLARE"))),"ATTENZIONE")</f>
        <v/>
      </c>
      <c r="B129" s="17" t="str">
        <f>IFERROR(IF($C129="","",IF($BF129&gt;0,"FATTURATO OLTRE VALORE RECUPERABILE; ","")&amp;IF($V129&gt;$J129,"PERDITE ACCETTATE OLTRE CONTRATTO; ","")&amp;IF($V129&gt;0,"PERDITA SAL ACCETTATA (€ "&amp;TEXT($V129,"#,##0.00")&amp;"); ","")&amp;IF(AND(ISNUMBER($Q129),$Q129&gt;0),"RITARDO PRODUTTIVO ("&amp;TEXT($Q129,"0")&amp;" GG); ","")&amp;IF(AND($BI129&lt;&gt;"",$BI129&lt;-PARAMETRI!$B$5),"AVANZAMENTO PIÙ LENTO DEL TEMPO; ","")&amp;IF(AND($BM129&lt;&gt;"",$BM129&gt;1),"ORE OLTRE BUDGET; ","")&amp;IF(AND($BM129&lt;&gt;"",$BM129=1),"ORE PREVENTIVATE ESAURITE; ","")&amp;IF(AND($BN129&lt;&gt;"",$BN129&gt;PARAMETRI!$B$7),"CONSUMO ORE SUPERIORE ALL'AVANZAMENTO; ","")&amp;IF(AND(ISNUMBER($BR129),$BR129&gt;0),"COSTI DIRETTI OLTRE BUDGET; ","")&amp;IF(AND($W129&gt;0,$M129&gt;$W129*PARAMETRI!$B$9),"SAL MATURATO NON FATTURATO; ","")&amp;IF(AND($O129&gt;0,OR($I129="Finito ritenute non previste",$I129="Finito con sblocco ritenute",$I129="Finito senza sblocco ritenute")),"RITENUTE DA SBLOCCARE; ","")&amp;IF(AND($BA129&gt;0,$BO129&gt;0,$BP129=0),"COSTI DIRETTI NON REGISTRATI; ","")&amp;IF(AND(OR($I129="Finito ritenute non previste",$I129="Finito con sblocco ritenute",$I129="Finito senza sblocco ritenute"),$W129&gt;0,$N129&gt;$W129*PARAMETRI!$B$9),"CANTIERE FINITO CON RESIDUO LAVORI; ","")&amp;IF(AND(OR($I129="Finito ritenute non previste",$I129="Finito con sblocco ritenute",$I129="Finito senza sblocco ritenute"),ANAGRAFICA!$K126=""),"DATA FINE EFFETTIVA MANCANTE; ","")&amp;IF(OR(AND(ANAGRAFICA!$T126&lt;&gt;"",ANAGRAFICA!$J126&lt;&gt;ANAGRAFICA!$T126,OR(ANAGRAFICA!$R126="",ANAGRAFICA!$R126="Nessuna variazione")),AND(ANAGRAFICA!$J126="",ANAGRAFICA!$R126&lt;&gt;"",ANAGRAFICA!$R126&lt;&gt;"Nessuna variazione")),"GESTIONE DATA FINE INCOMPLETA; ","")&amp;IF($Y129="","AGGIORNATO AL MANCANTE; ","")&amp;IF(OR($AZ129="",$BJ129="",$BO129="",ANAGRAFICA!$I126="",ANAGRAFICA!$J126=""),"DATI PREVISIONALI INCOMPLETI; ","")&amp;IF(LEFT($C129,5)="TEMP","CODICE COMMESSA TEMPORANEO; ","")),"DATI INCOMPLETI; ")</f>
        <v/>
      </c>
      <c r="C129" s="17" t="str">
        <f>IF(ANAGRAFICA!$B126="","",ANAGRAFICA!$B126)</f>
        <v/>
      </c>
      <c r="D129" s="17" t="str">
        <f>IF($C129="","",ANAGRAFICA!$C126)</f>
        <v/>
      </c>
      <c r="E129" s="17" t="str">
        <f>IF($C129="","",ANAGRAFICA!$D126)</f>
        <v/>
      </c>
      <c r="F129" s="17" t="str">
        <f>IF($C129="","",ANAGRAFICA!$E126)</f>
        <v/>
      </c>
      <c r="G129" s="17" t="str">
        <f>IF($C129="","",ANAGRAFICA!$F126)</f>
        <v/>
      </c>
      <c r="H129" s="17" t="str">
        <f>IF($C129="","",ANAGRAFICA!$G126)</f>
        <v/>
      </c>
      <c r="I129" s="17" t="str">
        <f>IF($C129="","",ANAGRAFICA!$L126)</f>
        <v/>
      </c>
      <c r="J129" s="16" t="str">
        <f t="shared" si="25"/>
        <v/>
      </c>
      <c r="K129" s="16" t="str">
        <f t="shared" si="26"/>
        <v/>
      </c>
      <c r="L129" s="16" t="str">
        <f t="shared" si="27"/>
        <v/>
      </c>
      <c r="M129" s="16" t="str">
        <f t="shared" si="28"/>
        <v/>
      </c>
      <c r="N129" s="16" t="str">
        <f t="shared" si="29"/>
        <v/>
      </c>
      <c r="O129" s="16" t="str">
        <f t="shared" si="30"/>
        <v/>
      </c>
      <c r="P129" s="17" t="str">
        <f t="shared" si="31"/>
        <v/>
      </c>
      <c r="Q129" s="31" t="str">
        <f>IF(OR($C129="",'BUDGET COMMESSA'!$D126="",'BUDGET COMMESSA'!$D126&lt;=0,ANAGRAFICA!$J126=""),"",IF(OR($I129="Finito ritenute non previste",$I129="Finito con sblocco ritenute",$I129="Finito senza sblocco ritenute"),0,IF(AND($BK129&gt;=$BJ129,ANAGRAFICA!$R126="Ritardo produttivo FIDA"),IF(ANAGRAFICA!$T126&lt;&gt;"",MAX(0,ANAGRAFICA!$J126-ANAGRAFICA!$T126),MAX(0,$Y129-ANAGRAFICA!$J126)),0)))</f>
        <v/>
      </c>
      <c r="R129" s="17" t="str">
        <f t="shared" si="32"/>
        <v/>
      </c>
      <c r="S129" s="17" t="str">
        <f t="shared" si="33"/>
        <v/>
      </c>
      <c r="T129" s="17" t="str">
        <f t="shared" si="34"/>
        <v/>
      </c>
      <c r="U129" s="16" t="str">
        <f t="shared" si="35"/>
        <v/>
      </c>
      <c r="V129" s="16" t="str">
        <f t="shared" si="36"/>
        <v/>
      </c>
      <c r="W129" s="16" t="str">
        <f t="shared" si="37"/>
        <v/>
      </c>
      <c r="X129" s="40"/>
      <c r="Y129" s="14"/>
      <c r="AZ129" t="str">
        <f>IF($C129="","",ANAGRAFICA!$P126)</f>
        <v/>
      </c>
      <c r="BA129" t="str">
        <f>IF($C129="","",SUMIF('MOVIMENTI 2026'!$B$7:$B$4206,$C129,'MOVIMENTI 2026'!$I$7:$I$4206)+SUMIF('SALDI AL 31.12.2025'!$A$6:$A$505,$C129,'SALDI AL 31.12.2025'!$C$6:$C$505))</f>
        <v/>
      </c>
      <c r="BB129" t="str">
        <f>IF($C129="","",SUMIF('MOVIMENTI 2026'!$B$7:$B$4206,$C129,'MOVIMENTI 2026'!$J$7:$J$4206)+SUMIF('SALDI AL 31.12.2025'!$A$6:$A$505,$C129,'SALDI AL 31.12.2025'!$D$6:$D$505))</f>
        <v/>
      </c>
      <c r="BC129" t="str">
        <f>IF($C129="","",SUMIF('MOVIMENTI 2026'!$B$7:$B$4206,$C129,'MOVIMENTI 2026'!$K$7:$K$4206)+SUMIF('SALDI AL 31.12.2025'!$A$6:$A$505,$C129,'SALDI AL 31.12.2025'!$E$6:$E$505))</f>
        <v/>
      </c>
      <c r="BD129" t="str">
        <f>IF($C129="","",SUMIF('MOVIMENTI 2026'!$B$7:$B$4206,$C129,'MOVIMENTI 2026'!$L$7:$L$4206)+SUMIF('SALDI AL 31.12.2025'!$A$6:$A$505,$C129,'SALDI AL 31.12.2025'!$F$6:$F$505))</f>
        <v/>
      </c>
      <c r="BE129" t="str">
        <f t="shared" si="38"/>
        <v/>
      </c>
      <c r="BF129" t="str">
        <f t="shared" si="39"/>
        <v/>
      </c>
      <c r="BG129" t="str">
        <f t="shared" si="40"/>
        <v/>
      </c>
      <c r="BH129" t="str">
        <f>IFERROR(IF(OR($C129="",ANAGRAFICA!$I126="",ANAGRAFICA!$J126="",ANAGRAFICA!$J126&lt;=ANAGRAFICA!$I126,$Y129=""),"",IF(OR($I129="Finito ritenute non previste",$I129="Finito con sblocco ritenute",$I129="Finito senza sblocco ritenute"),1,MAX(0,MIN(1,($Y129-ANAGRAFICA!$I126)/(ANAGRAFICA!$J126-ANAGRAFICA!$I126))))),"")</f>
        <v/>
      </c>
      <c r="BI129" t="str">
        <f t="shared" si="41"/>
        <v/>
      </c>
      <c r="BJ129" t="str">
        <f>IFERROR(IF($C129="","",'BUDGET COMMESSA'!$D126),"")</f>
        <v/>
      </c>
      <c r="BK129" t="str">
        <f>IF($C129="","",SUMIF('MOVIMENTI 2026'!$B$7:$B$4206,$C129,'MOVIMENTI 2026'!$N$7:$N$4206)+SUMIF('SALDI AL 31.12.2025'!$A$6:$A$505,$C129,'SALDI AL 31.12.2025'!$H$6:$H$505))</f>
        <v/>
      </c>
      <c r="BL129" t="str">
        <f t="shared" si="42"/>
        <v/>
      </c>
      <c r="BM129" t="str">
        <f t="shared" si="43"/>
        <v/>
      </c>
      <c r="BN129" t="str">
        <f t="shared" si="44"/>
        <v/>
      </c>
      <c r="BO129" t="str">
        <f>IFERROR(IF($C129="","",'BUDGET COMMESSA'!$G126),"")</f>
        <v/>
      </c>
      <c r="BP129" t="str">
        <f>IF($C129="","",SUMIF('COSTI DIRETTI'!$C$6:$C$505,$C129,'COSTI DIRETTI'!$H$6:$H$505)+SUMIF('SALDI AL 31.12.2025'!$A$6:$A$505,$C129,'SALDI AL 31.12.2025'!$I$6:$I$505))</f>
        <v/>
      </c>
      <c r="BQ129" t="str">
        <f t="shared" si="45"/>
        <v/>
      </c>
      <c r="BR129" t="str">
        <f t="shared" si="46"/>
        <v/>
      </c>
      <c r="BS129" t="str">
        <f>IF($C129="","",$BK129*PARAMETRI!$B$4+$BP129)</f>
        <v/>
      </c>
      <c r="BT129">
        <f t="shared" si="47"/>
        <v>0</v>
      </c>
      <c r="BU129">
        <f t="shared" si="48"/>
        <v>0</v>
      </c>
      <c r="BV129" t="str">
        <f>IF($C129="","",SUMIF('MOVIMENTI 2026'!$B$7:$B$4206,$C129,'MOVIMENTI 2026'!$P$7:$P$4206)+SUMIF('SALDI AL 31.12.2025'!$A$6:$A$505,$C129,'SALDI AL 31.12.2025'!$G$6:$G$505))</f>
        <v/>
      </c>
    </row>
    <row r="130" spans="1:74" ht="16" x14ac:dyDescent="0.15">
      <c r="A130" s="17" t="str">
        <f>IFERROR(IF($C130="","",IF(OR($BF130&gt;0,$V130&gt;$J130,AND(ISNUMBER($Q130),$Q130&gt;0),AND($BI130&lt;&gt;"",$BI130&lt;-PARAMETRI!$B$6),AND($BM130&lt;&gt;"",$BM130&gt;=1),AND($BN130&lt;&gt;"",$BN130&gt;PARAMETRI!$B$8),AND(ISNUMBER($BR130),$BR130&gt;0)),"CRITICO",IF(OR($AZ130="",LEFT($C130,5)="TEMP",$BJ130="",$BO130="",ANAGRAFICA!$I127="",ANAGRAFICA!$J127="",$Y130="",AND(OR($I130="Finito ritenute non previste",$I130="Finito con sblocco ritenute",$I130="Finito senza sblocco ritenute"),ANAGRAFICA!$K127=""),OR(AND(ANAGRAFICA!$T127&lt;&gt;"",ANAGRAFICA!$J127&lt;&gt;ANAGRAFICA!$T127,OR(ANAGRAFICA!$R127="",ANAGRAFICA!$R127="Nessuna variazione")),AND(ANAGRAFICA!$J127="",ANAGRAFICA!$R127&lt;&gt;"",ANAGRAFICA!$R127&lt;&gt;"Nessuna variazione")),AND($BI130&lt;&gt;"",$BI130&lt;-PARAMETRI!$B$5),AND($BN130&lt;&gt;"",$BN130&gt;PARAMETRI!$B$7),AND($W130&gt;0,$M130&gt;$W130*PARAMETRI!$B$9),AND($O130&gt;0,OR($I130="Finito ritenute non previste",$I130="Finito con sblocco ritenute",$I130="Finito senza sblocco ritenute")),AND($BA130&gt;0,$BO130&gt;0,$BP130=0),AND(OR($I130="Finito ritenute non previste",$I130="Finito con sblocco ritenute",$I130="Finito senza sblocco ritenute"),$W130&gt;0,$N130&gt;$W130*PARAMETRI!$B$9),$V130&gt;0),"ATTENZIONE","REGOLARE"))),"ATTENZIONE")</f>
        <v/>
      </c>
      <c r="B130" s="17" t="str">
        <f>IFERROR(IF($C130="","",IF($BF130&gt;0,"FATTURATO OLTRE VALORE RECUPERABILE; ","")&amp;IF($V130&gt;$J130,"PERDITE ACCETTATE OLTRE CONTRATTO; ","")&amp;IF($V130&gt;0,"PERDITA SAL ACCETTATA (€ "&amp;TEXT($V130,"#,##0.00")&amp;"); ","")&amp;IF(AND(ISNUMBER($Q130),$Q130&gt;0),"RITARDO PRODUTTIVO ("&amp;TEXT($Q130,"0")&amp;" GG); ","")&amp;IF(AND($BI130&lt;&gt;"",$BI130&lt;-PARAMETRI!$B$5),"AVANZAMENTO PIÙ LENTO DEL TEMPO; ","")&amp;IF(AND($BM130&lt;&gt;"",$BM130&gt;1),"ORE OLTRE BUDGET; ","")&amp;IF(AND($BM130&lt;&gt;"",$BM130=1),"ORE PREVENTIVATE ESAURITE; ","")&amp;IF(AND($BN130&lt;&gt;"",$BN130&gt;PARAMETRI!$B$7),"CONSUMO ORE SUPERIORE ALL'AVANZAMENTO; ","")&amp;IF(AND(ISNUMBER($BR130),$BR130&gt;0),"COSTI DIRETTI OLTRE BUDGET; ","")&amp;IF(AND($W130&gt;0,$M130&gt;$W130*PARAMETRI!$B$9),"SAL MATURATO NON FATTURATO; ","")&amp;IF(AND($O130&gt;0,OR($I130="Finito ritenute non previste",$I130="Finito con sblocco ritenute",$I130="Finito senza sblocco ritenute")),"RITENUTE DA SBLOCCARE; ","")&amp;IF(AND($BA130&gt;0,$BO130&gt;0,$BP130=0),"COSTI DIRETTI NON REGISTRATI; ","")&amp;IF(AND(OR($I130="Finito ritenute non previste",$I130="Finito con sblocco ritenute",$I130="Finito senza sblocco ritenute"),$W130&gt;0,$N130&gt;$W130*PARAMETRI!$B$9),"CANTIERE FINITO CON RESIDUO LAVORI; ","")&amp;IF(AND(OR($I130="Finito ritenute non previste",$I130="Finito con sblocco ritenute",$I130="Finito senza sblocco ritenute"),ANAGRAFICA!$K127=""),"DATA FINE EFFETTIVA MANCANTE; ","")&amp;IF(OR(AND(ANAGRAFICA!$T127&lt;&gt;"",ANAGRAFICA!$J127&lt;&gt;ANAGRAFICA!$T127,OR(ANAGRAFICA!$R127="",ANAGRAFICA!$R127="Nessuna variazione")),AND(ANAGRAFICA!$J127="",ANAGRAFICA!$R127&lt;&gt;"",ANAGRAFICA!$R127&lt;&gt;"Nessuna variazione")),"GESTIONE DATA FINE INCOMPLETA; ","")&amp;IF($Y130="","AGGIORNATO AL MANCANTE; ","")&amp;IF(OR($AZ130="",$BJ130="",$BO130="",ANAGRAFICA!$I127="",ANAGRAFICA!$J127=""),"DATI PREVISIONALI INCOMPLETI; ","")&amp;IF(LEFT($C130,5)="TEMP","CODICE COMMESSA TEMPORANEO; ","")),"DATI INCOMPLETI; ")</f>
        <v/>
      </c>
      <c r="C130" s="17" t="str">
        <f>IF(ANAGRAFICA!$B127="","",ANAGRAFICA!$B127)</f>
        <v/>
      </c>
      <c r="D130" s="17" t="str">
        <f>IF($C130="","",ANAGRAFICA!$C127)</f>
        <v/>
      </c>
      <c r="E130" s="17" t="str">
        <f>IF($C130="","",ANAGRAFICA!$D127)</f>
        <v/>
      </c>
      <c r="F130" s="17" t="str">
        <f>IF($C130="","",ANAGRAFICA!$E127)</f>
        <v/>
      </c>
      <c r="G130" s="17" t="str">
        <f>IF($C130="","",ANAGRAFICA!$F127)</f>
        <v/>
      </c>
      <c r="H130" s="17" t="str">
        <f>IF($C130="","",ANAGRAFICA!$G127)</f>
        <v/>
      </c>
      <c r="I130" s="17" t="str">
        <f>IF($C130="","",ANAGRAFICA!$L127)</f>
        <v/>
      </c>
      <c r="J130" s="16" t="str">
        <f t="shared" si="25"/>
        <v/>
      </c>
      <c r="K130" s="16" t="str">
        <f t="shared" si="26"/>
        <v/>
      </c>
      <c r="L130" s="16" t="str">
        <f t="shared" si="27"/>
        <v/>
      </c>
      <c r="M130" s="16" t="str">
        <f t="shared" si="28"/>
        <v/>
      </c>
      <c r="N130" s="16" t="str">
        <f t="shared" si="29"/>
        <v/>
      </c>
      <c r="O130" s="16" t="str">
        <f t="shared" si="30"/>
        <v/>
      </c>
      <c r="P130" s="17" t="str">
        <f t="shared" si="31"/>
        <v/>
      </c>
      <c r="Q130" s="31" t="str">
        <f>IF(OR($C130="",'BUDGET COMMESSA'!$D127="",'BUDGET COMMESSA'!$D127&lt;=0,ANAGRAFICA!$J127=""),"",IF(OR($I130="Finito ritenute non previste",$I130="Finito con sblocco ritenute",$I130="Finito senza sblocco ritenute"),0,IF(AND($BK130&gt;=$BJ130,ANAGRAFICA!$R127="Ritardo produttivo FIDA"),IF(ANAGRAFICA!$T127&lt;&gt;"",MAX(0,ANAGRAFICA!$J127-ANAGRAFICA!$T127),MAX(0,$Y130-ANAGRAFICA!$J127)),0)))</f>
        <v/>
      </c>
      <c r="R130" s="17" t="str">
        <f t="shared" si="32"/>
        <v/>
      </c>
      <c r="S130" s="17" t="str">
        <f t="shared" si="33"/>
        <v/>
      </c>
      <c r="T130" s="17" t="str">
        <f t="shared" si="34"/>
        <v/>
      </c>
      <c r="U130" s="16" t="str">
        <f t="shared" si="35"/>
        <v/>
      </c>
      <c r="V130" s="16" t="str">
        <f t="shared" si="36"/>
        <v/>
      </c>
      <c r="W130" s="16" t="str">
        <f t="shared" si="37"/>
        <v/>
      </c>
      <c r="X130" s="40"/>
      <c r="Y130" s="14"/>
      <c r="AZ130" t="str">
        <f>IF($C130="","",ANAGRAFICA!$P127)</f>
        <v/>
      </c>
      <c r="BA130" t="str">
        <f>IF($C130="","",SUMIF('MOVIMENTI 2026'!$B$7:$B$4206,$C130,'MOVIMENTI 2026'!$I$7:$I$4206)+SUMIF('SALDI AL 31.12.2025'!$A$6:$A$505,$C130,'SALDI AL 31.12.2025'!$C$6:$C$505))</f>
        <v/>
      </c>
      <c r="BB130" t="str">
        <f>IF($C130="","",SUMIF('MOVIMENTI 2026'!$B$7:$B$4206,$C130,'MOVIMENTI 2026'!$J$7:$J$4206)+SUMIF('SALDI AL 31.12.2025'!$A$6:$A$505,$C130,'SALDI AL 31.12.2025'!$D$6:$D$505))</f>
        <v/>
      </c>
      <c r="BC130" t="str">
        <f>IF($C130="","",SUMIF('MOVIMENTI 2026'!$B$7:$B$4206,$C130,'MOVIMENTI 2026'!$K$7:$K$4206)+SUMIF('SALDI AL 31.12.2025'!$A$6:$A$505,$C130,'SALDI AL 31.12.2025'!$E$6:$E$505))</f>
        <v/>
      </c>
      <c r="BD130" t="str">
        <f>IF($C130="","",SUMIF('MOVIMENTI 2026'!$B$7:$B$4206,$C130,'MOVIMENTI 2026'!$L$7:$L$4206)+SUMIF('SALDI AL 31.12.2025'!$A$6:$A$505,$C130,'SALDI AL 31.12.2025'!$F$6:$F$505))</f>
        <v/>
      </c>
      <c r="BE130" t="str">
        <f t="shared" si="38"/>
        <v/>
      </c>
      <c r="BF130" t="str">
        <f t="shared" si="39"/>
        <v/>
      </c>
      <c r="BG130" t="str">
        <f t="shared" si="40"/>
        <v/>
      </c>
      <c r="BH130" t="str">
        <f>IFERROR(IF(OR($C130="",ANAGRAFICA!$I127="",ANAGRAFICA!$J127="",ANAGRAFICA!$J127&lt;=ANAGRAFICA!$I127,$Y130=""),"",IF(OR($I130="Finito ritenute non previste",$I130="Finito con sblocco ritenute",$I130="Finito senza sblocco ritenute"),1,MAX(0,MIN(1,($Y130-ANAGRAFICA!$I127)/(ANAGRAFICA!$J127-ANAGRAFICA!$I127))))),"")</f>
        <v/>
      </c>
      <c r="BI130" t="str">
        <f t="shared" si="41"/>
        <v/>
      </c>
      <c r="BJ130" t="str">
        <f>IFERROR(IF($C130="","",'BUDGET COMMESSA'!$D127),"")</f>
        <v/>
      </c>
      <c r="BK130" t="str">
        <f>IF($C130="","",SUMIF('MOVIMENTI 2026'!$B$7:$B$4206,$C130,'MOVIMENTI 2026'!$N$7:$N$4206)+SUMIF('SALDI AL 31.12.2025'!$A$6:$A$505,$C130,'SALDI AL 31.12.2025'!$H$6:$H$505))</f>
        <v/>
      </c>
      <c r="BL130" t="str">
        <f t="shared" si="42"/>
        <v/>
      </c>
      <c r="BM130" t="str">
        <f t="shared" si="43"/>
        <v/>
      </c>
      <c r="BN130" t="str">
        <f t="shared" si="44"/>
        <v/>
      </c>
      <c r="BO130" t="str">
        <f>IFERROR(IF($C130="","",'BUDGET COMMESSA'!$G127),"")</f>
        <v/>
      </c>
      <c r="BP130" t="str">
        <f>IF($C130="","",SUMIF('COSTI DIRETTI'!$C$6:$C$505,$C130,'COSTI DIRETTI'!$H$6:$H$505)+SUMIF('SALDI AL 31.12.2025'!$A$6:$A$505,$C130,'SALDI AL 31.12.2025'!$I$6:$I$505))</f>
        <v/>
      </c>
      <c r="BQ130" t="str">
        <f t="shared" si="45"/>
        <v/>
      </c>
      <c r="BR130" t="str">
        <f t="shared" si="46"/>
        <v/>
      </c>
      <c r="BS130" t="str">
        <f>IF($C130="","",$BK130*PARAMETRI!$B$4+$BP130)</f>
        <v/>
      </c>
      <c r="BT130">
        <f t="shared" si="47"/>
        <v>0</v>
      </c>
      <c r="BU130">
        <f t="shared" si="48"/>
        <v>0</v>
      </c>
      <c r="BV130" t="str">
        <f>IF($C130="","",SUMIF('MOVIMENTI 2026'!$B$7:$B$4206,$C130,'MOVIMENTI 2026'!$P$7:$P$4206)+SUMIF('SALDI AL 31.12.2025'!$A$6:$A$505,$C130,'SALDI AL 31.12.2025'!$G$6:$G$505))</f>
        <v/>
      </c>
    </row>
    <row r="131" spans="1:74" ht="16" x14ac:dyDescent="0.15">
      <c r="A131" s="17" t="str">
        <f>IFERROR(IF($C131="","",IF(OR($BF131&gt;0,$V131&gt;$J131,AND(ISNUMBER($Q131),$Q131&gt;0),AND($BI131&lt;&gt;"",$BI131&lt;-PARAMETRI!$B$6),AND($BM131&lt;&gt;"",$BM131&gt;=1),AND($BN131&lt;&gt;"",$BN131&gt;PARAMETRI!$B$8),AND(ISNUMBER($BR131),$BR131&gt;0)),"CRITICO",IF(OR($AZ131="",LEFT($C131,5)="TEMP",$BJ131="",$BO131="",ANAGRAFICA!$I128="",ANAGRAFICA!$J128="",$Y131="",AND(OR($I131="Finito ritenute non previste",$I131="Finito con sblocco ritenute",$I131="Finito senza sblocco ritenute"),ANAGRAFICA!$K128=""),OR(AND(ANAGRAFICA!$T128&lt;&gt;"",ANAGRAFICA!$J128&lt;&gt;ANAGRAFICA!$T128,OR(ANAGRAFICA!$R128="",ANAGRAFICA!$R128="Nessuna variazione")),AND(ANAGRAFICA!$J128="",ANAGRAFICA!$R128&lt;&gt;"",ANAGRAFICA!$R128&lt;&gt;"Nessuna variazione")),AND($BI131&lt;&gt;"",$BI131&lt;-PARAMETRI!$B$5),AND($BN131&lt;&gt;"",$BN131&gt;PARAMETRI!$B$7),AND($W131&gt;0,$M131&gt;$W131*PARAMETRI!$B$9),AND($O131&gt;0,OR($I131="Finito ritenute non previste",$I131="Finito con sblocco ritenute",$I131="Finito senza sblocco ritenute")),AND($BA131&gt;0,$BO131&gt;0,$BP131=0),AND(OR($I131="Finito ritenute non previste",$I131="Finito con sblocco ritenute",$I131="Finito senza sblocco ritenute"),$W131&gt;0,$N131&gt;$W131*PARAMETRI!$B$9),$V131&gt;0),"ATTENZIONE","REGOLARE"))),"ATTENZIONE")</f>
        <v/>
      </c>
      <c r="B131" s="17" t="str">
        <f>IFERROR(IF($C131="","",IF($BF131&gt;0,"FATTURATO OLTRE VALORE RECUPERABILE; ","")&amp;IF($V131&gt;$J131,"PERDITE ACCETTATE OLTRE CONTRATTO; ","")&amp;IF($V131&gt;0,"PERDITA SAL ACCETTATA (€ "&amp;TEXT($V131,"#,##0.00")&amp;"); ","")&amp;IF(AND(ISNUMBER($Q131),$Q131&gt;0),"RITARDO PRODUTTIVO ("&amp;TEXT($Q131,"0")&amp;" GG); ","")&amp;IF(AND($BI131&lt;&gt;"",$BI131&lt;-PARAMETRI!$B$5),"AVANZAMENTO PIÙ LENTO DEL TEMPO; ","")&amp;IF(AND($BM131&lt;&gt;"",$BM131&gt;1),"ORE OLTRE BUDGET; ","")&amp;IF(AND($BM131&lt;&gt;"",$BM131=1),"ORE PREVENTIVATE ESAURITE; ","")&amp;IF(AND($BN131&lt;&gt;"",$BN131&gt;PARAMETRI!$B$7),"CONSUMO ORE SUPERIORE ALL'AVANZAMENTO; ","")&amp;IF(AND(ISNUMBER($BR131),$BR131&gt;0),"COSTI DIRETTI OLTRE BUDGET; ","")&amp;IF(AND($W131&gt;0,$M131&gt;$W131*PARAMETRI!$B$9),"SAL MATURATO NON FATTURATO; ","")&amp;IF(AND($O131&gt;0,OR($I131="Finito ritenute non previste",$I131="Finito con sblocco ritenute",$I131="Finito senza sblocco ritenute")),"RITENUTE DA SBLOCCARE; ","")&amp;IF(AND($BA131&gt;0,$BO131&gt;0,$BP131=0),"COSTI DIRETTI NON REGISTRATI; ","")&amp;IF(AND(OR($I131="Finito ritenute non previste",$I131="Finito con sblocco ritenute",$I131="Finito senza sblocco ritenute"),$W131&gt;0,$N131&gt;$W131*PARAMETRI!$B$9),"CANTIERE FINITO CON RESIDUO LAVORI; ","")&amp;IF(AND(OR($I131="Finito ritenute non previste",$I131="Finito con sblocco ritenute",$I131="Finito senza sblocco ritenute"),ANAGRAFICA!$K128=""),"DATA FINE EFFETTIVA MANCANTE; ","")&amp;IF(OR(AND(ANAGRAFICA!$T128&lt;&gt;"",ANAGRAFICA!$J128&lt;&gt;ANAGRAFICA!$T128,OR(ANAGRAFICA!$R128="",ANAGRAFICA!$R128="Nessuna variazione")),AND(ANAGRAFICA!$J128="",ANAGRAFICA!$R128&lt;&gt;"",ANAGRAFICA!$R128&lt;&gt;"Nessuna variazione")),"GESTIONE DATA FINE INCOMPLETA; ","")&amp;IF($Y131="","AGGIORNATO AL MANCANTE; ","")&amp;IF(OR($AZ131="",$BJ131="",$BO131="",ANAGRAFICA!$I128="",ANAGRAFICA!$J128=""),"DATI PREVISIONALI INCOMPLETI; ","")&amp;IF(LEFT($C131,5)="TEMP","CODICE COMMESSA TEMPORANEO; ","")),"DATI INCOMPLETI; ")</f>
        <v/>
      </c>
      <c r="C131" s="17" t="str">
        <f>IF(ANAGRAFICA!$B128="","",ANAGRAFICA!$B128)</f>
        <v/>
      </c>
      <c r="D131" s="17" t="str">
        <f>IF($C131="","",ANAGRAFICA!$C128)</f>
        <v/>
      </c>
      <c r="E131" s="17" t="str">
        <f>IF($C131="","",ANAGRAFICA!$D128)</f>
        <v/>
      </c>
      <c r="F131" s="17" t="str">
        <f>IF($C131="","",ANAGRAFICA!$E128)</f>
        <v/>
      </c>
      <c r="G131" s="17" t="str">
        <f>IF($C131="","",ANAGRAFICA!$F128)</f>
        <v/>
      </c>
      <c r="H131" s="17" t="str">
        <f>IF($C131="","",ANAGRAFICA!$G128)</f>
        <v/>
      </c>
      <c r="I131" s="17" t="str">
        <f>IF($C131="","",ANAGRAFICA!$L128)</f>
        <v/>
      </c>
      <c r="J131" s="16" t="str">
        <f t="shared" si="25"/>
        <v/>
      </c>
      <c r="K131" s="16" t="str">
        <f t="shared" si="26"/>
        <v/>
      </c>
      <c r="L131" s="16" t="str">
        <f t="shared" si="27"/>
        <v/>
      </c>
      <c r="M131" s="16" t="str">
        <f t="shared" si="28"/>
        <v/>
      </c>
      <c r="N131" s="16" t="str">
        <f t="shared" si="29"/>
        <v/>
      </c>
      <c r="O131" s="16" t="str">
        <f t="shared" si="30"/>
        <v/>
      </c>
      <c r="P131" s="17" t="str">
        <f t="shared" si="31"/>
        <v/>
      </c>
      <c r="Q131" s="31" t="str">
        <f>IF(OR($C131="",'BUDGET COMMESSA'!$D128="",'BUDGET COMMESSA'!$D128&lt;=0,ANAGRAFICA!$J128=""),"",IF(OR($I131="Finito ritenute non previste",$I131="Finito con sblocco ritenute",$I131="Finito senza sblocco ritenute"),0,IF(AND($BK131&gt;=$BJ131,ANAGRAFICA!$R128="Ritardo produttivo FIDA"),IF(ANAGRAFICA!$T128&lt;&gt;"",MAX(0,ANAGRAFICA!$J128-ANAGRAFICA!$T128),MAX(0,$Y131-ANAGRAFICA!$J128)),0)))</f>
        <v/>
      </c>
      <c r="R131" s="17" t="str">
        <f t="shared" si="32"/>
        <v/>
      </c>
      <c r="S131" s="17" t="str">
        <f t="shared" si="33"/>
        <v/>
      </c>
      <c r="T131" s="17" t="str">
        <f t="shared" si="34"/>
        <v/>
      </c>
      <c r="U131" s="16" t="str">
        <f t="shared" si="35"/>
        <v/>
      </c>
      <c r="V131" s="16" t="str">
        <f t="shared" si="36"/>
        <v/>
      </c>
      <c r="W131" s="16" t="str">
        <f t="shared" si="37"/>
        <v/>
      </c>
      <c r="X131" s="40"/>
      <c r="Y131" s="14"/>
      <c r="AZ131" t="str">
        <f>IF($C131="","",ANAGRAFICA!$P128)</f>
        <v/>
      </c>
      <c r="BA131" t="str">
        <f>IF($C131="","",SUMIF('MOVIMENTI 2026'!$B$7:$B$4206,$C131,'MOVIMENTI 2026'!$I$7:$I$4206)+SUMIF('SALDI AL 31.12.2025'!$A$6:$A$505,$C131,'SALDI AL 31.12.2025'!$C$6:$C$505))</f>
        <v/>
      </c>
      <c r="BB131" t="str">
        <f>IF($C131="","",SUMIF('MOVIMENTI 2026'!$B$7:$B$4206,$C131,'MOVIMENTI 2026'!$J$7:$J$4206)+SUMIF('SALDI AL 31.12.2025'!$A$6:$A$505,$C131,'SALDI AL 31.12.2025'!$D$6:$D$505))</f>
        <v/>
      </c>
      <c r="BC131" t="str">
        <f>IF($C131="","",SUMIF('MOVIMENTI 2026'!$B$7:$B$4206,$C131,'MOVIMENTI 2026'!$K$7:$K$4206)+SUMIF('SALDI AL 31.12.2025'!$A$6:$A$505,$C131,'SALDI AL 31.12.2025'!$E$6:$E$505))</f>
        <v/>
      </c>
      <c r="BD131" t="str">
        <f>IF($C131="","",SUMIF('MOVIMENTI 2026'!$B$7:$B$4206,$C131,'MOVIMENTI 2026'!$L$7:$L$4206)+SUMIF('SALDI AL 31.12.2025'!$A$6:$A$505,$C131,'SALDI AL 31.12.2025'!$F$6:$F$505))</f>
        <v/>
      </c>
      <c r="BE131" t="str">
        <f t="shared" si="38"/>
        <v/>
      </c>
      <c r="BF131" t="str">
        <f t="shared" si="39"/>
        <v/>
      </c>
      <c r="BG131" t="str">
        <f t="shared" si="40"/>
        <v/>
      </c>
      <c r="BH131" t="str">
        <f>IFERROR(IF(OR($C131="",ANAGRAFICA!$I128="",ANAGRAFICA!$J128="",ANAGRAFICA!$J128&lt;=ANAGRAFICA!$I128,$Y131=""),"",IF(OR($I131="Finito ritenute non previste",$I131="Finito con sblocco ritenute",$I131="Finito senza sblocco ritenute"),1,MAX(0,MIN(1,($Y131-ANAGRAFICA!$I128)/(ANAGRAFICA!$J128-ANAGRAFICA!$I128))))),"")</f>
        <v/>
      </c>
      <c r="BI131" t="str">
        <f t="shared" si="41"/>
        <v/>
      </c>
      <c r="BJ131" t="str">
        <f>IFERROR(IF($C131="","",'BUDGET COMMESSA'!$D128),"")</f>
        <v/>
      </c>
      <c r="BK131" t="str">
        <f>IF($C131="","",SUMIF('MOVIMENTI 2026'!$B$7:$B$4206,$C131,'MOVIMENTI 2026'!$N$7:$N$4206)+SUMIF('SALDI AL 31.12.2025'!$A$6:$A$505,$C131,'SALDI AL 31.12.2025'!$H$6:$H$505))</f>
        <v/>
      </c>
      <c r="BL131" t="str">
        <f t="shared" si="42"/>
        <v/>
      </c>
      <c r="BM131" t="str">
        <f t="shared" si="43"/>
        <v/>
      </c>
      <c r="BN131" t="str">
        <f t="shared" si="44"/>
        <v/>
      </c>
      <c r="BO131" t="str">
        <f>IFERROR(IF($C131="","",'BUDGET COMMESSA'!$G128),"")</f>
        <v/>
      </c>
      <c r="BP131" t="str">
        <f>IF($C131="","",SUMIF('COSTI DIRETTI'!$C$6:$C$505,$C131,'COSTI DIRETTI'!$H$6:$H$505)+SUMIF('SALDI AL 31.12.2025'!$A$6:$A$505,$C131,'SALDI AL 31.12.2025'!$I$6:$I$505))</f>
        <v/>
      </c>
      <c r="BQ131" t="str">
        <f t="shared" si="45"/>
        <v/>
      </c>
      <c r="BR131" t="str">
        <f t="shared" si="46"/>
        <v/>
      </c>
      <c r="BS131" t="str">
        <f>IF($C131="","",$BK131*PARAMETRI!$B$4+$BP131)</f>
        <v/>
      </c>
      <c r="BT131">
        <f t="shared" si="47"/>
        <v>0</v>
      </c>
      <c r="BU131">
        <f t="shared" si="48"/>
        <v>0</v>
      </c>
      <c r="BV131" t="str">
        <f>IF($C131="","",SUMIF('MOVIMENTI 2026'!$B$7:$B$4206,$C131,'MOVIMENTI 2026'!$P$7:$P$4206)+SUMIF('SALDI AL 31.12.2025'!$A$6:$A$505,$C131,'SALDI AL 31.12.2025'!$G$6:$G$505))</f>
        <v/>
      </c>
    </row>
    <row r="132" spans="1:74" ht="16" x14ac:dyDescent="0.15">
      <c r="A132" s="17" t="str">
        <f>IFERROR(IF($C132="","",IF(OR($BF132&gt;0,$V132&gt;$J132,AND(ISNUMBER($Q132),$Q132&gt;0),AND($BI132&lt;&gt;"",$BI132&lt;-PARAMETRI!$B$6),AND($BM132&lt;&gt;"",$BM132&gt;=1),AND($BN132&lt;&gt;"",$BN132&gt;PARAMETRI!$B$8),AND(ISNUMBER($BR132),$BR132&gt;0)),"CRITICO",IF(OR($AZ132="",LEFT($C132,5)="TEMP",$BJ132="",$BO132="",ANAGRAFICA!$I129="",ANAGRAFICA!$J129="",$Y132="",AND(OR($I132="Finito ritenute non previste",$I132="Finito con sblocco ritenute",$I132="Finito senza sblocco ritenute"),ANAGRAFICA!$K129=""),OR(AND(ANAGRAFICA!$T129&lt;&gt;"",ANAGRAFICA!$J129&lt;&gt;ANAGRAFICA!$T129,OR(ANAGRAFICA!$R129="",ANAGRAFICA!$R129="Nessuna variazione")),AND(ANAGRAFICA!$J129="",ANAGRAFICA!$R129&lt;&gt;"",ANAGRAFICA!$R129&lt;&gt;"Nessuna variazione")),AND($BI132&lt;&gt;"",$BI132&lt;-PARAMETRI!$B$5),AND($BN132&lt;&gt;"",$BN132&gt;PARAMETRI!$B$7),AND($W132&gt;0,$M132&gt;$W132*PARAMETRI!$B$9),AND($O132&gt;0,OR($I132="Finito ritenute non previste",$I132="Finito con sblocco ritenute",$I132="Finito senza sblocco ritenute")),AND($BA132&gt;0,$BO132&gt;0,$BP132=0),AND(OR($I132="Finito ritenute non previste",$I132="Finito con sblocco ritenute",$I132="Finito senza sblocco ritenute"),$W132&gt;0,$N132&gt;$W132*PARAMETRI!$B$9),$V132&gt;0),"ATTENZIONE","REGOLARE"))),"ATTENZIONE")</f>
        <v/>
      </c>
      <c r="B132" s="17" t="str">
        <f>IFERROR(IF($C132="","",IF($BF132&gt;0,"FATTURATO OLTRE VALORE RECUPERABILE; ","")&amp;IF($V132&gt;$J132,"PERDITE ACCETTATE OLTRE CONTRATTO; ","")&amp;IF($V132&gt;0,"PERDITA SAL ACCETTATA (€ "&amp;TEXT($V132,"#,##0.00")&amp;"); ","")&amp;IF(AND(ISNUMBER($Q132),$Q132&gt;0),"RITARDO PRODUTTIVO ("&amp;TEXT($Q132,"0")&amp;" GG); ","")&amp;IF(AND($BI132&lt;&gt;"",$BI132&lt;-PARAMETRI!$B$5),"AVANZAMENTO PIÙ LENTO DEL TEMPO; ","")&amp;IF(AND($BM132&lt;&gt;"",$BM132&gt;1),"ORE OLTRE BUDGET; ","")&amp;IF(AND($BM132&lt;&gt;"",$BM132=1),"ORE PREVENTIVATE ESAURITE; ","")&amp;IF(AND($BN132&lt;&gt;"",$BN132&gt;PARAMETRI!$B$7),"CONSUMO ORE SUPERIORE ALL'AVANZAMENTO; ","")&amp;IF(AND(ISNUMBER($BR132),$BR132&gt;0),"COSTI DIRETTI OLTRE BUDGET; ","")&amp;IF(AND($W132&gt;0,$M132&gt;$W132*PARAMETRI!$B$9),"SAL MATURATO NON FATTURATO; ","")&amp;IF(AND($O132&gt;0,OR($I132="Finito ritenute non previste",$I132="Finito con sblocco ritenute",$I132="Finito senza sblocco ritenute")),"RITENUTE DA SBLOCCARE; ","")&amp;IF(AND($BA132&gt;0,$BO132&gt;0,$BP132=0),"COSTI DIRETTI NON REGISTRATI; ","")&amp;IF(AND(OR($I132="Finito ritenute non previste",$I132="Finito con sblocco ritenute",$I132="Finito senza sblocco ritenute"),$W132&gt;0,$N132&gt;$W132*PARAMETRI!$B$9),"CANTIERE FINITO CON RESIDUO LAVORI; ","")&amp;IF(AND(OR($I132="Finito ritenute non previste",$I132="Finito con sblocco ritenute",$I132="Finito senza sblocco ritenute"),ANAGRAFICA!$K129=""),"DATA FINE EFFETTIVA MANCANTE; ","")&amp;IF(OR(AND(ANAGRAFICA!$T129&lt;&gt;"",ANAGRAFICA!$J129&lt;&gt;ANAGRAFICA!$T129,OR(ANAGRAFICA!$R129="",ANAGRAFICA!$R129="Nessuna variazione")),AND(ANAGRAFICA!$J129="",ANAGRAFICA!$R129&lt;&gt;"",ANAGRAFICA!$R129&lt;&gt;"Nessuna variazione")),"GESTIONE DATA FINE INCOMPLETA; ","")&amp;IF($Y132="","AGGIORNATO AL MANCANTE; ","")&amp;IF(OR($AZ132="",$BJ132="",$BO132="",ANAGRAFICA!$I129="",ANAGRAFICA!$J129=""),"DATI PREVISIONALI INCOMPLETI; ","")&amp;IF(LEFT($C132,5)="TEMP","CODICE COMMESSA TEMPORANEO; ","")),"DATI INCOMPLETI; ")</f>
        <v/>
      </c>
      <c r="C132" s="17" t="str">
        <f>IF(ANAGRAFICA!$B129="","",ANAGRAFICA!$B129)</f>
        <v/>
      </c>
      <c r="D132" s="17" t="str">
        <f>IF($C132="","",ANAGRAFICA!$C129)</f>
        <v/>
      </c>
      <c r="E132" s="17" t="str">
        <f>IF($C132="","",ANAGRAFICA!$D129)</f>
        <v/>
      </c>
      <c r="F132" s="17" t="str">
        <f>IF($C132="","",ANAGRAFICA!$E129)</f>
        <v/>
      </c>
      <c r="G132" s="17" t="str">
        <f>IF($C132="","",ANAGRAFICA!$F129)</f>
        <v/>
      </c>
      <c r="H132" s="17" t="str">
        <f>IF($C132="","",ANAGRAFICA!$G129)</f>
        <v/>
      </c>
      <c r="I132" s="17" t="str">
        <f>IF($C132="","",ANAGRAFICA!$L129)</f>
        <v/>
      </c>
      <c r="J132" s="16" t="str">
        <f t="shared" si="25"/>
        <v/>
      </c>
      <c r="K132" s="16" t="str">
        <f t="shared" si="26"/>
        <v/>
      </c>
      <c r="L132" s="16" t="str">
        <f t="shared" si="27"/>
        <v/>
      </c>
      <c r="M132" s="16" t="str">
        <f t="shared" si="28"/>
        <v/>
      </c>
      <c r="N132" s="16" t="str">
        <f t="shared" si="29"/>
        <v/>
      </c>
      <c r="O132" s="16" t="str">
        <f t="shared" si="30"/>
        <v/>
      </c>
      <c r="P132" s="17" t="str">
        <f t="shared" si="31"/>
        <v/>
      </c>
      <c r="Q132" s="31" t="str">
        <f>IF(OR($C132="",'BUDGET COMMESSA'!$D129="",'BUDGET COMMESSA'!$D129&lt;=0,ANAGRAFICA!$J129=""),"",IF(OR($I132="Finito ritenute non previste",$I132="Finito con sblocco ritenute",$I132="Finito senza sblocco ritenute"),0,IF(AND($BK132&gt;=$BJ132,ANAGRAFICA!$R129="Ritardo produttivo FIDA"),IF(ANAGRAFICA!$T129&lt;&gt;"",MAX(0,ANAGRAFICA!$J129-ANAGRAFICA!$T129),MAX(0,$Y132-ANAGRAFICA!$J129)),0)))</f>
        <v/>
      </c>
      <c r="R132" s="17" t="str">
        <f t="shared" si="32"/>
        <v/>
      </c>
      <c r="S132" s="17" t="str">
        <f t="shared" si="33"/>
        <v/>
      </c>
      <c r="T132" s="17" t="str">
        <f t="shared" si="34"/>
        <v/>
      </c>
      <c r="U132" s="16" t="str">
        <f t="shared" si="35"/>
        <v/>
      </c>
      <c r="V132" s="16" t="str">
        <f t="shared" si="36"/>
        <v/>
      </c>
      <c r="W132" s="16" t="str">
        <f t="shared" si="37"/>
        <v/>
      </c>
      <c r="X132" s="40"/>
      <c r="Y132" s="14"/>
      <c r="AZ132" t="str">
        <f>IF($C132="","",ANAGRAFICA!$P129)</f>
        <v/>
      </c>
      <c r="BA132" t="str">
        <f>IF($C132="","",SUMIF('MOVIMENTI 2026'!$B$7:$B$4206,$C132,'MOVIMENTI 2026'!$I$7:$I$4206)+SUMIF('SALDI AL 31.12.2025'!$A$6:$A$505,$C132,'SALDI AL 31.12.2025'!$C$6:$C$505))</f>
        <v/>
      </c>
      <c r="BB132" t="str">
        <f>IF($C132="","",SUMIF('MOVIMENTI 2026'!$B$7:$B$4206,$C132,'MOVIMENTI 2026'!$J$7:$J$4206)+SUMIF('SALDI AL 31.12.2025'!$A$6:$A$505,$C132,'SALDI AL 31.12.2025'!$D$6:$D$505))</f>
        <v/>
      </c>
      <c r="BC132" t="str">
        <f>IF($C132="","",SUMIF('MOVIMENTI 2026'!$B$7:$B$4206,$C132,'MOVIMENTI 2026'!$K$7:$K$4206)+SUMIF('SALDI AL 31.12.2025'!$A$6:$A$505,$C132,'SALDI AL 31.12.2025'!$E$6:$E$505))</f>
        <v/>
      </c>
      <c r="BD132" t="str">
        <f>IF($C132="","",SUMIF('MOVIMENTI 2026'!$B$7:$B$4206,$C132,'MOVIMENTI 2026'!$L$7:$L$4206)+SUMIF('SALDI AL 31.12.2025'!$A$6:$A$505,$C132,'SALDI AL 31.12.2025'!$F$6:$F$505))</f>
        <v/>
      </c>
      <c r="BE132" t="str">
        <f t="shared" si="38"/>
        <v/>
      </c>
      <c r="BF132" t="str">
        <f t="shared" si="39"/>
        <v/>
      </c>
      <c r="BG132" t="str">
        <f t="shared" si="40"/>
        <v/>
      </c>
      <c r="BH132" t="str">
        <f>IFERROR(IF(OR($C132="",ANAGRAFICA!$I129="",ANAGRAFICA!$J129="",ANAGRAFICA!$J129&lt;=ANAGRAFICA!$I129,$Y132=""),"",IF(OR($I132="Finito ritenute non previste",$I132="Finito con sblocco ritenute",$I132="Finito senza sblocco ritenute"),1,MAX(0,MIN(1,($Y132-ANAGRAFICA!$I129)/(ANAGRAFICA!$J129-ANAGRAFICA!$I129))))),"")</f>
        <v/>
      </c>
      <c r="BI132" t="str">
        <f t="shared" si="41"/>
        <v/>
      </c>
      <c r="BJ132" t="str">
        <f>IFERROR(IF($C132="","",'BUDGET COMMESSA'!$D129),"")</f>
        <v/>
      </c>
      <c r="BK132" t="str">
        <f>IF($C132="","",SUMIF('MOVIMENTI 2026'!$B$7:$B$4206,$C132,'MOVIMENTI 2026'!$N$7:$N$4206)+SUMIF('SALDI AL 31.12.2025'!$A$6:$A$505,$C132,'SALDI AL 31.12.2025'!$H$6:$H$505))</f>
        <v/>
      </c>
      <c r="BL132" t="str">
        <f t="shared" si="42"/>
        <v/>
      </c>
      <c r="BM132" t="str">
        <f t="shared" si="43"/>
        <v/>
      </c>
      <c r="BN132" t="str">
        <f t="shared" si="44"/>
        <v/>
      </c>
      <c r="BO132" t="str">
        <f>IFERROR(IF($C132="","",'BUDGET COMMESSA'!$G129),"")</f>
        <v/>
      </c>
      <c r="BP132" t="str">
        <f>IF($C132="","",SUMIF('COSTI DIRETTI'!$C$6:$C$505,$C132,'COSTI DIRETTI'!$H$6:$H$505)+SUMIF('SALDI AL 31.12.2025'!$A$6:$A$505,$C132,'SALDI AL 31.12.2025'!$I$6:$I$505))</f>
        <v/>
      </c>
      <c r="BQ132" t="str">
        <f t="shared" si="45"/>
        <v/>
      </c>
      <c r="BR132" t="str">
        <f t="shared" si="46"/>
        <v/>
      </c>
      <c r="BS132" t="str">
        <f>IF($C132="","",$BK132*PARAMETRI!$B$4+$BP132)</f>
        <v/>
      </c>
      <c r="BT132">
        <f t="shared" si="47"/>
        <v>0</v>
      </c>
      <c r="BU132">
        <f t="shared" si="48"/>
        <v>0</v>
      </c>
      <c r="BV132" t="str">
        <f>IF($C132="","",SUMIF('MOVIMENTI 2026'!$B$7:$B$4206,$C132,'MOVIMENTI 2026'!$P$7:$P$4206)+SUMIF('SALDI AL 31.12.2025'!$A$6:$A$505,$C132,'SALDI AL 31.12.2025'!$G$6:$G$505))</f>
        <v/>
      </c>
    </row>
    <row r="133" spans="1:74" ht="16" x14ac:dyDescent="0.15">
      <c r="A133" s="17" t="str">
        <f>IFERROR(IF($C133="","",IF(OR($BF133&gt;0,$V133&gt;$J133,AND(ISNUMBER($Q133),$Q133&gt;0),AND($BI133&lt;&gt;"",$BI133&lt;-PARAMETRI!$B$6),AND($BM133&lt;&gt;"",$BM133&gt;=1),AND($BN133&lt;&gt;"",$BN133&gt;PARAMETRI!$B$8),AND(ISNUMBER($BR133),$BR133&gt;0)),"CRITICO",IF(OR($AZ133="",LEFT($C133,5)="TEMP",$BJ133="",$BO133="",ANAGRAFICA!$I130="",ANAGRAFICA!$J130="",$Y133="",AND(OR($I133="Finito ritenute non previste",$I133="Finito con sblocco ritenute",$I133="Finito senza sblocco ritenute"),ANAGRAFICA!$K130=""),OR(AND(ANAGRAFICA!$T130&lt;&gt;"",ANAGRAFICA!$J130&lt;&gt;ANAGRAFICA!$T130,OR(ANAGRAFICA!$R130="",ANAGRAFICA!$R130="Nessuna variazione")),AND(ANAGRAFICA!$J130="",ANAGRAFICA!$R130&lt;&gt;"",ANAGRAFICA!$R130&lt;&gt;"Nessuna variazione")),AND($BI133&lt;&gt;"",$BI133&lt;-PARAMETRI!$B$5),AND($BN133&lt;&gt;"",$BN133&gt;PARAMETRI!$B$7),AND($W133&gt;0,$M133&gt;$W133*PARAMETRI!$B$9),AND($O133&gt;0,OR($I133="Finito ritenute non previste",$I133="Finito con sblocco ritenute",$I133="Finito senza sblocco ritenute")),AND($BA133&gt;0,$BO133&gt;0,$BP133=0),AND(OR($I133="Finito ritenute non previste",$I133="Finito con sblocco ritenute",$I133="Finito senza sblocco ritenute"),$W133&gt;0,$N133&gt;$W133*PARAMETRI!$B$9),$V133&gt;0),"ATTENZIONE","REGOLARE"))),"ATTENZIONE")</f>
        <v/>
      </c>
      <c r="B133" s="17" t="str">
        <f>IFERROR(IF($C133="","",IF($BF133&gt;0,"FATTURATO OLTRE VALORE RECUPERABILE; ","")&amp;IF($V133&gt;$J133,"PERDITE ACCETTATE OLTRE CONTRATTO; ","")&amp;IF($V133&gt;0,"PERDITA SAL ACCETTATA (€ "&amp;TEXT($V133,"#,##0.00")&amp;"); ","")&amp;IF(AND(ISNUMBER($Q133),$Q133&gt;0),"RITARDO PRODUTTIVO ("&amp;TEXT($Q133,"0")&amp;" GG); ","")&amp;IF(AND($BI133&lt;&gt;"",$BI133&lt;-PARAMETRI!$B$5),"AVANZAMENTO PIÙ LENTO DEL TEMPO; ","")&amp;IF(AND($BM133&lt;&gt;"",$BM133&gt;1),"ORE OLTRE BUDGET; ","")&amp;IF(AND($BM133&lt;&gt;"",$BM133=1),"ORE PREVENTIVATE ESAURITE; ","")&amp;IF(AND($BN133&lt;&gt;"",$BN133&gt;PARAMETRI!$B$7),"CONSUMO ORE SUPERIORE ALL'AVANZAMENTO; ","")&amp;IF(AND(ISNUMBER($BR133),$BR133&gt;0),"COSTI DIRETTI OLTRE BUDGET; ","")&amp;IF(AND($W133&gt;0,$M133&gt;$W133*PARAMETRI!$B$9),"SAL MATURATO NON FATTURATO; ","")&amp;IF(AND($O133&gt;0,OR($I133="Finito ritenute non previste",$I133="Finito con sblocco ritenute",$I133="Finito senza sblocco ritenute")),"RITENUTE DA SBLOCCARE; ","")&amp;IF(AND($BA133&gt;0,$BO133&gt;0,$BP133=0),"COSTI DIRETTI NON REGISTRATI; ","")&amp;IF(AND(OR($I133="Finito ritenute non previste",$I133="Finito con sblocco ritenute",$I133="Finito senza sblocco ritenute"),$W133&gt;0,$N133&gt;$W133*PARAMETRI!$B$9),"CANTIERE FINITO CON RESIDUO LAVORI; ","")&amp;IF(AND(OR($I133="Finito ritenute non previste",$I133="Finito con sblocco ritenute",$I133="Finito senza sblocco ritenute"),ANAGRAFICA!$K130=""),"DATA FINE EFFETTIVA MANCANTE; ","")&amp;IF(OR(AND(ANAGRAFICA!$T130&lt;&gt;"",ANAGRAFICA!$J130&lt;&gt;ANAGRAFICA!$T130,OR(ANAGRAFICA!$R130="",ANAGRAFICA!$R130="Nessuna variazione")),AND(ANAGRAFICA!$J130="",ANAGRAFICA!$R130&lt;&gt;"",ANAGRAFICA!$R130&lt;&gt;"Nessuna variazione")),"GESTIONE DATA FINE INCOMPLETA; ","")&amp;IF($Y133="","AGGIORNATO AL MANCANTE; ","")&amp;IF(OR($AZ133="",$BJ133="",$BO133="",ANAGRAFICA!$I130="",ANAGRAFICA!$J130=""),"DATI PREVISIONALI INCOMPLETI; ","")&amp;IF(LEFT($C133,5)="TEMP","CODICE COMMESSA TEMPORANEO; ","")),"DATI INCOMPLETI; ")</f>
        <v/>
      </c>
      <c r="C133" s="17" t="str">
        <f>IF(ANAGRAFICA!$B130="","",ANAGRAFICA!$B130)</f>
        <v/>
      </c>
      <c r="D133" s="17" t="str">
        <f>IF($C133="","",ANAGRAFICA!$C130)</f>
        <v/>
      </c>
      <c r="E133" s="17" t="str">
        <f>IF($C133="","",ANAGRAFICA!$D130)</f>
        <v/>
      </c>
      <c r="F133" s="17" t="str">
        <f>IF($C133="","",ANAGRAFICA!$E130)</f>
        <v/>
      </c>
      <c r="G133" s="17" t="str">
        <f>IF($C133="","",ANAGRAFICA!$F130)</f>
        <v/>
      </c>
      <c r="H133" s="17" t="str">
        <f>IF($C133="","",ANAGRAFICA!$G130)</f>
        <v/>
      </c>
      <c r="I133" s="17" t="str">
        <f>IF($C133="","",ANAGRAFICA!$L130)</f>
        <v/>
      </c>
      <c r="J133" s="16" t="str">
        <f t="shared" si="25"/>
        <v/>
      </c>
      <c r="K133" s="16" t="str">
        <f t="shared" si="26"/>
        <v/>
      </c>
      <c r="L133" s="16" t="str">
        <f t="shared" si="27"/>
        <v/>
      </c>
      <c r="M133" s="16" t="str">
        <f t="shared" si="28"/>
        <v/>
      </c>
      <c r="N133" s="16" t="str">
        <f t="shared" si="29"/>
        <v/>
      </c>
      <c r="O133" s="16" t="str">
        <f t="shared" si="30"/>
        <v/>
      </c>
      <c r="P133" s="17" t="str">
        <f t="shared" si="31"/>
        <v/>
      </c>
      <c r="Q133" s="31" t="str">
        <f>IF(OR($C133="",'BUDGET COMMESSA'!$D130="",'BUDGET COMMESSA'!$D130&lt;=0,ANAGRAFICA!$J130=""),"",IF(OR($I133="Finito ritenute non previste",$I133="Finito con sblocco ritenute",$I133="Finito senza sblocco ritenute"),0,IF(AND($BK133&gt;=$BJ133,ANAGRAFICA!$R130="Ritardo produttivo FIDA"),IF(ANAGRAFICA!$T130&lt;&gt;"",MAX(0,ANAGRAFICA!$J130-ANAGRAFICA!$T130),MAX(0,$Y133-ANAGRAFICA!$J130)),0)))</f>
        <v/>
      </c>
      <c r="R133" s="17" t="str">
        <f t="shared" si="32"/>
        <v/>
      </c>
      <c r="S133" s="17" t="str">
        <f t="shared" si="33"/>
        <v/>
      </c>
      <c r="T133" s="17" t="str">
        <f t="shared" si="34"/>
        <v/>
      </c>
      <c r="U133" s="16" t="str">
        <f t="shared" si="35"/>
        <v/>
      </c>
      <c r="V133" s="16" t="str">
        <f t="shared" si="36"/>
        <v/>
      </c>
      <c r="W133" s="16" t="str">
        <f t="shared" si="37"/>
        <v/>
      </c>
      <c r="X133" s="40"/>
      <c r="Y133" s="14"/>
      <c r="AZ133" t="str">
        <f>IF($C133="","",ANAGRAFICA!$P130)</f>
        <v/>
      </c>
      <c r="BA133" t="str">
        <f>IF($C133="","",SUMIF('MOVIMENTI 2026'!$B$7:$B$4206,$C133,'MOVIMENTI 2026'!$I$7:$I$4206)+SUMIF('SALDI AL 31.12.2025'!$A$6:$A$505,$C133,'SALDI AL 31.12.2025'!$C$6:$C$505))</f>
        <v/>
      </c>
      <c r="BB133" t="str">
        <f>IF($C133="","",SUMIF('MOVIMENTI 2026'!$B$7:$B$4206,$C133,'MOVIMENTI 2026'!$J$7:$J$4206)+SUMIF('SALDI AL 31.12.2025'!$A$6:$A$505,$C133,'SALDI AL 31.12.2025'!$D$6:$D$505))</f>
        <v/>
      </c>
      <c r="BC133" t="str">
        <f>IF($C133="","",SUMIF('MOVIMENTI 2026'!$B$7:$B$4206,$C133,'MOVIMENTI 2026'!$K$7:$K$4206)+SUMIF('SALDI AL 31.12.2025'!$A$6:$A$505,$C133,'SALDI AL 31.12.2025'!$E$6:$E$505))</f>
        <v/>
      </c>
      <c r="BD133" t="str">
        <f>IF($C133="","",SUMIF('MOVIMENTI 2026'!$B$7:$B$4206,$C133,'MOVIMENTI 2026'!$L$7:$L$4206)+SUMIF('SALDI AL 31.12.2025'!$A$6:$A$505,$C133,'SALDI AL 31.12.2025'!$F$6:$F$505))</f>
        <v/>
      </c>
      <c r="BE133" t="str">
        <f t="shared" si="38"/>
        <v/>
      </c>
      <c r="BF133" t="str">
        <f t="shared" si="39"/>
        <v/>
      </c>
      <c r="BG133" t="str">
        <f t="shared" si="40"/>
        <v/>
      </c>
      <c r="BH133" t="str">
        <f>IFERROR(IF(OR($C133="",ANAGRAFICA!$I130="",ANAGRAFICA!$J130="",ANAGRAFICA!$J130&lt;=ANAGRAFICA!$I130,$Y133=""),"",IF(OR($I133="Finito ritenute non previste",$I133="Finito con sblocco ritenute",$I133="Finito senza sblocco ritenute"),1,MAX(0,MIN(1,($Y133-ANAGRAFICA!$I130)/(ANAGRAFICA!$J130-ANAGRAFICA!$I130))))),"")</f>
        <v/>
      </c>
      <c r="BI133" t="str">
        <f t="shared" si="41"/>
        <v/>
      </c>
      <c r="BJ133" t="str">
        <f>IFERROR(IF($C133="","",'BUDGET COMMESSA'!$D130),"")</f>
        <v/>
      </c>
      <c r="BK133" t="str">
        <f>IF($C133="","",SUMIF('MOVIMENTI 2026'!$B$7:$B$4206,$C133,'MOVIMENTI 2026'!$N$7:$N$4206)+SUMIF('SALDI AL 31.12.2025'!$A$6:$A$505,$C133,'SALDI AL 31.12.2025'!$H$6:$H$505))</f>
        <v/>
      </c>
      <c r="BL133" t="str">
        <f t="shared" si="42"/>
        <v/>
      </c>
      <c r="BM133" t="str">
        <f t="shared" si="43"/>
        <v/>
      </c>
      <c r="BN133" t="str">
        <f t="shared" si="44"/>
        <v/>
      </c>
      <c r="BO133" t="str">
        <f>IFERROR(IF($C133="","",'BUDGET COMMESSA'!$G130),"")</f>
        <v/>
      </c>
      <c r="BP133" t="str">
        <f>IF($C133="","",SUMIF('COSTI DIRETTI'!$C$6:$C$505,$C133,'COSTI DIRETTI'!$H$6:$H$505)+SUMIF('SALDI AL 31.12.2025'!$A$6:$A$505,$C133,'SALDI AL 31.12.2025'!$I$6:$I$505))</f>
        <v/>
      </c>
      <c r="BQ133" t="str">
        <f t="shared" si="45"/>
        <v/>
      </c>
      <c r="BR133" t="str">
        <f t="shared" si="46"/>
        <v/>
      </c>
      <c r="BS133" t="str">
        <f>IF($C133="","",$BK133*PARAMETRI!$B$4+$BP133)</f>
        <v/>
      </c>
      <c r="BT133">
        <f t="shared" si="47"/>
        <v>0</v>
      </c>
      <c r="BU133">
        <f t="shared" si="48"/>
        <v>0</v>
      </c>
      <c r="BV133" t="str">
        <f>IF($C133="","",SUMIF('MOVIMENTI 2026'!$B$7:$B$4206,$C133,'MOVIMENTI 2026'!$P$7:$P$4206)+SUMIF('SALDI AL 31.12.2025'!$A$6:$A$505,$C133,'SALDI AL 31.12.2025'!$G$6:$G$505))</f>
        <v/>
      </c>
    </row>
    <row r="134" spans="1:74" ht="16" x14ac:dyDescent="0.15">
      <c r="A134" s="17" t="str">
        <f>IFERROR(IF($C134="","",IF(OR($BF134&gt;0,$V134&gt;$J134,AND(ISNUMBER($Q134),$Q134&gt;0),AND($BI134&lt;&gt;"",$BI134&lt;-PARAMETRI!$B$6),AND($BM134&lt;&gt;"",$BM134&gt;=1),AND($BN134&lt;&gt;"",$BN134&gt;PARAMETRI!$B$8),AND(ISNUMBER($BR134),$BR134&gt;0)),"CRITICO",IF(OR($AZ134="",LEFT($C134,5)="TEMP",$BJ134="",$BO134="",ANAGRAFICA!$I131="",ANAGRAFICA!$J131="",$Y134="",AND(OR($I134="Finito ritenute non previste",$I134="Finito con sblocco ritenute",$I134="Finito senza sblocco ritenute"),ANAGRAFICA!$K131=""),OR(AND(ANAGRAFICA!$T131&lt;&gt;"",ANAGRAFICA!$J131&lt;&gt;ANAGRAFICA!$T131,OR(ANAGRAFICA!$R131="",ANAGRAFICA!$R131="Nessuna variazione")),AND(ANAGRAFICA!$J131="",ANAGRAFICA!$R131&lt;&gt;"",ANAGRAFICA!$R131&lt;&gt;"Nessuna variazione")),AND($BI134&lt;&gt;"",$BI134&lt;-PARAMETRI!$B$5),AND($BN134&lt;&gt;"",$BN134&gt;PARAMETRI!$B$7),AND($W134&gt;0,$M134&gt;$W134*PARAMETRI!$B$9),AND($O134&gt;0,OR($I134="Finito ritenute non previste",$I134="Finito con sblocco ritenute",$I134="Finito senza sblocco ritenute")),AND($BA134&gt;0,$BO134&gt;0,$BP134=0),AND(OR($I134="Finito ritenute non previste",$I134="Finito con sblocco ritenute",$I134="Finito senza sblocco ritenute"),$W134&gt;0,$N134&gt;$W134*PARAMETRI!$B$9),$V134&gt;0),"ATTENZIONE","REGOLARE"))),"ATTENZIONE")</f>
        <v/>
      </c>
      <c r="B134" s="17" t="str">
        <f>IFERROR(IF($C134="","",IF($BF134&gt;0,"FATTURATO OLTRE VALORE RECUPERABILE; ","")&amp;IF($V134&gt;$J134,"PERDITE ACCETTATE OLTRE CONTRATTO; ","")&amp;IF($V134&gt;0,"PERDITA SAL ACCETTATA (€ "&amp;TEXT($V134,"#,##0.00")&amp;"); ","")&amp;IF(AND(ISNUMBER($Q134),$Q134&gt;0),"RITARDO PRODUTTIVO ("&amp;TEXT($Q134,"0")&amp;" GG); ","")&amp;IF(AND($BI134&lt;&gt;"",$BI134&lt;-PARAMETRI!$B$5),"AVANZAMENTO PIÙ LENTO DEL TEMPO; ","")&amp;IF(AND($BM134&lt;&gt;"",$BM134&gt;1),"ORE OLTRE BUDGET; ","")&amp;IF(AND($BM134&lt;&gt;"",$BM134=1),"ORE PREVENTIVATE ESAURITE; ","")&amp;IF(AND($BN134&lt;&gt;"",$BN134&gt;PARAMETRI!$B$7),"CONSUMO ORE SUPERIORE ALL'AVANZAMENTO; ","")&amp;IF(AND(ISNUMBER($BR134),$BR134&gt;0),"COSTI DIRETTI OLTRE BUDGET; ","")&amp;IF(AND($W134&gt;0,$M134&gt;$W134*PARAMETRI!$B$9),"SAL MATURATO NON FATTURATO; ","")&amp;IF(AND($O134&gt;0,OR($I134="Finito ritenute non previste",$I134="Finito con sblocco ritenute",$I134="Finito senza sblocco ritenute")),"RITENUTE DA SBLOCCARE; ","")&amp;IF(AND($BA134&gt;0,$BO134&gt;0,$BP134=0),"COSTI DIRETTI NON REGISTRATI; ","")&amp;IF(AND(OR($I134="Finito ritenute non previste",$I134="Finito con sblocco ritenute",$I134="Finito senza sblocco ritenute"),$W134&gt;0,$N134&gt;$W134*PARAMETRI!$B$9),"CANTIERE FINITO CON RESIDUO LAVORI; ","")&amp;IF(AND(OR($I134="Finito ritenute non previste",$I134="Finito con sblocco ritenute",$I134="Finito senza sblocco ritenute"),ANAGRAFICA!$K131=""),"DATA FINE EFFETTIVA MANCANTE; ","")&amp;IF(OR(AND(ANAGRAFICA!$T131&lt;&gt;"",ANAGRAFICA!$J131&lt;&gt;ANAGRAFICA!$T131,OR(ANAGRAFICA!$R131="",ANAGRAFICA!$R131="Nessuna variazione")),AND(ANAGRAFICA!$J131="",ANAGRAFICA!$R131&lt;&gt;"",ANAGRAFICA!$R131&lt;&gt;"Nessuna variazione")),"GESTIONE DATA FINE INCOMPLETA; ","")&amp;IF($Y134="","AGGIORNATO AL MANCANTE; ","")&amp;IF(OR($AZ134="",$BJ134="",$BO134="",ANAGRAFICA!$I131="",ANAGRAFICA!$J131=""),"DATI PREVISIONALI INCOMPLETI; ","")&amp;IF(LEFT($C134,5)="TEMP","CODICE COMMESSA TEMPORANEO; ","")),"DATI INCOMPLETI; ")</f>
        <v/>
      </c>
      <c r="C134" s="17" t="str">
        <f>IF(ANAGRAFICA!$B131="","",ANAGRAFICA!$B131)</f>
        <v/>
      </c>
      <c r="D134" s="17" t="str">
        <f>IF($C134="","",ANAGRAFICA!$C131)</f>
        <v/>
      </c>
      <c r="E134" s="17" t="str">
        <f>IF($C134="","",ANAGRAFICA!$D131)</f>
        <v/>
      </c>
      <c r="F134" s="17" t="str">
        <f>IF($C134="","",ANAGRAFICA!$E131)</f>
        <v/>
      </c>
      <c r="G134" s="17" t="str">
        <f>IF($C134="","",ANAGRAFICA!$F131)</f>
        <v/>
      </c>
      <c r="H134" s="17" t="str">
        <f>IF($C134="","",ANAGRAFICA!$G131)</f>
        <v/>
      </c>
      <c r="I134" s="17" t="str">
        <f>IF($C134="","",ANAGRAFICA!$L131)</f>
        <v/>
      </c>
      <c r="J134" s="16" t="str">
        <f t="shared" si="25"/>
        <v/>
      </c>
      <c r="K134" s="16" t="str">
        <f t="shared" si="26"/>
        <v/>
      </c>
      <c r="L134" s="16" t="str">
        <f t="shared" si="27"/>
        <v/>
      </c>
      <c r="M134" s="16" t="str">
        <f t="shared" si="28"/>
        <v/>
      </c>
      <c r="N134" s="16" t="str">
        <f t="shared" si="29"/>
        <v/>
      </c>
      <c r="O134" s="16" t="str">
        <f t="shared" si="30"/>
        <v/>
      </c>
      <c r="P134" s="17" t="str">
        <f t="shared" si="31"/>
        <v/>
      </c>
      <c r="Q134" s="31" t="str">
        <f>IF(OR($C134="",'BUDGET COMMESSA'!$D131="",'BUDGET COMMESSA'!$D131&lt;=0,ANAGRAFICA!$J131=""),"",IF(OR($I134="Finito ritenute non previste",$I134="Finito con sblocco ritenute",$I134="Finito senza sblocco ritenute"),0,IF(AND($BK134&gt;=$BJ134,ANAGRAFICA!$R131="Ritardo produttivo FIDA"),IF(ANAGRAFICA!$T131&lt;&gt;"",MAX(0,ANAGRAFICA!$J131-ANAGRAFICA!$T131),MAX(0,$Y134-ANAGRAFICA!$J131)),0)))</f>
        <v/>
      </c>
      <c r="R134" s="17" t="str">
        <f t="shared" si="32"/>
        <v/>
      </c>
      <c r="S134" s="17" t="str">
        <f t="shared" si="33"/>
        <v/>
      </c>
      <c r="T134" s="17" t="str">
        <f t="shared" si="34"/>
        <v/>
      </c>
      <c r="U134" s="16" t="str">
        <f t="shared" si="35"/>
        <v/>
      </c>
      <c r="V134" s="16" t="str">
        <f t="shared" si="36"/>
        <v/>
      </c>
      <c r="W134" s="16" t="str">
        <f t="shared" si="37"/>
        <v/>
      </c>
      <c r="X134" s="40"/>
      <c r="Y134" s="14"/>
      <c r="AZ134" t="str">
        <f>IF($C134="","",ANAGRAFICA!$P131)</f>
        <v/>
      </c>
      <c r="BA134" t="str">
        <f>IF($C134="","",SUMIF('MOVIMENTI 2026'!$B$7:$B$4206,$C134,'MOVIMENTI 2026'!$I$7:$I$4206)+SUMIF('SALDI AL 31.12.2025'!$A$6:$A$505,$C134,'SALDI AL 31.12.2025'!$C$6:$C$505))</f>
        <v/>
      </c>
      <c r="BB134" t="str">
        <f>IF($C134="","",SUMIF('MOVIMENTI 2026'!$B$7:$B$4206,$C134,'MOVIMENTI 2026'!$J$7:$J$4206)+SUMIF('SALDI AL 31.12.2025'!$A$6:$A$505,$C134,'SALDI AL 31.12.2025'!$D$6:$D$505))</f>
        <v/>
      </c>
      <c r="BC134" t="str">
        <f>IF($C134="","",SUMIF('MOVIMENTI 2026'!$B$7:$B$4206,$C134,'MOVIMENTI 2026'!$K$7:$K$4206)+SUMIF('SALDI AL 31.12.2025'!$A$6:$A$505,$C134,'SALDI AL 31.12.2025'!$E$6:$E$505))</f>
        <v/>
      </c>
      <c r="BD134" t="str">
        <f>IF($C134="","",SUMIF('MOVIMENTI 2026'!$B$7:$B$4206,$C134,'MOVIMENTI 2026'!$L$7:$L$4206)+SUMIF('SALDI AL 31.12.2025'!$A$6:$A$505,$C134,'SALDI AL 31.12.2025'!$F$6:$F$505))</f>
        <v/>
      </c>
      <c r="BE134" t="str">
        <f t="shared" si="38"/>
        <v/>
      </c>
      <c r="BF134" t="str">
        <f t="shared" si="39"/>
        <v/>
      </c>
      <c r="BG134" t="str">
        <f t="shared" si="40"/>
        <v/>
      </c>
      <c r="BH134" t="str">
        <f>IFERROR(IF(OR($C134="",ANAGRAFICA!$I131="",ANAGRAFICA!$J131="",ANAGRAFICA!$J131&lt;=ANAGRAFICA!$I131,$Y134=""),"",IF(OR($I134="Finito ritenute non previste",$I134="Finito con sblocco ritenute",$I134="Finito senza sblocco ritenute"),1,MAX(0,MIN(1,($Y134-ANAGRAFICA!$I131)/(ANAGRAFICA!$J131-ANAGRAFICA!$I131))))),"")</f>
        <v/>
      </c>
      <c r="BI134" t="str">
        <f t="shared" si="41"/>
        <v/>
      </c>
      <c r="BJ134" t="str">
        <f>IFERROR(IF($C134="","",'BUDGET COMMESSA'!$D131),"")</f>
        <v/>
      </c>
      <c r="BK134" t="str">
        <f>IF($C134="","",SUMIF('MOVIMENTI 2026'!$B$7:$B$4206,$C134,'MOVIMENTI 2026'!$N$7:$N$4206)+SUMIF('SALDI AL 31.12.2025'!$A$6:$A$505,$C134,'SALDI AL 31.12.2025'!$H$6:$H$505))</f>
        <v/>
      </c>
      <c r="BL134" t="str">
        <f t="shared" si="42"/>
        <v/>
      </c>
      <c r="BM134" t="str">
        <f t="shared" si="43"/>
        <v/>
      </c>
      <c r="BN134" t="str">
        <f t="shared" si="44"/>
        <v/>
      </c>
      <c r="BO134" t="str">
        <f>IFERROR(IF($C134="","",'BUDGET COMMESSA'!$G131),"")</f>
        <v/>
      </c>
      <c r="BP134" t="str">
        <f>IF($C134="","",SUMIF('COSTI DIRETTI'!$C$6:$C$505,$C134,'COSTI DIRETTI'!$H$6:$H$505)+SUMIF('SALDI AL 31.12.2025'!$A$6:$A$505,$C134,'SALDI AL 31.12.2025'!$I$6:$I$505))</f>
        <v/>
      </c>
      <c r="BQ134" t="str">
        <f t="shared" si="45"/>
        <v/>
      </c>
      <c r="BR134" t="str">
        <f t="shared" si="46"/>
        <v/>
      </c>
      <c r="BS134" t="str">
        <f>IF($C134="","",$BK134*PARAMETRI!$B$4+$BP134)</f>
        <v/>
      </c>
      <c r="BT134">
        <f t="shared" si="47"/>
        <v>0</v>
      </c>
      <c r="BU134">
        <f t="shared" si="48"/>
        <v>0</v>
      </c>
      <c r="BV134" t="str">
        <f>IF($C134="","",SUMIF('MOVIMENTI 2026'!$B$7:$B$4206,$C134,'MOVIMENTI 2026'!$P$7:$P$4206)+SUMIF('SALDI AL 31.12.2025'!$A$6:$A$505,$C134,'SALDI AL 31.12.2025'!$G$6:$G$505))</f>
        <v/>
      </c>
    </row>
    <row r="135" spans="1:74" ht="16" x14ac:dyDescent="0.15">
      <c r="A135" s="17" t="str">
        <f>IFERROR(IF($C135="","",IF(OR($BF135&gt;0,$V135&gt;$J135,AND(ISNUMBER($Q135),$Q135&gt;0),AND($BI135&lt;&gt;"",$BI135&lt;-PARAMETRI!$B$6),AND($BM135&lt;&gt;"",$BM135&gt;=1),AND($BN135&lt;&gt;"",$BN135&gt;PARAMETRI!$B$8),AND(ISNUMBER($BR135),$BR135&gt;0)),"CRITICO",IF(OR($AZ135="",LEFT($C135,5)="TEMP",$BJ135="",$BO135="",ANAGRAFICA!$I132="",ANAGRAFICA!$J132="",$Y135="",AND(OR($I135="Finito ritenute non previste",$I135="Finito con sblocco ritenute",$I135="Finito senza sblocco ritenute"),ANAGRAFICA!$K132=""),OR(AND(ANAGRAFICA!$T132&lt;&gt;"",ANAGRAFICA!$J132&lt;&gt;ANAGRAFICA!$T132,OR(ANAGRAFICA!$R132="",ANAGRAFICA!$R132="Nessuna variazione")),AND(ANAGRAFICA!$J132="",ANAGRAFICA!$R132&lt;&gt;"",ANAGRAFICA!$R132&lt;&gt;"Nessuna variazione")),AND($BI135&lt;&gt;"",$BI135&lt;-PARAMETRI!$B$5),AND($BN135&lt;&gt;"",$BN135&gt;PARAMETRI!$B$7),AND($W135&gt;0,$M135&gt;$W135*PARAMETRI!$B$9),AND($O135&gt;0,OR($I135="Finito ritenute non previste",$I135="Finito con sblocco ritenute",$I135="Finito senza sblocco ritenute")),AND($BA135&gt;0,$BO135&gt;0,$BP135=0),AND(OR($I135="Finito ritenute non previste",$I135="Finito con sblocco ritenute",$I135="Finito senza sblocco ritenute"),$W135&gt;0,$N135&gt;$W135*PARAMETRI!$B$9),$V135&gt;0),"ATTENZIONE","REGOLARE"))),"ATTENZIONE")</f>
        <v/>
      </c>
      <c r="B135" s="17" t="str">
        <f>IFERROR(IF($C135="","",IF($BF135&gt;0,"FATTURATO OLTRE VALORE RECUPERABILE; ","")&amp;IF($V135&gt;$J135,"PERDITE ACCETTATE OLTRE CONTRATTO; ","")&amp;IF($V135&gt;0,"PERDITA SAL ACCETTATA (€ "&amp;TEXT($V135,"#,##0.00")&amp;"); ","")&amp;IF(AND(ISNUMBER($Q135),$Q135&gt;0),"RITARDO PRODUTTIVO ("&amp;TEXT($Q135,"0")&amp;" GG); ","")&amp;IF(AND($BI135&lt;&gt;"",$BI135&lt;-PARAMETRI!$B$5),"AVANZAMENTO PIÙ LENTO DEL TEMPO; ","")&amp;IF(AND($BM135&lt;&gt;"",$BM135&gt;1),"ORE OLTRE BUDGET; ","")&amp;IF(AND($BM135&lt;&gt;"",$BM135=1),"ORE PREVENTIVATE ESAURITE; ","")&amp;IF(AND($BN135&lt;&gt;"",$BN135&gt;PARAMETRI!$B$7),"CONSUMO ORE SUPERIORE ALL'AVANZAMENTO; ","")&amp;IF(AND(ISNUMBER($BR135),$BR135&gt;0),"COSTI DIRETTI OLTRE BUDGET; ","")&amp;IF(AND($W135&gt;0,$M135&gt;$W135*PARAMETRI!$B$9),"SAL MATURATO NON FATTURATO; ","")&amp;IF(AND($O135&gt;0,OR($I135="Finito ritenute non previste",$I135="Finito con sblocco ritenute",$I135="Finito senza sblocco ritenute")),"RITENUTE DA SBLOCCARE; ","")&amp;IF(AND($BA135&gt;0,$BO135&gt;0,$BP135=0),"COSTI DIRETTI NON REGISTRATI; ","")&amp;IF(AND(OR($I135="Finito ritenute non previste",$I135="Finito con sblocco ritenute",$I135="Finito senza sblocco ritenute"),$W135&gt;0,$N135&gt;$W135*PARAMETRI!$B$9),"CANTIERE FINITO CON RESIDUO LAVORI; ","")&amp;IF(AND(OR($I135="Finito ritenute non previste",$I135="Finito con sblocco ritenute",$I135="Finito senza sblocco ritenute"),ANAGRAFICA!$K132=""),"DATA FINE EFFETTIVA MANCANTE; ","")&amp;IF(OR(AND(ANAGRAFICA!$T132&lt;&gt;"",ANAGRAFICA!$J132&lt;&gt;ANAGRAFICA!$T132,OR(ANAGRAFICA!$R132="",ANAGRAFICA!$R132="Nessuna variazione")),AND(ANAGRAFICA!$J132="",ANAGRAFICA!$R132&lt;&gt;"",ANAGRAFICA!$R132&lt;&gt;"Nessuna variazione")),"GESTIONE DATA FINE INCOMPLETA; ","")&amp;IF($Y135="","AGGIORNATO AL MANCANTE; ","")&amp;IF(OR($AZ135="",$BJ135="",$BO135="",ANAGRAFICA!$I132="",ANAGRAFICA!$J132=""),"DATI PREVISIONALI INCOMPLETI; ","")&amp;IF(LEFT($C135,5)="TEMP","CODICE COMMESSA TEMPORANEO; ","")),"DATI INCOMPLETI; ")</f>
        <v/>
      </c>
      <c r="C135" s="17" t="str">
        <f>IF(ANAGRAFICA!$B132="","",ANAGRAFICA!$B132)</f>
        <v/>
      </c>
      <c r="D135" s="17" t="str">
        <f>IF($C135="","",ANAGRAFICA!$C132)</f>
        <v/>
      </c>
      <c r="E135" s="17" t="str">
        <f>IF($C135="","",ANAGRAFICA!$D132)</f>
        <v/>
      </c>
      <c r="F135" s="17" t="str">
        <f>IF($C135="","",ANAGRAFICA!$E132)</f>
        <v/>
      </c>
      <c r="G135" s="17" t="str">
        <f>IF($C135="","",ANAGRAFICA!$F132)</f>
        <v/>
      </c>
      <c r="H135" s="17" t="str">
        <f>IF($C135="","",ANAGRAFICA!$G132)</f>
        <v/>
      </c>
      <c r="I135" s="17" t="str">
        <f>IF($C135="","",ANAGRAFICA!$L132)</f>
        <v/>
      </c>
      <c r="J135" s="16" t="str">
        <f t="shared" si="25"/>
        <v/>
      </c>
      <c r="K135" s="16" t="str">
        <f t="shared" si="26"/>
        <v/>
      </c>
      <c r="L135" s="16" t="str">
        <f t="shared" si="27"/>
        <v/>
      </c>
      <c r="M135" s="16" t="str">
        <f t="shared" si="28"/>
        <v/>
      </c>
      <c r="N135" s="16" t="str">
        <f t="shared" si="29"/>
        <v/>
      </c>
      <c r="O135" s="16" t="str">
        <f t="shared" si="30"/>
        <v/>
      </c>
      <c r="P135" s="17" t="str">
        <f t="shared" si="31"/>
        <v/>
      </c>
      <c r="Q135" s="31" t="str">
        <f>IF(OR($C135="",'BUDGET COMMESSA'!$D132="",'BUDGET COMMESSA'!$D132&lt;=0,ANAGRAFICA!$J132=""),"",IF(OR($I135="Finito ritenute non previste",$I135="Finito con sblocco ritenute",$I135="Finito senza sblocco ritenute"),0,IF(AND($BK135&gt;=$BJ135,ANAGRAFICA!$R132="Ritardo produttivo FIDA"),IF(ANAGRAFICA!$T132&lt;&gt;"",MAX(0,ANAGRAFICA!$J132-ANAGRAFICA!$T132),MAX(0,$Y135-ANAGRAFICA!$J132)),0)))</f>
        <v/>
      </c>
      <c r="R135" s="17" t="str">
        <f t="shared" si="32"/>
        <v/>
      </c>
      <c r="S135" s="17" t="str">
        <f t="shared" si="33"/>
        <v/>
      </c>
      <c r="T135" s="17" t="str">
        <f t="shared" si="34"/>
        <v/>
      </c>
      <c r="U135" s="16" t="str">
        <f t="shared" si="35"/>
        <v/>
      </c>
      <c r="V135" s="16" t="str">
        <f t="shared" si="36"/>
        <v/>
      </c>
      <c r="W135" s="16" t="str">
        <f t="shared" si="37"/>
        <v/>
      </c>
      <c r="X135" s="40"/>
      <c r="Y135" s="14"/>
      <c r="AZ135" t="str">
        <f>IF($C135="","",ANAGRAFICA!$P132)</f>
        <v/>
      </c>
      <c r="BA135" t="str">
        <f>IF($C135="","",SUMIF('MOVIMENTI 2026'!$B$7:$B$4206,$C135,'MOVIMENTI 2026'!$I$7:$I$4206)+SUMIF('SALDI AL 31.12.2025'!$A$6:$A$505,$C135,'SALDI AL 31.12.2025'!$C$6:$C$505))</f>
        <v/>
      </c>
      <c r="BB135" t="str">
        <f>IF($C135="","",SUMIF('MOVIMENTI 2026'!$B$7:$B$4206,$C135,'MOVIMENTI 2026'!$J$7:$J$4206)+SUMIF('SALDI AL 31.12.2025'!$A$6:$A$505,$C135,'SALDI AL 31.12.2025'!$D$6:$D$505))</f>
        <v/>
      </c>
      <c r="BC135" t="str">
        <f>IF($C135="","",SUMIF('MOVIMENTI 2026'!$B$7:$B$4206,$C135,'MOVIMENTI 2026'!$K$7:$K$4206)+SUMIF('SALDI AL 31.12.2025'!$A$6:$A$505,$C135,'SALDI AL 31.12.2025'!$E$6:$E$505))</f>
        <v/>
      </c>
      <c r="BD135" t="str">
        <f>IF($C135="","",SUMIF('MOVIMENTI 2026'!$B$7:$B$4206,$C135,'MOVIMENTI 2026'!$L$7:$L$4206)+SUMIF('SALDI AL 31.12.2025'!$A$6:$A$505,$C135,'SALDI AL 31.12.2025'!$F$6:$F$505))</f>
        <v/>
      </c>
      <c r="BE135" t="str">
        <f t="shared" si="38"/>
        <v/>
      </c>
      <c r="BF135" t="str">
        <f t="shared" si="39"/>
        <v/>
      </c>
      <c r="BG135" t="str">
        <f t="shared" si="40"/>
        <v/>
      </c>
      <c r="BH135" t="str">
        <f>IFERROR(IF(OR($C135="",ANAGRAFICA!$I132="",ANAGRAFICA!$J132="",ANAGRAFICA!$J132&lt;=ANAGRAFICA!$I132,$Y135=""),"",IF(OR($I135="Finito ritenute non previste",$I135="Finito con sblocco ritenute",$I135="Finito senza sblocco ritenute"),1,MAX(0,MIN(1,($Y135-ANAGRAFICA!$I132)/(ANAGRAFICA!$J132-ANAGRAFICA!$I132))))),"")</f>
        <v/>
      </c>
      <c r="BI135" t="str">
        <f t="shared" si="41"/>
        <v/>
      </c>
      <c r="BJ135" t="str">
        <f>IFERROR(IF($C135="","",'BUDGET COMMESSA'!$D132),"")</f>
        <v/>
      </c>
      <c r="BK135" t="str">
        <f>IF($C135="","",SUMIF('MOVIMENTI 2026'!$B$7:$B$4206,$C135,'MOVIMENTI 2026'!$N$7:$N$4206)+SUMIF('SALDI AL 31.12.2025'!$A$6:$A$505,$C135,'SALDI AL 31.12.2025'!$H$6:$H$505))</f>
        <v/>
      </c>
      <c r="BL135" t="str">
        <f t="shared" si="42"/>
        <v/>
      </c>
      <c r="BM135" t="str">
        <f t="shared" si="43"/>
        <v/>
      </c>
      <c r="BN135" t="str">
        <f t="shared" si="44"/>
        <v/>
      </c>
      <c r="BO135" t="str">
        <f>IFERROR(IF($C135="","",'BUDGET COMMESSA'!$G132),"")</f>
        <v/>
      </c>
      <c r="BP135" t="str">
        <f>IF($C135="","",SUMIF('COSTI DIRETTI'!$C$6:$C$505,$C135,'COSTI DIRETTI'!$H$6:$H$505)+SUMIF('SALDI AL 31.12.2025'!$A$6:$A$505,$C135,'SALDI AL 31.12.2025'!$I$6:$I$505))</f>
        <v/>
      </c>
      <c r="BQ135" t="str">
        <f t="shared" si="45"/>
        <v/>
      </c>
      <c r="BR135" t="str">
        <f t="shared" si="46"/>
        <v/>
      </c>
      <c r="BS135" t="str">
        <f>IF($C135="","",$BK135*PARAMETRI!$B$4+$BP135)</f>
        <v/>
      </c>
      <c r="BT135">
        <f t="shared" si="47"/>
        <v>0</v>
      </c>
      <c r="BU135">
        <f t="shared" si="48"/>
        <v>0</v>
      </c>
      <c r="BV135" t="str">
        <f>IF($C135="","",SUMIF('MOVIMENTI 2026'!$B$7:$B$4206,$C135,'MOVIMENTI 2026'!$P$7:$P$4206)+SUMIF('SALDI AL 31.12.2025'!$A$6:$A$505,$C135,'SALDI AL 31.12.2025'!$G$6:$G$505))</f>
        <v/>
      </c>
    </row>
    <row r="136" spans="1:74" ht="16" x14ac:dyDescent="0.15">
      <c r="A136" s="17" t="str">
        <f>IFERROR(IF($C136="","",IF(OR($BF136&gt;0,$V136&gt;$J136,AND(ISNUMBER($Q136),$Q136&gt;0),AND($BI136&lt;&gt;"",$BI136&lt;-PARAMETRI!$B$6),AND($BM136&lt;&gt;"",$BM136&gt;=1),AND($BN136&lt;&gt;"",$BN136&gt;PARAMETRI!$B$8),AND(ISNUMBER($BR136),$BR136&gt;0)),"CRITICO",IF(OR($AZ136="",LEFT($C136,5)="TEMP",$BJ136="",$BO136="",ANAGRAFICA!$I133="",ANAGRAFICA!$J133="",$Y136="",AND(OR($I136="Finito ritenute non previste",$I136="Finito con sblocco ritenute",$I136="Finito senza sblocco ritenute"),ANAGRAFICA!$K133=""),OR(AND(ANAGRAFICA!$T133&lt;&gt;"",ANAGRAFICA!$J133&lt;&gt;ANAGRAFICA!$T133,OR(ANAGRAFICA!$R133="",ANAGRAFICA!$R133="Nessuna variazione")),AND(ANAGRAFICA!$J133="",ANAGRAFICA!$R133&lt;&gt;"",ANAGRAFICA!$R133&lt;&gt;"Nessuna variazione")),AND($BI136&lt;&gt;"",$BI136&lt;-PARAMETRI!$B$5),AND($BN136&lt;&gt;"",$BN136&gt;PARAMETRI!$B$7),AND($W136&gt;0,$M136&gt;$W136*PARAMETRI!$B$9),AND($O136&gt;0,OR($I136="Finito ritenute non previste",$I136="Finito con sblocco ritenute",$I136="Finito senza sblocco ritenute")),AND($BA136&gt;0,$BO136&gt;0,$BP136=0),AND(OR($I136="Finito ritenute non previste",$I136="Finito con sblocco ritenute",$I136="Finito senza sblocco ritenute"),$W136&gt;0,$N136&gt;$W136*PARAMETRI!$B$9),$V136&gt;0),"ATTENZIONE","REGOLARE"))),"ATTENZIONE")</f>
        <v/>
      </c>
      <c r="B136" s="17" t="str">
        <f>IFERROR(IF($C136="","",IF($BF136&gt;0,"FATTURATO OLTRE VALORE RECUPERABILE; ","")&amp;IF($V136&gt;$J136,"PERDITE ACCETTATE OLTRE CONTRATTO; ","")&amp;IF($V136&gt;0,"PERDITA SAL ACCETTATA (€ "&amp;TEXT($V136,"#,##0.00")&amp;"); ","")&amp;IF(AND(ISNUMBER($Q136),$Q136&gt;0),"RITARDO PRODUTTIVO ("&amp;TEXT($Q136,"0")&amp;" GG); ","")&amp;IF(AND($BI136&lt;&gt;"",$BI136&lt;-PARAMETRI!$B$5),"AVANZAMENTO PIÙ LENTO DEL TEMPO; ","")&amp;IF(AND($BM136&lt;&gt;"",$BM136&gt;1),"ORE OLTRE BUDGET; ","")&amp;IF(AND($BM136&lt;&gt;"",$BM136=1),"ORE PREVENTIVATE ESAURITE; ","")&amp;IF(AND($BN136&lt;&gt;"",$BN136&gt;PARAMETRI!$B$7),"CONSUMO ORE SUPERIORE ALL'AVANZAMENTO; ","")&amp;IF(AND(ISNUMBER($BR136),$BR136&gt;0),"COSTI DIRETTI OLTRE BUDGET; ","")&amp;IF(AND($W136&gt;0,$M136&gt;$W136*PARAMETRI!$B$9),"SAL MATURATO NON FATTURATO; ","")&amp;IF(AND($O136&gt;0,OR($I136="Finito ritenute non previste",$I136="Finito con sblocco ritenute",$I136="Finito senza sblocco ritenute")),"RITENUTE DA SBLOCCARE; ","")&amp;IF(AND($BA136&gt;0,$BO136&gt;0,$BP136=0),"COSTI DIRETTI NON REGISTRATI; ","")&amp;IF(AND(OR($I136="Finito ritenute non previste",$I136="Finito con sblocco ritenute",$I136="Finito senza sblocco ritenute"),$W136&gt;0,$N136&gt;$W136*PARAMETRI!$B$9),"CANTIERE FINITO CON RESIDUO LAVORI; ","")&amp;IF(AND(OR($I136="Finito ritenute non previste",$I136="Finito con sblocco ritenute",$I136="Finito senza sblocco ritenute"),ANAGRAFICA!$K133=""),"DATA FINE EFFETTIVA MANCANTE; ","")&amp;IF(OR(AND(ANAGRAFICA!$T133&lt;&gt;"",ANAGRAFICA!$J133&lt;&gt;ANAGRAFICA!$T133,OR(ANAGRAFICA!$R133="",ANAGRAFICA!$R133="Nessuna variazione")),AND(ANAGRAFICA!$J133="",ANAGRAFICA!$R133&lt;&gt;"",ANAGRAFICA!$R133&lt;&gt;"Nessuna variazione")),"GESTIONE DATA FINE INCOMPLETA; ","")&amp;IF($Y136="","AGGIORNATO AL MANCANTE; ","")&amp;IF(OR($AZ136="",$BJ136="",$BO136="",ANAGRAFICA!$I133="",ANAGRAFICA!$J133=""),"DATI PREVISIONALI INCOMPLETI; ","")&amp;IF(LEFT($C136,5)="TEMP","CODICE COMMESSA TEMPORANEO; ","")),"DATI INCOMPLETI; ")</f>
        <v/>
      </c>
      <c r="C136" s="17" t="str">
        <f>IF(ANAGRAFICA!$B133="","",ANAGRAFICA!$B133)</f>
        <v/>
      </c>
      <c r="D136" s="17" t="str">
        <f>IF($C136="","",ANAGRAFICA!$C133)</f>
        <v/>
      </c>
      <c r="E136" s="17" t="str">
        <f>IF($C136="","",ANAGRAFICA!$D133)</f>
        <v/>
      </c>
      <c r="F136" s="17" t="str">
        <f>IF($C136="","",ANAGRAFICA!$E133)</f>
        <v/>
      </c>
      <c r="G136" s="17" t="str">
        <f>IF($C136="","",ANAGRAFICA!$F133)</f>
        <v/>
      </c>
      <c r="H136" s="17" t="str">
        <f>IF($C136="","",ANAGRAFICA!$G133)</f>
        <v/>
      </c>
      <c r="I136" s="17" t="str">
        <f>IF($C136="","",ANAGRAFICA!$L133)</f>
        <v/>
      </c>
      <c r="J136" s="16" t="str">
        <f t="shared" si="25"/>
        <v/>
      </c>
      <c r="K136" s="16" t="str">
        <f t="shared" si="26"/>
        <v/>
      </c>
      <c r="L136" s="16" t="str">
        <f t="shared" si="27"/>
        <v/>
      </c>
      <c r="M136" s="16" t="str">
        <f t="shared" si="28"/>
        <v/>
      </c>
      <c r="N136" s="16" t="str">
        <f t="shared" si="29"/>
        <v/>
      </c>
      <c r="O136" s="16" t="str">
        <f t="shared" si="30"/>
        <v/>
      </c>
      <c r="P136" s="17" t="str">
        <f t="shared" si="31"/>
        <v/>
      </c>
      <c r="Q136" s="31" t="str">
        <f>IF(OR($C136="",'BUDGET COMMESSA'!$D133="",'BUDGET COMMESSA'!$D133&lt;=0,ANAGRAFICA!$J133=""),"",IF(OR($I136="Finito ritenute non previste",$I136="Finito con sblocco ritenute",$I136="Finito senza sblocco ritenute"),0,IF(AND($BK136&gt;=$BJ136,ANAGRAFICA!$R133="Ritardo produttivo FIDA"),IF(ANAGRAFICA!$T133&lt;&gt;"",MAX(0,ANAGRAFICA!$J133-ANAGRAFICA!$T133),MAX(0,$Y136-ANAGRAFICA!$J133)),0)))</f>
        <v/>
      </c>
      <c r="R136" s="17" t="str">
        <f t="shared" si="32"/>
        <v/>
      </c>
      <c r="S136" s="17" t="str">
        <f t="shared" si="33"/>
        <v/>
      </c>
      <c r="T136" s="17" t="str">
        <f t="shared" si="34"/>
        <v/>
      </c>
      <c r="U136" s="16" t="str">
        <f t="shared" si="35"/>
        <v/>
      </c>
      <c r="V136" s="16" t="str">
        <f t="shared" si="36"/>
        <v/>
      </c>
      <c r="W136" s="16" t="str">
        <f t="shared" si="37"/>
        <v/>
      </c>
      <c r="X136" s="40"/>
      <c r="Y136" s="14"/>
      <c r="AZ136" t="str">
        <f>IF($C136="","",ANAGRAFICA!$P133)</f>
        <v/>
      </c>
      <c r="BA136" t="str">
        <f>IF($C136="","",SUMIF('MOVIMENTI 2026'!$B$7:$B$4206,$C136,'MOVIMENTI 2026'!$I$7:$I$4206)+SUMIF('SALDI AL 31.12.2025'!$A$6:$A$505,$C136,'SALDI AL 31.12.2025'!$C$6:$C$505))</f>
        <v/>
      </c>
      <c r="BB136" t="str">
        <f>IF($C136="","",SUMIF('MOVIMENTI 2026'!$B$7:$B$4206,$C136,'MOVIMENTI 2026'!$J$7:$J$4206)+SUMIF('SALDI AL 31.12.2025'!$A$6:$A$505,$C136,'SALDI AL 31.12.2025'!$D$6:$D$505))</f>
        <v/>
      </c>
      <c r="BC136" t="str">
        <f>IF($C136="","",SUMIF('MOVIMENTI 2026'!$B$7:$B$4206,$C136,'MOVIMENTI 2026'!$K$7:$K$4206)+SUMIF('SALDI AL 31.12.2025'!$A$6:$A$505,$C136,'SALDI AL 31.12.2025'!$E$6:$E$505))</f>
        <v/>
      </c>
      <c r="BD136" t="str">
        <f>IF($C136="","",SUMIF('MOVIMENTI 2026'!$B$7:$B$4206,$C136,'MOVIMENTI 2026'!$L$7:$L$4206)+SUMIF('SALDI AL 31.12.2025'!$A$6:$A$505,$C136,'SALDI AL 31.12.2025'!$F$6:$F$505))</f>
        <v/>
      </c>
      <c r="BE136" t="str">
        <f t="shared" si="38"/>
        <v/>
      </c>
      <c r="BF136" t="str">
        <f t="shared" si="39"/>
        <v/>
      </c>
      <c r="BG136" t="str">
        <f t="shared" si="40"/>
        <v/>
      </c>
      <c r="BH136" t="str">
        <f>IFERROR(IF(OR($C136="",ANAGRAFICA!$I133="",ANAGRAFICA!$J133="",ANAGRAFICA!$J133&lt;=ANAGRAFICA!$I133,$Y136=""),"",IF(OR($I136="Finito ritenute non previste",$I136="Finito con sblocco ritenute",$I136="Finito senza sblocco ritenute"),1,MAX(0,MIN(1,($Y136-ANAGRAFICA!$I133)/(ANAGRAFICA!$J133-ANAGRAFICA!$I133))))),"")</f>
        <v/>
      </c>
      <c r="BI136" t="str">
        <f t="shared" si="41"/>
        <v/>
      </c>
      <c r="BJ136" t="str">
        <f>IFERROR(IF($C136="","",'BUDGET COMMESSA'!$D133),"")</f>
        <v/>
      </c>
      <c r="BK136" t="str">
        <f>IF($C136="","",SUMIF('MOVIMENTI 2026'!$B$7:$B$4206,$C136,'MOVIMENTI 2026'!$N$7:$N$4206)+SUMIF('SALDI AL 31.12.2025'!$A$6:$A$505,$C136,'SALDI AL 31.12.2025'!$H$6:$H$505))</f>
        <v/>
      </c>
      <c r="BL136" t="str">
        <f t="shared" si="42"/>
        <v/>
      </c>
      <c r="BM136" t="str">
        <f t="shared" si="43"/>
        <v/>
      </c>
      <c r="BN136" t="str">
        <f t="shared" si="44"/>
        <v/>
      </c>
      <c r="BO136" t="str">
        <f>IFERROR(IF($C136="","",'BUDGET COMMESSA'!$G133),"")</f>
        <v/>
      </c>
      <c r="BP136" t="str">
        <f>IF($C136="","",SUMIF('COSTI DIRETTI'!$C$6:$C$505,$C136,'COSTI DIRETTI'!$H$6:$H$505)+SUMIF('SALDI AL 31.12.2025'!$A$6:$A$505,$C136,'SALDI AL 31.12.2025'!$I$6:$I$505))</f>
        <v/>
      </c>
      <c r="BQ136" t="str">
        <f t="shared" si="45"/>
        <v/>
      </c>
      <c r="BR136" t="str">
        <f t="shared" si="46"/>
        <v/>
      </c>
      <c r="BS136" t="str">
        <f>IF($C136="","",$BK136*PARAMETRI!$B$4+$BP136)</f>
        <v/>
      </c>
      <c r="BT136">
        <f t="shared" si="47"/>
        <v>0</v>
      </c>
      <c r="BU136">
        <f t="shared" si="48"/>
        <v>0</v>
      </c>
      <c r="BV136" t="str">
        <f>IF($C136="","",SUMIF('MOVIMENTI 2026'!$B$7:$B$4206,$C136,'MOVIMENTI 2026'!$P$7:$P$4206)+SUMIF('SALDI AL 31.12.2025'!$A$6:$A$505,$C136,'SALDI AL 31.12.2025'!$G$6:$G$505))</f>
        <v/>
      </c>
    </row>
    <row r="137" spans="1:74" ht="16" x14ac:dyDescent="0.15">
      <c r="A137" s="17" t="str">
        <f>IFERROR(IF($C137="","",IF(OR($BF137&gt;0,$V137&gt;$J137,AND(ISNUMBER($Q137),$Q137&gt;0),AND($BI137&lt;&gt;"",$BI137&lt;-PARAMETRI!$B$6),AND($BM137&lt;&gt;"",$BM137&gt;=1),AND($BN137&lt;&gt;"",$BN137&gt;PARAMETRI!$B$8),AND(ISNUMBER($BR137),$BR137&gt;0)),"CRITICO",IF(OR($AZ137="",LEFT($C137,5)="TEMP",$BJ137="",$BO137="",ANAGRAFICA!$I134="",ANAGRAFICA!$J134="",$Y137="",AND(OR($I137="Finito ritenute non previste",$I137="Finito con sblocco ritenute",$I137="Finito senza sblocco ritenute"),ANAGRAFICA!$K134=""),OR(AND(ANAGRAFICA!$T134&lt;&gt;"",ANAGRAFICA!$J134&lt;&gt;ANAGRAFICA!$T134,OR(ANAGRAFICA!$R134="",ANAGRAFICA!$R134="Nessuna variazione")),AND(ANAGRAFICA!$J134="",ANAGRAFICA!$R134&lt;&gt;"",ANAGRAFICA!$R134&lt;&gt;"Nessuna variazione")),AND($BI137&lt;&gt;"",$BI137&lt;-PARAMETRI!$B$5),AND($BN137&lt;&gt;"",$BN137&gt;PARAMETRI!$B$7),AND($W137&gt;0,$M137&gt;$W137*PARAMETRI!$B$9),AND($O137&gt;0,OR($I137="Finito ritenute non previste",$I137="Finito con sblocco ritenute",$I137="Finito senza sblocco ritenute")),AND($BA137&gt;0,$BO137&gt;0,$BP137=0),AND(OR($I137="Finito ritenute non previste",$I137="Finito con sblocco ritenute",$I137="Finito senza sblocco ritenute"),$W137&gt;0,$N137&gt;$W137*PARAMETRI!$B$9),$V137&gt;0),"ATTENZIONE","REGOLARE"))),"ATTENZIONE")</f>
        <v/>
      </c>
      <c r="B137" s="17" t="str">
        <f>IFERROR(IF($C137="","",IF($BF137&gt;0,"FATTURATO OLTRE VALORE RECUPERABILE; ","")&amp;IF($V137&gt;$J137,"PERDITE ACCETTATE OLTRE CONTRATTO; ","")&amp;IF($V137&gt;0,"PERDITA SAL ACCETTATA (€ "&amp;TEXT($V137,"#,##0.00")&amp;"); ","")&amp;IF(AND(ISNUMBER($Q137),$Q137&gt;0),"RITARDO PRODUTTIVO ("&amp;TEXT($Q137,"0")&amp;" GG); ","")&amp;IF(AND($BI137&lt;&gt;"",$BI137&lt;-PARAMETRI!$B$5),"AVANZAMENTO PIÙ LENTO DEL TEMPO; ","")&amp;IF(AND($BM137&lt;&gt;"",$BM137&gt;1),"ORE OLTRE BUDGET; ","")&amp;IF(AND($BM137&lt;&gt;"",$BM137=1),"ORE PREVENTIVATE ESAURITE; ","")&amp;IF(AND($BN137&lt;&gt;"",$BN137&gt;PARAMETRI!$B$7),"CONSUMO ORE SUPERIORE ALL'AVANZAMENTO; ","")&amp;IF(AND(ISNUMBER($BR137),$BR137&gt;0),"COSTI DIRETTI OLTRE BUDGET; ","")&amp;IF(AND($W137&gt;0,$M137&gt;$W137*PARAMETRI!$B$9),"SAL MATURATO NON FATTURATO; ","")&amp;IF(AND($O137&gt;0,OR($I137="Finito ritenute non previste",$I137="Finito con sblocco ritenute",$I137="Finito senza sblocco ritenute")),"RITENUTE DA SBLOCCARE; ","")&amp;IF(AND($BA137&gt;0,$BO137&gt;0,$BP137=0),"COSTI DIRETTI NON REGISTRATI; ","")&amp;IF(AND(OR($I137="Finito ritenute non previste",$I137="Finito con sblocco ritenute",$I137="Finito senza sblocco ritenute"),$W137&gt;0,$N137&gt;$W137*PARAMETRI!$B$9),"CANTIERE FINITO CON RESIDUO LAVORI; ","")&amp;IF(AND(OR($I137="Finito ritenute non previste",$I137="Finito con sblocco ritenute",$I137="Finito senza sblocco ritenute"),ANAGRAFICA!$K134=""),"DATA FINE EFFETTIVA MANCANTE; ","")&amp;IF(OR(AND(ANAGRAFICA!$T134&lt;&gt;"",ANAGRAFICA!$J134&lt;&gt;ANAGRAFICA!$T134,OR(ANAGRAFICA!$R134="",ANAGRAFICA!$R134="Nessuna variazione")),AND(ANAGRAFICA!$J134="",ANAGRAFICA!$R134&lt;&gt;"",ANAGRAFICA!$R134&lt;&gt;"Nessuna variazione")),"GESTIONE DATA FINE INCOMPLETA; ","")&amp;IF($Y137="","AGGIORNATO AL MANCANTE; ","")&amp;IF(OR($AZ137="",$BJ137="",$BO137="",ANAGRAFICA!$I134="",ANAGRAFICA!$J134=""),"DATI PREVISIONALI INCOMPLETI; ","")&amp;IF(LEFT($C137,5)="TEMP","CODICE COMMESSA TEMPORANEO; ","")),"DATI INCOMPLETI; ")</f>
        <v/>
      </c>
      <c r="C137" s="17" t="str">
        <f>IF(ANAGRAFICA!$B134="","",ANAGRAFICA!$B134)</f>
        <v/>
      </c>
      <c r="D137" s="17" t="str">
        <f>IF($C137="","",ANAGRAFICA!$C134)</f>
        <v/>
      </c>
      <c r="E137" s="17" t="str">
        <f>IF($C137="","",ANAGRAFICA!$D134)</f>
        <v/>
      </c>
      <c r="F137" s="17" t="str">
        <f>IF($C137="","",ANAGRAFICA!$E134)</f>
        <v/>
      </c>
      <c r="G137" s="17" t="str">
        <f>IF($C137="","",ANAGRAFICA!$F134)</f>
        <v/>
      </c>
      <c r="H137" s="17" t="str">
        <f>IF($C137="","",ANAGRAFICA!$G134)</f>
        <v/>
      </c>
      <c r="I137" s="17" t="str">
        <f>IF($C137="","",ANAGRAFICA!$L134)</f>
        <v/>
      </c>
      <c r="J137" s="16" t="str">
        <f t="shared" ref="J137:J200" si="49">IF($C137="","",$AZ137)</f>
        <v/>
      </c>
      <c r="K137" s="16" t="str">
        <f t="shared" ref="K137:K200" si="50">IF($C137="","",$BA137)</f>
        <v/>
      </c>
      <c r="L137" s="16" t="str">
        <f t="shared" ref="L137:L200" si="51">IF($C137="","",$BB137)</f>
        <v/>
      </c>
      <c r="M137" s="16" t="str">
        <f t="shared" ref="M137:M200" si="52">IF($C137="","",MAX($BA137-$BB137,0))</f>
        <v/>
      </c>
      <c r="N137" s="16" t="str">
        <f t="shared" ref="N137:N200" si="53">IF(OR($C137="",$W137=""),"",MAX($W137-$BA137,0))</f>
        <v/>
      </c>
      <c r="O137" s="16" t="str">
        <f t="shared" ref="O137:O200" si="54">IF($C137="","",MAX($BC137-$BD137,0))</f>
        <v/>
      </c>
      <c r="P137" s="17" t="str">
        <f t="shared" ref="P137:P200" si="55">IF(OR($C137="",$BG137="",$BH137="",$BI137=""),"",TEXT($BG137,"0.0%")&amp;" / "&amp;TEXT($BH137,"0.0%")&amp;" / "&amp;TEXT($BI137,"0.0%"))</f>
        <v/>
      </c>
      <c r="Q137" s="31" t="str">
        <f>IF(OR($C137="",'BUDGET COMMESSA'!$D134="",'BUDGET COMMESSA'!$D134&lt;=0,ANAGRAFICA!$J134=""),"",IF(OR($I137="Finito ritenute non previste",$I137="Finito con sblocco ritenute",$I137="Finito senza sblocco ritenute"),0,IF(AND($BK137&gt;=$BJ137,ANAGRAFICA!$R134="Ritardo produttivo FIDA"),IF(ANAGRAFICA!$T134&lt;&gt;"",MAX(0,ANAGRAFICA!$J134-ANAGRAFICA!$T134),MAX(0,$Y137-ANAGRAFICA!$J134)),0)))</f>
        <v/>
      </c>
      <c r="R137" s="17" t="str">
        <f t="shared" ref="R137:R200" si="56">IF(OR($C137="",$BJ137=""),"",TEXT($BJ137,"#,##0.00")&amp;" / "&amp;TEXT($BK137,"#,##0.00")&amp;" / "&amp;TEXT($BL137,"#,##0.00"))</f>
        <v/>
      </c>
      <c r="S137" s="17" t="str">
        <f t="shared" ref="S137:S200" si="57">IF(OR($C137="",$BM137="",$BG137="",$BN137=""),"",TEXT($BM137,"0.0%")&amp;" / "&amp;TEXT($BG137,"0.0%")&amp;" / "&amp;TEXT($BN137,"0.0%"))</f>
        <v/>
      </c>
      <c r="T137" s="17" t="str">
        <f t="shared" ref="T137:T200" si="58">IF(OR($C137="",$BO137=""),"",IF($BR137&gt;0,"BUDGET € "&amp;TEXT($BO137,"#,##0.00")&amp;" | SOSTENUTI € "&amp;TEXT($BP137,"#,##0.00")&amp;" | SFORAMENTO € "&amp;TEXT($BR137,"#,##0.00"),"BUDGET € "&amp;TEXT($BO137,"#,##0.00")&amp;" | SOSTENUTI € "&amp;TEXT($BP137,"#,##0.00")&amp;" | RESIDUO € "&amp;TEXT($BQ137,"#,##0.00")))</f>
        <v/>
      </c>
      <c r="U137" s="16" t="str">
        <f t="shared" ref="U137:U200" si="59">IF($C137="","",$BS137)</f>
        <v/>
      </c>
      <c r="V137" s="16" t="str">
        <f t="shared" ref="V137:V200" si="60">IF($C137="","",$BV137)</f>
        <v/>
      </c>
      <c r="W137" s="16" t="str">
        <f t="shared" ref="W137:W200" si="61">IF(OR($C137="",$AZ137=""),"",MAX($AZ137-$BV137,0))</f>
        <v/>
      </c>
      <c r="X137" s="40"/>
      <c r="Y137" s="14"/>
      <c r="AZ137" t="str">
        <f>IF($C137="","",ANAGRAFICA!$P134)</f>
        <v/>
      </c>
      <c r="BA137" t="str">
        <f>IF($C137="","",SUMIF('MOVIMENTI 2026'!$B$7:$B$4206,$C137,'MOVIMENTI 2026'!$I$7:$I$4206)+SUMIF('SALDI AL 31.12.2025'!$A$6:$A$505,$C137,'SALDI AL 31.12.2025'!$C$6:$C$505))</f>
        <v/>
      </c>
      <c r="BB137" t="str">
        <f>IF($C137="","",SUMIF('MOVIMENTI 2026'!$B$7:$B$4206,$C137,'MOVIMENTI 2026'!$J$7:$J$4206)+SUMIF('SALDI AL 31.12.2025'!$A$6:$A$505,$C137,'SALDI AL 31.12.2025'!$D$6:$D$505))</f>
        <v/>
      </c>
      <c r="BC137" t="str">
        <f>IF($C137="","",SUMIF('MOVIMENTI 2026'!$B$7:$B$4206,$C137,'MOVIMENTI 2026'!$K$7:$K$4206)+SUMIF('SALDI AL 31.12.2025'!$A$6:$A$505,$C137,'SALDI AL 31.12.2025'!$E$6:$E$505))</f>
        <v/>
      </c>
      <c r="BD137" t="str">
        <f>IF($C137="","",SUMIF('MOVIMENTI 2026'!$B$7:$B$4206,$C137,'MOVIMENTI 2026'!$L$7:$L$4206)+SUMIF('SALDI AL 31.12.2025'!$A$6:$A$505,$C137,'SALDI AL 31.12.2025'!$F$6:$F$505))</f>
        <v/>
      </c>
      <c r="BE137" t="str">
        <f t="shared" ref="BE137:BE200" si="62">IF(OR($C137="",$W137=""),"",MAX($W137-$BB137,0))</f>
        <v/>
      </c>
      <c r="BF137" t="str">
        <f t="shared" ref="BF137:BF200" si="63">IF(OR($C137="",$W137=""),"",MAX($BB137-$W137,0))</f>
        <v/>
      </c>
      <c r="BG137" t="str">
        <f t="shared" ref="BG137:BG200" si="64">IF(OR($C137="",$W137&lt;=0),"",$BA137/$W137)</f>
        <v/>
      </c>
      <c r="BH137" t="str">
        <f>IFERROR(IF(OR($C137="",ANAGRAFICA!$I134="",ANAGRAFICA!$J134="",ANAGRAFICA!$J134&lt;=ANAGRAFICA!$I134,$Y137=""),"",IF(OR($I137="Finito ritenute non previste",$I137="Finito con sblocco ritenute",$I137="Finito senza sblocco ritenute"),1,MAX(0,MIN(1,($Y137-ANAGRAFICA!$I134)/(ANAGRAFICA!$J134-ANAGRAFICA!$I134))))),"")</f>
        <v/>
      </c>
      <c r="BI137" t="str">
        <f t="shared" ref="BI137:BI200" si="65">IF(OR($C137="",$BG137="",$BH137=""),"",$BG137-$BH137)</f>
        <v/>
      </c>
      <c r="BJ137" t="str">
        <f>IFERROR(IF($C137="","",'BUDGET COMMESSA'!$D134),"")</f>
        <v/>
      </c>
      <c r="BK137" t="str">
        <f>IF($C137="","",SUMIF('MOVIMENTI 2026'!$B$7:$B$4206,$C137,'MOVIMENTI 2026'!$N$7:$N$4206)+SUMIF('SALDI AL 31.12.2025'!$A$6:$A$505,$C137,'SALDI AL 31.12.2025'!$H$6:$H$505))</f>
        <v/>
      </c>
      <c r="BL137" t="str">
        <f t="shared" ref="BL137:BL200" si="66">IF(OR($C137="",$BJ137=""),"",MAX($BJ137-$BK137,0))</f>
        <v/>
      </c>
      <c r="BM137" t="str">
        <f t="shared" ref="BM137:BM200" si="67">IF(OR($C137="",$BJ137&lt;=0),"",$BK137/$BJ137)</f>
        <v/>
      </c>
      <c r="BN137" t="str">
        <f t="shared" ref="BN137:BN200" si="68">IF(OR($C137="",$BM137="",$BG137=""),"",$BM137-$BG137)</f>
        <v/>
      </c>
      <c r="BO137" t="str">
        <f>IFERROR(IF($C137="","",'BUDGET COMMESSA'!$G134),"")</f>
        <v/>
      </c>
      <c r="BP137" t="str">
        <f>IF($C137="","",SUMIF('COSTI DIRETTI'!$C$6:$C$505,$C137,'COSTI DIRETTI'!$H$6:$H$505)+SUMIF('SALDI AL 31.12.2025'!$A$6:$A$505,$C137,'SALDI AL 31.12.2025'!$I$6:$I$505))</f>
        <v/>
      </c>
      <c r="BQ137" t="str">
        <f t="shared" ref="BQ137:BQ200" si="69">IF(OR($C137="",$BO137=""),"",MAX($BO137-$BP137,0))</f>
        <v/>
      </c>
      <c r="BR137" t="str">
        <f t="shared" ref="BR137:BR200" si="70">IF(OR($C137="",$BO137=""),"",MAX($BP137-$BO137,0))</f>
        <v/>
      </c>
      <c r="BS137" t="str">
        <f>IF($C137="","",$BK137*PARAMETRI!$B$4+$BP137)</f>
        <v/>
      </c>
      <c r="BT137">
        <f t="shared" ref="BT137:BT200" si="71">IF($A137="CRITICO",1,0)</f>
        <v>0</v>
      </c>
      <c r="BU137">
        <f t="shared" ref="BU137:BU200" si="72">IF($A137="ATTENZIONE",1,0)</f>
        <v>0</v>
      </c>
      <c r="BV137" t="str">
        <f>IF($C137="","",SUMIF('MOVIMENTI 2026'!$B$7:$B$4206,$C137,'MOVIMENTI 2026'!$P$7:$P$4206)+SUMIF('SALDI AL 31.12.2025'!$A$6:$A$505,$C137,'SALDI AL 31.12.2025'!$G$6:$G$505))</f>
        <v/>
      </c>
    </row>
    <row r="138" spans="1:74" ht="16" x14ac:dyDescent="0.15">
      <c r="A138" s="17" t="str">
        <f>IFERROR(IF($C138="","",IF(OR($BF138&gt;0,$V138&gt;$J138,AND(ISNUMBER($Q138),$Q138&gt;0),AND($BI138&lt;&gt;"",$BI138&lt;-PARAMETRI!$B$6),AND($BM138&lt;&gt;"",$BM138&gt;=1),AND($BN138&lt;&gt;"",$BN138&gt;PARAMETRI!$B$8),AND(ISNUMBER($BR138),$BR138&gt;0)),"CRITICO",IF(OR($AZ138="",LEFT($C138,5)="TEMP",$BJ138="",$BO138="",ANAGRAFICA!$I135="",ANAGRAFICA!$J135="",$Y138="",AND(OR($I138="Finito ritenute non previste",$I138="Finito con sblocco ritenute",$I138="Finito senza sblocco ritenute"),ANAGRAFICA!$K135=""),OR(AND(ANAGRAFICA!$T135&lt;&gt;"",ANAGRAFICA!$J135&lt;&gt;ANAGRAFICA!$T135,OR(ANAGRAFICA!$R135="",ANAGRAFICA!$R135="Nessuna variazione")),AND(ANAGRAFICA!$J135="",ANAGRAFICA!$R135&lt;&gt;"",ANAGRAFICA!$R135&lt;&gt;"Nessuna variazione")),AND($BI138&lt;&gt;"",$BI138&lt;-PARAMETRI!$B$5),AND($BN138&lt;&gt;"",$BN138&gt;PARAMETRI!$B$7),AND($W138&gt;0,$M138&gt;$W138*PARAMETRI!$B$9),AND($O138&gt;0,OR($I138="Finito ritenute non previste",$I138="Finito con sblocco ritenute",$I138="Finito senza sblocco ritenute")),AND($BA138&gt;0,$BO138&gt;0,$BP138=0),AND(OR($I138="Finito ritenute non previste",$I138="Finito con sblocco ritenute",$I138="Finito senza sblocco ritenute"),$W138&gt;0,$N138&gt;$W138*PARAMETRI!$B$9),$V138&gt;0),"ATTENZIONE","REGOLARE"))),"ATTENZIONE")</f>
        <v/>
      </c>
      <c r="B138" s="17" t="str">
        <f>IFERROR(IF($C138="","",IF($BF138&gt;0,"FATTURATO OLTRE VALORE RECUPERABILE; ","")&amp;IF($V138&gt;$J138,"PERDITE ACCETTATE OLTRE CONTRATTO; ","")&amp;IF($V138&gt;0,"PERDITA SAL ACCETTATA (€ "&amp;TEXT($V138,"#,##0.00")&amp;"); ","")&amp;IF(AND(ISNUMBER($Q138),$Q138&gt;0),"RITARDO PRODUTTIVO ("&amp;TEXT($Q138,"0")&amp;" GG); ","")&amp;IF(AND($BI138&lt;&gt;"",$BI138&lt;-PARAMETRI!$B$5),"AVANZAMENTO PIÙ LENTO DEL TEMPO; ","")&amp;IF(AND($BM138&lt;&gt;"",$BM138&gt;1),"ORE OLTRE BUDGET; ","")&amp;IF(AND($BM138&lt;&gt;"",$BM138=1),"ORE PREVENTIVATE ESAURITE; ","")&amp;IF(AND($BN138&lt;&gt;"",$BN138&gt;PARAMETRI!$B$7),"CONSUMO ORE SUPERIORE ALL'AVANZAMENTO; ","")&amp;IF(AND(ISNUMBER($BR138),$BR138&gt;0),"COSTI DIRETTI OLTRE BUDGET; ","")&amp;IF(AND($W138&gt;0,$M138&gt;$W138*PARAMETRI!$B$9),"SAL MATURATO NON FATTURATO; ","")&amp;IF(AND($O138&gt;0,OR($I138="Finito ritenute non previste",$I138="Finito con sblocco ritenute",$I138="Finito senza sblocco ritenute")),"RITENUTE DA SBLOCCARE; ","")&amp;IF(AND($BA138&gt;0,$BO138&gt;0,$BP138=0),"COSTI DIRETTI NON REGISTRATI; ","")&amp;IF(AND(OR($I138="Finito ritenute non previste",$I138="Finito con sblocco ritenute",$I138="Finito senza sblocco ritenute"),$W138&gt;0,$N138&gt;$W138*PARAMETRI!$B$9),"CANTIERE FINITO CON RESIDUO LAVORI; ","")&amp;IF(AND(OR($I138="Finito ritenute non previste",$I138="Finito con sblocco ritenute",$I138="Finito senza sblocco ritenute"),ANAGRAFICA!$K135=""),"DATA FINE EFFETTIVA MANCANTE; ","")&amp;IF(OR(AND(ANAGRAFICA!$T135&lt;&gt;"",ANAGRAFICA!$J135&lt;&gt;ANAGRAFICA!$T135,OR(ANAGRAFICA!$R135="",ANAGRAFICA!$R135="Nessuna variazione")),AND(ANAGRAFICA!$J135="",ANAGRAFICA!$R135&lt;&gt;"",ANAGRAFICA!$R135&lt;&gt;"Nessuna variazione")),"GESTIONE DATA FINE INCOMPLETA; ","")&amp;IF($Y138="","AGGIORNATO AL MANCANTE; ","")&amp;IF(OR($AZ138="",$BJ138="",$BO138="",ANAGRAFICA!$I135="",ANAGRAFICA!$J135=""),"DATI PREVISIONALI INCOMPLETI; ","")&amp;IF(LEFT($C138,5)="TEMP","CODICE COMMESSA TEMPORANEO; ","")),"DATI INCOMPLETI; ")</f>
        <v/>
      </c>
      <c r="C138" s="17" t="str">
        <f>IF(ANAGRAFICA!$B135="","",ANAGRAFICA!$B135)</f>
        <v/>
      </c>
      <c r="D138" s="17" t="str">
        <f>IF($C138="","",ANAGRAFICA!$C135)</f>
        <v/>
      </c>
      <c r="E138" s="17" t="str">
        <f>IF($C138="","",ANAGRAFICA!$D135)</f>
        <v/>
      </c>
      <c r="F138" s="17" t="str">
        <f>IF($C138="","",ANAGRAFICA!$E135)</f>
        <v/>
      </c>
      <c r="G138" s="17" t="str">
        <f>IF($C138="","",ANAGRAFICA!$F135)</f>
        <v/>
      </c>
      <c r="H138" s="17" t="str">
        <f>IF($C138="","",ANAGRAFICA!$G135)</f>
        <v/>
      </c>
      <c r="I138" s="17" t="str">
        <f>IF($C138="","",ANAGRAFICA!$L135)</f>
        <v/>
      </c>
      <c r="J138" s="16" t="str">
        <f t="shared" si="49"/>
        <v/>
      </c>
      <c r="K138" s="16" t="str">
        <f t="shared" si="50"/>
        <v/>
      </c>
      <c r="L138" s="16" t="str">
        <f t="shared" si="51"/>
        <v/>
      </c>
      <c r="M138" s="16" t="str">
        <f t="shared" si="52"/>
        <v/>
      </c>
      <c r="N138" s="16" t="str">
        <f t="shared" si="53"/>
        <v/>
      </c>
      <c r="O138" s="16" t="str">
        <f t="shared" si="54"/>
        <v/>
      </c>
      <c r="P138" s="17" t="str">
        <f t="shared" si="55"/>
        <v/>
      </c>
      <c r="Q138" s="31" t="str">
        <f>IF(OR($C138="",'BUDGET COMMESSA'!$D135="",'BUDGET COMMESSA'!$D135&lt;=0,ANAGRAFICA!$J135=""),"",IF(OR($I138="Finito ritenute non previste",$I138="Finito con sblocco ritenute",$I138="Finito senza sblocco ritenute"),0,IF(AND($BK138&gt;=$BJ138,ANAGRAFICA!$R135="Ritardo produttivo FIDA"),IF(ANAGRAFICA!$T135&lt;&gt;"",MAX(0,ANAGRAFICA!$J135-ANAGRAFICA!$T135),MAX(0,$Y138-ANAGRAFICA!$J135)),0)))</f>
        <v/>
      </c>
      <c r="R138" s="17" t="str">
        <f t="shared" si="56"/>
        <v/>
      </c>
      <c r="S138" s="17" t="str">
        <f t="shared" si="57"/>
        <v/>
      </c>
      <c r="T138" s="17" t="str">
        <f t="shared" si="58"/>
        <v/>
      </c>
      <c r="U138" s="16" t="str">
        <f t="shared" si="59"/>
        <v/>
      </c>
      <c r="V138" s="16" t="str">
        <f t="shared" si="60"/>
        <v/>
      </c>
      <c r="W138" s="16" t="str">
        <f t="shared" si="61"/>
        <v/>
      </c>
      <c r="X138" s="40"/>
      <c r="Y138" s="14"/>
      <c r="AZ138" t="str">
        <f>IF($C138="","",ANAGRAFICA!$P135)</f>
        <v/>
      </c>
      <c r="BA138" t="str">
        <f>IF($C138="","",SUMIF('MOVIMENTI 2026'!$B$7:$B$4206,$C138,'MOVIMENTI 2026'!$I$7:$I$4206)+SUMIF('SALDI AL 31.12.2025'!$A$6:$A$505,$C138,'SALDI AL 31.12.2025'!$C$6:$C$505))</f>
        <v/>
      </c>
      <c r="BB138" t="str">
        <f>IF($C138="","",SUMIF('MOVIMENTI 2026'!$B$7:$B$4206,$C138,'MOVIMENTI 2026'!$J$7:$J$4206)+SUMIF('SALDI AL 31.12.2025'!$A$6:$A$505,$C138,'SALDI AL 31.12.2025'!$D$6:$D$505))</f>
        <v/>
      </c>
      <c r="BC138" t="str">
        <f>IF($C138="","",SUMIF('MOVIMENTI 2026'!$B$7:$B$4206,$C138,'MOVIMENTI 2026'!$K$7:$K$4206)+SUMIF('SALDI AL 31.12.2025'!$A$6:$A$505,$C138,'SALDI AL 31.12.2025'!$E$6:$E$505))</f>
        <v/>
      </c>
      <c r="BD138" t="str">
        <f>IF($C138="","",SUMIF('MOVIMENTI 2026'!$B$7:$B$4206,$C138,'MOVIMENTI 2026'!$L$7:$L$4206)+SUMIF('SALDI AL 31.12.2025'!$A$6:$A$505,$C138,'SALDI AL 31.12.2025'!$F$6:$F$505))</f>
        <v/>
      </c>
      <c r="BE138" t="str">
        <f t="shared" si="62"/>
        <v/>
      </c>
      <c r="BF138" t="str">
        <f t="shared" si="63"/>
        <v/>
      </c>
      <c r="BG138" t="str">
        <f t="shared" si="64"/>
        <v/>
      </c>
      <c r="BH138" t="str">
        <f>IFERROR(IF(OR($C138="",ANAGRAFICA!$I135="",ANAGRAFICA!$J135="",ANAGRAFICA!$J135&lt;=ANAGRAFICA!$I135,$Y138=""),"",IF(OR($I138="Finito ritenute non previste",$I138="Finito con sblocco ritenute",$I138="Finito senza sblocco ritenute"),1,MAX(0,MIN(1,($Y138-ANAGRAFICA!$I135)/(ANAGRAFICA!$J135-ANAGRAFICA!$I135))))),"")</f>
        <v/>
      </c>
      <c r="BI138" t="str">
        <f t="shared" si="65"/>
        <v/>
      </c>
      <c r="BJ138" t="str">
        <f>IFERROR(IF($C138="","",'BUDGET COMMESSA'!$D135),"")</f>
        <v/>
      </c>
      <c r="BK138" t="str">
        <f>IF($C138="","",SUMIF('MOVIMENTI 2026'!$B$7:$B$4206,$C138,'MOVIMENTI 2026'!$N$7:$N$4206)+SUMIF('SALDI AL 31.12.2025'!$A$6:$A$505,$C138,'SALDI AL 31.12.2025'!$H$6:$H$505))</f>
        <v/>
      </c>
      <c r="BL138" t="str">
        <f t="shared" si="66"/>
        <v/>
      </c>
      <c r="BM138" t="str">
        <f t="shared" si="67"/>
        <v/>
      </c>
      <c r="BN138" t="str">
        <f t="shared" si="68"/>
        <v/>
      </c>
      <c r="BO138" t="str">
        <f>IFERROR(IF($C138="","",'BUDGET COMMESSA'!$G135),"")</f>
        <v/>
      </c>
      <c r="BP138" t="str">
        <f>IF($C138="","",SUMIF('COSTI DIRETTI'!$C$6:$C$505,$C138,'COSTI DIRETTI'!$H$6:$H$505)+SUMIF('SALDI AL 31.12.2025'!$A$6:$A$505,$C138,'SALDI AL 31.12.2025'!$I$6:$I$505))</f>
        <v/>
      </c>
      <c r="BQ138" t="str">
        <f t="shared" si="69"/>
        <v/>
      </c>
      <c r="BR138" t="str">
        <f t="shared" si="70"/>
        <v/>
      </c>
      <c r="BS138" t="str">
        <f>IF($C138="","",$BK138*PARAMETRI!$B$4+$BP138)</f>
        <v/>
      </c>
      <c r="BT138">
        <f t="shared" si="71"/>
        <v>0</v>
      </c>
      <c r="BU138">
        <f t="shared" si="72"/>
        <v>0</v>
      </c>
      <c r="BV138" t="str">
        <f>IF($C138="","",SUMIF('MOVIMENTI 2026'!$B$7:$B$4206,$C138,'MOVIMENTI 2026'!$P$7:$P$4206)+SUMIF('SALDI AL 31.12.2025'!$A$6:$A$505,$C138,'SALDI AL 31.12.2025'!$G$6:$G$505))</f>
        <v/>
      </c>
    </row>
    <row r="139" spans="1:74" ht="16" x14ac:dyDescent="0.15">
      <c r="A139" s="17" t="str">
        <f>IFERROR(IF($C139="","",IF(OR($BF139&gt;0,$V139&gt;$J139,AND(ISNUMBER($Q139),$Q139&gt;0),AND($BI139&lt;&gt;"",$BI139&lt;-PARAMETRI!$B$6),AND($BM139&lt;&gt;"",$BM139&gt;=1),AND($BN139&lt;&gt;"",$BN139&gt;PARAMETRI!$B$8),AND(ISNUMBER($BR139),$BR139&gt;0)),"CRITICO",IF(OR($AZ139="",LEFT($C139,5)="TEMP",$BJ139="",$BO139="",ANAGRAFICA!$I136="",ANAGRAFICA!$J136="",$Y139="",AND(OR($I139="Finito ritenute non previste",$I139="Finito con sblocco ritenute",$I139="Finito senza sblocco ritenute"),ANAGRAFICA!$K136=""),OR(AND(ANAGRAFICA!$T136&lt;&gt;"",ANAGRAFICA!$J136&lt;&gt;ANAGRAFICA!$T136,OR(ANAGRAFICA!$R136="",ANAGRAFICA!$R136="Nessuna variazione")),AND(ANAGRAFICA!$J136="",ANAGRAFICA!$R136&lt;&gt;"",ANAGRAFICA!$R136&lt;&gt;"Nessuna variazione")),AND($BI139&lt;&gt;"",$BI139&lt;-PARAMETRI!$B$5),AND($BN139&lt;&gt;"",$BN139&gt;PARAMETRI!$B$7),AND($W139&gt;0,$M139&gt;$W139*PARAMETRI!$B$9),AND($O139&gt;0,OR($I139="Finito ritenute non previste",$I139="Finito con sblocco ritenute",$I139="Finito senza sblocco ritenute")),AND($BA139&gt;0,$BO139&gt;0,$BP139=0),AND(OR($I139="Finito ritenute non previste",$I139="Finito con sblocco ritenute",$I139="Finito senza sblocco ritenute"),$W139&gt;0,$N139&gt;$W139*PARAMETRI!$B$9),$V139&gt;0),"ATTENZIONE","REGOLARE"))),"ATTENZIONE")</f>
        <v/>
      </c>
      <c r="B139" s="17" t="str">
        <f>IFERROR(IF($C139="","",IF($BF139&gt;0,"FATTURATO OLTRE VALORE RECUPERABILE; ","")&amp;IF($V139&gt;$J139,"PERDITE ACCETTATE OLTRE CONTRATTO; ","")&amp;IF($V139&gt;0,"PERDITA SAL ACCETTATA (€ "&amp;TEXT($V139,"#,##0.00")&amp;"); ","")&amp;IF(AND(ISNUMBER($Q139),$Q139&gt;0),"RITARDO PRODUTTIVO ("&amp;TEXT($Q139,"0")&amp;" GG); ","")&amp;IF(AND($BI139&lt;&gt;"",$BI139&lt;-PARAMETRI!$B$5),"AVANZAMENTO PIÙ LENTO DEL TEMPO; ","")&amp;IF(AND($BM139&lt;&gt;"",$BM139&gt;1),"ORE OLTRE BUDGET; ","")&amp;IF(AND($BM139&lt;&gt;"",$BM139=1),"ORE PREVENTIVATE ESAURITE; ","")&amp;IF(AND($BN139&lt;&gt;"",$BN139&gt;PARAMETRI!$B$7),"CONSUMO ORE SUPERIORE ALL'AVANZAMENTO; ","")&amp;IF(AND(ISNUMBER($BR139),$BR139&gt;0),"COSTI DIRETTI OLTRE BUDGET; ","")&amp;IF(AND($W139&gt;0,$M139&gt;$W139*PARAMETRI!$B$9),"SAL MATURATO NON FATTURATO; ","")&amp;IF(AND($O139&gt;0,OR($I139="Finito ritenute non previste",$I139="Finito con sblocco ritenute",$I139="Finito senza sblocco ritenute")),"RITENUTE DA SBLOCCARE; ","")&amp;IF(AND($BA139&gt;0,$BO139&gt;0,$BP139=0),"COSTI DIRETTI NON REGISTRATI; ","")&amp;IF(AND(OR($I139="Finito ritenute non previste",$I139="Finito con sblocco ritenute",$I139="Finito senza sblocco ritenute"),$W139&gt;0,$N139&gt;$W139*PARAMETRI!$B$9),"CANTIERE FINITO CON RESIDUO LAVORI; ","")&amp;IF(AND(OR($I139="Finito ritenute non previste",$I139="Finito con sblocco ritenute",$I139="Finito senza sblocco ritenute"),ANAGRAFICA!$K136=""),"DATA FINE EFFETTIVA MANCANTE; ","")&amp;IF(OR(AND(ANAGRAFICA!$T136&lt;&gt;"",ANAGRAFICA!$J136&lt;&gt;ANAGRAFICA!$T136,OR(ANAGRAFICA!$R136="",ANAGRAFICA!$R136="Nessuna variazione")),AND(ANAGRAFICA!$J136="",ANAGRAFICA!$R136&lt;&gt;"",ANAGRAFICA!$R136&lt;&gt;"Nessuna variazione")),"GESTIONE DATA FINE INCOMPLETA; ","")&amp;IF($Y139="","AGGIORNATO AL MANCANTE; ","")&amp;IF(OR($AZ139="",$BJ139="",$BO139="",ANAGRAFICA!$I136="",ANAGRAFICA!$J136=""),"DATI PREVISIONALI INCOMPLETI; ","")&amp;IF(LEFT($C139,5)="TEMP","CODICE COMMESSA TEMPORANEO; ","")),"DATI INCOMPLETI; ")</f>
        <v/>
      </c>
      <c r="C139" s="17" t="str">
        <f>IF(ANAGRAFICA!$B136="","",ANAGRAFICA!$B136)</f>
        <v/>
      </c>
      <c r="D139" s="17" t="str">
        <f>IF($C139="","",ANAGRAFICA!$C136)</f>
        <v/>
      </c>
      <c r="E139" s="17" t="str">
        <f>IF($C139="","",ANAGRAFICA!$D136)</f>
        <v/>
      </c>
      <c r="F139" s="17" t="str">
        <f>IF($C139="","",ANAGRAFICA!$E136)</f>
        <v/>
      </c>
      <c r="G139" s="17" t="str">
        <f>IF($C139="","",ANAGRAFICA!$F136)</f>
        <v/>
      </c>
      <c r="H139" s="17" t="str">
        <f>IF($C139="","",ANAGRAFICA!$G136)</f>
        <v/>
      </c>
      <c r="I139" s="17" t="str">
        <f>IF($C139="","",ANAGRAFICA!$L136)</f>
        <v/>
      </c>
      <c r="J139" s="16" t="str">
        <f t="shared" si="49"/>
        <v/>
      </c>
      <c r="K139" s="16" t="str">
        <f t="shared" si="50"/>
        <v/>
      </c>
      <c r="L139" s="16" t="str">
        <f t="shared" si="51"/>
        <v/>
      </c>
      <c r="M139" s="16" t="str">
        <f t="shared" si="52"/>
        <v/>
      </c>
      <c r="N139" s="16" t="str">
        <f t="shared" si="53"/>
        <v/>
      </c>
      <c r="O139" s="16" t="str">
        <f t="shared" si="54"/>
        <v/>
      </c>
      <c r="P139" s="17" t="str">
        <f t="shared" si="55"/>
        <v/>
      </c>
      <c r="Q139" s="31" t="str">
        <f>IF(OR($C139="",'BUDGET COMMESSA'!$D136="",'BUDGET COMMESSA'!$D136&lt;=0,ANAGRAFICA!$J136=""),"",IF(OR($I139="Finito ritenute non previste",$I139="Finito con sblocco ritenute",$I139="Finito senza sblocco ritenute"),0,IF(AND($BK139&gt;=$BJ139,ANAGRAFICA!$R136="Ritardo produttivo FIDA"),IF(ANAGRAFICA!$T136&lt;&gt;"",MAX(0,ANAGRAFICA!$J136-ANAGRAFICA!$T136),MAX(0,$Y139-ANAGRAFICA!$J136)),0)))</f>
        <v/>
      </c>
      <c r="R139" s="17" t="str">
        <f t="shared" si="56"/>
        <v/>
      </c>
      <c r="S139" s="17" t="str">
        <f t="shared" si="57"/>
        <v/>
      </c>
      <c r="T139" s="17" t="str">
        <f t="shared" si="58"/>
        <v/>
      </c>
      <c r="U139" s="16" t="str">
        <f t="shared" si="59"/>
        <v/>
      </c>
      <c r="V139" s="16" t="str">
        <f t="shared" si="60"/>
        <v/>
      </c>
      <c r="W139" s="16" t="str">
        <f t="shared" si="61"/>
        <v/>
      </c>
      <c r="X139" s="40"/>
      <c r="Y139" s="14"/>
      <c r="AZ139" t="str">
        <f>IF($C139="","",ANAGRAFICA!$P136)</f>
        <v/>
      </c>
      <c r="BA139" t="str">
        <f>IF($C139="","",SUMIF('MOVIMENTI 2026'!$B$7:$B$4206,$C139,'MOVIMENTI 2026'!$I$7:$I$4206)+SUMIF('SALDI AL 31.12.2025'!$A$6:$A$505,$C139,'SALDI AL 31.12.2025'!$C$6:$C$505))</f>
        <v/>
      </c>
      <c r="BB139" t="str">
        <f>IF($C139="","",SUMIF('MOVIMENTI 2026'!$B$7:$B$4206,$C139,'MOVIMENTI 2026'!$J$7:$J$4206)+SUMIF('SALDI AL 31.12.2025'!$A$6:$A$505,$C139,'SALDI AL 31.12.2025'!$D$6:$D$505))</f>
        <v/>
      </c>
      <c r="BC139" t="str">
        <f>IF($C139="","",SUMIF('MOVIMENTI 2026'!$B$7:$B$4206,$C139,'MOVIMENTI 2026'!$K$7:$K$4206)+SUMIF('SALDI AL 31.12.2025'!$A$6:$A$505,$C139,'SALDI AL 31.12.2025'!$E$6:$E$505))</f>
        <v/>
      </c>
      <c r="BD139" t="str">
        <f>IF($C139="","",SUMIF('MOVIMENTI 2026'!$B$7:$B$4206,$C139,'MOVIMENTI 2026'!$L$7:$L$4206)+SUMIF('SALDI AL 31.12.2025'!$A$6:$A$505,$C139,'SALDI AL 31.12.2025'!$F$6:$F$505))</f>
        <v/>
      </c>
      <c r="BE139" t="str">
        <f t="shared" si="62"/>
        <v/>
      </c>
      <c r="BF139" t="str">
        <f t="shared" si="63"/>
        <v/>
      </c>
      <c r="BG139" t="str">
        <f t="shared" si="64"/>
        <v/>
      </c>
      <c r="BH139" t="str">
        <f>IFERROR(IF(OR($C139="",ANAGRAFICA!$I136="",ANAGRAFICA!$J136="",ANAGRAFICA!$J136&lt;=ANAGRAFICA!$I136,$Y139=""),"",IF(OR($I139="Finito ritenute non previste",$I139="Finito con sblocco ritenute",$I139="Finito senza sblocco ritenute"),1,MAX(0,MIN(1,($Y139-ANAGRAFICA!$I136)/(ANAGRAFICA!$J136-ANAGRAFICA!$I136))))),"")</f>
        <v/>
      </c>
      <c r="BI139" t="str">
        <f t="shared" si="65"/>
        <v/>
      </c>
      <c r="BJ139" t="str">
        <f>IFERROR(IF($C139="","",'BUDGET COMMESSA'!$D136),"")</f>
        <v/>
      </c>
      <c r="BK139" t="str">
        <f>IF($C139="","",SUMIF('MOVIMENTI 2026'!$B$7:$B$4206,$C139,'MOVIMENTI 2026'!$N$7:$N$4206)+SUMIF('SALDI AL 31.12.2025'!$A$6:$A$505,$C139,'SALDI AL 31.12.2025'!$H$6:$H$505))</f>
        <v/>
      </c>
      <c r="BL139" t="str">
        <f t="shared" si="66"/>
        <v/>
      </c>
      <c r="BM139" t="str">
        <f t="shared" si="67"/>
        <v/>
      </c>
      <c r="BN139" t="str">
        <f t="shared" si="68"/>
        <v/>
      </c>
      <c r="BO139" t="str">
        <f>IFERROR(IF($C139="","",'BUDGET COMMESSA'!$G136),"")</f>
        <v/>
      </c>
      <c r="BP139" t="str">
        <f>IF($C139="","",SUMIF('COSTI DIRETTI'!$C$6:$C$505,$C139,'COSTI DIRETTI'!$H$6:$H$505)+SUMIF('SALDI AL 31.12.2025'!$A$6:$A$505,$C139,'SALDI AL 31.12.2025'!$I$6:$I$505))</f>
        <v/>
      </c>
      <c r="BQ139" t="str">
        <f t="shared" si="69"/>
        <v/>
      </c>
      <c r="BR139" t="str">
        <f t="shared" si="70"/>
        <v/>
      </c>
      <c r="BS139" t="str">
        <f>IF($C139="","",$BK139*PARAMETRI!$B$4+$BP139)</f>
        <v/>
      </c>
      <c r="BT139">
        <f t="shared" si="71"/>
        <v>0</v>
      </c>
      <c r="BU139">
        <f t="shared" si="72"/>
        <v>0</v>
      </c>
      <c r="BV139" t="str">
        <f>IF($C139="","",SUMIF('MOVIMENTI 2026'!$B$7:$B$4206,$C139,'MOVIMENTI 2026'!$P$7:$P$4206)+SUMIF('SALDI AL 31.12.2025'!$A$6:$A$505,$C139,'SALDI AL 31.12.2025'!$G$6:$G$505))</f>
        <v/>
      </c>
    </row>
    <row r="140" spans="1:74" ht="16" x14ac:dyDescent="0.15">
      <c r="A140" s="17" t="str">
        <f>IFERROR(IF($C140="","",IF(OR($BF140&gt;0,$V140&gt;$J140,AND(ISNUMBER($Q140),$Q140&gt;0),AND($BI140&lt;&gt;"",$BI140&lt;-PARAMETRI!$B$6),AND($BM140&lt;&gt;"",$BM140&gt;=1),AND($BN140&lt;&gt;"",$BN140&gt;PARAMETRI!$B$8),AND(ISNUMBER($BR140),$BR140&gt;0)),"CRITICO",IF(OR($AZ140="",LEFT($C140,5)="TEMP",$BJ140="",$BO140="",ANAGRAFICA!$I137="",ANAGRAFICA!$J137="",$Y140="",AND(OR($I140="Finito ritenute non previste",$I140="Finito con sblocco ritenute",$I140="Finito senza sblocco ritenute"),ANAGRAFICA!$K137=""),OR(AND(ANAGRAFICA!$T137&lt;&gt;"",ANAGRAFICA!$J137&lt;&gt;ANAGRAFICA!$T137,OR(ANAGRAFICA!$R137="",ANAGRAFICA!$R137="Nessuna variazione")),AND(ANAGRAFICA!$J137="",ANAGRAFICA!$R137&lt;&gt;"",ANAGRAFICA!$R137&lt;&gt;"Nessuna variazione")),AND($BI140&lt;&gt;"",$BI140&lt;-PARAMETRI!$B$5),AND($BN140&lt;&gt;"",$BN140&gt;PARAMETRI!$B$7),AND($W140&gt;0,$M140&gt;$W140*PARAMETRI!$B$9),AND($O140&gt;0,OR($I140="Finito ritenute non previste",$I140="Finito con sblocco ritenute",$I140="Finito senza sblocco ritenute")),AND($BA140&gt;0,$BO140&gt;0,$BP140=0),AND(OR($I140="Finito ritenute non previste",$I140="Finito con sblocco ritenute",$I140="Finito senza sblocco ritenute"),$W140&gt;0,$N140&gt;$W140*PARAMETRI!$B$9),$V140&gt;0),"ATTENZIONE","REGOLARE"))),"ATTENZIONE")</f>
        <v/>
      </c>
      <c r="B140" s="17" t="str">
        <f>IFERROR(IF($C140="","",IF($BF140&gt;0,"FATTURATO OLTRE VALORE RECUPERABILE; ","")&amp;IF($V140&gt;$J140,"PERDITE ACCETTATE OLTRE CONTRATTO; ","")&amp;IF($V140&gt;0,"PERDITA SAL ACCETTATA (€ "&amp;TEXT($V140,"#,##0.00")&amp;"); ","")&amp;IF(AND(ISNUMBER($Q140),$Q140&gt;0),"RITARDO PRODUTTIVO ("&amp;TEXT($Q140,"0")&amp;" GG); ","")&amp;IF(AND($BI140&lt;&gt;"",$BI140&lt;-PARAMETRI!$B$5),"AVANZAMENTO PIÙ LENTO DEL TEMPO; ","")&amp;IF(AND($BM140&lt;&gt;"",$BM140&gt;1),"ORE OLTRE BUDGET; ","")&amp;IF(AND($BM140&lt;&gt;"",$BM140=1),"ORE PREVENTIVATE ESAURITE; ","")&amp;IF(AND($BN140&lt;&gt;"",$BN140&gt;PARAMETRI!$B$7),"CONSUMO ORE SUPERIORE ALL'AVANZAMENTO; ","")&amp;IF(AND(ISNUMBER($BR140),$BR140&gt;0),"COSTI DIRETTI OLTRE BUDGET; ","")&amp;IF(AND($W140&gt;0,$M140&gt;$W140*PARAMETRI!$B$9),"SAL MATURATO NON FATTURATO; ","")&amp;IF(AND($O140&gt;0,OR($I140="Finito ritenute non previste",$I140="Finito con sblocco ritenute",$I140="Finito senza sblocco ritenute")),"RITENUTE DA SBLOCCARE; ","")&amp;IF(AND($BA140&gt;0,$BO140&gt;0,$BP140=0),"COSTI DIRETTI NON REGISTRATI; ","")&amp;IF(AND(OR($I140="Finito ritenute non previste",$I140="Finito con sblocco ritenute",$I140="Finito senza sblocco ritenute"),$W140&gt;0,$N140&gt;$W140*PARAMETRI!$B$9),"CANTIERE FINITO CON RESIDUO LAVORI; ","")&amp;IF(AND(OR($I140="Finito ritenute non previste",$I140="Finito con sblocco ritenute",$I140="Finito senza sblocco ritenute"),ANAGRAFICA!$K137=""),"DATA FINE EFFETTIVA MANCANTE; ","")&amp;IF(OR(AND(ANAGRAFICA!$T137&lt;&gt;"",ANAGRAFICA!$J137&lt;&gt;ANAGRAFICA!$T137,OR(ANAGRAFICA!$R137="",ANAGRAFICA!$R137="Nessuna variazione")),AND(ANAGRAFICA!$J137="",ANAGRAFICA!$R137&lt;&gt;"",ANAGRAFICA!$R137&lt;&gt;"Nessuna variazione")),"GESTIONE DATA FINE INCOMPLETA; ","")&amp;IF($Y140="","AGGIORNATO AL MANCANTE; ","")&amp;IF(OR($AZ140="",$BJ140="",$BO140="",ANAGRAFICA!$I137="",ANAGRAFICA!$J137=""),"DATI PREVISIONALI INCOMPLETI; ","")&amp;IF(LEFT($C140,5)="TEMP","CODICE COMMESSA TEMPORANEO; ","")),"DATI INCOMPLETI; ")</f>
        <v/>
      </c>
      <c r="C140" s="17" t="str">
        <f>IF(ANAGRAFICA!$B137="","",ANAGRAFICA!$B137)</f>
        <v/>
      </c>
      <c r="D140" s="17" t="str">
        <f>IF($C140="","",ANAGRAFICA!$C137)</f>
        <v/>
      </c>
      <c r="E140" s="17" t="str">
        <f>IF($C140="","",ANAGRAFICA!$D137)</f>
        <v/>
      </c>
      <c r="F140" s="17" t="str">
        <f>IF($C140="","",ANAGRAFICA!$E137)</f>
        <v/>
      </c>
      <c r="G140" s="17" t="str">
        <f>IF($C140="","",ANAGRAFICA!$F137)</f>
        <v/>
      </c>
      <c r="H140" s="17" t="str">
        <f>IF($C140="","",ANAGRAFICA!$G137)</f>
        <v/>
      </c>
      <c r="I140" s="17" t="str">
        <f>IF($C140="","",ANAGRAFICA!$L137)</f>
        <v/>
      </c>
      <c r="J140" s="16" t="str">
        <f t="shared" si="49"/>
        <v/>
      </c>
      <c r="K140" s="16" t="str">
        <f t="shared" si="50"/>
        <v/>
      </c>
      <c r="L140" s="16" t="str">
        <f t="shared" si="51"/>
        <v/>
      </c>
      <c r="M140" s="16" t="str">
        <f t="shared" si="52"/>
        <v/>
      </c>
      <c r="N140" s="16" t="str">
        <f t="shared" si="53"/>
        <v/>
      </c>
      <c r="O140" s="16" t="str">
        <f t="shared" si="54"/>
        <v/>
      </c>
      <c r="P140" s="17" t="str">
        <f t="shared" si="55"/>
        <v/>
      </c>
      <c r="Q140" s="31" t="str">
        <f>IF(OR($C140="",'BUDGET COMMESSA'!$D137="",'BUDGET COMMESSA'!$D137&lt;=0,ANAGRAFICA!$J137=""),"",IF(OR($I140="Finito ritenute non previste",$I140="Finito con sblocco ritenute",$I140="Finito senza sblocco ritenute"),0,IF(AND($BK140&gt;=$BJ140,ANAGRAFICA!$R137="Ritardo produttivo FIDA"),IF(ANAGRAFICA!$T137&lt;&gt;"",MAX(0,ANAGRAFICA!$J137-ANAGRAFICA!$T137),MAX(0,$Y140-ANAGRAFICA!$J137)),0)))</f>
        <v/>
      </c>
      <c r="R140" s="17" t="str">
        <f t="shared" si="56"/>
        <v/>
      </c>
      <c r="S140" s="17" t="str">
        <f t="shared" si="57"/>
        <v/>
      </c>
      <c r="T140" s="17" t="str">
        <f t="shared" si="58"/>
        <v/>
      </c>
      <c r="U140" s="16" t="str">
        <f t="shared" si="59"/>
        <v/>
      </c>
      <c r="V140" s="16" t="str">
        <f t="shared" si="60"/>
        <v/>
      </c>
      <c r="W140" s="16" t="str">
        <f t="shared" si="61"/>
        <v/>
      </c>
      <c r="X140" s="40"/>
      <c r="Y140" s="14"/>
      <c r="AZ140" t="str">
        <f>IF($C140="","",ANAGRAFICA!$P137)</f>
        <v/>
      </c>
      <c r="BA140" t="str">
        <f>IF($C140="","",SUMIF('MOVIMENTI 2026'!$B$7:$B$4206,$C140,'MOVIMENTI 2026'!$I$7:$I$4206)+SUMIF('SALDI AL 31.12.2025'!$A$6:$A$505,$C140,'SALDI AL 31.12.2025'!$C$6:$C$505))</f>
        <v/>
      </c>
      <c r="BB140" t="str">
        <f>IF($C140="","",SUMIF('MOVIMENTI 2026'!$B$7:$B$4206,$C140,'MOVIMENTI 2026'!$J$7:$J$4206)+SUMIF('SALDI AL 31.12.2025'!$A$6:$A$505,$C140,'SALDI AL 31.12.2025'!$D$6:$D$505))</f>
        <v/>
      </c>
      <c r="BC140" t="str">
        <f>IF($C140="","",SUMIF('MOVIMENTI 2026'!$B$7:$B$4206,$C140,'MOVIMENTI 2026'!$K$7:$K$4206)+SUMIF('SALDI AL 31.12.2025'!$A$6:$A$505,$C140,'SALDI AL 31.12.2025'!$E$6:$E$505))</f>
        <v/>
      </c>
      <c r="BD140" t="str">
        <f>IF($C140="","",SUMIF('MOVIMENTI 2026'!$B$7:$B$4206,$C140,'MOVIMENTI 2026'!$L$7:$L$4206)+SUMIF('SALDI AL 31.12.2025'!$A$6:$A$505,$C140,'SALDI AL 31.12.2025'!$F$6:$F$505))</f>
        <v/>
      </c>
      <c r="BE140" t="str">
        <f t="shared" si="62"/>
        <v/>
      </c>
      <c r="BF140" t="str">
        <f t="shared" si="63"/>
        <v/>
      </c>
      <c r="BG140" t="str">
        <f t="shared" si="64"/>
        <v/>
      </c>
      <c r="BH140" t="str">
        <f>IFERROR(IF(OR($C140="",ANAGRAFICA!$I137="",ANAGRAFICA!$J137="",ANAGRAFICA!$J137&lt;=ANAGRAFICA!$I137,$Y140=""),"",IF(OR($I140="Finito ritenute non previste",$I140="Finito con sblocco ritenute",$I140="Finito senza sblocco ritenute"),1,MAX(0,MIN(1,($Y140-ANAGRAFICA!$I137)/(ANAGRAFICA!$J137-ANAGRAFICA!$I137))))),"")</f>
        <v/>
      </c>
      <c r="BI140" t="str">
        <f t="shared" si="65"/>
        <v/>
      </c>
      <c r="BJ140" t="str">
        <f>IFERROR(IF($C140="","",'BUDGET COMMESSA'!$D137),"")</f>
        <v/>
      </c>
      <c r="BK140" t="str">
        <f>IF($C140="","",SUMIF('MOVIMENTI 2026'!$B$7:$B$4206,$C140,'MOVIMENTI 2026'!$N$7:$N$4206)+SUMIF('SALDI AL 31.12.2025'!$A$6:$A$505,$C140,'SALDI AL 31.12.2025'!$H$6:$H$505))</f>
        <v/>
      </c>
      <c r="BL140" t="str">
        <f t="shared" si="66"/>
        <v/>
      </c>
      <c r="BM140" t="str">
        <f t="shared" si="67"/>
        <v/>
      </c>
      <c r="BN140" t="str">
        <f t="shared" si="68"/>
        <v/>
      </c>
      <c r="BO140" t="str">
        <f>IFERROR(IF($C140="","",'BUDGET COMMESSA'!$G137),"")</f>
        <v/>
      </c>
      <c r="BP140" t="str">
        <f>IF($C140="","",SUMIF('COSTI DIRETTI'!$C$6:$C$505,$C140,'COSTI DIRETTI'!$H$6:$H$505)+SUMIF('SALDI AL 31.12.2025'!$A$6:$A$505,$C140,'SALDI AL 31.12.2025'!$I$6:$I$505))</f>
        <v/>
      </c>
      <c r="BQ140" t="str">
        <f t="shared" si="69"/>
        <v/>
      </c>
      <c r="BR140" t="str">
        <f t="shared" si="70"/>
        <v/>
      </c>
      <c r="BS140" t="str">
        <f>IF($C140="","",$BK140*PARAMETRI!$B$4+$BP140)</f>
        <v/>
      </c>
      <c r="BT140">
        <f t="shared" si="71"/>
        <v>0</v>
      </c>
      <c r="BU140">
        <f t="shared" si="72"/>
        <v>0</v>
      </c>
      <c r="BV140" t="str">
        <f>IF($C140="","",SUMIF('MOVIMENTI 2026'!$B$7:$B$4206,$C140,'MOVIMENTI 2026'!$P$7:$P$4206)+SUMIF('SALDI AL 31.12.2025'!$A$6:$A$505,$C140,'SALDI AL 31.12.2025'!$G$6:$G$505))</f>
        <v/>
      </c>
    </row>
    <row r="141" spans="1:74" ht="16" x14ac:dyDescent="0.15">
      <c r="A141" s="17" t="str">
        <f>IFERROR(IF($C141="","",IF(OR($BF141&gt;0,$V141&gt;$J141,AND(ISNUMBER($Q141),$Q141&gt;0),AND($BI141&lt;&gt;"",$BI141&lt;-PARAMETRI!$B$6),AND($BM141&lt;&gt;"",$BM141&gt;=1),AND($BN141&lt;&gt;"",$BN141&gt;PARAMETRI!$B$8),AND(ISNUMBER($BR141),$BR141&gt;0)),"CRITICO",IF(OR($AZ141="",LEFT($C141,5)="TEMP",$BJ141="",$BO141="",ANAGRAFICA!$I138="",ANAGRAFICA!$J138="",$Y141="",AND(OR($I141="Finito ritenute non previste",$I141="Finito con sblocco ritenute",$I141="Finito senza sblocco ritenute"),ANAGRAFICA!$K138=""),OR(AND(ANAGRAFICA!$T138&lt;&gt;"",ANAGRAFICA!$J138&lt;&gt;ANAGRAFICA!$T138,OR(ANAGRAFICA!$R138="",ANAGRAFICA!$R138="Nessuna variazione")),AND(ANAGRAFICA!$J138="",ANAGRAFICA!$R138&lt;&gt;"",ANAGRAFICA!$R138&lt;&gt;"Nessuna variazione")),AND($BI141&lt;&gt;"",$BI141&lt;-PARAMETRI!$B$5),AND($BN141&lt;&gt;"",$BN141&gt;PARAMETRI!$B$7),AND($W141&gt;0,$M141&gt;$W141*PARAMETRI!$B$9),AND($O141&gt;0,OR($I141="Finito ritenute non previste",$I141="Finito con sblocco ritenute",$I141="Finito senza sblocco ritenute")),AND($BA141&gt;0,$BO141&gt;0,$BP141=0),AND(OR($I141="Finito ritenute non previste",$I141="Finito con sblocco ritenute",$I141="Finito senza sblocco ritenute"),$W141&gt;0,$N141&gt;$W141*PARAMETRI!$B$9),$V141&gt;0),"ATTENZIONE","REGOLARE"))),"ATTENZIONE")</f>
        <v/>
      </c>
      <c r="B141" s="17" t="str">
        <f>IFERROR(IF($C141="","",IF($BF141&gt;0,"FATTURATO OLTRE VALORE RECUPERABILE; ","")&amp;IF($V141&gt;$J141,"PERDITE ACCETTATE OLTRE CONTRATTO; ","")&amp;IF($V141&gt;0,"PERDITA SAL ACCETTATA (€ "&amp;TEXT($V141,"#,##0.00")&amp;"); ","")&amp;IF(AND(ISNUMBER($Q141),$Q141&gt;0),"RITARDO PRODUTTIVO ("&amp;TEXT($Q141,"0")&amp;" GG); ","")&amp;IF(AND($BI141&lt;&gt;"",$BI141&lt;-PARAMETRI!$B$5),"AVANZAMENTO PIÙ LENTO DEL TEMPO; ","")&amp;IF(AND($BM141&lt;&gt;"",$BM141&gt;1),"ORE OLTRE BUDGET; ","")&amp;IF(AND($BM141&lt;&gt;"",$BM141=1),"ORE PREVENTIVATE ESAURITE; ","")&amp;IF(AND($BN141&lt;&gt;"",$BN141&gt;PARAMETRI!$B$7),"CONSUMO ORE SUPERIORE ALL'AVANZAMENTO; ","")&amp;IF(AND(ISNUMBER($BR141),$BR141&gt;0),"COSTI DIRETTI OLTRE BUDGET; ","")&amp;IF(AND($W141&gt;0,$M141&gt;$W141*PARAMETRI!$B$9),"SAL MATURATO NON FATTURATO; ","")&amp;IF(AND($O141&gt;0,OR($I141="Finito ritenute non previste",$I141="Finito con sblocco ritenute",$I141="Finito senza sblocco ritenute")),"RITENUTE DA SBLOCCARE; ","")&amp;IF(AND($BA141&gt;0,$BO141&gt;0,$BP141=0),"COSTI DIRETTI NON REGISTRATI; ","")&amp;IF(AND(OR($I141="Finito ritenute non previste",$I141="Finito con sblocco ritenute",$I141="Finito senza sblocco ritenute"),$W141&gt;0,$N141&gt;$W141*PARAMETRI!$B$9),"CANTIERE FINITO CON RESIDUO LAVORI; ","")&amp;IF(AND(OR($I141="Finito ritenute non previste",$I141="Finito con sblocco ritenute",$I141="Finito senza sblocco ritenute"),ANAGRAFICA!$K138=""),"DATA FINE EFFETTIVA MANCANTE; ","")&amp;IF(OR(AND(ANAGRAFICA!$T138&lt;&gt;"",ANAGRAFICA!$J138&lt;&gt;ANAGRAFICA!$T138,OR(ANAGRAFICA!$R138="",ANAGRAFICA!$R138="Nessuna variazione")),AND(ANAGRAFICA!$J138="",ANAGRAFICA!$R138&lt;&gt;"",ANAGRAFICA!$R138&lt;&gt;"Nessuna variazione")),"GESTIONE DATA FINE INCOMPLETA; ","")&amp;IF($Y141="","AGGIORNATO AL MANCANTE; ","")&amp;IF(OR($AZ141="",$BJ141="",$BO141="",ANAGRAFICA!$I138="",ANAGRAFICA!$J138=""),"DATI PREVISIONALI INCOMPLETI; ","")&amp;IF(LEFT($C141,5)="TEMP","CODICE COMMESSA TEMPORANEO; ","")),"DATI INCOMPLETI; ")</f>
        <v/>
      </c>
      <c r="C141" s="17" t="str">
        <f>IF(ANAGRAFICA!$B138="","",ANAGRAFICA!$B138)</f>
        <v/>
      </c>
      <c r="D141" s="17" t="str">
        <f>IF($C141="","",ANAGRAFICA!$C138)</f>
        <v/>
      </c>
      <c r="E141" s="17" t="str">
        <f>IF($C141="","",ANAGRAFICA!$D138)</f>
        <v/>
      </c>
      <c r="F141" s="17" t="str">
        <f>IF($C141="","",ANAGRAFICA!$E138)</f>
        <v/>
      </c>
      <c r="G141" s="17" t="str">
        <f>IF($C141="","",ANAGRAFICA!$F138)</f>
        <v/>
      </c>
      <c r="H141" s="17" t="str">
        <f>IF($C141="","",ANAGRAFICA!$G138)</f>
        <v/>
      </c>
      <c r="I141" s="17" t="str">
        <f>IF($C141="","",ANAGRAFICA!$L138)</f>
        <v/>
      </c>
      <c r="J141" s="16" t="str">
        <f t="shared" si="49"/>
        <v/>
      </c>
      <c r="K141" s="16" t="str">
        <f t="shared" si="50"/>
        <v/>
      </c>
      <c r="L141" s="16" t="str">
        <f t="shared" si="51"/>
        <v/>
      </c>
      <c r="M141" s="16" t="str">
        <f t="shared" si="52"/>
        <v/>
      </c>
      <c r="N141" s="16" t="str">
        <f t="shared" si="53"/>
        <v/>
      </c>
      <c r="O141" s="16" t="str">
        <f t="shared" si="54"/>
        <v/>
      </c>
      <c r="P141" s="17" t="str">
        <f t="shared" si="55"/>
        <v/>
      </c>
      <c r="Q141" s="31" t="str">
        <f>IF(OR($C141="",'BUDGET COMMESSA'!$D138="",'BUDGET COMMESSA'!$D138&lt;=0,ANAGRAFICA!$J138=""),"",IF(OR($I141="Finito ritenute non previste",$I141="Finito con sblocco ritenute",$I141="Finito senza sblocco ritenute"),0,IF(AND($BK141&gt;=$BJ141,ANAGRAFICA!$R138="Ritardo produttivo FIDA"),IF(ANAGRAFICA!$T138&lt;&gt;"",MAX(0,ANAGRAFICA!$J138-ANAGRAFICA!$T138),MAX(0,$Y141-ANAGRAFICA!$J138)),0)))</f>
        <v/>
      </c>
      <c r="R141" s="17" t="str">
        <f t="shared" si="56"/>
        <v/>
      </c>
      <c r="S141" s="17" t="str">
        <f t="shared" si="57"/>
        <v/>
      </c>
      <c r="T141" s="17" t="str">
        <f t="shared" si="58"/>
        <v/>
      </c>
      <c r="U141" s="16" t="str">
        <f t="shared" si="59"/>
        <v/>
      </c>
      <c r="V141" s="16" t="str">
        <f t="shared" si="60"/>
        <v/>
      </c>
      <c r="W141" s="16" t="str">
        <f t="shared" si="61"/>
        <v/>
      </c>
      <c r="X141" s="40"/>
      <c r="Y141" s="14"/>
      <c r="AZ141" t="str">
        <f>IF($C141="","",ANAGRAFICA!$P138)</f>
        <v/>
      </c>
      <c r="BA141" t="str">
        <f>IF($C141="","",SUMIF('MOVIMENTI 2026'!$B$7:$B$4206,$C141,'MOVIMENTI 2026'!$I$7:$I$4206)+SUMIF('SALDI AL 31.12.2025'!$A$6:$A$505,$C141,'SALDI AL 31.12.2025'!$C$6:$C$505))</f>
        <v/>
      </c>
      <c r="BB141" t="str">
        <f>IF($C141="","",SUMIF('MOVIMENTI 2026'!$B$7:$B$4206,$C141,'MOVIMENTI 2026'!$J$7:$J$4206)+SUMIF('SALDI AL 31.12.2025'!$A$6:$A$505,$C141,'SALDI AL 31.12.2025'!$D$6:$D$505))</f>
        <v/>
      </c>
      <c r="BC141" t="str">
        <f>IF($C141="","",SUMIF('MOVIMENTI 2026'!$B$7:$B$4206,$C141,'MOVIMENTI 2026'!$K$7:$K$4206)+SUMIF('SALDI AL 31.12.2025'!$A$6:$A$505,$C141,'SALDI AL 31.12.2025'!$E$6:$E$505))</f>
        <v/>
      </c>
      <c r="BD141" t="str">
        <f>IF($C141="","",SUMIF('MOVIMENTI 2026'!$B$7:$B$4206,$C141,'MOVIMENTI 2026'!$L$7:$L$4206)+SUMIF('SALDI AL 31.12.2025'!$A$6:$A$505,$C141,'SALDI AL 31.12.2025'!$F$6:$F$505))</f>
        <v/>
      </c>
      <c r="BE141" t="str">
        <f t="shared" si="62"/>
        <v/>
      </c>
      <c r="BF141" t="str">
        <f t="shared" si="63"/>
        <v/>
      </c>
      <c r="BG141" t="str">
        <f t="shared" si="64"/>
        <v/>
      </c>
      <c r="BH141" t="str">
        <f>IFERROR(IF(OR($C141="",ANAGRAFICA!$I138="",ANAGRAFICA!$J138="",ANAGRAFICA!$J138&lt;=ANAGRAFICA!$I138,$Y141=""),"",IF(OR($I141="Finito ritenute non previste",$I141="Finito con sblocco ritenute",$I141="Finito senza sblocco ritenute"),1,MAX(0,MIN(1,($Y141-ANAGRAFICA!$I138)/(ANAGRAFICA!$J138-ANAGRAFICA!$I138))))),"")</f>
        <v/>
      </c>
      <c r="BI141" t="str">
        <f t="shared" si="65"/>
        <v/>
      </c>
      <c r="BJ141" t="str">
        <f>IFERROR(IF($C141="","",'BUDGET COMMESSA'!$D138),"")</f>
        <v/>
      </c>
      <c r="BK141" t="str">
        <f>IF($C141="","",SUMIF('MOVIMENTI 2026'!$B$7:$B$4206,$C141,'MOVIMENTI 2026'!$N$7:$N$4206)+SUMIF('SALDI AL 31.12.2025'!$A$6:$A$505,$C141,'SALDI AL 31.12.2025'!$H$6:$H$505))</f>
        <v/>
      </c>
      <c r="BL141" t="str">
        <f t="shared" si="66"/>
        <v/>
      </c>
      <c r="BM141" t="str">
        <f t="shared" si="67"/>
        <v/>
      </c>
      <c r="BN141" t="str">
        <f t="shared" si="68"/>
        <v/>
      </c>
      <c r="BO141" t="str">
        <f>IFERROR(IF($C141="","",'BUDGET COMMESSA'!$G138),"")</f>
        <v/>
      </c>
      <c r="BP141" t="str">
        <f>IF($C141="","",SUMIF('COSTI DIRETTI'!$C$6:$C$505,$C141,'COSTI DIRETTI'!$H$6:$H$505)+SUMIF('SALDI AL 31.12.2025'!$A$6:$A$505,$C141,'SALDI AL 31.12.2025'!$I$6:$I$505))</f>
        <v/>
      </c>
      <c r="BQ141" t="str">
        <f t="shared" si="69"/>
        <v/>
      </c>
      <c r="BR141" t="str">
        <f t="shared" si="70"/>
        <v/>
      </c>
      <c r="BS141" t="str">
        <f>IF($C141="","",$BK141*PARAMETRI!$B$4+$BP141)</f>
        <v/>
      </c>
      <c r="BT141">
        <f t="shared" si="71"/>
        <v>0</v>
      </c>
      <c r="BU141">
        <f t="shared" si="72"/>
        <v>0</v>
      </c>
      <c r="BV141" t="str">
        <f>IF($C141="","",SUMIF('MOVIMENTI 2026'!$B$7:$B$4206,$C141,'MOVIMENTI 2026'!$P$7:$P$4206)+SUMIF('SALDI AL 31.12.2025'!$A$6:$A$505,$C141,'SALDI AL 31.12.2025'!$G$6:$G$505))</f>
        <v/>
      </c>
    </row>
    <row r="142" spans="1:74" ht="16" x14ac:dyDescent="0.15">
      <c r="A142" s="17" t="str">
        <f>IFERROR(IF($C142="","",IF(OR($BF142&gt;0,$V142&gt;$J142,AND(ISNUMBER($Q142),$Q142&gt;0),AND($BI142&lt;&gt;"",$BI142&lt;-PARAMETRI!$B$6),AND($BM142&lt;&gt;"",$BM142&gt;=1),AND($BN142&lt;&gt;"",$BN142&gt;PARAMETRI!$B$8),AND(ISNUMBER($BR142),$BR142&gt;0)),"CRITICO",IF(OR($AZ142="",LEFT($C142,5)="TEMP",$BJ142="",$BO142="",ANAGRAFICA!$I139="",ANAGRAFICA!$J139="",$Y142="",AND(OR($I142="Finito ritenute non previste",$I142="Finito con sblocco ritenute",$I142="Finito senza sblocco ritenute"),ANAGRAFICA!$K139=""),OR(AND(ANAGRAFICA!$T139&lt;&gt;"",ANAGRAFICA!$J139&lt;&gt;ANAGRAFICA!$T139,OR(ANAGRAFICA!$R139="",ANAGRAFICA!$R139="Nessuna variazione")),AND(ANAGRAFICA!$J139="",ANAGRAFICA!$R139&lt;&gt;"",ANAGRAFICA!$R139&lt;&gt;"Nessuna variazione")),AND($BI142&lt;&gt;"",$BI142&lt;-PARAMETRI!$B$5),AND($BN142&lt;&gt;"",$BN142&gt;PARAMETRI!$B$7),AND($W142&gt;0,$M142&gt;$W142*PARAMETRI!$B$9),AND($O142&gt;0,OR($I142="Finito ritenute non previste",$I142="Finito con sblocco ritenute",$I142="Finito senza sblocco ritenute")),AND($BA142&gt;0,$BO142&gt;0,$BP142=0),AND(OR($I142="Finito ritenute non previste",$I142="Finito con sblocco ritenute",$I142="Finito senza sblocco ritenute"),$W142&gt;0,$N142&gt;$W142*PARAMETRI!$B$9),$V142&gt;0),"ATTENZIONE","REGOLARE"))),"ATTENZIONE")</f>
        <v/>
      </c>
      <c r="B142" s="17" t="str">
        <f>IFERROR(IF($C142="","",IF($BF142&gt;0,"FATTURATO OLTRE VALORE RECUPERABILE; ","")&amp;IF($V142&gt;$J142,"PERDITE ACCETTATE OLTRE CONTRATTO; ","")&amp;IF($V142&gt;0,"PERDITA SAL ACCETTATA (€ "&amp;TEXT($V142,"#,##0.00")&amp;"); ","")&amp;IF(AND(ISNUMBER($Q142),$Q142&gt;0),"RITARDO PRODUTTIVO ("&amp;TEXT($Q142,"0")&amp;" GG); ","")&amp;IF(AND($BI142&lt;&gt;"",$BI142&lt;-PARAMETRI!$B$5),"AVANZAMENTO PIÙ LENTO DEL TEMPO; ","")&amp;IF(AND($BM142&lt;&gt;"",$BM142&gt;1),"ORE OLTRE BUDGET; ","")&amp;IF(AND($BM142&lt;&gt;"",$BM142=1),"ORE PREVENTIVATE ESAURITE; ","")&amp;IF(AND($BN142&lt;&gt;"",$BN142&gt;PARAMETRI!$B$7),"CONSUMO ORE SUPERIORE ALL'AVANZAMENTO; ","")&amp;IF(AND(ISNUMBER($BR142),$BR142&gt;0),"COSTI DIRETTI OLTRE BUDGET; ","")&amp;IF(AND($W142&gt;0,$M142&gt;$W142*PARAMETRI!$B$9),"SAL MATURATO NON FATTURATO; ","")&amp;IF(AND($O142&gt;0,OR($I142="Finito ritenute non previste",$I142="Finito con sblocco ritenute",$I142="Finito senza sblocco ritenute")),"RITENUTE DA SBLOCCARE; ","")&amp;IF(AND($BA142&gt;0,$BO142&gt;0,$BP142=0),"COSTI DIRETTI NON REGISTRATI; ","")&amp;IF(AND(OR($I142="Finito ritenute non previste",$I142="Finito con sblocco ritenute",$I142="Finito senza sblocco ritenute"),$W142&gt;0,$N142&gt;$W142*PARAMETRI!$B$9),"CANTIERE FINITO CON RESIDUO LAVORI; ","")&amp;IF(AND(OR($I142="Finito ritenute non previste",$I142="Finito con sblocco ritenute",$I142="Finito senza sblocco ritenute"),ANAGRAFICA!$K139=""),"DATA FINE EFFETTIVA MANCANTE; ","")&amp;IF(OR(AND(ANAGRAFICA!$T139&lt;&gt;"",ANAGRAFICA!$J139&lt;&gt;ANAGRAFICA!$T139,OR(ANAGRAFICA!$R139="",ANAGRAFICA!$R139="Nessuna variazione")),AND(ANAGRAFICA!$J139="",ANAGRAFICA!$R139&lt;&gt;"",ANAGRAFICA!$R139&lt;&gt;"Nessuna variazione")),"GESTIONE DATA FINE INCOMPLETA; ","")&amp;IF($Y142="","AGGIORNATO AL MANCANTE; ","")&amp;IF(OR($AZ142="",$BJ142="",$BO142="",ANAGRAFICA!$I139="",ANAGRAFICA!$J139=""),"DATI PREVISIONALI INCOMPLETI; ","")&amp;IF(LEFT($C142,5)="TEMP","CODICE COMMESSA TEMPORANEO; ","")),"DATI INCOMPLETI; ")</f>
        <v/>
      </c>
      <c r="C142" s="17" t="str">
        <f>IF(ANAGRAFICA!$B139="","",ANAGRAFICA!$B139)</f>
        <v/>
      </c>
      <c r="D142" s="17" t="str">
        <f>IF($C142="","",ANAGRAFICA!$C139)</f>
        <v/>
      </c>
      <c r="E142" s="17" t="str">
        <f>IF($C142="","",ANAGRAFICA!$D139)</f>
        <v/>
      </c>
      <c r="F142" s="17" t="str">
        <f>IF($C142="","",ANAGRAFICA!$E139)</f>
        <v/>
      </c>
      <c r="G142" s="17" t="str">
        <f>IF($C142="","",ANAGRAFICA!$F139)</f>
        <v/>
      </c>
      <c r="H142" s="17" t="str">
        <f>IF($C142="","",ANAGRAFICA!$G139)</f>
        <v/>
      </c>
      <c r="I142" s="17" t="str">
        <f>IF($C142="","",ANAGRAFICA!$L139)</f>
        <v/>
      </c>
      <c r="J142" s="16" t="str">
        <f t="shared" si="49"/>
        <v/>
      </c>
      <c r="K142" s="16" t="str">
        <f t="shared" si="50"/>
        <v/>
      </c>
      <c r="L142" s="16" t="str">
        <f t="shared" si="51"/>
        <v/>
      </c>
      <c r="M142" s="16" t="str">
        <f t="shared" si="52"/>
        <v/>
      </c>
      <c r="N142" s="16" t="str">
        <f t="shared" si="53"/>
        <v/>
      </c>
      <c r="O142" s="16" t="str">
        <f t="shared" si="54"/>
        <v/>
      </c>
      <c r="P142" s="17" t="str">
        <f t="shared" si="55"/>
        <v/>
      </c>
      <c r="Q142" s="31" t="str">
        <f>IF(OR($C142="",'BUDGET COMMESSA'!$D139="",'BUDGET COMMESSA'!$D139&lt;=0,ANAGRAFICA!$J139=""),"",IF(OR($I142="Finito ritenute non previste",$I142="Finito con sblocco ritenute",$I142="Finito senza sblocco ritenute"),0,IF(AND($BK142&gt;=$BJ142,ANAGRAFICA!$R139="Ritardo produttivo FIDA"),IF(ANAGRAFICA!$T139&lt;&gt;"",MAX(0,ANAGRAFICA!$J139-ANAGRAFICA!$T139),MAX(0,$Y142-ANAGRAFICA!$J139)),0)))</f>
        <v/>
      </c>
      <c r="R142" s="17" t="str">
        <f t="shared" si="56"/>
        <v/>
      </c>
      <c r="S142" s="17" t="str">
        <f t="shared" si="57"/>
        <v/>
      </c>
      <c r="T142" s="17" t="str">
        <f t="shared" si="58"/>
        <v/>
      </c>
      <c r="U142" s="16" t="str">
        <f t="shared" si="59"/>
        <v/>
      </c>
      <c r="V142" s="16" t="str">
        <f t="shared" si="60"/>
        <v/>
      </c>
      <c r="W142" s="16" t="str">
        <f t="shared" si="61"/>
        <v/>
      </c>
      <c r="X142" s="40"/>
      <c r="Y142" s="14"/>
      <c r="AZ142" t="str">
        <f>IF($C142="","",ANAGRAFICA!$P139)</f>
        <v/>
      </c>
      <c r="BA142" t="str">
        <f>IF($C142="","",SUMIF('MOVIMENTI 2026'!$B$7:$B$4206,$C142,'MOVIMENTI 2026'!$I$7:$I$4206)+SUMIF('SALDI AL 31.12.2025'!$A$6:$A$505,$C142,'SALDI AL 31.12.2025'!$C$6:$C$505))</f>
        <v/>
      </c>
      <c r="BB142" t="str">
        <f>IF($C142="","",SUMIF('MOVIMENTI 2026'!$B$7:$B$4206,$C142,'MOVIMENTI 2026'!$J$7:$J$4206)+SUMIF('SALDI AL 31.12.2025'!$A$6:$A$505,$C142,'SALDI AL 31.12.2025'!$D$6:$D$505))</f>
        <v/>
      </c>
      <c r="BC142" t="str">
        <f>IF($C142="","",SUMIF('MOVIMENTI 2026'!$B$7:$B$4206,$C142,'MOVIMENTI 2026'!$K$7:$K$4206)+SUMIF('SALDI AL 31.12.2025'!$A$6:$A$505,$C142,'SALDI AL 31.12.2025'!$E$6:$E$505))</f>
        <v/>
      </c>
      <c r="BD142" t="str">
        <f>IF($C142="","",SUMIF('MOVIMENTI 2026'!$B$7:$B$4206,$C142,'MOVIMENTI 2026'!$L$7:$L$4206)+SUMIF('SALDI AL 31.12.2025'!$A$6:$A$505,$C142,'SALDI AL 31.12.2025'!$F$6:$F$505))</f>
        <v/>
      </c>
      <c r="BE142" t="str">
        <f t="shared" si="62"/>
        <v/>
      </c>
      <c r="BF142" t="str">
        <f t="shared" si="63"/>
        <v/>
      </c>
      <c r="BG142" t="str">
        <f t="shared" si="64"/>
        <v/>
      </c>
      <c r="BH142" t="str">
        <f>IFERROR(IF(OR($C142="",ANAGRAFICA!$I139="",ANAGRAFICA!$J139="",ANAGRAFICA!$J139&lt;=ANAGRAFICA!$I139,$Y142=""),"",IF(OR($I142="Finito ritenute non previste",$I142="Finito con sblocco ritenute",$I142="Finito senza sblocco ritenute"),1,MAX(0,MIN(1,($Y142-ANAGRAFICA!$I139)/(ANAGRAFICA!$J139-ANAGRAFICA!$I139))))),"")</f>
        <v/>
      </c>
      <c r="BI142" t="str">
        <f t="shared" si="65"/>
        <v/>
      </c>
      <c r="BJ142" t="str">
        <f>IFERROR(IF($C142="","",'BUDGET COMMESSA'!$D139),"")</f>
        <v/>
      </c>
      <c r="BK142" t="str">
        <f>IF($C142="","",SUMIF('MOVIMENTI 2026'!$B$7:$B$4206,$C142,'MOVIMENTI 2026'!$N$7:$N$4206)+SUMIF('SALDI AL 31.12.2025'!$A$6:$A$505,$C142,'SALDI AL 31.12.2025'!$H$6:$H$505))</f>
        <v/>
      </c>
      <c r="BL142" t="str">
        <f t="shared" si="66"/>
        <v/>
      </c>
      <c r="BM142" t="str">
        <f t="shared" si="67"/>
        <v/>
      </c>
      <c r="BN142" t="str">
        <f t="shared" si="68"/>
        <v/>
      </c>
      <c r="BO142" t="str">
        <f>IFERROR(IF($C142="","",'BUDGET COMMESSA'!$G139),"")</f>
        <v/>
      </c>
      <c r="BP142" t="str">
        <f>IF($C142="","",SUMIF('COSTI DIRETTI'!$C$6:$C$505,$C142,'COSTI DIRETTI'!$H$6:$H$505)+SUMIF('SALDI AL 31.12.2025'!$A$6:$A$505,$C142,'SALDI AL 31.12.2025'!$I$6:$I$505))</f>
        <v/>
      </c>
      <c r="BQ142" t="str">
        <f t="shared" si="69"/>
        <v/>
      </c>
      <c r="BR142" t="str">
        <f t="shared" si="70"/>
        <v/>
      </c>
      <c r="BS142" t="str">
        <f>IF($C142="","",$BK142*PARAMETRI!$B$4+$BP142)</f>
        <v/>
      </c>
      <c r="BT142">
        <f t="shared" si="71"/>
        <v>0</v>
      </c>
      <c r="BU142">
        <f t="shared" si="72"/>
        <v>0</v>
      </c>
      <c r="BV142" t="str">
        <f>IF($C142="","",SUMIF('MOVIMENTI 2026'!$B$7:$B$4206,$C142,'MOVIMENTI 2026'!$P$7:$P$4206)+SUMIF('SALDI AL 31.12.2025'!$A$6:$A$505,$C142,'SALDI AL 31.12.2025'!$G$6:$G$505))</f>
        <v/>
      </c>
    </row>
    <row r="143" spans="1:74" ht="16" x14ac:dyDescent="0.15">
      <c r="A143" s="17" t="str">
        <f>IFERROR(IF($C143="","",IF(OR($BF143&gt;0,$V143&gt;$J143,AND(ISNUMBER($Q143),$Q143&gt;0),AND($BI143&lt;&gt;"",$BI143&lt;-PARAMETRI!$B$6),AND($BM143&lt;&gt;"",$BM143&gt;=1),AND($BN143&lt;&gt;"",$BN143&gt;PARAMETRI!$B$8),AND(ISNUMBER($BR143),$BR143&gt;0)),"CRITICO",IF(OR($AZ143="",LEFT($C143,5)="TEMP",$BJ143="",$BO143="",ANAGRAFICA!$I140="",ANAGRAFICA!$J140="",$Y143="",AND(OR($I143="Finito ritenute non previste",$I143="Finito con sblocco ritenute",$I143="Finito senza sblocco ritenute"),ANAGRAFICA!$K140=""),OR(AND(ANAGRAFICA!$T140&lt;&gt;"",ANAGRAFICA!$J140&lt;&gt;ANAGRAFICA!$T140,OR(ANAGRAFICA!$R140="",ANAGRAFICA!$R140="Nessuna variazione")),AND(ANAGRAFICA!$J140="",ANAGRAFICA!$R140&lt;&gt;"",ANAGRAFICA!$R140&lt;&gt;"Nessuna variazione")),AND($BI143&lt;&gt;"",$BI143&lt;-PARAMETRI!$B$5),AND($BN143&lt;&gt;"",$BN143&gt;PARAMETRI!$B$7),AND($W143&gt;0,$M143&gt;$W143*PARAMETRI!$B$9),AND($O143&gt;0,OR($I143="Finito ritenute non previste",$I143="Finito con sblocco ritenute",$I143="Finito senza sblocco ritenute")),AND($BA143&gt;0,$BO143&gt;0,$BP143=0),AND(OR($I143="Finito ritenute non previste",$I143="Finito con sblocco ritenute",$I143="Finito senza sblocco ritenute"),$W143&gt;0,$N143&gt;$W143*PARAMETRI!$B$9),$V143&gt;0),"ATTENZIONE","REGOLARE"))),"ATTENZIONE")</f>
        <v/>
      </c>
      <c r="B143" s="17" t="str">
        <f>IFERROR(IF($C143="","",IF($BF143&gt;0,"FATTURATO OLTRE VALORE RECUPERABILE; ","")&amp;IF($V143&gt;$J143,"PERDITE ACCETTATE OLTRE CONTRATTO; ","")&amp;IF($V143&gt;0,"PERDITA SAL ACCETTATA (€ "&amp;TEXT($V143,"#,##0.00")&amp;"); ","")&amp;IF(AND(ISNUMBER($Q143),$Q143&gt;0),"RITARDO PRODUTTIVO ("&amp;TEXT($Q143,"0")&amp;" GG); ","")&amp;IF(AND($BI143&lt;&gt;"",$BI143&lt;-PARAMETRI!$B$5),"AVANZAMENTO PIÙ LENTO DEL TEMPO; ","")&amp;IF(AND($BM143&lt;&gt;"",$BM143&gt;1),"ORE OLTRE BUDGET; ","")&amp;IF(AND($BM143&lt;&gt;"",$BM143=1),"ORE PREVENTIVATE ESAURITE; ","")&amp;IF(AND($BN143&lt;&gt;"",$BN143&gt;PARAMETRI!$B$7),"CONSUMO ORE SUPERIORE ALL'AVANZAMENTO; ","")&amp;IF(AND(ISNUMBER($BR143),$BR143&gt;0),"COSTI DIRETTI OLTRE BUDGET; ","")&amp;IF(AND($W143&gt;0,$M143&gt;$W143*PARAMETRI!$B$9),"SAL MATURATO NON FATTURATO; ","")&amp;IF(AND($O143&gt;0,OR($I143="Finito ritenute non previste",$I143="Finito con sblocco ritenute",$I143="Finito senza sblocco ritenute")),"RITENUTE DA SBLOCCARE; ","")&amp;IF(AND($BA143&gt;0,$BO143&gt;0,$BP143=0),"COSTI DIRETTI NON REGISTRATI; ","")&amp;IF(AND(OR($I143="Finito ritenute non previste",$I143="Finito con sblocco ritenute",$I143="Finito senza sblocco ritenute"),$W143&gt;0,$N143&gt;$W143*PARAMETRI!$B$9),"CANTIERE FINITO CON RESIDUO LAVORI; ","")&amp;IF(AND(OR($I143="Finito ritenute non previste",$I143="Finito con sblocco ritenute",$I143="Finito senza sblocco ritenute"),ANAGRAFICA!$K140=""),"DATA FINE EFFETTIVA MANCANTE; ","")&amp;IF(OR(AND(ANAGRAFICA!$T140&lt;&gt;"",ANAGRAFICA!$J140&lt;&gt;ANAGRAFICA!$T140,OR(ANAGRAFICA!$R140="",ANAGRAFICA!$R140="Nessuna variazione")),AND(ANAGRAFICA!$J140="",ANAGRAFICA!$R140&lt;&gt;"",ANAGRAFICA!$R140&lt;&gt;"Nessuna variazione")),"GESTIONE DATA FINE INCOMPLETA; ","")&amp;IF($Y143="","AGGIORNATO AL MANCANTE; ","")&amp;IF(OR($AZ143="",$BJ143="",$BO143="",ANAGRAFICA!$I140="",ANAGRAFICA!$J140=""),"DATI PREVISIONALI INCOMPLETI; ","")&amp;IF(LEFT($C143,5)="TEMP","CODICE COMMESSA TEMPORANEO; ","")),"DATI INCOMPLETI; ")</f>
        <v/>
      </c>
      <c r="C143" s="17" t="str">
        <f>IF(ANAGRAFICA!$B140="","",ANAGRAFICA!$B140)</f>
        <v/>
      </c>
      <c r="D143" s="17" t="str">
        <f>IF($C143="","",ANAGRAFICA!$C140)</f>
        <v/>
      </c>
      <c r="E143" s="17" t="str">
        <f>IF($C143="","",ANAGRAFICA!$D140)</f>
        <v/>
      </c>
      <c r="F143" s="17" t="str">
        <f>IF($C143="","",ANAGRAFICA!$E140)</f>
        <v/>
      </c>
      <c r="G143" s="17" t="str">
        <f>IF($C143="","",ANAGRAFICA!$F140)</f>
        <v/>
      </c>
      <c r="H143" s="17" t="str">
        <f>IF($C143="","",ANAGRAFICA!$G140)</f>
        <v/>
      </c>
      <c r="I143" s="17" t="str">
        <f>IF($C143="","",ANAGRAFICA!$L140)</f>
        <v/>
      </c>
      <c r="J143" s="16" t="str">
        <f t="shared" si="49"/>
        <v/>
      </c>
      <c r="K143" s="16" t="str">
        <f t="shared" si="50"/>
        <v/>
      </c>
      <c r="L143" s="16" t="str">
        <f t="shared" si="51"/>
        <v/>
      </c>
      <c r="M143" s="16" t="str">
        <f t="shared" si="52"/>
        <v/>
      </c>
      <c r="N143" s="16" t="str">
        <f t="shared" si="53"/>
        <v/>
      </c>
      <c r="O143" s="16" t="str">
        <f t="shared" si="54"/>
        <v/>
      </c>
      <c r="P143" s="17" t="str">
        <f t="shared" si="55"/>
        <v/>
      </c>
      <c r="Q143" s="31" t="str">
        <f>IF(OR($C143="",'BUDGET COMMESSA'!$D140="",'BUDGET COMMESSA'!$D140&lt;=0,ANAGRAFICA!$J140=""),"",IF(OR($I143="Finito ritenute non previste",$I143="Finito con sblocco ritenute",$I143="Finito senza sblocco ritenute"),0,IF(AND($BK143&gt;=$BJ143,ANAGRAFICA!$R140="Ritardo produttivo FIDA"),IF(ANAGRAFICA!$T140&lt;&gt;"",MAX(0,ANAGRAFICA!$J140-ANAGRAFICA!$T140),MAX(0,$Y143-ANAGRAFICA!$J140)),0)))</f>
        <v/>
      </c>
      <c r="R143" s="17" t="str">
        <f t="shared" si="56"/>
        <v/>
      </c>
      <c r="S143" s="17" t="str">
        <f t="shared" si="57"/>
        <v/>
      </c>
      <c r="T143" s="17" t="str">
        <f t="shared" si="58"/>
        <v/>
      </c>
      <c r="U143" s="16" t="str">
        <f t="shared" si="59"/>
        <v/>
      </c>
      <c r="V143" s="16" t="str">
        <f t="shared" si="60"/>
        <v/>
      </c>
      <c r="W143" s="16" t="str">
        <f t="shared" si="61"/>
        <v/>
      </c>
      <c r="X143" s="40"/>
      <c r="Y143" s="14"/>
      <c r="AZ143" t="str">
        <f>IF($C143="","",ANAGRAFICA!$P140)</f>
        <v/>
      </c>
      <c r="BA143" t="str">
        <f>IF($C143="","",SUMIF('MOVIMENTI 2026'!$B$7:$B$4206,$C143,'MOVIMENTI 2026'!$I$7:$I$4206)+SUMIF('SALDI AL 31.12.2025'!$A$6:$A$505,$C143,'SALDI AL 31.12.2025'!$C$6:$C$505))</f>
        <v/>
      </c>
      <c r="BB143" t="str">
        <f>IF($C143="","",SUMIF('MOVIMENTI 2026'!$B$7:$B$4206,$C143,'MOVIMENTI 2026'!$J$7:$J$4206)+SUMIF('SALDI AL 31.12.2025'!$A$6:$A$505,$C143,'SALDI AL 31.12.2025'!$D$6:$D$505))</f>
        <v/>
      </c>
      <c r="BC143" t="str">
        <f>IF($C143="","",SUMIF('MOVIMENTI 2026'!$B$7:$B$4206,$C143,'MOVIMENTI 2026'!$K$7:$K$4206)+SUMIF('SALDI AL 31.12.2025'!$A$6:$A$505,$C143,'SALDI AL 31.12.2025'!$E$6:$E$505))</f>
        <v/>
      </c>
      <c r="BD143" t="str">
        <f>IF($C143="","",SUMIF('MOVIMENTI 2026'!$B$7:$B$4206,$C143,'MOVIMENTI 2026'!$L$7:$L$4206)+SUMIF('SALDI AL 31.12.2025'!$A$6:$A$505,$C143,'SALDI AL 31.12.2025'!$F$6:$F$505))</f>
        <v/>
      </c>
      <c r="BE143" t="str">
        <f t="shared" si="62"/>
        <v/>
      </c>
      <c r="BF143" t="str">
        <f t="shared" si="63"/>
        <v/>
      </c>
      <c r="BG143" t="str">
        <f t="shared" si="64"/>
        <v/>
      </c>
      <c r="BH143" t="str">
        <f>IFERROR(IF(OR($C143="",ANAGRAFICA!$I140="",ANAGRAFICA!$J140="",ANAGRAFICA!$J140&lt;=ANAGRAFICA!$I140,$Y143=""),"",IF(OR($I143="Finito ritenute non previste",$I143="Finito con sblocco ritenute",$I143="Finito senza sblocco ritenute"),1,MAX(0,MIN(1,($Y143-ANAGRAFICA!$I140)/(ANAGRAFICA!$J140-ANAGRAFICA!$I140))))),"")</f>
        <v/>
      </c>
      <c r="BI143" t="str">
        <f t="shared" si="65"/>
        <v/>
      </c>
      <c r="BJ143" t="str">
        <f>IFERROR(IF($C143="","",'BUDGET COMMESSA'!$D140),"")</f>
        <v/>
      </c>
      <c r="BK143" t="str">
        <f>IF($C143="","",SUMIF('MOVIMENTI 2026'!$B$7:$B$4206,$C143,'MOVIMENTI 2026'!$N$7:$N$4206)+SUMIF('SALDI AL 31.12.2025'!$A$6:$A$505,$C143,'SALDI AL 31.12.2025'!$H$6:$H$505))</f>
        <v/>
      </c>
      <c r="BL143" t="str">
        <f t="shared" si="66"/>
        <v/>
      </c>
      <c r="BM143" t="str">
        <f t="shared" si="67"/>
        <v/>
      </c>
      <c r="BN143" t="str">
        <f t="shared" si="68"/>
        <v/>
      </c>
      <c r="BO143" t="str">
        <f>IFERROR(IF($C143="","",'BUDGET COMMESSA'!$G140),"")</f>
        <v/>
      </c>
      <c r="BP143" t="str">
        <f>IF($C143="","",SUMIF('COSTI DIRETTI'!$C$6:$C$505,$C143,'COSTI DIRETTI'!$H$6:$H$505)+SUMIF('SALDI AL 31.12.2025'!$A$6:$A$505,$C143,'SALDI AL 31.12.2025'!$I$6:$I$505))</f>
        <v/>
      </c>
      <c r="BQ143" t="str">
        <f t="shared" si="69"/>
        <v/>
      </c>
      <c r="BR143" t="str">
        <f t="shared" si="70"/>
        <v/>
      </c>
      <c r="BS143" t="str">
        <f>IF($C143="","",$BK143*PARAMETRI!$B$4+$BP143)</f>
        <v/>
      </c>
      <c r="BT143">
        <f t="shared" si="71"/>
        <v>0</v>
      </c>
      <c r="BU143">
        <f t="shared" si="72"/>
        <v>0</v>
      </c>
      <c r="BV143" t="str">
        <f>IF($C143="","",SUMIF('MOVIMENTI 2026'!$B$7:$B$4206,$C143,'MOVIMENTI 2026'!$P$7:$P$4206)+SUMIF('SALDI AL 31.12.2025'!$A$6:$A$505,$C143,'SALDI AL 31.12.2025'!$G$6:$G$505))</f>
        <v/>
      </c>
    </row>
    <row r="144" spans="1:74" ht="16" x14ac:dyDescent="0.15">
      <c r="A144" s="17" t="str">
        <f>IFERROR(IF($C144="","",IF(OR($BF144&gt;0,$V144&gt;$J144,AND(ISNUMBER($Q144),$Q144&gt;0),AND($BI144&lt;&gt;"",$BI144&lt;-PARAMETRI!$B$6),AND($BM144&lt;&gt;"",$BM144&gt;=1),AND($BN144&lt;&gt;"",$BN144&gt;PARAMETRI!$B$8),AND(ISNUMBER($BR144),$BR144&gt;0)),"CRITICO",IF(OR($AZ144="",LEFT($C144,5)="TEMP",$BJ144="",$BO144="",ANAGRAFICA!$I141="",ANAGRAFICA!$J141="",$Y144="",AND(OR($I144="Finito ritenute non previste",$I144="Finito con sblocco ritenute",$I144="Finito senza sblocco ritenute"),ANAGRAFICA!$K141=""),OR(AND(ANAGRAFICA!$T141&lt;&gt;"",ANAGRAFICA!$J141&lt;&gt;ANAGRAFICA!$T141,OR(ANAGRAFICA!$R141="",ANAGRAFICA!$R141="Nessuna variazione")),AND(ANAGRAFICA!$J141="",ANAGRAFICA!$R141&lt;&gt;"",ANAGRAFICA!$R141&lt;&gt;"Nessuna variazione")),AND($BI144&lt;&gt;"",$BI144&lt;-PARAMETRI!$B$5),AND($BN144&lt;&gt;"",$BN144&gt;PARAMETRI!$B$7),AND($W144&gt;0,$M144&gt;$W144*PARAMETRI!$B$9),AND($O144&gt;0,OR($I144="Finito ritenute non previste",$I144="Finito con sblocco ritenute",$I144="Finito senza sblocco ritenute")),AND($BA144&gt;0,$BO144&gt;0,$BP144=0),AND(OR($I144="Finito ritenute non previste",$I144="Finito con sblocco ritenute",$I144="Finito senza sblocco ritenute"),$W144&gt;0,$N144&gt;$W144*PARAMETRI!$B$9),$V144&gt;0),"ATTENZIONE","REGOLARE"))),"ATTENZIONE")</f>
        <v/>
      </c>
      <c r="B144" s="17" t="str">
        <f>IFERROR(IF($C144="","",IF($BF144&gt;0,"FATTURATO OLTRE VALORE RECUPERABILE; ","")&amp;IF($V144&gt;$J144,"PERDITE ACCETTATE OLTRE CONTRATTO; ","")&amp;IF($V144&gt;0,"PERDITA SAL ACCETTATA (€ "&amp;TEXT($V144,"#,##0.00")&amp;"); ","")&amp;IF(AND(ISNUMBER($Q144),$Q144&gt;0),"RITARDO PRODUTTIVO ("&amp;TEXT($Q144,"0")&amp;" GG); ","")&amp;IF(AND($BI144&lt;&gt;"",$BI144&lt;-PARAMETRI!$B$5),"AVANZAMENTO PIÙ LENTO DEL TEMPO; ","")&amp;IF(AND($BM144&lt;&gt;"",$BM144&gt;1),"ORE OLTRE BUDGET; ","")&amp;IF(AND($BM144&lt;&gt;"",$BM144=1),"ORE PREVENTIVATE ESAURITE; ","")&amp;IF(AND($BN144&lt;&gt;"",$BN144&gt;PARAMETRI!$B$7),"CONSUMO ORE SUPERIORE ALL'AVANZAMENTO; ","")&amp;IF(AND(ISNUMBER($BR144),$BR144&gt;0),"COSTI DIRETTI OLTRE BUDGET; ","")&amp;IF(AND($W144&gt;0,$M144&gt;$W144*PARAMETRI!$B$9),"SAL MATURATO NON FATTURATO; ","")&amp;IF(AND($O144&gt;0,OR($I144="Finito ritenute non previste",$I144="Finito con sblocco ritenute",$I144="Finito senza sblocco ritenute")),"RITENUTE DA SBLOCCARE; ","")&amp;IF(AND($BA144&gt;0,$BO144&gt;0,$BP144=0),"COSTI DIRETTI NON REGISTRATI; ","")&amp;IF(AND(OR($I144="Finito ritenute non previste",$I144="Finito con sblocco ritenute",$I144="Finito senza sblocco ritenute"),$W144&gt;0,$N144&gt;$W144*PARAMETRI!$B$9),"CANTIERE FINITO CON RESIDUO LAVORI; ","")&amp;IF(AND(OR($I144="Finito ritenute non previste",$I144="Finito con sblocco ritenute",$I144="Finito senza sblocco ritenute"),ANAGRAFICA!$K141=""),"DATA FINE EFFETTIVA MANCANTE; ","")&amp;IF(OR(AND(ANAGRAFICA!$T141&lt;&gt;"",ANAGRAFICA!$J141&lt;&gt;ANAGRAFICA!$T141,OR(ANAGRAFICA!$R141="",ANAGRAFICA!$R141="Nessuna variazione")),AND(ANAGRAFICA!$J141="",ANAGRAFICA!$R141&lt;&gt;"",ANAGRAFICA!$R141&lt;&gt;"Nessuna variazione")),"GESTIONE DATA FINE INCOMPLETA; ","")&amp;IF($Y144="","AGGIORNATO AL MANCANTE; ","")&amp;IF(OR($AZ144="",$BJ144="",$BO144="",ANAGRAFICA!$I141="",ANAGRAFICA!$J141=""),"DATI PREVISIONALI INCOMPLETI; ","")&amp;IF(LEFT($C144,5)="TEMP","CODICE COMMESSA TEMPORANEO; ","")),"DATI INCOMPLETI; ")</f>
        <v/>
      </c>
      <c r="C144" s="17" t="str">
        <f>IF(ANAGRAFICA!$B141="","",ANAGRAFICA!$B141)</f>
        <v/>
      </c>
      <c r="D144" s="17" t="str">
        <f>IF($C144="","",ANAGRAFICA!$C141)</f>
        <v/>
      </c>
      <c r="E144" s="17" t="str">
        <f>IF($C144="","",ANAGRAFICA!$D141)</f>
        <v/>
      </c>
      <c r="F144" s="17" t="str">
        <f>IF($C144="","",ANAGRAFICA!$E141)</f>
        <v/>
      </c>
      <c r="G144" s="17" t="str">
        <f>IF($C144="","",ANAGRAFICA!$F141)</f>
        <v/>
      </c>
      <c r="H144" s="17" t="str">
        <f>IF($C144="","",ANAGRAFICA!$G141)</f>
        <v/>
      </c>
      <c r="I144" s="17" t="str">
        <f>IF($C144="","",ANAGRAFICA!$L141)</f>
        <v/>
      </c>
      <c r="J144" s="16" t="str">
        <f t="shared" si="49"/>
        <v/>
      </c>
      <c r="K144" s="16" t="str">
        <f t="shared" si="50"/>
        <v/>
      </c>
      <c r="L144" s="16" t="str">
        <f t="shared" si="51"/>
        <v/>
      </c>
      <c r="M144" s="16" t="str">
        <f t="shared" si="52"/>
        <v/>
      </c>
      <c r="N144" s="16" t="str">
        <f t="shared" si="53"/>
        <v/>
      </c>
      <c r="O144" s="16" t="str">
        <f t="shared" si="54"/>
        <v/>
      </c>
      <c r="P144" s="17" t="str">
        <f t="shared" si="55"/>
        <v/>
      </c>
      <c r="Q144" s="31" t="str">
        <f>IF(OR($C144="",'BUDGET COMMESSA'!$D141="",'BUDGET COMMESSA'!$D141&lt;=0,ANAGRAFICA!$J141=""),"",IF(OR($I144="Finito ritenute non previste",$I144="Finito con sblocco ritenute",$I144="Finito senza sblocco ritenute"),0,IF(AND($BK144&gt;=$BJ144,ANAGRAFICA!$R141="Ritardo produttivo FIDA"),IF(ANAGRAFICA!$T141&lt;&gt;"",MAX(0,ANAGRAFICA!$J141-ANAGRAFICA!$T141),MAX(0,$Y144-ANAGRAFICA!$J141)),0)))</f>
        <v/>
      </c>
      <c r="R144" s="17" t="str">
        <f t="shared" si="56"/>
        <v/>
      </c>
      <c r="S144" s="17" t="str">
        <f t="shared" si="57"/>
        <v/>
      </c>
      <c r="T144" s="17" t="str">
        <f t="shared" si="58"/>
        <v/>
      </c>
      <c r="U144" s="16" t="str">
        <f t="shared" si="59"/>
        <v/>
      </c>
      <c r="V144" s="16" t="str">
        <f t="shared" si="60"/>
        <v/>
      </c>
      <c r="W144" s="16" t="str">
        <f t="shared" si="61"/>
        <v/>
      </c>
      <c r="X144" s="40"/>
      <c r="Y144" s="14"/>
      <c r="AZ144" t="str">
        <f>IF($C144="","",ANAGRAFICA!$P141)</f>
        <v/>
      </c>
      <c r="BA144" t="str">
        <f>IF($C144="","",SUMIF('MOVIMENTI 2026'!$B$7:$B$4206,$C144,'MOVIMENTI 2026'!$I$7:$I$4206)+SUMIF('SALDI AL 31.12.2025'!$A$6:$A$505,$C144,'SALDI AL 31.12.2025'!$C$6:$C$505))</f>
        <v/>
      </c>
      <c r="BB144" t="str">
        <f>IF($C144="","",SUMIF('MOVIMENTI 2026'!$B$7:$B$4206,$C144,'MOVIMENTI 2026'!$J$7:$J$4206)+SUMIF('SALDI AL 31.12.2025'!$A$6:$A$505,$C144,'SALDI AL 31.12.2025'!$D$6:$D$505))</f>
        <v/>
      </c>
      <c r="BC144" t="str">
        <f>IF($C144="","",SUMIF('MOVIMENTI 2026'!$B$7:$B$4206,$C144,'MOVIMENTI 2026'!$K$7:$K$4206)+SUMIF('SALDI AL 31.12.2025'!$A$6:$A$505,$C144,'SALDI AL 31.12.2025'!$E$6:$E$505))</f>
        <v/>
      </c>
      <c r="BD144" t="str">
        <f>IF($C144="","",SUMIF('MOVIMENTI 2026'!$B$7:$B$4206,$C144,'MOVIMENTI 2026'!$L$7:$L$4206)+SUMIF('SALDI AL 31.12.2025'!$A$6:$A$505,$C144,'SALDI AL 31.12.2025'!$F$6:$F$505))</f>
        <v/>
      </c>
      <c r="BE144" t="str">
        <f t="shared" si="62"/>
        <v/>
      </c>
      <c r="BF144" t="str">
        <f t="shared" si="63"/>
        <v/>
      </c>
      <c r="BG144" t="str">
        <f t="shared" si="64"/>
        <v/>
      </c>
      <c r="BH144" t="str">
        <f>IFERROR(IF(OR($C144="",ANAGRAFICA!$I141="",ANAGRAFICA!$J141="",ANAGRAFICA!$J141&lt;=ANAGRAFICA!$I141,$Y144=""),"",IF(OR($I144="Finito ritenute non previste",$I144="Finito con sblocco ritenute",$I144="Finito senza sblocco ritenute"),1,MAX(0,MIN(1,($Y144-ANAGRAFICA!$I141)/(ANAGRAFICA!$J141-ANAGRAFICA!$I141))))),"")</f>
        <v/>
      </c>
      <c r="BI144" t="str">
        <f t="shared" si="65"/>
        <v/>
      </c>
      <c r="BJ144" t="str">
        <f>IFERROR(IF($C144="","",'BUDGET COMMESSA'!$D141),"")</f>
        <v/>
      </c>
      <c r="BK144" t="str">
        <f>IF($C144="","",SUMIF('MOVIMENTI 2026'!$B$7:$B$4206,$C144,'MOVIMENTI 2026'!$N$7:$N$4206)+SUMIF('SALDI AL 31.12.2025'!$A$6:$A$505,$C144,'SALDI AL 31.12.2025'!$H$6:$H$505))</f>
        <v/>
      </c>
      <c r="BL144" t="str">
        <f t="shared" si="66"/>
        <v/>
      </c>
      <c r="BM144" t="str">
        <f t="shared" si="67"/>
        <v/>
      </c>
      <c r="BN144" t="str">
        <f t="shared" si="68"/>
        <v/>
      </c>
      <c r="BO144" t="str">
        <f>IFERROR(IF($C144="","",'BUDGET COMMESSA'!$G141),"")</f>
        <v/>
      </c>
      <c r="BP144" t="str">
        <f>IF($C144="","",SUMIF('COSTI DIRETTI'!$C$6:$C$505,$C144,'COSTI DIRETTI'!$H$6:$H$505)+SUMIF('SALDI AL 31.12.2025'!$A$6:$A$505,$C144,'SALDI AL 31.12.2025'!$I$6:$I$505))</f>
        <v/>
      </c>
      <c r="BQ144" t="str">
        <f t="shared" si="69"/>
        <v/>
      </c>
      <c r="BR144" t="str">
        <f t="shared" si="70"/>
        <v/>
      </c>
      <c r="BS144" t="str">
        <f>IF($C144="","",$BK144*PARAMETRI!$B$4+$BP144)</f>
        <v/>
      </c>
      <c r="BT144">
        <f t="shared" si="71"/>
        <v>0</v>
      </c>
      <c r="BU144">
        <f t="shared" si="72"/>
        <v>0</v>
      </c>
      <c r="BV144" t="str">
        <f>IF($C144="","",SUMIF('MOVIMENTI 2026'!$B$7:$B$4206,$C144,'MOVIMENTI 2026'!$P$7:$P$4206)+SUMIF('SALDI AL 31.12.2025'!$A$6:$A$505,$C144,'SALDI AL 31.12.2025'!$G$6:$G$505))</f>
        <v/>
      </c>
    </row>
    <row r="145" spans="1:74" ht="16" x14ac:dyDescent="0.15">
      <c r="A145" s="17" t="str">
        <f>IFERROR(IF($C145="","",IF(OR($BF145&gt;0,$V145&gt;$J145,AND(ISNUMBER($Q145),$Q145&gt;0),AND($BI145&lt;&gt;"",$BI145&lt;-PARAMETRI!$B$6),AND($BM145&lt;&gt;"",$BM145&gt;=1),AND($BN145&lt;&gt;"",$BN145&gt;PARAMETRI!$B$8),AND(ISNUMBER($BR145),$BR145&gt;0)),"CRITICO",IF(OR($AZ145="",LEFT($C145,5)="TEMP",$BJ145="",$BO145="",ANAGRAFICA!$I142="",ANAGRAFICA!$J142="",$Y145="",AND(OR($I145="Finito ritenute non previste",$I145="Finito con sblocco ritenute",$I145="Finito senza sblocco ritenute"),ANAGRAFICA!$K142=""),OR(AND(ANAGRAFICA!$T142&lt;&gt;"",ANAGRAFICA!$J142&lt;&gt;ANAGRAFICA!$T142,OR(ANAGRAFICA!$R142="",ANAGRAFICA!$R142="Nessuna variazione")),AND(ANAGRAFICA!$J142="",ANAGRAFICA!$R142&lt;&gt;"",ANAGRAFICA!$R142&lt;&gt;"Nessuna variazione")),AND($BI145&lt;&gt;"",$BI145&lt;-PARAMETRI!$B$5),AND($BN145&lt;&gt;"",$BN145&gt;PARAMETRI!$B$7),AND($W145&gt;0,$M145&gt;$W145*PARAMETRI!$B$9),AND($O145&gt;0,OR($I145="Finito ritenute non previste",$I145="Finito con sblocco ritenute",$I145="Finito senza sblocco ritenute")),AND($BA145&gt;0,$BO145&gt;0,$BP145=0),AND(OR($I145="Finito ritenute non previste",$I145="Finito con sblocco ritenute",$I145="Finito senza sblocco ritenute"),$W145&gt;0,$N145&gt;$W145*PARAMETRI!$B$9),$V145&gt;0),"ATTENZIONE","REGOLARE"))),"ATTENZIONE")</f>
        <v/>
      </c>
      <c r="B145" s="17" t="str">
        <f>IFERROR(IF($C145="","",IF($BF145&gt;0,"FATTURATO OLTRE VALORE RECUPERABILE; ","")&amp;IF($V145&gt;$J145,"PERDITE ACCETTATE OLTRE CONTRATTO; ","")&amp;IF($V145&gt;0,"PERDITA SAL ACCETTATA (€ "&amp;TEXT($V145,"#,##0.00")&amp;"); ","")&amp;IF(AND(ISNUMBER($Q145),$Q145&gt;0),"RITARDO PRODUTTIVO ("&amp;TEXT($Q145,"0")&amp;" GG); ","")&amp;IF(AND($BI145&lt;&gt;"",$BI145&lt;-PARAMETRI!$B$5),"AVANZAMENTO PIÙ LENTO DEL TEMPO; ","")&amp;IF(AND($BM145&lt;&gt;"",$BM145&gt;1),"ORE OLTRE BUDGET; ","")&amp;IF(AND($BM145&lt;&gt;"",$BM145=1),"ORE PREVENTIVATE ESAURITE; ","")&amp;IF(AND($BN145&lt;&gt;"",$BN145&gt;PARAMETRI!$B$7),"CONSUMO ORE SUPERIORE ALL'AVANZAMENTO; ","")&amp;IF(AND(ISNUMBER($BR145),$BR145&gt;0),"COSTI DIRETTI OLTRE BUDGET; ","")&amp;IF(AND($W145&gt;0,$M145&gt;$W145*PARAMETRI!$B$9),"SAL MATURATO NON FATTURATO; ","")&amp;IF(AND($O145&gt;0,OR($I145="Finito ritenute non previste",$I145="Finito con sblocco ritenute",$I145="Finito senza sblocco ritenute")),"RITENUTE DA SBLOCCARE; ","")&amp;IF(AND($BA145&gt;0,$BO145&gt;0,$BP145=0),"COSTI DIRETTI NON REGISTRATI; ","")&amp;IF(AND(OR($I145="Finito ritenute non previste",$I145="Finito con sblocco ritenute",$I145="Finito senza sblocco ritenute"),$W145&gt;0,$N145&gt;$W145*PARAMETRI!$B$9),"CANTIERE FINITO CON RESIDUO LAVORI; ","")&amp;IF(AND(OR($I145="Finito ritenute non previste",$I145="Finito con sblocco ritenute",$I145="Finito senza sblocco ritenute"),ANAGRAFICA!$K142=""),"DATA FINE EFFETTIVA MANCANTE; ","")&amp;IF(OR(AND(ANAGRAFICA!$T142&lt;&gt;"",ANAGRAFICA!$J142&lt;&gt;ANAGRAFICA!$T142,OR(ANAGRAFICA!$R142="",ANAGRAFICA!$R142="Nessuna variazione")),AND(ANAGRAFICA!$J142="",ANAGRAFICA!$R142&lt;&gt;"",ANAGRAFICA!$R142&lt;&gt;"Nessuna variazione")),"GESTIONE DATA FINE INCOMPLETA; ","")&amp;IF($Y145="","AGGIORNATO AL MANCANTE; ","")&amp;IF(OR($AZ145="",$BJ145="",$BO145="",ANAGRAFICA!$I142="",ANAGRAFICA!$J142=""),"DATI PREVISIONALI INCOMPLETI; ","")&amp;IF(LEFT($C145,5)="TEMP","CODICE COMMESSA TEMPORANEO; ","")),"DATI INCOMPLETI; ")</f>
        <v/>
      </c>
      <c r="C145" s="17" t="str">
        <f>IF(ANAGRAFICA!$B142="","",ANAGRAFICA!$B142)</f>
        <v/>
      </c>
      <c r="D145" s="17" t="str">
        <f>IF($C145="","",ANAGRAFICA!$C142)</f>
        <v/>
      </c>
      <c r="E145" s="17" t="str">
        <f>IF($C145="","",ANAGRAFICA!$D142)</f>
        <v/>
      </c>
      <c r="F145" s="17" t="str">
        <f>IF($C145="","",ANAGRAFICA!$E142)</f>
        <v/>
      </c>
      <c r="G145" s="17" t="str">
        <f>IF($C145="","",ANAGRAFICA!$F142)</f>
        <v/>
      </c>
      <c r="H145" s="17" t="str">
        <f>IF($C145="","",ANAGRAFICA!$G142)</f>
        <v/>
      </c>
      <c r="I145" s="17" t="str">
        <f>IF($C145="","",ANAGRAFICA!$L142)</f>
        <v/>
      </c>
      <c r="J145" s="16" t="str">
        <f t="shared" si="49"/>
        <v/>
      </c>
      <c r="K145" s="16" t="str">
        <f t="shared" si="50"/>
        <v/>
      </c>
      <c r="L145" s="16" t="str">
        <f t="shared" si="51"/>
        <v/>
      </c>
      <c r="M145" s="16" t="str">
        <f t="shared" si="52"/>
        <v/>
      </c>
      <c r="N145" s="16" t="str">
        <f t="shared" si="53"/>
        <v/>
      </c>
      <c r="O145" s="16" t="str">
        <f t="shared" si="54"/>
        <v/>
      </c>
      <c r="P145" s="17" t="str">
        <f t="shared" si="55"/>
        <v/>
      </c>
      <c r="Q145" s="31" t="str">
        <f>IF(OR($C145="",'BUDGET COMMESSA'!$D142="",'BUDGET COMMESSA'!$D142&lt;=0,ANAGRAFICA!$J142=""),"",IF(OR($I145="Finito ritenute non previste",$I145="Finito con sblocco ritenute",$I145="Finito senza sblocco ritenute"),0,IF(AND($BK145&gt;=$BJ145,ANAGRAFICA!$R142="Ritardo produttivo FIDA"),IF(ANAGRAFICA!$T142&lt;&gt;"",MAX(0,ANAGRAFICA!$J142-ANAGRAFICA!$T142),MAX(0,$Y145-ANAGRAFICA!$J142)),0)))</f>
        <v/>
      </c>
      <c r="R145" s="17" t="str">
        <f t="shared" si="56"/>
        <v/>
      </c>
      <c r="S145" s="17" t="str">
        <f t="shared" si="57"/>
        <v/>
      </c>
      <c r="T145" s="17" t="str">
        <f t="shared" si="58"/>
        <v/>
      </c>
      <c r="U145" s="16" t="str">
        <f t="shared" si="59"/>
        <v/>
      </c>
      <c r="V145" s="16" t="str">
        <f t="shared" si="60"/>
        <v/>
      </c>
      <c r="W145" s="16" t="str">
        <f t="shared" si="61"/>
        <v/>
      </c>
      <c r="X145" s="40"/>
      <c r="Y145" s="14"/>
      <c r="AZ145" t="str">
        <f>IF($C145="","",ANAGRAFICA!$P142)</f>
        <v/>
      </c>
      <c r="BA145" t="str">
        <f>IF($C145="","",SUMIF('MOVIMENTI 2026'!$B$7:$B$4206,$C145,'MOVIMENTI 2026'!$I$7:$I$4206)+SUMIF('SALDI AL 31.12.2025'!$A$6:$A$505,$C145,'SALDI AL 31.12.2025'!$C$6:$C$505))</f>
        <v/>
      </c>
      <c r="BB145" t="str">
        <f>IF($C145="","",SUMIF('MOVIMENTI 2026'!$B$7:$B$4206,$C145,'MOVIMENTI 2026'!$J$7:$J$4206)+SUMIF('SALDI AL 31.12.2025'!$A$6:$A$505,$C145,'SALDI AL 31.12.2025'!$D$6:$D$505))</f>
        <v/>
      </c>
      <c r="BC145" t="str">
        <f>IF($C145="","",SUMIF('MOVIMENTI 2026'!$B$7:$B$4206,$C145,'MOVIMENTI 2026'!$K$7:$K$4206)+SUMIF('SALDI AL 31.12.2025'!$A$6:$A$505,$C145,'SALDI AL 31.12.2025'!$E$6:$E$505))</f>
        <v/>
      </c>
      <c r="BD145" t="str">
        <f>IF($C145="","",SUMIF('MOVIMENTI 2026'!$B$7:$B$4206,$C145,'MOVIMENTI 2026'!$L$7:$L$4206)+SUMIF('SALDI AL 31.12.2025'!$A$6:$A$505,$C145,'SALDI AL 31.12.2025'!$F$6:$F$505))</f>
        <v/>
      </c>
      <c r="BE145" t="str">
        <f t="shared" si="62"/>
        <v/>
      </c>
      <c r="BF145" t="str">
        <f t="shared" si="63"/>
        <v/>
      </c>
      <c r="BG145" t="str">
        <f t="shared" si="64"/>
        <v/>
      </c>
      <c r="BH145" t="str">
        <f>IFERROR(IF(OR($C145="",ANAGRAFICA!$I142="",ANAGRAFICA!$J142="",ANAGRAFICA!$J142&lt;=ANAGRAFICA!$I142,$Y145=""),"",IF(OR($I145="Finito ritenute non previste",$I145="Finito con sblocco ritenute",$I145="Finito senza sblocco ritenute"),1,MAX(0,MIN(1,($Y145-ANAGRAFICA!$I142)/(ANAGRAFICA!$J142-ANAGRAFICA!$I142))))),"")</f>
        <v/>
      </c>
      <c r="BI145" t="str">
        <f t="shared" si="65"/>
        <v/>
      </c>
      <c r="BJ145" t="str">
        <f>IFERROR(IF($C145="","",'BUDGET COMMESSA'!$D142),"")</f>
        <v/>
      </c>
      <c r="BK145" t="str">
        <f>IF($C145="","",SUMIF('MOVIMENTI 2026'!$B$7:$B$4206,$C145,'MOVIMENTI 2026'!$N$7:$N$4206)+SUMIF('SALDI AL 31.12.2025'!$A$6:$A$505,$C145,'SALDI AL 31.12.2025'!$H$6:$H$505))</f>
        <v/>
      </c>
      <c r="BL145" t="str">
        <f t="shared" si="66"/>
        <v/>
      </c>
      <c r="BM145" t="str">
        <f t="shared" si="67"/>
        <v/>
      </c>
      <c r="BN145" t="str">
        <f t="shared" si="68"/>
        <v/>
      </c>
      <c r="BO145" t="str">
        <f>IFERROR(IF($C145="","",'BUDGET COMMESSA'!$G142),"")</f>
        <v/>
      </c>
      <c r="BP145" t="str">
        <f>IF($C145="","",SUMIF('COSTI DIRETTI'!$C$6:$C$505,$C145,'COSTI DIRETTI'!$H$6:$H$505)+SUMIF('SALDI AL 31.12.2025'!$A$6:$A$505,$C145,'SALDI AL 31.12.2025'!$I$6:$I$505))</f>
        <v/>
      </c>
      <c r="BQ145" t="str">
        <f t="shared" si="69"/>
        <v/>
      </c>
      <c r="BR145" t="str">
        <f t="shared" si="70"/>
        <v/>
      </c>
      <c r="BS145" t="str">
        <f>IF($C145="","",$BK145*PARAMETRI!$B$4+$BP145)</f>
        <v/>
      </c>
      <c r="BT145">
        <f t="shared" si="71"/>
        <v>0</v>
      </c>
      <c r="BU145">
        <f t="shared" si="72"/>
        <v>0</v>
      </c>
      <c r="BV145" t="str">
        <f>IF($C145="","",SUMIF('MOVIMENTI 2026'!$B$7:$B$4206,$C145,'MOVIMENTI 2026'!$P$7:$P$4206)+SUMIF('SALDI AL 31.12.2025'!$A$6:$A$505,$C145,'SALDI AL 31.12.2025'!$G$6:$G$505))</f>
        <v/>
      </c>
    </row>
    <row r="146" spans="1:74" ht="16" x14ac:dyDescent="0.15">
      <c r="A146" s="17" t="str">
        <f>IFERROR(IF($C146="","",IF(OR($BF146&gt;0,$V146&gt;$J146,AND(ISNUMBER($Q146),$Q146&gt;0),AND($BI146&lt;&gt;"",$BI146&lt;-PARAMETRI!$B$6),AND($BM146&lt;&gt;"",$BM146&gt;=1),AND($BN146&lt;&gt;"",$BN146&gt;PARAMETRI!$B$8),AND(ISNUMBER($BR146),$BR146&gt;0)),"CRITICO",IF(OR($AZ146="",LEFT($C146,5)="TEMP",$BJ146="",$BO146="",ANAGRAFICA!$I143="",ANAGRAFICA!$J143="",$Y146="",AND(OR($I146="Finito ritenute non previste",$I146="Finito con sblocco ritenute",$I146="Finito senza sblocco ritenute"),ANAGRAFICA!$K143=""),OR(AND(ANAGRAFICA!$T143&lt;&gt;"",ANAGRAFICA!$J143&lt;&gt;ANAGRAFICA!$T143,OR(ANAGRAFICA!$R143="",ANAGRAFICA!$R143="Nessuna variazione")),AND(ANAGRAFICA!$J143="",ANAGRAFICA!$R143&lt;&gt;"",ANAGRAFICA!$R143&lt;&gt;"Nessuna variazione")),AND($BI146&lt;&gt;"",$BI146&lt;-PARAMETRI!$B$5),AND($BN146&lt;&gt;"",$BN146&gt;PARAMETRI!$B$7),AND($W146&gt;0,$M146&gt;$W146*PARAMETRI!$B$9),AND($O146&gt;0,OR($I146="Finito ritenute non previste",$I146="Finito con sblocco ritenute",$I146="Finito senza sblocco ritenute")),AND($BA146&gt;0,$BO146&gt;0,$BP146=0),AND(OR($I146="Finito ritenute non previste",$I146="Finito con sblocco ritenute",$I146="Finito senza sblocco ritenute"),$W146&gt;0,$N146&gt;$W146*PARAMETRI!$B$9),$V146&gt;0),"ATTENZIONE","REGOLARE"))),"ATTENZIONE")</f>
        <v/>
      </c>
      <c r="B146" s="17" t="str">
        <f>IFERROR(IF($C146="","",IF($BF146&gt;0,"FATTURATO OLTRE VALORE RECUPERABILE; ","")&amp;IF($V146&gt;$J146,"PERDITE ACCETTATE OLTRE CONTRATTO; ","")&amp;IF($V146&gt;0,"PERDITA SAL ACCETTATA (€ "&amp;TEXT($V146,"#,##0.00")&amp;"); ","")&amp;IF(AND(ISNUMBER($Q146),$Q146&gt;0),"RITARDO PRODUTTIVO ("&amp;TEXT($Q146,"0")&amp;" GG); ","")&amp;IF(AND($BI146&lt;&gt;"",$BI146&lt;-PARAMETRI!$B$5),"AVANZAMENTO PIÙ LENTO DEL TEMPO; ","")&amp;IF(AND($BM146&lt;&gt;"",$BM146&gt;1),"ORE OLTRE BUDGET; ","")&amp;IF(AND($BM146&lt;&gt;"",$BM146=1),"ORE PREVENTIVATE ESAURITE; ","")&amp;IF(AND($BN146&lt;&gt;"",$BN146&gt;PARAMETRI!$B$7),"CONSUMO ORE SUPERIORE ALL'AVANZAMENTO; ","")&amp;IF(AND(ISNUMBER($BR146),$BR146&gt;0),"COSTI DIRETTI OLTRE BUDGET; ","")&amp;IF(AND($W146&gt;0,$M146&gt;$W146*PARAMETRI!$B$9),"SAL MATURATO NON FATTURATO; ","")&amp;IF(AND($O146&gt;0,OR($I146="Finito ritenute non previste",$I146="Finito con sblocco ritenute",$I146="Finito senza sblocco ritenute")),"RITENUTE DA SBLOCCARE; ","")&amp;IF(AND($BA146&gt;0,$BO146&gt;0,$BP146=0),"COSTI DIRETTI NON REGISTRATI; ","")&amp;IF(AND(OR($I146="Finito ritenute non previste",$I146="Finito con sblocco ritenute",$I146="Finito senza sblocco ritenute"),$W146&gt;0,$N146&gt;$W146*PARAMETRI!$B$9),"CANTIERE FINITO CON RESIDUO LAVORI; ","")&amp;IF(AND(OR($I146="Finito ritenute non previste",$I146="Finito con sblocco ritenute",$I146="Finito senza sblocco ritenute"),ANAGRAFICA!$K143=""),"DATA FINE EFFETTIVA MANCANTE; ","")&amp;IF(OR(AND(ANAGRAFICA!$T143&lt;&gt;"",ANAGRAFICA!$J143&lt;&gt;ANAGRAFICA!$T143,OR(ANAGRAFICA!$R143="",ANAGRAFICA!$R143="Nessuna variazione")),AND(ANAGRAFICA!$J143="",ANAGRAFICA!$R143&lt;&gt;"",ANAGRAFICA!$R143&lt;&gt;"Nessuna variazione")),"GESTIONE DATA FINE INCOMPLETA; ","")&amp;IF($Y146="","AGGIORNATO AL MANCANTE; ","")&amp;IF(OR($AZ146="",$BJ146="",$BO146="",ANAGRAFICA!$I143="",ANAGRAFICA!$J143=""),"DATI PREVISIONALI INCOMPLETI; ","")&amp;IF(LEFT($C146,5)="TEMP","CODICE COMMESSA TEMPORANEO; ","")),"DATI INCOMPLETI; ")</f>
        <v/>
      </c>
      <c r="C146" s="17" t="str">
        <f>IF(ANAGRAFICA!$B143="","",ANAGRAFICA!$B143)</f>
        <v/>
      </c>
      <c r="D146" s="17" t="str">
        <f>IF($C146="","",ANAGRAFICA!$C143)</f>
        <v/>
      </c>
      <c r="E146" s="17" t="str">
        <f>IF($C146="","",ANAGRAFICA!$D143)</f>
        <v/>
      </c>
      <c r="F146" s="17" t="str">
        <f>IF($C146="","",ANAGRAFICA!$E143)</f>
        <v/>
      </c>
      <c r="G146" s="17" t="str">
        <f>IF($C146="","",ANAGRAFICA!$F143)</f>
        <v/>
      </c>
      <c r="H146" s="17" t="str">
        <f>IF($C146="","",ANAGRAFICA!$G143)</f>
        <v/>
      </c>
      <c r="I146" s="17" t="str">
        <f>IF($C146="","",ANAGRAFICA!$L143)</f>
        <v/>
      </c>
      <c r="J146" s="16" t="str">
        <f t="shared" si="49"/>
        <v/>
      </c>
      <c r="K146" s="16" t="str">
        <f t="shared" si="50"/>
        <v/>
      </c>
      <c r="L146" s="16" t="str">
        <f t="shared" si="51"/>
        <v/>
      </c>
      <c r="M146" s="16" t="str">
        <f t="shared" si="52"/>
        <v/>
      </c>
      <c r="N146" s="16" t="str">
        <f t="shared" si="53"/>
        <v/>
      </c>
      <c r="O146" s="16" t="str">
        <f t="shared" si="54"/>
        <v/>
      </c>
      <c r="P146" s="17" t="str">
        <f t="shared" si="55"/>
        <v/>
      </c>
      <c r="Q146" s="31" t="str">
        <f>IF(OR($C146="",'BUDGET COMMESSA'!$D143="",'BUDGET COMMESSA'!$D143&lt;=0,ANAGRAFICA!$J143=""),"",IF(OR($I146="Finito ritenute non previste",$I146="Finito con sblocco ritenute",$I146="Finito senza sblocco ritenute"),0,IF(AND($BK146&gt;=$BJ146,ANAGRAFICA!$R143="Ritardo produttivo FIDA"),IF(ANAGRAFICA!$T143&lt;&gt;"",MAX(0,ANAGRAFICA!$J143-ANAGRAFICA!$T143),MAX(0,$Y146-ANAGRAFICA!$J143)),0)))</f>
        <v/>
      </c>
      <c r="R146" s="17" t="str">
        <f t="shared" si="56"/>
        <v/>
      </c>
      <c r="S146" s="17" t="str">
        <f t="shared" si="57"/>
        <v/>
      </c>
      <c r="T146" s="17" t="str">
        <f t="shared" si="58"/>
        <v/>
      </c>
      <c r="U146" s="16" t="str">
        <f t="shared" si="59"/>
        <v/>
      </c>
      <c r="V146" s="16" t="str">
        <f t="shared" si="60"/>
        <v/>
      </c>
      <c r="W146" s="16" t="str">
        <f t="shared" si="61"/>
        <v/>
      </c>
      <c r="X146" s="40"/>
      <c r="Y146" s="14"/>
      <c r="AZ146" t="str">
        <f>IF($C146="","",ANAGRAFICA!$P143)</f>
        <v/>
      </c>
      <c r="BA146" t="str">
        <f>IF($C146="","",SUMIF('MOVIMENTI 2026'!$B$7:$B$4206,$C146,'MOVIMENTI 2026'!$I$7:$I$4206)+SUMIF('SALDI AL 31.12.2025'!$A$6:$A$505,$C146,'SALDI AL 31.12.2025'!$C$6:$C$505))</f>
        <v/>
      </c>
      <c r="BB146" t="str">
        <f>IF($C146="","",SUMIF('MOVIMENTI 2026'!$B$7:$B$4206,$C146,'MOVIMENTI 2026'!$J$7:$J$4206)+SUMIF('SALDI AL 31.12.2025'!$A$6:$A$505,$C146,'SALDI AL 31.12.2025'!$D$6:$D$505))</f>
        <v/>
      </c>
      <c r="BC146" t="str">
        <f>IF($C146="","",SUMIF('MOVIMENTI 2026'!$B$7:$B$4206,$C146,'MOVIMENTI 2026'!$K$7:$K$4206)+SUMIF('SALDI AL 31.12.2025'!$A$6:$A$505,$C146,'SALDI AL 31.12.2025'!$E$6:$E$505))</f>
        <v/>
      </c>
      <c r="BD146" t="str">
        <f>IF($C146="","",SUMIF('MOVIMENTI 2026'!$B$7:$B$4206,$C146,'MOVIMENTI 2026'!$L$7:$L$4206)+SUMIF('SALDI AL 31.12.2025'!$A$6:$A$505,$C146,'SALDI AL 31.12.2025'!$F$6:$F$505))</f>
        <v/>
      </c>
      <c r="BE146" t="str">
        <f t="shared" si="62"/>
        <v/>
      </c>
      <c r="BF146" t="str">
        <f t="shared" si="63"/>
        <v/>
      </c>
      <c r="BG146" t="str">
        <f t="shared" si="64"/>
        <v/>
      </c>
      <c r="BH146" t="str">
        <f>IFERROR(IF(OR($C146="",ANAGRAFICA!$I143="",ANAGRAFICA!$J143="",ANAGRAFICA!$J143&lt;=ANAGRAFICA!$I143,$Y146=""),"",IF(OR($I146="Finito ritenute non previste",$I146="Finito con sblocco ritenute",$I146="Finito senza sblocco ritenute"),1,MAX(0,MIN(1,($Y146-ANAGRAFICA!$I143)/(ANAGRAFICA!$J143-ANAGRAFICA!$I143))))),"")</f>
        <v/>
      </c>
      <c r="BI146" t="str">
        <f t="shared" si="65"/>
        <v/>
      </c>
      <c r="BJ146" t="str">
        <f>IFERROR(IF($C146="","",'BUDGET COMMESSA'!$D143),"")</f>
        <v/>
      </c>
      <c r="BK146" t="str">
        <f>IF($C146="","",SUMIF('MOVIMENTI 2026'!$B$7:$B$4206,$C146,'MOVIMENTI 2026'!$N$7:$N$4206)+SUMIF('SALDI AL 31.12.2025'!$A$6:$A$505,$C146,'SALDI AL 31.12.2025'!$H$6:$H$505))</f>
        <v/>
      </c>
      <c r="BL146" t="str">
        <f t="shared" si="66"/>
        <v/>
      </c>
      <c r="BM146" t="str">
        <f t="shared" si="67"/>
        <v/>
      </c>
      <c r="BN146" t="str">
        <f t="shared" si="68"/>
        <v/>
      </c>
      <c r="BO146" t="str">
        <f>IFERROR(IF($C146="","",'BUDGET COMMESSA'!$G143),"")</f>
        <v/>
      </c>
      <c r="BP146" t="str">
        <f>IF($C146="","",SUMIF('COSTI DIRETTI'!$C$6:$C$505,$C146,'COSTI DIRETTI'!$H$6:$H$505)+SUMIF('SALDI AL 31.12.2025'!$A$6:$A$505,$C146,'SALDI AL 31.12.2025'!$I$6:$I$505))</f>
        <v/>
      </c>
      <c r="BQ146" t="str">
        <f t="shared" si="69"/>
        <v/>
      </c>
      <c r="BR146" t="str">
        <f t="shared" si="70"/>
        <v/>
      </c>
      <c r="BS146" t="str">
        <f>IF($C146="","",$BK146*PARAMETRI!$B$4+$BP146)</f>
        <v/>
      </c>
      <c r="BT146">
        <f t="shared" si="71"/>
        <v>0</v>
      </c>
      <c r="BU146">
        <f t="shared" si="72"/>
        <v>0</v>
      </c>
      <c r="BV146" t="str">
        <f>IF($C146="","",SUMIF('MOVIMENTI 2026'!$B$7:$B$4206,$C146,'MOVIMENTI 2026'!$P$7:$P$4206)+SUMIF('SALDI AL 31.12.2025'!$A$6:$A$505,$C146,'SALDI AL 31.12.2025'!$G$6:$G$505))</f>
        <v/>
      </c>
    </row>
    <row r="147" spans="1:74" ht="16" x14ac:dyDescent="0.15">
      <c r="A147" s="17" t="str">
        <f>IFERROR(IF($C147="","",IF(OR($BF147&gt;0,$V147&gt;$J147,AND(ISNUMBER($Q147),$Q147&gt;0),AND($BI147&lt;&gt;"",$BI147&lt;-PARAMETRI!$B$6),AND($BM147&lt;&gt;"",$BM147&gt;=1),AND($BN147&lt;&gt;"",$BN147&gt;PARAMETRI!$B$8),AND(ISNUMBER($BR147),$BR147&gt;0)),"CRITICO",IF(OR($AZ147="",LEFT($C147,5)="TEMP",$BJ147="",$BO147="",ANAGRAFICA!$I144="",ANAGRAFICA!$J144="",$Y147="",AND(OR($I147="Finito ritenute non previste",$I147="Finito con sblocco ritenute",$I147="Finito senza sblocco ritenute"),ANAGRAFICA!$K144=""),OR(AND(ANAGRAFICA!$T144&lt;&gt;"",ANAGRAFICA!$J144&lt;&gt;ANAGRAFICA!$T144,OR(ANAGRAFICA!$R144="",ANAGRAFICA!$R144="Nessuna variazione")),AND(ANAGRAFICA!$J144="",ANAGRAFICA!$R144&lt;&gt;"",ANAGRAFICA!$R144&lt;&gt;"Nessuna variazione")),AND($BI147&lt;&gt;"",$BI147&lt;-PARAMETRI!$B$5),AND($BN147&lt;&gt;"",$BN147&gt;PARAMETRI!$B$7),AND($W147&gt;0,$M147&gt;$W147*PARAMETRI!$B$9),AND($O147&gt;0,OR($I147="Finito ritenute non previste",$I147="Finito con sblocco ritenute",$I147="Finito senza sblocco ritenute")),AND($BA147&gt;0,$BO147&gt;0,$BP147=0),AND(OR($I147="Finito ritenute non previste",$I147="Finito con sblocco ritenute",$I147="Finito senza sblocco ritenute"),$W147&gt;0,$N147&gt;$W147*PARAMETRI!$B$9),$V147&gt;0),"ATTENZIONE","REGOLARE"))),"ATTENZIONE")</f>
        <v/>
      </c>
      <c r="B147" s="17" t="str">
        <f>IFERROR(IF($C147="","",IF($BF147&gt;0,"FATTURATO OLTRE VALORE RECUPERABILE; ","")&amp;IF($V147&gt;$J147,"PERDITE ACCETTATE OLTRE CONTRATTO; ","")&amp;IF($V147&gt;0,"PERDITA SAL ACCETTATA (€ "&amp;TEXT($V147,"#,##0.00")&amp;"); ","")&amp;IF(AND(ISNUMBER($Q147),$Q147&gt;0),"RITARDO PRODUTTIVO ("&amp;TEXT($Q147,"0")&amp;" GG); ","")&amp;IF(AND($BI147&lt;&gt;"",$BI147&lt;-PARAMETRI!$B$5),"AVANZAMENTO PIÙ LENTO DEL TEMPO; ","")&amp;IF(AND($BM147&lt;&gt;"",$BM147&gt;1),"ORE OLTRE BUDGET; ","")&amp;IF(AND($BM147&lt;&gt;"",$BM147=1),"ORE PREVENTIVATE ESAURITE; ","")&amp;IF(AND($BN147&lt;&gt;"",$BN147&gt;PARAMETRI!$B$7),"CONSUMO ORE SUPERIORE ALL'AVANZAMENTO; ","")&amp;IF(AND(ISNUMBER($BR147),$BR147&gt;0),"COSTI DIRETTI OLTRE BUDGET; ","")&amp;IF(AND($W147&gt;0,$M147&gt;$W147*PARAMETRI!$B$9),"SAL MATURATO NON FATTURATO; ","")&amp;IF(AND($O147&gt;0,OR($I147="Finito ritenute non previste",$I147="Finito con sblocco ritenute",$I147="Finito senza sblocco ritenute")),"RITENUTE DA SBLOCCARE; ","")&amp;IF(AND($BA147&gt;0,$BO147&gt;0,$BP147=0),"COSTI DIRETTI NON REGISTRATI; ","")&amp;IF(AND(OR($I147="Finito ritenute non previste",$I147="Finito con sblocco ritenute",$I147="Finito senza sblocco ritenute"),$W147&gt;0,$N147&gt;$W147*PARAMETRI!$B$9),"CANTIERE FINITO CON RESIDUO LAVORI; ","")&amp;IF(AND(OR($I147="Finito ritenute non previste",$I147="Finito con sblocco ritenute",$I147="Finito senza sblocco ritenute"),ANAGRAFICA!$K144=""),"DATA FINE EFFETTIVA MANCANTE; ","")&amp;IF(OR(AND(ANAGRAFICA!$T144&lt;&gt;"",ANAGRAFICA!$J144&lt;&gt;ANAGRAFICA!$T144,OR(ANAGRAFICA!$R144="",ANAGRAFICA!$R144="Nessuna variazione")),AND(ANAGRAFICA!$J144="",ANAGRAFICA!$R144&lt;&gt;"",ANAGRAFICA!$R144&lt;&gt;"Nessuna variazione")),"GESTIONE DATA FINE INCOMPLETA; ","")&amp;IF($Y147="","AGGIORNATO AL MANCANTE; ","")&amp;IF(OR($AZ147="",$BJ147="",$BO147="",ANAGRAFICA!$I144="",ANAGRAFICA!$J144=""),"DATI PREVISIONALI INCOMPLETI; ","")&amp;IF(LEFT($C147,5)="TEMP","CODICE COMMESSA TEMPORANEO; ","")),"DATI INCOMPLETI; ")</f>
        <v/>
      </c>
      <c r="C147" s="17" t="str">
        <f>IF(ANAGRAFICA!$B144="","",ANAGRAFICA!$B144)</f>
        <v/>
      </c>
      <c r="D147" s="17" t="str">
        <f>IF($C147="","",ANAGRAFICA!$C144)</f>
        <v/>
      </c>
      <c r="E147" s="17" t="str">
        <f>IF($C147="","",ANAGRAFICA!$D144)</f>
        <v/>
      </c>
      <c r="F147" s="17" t="str">
        <f>IF($C147="","",ANAGRAFICA!$E144)</f>
        <v/>
      </c>
      <c r="G147" s="17" t="str">
        <f>IF($C147="","",ANAGRAFICA!$F144)</f>
        <v/>
      </c>
      <c r="H147" s="17" t="str">
        <f>IF($C147="","",ANAGRAFICA!$G144)</f>
        <v/>
      </c>
      <c r="I147" s="17" t="str">
        <f>IF($C147="","",ANAGRAFICA!$L144)</f>
        <v/>
      </c>
      <c r="J147" s="16" t="str">
        <f t="shared" si="49"/>
        <v/>
      </c>
      <c r="K147" s="16" t="str">
        <f t="shared" si="50"/>
        <v/>
      </c>
      <c r="L147" s="16" t="str">
        <f t="shared" si="51"/>
        <v/>
      </c>
      <c r="M147" s="16" t="str">
        <f t="shared" si="52"/>
        <v/>
      </c>
      <c r="N147" s="16" t="str">
        <f t="shared" si="53"/>
        <v/>
      </c>
      <c r="O147" s="16" t="str">
        <f t="shared" si="54"/>
        <v/>
      </c>
      <c r="P147" s="17" t="str">
        <f t="shared" si="55"/>
        <v/>
      </c>
      <c r="Q147" s="31" t="str">
        <f>IF(OR($C147="",'BUDGET COMMESSA'!$D144="",'BUDGET COMMESSA'!$D144&lt;=0,ANAGRAFICA!$J144=""),"",IF(OR($I147="Finito ritenute non previste",$I147="Finito con sblocco ritenute",$I147="Finito senza sblocco ritenute"),0,IF(AND($BK147&gt;=$BJ147,ANAGRAFICA!$R144="Ritardo produttivo FIDA"),IF(ANAGRAFICA!$T144&lt;&gt;"",MAX(0,ANAGRAFICA!$J144-ANAGRAFICA!$T144),MAX(0,$Y147-ANAGRAFICA!$J144)),0)))</f>
        <v/>
      </c>
      <c r="R147" s="17" t="str">
        <f t="shared" si="56"/>
        <v/>
      </c>
      <c r="S147" s="17" t="str">
        <f t="shared" si="57"/>
        <v/>
      </c>
      <c r="T147" s="17" t="str">
        <f t="shared" si="58"/>
        <v/>
      </c>
      <c r="U147" s="16" t="str">
        <f t="shared" si="59"/>
        <v/>
      </c>
      <c r="V147" s="16" t="str">
        <f t="shared" si="60"/>
        <v/>
      </c>
      <c r="W147" s="16" t="str">
        <f t="shared" si="61"/>
        <v/>
      </c>
      <c r="X147" s="40"/>
      <c r="Y147" s="14"/>
      <c r="AZ147" t="str">
        <f>IF($C147="","",ANAGRAFICA!$P144)</f>
        <v/>
      </c>
      <c r="BA147" t="str">
        <f>IF($C147="","",SUMIF('MOVIMENTI 2026'!$B$7:$B$4206,$C147,'MOVIMENTI 2026'!$I$7:$I$4206)+SUMIF('SALDI AL 31.12.2025'!$A$6:$A$505,$C147,'SALDI AL 31.12.2025'!$C$6:$C$505))</f>
        <v/>
      </c>
      <c r="BB147" t="str">
        <f>IF($C147="","",SUMIF('MOVIMENTI 2026'!$B$7:$B$4206,$C147,'MOVIMENTI 2026'!$J$7:$J$4206)+SUMIF('SALDI AL 31.12.2025'!$A$6:$A$505,$C147,'SALDI AL 31.12.2025'!$D$6:$D$505))</f>
        <v/>
      </c>
      <c r="BC147" t="str">
        <f>IF($C147="","",SUMIF('MOVIMENTI 2026'!$B$7:$B$4206,$C147,'MOVIMENTI 2026'!$K$7:$K$4206)+SUMIF('SALDI AL 31.12.2025'!$A$6:$A$505,$C147,'SALDI AL 31.12.2025'!$E$6:$E$505))</f>
        <v/>
      </c>
      <c r="BD147" t="str">
        <f>IF($C147="","",SUMIF('MOVIMENTI 2026'!$B$7:$B$4206,$C147,'MOVIMENTI 2026'!$L$7:$L$4206)+SUMIF('SALDI AL 31.12.2025'!$A$6:$A$505,$C147,'SALDI AL 31.12.2025'!$F$6:$F$505))</f>
        <v/>
      </c>
      <c r="BE147" t="str">
        <f t="shared" si="62"/>
        <v/>
      </c>
      <c r="BF147" t="str">
        <f t="shared" si="63"/>
        <v/>
      </c>
      <c r="BG147" t="str">
        <f t="shared" si="64"/>
        <v/>
      </c>
      <c r="BH147" t="str">
        <f>IFERROR(IF(OR($C147="",ANAGRAFICA!$I144="",ANAGRAFICA!$J144="",ANAGRAFICA!$J144&lt;=ANAGRAFICA!$I144,$Y147=""),"",IF(OR($I147="Finito ritenute non previste",$I147="Finito con sblocco ritenute",$I147="Finito senza sblocco ritenute"),1,MAX(0,MIN(1,($Y147-ANAGRAFICA!$I144)/(ANAGRAFICA!$J144-ANAGRAFICA!$I144))))),"")</f>
        <v/>
      </c>
      <c r="BI147" t="str">
        <f t="shared" si="65"/>
        <v/>
      </c>
      <c r="BJ147" t="str">
        <f>IFERROR(IF($C147="","",'BUDGET COMMESSA'!$D144),"")</f>
        <v/>
      </c>
      <c r="BK147" t="str">
        <f>IF($C147="","",SUMIF('MOVIMENTI 2026'!$B$7:$B$4206,$C147,'MOVIMENTI 2026'!$N$7:$N$4206)+SUMIF('SALDI AL 31.12.2025'!$A$6:$A$505,$C147,'SALDI AL 31.12.2025'!$H$6:$H$505))</f>
        <v/>
      </c>
      <c r="BL147" t="str">
        <f t="shared" si="66"/>
        <v/>
      </c>
      <c r="BM147" t="str">
        <f t="shared" si="67"/>
        <v/>
      </c>
      <c r="BN147" t="str">
        <f t="shared" si="68"/>
        <v/>
      </c>
      <c r="BO147" t="str">
        <f>IFERROR(IF($C147="","",'BUDGET COMMESSA'!$G144),"")</f>
        <v/>
      </c>
      <c r="BP147" t="str">
        <f>IF($C147="","",SUMIF('COSTI DIRETTI'!$C$6:$C$505,$C147,'COSTI DIRETTI'!$H$6:$H$505)+SUMIF('SALDI AL 31.12.2025'!$A$6:$A$505,$C147,'SALDI AL 31.12.2025'!$I$6:$I$505))</f>
        <v/>
      </c>
      <c r="BQ147" t="str">
        <f t="shared" si="69"/>
        <v/>
      </c>
      <c r="BR147" t="str">
        <f t="shared" si="70"/>
        <v/>
      </c>
      <c r="BS147" t="str">
        <f>IF($C147="","",$BK147*PARAMETRI!$B$4+$BP147)</f>
        <v/>
      </c>
      <c r="BT147">
        <f t="shared" si="71"/>
        <v>0</v>
      </c>
      <c r="BU147">
        <f t="shared" si="72"/>
        <v>0</v>
      </c>
      <c r="BV147" t="str">
        <f>IF($C147="","",SUMIF('MOVIMENTI 2026'!$B$7:$B$4206,$C147,'MOVIMENTI 2026'!$P$7:$P$4206)+SUMIF('SALDI AL 31.12.2025'!$A$6:$A$505,$C147,'SALDI AL 31.12.2025'!$G$6:$G$505))</f>
        <v/>
      </c>
    </row>
    <row r="148" spans="1:74" ht="16" x14ac:dyDescent="0.15">
      <c r="A148" s="17" t="str">
        <f>IFERROR(IF($C148="","",IF(OR($BF148&gt;0,$V148&gt;$J148,AND(ISNUMBER($Q148),$Q148&gt;0),AND($BI148&lt;&gt;"",$BI148&lt;-PARAMETRI!$B$6),AND($BM148&lt;&gt;"",$BM148&gt;=1),AND($BN148&lt;&gt;"",$BN148&gt;PARAMETRI!$B$8),AND(ISNUMBER($BR148),$BR148&gt;0)),"CRITICO",IF(OR($AZ148="",LEFT($C148,5)="TEMP",$BJ148="",$BO148="",ANAGRAFICA!$I145="",ANAGRAFICA!$J145="",$Y148="",AND(OR($I148="Finito ritenute non previste",$I148="Finito con sblocco ritenute",$I148="Finito senza sblocco ritenute"),ANAGRAFICA!$K145=""),OR(AND(ANAGRAFICA!$T145&lt;&gt;"",ANAGRAFICA!$J145&lt;&gt;ANAGRAFICA!$T145,OR(ANAGRAFICA!$R145="",ANAGRAFICA!$R145="Nessuna variazione")),AND(ANAGRAFICA!$J145="",ANAGRAFICA!$R145&lt;&gt;"",ANAGRAFICA!$R145&lt;&gt;"Nessuna variazione")),AND($BI148&lt;&gt;"",$BI148&lt;-PARAMETRI!$B$5),AND($BN148&lt;&gt;"",$BN148&gt;PARAMETRI!$B$7),AND($W148&gt;0,$M148&gt;$W148*PARAMETRI!$B$9),AND($O148&gt;0,OR($I148="Finito ritenute non previste",$I148="Finito con sblocco ritenute",$I148="Finito senza sblocco ritenute")),AND($BA148&gt;0,$BO148&gt;0,$BP148=0),AND(OR($I148="Finito ritenute non previste",$I148="Finito con sblocco ritenute",$I148="Finito senza sblocco ritenute"),$W148&gt;0,$N148&gt;$W148*PARAMETRI!$B$9),$V148&gt;0),"ATTENZIONE","REGOLARE"))),"ATTENZIONE")</f>
        <v/>
      </c>
      <c r="B148" s="17" t="str">
        <f>IFERROR(IF($C148="","",IF($BF148&gt;0,"FATTURATO OLTRE VALORE RECUPERABILE; ","")&amp;IF($V148&gt;$J148,"PERDITE ACCETTATE OLTRE CONTRATTO; ","")&amp;IF($V148&gt;0,"PERDITA SAL ACCETTATA (€ "&amp;TEXT($V148,"#,##0.00")&amp;"); ","")&amp;IF(AND(ISNUMBER($Q148),$Q148&gt;0),"RITARDO PRODUTTIVO ("&amp;TEXT($Q148,"0")&amp;" GG); ","")&amp;IF(AND($BI148&lt;&gt;"",$BI148&lt;-PARAMETRI!$B$5),"AVANZAMENTO PIÙ LENTO DEL TEMPO; ","")&amp;IF(AND($BM148&lt;&gt;"",$BM148&gt;1),"ORE OLTRE BUDGET; ","")&amp;IF(AND($BM148&lt;&gt;"",$BM148=1),"ORE PREVENTIVATE ESAURITE; ","")&amp;IF(AND($BN148&lt;&gt;"",$BN148&gt;PARAMETRI!$B$7),"CONSUMO ORE SUPERIORE ALL'AVANZAMENTO; ","")&amp;IF(AND(ISNUMBER($BR148),$BR148&gt;0),"COSTI DIRETTI OLTRE BUDGET; ","")&amp;IF(AND($W148&gt;0,$M148&gt;$W148*PARAMETRI!$B$9),"SAL MATURATO NON FATTURATO; ","")&amp;IF(AND($O148&gt;0,OR($I148="Finito ritenute non previste",$I148="Finito con sblocco ritenute",$I148="Finito senza sblocco ritenute")),"RITENUTE DA SBLOCCARE; ","")&amp;IF(AND($BA148&gt;0,$BO148&gt;0,$BP148=0),"COSTI DIRETTI NON REGISTRATI; ","")&amp;IF(AND(OR($I148="Finito ritenute non previste",$I148="Finito con sblocco ritenute",$I148="Finito senza sblocco ritenute"),$W148&gt;0,$N148&gt;$W148*PARAMETRI!$B$9),"CANTIERE FINITO CON RESIDUO LAVORI; ","")&amp;IF(AND(OR($I148="Finito ritenute non previste",$I148="Finito con sblocco ritenute",$I148="Finito senza sblocco ritenute"),ANAGRAFICA!$K145=""),"DATA FINE EFFETTIVA MANCANTE; ","")&amp;IF(OR(AND(ANAGRAFICA!$T145&lt;&gt;"",ANAGRAFICA!$J145&lt;&gt;ANAGRAFICA!$T145,OR(ANAGRAFICA!$R145="",ANAGRAFICA!$R145="Nessuna variazione")),AND(ANAGRAFICA!$J145="",ANAGRAFICA!$R145&lt;&gt;"",ANAGRAFICA!$R145&lt;&gt;"Nessuna variazione")),"GESTIONE DATA FINE INCOMPLETA; ","")&amp;IF($Y148="","AGGIORNATO AL MANCANTE; ","")&amp;IF(OR($AZ148="",$BJ148="",$BO148="",ANAGRAFICA!$I145="",ANAGRAFICA!$J145=""),"DATI PREVISIONALI INCOMPLETI; ","")&amp;IF(LEFT($C148,5)="TEMP","CODICE COMMESSA TEMPORANEO; ","")),"DATI INCOMPLETI; ")</f>
        <v/>
      </c>
      <c r="C148" s="17" t="str">
        <f>IF(ANAGRAFICA!$B145="","",ANAGRAFICA!$B145)</f>
        <v/>
      </c>
      <c r="D148" s="17" t="str">
        <f>IF($C148="","",ANAGRAFICA!$C145)</f>
        <v/>
      </c>
      <c r="E148" s="17" t="str">
        <f>IF($C148="","",ANAGRAFICA!$D145)</f>
        <v/>
      </c>
      <c r="F148" s="17" t="str">
        <f>IF($C148="","",ANAGRAFICA!$E145)</f>
        <v/>
      </c>
      <c r="G148" s="17" t="str">
        <f>IF($C148="","",ANAGRAFICA!$F145)</f>
        <v/>
      </c>
      <c r="H148" s="17" t="str">
        <f>IF($C148="","",ANAGRAFICA!$G145)</f>
        <v/>
      </c>
      <c r="I148" s="17" t="str">
        <f>IF($C148="","",ANAGRAFICA!$L145)</f>
        <v/>
      </c>
      <c r="J148" s="16" t="str">
        <f t="shared" si="49"/>
        <v/>
      </c>
      <c r="K148" s="16" t="str">
        <f t="shared" si="50"/>
        <v/>
      </c>
      <c r="L148" s="16" t="str">
        <f t="shared" si="51"/>
        <v/>
      </c>
      <c r="M148" s="16" t="str">
        <f t="shared" si="52"/>
        <v/>
      </c>
      <c r="N148" s="16" t="str">
        <f t="shared" si="53"/>
        <v/>
      </c>
      <c r="O148" s="16" t="str">
        <f t="shared" si="54"/>
        <v/>
      </c>
      <c r="P148" s="17" t="str">
        <f t="shared" si="55"/>
        <v/>
      </c>
      <c r="Q148" s="31" t="str">
        <f>IF(OR($C148="",'BUDGET COMMESSA'!$D145="",'BUDGET COMMESSA'!$D145&lt;=0,ANAGRAFICA!$J145=""),"",IF(OR($I148="Finito ritenute non previste",$I148="Finito con sblocco ritenute",$I148="Finito senza sblocco ritenute"),0,IF(AND($BK148&gt;=$BJ148,ANAGRAFICA!$R145="Ritardo produttivo FIDA"),IF(ANAGRAFICA!$T145&lt;&gt;"",MAX(0,ANAGRAFICA!$J145-ANAGRAFICA!$T145),MAX(0,$Y148-ANAGRAFICA!$J145)),0)))</f>
        <v/>
      </c>
      <c r="R148" s="17" t="str">
        <f t="shared" si="56"/>
        <v/>
      </c>
      <c r="S148" s="17" t="str">
        <f t="shared" si="57"/>
        <v/>
      </c>
      <c r="T148" s="17" t="str">
        <f t="shared" si="58"/>
        <v/>
      </c>
      <c r="U148" s="16" t="str">
        <f t="shared" si="59"/>
        <v/>
      </c>
      <c r="V148" s="16" t="str">
        <f t="shared" si="60"/>
        <v/>
      </c>
      <c r="W148" s="16" t="str">
        <f t="shared" si="61"/>
        <v/>
      </c>
      <c r="X148" s="40"/>
      <c r="Y148" s="14"/>
      <c r="AZ148" t="str">
        <f>IF($C148="","",ANAGRAFICA!$P145)</f>
        <v/>
      </c>
      <c r="BA148" t="str">
        <f>IF($C148="","",SUMIF('MOVIMENTI 2026'!$B$7:$B$4206,$C148,'MOVIMENTI 2026'!$I$7:$I$4206)+SUMIF('SALDI AL 31.12.2025'!$A$6:$A$505,$C148,'SALDI AL 31.12.2025'!$C$6:$C$505))</f>
        <v/>
      </c>
      <c r="BB148" t="str">
        <f>IF($C148="","",SUMIF('MOVIMENTI 2026'!$B$7:$B$4206,$C148,'MOVIMENTI 2026'!$J$7:$J$4206)+SUMIF('SALDI AL 31.12.2025'!$A$6:$A$505,$C148,'SALDI AL 31.12.2025'!$D$6:$D$505))</f>
        <v/>
      </c>
      <c r="BC148" t="str">
        <f>IF($C148="","",SUMIF('MOVIMENTI 2026'!$B$7:$B$4206,$C148,'MOVIMENTI 2026'!$K$7:$K$4206)+SUMIF('SALDI AL 31.12.2025'!$A$6:$A$505,$C148,'SALDI AL 31.12.2025'!$E$6:$E$505))</f>
        <v/>
      </c>
      <c r="BD148" t="str">
        <f>IF($C148="","",SUMIF('MOVIMENTI 2026'!$B$7:$B$4206,$C148,'MOVIMENTI 2026'!$L$7:$L$4206)+SUMIF('SALDI AL 31.12.2025'!$A$6:$A$505,$C148,'SALDI AL 31.12.2025'!$F$6:$F$505))</f>
        <v/>
      </c>
      <c r="BE148" t="str">
        <f t="shared" si="62"/>
        <v/>
      </c>
      <c r="BF148" t="str">
        <f t="shared" si="63"/>
        <v/>
      </c>
      <c r="BG148" t="str">
        <f t="shared" si="64"/>
        <v/>
      </c>
      <c r="BH148" t="str">
        <f>IFERROR(IF(OR($C148="",ANAGRAFICA!$I145="",ANAGRAFICA!$J145="",ANAGRAFICA!$J145&lt;=ANAGRAFICA!$I145,$Y148=""),"",IF(OR($I148="Finito ritenute non previste",$I148="Finito con sblocco ritenute",$I148="Finito senza sblocco ritenute"),1,MAX(0,MIN(1,($Y148-ANAGRAFICA!$I145)/(ANAGRAFICA!$J145-ANAGRAFICA!$I145))))),"")</f>
        <v/>
      </c>
      <c r="BI148" t="str">
        <f t="shared" si="65"/>
        <v/>
      </c>
      <c r="BJ148" t="str">
        <f>IFERROR(IF($C148="","",'BUDGET COMMESSA'!$D145),"")</f>
        <v/>
      </c>
      <c r="BK148" t="str">
        <f>IF($C148="","",SUMIF('MOVIMENTI 2026'!$B$7:$B$4206,$C148,'MOVIMENTI 2026'!$N$7:$N$4206)+SUMIF('SALDI AL 31.12.2025'!$A$6:$A$505,$C148,'SALDI AL 31.12.2025'!$H$6:$H$505))</f>
        <v/>
      </c>
      <c r="BL148" t="str">
        <f t="shared" si="66"/>
        <v/>
      </c>
      <c r="BM148" t="str">
        <f t="shared" si="67"/>
        <v/>
      </c>
      <c r="BN148" t="str">
        <f t="shared" si="68"/>
        <v/>
      </c>
      <c r="BO148" t="str">
        <f>IFERROR(IF($C148="","",'BUDGET COMMESSA'!$G145),"")</f>
        <v/>
      </c>
      <c r="BP148" t="str">
        <f>IF($C148="","",SUMIF('COSTI DIRETTI'!$C$6:$C$505,$C148,'COSTI DIRETTI'!$H$6:$H$505)+SUMIF('SALDI AL 31.12.2025'!$A$6:$A$505,$C148,'SALDI AL 31.12.2025'!$I$6:$I$505))</f>
        <v/>
      </c>
      <c r="BQ148" t="str">
        <f t="shared" si="69"/>
        <v/>
      </c>
      <c r="BR148" t="str">
        <f t="shared" si="70"/>
        <v/>
      </c>
      <c r="BS148" t="str">
        <f>IF($C148="","",$BK148*PARAMETRI!$B$4+$BP148)</f>
        <v/>
      </c>
      <c r="BT148">
        <f t="shared" si="71"/>
        <v>0</v>
      </c>
      <c r="BU148">
        <f t="shared" si="72"/>
        <v>0</v>
      </c>
      <c r="BV148" t="str">
        <f>IF($C148="","",SUMIF('MOVIMENTI 2026'!$B$7:$B$4206,$C148,'MOVIMENTI 2026'!$P$7:$P$4206)+SUMIF('SALDI AL 31.12.2025'!$A$6:$A$505,$C148,'SALDI AL 31.12.2025'!$G$6:$G$505))</f>
        <v/>
      </c>
    </row>
    <row r="149" spans="1:74" ht="16" x14ac:dyDescent="0.15">
      <c r="A149" s="17" t="str">
        <f>IFERROR(IF($C149="","",IF(OR($BF149&gt;0,$V149&gt;$J149,AND(ISNUMBER($Q149),$Q149&gt;0),AND($BI149&lt;&gt;"",$BI149&lt;-PARAMETRI!$B$6),AND($BM149&lt;&gt;"",$BM149&gt;=1),AND($BN149&lt;&gt;"",$BN149&gt;PARAMETRI!$B$8),AND(ISNUMBER($BR149),$BR149&gt;0)),"CRITICO",IF(OR($AZ149="",LEFT($C149,5)="TEMP",$BJ149="",$BO149="",ANAGRAFICA!$I146="",ANAGRAFICA!$J146="",$Y149="",AND(OR($I149="Finito ritenute non previste",$I149="Finito con sblocco ritenute",$I149="Finito senza sblocco ritenute"),ANAGRAFICA!$K146=""),OR(AND(ANAGRAFICA!$T146&lt;&gt;"",ANAGRAFICA!$J146&lt;&gt;ANAGRAFICA!$T146,OR(ANAGRAFICA!$R146="",ANAGRAFICA!$R146="Nessuna variazione")),AND(ANAGRAFICA!$J146="",ANAGRAFICA!$R146&lt;&gt;"",ANAGRAFICA!$R146&lt;&gt;"Nessuna variazione")),AND($BI149&lt;&gt;"",$BI149&lt;-PARAMETRI!$B$5),AND($BN149&lt;&gt;"",$BN149&gt;PARAMETRI!$B$7),AND($W149&gt;0,$M149&gt;$W149*PARAMETRI!$B$9),AND($O149&gt;0,OR($I149="Finito ritenute non previste",$I149="Finito con sblocco ritenute",$I149="Finito senza sblocco ritenute")),AND($BA149&gt;0,$BO149&gt;0,$BP149=0),AND(OR($I149="Finito ritenute non previste",$I149="Finito con sblocco ritenute",$I149="Finito senza sblocco ritenute"),$W149&gt;0,$N149&gt;$W149*PARAMETRI!$B$9),$V149&gt;0),"ATTENZIONE","REGOLARE"))),"ATTENZIONE")</f>
        <v/>
      </c>
      <c r="B149" s="17" t="str">
        <f>IFERROR(IF($C149="","",IF($BF149&gt;0,"FATTURATO OLTRE VALORE RECUPERABILE; ","")&amp;IF($V149&gt;$J149,"PERDITE ACCETTATE OLTRE CONTRATTO; ","")&amp;IF($V149&gt;0,"PERDITA SAL ACCETTATA (€ "&amp;TEXT($V149,"#,##0.00")&amp;"); ","")&amp;IF(AND(ISNUMBER($Q149),$Q149&gt;0),"RITARDO PRODUTTIVO ("&amp;TEXT($Q149,"0")&amp;" GG); ","")&amp;IF(AND($BI149&lt;&gt;"",$BI149&lt;-PARAMETRI!$B$5),"AVANZAMENTO PIÙ LENTO DEL TEMPO; ","")&amp;IF(AND($BM149&lt;&gt;"",$BM149&gt;1),"ORE OLTRE BUDGET; ","")&amp;IF(AND($BM149&lt;&gt;"",$BM149=1),"ORE PREVENTIVATE ESAURITE; ","")&amp;IF(AND($BN149&lt;&gt;"",$BN149&gt;PARAMETRI!$B$7),"CONSUMO ORE SUPERIORE ALL'AVANZAMENTO; ","")&amp;IF(AND(ISNUMBER($BR149),$BR149&gt;0),"COSTI DIRETTI OLTRE BUDGET; ","")&amp;IF(AND($W149&gt;0,$M149&gt;$W149*PARAMETRI!$B$9),"SAL MATURATO NON FATTURATO; ","")&amp;IF(AND($O149&gt;0,OR($I149="Finito ritenute non previste",$I149="Finito con sblocco ritenute",$I149="Finito senza sblocco ritenute")),"RITENUTE DA SBLOCCARE; ","")&amp;IF(AND($BA149&gt;0,$BO149&gt;0,$BP149=0),"COSTI DIRETTI NON REGISTRATI; ","")&amp;IF(AND(OR($I149="Finito ritenute non previste",$I149="Finito con sblocco ritenute",$I149="Finito senza sblocco ritenute"),$W149&gt;0,$N149&gt;$W149*PARAMETRI!$B$9),"CANTIERE FINITO CON RESIDUO LAVORI; ","")&amp;IF(AND(OR($I149="Finito ritenute non previste",$I149="Finito con sblocco ritenute",$I149="Finito senza sblocco ritenute"),ANAGRAFICA!$K146=""),"DATA FINE EFFETTIVA MANCANTE; ","")&amp;IF(OR(AND(ANAGRAFICA!$T146&lt;&gt;"",ANAGRAFICA!$J146&lt;&gt;ANAGRAFICA!$T146,OR(ANAGRAFICA!$R146="",ANAGRAFICA!$R146="Nessuna variazione")),AND(ANAGRAFICA!$J146="",ANAGRAFICA!$R146&lt;&gt;"",ANAGRAFICA!$R146&lt;&gt;"Nessuna variazione")),"GESTIONE DATA FINE INCOMPLETA; ","")&amp;IF($Y149="","AGGIORNATO AL MANCANTE; ","")&amp;IF(OR($AZ149="",$BJ149="",$BO149="",ANAGRAFICA!$I146="",ANAGRAFICA!$J146=""),"DATI PREVISIONALI INCOMPLETI; ","")&amp;IF(LEFT($C149,5)="TEMP","CODICE COMMESSA TEMPORANEO; ","")),"DATI INCOMPLETI; ")</f>
        <v/>
      </c>
      <c r="C149" s="17" t="str">
        <f>IF(ANAGRAFICA!$B146="","",ANAGRAFICA!$B146)</f>
        <v/>
      </c>
      <c r="D149" s="17" t="str">
        <f>IF($C149="","",ANAGRAFICA!$C146)</f>
        <v/>
      </c>
      <c r="E149" s="17" t="str">
        <f>IF($C149="","",ANAGRAFICA!$D146)</f>
        <v/>
      </c>
      <c r="F149" s="17" t="str">
        <f>IF($C149="","",ANAGRAFICA!$E146)</f>
        <v/>
      </c>
      <c r="G149" s="17" t="str">
        <f>IF($C149="","",ANAGRAFICA!$F146)</f>
        <v/>
      </c>
      <c r="H149" s="17" t="str">
        <f>IF($C149="","",ANAGRAFICA!$G146)</f>
        <v/>
      </c>
      <c r="I149" s="17" t="str">
        <f>IF($C149="","",ANAGRAFICA!$L146)</f>
        <v/>
      </c>
      <c r="J149" s="16" t="str">
        <f t="shared" si="49"/>
        <v/>
      </c>
      <c r="K149" s="16" t="str">
        <f t="shared" si="50"/>
        <v/>
      </c>
      <c r="L149" s="16" t="str">
        <f t="shared" si="51"/>
        <v/>
      </c>
      <c r="M149" s="16" t="str">
        <f t="shared" si="52"/>
        <v/>
      </c>
      <c r="N149" s="16" t="str">
        <f t="shared" si="53"/>
        <v/>
      </c>
      <c r="O149" s="16" t="str">
        <f t="shared" si="54"/>
        <v/>
      </c>
      <c r="P149" s="17" t="str">
        <f t="shared" si="55"/>
        <v/>
      </c>
      <c r="Q149" s="31" t="str">
        <f>IF(OR($C149="",'BUDGET COMMESSA'!$D146="",'BUDGET COMMESSA'!$D146&lt;=0,ANAGRAFICA!$J146=""),"",IF(OR($I149="Finito ritenute non previste",$I149="Finito con sblocco ritenute",$I149="Finito senza sblocco ritenute"),0,IF(AND($BK149&gt;=$BJ149,ANAGRAFICA!$R146="Ritardo produttivo FIDA"),IF(ANAGRAFICA!$T146&lt;&gt;"",MAX(0,ANAGRAFICA!$J146-ANAGRAFICA!$T146),MAX(0,$Y149-ANAGRAFICA!$J146)),0)))</f>
        <v/>
      </c>
      <c r="R149" s="17" t="str">
        <f t="shared" si="56"/>
        <v/>
      </c>
      <c r="S149" s="17" t="str">
        <f t="shared" si="57"/>
        <v/>
      </c>
      <c r="T149" s="17" t="str">
        <f t="shared" si="58"/>
        <v/>
      </c>
      <c r="U149" s="16" t="str">
        <f t="shared" si="59"/>
        <v/>
      </c>
      <c r="V149" s="16" t="str">
        <f t="shared" si="60"/>
        <v/>
      </c>
      <c r="W149" s="16" t="str">
        <f t="shared" si="61"/>
        <v/>
      </c>
      <c r="X149" s="40"/>
      <c r="Y149" s="14"/>
      <c r="AZ149" t="str">
        <f>IF($C149="","",ANAGRAFICA!$P146)</f>
        <v/>
      </c>
      <c r="BA149" t="str">
        <f>IF($C149="","",SUMIF('MOVIMENTI 2026'!$B$7:$B$4206,$C149,'MOVIMENTI 2026'!$I$7:$I$4206)+SUMIF('SALDI AL 31.12.2025'!$A$6:$A$505,$C149,'SALDI AL 31.12.2025'!$C$6:$C$505))</f>
        <v/>
      </c>
      <c r="BB149" t="str">
        <f>IF($C149="","",SUMIF('MOVIMENTI 2026'!$B$7:$B$4206,$C149,'MOVIMENTI 2026'!$J$7:$J$4206)+SUMIF('SALDI AL 31.12.2025'!$A$6:$A$505,$C149,'SALDI AL 31.12.2025'!$D$6:$D$505))</f>
        <v/>
      </c>
      <c r="BC149" t="str">
        <f>IF($C149="","",SUMIF('MOVIMENTI 2026'!$B$7:$B$4206,$C149,'MOVIMENTI 2026'!$K$7:$K$4206)+SUMIF('SALDI AL 31.12.2025'!$A$6:$A$505,$C149,'SALDI AL 31.12.2025'!$E$6:$E$505))</f>
        <v/>
      </c>
      <c r="BD149" t="str">
        <f>IF($C149="","",SUMIF('MOVIMENTI 2026'!$B$7:$B$4206,$C149,'MOVIMENTI 2026'!$L$7:$L$4206)+SUMIF('SALDI AL 31.12.2025'!$A$6:$A$505,$C149,'SALDI AL 31.12.2025'!$F$6:$F$505))</f>
        <v/>
      </c>
      <c r="BE149" t="str">
        <f t="shared" si="62"/>
        <v/>
      </c>
      <c r="BF149" t="str">
        <f t="shared" si="63"/>
        <v/>
      </c>
      <c r="BG149" t="str">
        <f t="shared" si="64"/>
        <v/>
      </c>
      <c r="BH149" t="str">
        <f>IFERROR(IF(OR($C149="",ANAGRAFICA!$I146="",ANAGRAFICA!$J146="",ANAGRAFICA!$J146&lt;=ANAGRAFICA!$I146,$Y149=""),"",IF(OR($I149="Finito ritenute non previste",$I149="Finito con sblocco ritenute",$I149="Finito senza sblocco ritenute"),1,MAX(0,MIN(1,($Y149-ANAGRAFICA!$I146)/(ANAGRAFICA!$J146-ANAGRAFICA!$I146))))),"")</f>
        <v/>
      </c>
      <c r="BI149" t="str">
        <f t="shared" si="65"/>
        <v/>
      </c>
      <c r="BJ149" t="str">
        <f>IFERROR(IF($C149="","",'BUDGET COMMESSA'!$D146),"")</f>
        <v/>
      </c>
      <c r="BK149" t="str">
        <f>IF($C149="","",SUMIF('MOVIMENTI 2026'!$B$7:$B$4206,$C149,'MOVIMENTI 2026'!$N$7:$N$4206)+SUMIF('SALDI AL 31.12.2025'!$A$6:$A$505,$C149,'SALDI AL 31.12.2025'!$H$6:$H$505))</f>
        <v/>
      </c>
      <c r="BL149" t="str">
        <f t="shared" si="66"/>
        <v/>
      </c>
      <c r="BM149" t="str">
        <f t="shared" si="67"/>
        <v/>
      </c>
      <c r="BN149" t="str">
        <f t="shared" si="68"/>
        <v/>
      </c>
      <c r="BO149" t="str">
        <f>IFERROR(IF($C149="","",'BUDGET COMMESSA'!$G146),"")</f>
        <v/>
      </c>
      <c r="BP149" t="str">
        <f>IF($C149="","",SUMIF('COSTI DIRETTI'!$C$6:$C$505,$C149,'COSTI DIRETTI'!$H$6:$H$505)+SUMIF('SALDI AL 31.12.2025'!$A$6:$A$505,$C149,'SALDI AL 31.12.2025'!$I$6:$I$505))</f>
        <v/>
      </c>
      <c r="BQ149" t="str">
        <f t="shared" si="69"/>
        <v/>
      </c>
      <c r="BR149" t="str">
        <f t="shared" si="70"/>
        <v/>
      </c>
      <c r="BS149" t="str">
        <f>IF($C149="","",$BK149*PARAMETRI!$B$4+$BP149)</f>
        <v/>
      </c>
      <c r="BT149">
        <f t="shared" si="71"/>
        <v>0</v>
      </c>
      <c r="BU149">
        <f t="shared" si="72"/>
        <v>0</v>
      </c>
      <c r="BV149" t="str">
        <f>IF($C149="","",SUMIF('MOVIMENTI 2026'!$B$7:$B$4206,$C149,'MOVIMENTI 2026'!$P$7:$P$4206)+SUMIF('SALDI AL 31.12.2025'!$A$6:$A$505,$C149,'SALDI AL 31.12.2025'!$G$6:$G$505))</f>
        <v/>
      </c>
    </row>
    <row r="150" spans="1:74" ht="16" x14ac:dyDescent="0.15">
      <c r="A150" s="17" t="str">
        <f>IFERROR(IF($C150="","",IF(OR($BF150&gt;0,$V150&gt;$J150,AND(ISNUMBER($Q150),$Q150&gt;0),AND($BI150&lt;&gt;"",$BI150&lt;-PARAMETRI!$B$6),AND($BM150&lt;&gt;"",$BM150&gt;=1),AND($BN150&lt;&gt;"",$BN150&gt;PARAMETRI!$B$8),AND(ISNUMBER($BR150),$BR150&gt;0)),"CRITICO",IF(OR($AZ150="",LEFT($C150,5)="TEMP",$BJ150="",$BO150="",ANAGRAFICA!$I147="",ANAGRAFICA!$J147="",$Y150="",AND(OR($I150="Finito ritenute non previste",$I150="Finito con sblocco ritenute",$I150="Finito senza sblocco ritenute"),ANAGRAFICA!$K147=""),OR(AND(ANAGRAFICA!$T147&lt;&gt;"",ANAGRAFICA!$J147&lt;&gt;ANAGRAFICA!$T147,OR(ANAGRAFICA!$R147="",ANAGRAFICA!$R147="Nessuna variazione")),AND(ANAGRAFICA!$J147="",ANAGRAFICA!$R147&lt;&gt;"",ANAGRAFICA!$R147&lt;&gt;"Nessuna variazione")),AND($BI150&lt;&gt;"",$BI150&lt;-PARAMETRI!$B$5),AND($BN150&lt;&gt;"",$BN150&gt;PARAMETRI!$B$7),AND($W150&gt;0,$M150&gt;$W150*PARAMETRI!$B$9),AND($O150&gt;0,OR($I150="Finito ritenute non previste",$I150="Finito con sblocco ritenute",$I150="Finito senza sblocco ritenute")),AND($BA150&gt;0,$BO150&gt;0,$BP150=0),AND(OR($I150="Finito ritenute non previste",$I150="Finito con sblocco ritenute",$I150="Finito senza sblocco ritenute"),$W150&gt;0,$N150&gt;$W150*PARAMETRI!$B$9),$V150&gt;0),"ATTENZIONE","REGOLARE"))),"ATTENZIONE")</f>
        <v/>
      </c>
      <c r="B150" s="17" t="str">
        <f>IFERROR(IF($C150="","",IF($BF150&gt;0,"FATTURATO OLTRE VALORE RECUPERABILE; ","")&amp;IF($V150&gt;$J150,"PERDITE ACCETTATE OLTRE CONTRATTO; ","")&amp;IF($V150&gt;0,"PERDITA SAL ACCETTATA (€ "&amp;TEXT($V150,"#,##0.00")&amp;"); ","")&amp;IF(AND(ISNUMBER($Q150),$Q150&gt;0),"RITARDO PRODUTTIVO ("&amp;TEXT($Q150,"0")&amp;" GG); ","")&amp;IF(AND($BI150&lt;&gt;"",$BI150&lt;-PARAMETRI!$B$5),"AVANZAMENTO PIÙ LENTO DEL TEMPO; ","")&amp;IF(AND($BM150&lt;&gt;"",$BM150&gt;1),"ORE OLTRE BUDGET; ","")&amp;IF(AND($BM150&lt;&gt;"",$BM150=1),"ORE PREVENTIVATE ESAURITE; ","")&amp;IF(AND($BN150&lt;&gt;"",$BN150&gt;PARAMETRI!$B$7),"CONSUMO ORE SUPERIORE ALL'AVANZAMENTO; ","")&amp;IF(AND(ISNUMBER($BR150),$BR150&gt;0),"COSTI DIRETTI OLTRE BUDGET; ","")&amp;IF(AND($W150&gt;0,$M150&gt;$W150*PARAMETRI!$B$9),"SAL MATURATO NON FATTURATO; ","")&amp;IF(AND($O150&gt;0,OR($I150="Finito ritenute non previste",$I150="Finito con sblocco ritenute",$I150="Finito senza sblocco ritenute")),"RITENUTE DA SBLOCCARE; ","")&amp;IF(AND($BA150&gt;0,$BO150&gt;0,$BP150=0),"COSTI DIRETTI NON REGISTRATI; ","")&amp;IF(AND(OR($I150="Finito ritenute non previste",$I150="Finito con sblocco ritenute",$I150="Finito senza sblocco ritenute"),$W150&gt;0,$N150&gt;$W150*PARAMETRI!$B$9),"CANTIERE FINITO CON RESIDUO LAVORI; ","")&amp;IF(AND(OR($I150="Finito ritenute non previste",$I150="Finito con sblocco ritenute",$I150="Finito senza sblocco ritenute"),ANAGRAFICA!$K147=""),"DATA FINE EFFETTIVA MANCANTE; ","")&amp;IF(OR(AND(ANAGRAFICA!$T147&lt;&gt;"",ANAGRAFICA!$J147&lt;&gt;ANAGRAFICA!$T147,OR(ANAGRAFICA!$R147="",ANAGRAFICA!$R147="Nessuna variazione")),AND(ANAGRAFICA!$J147="",ANAGRAFICA!$R147&lt;&gt;"",ANAGRAFICA!$R147&lt;&gt;"Nessuna variazione")),"GESTIONE DATA FINE INCOMPLETA; ","")&amp;IF($Y150="","AGGIORNATO AL MANCANTE; ","")&amp;IF(OR($AZ150="",$BJ150="",$BO150="",ANAGRAFICA!$I147="",ANAGRAFICA!$J147=""),"DATI PREVISIONALI INCOMPLETI; ","")&amp;IF(LEFT($C150,5)="TEMP","CODICE COMMESSA TEMPORANEO; ","")),"DATI INCOMPLETI; ")</f>
        <v/>
      </c>
      <c r="C150" s="17" t="str">
        <f>IF(ANAGRAFICA!$B147="","",ANAGRAFICA!$B147)</f>
        <v/>
      </c>
      <c r="D150" s="17" t="str">
        <f>IF($C150="","",ANAGRAFICA!$C147)</f>
        <v/>
      </c>
      <c r="E150" s="17" t="str">
        <f>IF($C150="","",ANAGRAFICA!$D147)</f>
        <v/>
      </c>
      <c r="F150" s="17" t="str">
        <f>IF($C150="","",ANAGRAFICA!$E147)</f>
        <v/>
      </c>
      <c r="G150" s="17" t="str">
        <f>IF($C150="","",ANAGRAFICA!$F147)</f>
        <v/>
      </c>
      <c r="H150" s="17" t="str">
        <f>IF($C150="","",ANAGRAFICA!$G147)</f>
        <v/>
      </c>
      <c r="I150" s="17" t="str">
        <f>IF($C150="","",ANAGRAFICA!$L147)</f>
        <v/>
      </c>
      <c r="J150" s="16" t="str">
        <f t="shared" si="49"/>
        <v/>
      </c>
      <c r="K150" s="16" t="str">
        <f t="shared" si="50"/>
        <v/>
      </c>
      <c r="L150" s="16" t="str">
        <f t="shared" si="51"/>
        <v/>
      </c>
      <c r="M150" s="16" t="str">
        <f t="shared" si="52"/>
        <v/>
      </c>
      <c r="N150" s="16" t="str">
        <f t="shared" si="53"/>
        <v/>
      </c>
      <c r="O150" s="16" t="str">
        <f t="shared" si="54"/>
        <v/>
      </c>
      <c r="P150" s="17" t="str">
        <f t="shared" si="55"/>
        <v/>
      </c>
      <c r="Q150" s="31" t="str">
        <f>IF(OR($C150="",'BUDGET COMMESSA'!$D147="",'BUDGET COMMESSA'!$D147&lt;=0,ANAGRAFICA!$J147=""),"",IF(OR($I150="Finito ritenute non previste",$I150="Finito con sblocco ritenute",$I150="Finito senza sblocco ritenute"),0,IF(AND($BK150&gt;=$BJ150,ANAGRAFICA!$R147="Ritardo produttivo FIDA"),IF(ANAGRAFICA!$T147&lt;&gt;"",MAX(0,ANAGRAFICA!$J147-ANAGRAFICA!$T147),MAX(0,$Y150-ANAGRAFICA!$J147)),0)))</f>
        <v/>
      </c>
      <c r="R150" s="17" t="str">
        <f t="shared" si="56"/>
        <v/>
      </c>
      <c r="S150" s="17" t="str">
        <f t="shared" si="57"/>
        <v/>
      </c>
      <c r="T150" s="17" t="str">
        <f t="shared" si="58"/>
        <v/>
      </c>
      <c r="U150" s="16" t="str">
        <f t="shared" si="59"/>
        <v/>
      </c>
      <c r="V150" s="16" t="str">
        <f t="shared" si="60"/>
        <v/>
      </c>
      <c r="W150" s="16" t="str">
        <f t="shared" si="61"/>
        <v/>
      </c>
      <c r="X150" s="40"/>
      <c r="Y150" s="14"/>
      <c r="AZ150" t="str">
        <f>IF($C150="","",ANAGRAFICA!$P147)</f>
        <v/>
      </c>
      <c r="BA150" t="str">
        <f>IF($C150="","",SUMIF('MOVIMENTI 2026'!$B$7:$B$4206,$C150,'MOVIMENTI 2026'!$I$7:$I$4206)+SUMIF('SALDI AL 31.12.2025'!$A$6:$A$505,$C150,'SALDI AL 31.12.2025'!$C$6:$C$505))</f>
        <v/>
      </c>
      <c r="BB150" t="str">
        <f>IF($C150="","",SUMIF('MOVIMENTI 2026'!$B$7:$B$4206,$C150,'MOVIMENTI 2026'!$J$7:$J$4206)+SUMIF('SALDI AL 31.12.2025'!$A$6:$A$505,$C150,'SALDI AL 31.12.2025'!$D$6:$D$505))</f>
        <v/>
      </c>
      <c r="BC150" t="str">
        <f>IF($C150="","",SUMIF('MOVIMENTI 2026'!$B$7:$B$4206,$C150,'MOVIMENTI 2026'!$K$7:$K$4206)+SUMIF('SALDI AL 31.12.2025'!$A$6:$A$505,$C150,'SALDI AL 31.12.2025'!$E$6:$E$505))</f>
        <v/>
      </c>
      <c r="BD150" t="str">
        <f>IF($C150="","",SUMIF('MOVIMENTI 2026'!$B$7:$B$4206,$C150,'MOVIMENTI 2026'!$L$7:$L$4206)+SUMIF('SALDI AL 31.12.2025'!$A$6:$A$505,$C150,'SALDI AL 31.12.2025'!$F$6:$F$505))</f>
        <v/>
      </c>
      <c r="BE150" t="str">
        <f t="shared" si="62"/>
        <v/>
      </c>
      <c r="BF150" t="str">
        <f t="shared" si="63"/>
        <v/>
      </c>
      <c r="BG150" t="str">
        <f t="shared" si="64"/>
        <v/>
      </c>
      <c r="BH150" t="str">
        <f>IFERROR(IF(OR($C150="",ANAGRAFICA!$I147="",ANAGRAFICA!$J147="",ANAGRAFICA!$J147&lt;=ANAGRAFICA!$I147,$Y150=""),"",IF(OR($I150="Finito ritenute non previste",$I150="Finito con sblocco ritenute",$I150="Finito senza sblocco ritenute"),1,MAX(0,MIN(1,($Y150-ANAGRAFICA!$I147)/(ANAGRAFICA!$J147-ANAGRAFICA!$I147))))),"")</f>
        <v/>
      </c>
      <c r="BI150" t="str">
        <f t="shared" si="65"/>
        <v/>
      </c>
      <c r="BJ150" t="str">
        <f>IFERROR(IF($C150="","",'BUDGET COMMESSA'!$D147),"")</f>
        <v/>
      </c>
      <c r="BK150" t="str">
        <f>IF($C150="","",SUMIF('MOVIMENTI 2026'!$B$7:$B$4206,$C150,'MOVIMENTI 2026'!$N$7:$N$4206)+SUMIF('SALDI AL 31.12.2025'!$A$6:$A$505,$C150,'SALDI AL 31.12.2025'!$H$6:$H$505))</f>
        <v/>
      </c>
      <c r="BL150" t="str">
        <f t="shared" si="66"/>
        <v/>
      </c>
      <c r="BM150" t="str">
        <f t="shared" si="67"/>
        <v/>
      </c>
      <c r="BN150" t="str">
        <f t="shared" si="68"/>
        <v/>
      </c>
      <c r="BO150" t="str">
        <f>IFERROR(IF($C150="","",'BUDGET COMMESSA'!$G147),"")</f>
        <v/>
      </c>
      <c r="BP150" t="str">
        <f>IF($C150="","",SUMIF('COSTI DIRETTI'!$C$6:$C$505,$C150,'COSTI DIRETTI'!$H$6:$H$505)+SUMIF('SALDI AL 31.12.2025'!$A$6:$A$505,$C150,'SALDI AL 31.12.2025'!$I$6:$I$505))</f>
        <v/>
      </c>
      <c r="BQ150" t="str">
        <f t="shared" si="69"/>
        <v/>
      </c>
      <c r="BR150" t="str">
        <f t="shared" si="70"/>
        <v/>
      </c>
      <c r="BS150" t="str">
        <f>IF($C150="","",$BK150*PARAMETRI!$B$4+$BP150)</f>
        <v/>
      </c>
      <c r="BT150">
        <f t="shared" si="71"/>
        <v>0</v>
      </c>
      <c r="BU150">
        <f t="shared" si="72"/>
        <v>0</v>
      </c>
      <c r="BV150" t="str">
        <f>IF($C150="","",SUMIF('MOVIMENTI 2026'!$B$7:$B$4206,$C150,'MOVIMENTI 2026'!$P$7:$P$4206)+SUMIF('SALDI AL 31.12.2025'!$A$6:$A$505,$C150,'SALDI AL 31.12.2025'!$G$6:$G$505))</f>
        <v/>
      </c>
    </row>
    <row r="151" spans="1:74" ht="16" x14ac:dyDescent="0.15">
      <c r="A151" s="17" t="str">
        <f>IFERROR(IF($C151="","",IF(OR($BF151&gt;0,$V151&gt;$J151,AND(ISNUMBER($Q151),$Q151&gt;0),AND($BI151&lt;&gt;"",$BI151&lt;-PARAMETRI!$B$6),AND($BM151&lt;&gt;"",$BM151&gt;=1),AND($BN151&lt;&gt;"",$BN151&gt;PARAMETRI!$B$8),AND(ISNUMBER($BR151),$BR151&gt;0)),"CRITICO",IF(OR($AZ151="",LEFT($C151,5)="TEMP",$BJ151="",$BO151="",ANAGRAFICA!$I148="",ANAGRAFICA!$J148="",$Y151="",AND(OR($I151="Finito ritenute non previste",$I151="Finito con sblocco ritenute",$I151="Finito senza sblocco ritenute"),ANAGRAFICA!$K148=""),OR(AND(ANAGRAFICA!$T148&lt;&gt;"",ANAGRAFICA!$J148&lt;&gt;ANAGRAFICA!$T148,OR(ANAGRAFICA!$R148="",ANAGRAFICA!$R148="Nessuna variazione")),AND(ANAGRAFICA!$J148="",ANAGRAFICA!$R148&lt;&gt;"",ANAGRAFICA!$R148&lt;&gt;"Nessuna variazione")),AND($BI151&lt;&gt;"",$BI151&lt;-PARAMETRI!$B$5),AND($BN151&lt;&gt;"",$BN151&gt;PARAMETRI!$B$7),AND($W151&gt;0,$M151&gt;$W151*PARAMETRI!$B$9),AND($O151&gt;0,OR($I151="Finito ritenute non previste",$I151="Finito con sblocco ritenute",$I151="Finito senza sblocco ritenute")),AND($BA151&gt;0,$BO151&gt;0,$BP151=0),AND(OR($I151="Finito ritenute non previste",$I151="Finito con sblocco ritenute",$I151="Finito senza sblocco ritenute"),$W151&gt;0,$N151&gt;$W151*PARAMETRI!$B$9),$V151&gt;0),"ATTENZIONE","REGOLARE"))),"ATTENZIONE")</f>
        <v/>
      </c>
      <c r="B151" s="17" t="str">
        <f>IFERROR(IF($C151="","",IF($BF151&gt;0,"FATTURATO OLTRE VALORE RECUPERABILE; ","")&amp;IF($V151&gt;$J151,"PERDITE ACCETTATE OLTRE CONTRATTO; ","")&amp;IF($V151&gt;0,"PERDITA SAL ACCETTATA (€ "&amp;TEXT($V151,"#,##0.00")&amp;"); ","")&amp;IF(AND(ISNUMBER($Q151),$Q151&gt;0),"RITARDO PRODUTTIVO ("&amp;TEXT($Q151,"0")&amp;" GG); ","")&amp;IF(AND($BI151&lt;&gt;"",$BI151&lt;-PARAMETRI!$B$5),"AVANZAMENTO PIÙ LENTO DEL TEMPO; ","")&amp;IF(AND($BM151&lt;&gt;"",$BM151&gt;1),"ORE OLTRE BUDGET; ","")&amp;IF(AND($BM151&lt;&gt;"",$BM151=1),"ORE PREVENTIVATE ESAURITE; ","")&amp;IF(AND($BN151&lt;&gt;"",$BN151&gt;PARAMETRI!$B$7),"CONSUMO ORE SUPERIORE ALL'AVANZAMENTO; ","")&amp;IF(AND(ISNUMBER($BR151),$BR151&gt;0),"COSTI DIRETTI OLTRE BUDGET; ","")&amp;IF(AND($W151&gt;0,$M151&gt;$W151*PARAMETRI!$B$9),"SAL MATURATO NON FATTURATO; ","")&amp;IF(AND($O151&gt;0,OR($I151="Finito ritenute non previste",$I151="Finito con sblocco ritenute",$I151="Finito senza sblocco ritenute")),"RITENUTE DA SBLOCCARE; ","")&amp;IF(AND($BA151&gt;0,$BO151&gt;0,$BP151=0),"COSTI DIRETTI NON REGISTRATI; ","")&amp;IF(AND(OR($I151="Finito ritenute non previste",$I151="Finito con sblocco ritenute",$I151="Finito senza sblocco ritenute"),$W151&gt;0,$N151&gt;$W151*PARAMETRI!$B$9),"CANTIERE FINITO CON RESIDUO LAVORI; ","")&amp;IF(AND(OR($I151="Finito ritenute non previste",$I151="Finito con sblocco ritenute",$I151="Finito senza sblocco ritenute"),ANAGRAFICA!$K148=""),"DATA FINE EFFETTIVA MANCANTE; ","")&amp;IF(OR(AND(ANAGRAFICA!$T148&lt;&gt;"",ANAGRAFICA!$J148&lt;&gt;ANAGRAFICA!$T148,OR(ANAGRAFICA!$R148="",ANAGRAFICA!$R148="Nessuna variazione")),AND(ANAGRAFICA!$J148="",ANAGRAFICA!$R148&lt;&gt;"",ANAGRAFICA!$R148&lt;&gt;"Nessuna variazione")),"GESTIONE DATA FINE INCOMPLETA; ","")&amp;IF($Y151="","AGGIORNATO AL MANCANTE; ","")&amp;IF(OR($AZ151="",$BJ151="",$BO151="",ANAGRAFICA!$I148="",ANAGRAFICA!$J148=""),"DATI PREVISIONALI INCOMPLETI; ","")&amp;IF(LEFT($C151,5)="TEMP","CODICE COMMESSA TEMPORANEO; ","")),"DATI INCOMPLETI; ")</f>
        <v/>
      </c>
      <c r="C151" s="17" t="str">
        <f>IF(ANAGRAFICA!$B148="","",ANAGRAFICA!$B148)</f>
        <v/>
      </c>
      <c r="D151" s="17" t="str">
        <f>IF($C151="","",ANAGRAFICA!$C148)</f>
        <v/>
      </c>
      <c r="E151" s="17" t="str">
        <f>IF($C151="","",ANAGRAFICA!$D148)</f>
        <v/>
      </c>
      <c r="F151" s="17" t="str">
        <f>IF($C151="","",ANAGRAFICA!$E148)</f>
        <v/>
      </c>
      <c r="G151" s="17" t="str">
        <f>IF($C151="","",ANAGRAFICA!$F148)</f>
        <v/>
      </c>
      <c r="H151" s="17" t="str">
        <f>IF($C151="","",ANAGRAFICA!$G148)</f>
        <v/>
      </c>
      <c r="I151" s="17" t="str">
        <f>IF($C151="","",ANAGRAFICA!$L148)</f>
        <v/>
      </c>
      <c r="J151" s="16" t="str">
        <f t="shared" si="49"/>
        <v/>
      </c>
      <c r="K151" s="16" t="str">
        <f t="shared" si="50"/>
        <v/>
      </c>
      <c r="L151" s="16" t="str">
        <f t="shared" si="51"/>
        <v/>
      </c>
      <c r="M151" s="16" t="str">
        <f t="shared" si="52"/>
        <v/>
      </c>
      <c r="N151" s="16" t="str">
        <f t="shared" si="53"/>
        <v/>
      </c>
      <c r="O151" s="16" t="str">
        <f t="shared" si="54"/>
        <v/>
      </c>
      <c r="P151" s="17" t="str">
        <f t="shared" si="55"/>
        <v/>
      </c>
      <c r="Q151" s="31" t="str">
        <f>IF(OR($C151="",'BUDGET COMMESSA'!$D148="",'BUDGET COMMESSA'!$D148&lt;=0,ANAGRAFICA!$J148=""),"",IF(OR($I151="Finito ritenute non previste",$I151="Finito con sblocco ritenute",$I151="Finito senza sblocco ritenute"),0,IF(AND($BK151&gt;=$BJ151,ANAGRAFICA!$R148="Ritardo produttivo FIDA"),IF(ANAGRAFICA!$T148&lt;&gt;"",MAX(0,ANAGRAFICA!$J148-ANAGRAFICA!$T148),MAX(0,$Y151-ANAGRAFICA!$J148)),0)))</f>
        <v/>
      </c>
      <c r="R151" s="17" t="str">
        <f t="shared" si="56"/>
        <v/>
      </c>
      <c r="S151" s="17" t="str">
        <f t="shared" si="57"/>
        <v/>
      </c>
      <c r="T151" s="17" t="str">
        <f t="shared" si="58"/>
        <v/>
      </c>
      <c r="U151" s="16" t="str">
        <f t="shared" si="59"/>
        <v/>
      </c>
      <c r="V151" s="16" t="str">
        <f t="shared" si="60"/>
        <v/>
      </c>
      <c r="W151" s="16" t="str">
        <f t="shared" si="61"/>
        <v/>
      </c>
      <c r="X151" s="40"/>
      <c r="Y151" s="14"/>
      <c r="AZ151" t="str">
        <f>IF($C151="","",ANAGRAFICA!$P148)</f>
        <v/>
      </c>
      <c r="BA151" t="str">
        <f>IF($C151="","",SUMIF('MOVIMENTI 2026'!$B$7:$B$4206,$C151,'MOVIMENTI 2026'!$I$7:$I$4206)+SUMIF('SALDI AL 31.12.2025'!$A$6:$A$505,$C151,'SALDI AL 31.12.2025'!$C$6:$C$505))</f>
        <v/>
      </c>
      <c r="BB151" t="str">
        <f>IF($C151="","",SUMIF('MOVIMENTI 2026'!$B$7:$B$4206,$C151,'MOVIMENTI 2026'!$J$7:$J$4206)+SUMIF('SALDI AL 31.12.2025'!$A$6:$A$505,$C151,'SALDI AL 31.12.2025'!$D$6:$D$505))</f>
        <v/>
      </c>
      <c r="BC151" t="str">
        <f>IF($C151="","",SUMIF('MOVIMENTI 2026'!$B$7:$B$4206,$C151,'MOVIMENTI 2026'!$K$7:$K$4206)+SUMIF('SALDI AL 31.12.2025'!$A$6:$A$505,$C151,'SALDI AL 31.12.2025'!$E$6:$E$505))</f>
        <v/>
      </c>
      <c r="BD151" t="str">
        <f>IF($C151="","",SUMIF('MOVIMENTI 2026'!$B$7:$B$4206,$C151,'MOVIMENTI 2026'!$L$7:$L$4206)+SUMIF('SALDI AL 31.12.2025'!$A$6:$A$505,$C151,'SALDI AL 31.12.2025'!$F$6:$F$505))</f>
        <v/>
      </c>
      <c r="BE151" t="str">
        <f t="shared" si="62"/>
        <v/>
      </c>
      <c r="BF151" t="str">
        <f t="shared" si="63"/>
        <v/>
      </c>
      <c r="BG151" t="str">
        <f t="shared" si="64"/>
        <v/>
      </c>
      <c r="BH151" t="str">
        <f>IFERROR(IF(OR($C151="",ANAGRAFICA!$I148="",ANAGRAFICA!$J148="",ANAGRAFICA!$J148&lt;=ANAGRAFICA!$I148,$Y151=""),"",IF(OR($I151="Finito ritenute non previste",$I151="Finito con sblocco ritenute",$I151="Finito senza sblocco ritenute"),1,MAX(0,MIN(1,($Y151-ANAGRAFICA!$I148)/(ANAGRAFICA!$J148-ANAGRAFICA!$I148))))),"")</f>
        <v/>
      </c>
      <c r="BI151" t="str">
        <f t="shared" si="65"/>
        <v/>
      </c>
      <c r="BJ151" t="str">
        <f>IFERROR(IF($C151="","",'BUDGET COMMESSA'!$D148),"")</f>
        <v/>
      </c>
      <c r="BK151" t="str">
        <f>IF($C151="","",SUMIF('MOVIMENTI 2026'!$B$7:$B$4206,$C151,'MOVIMENTI 2026'!$N$7:$N$4206)+SUMIF('SALDI AL 31.12.2025'!$A$6:$A$505,$C151,'SALDI AL 31.12.2025'!$H$6:$H$505))</f>
        <v/>
      </c>
      <c r="BL151" t="str">
        <f t="shared" si="66"/>
        <v/>
      </c>
      <c r="BM151" t="str">
        <f t="shared" si="67"/>
        <v/>
      </c>
      <c r="BN151" t="str">
        <f t="shared" si="68"/>
        <v/>
      </c>
      <c r="BO151" t="str">
        <f>IFERROR(IF($C151="","",'BUDGET COMMESSA'!$G148),"")</f>
        <v/>
      </c>
      <c r="BP151" t="str">
        <f>IF($C151="","",SUMIF('COSTI DIRETTI'!$C$6:$C$505,$C151,'COSTI DIRETTI'!$H$6:$H$505)+SUMIF('SALDI AL 31.12.2025'!$A$6:$A$505,$C151,'SALDI AL 31.12.2025'!$I$6:$I$505))</f>
        <v/>
      </c>
      <c r="BQ151" t="str">
        <f t="shared" si="69"/>
        <v/>
      </c>
      <c r="BR151" t="str">
        <f t="shared" si="70"/>
        <v/>
      </c>
      <c r="BS151" t="str">
        <f>IF($C151="","",$BK151*PARAMETRI!$B$4+$BP151)</f>
        <v/>
      </c>
      <c r="BT151">
        <f t="shared" si="71"/>
        <v>0</v>
      </c>
      <c r="BU151">
        <f t="shared" si="72"/>
        <v>0</v>
      </c>
      <c r="BV151" t="str">
        <f>IF($C151="","",SUMIF('MOVIMENTI 2026'!$B$7:$B$4206,$C151,'MOVIMENTI 2026'!$P$7:$P$4206)+SUMIF('SALDI AL 31.12.2025'!$A$6:$A$505,$C151,'SALDI AL 31.12.2025'!$G$6:$G$505))</f>
        <v/>
      </c>
    </row>
    <row r="152" spans="1:74" ht="16" x14ac:dyDescent="0.15">
      <c r="A152" s="17" t="str">
        <f>IFERROR(IF($C152="","",IF(OR($BF152&gt;0,$V152&gt;$J152,AND(ISNUMBER($Q152),$Q152&gt;0),AND($BI152&lt;&gt;"",$BI152&lt;-PARAMETRI!$B$6),AND($BM152&lt;&gt;"",$BM152&gt;=1),AND($BN152&lt;&gt;"",$BN152&gt;PARAMETRI!$B$8),AND(ISNUMBER($BR152),$BR152&gt;0)),"CRITICO",IF(OR($AZ152="",LEFT($C152,5)="TEMP",$BJ152="",$BO152="",ANAGRAFICA!$I149="",ANAGRAFICA!$J149="",$Y152="",AND(OR($I152="Finito ritenute non previste",$I152="Finito con sblocco ritenute",$I152="Finito senza sblocco ritenute"),ANAGRAFICA!$K149=""),OR(AND(ANAGRAFICA!$T149&lt;&gt;"",ANAGRAFICA!$J149&lt;&gt;ANAGRAFICA!$T149,OR(ANAGRAFICA!$R149="",ANAGRAFICA!$R149="Nessuna variazione")),AND(ANAGRAFICA!$J149="",ANAGRAFICA!$R149&lt;&gt;"",ANAGRAFICA!$R149&lt;&gt;"Nessuna variazione")),AND($BI152&lt;&gt;"",$BI152&lt;-PARAMETRI!$B$5),AND($BN152&lt;&gt;"",$BN152&gt;PARAMETRI!$B$7),AND($W152&gt;0,$M152&gt;$W152*PARAMETRI!$B$9),AND($O152&gt;0,OR($I152="Finito ritenute non previste",$I152="Finito con sblocco ritenute",$I152="Finito senza sblocco ritenute")),AND($BA152&gt;0,$BO152&gt;0,$BP152=0),AND(OR($I152="Finito ritenute non previste",$I152="Finito con sblocco ritenute",$I152="Finito senza sblocco ritenute"),$W152&gt;0,$N152&gt;$W152*PARAMETRI!$B$9),$V152&gt;0),"ATTENZIONE","REGOLARE"))),"ATTENZIONE")</f>
        <v/>
      </c>
      <c r="B152" s="17" t="str">
        <f>IFERROR(IF($C152="","",IF($BF152&gt;0,"FATTURATO OLTRE VALORE RECUPERABILE; ","")&amp;IF($V152&gt;$J152,"PERDITE ACCETTATE OLTRE CONTRATTO; ","")&amp;IF($V152&gt;0,"PERDITA SAL ACCETTATA (€ "&amp;TEXT($V152,"#,##0.00")&amp;"); ","")&amp;IF(AND(ISNUMBER($Q152),$Q152&gt;0),"RITARDO PRODUTTIVO ("&amp;TEXT($Q152,"0")&amp;" GG); ","")&amp;IF(AND($BI152&lt;&gt;"",$BI152&lt;-PARAMETRI!$B$5),"AVANZAMENTO PIÙ LENTO DEL TEMPO; ","")&amp;IF(AND($BM152&lt;&gt;"",$BM152&gt;1),"ORE OLTRE BUDGET; ","")&amp;IF(AND($BM152&lt;&gt;"",$BM152=1),"ORE PREVENTIVATE ESAURITE; ","")&amp;IF(AND($BN152&lt;&gt;"",$BN152&gt;PARAMETRI!$B$7),"CONSUMO ORE SUPERIORE ALL'AVANZAMENTO; ","")&amp;IF(AND(ISNUMBER($BR152),$BR152&gt;0),"COSTI DIRETTI OLTRE BUDGET; ","")&amp;IF(AND($W152&gt;0,$M152&gt;$W152*PARAMETRI!$B$9),"SAL MATURATO NON FATTURATO; ","")&amp;IF(AND($O152&gt;0,OR($I152="Finito ritenute non previste",$I152="Finito con sblocco ritenute",$I152="Finito senza sblocco ritenute")),"RITENUTE DA SBLOCCARE; ","")&amp;IF(AND($BA152&gt;0,$BO152&gt;0,$BP152=0),"COSTI DIRETTI NON REGISTRATI; ","")&amp;IF(AND(OR($I152="Finito ritenute non previste",$I152="Finito con sblocco ritenute",$I152="Finito senza sblocco ritenute"),$W152&gt;0,$N152&gt;$W152*PARAMETRI!$B$9),"CANTIERE FINITO CON RESIDUO LAVORI; ","")&amp;IF(AND(OR($I152="Finito ritenute non previste",$I152="Finito con sblocco ritenute",$I152="Finito senza sblocco ritenute"),ANAGRAFICA!$K149=""),"DATA FINE EFFETTIVA MANCANTE; ","")&amp;IF(OR(AND(ANAGRAFICA!$T149&lt;&gt;"",ANAGRAFICA!$J149&lt;&gt;ANAGRAFICA!$T149,OR(ANAGRAFICA!$R149="",ANAGRAFICA!$R149="Nessuna variazione")),AND(ANAGRAFICA!$J149="",ANAGRAFICA!$R149&lt;&gt;"",ANAGRAFICA!$R149&lt;&gt;"Nessuna variazione")),"GESTIONE DATA FINE INCOMPLETA; ","")&amp;IF($Y152="","AGGIORNATO AL MANCANTE; ","")&amp;IF(OR($AZ152="",$BJ152="",$BO152="",ANAGRAFICA!$I149="",ANAGRAFICA!$J149=""),"DATI PREVISIONALI INCOMPLETI; ","")&amp;IF(LEFT($C152,5)="TEMP","CODICE COMMESSA TEMPORANEO; ","")),"DATI INCOMPLETI; ")</f>
        <v/>
      </c>
      <c r="C152" s="17" t="str">
        <f>IF(ANAGRAFICA!$B149="","",ANAGRAFICA!$B149)</f>
        <v/>
      </c>
      <c r="D152" s="17" t="str">
        <f>IF($C152="","",ANAGRAFICA!$C149)</f>
        <v/>
      </c>
      <c r="E152" s="17" t="str">
        <f>IF($C152="","",ANAGRAFICA!$D149)</f>
        <v/>
      </c>
      <c r="F152" s="17" t="str">
        <f>IF($C152="","",ANAGRAFICA!$E149)</f>
        <v/>
      </c>
      <c r="G152" s="17" t="str">
        <f>IF($C152="","",ANAGRAFICA!$F149)</f>
        <v/>
      </c>
      <c r="H152" s="17" t="str">
        <f>IF($C152="","",ANAGRAFICA!$G149)</f>
        <v/>
      </c>
      <c r="I152" s="17" t="str">
        <f>IF($C152="","",ANAGRAFICA!$L149)</f>
        <v/>
      </c>
      <c r="J152" s="16" t="str">
        <f t="shared" si="49"/>
        <v/>
      </c>
      <c r="K152" s="16" t="str">
        <f t="shared" si="50"/>
        <v/>
      </c>
      <c r="L152" s="16" t="str">
        <f t="shared" si="51"/>
        <v/>
      </c>
      <c r="M152" s="16" t="str">
        <f t="shared" si="52"/>
        <v/>
      </c>
      <c r="N152" s="16" t="str">
        <f t="shared" si="53"/>
        <v/>
      </c>
      <c r="O152" s="16" t="str">
        <f t="shared" si="54"/>
        <v/>
      </c>
      <c r="P152" s="17" t="str">
        <f t="shared" si="55"/>
        <v/>
      </c>
      <c r="Q152" s="31" t="str">
        <f>IF(OR($C152="",'BUDGET COMMESSA'!$D149="",'BUDGET COMMESSA'!$D149&lt;=0,ANAGRAFICA!$J149=""),"",IF(OR($I152="Finito ritenute non previste",$I152="Finito con sblocco ritenute",$I152="Finito senza sblocco ritenute"),0,IF(AND($BK152&gt;=$BJ152,ANAGRAFICA!$R149="Ritardo produttivo FIDA"),IF(ANAGRAFICA!$T149&lt;&gt;"",MAX(0,ANAGRAFICA!$J149-ANAGRAFICA!$T149),MAX(0,$Y152-ANAGRAFICA!$J149)),0)))</f>
        <v/>
      </c>
      <c r="R152" s="17" t="str">
        <f t="shared" si="56"/>
        <v/>
      </c>
      <c r="S152" s="17" t="str">
        <f t="shared" si="57"/>
        <v/>
      </c>
      <c r="T152" s="17" t="str">
        <f t="shared" si="58"/>
        <v/>
      </c>
      <c r="U152" s="16" t="str">
        <f t="shared" si="59"/>
        <v/>
      </c>
      <c r="V152" s="16" t="str">
        <f t="shared" si="60"/>
        <v/>
      </c>
      <c r="W152" s="16" t="str">
        <f t="shared" si="61"/>
        <v/>
      </c>
      <c r="X152" s="40"/>
      <c r="Y152" s="14"/>
      <c r="AZ152" t="str">
        <f>IF($C152="","",ANAGRAFICA!$P149)</f>
        <v/>
      </c>
      <c r="BA152" t="str">
        <f>IF($C152="","",SUMIF('MOVIMENTI 2026'!$B$7:$B$4206,$C152,'MOVIMENTI 2026'!$I$7:$I$4206)+SUMIF('SALDI AL 31.12.2025'!$A$6:$A$505,$C152,'SALDI AL 31.12.2025'!$C$6:$C$505))</f>
        <v/>
      </c>
      <c r="BB152" t="str">
        <f>IF($C152="","",SUMIF('MOVIMENTI 2026'!$B$7:$B$4206,$C152,'MOVIMENTI 2026'!$J$7:$J$4206)+SUMIF('SALDI AL 31.12.2025'!$A$6:$A$505,$C152,'SALDI AL 31.12.2025'!$D$6:$D$505))</f>
        <v/>
      </c>
      <c r="BC152" t="str">
        <f>IF($C152="","",SUMIF('MOVIMENTI 2026'!$B$7:$B$4206,$C152,'MOVIMENTI 2026'!$K$7:$K$4206)+SUMIF('SALDI AL 31.12.2025'!$A$6:$A$505,$C152,'SALDI AL 31.12.2025'!$E$6:$E$505))</f>
        <v/>
      </c>
      <c r="BD152" t="str">
        <f>IF($C152="","",SUMIF('MOVIMENTI 2026'!$B$7:$B$4206,$C152,'MOVIMENTI 2026'!$L$7:$L$4206)+SUMIF('SALDI AL 31.12.2025'!$A$6:$A$505,$C152,'SALDI AL 31.12.2025'!$F$6:$F$505))</f>
        <v/>
      </c>
      <c r="BE152" t="str">
        <f t="shared" si="62"/>
        <v/>
      </c>
      <c r="BF152" t="str">
        <f t="shared" si="63"/>
        <v/>
      </c>
      <c r="BG152" t="str">
        <f t="shared" si="64"/>
        <v/>
      </c>
      <c r="BH152" t="str">
        <f>IFERROR(IF(OR($C152="",ANAGRAFICA!$I149="",ANAGRAFICA!$J149="",ANAGRAFICA!$J149&lt;=ANAGRAFICA!$I149,$Y152=""),"",IF(OR($I152="Finito ritenute non previste",$I152="Finito con sblocco ritenute",$I152="Finito senza sblocco ritenute"),1,MAX(0,MIN(1,($Y152-ANAGRAFICA!$I149)/(ANAGRAFICA!$J149-ANAGRAFICA!$I149))))),"")</f>
        <v/>
      </c>
      <c r="BI152" t="str">
        <f t="shared" si="65"/>
        <v/>
      </c>
      <c r="BJ152" t="str">
        <f>IFERROR(IF($C152="","",'BUDGET COMMESSA'!$D149),"")</f>
        <v/>
      </c>
      <c r="BK152" t="str">
        <f>IF($C152="","",SUMIF('MOVIMENTI 2026'!$B$7:$B$4206,$C152,'MOVIMENTI 2026'!$N$7:$N$4206)+SUMIF('SALDI AL 31.12.2025'!$A$6:$A$505,$C152,'SALDI AL 31.12.2025'!$H$6:$H$505))</f>
        <v/>
      </c>
      <c r="BL152" t="str">
        <f t="shared" si="66"/>
        <v/>
      </c>
      <c r="BM152" t="str">
        <f t="shared" si="67"/>
        <v/>
      </c>
      <c r="BN152" t="str">
        <f t="shared" si="68"/>
        <v/>
      </c>
      <c r="BO152" t="str">
        <f>IFERROR(IF($C152="","",'BUDGET COMMESSA'!$G149),"")</f>
        <v/>
      </c>
      <c r="BP152" t="str">
        <f>IF($C152="","",SUMIF('COSTI DIRETTI'!$C$6:$C$505,$C152,'COSTI DIRETTI'!$H$6:$H$505)+SUMIF('SALDI AL 31.12.2025'!$A$6:$A$505,$C152,'SALDI AL 31.12.2025'!$I$6:$I$505))</f>
        <v/>
      </c>
      <c r="BQ152" t="str">
        <f t="shared" si="69"/>
        <v/>
      </c>
      <c r="BR152" t="str">
        <f t="shared" si="70"/>
        <v/>
      </c>
      <c r="BS152" t="str">
        <f>IF($C152="","",$BK152*PARAMETRI!$B$4+$BP152)</f>
        <v/>
      </c>
      <c r="BT152">
        <f t="shared" si="71"/>
        <v>0</v>
      </c>
      <c r="BU152">
        <f t="shared" si="72"/>
        <v>0</v>
      </c>
      <c r="BV152" t="str">
        <f>IF($C152="","",SUMIF('MOVIMENTI 2026'!$B$7:$B$4206,$C152,'MOVIMENTI 2026'!$P$7:$P$4206)+SUMIF('SALDI AL 31.12.2025'!$A$6:$A$505,$C152,'SALDI AL 31.12.2025'!$G$6:$G$505))</f>
        <v/>
      </c>
    </row>
    <row r="153" spans="1:74" ht="16" x14ac:dyDescent="0.15">
      <c r="A153" s="17" t="str">
        <f>IFERROR(IF($C153="","",IF(OR($BF153&gt;0,$V153&gt;$J153,AND(ISNUMBER($Q153),$Q153&gt;0),AND($BI153&lt;&gt;"",$BI153&lt;-PARAMETRI!$B$6),AND($BM153&lt;&gt;"",$BM153&gt;=1),AND($BN153&lt;&gt;"",$BN153&gt;PARAMETRI!$B$8),AND(ISNUMBER($BR153),$BR153&gt;0)),"CRITICO",IF(OR($AZ153="",LEFT($C153,5)="TEMP",$BJ153="",$BO153="",ANAGRAFICA!$I150="",ANAGRAFICA!$J150="",$Y153="",AND(OR($I153="Finito ritenute non previste",$I153="Finito con sblocco ritenute",$I153="Finito senza sblocco ritenute"),ANAGRAFICA!$K150=""),OR(AND(ANAGRAFICA!$T150&lt;&gt;"",ANAGRAFICA!$J150&lt;&gt;ANAGRAFICA!$T150,OR(ANAGRAFICA!$R150="",ANAGRAFICA!$R150="Nessuna variazione")),AND(ANAGRAFICA!$J150="",ANAGRAFICA!$R150&lt;&gt;"",ANAGRAFICA!$R150&lt;&gt;"Nessuna variazione")),AND($BI153&lt;&gt;"",$BI153&lt;-PARAMETRI!$B$5),AND($BN153&lt;&gt;"",$BN153&gt;PARAMETRI!$B$7),AND($W153&gt;0,$M153&gt;$W153*PARAMETRI!$B$9),AND($O153&gt;0,OR($I153="Finito ritenute non previste",$I153="Finito con sblocco ritenute",$I153="Finito senza sblocco ritenute")),AND($BA153&gt;0,$BO153&gt;0,$BP153=0),AND(OR($I153="Finito ritenute non previste",$I153="Finito con sblocco ritenute",$I153="Finito senza sblocco ritenute"),$W153&gt;0,$N153&gt;$W153*PARAMETRI!$B$9),$V153&gt;0),"ATTENZIONE","REGOLARE"))),"ATTENZIONE")</f>
        <v/>
      </c>
      <c r="B153" s="17" t="str">
        <f>IFERROR(IF($C153="","",IF($BF153&gt;0,"FATTURATO OLTRE VALORE RECUPERABILE; ","")&amp;IF($V153&gt;$J153,"PERDITE ACCETTATE OLTRE CONTRATTO; ","")&amp;IF($V153&gt;0,"PERDITA SAL ACCETTATA (€ "&amp;TEXT($V153,"#,##0.00")&amp;"); ","")&amp;IF(AND(ISNUMBER($Q153),$Q153&gt;0),"RITARDO PRODUTTIVO ("&amp;TEXT($Q153,"0")&amp;" GG); ","")&amp;IF(AND($BI153&lt;&gt;"",$BI153&lt;-PARAMETRI!$B$5),"AVANZAMENTO PIÙ LENTO DEL TEMPO; ","")&amp;IF(AND($BM153&lt;&gt;"",$BM153&gt;1),"ORE OLTRE BUDGET; ","")&amp;IF(AND($BM153&lt;&gt;"",$BM153=1),"ORE PREVENTIVATE ESAURITE; ","")&amp;IF(AND($BN153&lt;&gt;"",$BN153&gt;PARAMETRI!$B$7),"CONSUMO ORE SUPERIORE ALL'AVANZAMENTO; ","")&amp;IF(AND(ISNUMBER($BR153),$BR153&gt;0),"COSTI DIRETTI OLTRE BUDGET; ","")&amp;IF(AND($W153&gt;0,$M153&gt;$W153*PARAMETRI!$B$9),"SAL MATURATO NON FATTURATO; ","")&amp;IF(AND($O153&gt;0,OR($I153="Finito ritenute non previste",$I153="Finito con sblocco ritenute",$I153="Finito senza sblocco ritenute")),"RITENUTE DA SBLOCCARE; ","")&amp;IF(AND($BA153&gt;0,$BO153&gt;0,$BP153=0),"COSTI DIRETTI NON REGISTRATI; ","")&amp;IF(AND(OR($I153="Finito ritenute non previste",$I153="Finito con sblocco ritenute",$I153="Finito senza sblocco ritenute"),$W153&gt;0,$N153&gt;$W153*PARAMETRI!$B$9),"CANTIERE FINITO CON RESIDUO LAVORI; ","")&amp;IF(AND(OR($I153="Finito ritenute non previste",$I153="Finito con sblocco ritenute",$I153="Finito senza sblocco ritenute"),ANAGRAFICA!$K150=""),"DATA FINE EFFETTIVA MANCANTE; ","")&amp;IF(OR(AND(ANAGRAFICA!$T150&lt;&gt;"",ANAGRAFICA!$J150&lt;&gt;ANAGRAFICA!$T150,OR(ANAGRAFICA!$R150="",ANAGRAFICA!$R150="Nessuna variazione")),AND(ANAGRAFICA!$J150="",ANAGRAFICA!$R150&lt;&gt;"",ANAGRAFICA!$R150&lt;&gt;"Nessuna variazione")),"GESTIONE DATA FINE INCOMPLETA; ","")&amp;IF($Y153="","AGGIORNATO AL MANCANTE; ","")&amp;IF(OR($AZ153="",$BJ153="",$BO153="",ANAGRAFICA!$I150="",ANAGRAFICA!$J150=""),"DATI PREVISIONALI INCOMPLETI; ","")&amp;IF(LEFT($C153,5)="TEMP","CODICE COMMESSA TEMPORANEO; ","")),"DATI INCOMPLETI; ")</f>
        <v/>
      </c>
      <c r="C153" s="17" t="str">
        <f>IF(ANAGRAFICA!$B150="","",ANAGRAFICA!$B150)</f>
        <v/>
      </c>
      <c r="D153" s="17" t="str">
        <f>IF($C153="","",ANAGRAFICA!$C150)</f>
        <v/>
      </c>
      <c r="E153" s="17" t="str">
        <f>IF($C153="","",ANAGRAFICA!$D150)</f>
        <v/>
      </c>
      <c r="F153" s="17" t="str">
        <f>IF($C153="","",ANAGRAFICA!$E150)</f>
        <v/>
      </c>
      <c r="G153" s="17" t="str">
        <f>IF($C153="","",ANAGRAFICA!$F150)</f>
        <v/>
      </c>
      <c r="H153" s="17" t="str">
        <f>IF($C153="","",ANAGRAFICA!$G150)</f>
        <v/>
      </c>
      <c r="I153" s="17" t="str">
        <f>IF($C153="","",ANAGRAFICA!$L150)</f>
        <v/>
      </c>
      <c r="J153" s="16" t="str">
        <f t="shared" si="49"/>
        <v/>
      </c>
      <c r="K153" s="16" t="str">
        <f t="shared" si="50"/>
        <v/>
      </c>
      <c r="L153" s="16" t="str">
        <f t="shared" si="51"/>
        <v/>
      </c>
      <c r="M153" s="16" t="str">
        <f t="shared" si="52"/>
        <v/>
      </c>
      <c r="N153" s="16" t="str">
        <f t="shared" si="53"/>
        <v/>
      </c>
      <c r="O153" s="16" t="str">
        <f t="shared" si="54"/>
        <v/>
      </c>
      <c r="P153" s="17" t="str">
        <f t="shared" si="55"/>
        <v/>
      </c>
      <c r="Q153" s="31" t="str">
        <f>IF(OR($C153="",'BUDGET COMMESSA'!$D150="",'BUDGET COMMESSA'!$D150&lt;=0,ANAGRAFICA!$J150=""),"",IF(OR($I153="Finito ritenute non previste",$I153="Finito con sblocco ritenute",$I153="Finito senza sblocco ritenute"),0,IF(AND($BK153&gt;=$BJ153,ANAGRAFICA!$R150="Ritardo produttivo FIDA"),IF(ANAGRAFICA!$T150&lt;&gt;"",MAX(0,ANAGRAFICA!$J150-ANAGRAFICA!$T150),MAX(0,$Y153-ANAGRAFICA!$J150)),0)))</f>
        <v/>
      </c>
      <c r="R153" s="17" t="str">
        <f t="shared" si="56"/>
        <v/>
      </c>
      <c r="S153" s="17" t="str">
        <f t="shared" si="57"/>
        <v/>
      </c>
      <c r="T153" s="17" t="str">
        <f t="shared" si="58"/>
        <v/>
      </c>
      <c r="U153" s="16" t="str">
        <f t="shared" si="59"/>
        <v/>
      </c>
      <c r="V153" s="16" t="str">
        <f t="shared" si="60"/>
        <v/>
      </c>
      <c r="W153" s="16" t="str">
        <f t="shared" si="61"/>
        <v/>
      </c>
      <c r="X153" s="40"/>
      <c r="Y153" s="14"/>
      <c r="AZ153" t="str">
        <f>IF($C153="","",ANAGRAFICA!$P150)</f>
        <v/>
      </c>
      <c r="BA153" t="str">
        <f>IF($C153="","",SUMIF('MOVIMENTI 2026'!$B$7:$B$4206,$C153,'MOVIMENTI 2026'!$I$7:$I$4206)+SUMIF('SALDI AL 31.12.2025'!$A$6:$A$505,$C153,'SALDI AL 31.12.2025'!$C$6:$C$505))</f>
        <v/>
      </c>
      <c r="BB153" t="str">
        <f>IF($C153="","",SUMIF('MOVIMENTI 2026'!$B$7:$B$4206,$C153,'MOVIMENTI 2026'!$J$7:$J$4206)+SUMIF('SALDI AL 31.12.2025'!$A$6:$A$505,$C153,'SALDI AL 31.12.2025'!$D$6:$D$505))</f>
        <v/>
      </c>
      <c r="BC153" t="str">
        <f>IF($C153="","",SUMIF('MOVIMENTI 2026'!$B$7:$B$4206,$C153,'MOVIMENTI 2026'!$K$7:$K$4206)+SUMIF('SALDI AL 31.12.2025'!$A$6:$A$505,$C153,'SALDI AL 31.12.2025'!$E$6:$E$505))</f>
        <v/>
      </c>
      <c r="BD153" t="str">
        <f>IF($C153="","",SUMIF('MOVIMENTI 2026'!$B$7:$B$4206,$C153,'MOVIMENTI 2026'!$L$7:$L$4206)+SUMIF('SALDI AL 31.12.2025'!$A$6:$A$505,$C153,'SALDI AL 31.12.2025'!$F$6:$F$505))</f>
        <v/>
      </c>
      <c r="BE153" t="str">
        <f t="shared" si="62"/>
        <v/>
      </c>
      <c r="BF153" t="str">
        <f t="shared" si="63"/>
        <v/>
      </c>
      <c r="BG153" t="str">
        <f t="shared" si="64"/>
        <v/>
      </c>
      <c r="BH153" t="str">
        <f>IFERROR(IF(OR($C153="",ANAGRAFICA!$I150="",ANAGRAFICA!$J150="",ANAGRAFICA!$J150&lt;=ANAGRAFICA!$I150,$Y153=""),"",IF(OR($I153="Finito ritenute non previste",$I153="Finito con sblocco ritenute",$I153="Finito senza sblocco ritenute"),1,MAX(0,MIN(1,($Y153-ANAGRAFICA!$I150)/(ANAGRAFICA!$J150-ANAGRAFICA!$I150))))),"")</f>
        <v/>
      </c>
      <c r="BI153" t="str">
        <f t="shared" si="65"/>
        <v/>
      </c>
      <c r="BJ153" t="str">
        <f>IFERROR(IF($C153="","",'BUDGET COMMESSA'!$D150),"")</f>
        <v/>
      </c>
      <c r="BK153" t="str">
        <f>IF($C153="","",SUMIF('MOVIMENTI 2026'!$B$7:$B$4206,$C153,'MOVIMENTI 2026'!$N$7:$N$4206)+SUMIF('SALDI AL 31.12.2025'!$A$6:$A$505,$C153,'SALDI AL 31.12.2025'!$H$6:$H$505))</f>
        <v/>
      </c>
      <c r="BL153" t="str">
        <f t="shared" si="66"/>
        <v/>
      </c>
      <c r="BM153" t="str">
        <f t="shared" si="67"/>
        <v/>
      </c>
      <c r="BN153" t="str">
        <f t="shared" si="68"/>
        <v/>
      </c>
      <c r="BO153" t="str">
        <f>IFERROR(IF($C153="","",'BUDGET COMMESSA'!$G150),"")</f>
        <v/>
      </c>
      <c r="BP153" t="str">
        <f>IF($C153="","",SUMIF('COSTI DIRETTI'!$C$6:$C$505,$C153,'COSTI DIRETTI'!$H$6:$H$505)+SUMIF('SALDI AL 31.12.2025'!$A$6:$A$505,$C153,'SALDI AL 31.12.2025'!$I$6:$I$505))</f>
        <v/>
      </c>
      <c r="BQ153" t="str">
        <f t="shared" si="69"/>
        <v/>
      </c>
      <c r="BR153" t="str">
        <f t="shared" si="70"/>
        <v/>
      </c>
      <c r="BS153" t="str">
        <f>IF($C153="","",$BK153*PARAMETRI!$B$4+$BP153)</f>
        <v/>
      </c>
      <c r="BT153">
        <f t="shared" si="71"/>
        <v>0</v>
      </c>
      <c r="BU153">
        <f t="shared" si="72"/>
        <v>0</v>
      </c>
      <c r="BV153" t="str">
        <f>IF($C153="","",SUMIF('MOVIMENTI 2026'!$B$7:$B$4206,$C153,'MOVIMENTI 2026'!$P$7:$P$4206)+SUMIF('SALDI AL 31.12.2025'!$A$6:$A$505,$C153,'SALDI AL 31.12.2025'!$G$6:$G$505))</f>
        <v/>
      </c>
    </row>
    <row r="154" spans="1:74" ht="16" x14ac:dyDescent="0.15">
      <c r="A154" s="17" t="str">
        <f>IFERROR(IF($C154="","",IF(OR($BF154&gt;0,$V154&gt;$J154,AND(ISNUMBER($Q154),$Q154&gt;0),AND($BI154&lt;&gt;"",$BI154&lt;-PARAMETRI!$B$6),AND($BM154&lt;&gt;"",$BM154&gt;=1),AND($BN154&lt;&gt;"",$BN154&gt;PARAMETRI!$B$8),AND(ISNUMBER($BR154),$BR154&gt;0)),"CRITICO",IF(OR($AZ154="",LEFT($C154,5)="TEMP",$BJ154="",$BO154="",ANAGRAFICA!$I151="",ANAGRAFICA!$J151="",$Y154="",AND(OR($I154="Finito ritenute non previste",$I154="Finito con sblocco ritenute",$I154="Finito senza sblocco ritenute"),ANAGRAFICA!$K151=""),OR(AND(ANAGRAFICA!$T151&lt;&gt;"",ANAGRAFICA!$J151&lt;&gt;ANAGRAFICA!$T151,OR(ANAGRAFICA!$R151="",ANAGRAFICA!$R151="Nessuna variazione")),AND(ANAGRAFICA!$J151="",ANAGRAFICA!$R151&lt;&gt;"",ANAGRAFICA!$R151&lt;&gt;"Nessuna variazione")),AND($BI154&lt;&gt;"",$BI154&lt;-PARAMETRI!$B$5),AND($BN154&lt;&gt;"",$BN154&gt;PARAMETRI!$B$7),AND($W154&gt;0,$M154&gt;$W154*PARAMETRI!$B$9),AND($O154&gt;0,OR($I154="Finito ritenute non previste",$I154="Finito con sblocco ritenute",$I154="Finito senza sblocco ritenute")),AND($BA154&gt;0,$BO154&gt;0,$BP154=0),AND(OR($I154="Finito ritenute non previste",$I154="Finito con sblocco ritenute",$I154="Finito senza sblocco ritenute"),$W154&gt;0,$N154&gt;$W154*PARAMETRI!$B$9),$V154&gt;0),"ATTENZIONE","REGOLARE"))),"ATTENZIONE")</f>
        <v/>
      </c>
      <c r="B154" s="17" t="str">
        <f>IFERROR(IF($C154="","",IF($BF154&gt;0,"FATTURATO OLTRE VALORE RECUPERABILE; ","")&amp;IF($V154&gt;$J154,"PERDITE ACCETTATE OLTRE CONTRATTO; ","")&amp;IF($V154&gt;0,"PERDITA SAL ACCETTATA (€ "&amp;TEXT($V154,"#,##0.00")&amp;"); ","")&amp;IF(AND(ISNUMBER($Q154),$Q154&gt;0),"RITARDO PRODUTTIVO ("&amp;TEXT($Q154,"0")&amp;" GG); ","")&amp;IF(AND($BI154&lt;&gt;"",$BI154&lt;-PARAMETRI!$B$5),"AVANZAMENTO PIÙ LENTO DEL TEMPO; ","")&amp;IF(AND($BM154&lt;&gt;"",$BM154&gt;1),"ORE OLTRE BUDGET; ","")&amp;IF(AND($BM154&lt;&gt;"",$BM154=1),"ORE PREVENTIVATE ESAURITE; ","")&amp;IF(AND($BN154&lt;&gt;"",$BN154&gt;PARAMETRI!$B$7),"CONSUMO ORE SUPERIORE ALL'AVANZAMENTO; ","")&amp;IF(AND(ISNUMBER($BR154),$BR154&gt;0),"COSTI DIRETTI OLTRE BUDGET; ","")&amp;IF(AND($W154&gt;0,$M154&gt;$W154*PARAMETRI!$B$9),"SAL MATURATO NON FATTURATO; ","")&amp;IF(AND($O154&gt;0,OR($I154="Finito ritenute non previste",$I154="Finito con sblocco ritenute",$I154="Finito senza sblocco ritenute")),"RITENUTE DA SBLOCCARE; ","")&amp;IF(AND($BA154&gt;0,$BO154&gt;0,$BP154=0),"COSTI DIRETTI NON REGISTRATI; ","")&amp;IF(AND(OR($I154="Finito ritenute non previste",$I154="Finito con sblocco ritenute",$I154="Finito senza sblocco ritenute"),$W154&gt;0,$N154&gt;$W154*PARAMETRI!$B$9),"CANTIERE FINITO CON RESIDUO LAVORI; ","")&amp;IF(AND(OR($I154="Finito ritenute non previste",$I154="Finito con sblocco ritenute",$I154="Finito senza sblocco ritenute"),ANAGRAFICA!$K151=""),"DATA FINE EFFETTIVA MANCANTE; ","")&amp;IF(OR(AND(ANAGRAFICA!$T151&lt;&gt;"",ANAGRAFICA!$J151&lt;&gt;ANAGRAFICA!$T151,OR(ANAGRAFICA!$R151="",ANAGRAFICA!$R151="Nessuna variazione")),AND(ANAGRAFICA!$J151="",ANAGRAFICA!$R151&lt;&gt;"",ANAGRAFICA!$R151&lt;&gt;"Nessuna variazione")),"GESTIONE DATA FINE INCOMPLETA; ","")&amp;IF($Y154="","AGGIORNATO AL MANCANTE; ","")&amp;IF(OR($AZ154="",$BJ154="",$BO154="",ANAGRAFICA!$I151="",ANAGRAFICA!$J151=""),"DATI PREVISIONALI INCOMPLETI; ","")&amp;IF(LEFT($C154,5)="TEMP","CODICE COMMESSA TEMPORANEO; ","")),"DATI INCOMPLETI; ")</f>
        <v/>
      </c>
      <c r="C154" s="17" t="str">
        <f>IF(ANAGRAFICA!$B151="","",ANAGRAFICA!$B151)</f>
        <v/>
      </c>
      <c r="D154" s="17" t="str">
        <f>IF($C154="","",ANAGRAFICA!$C151)</f>
        <v/>
      </c>
      <c r="E154" s="17" t="str">
        <f>IF($C154="","",ANAGRAFICA!$D151)</f>
        <v/>
      </c>
      <c r="F154" s="17" t="str">
        <f>IF($C154="","",ANAGRAFICA!$E151)</f>
        <v/>
      </c>
      <c r="G154" s="17" t="str">
        <f>IF($C154="","",ANAGRAFICA!$F151)</f>
        <v/>
      </c>
      <c r="H154" s="17" t="str">
        <f>IF($C154="","",ANAGRAFICA!$G151)</f>
        <v/>
      </c>
      <c r="I154" s="17" t="str">
        <f>IF($C154="","",ANAGRAFICA!$L151)</f>
        <v/>
      </c>
      <c r="J154" s="16" t="str">
        <f t="shared" si="49"/>
        <v/>
      </c>
      <c r="K154" s="16" t="str">
        <f t="shared" si="50"/>
        <v/>
      </c>
      <c r="L154" s="16" t="str">
        <f t="shared" si="51"/>
        <v/>
      </c>
      <c r="M154" s="16" t="str">
        <f t="shared" si="52"/>
        <v/>
      </c>
      <c r="N154" s="16" t="str">
        <f t="shared" si="53"/>
        <v/>
      </c>
      <c r="O154" s="16" t="str">
        <f t="shared" si="54"/>
        <v/>
      </c>
      <c r="P154" s="17" t="str">
        <f t="shared" si="55"/>
        <v/>
      </c>
      <c r="Q154" s="31" t="str">
        <f>IF(OR($C154="",'BUDGET COMMESSA'!$D151="",'BUDGET COMMESSA'!$D151&lt;=0,ANAGRAFICA!$J151=""),"",IF(OR($I154="Finito ritenute non previste",$I154="Finito con sblocco ritenute",$I154="Finito senza sblocco ritenute"),0,IF(AND($BK154&gt;=$BJ154,ANAGRAFICA!$R151="Ritardo produttivo FIDA"),IF(ANAGRAFICA!$T151&lt;&gt;"",MAX(0,ANAGRAFICA!$J151-ANAGRAFICA!$T151),MAX(0,$Y154-ANAGRAFICA!$J151)),0)))</f>
        <v/>
      </c>
      <c r="R154" s="17" t="str">
        <f t="shared" si="56"/>
        <v/>
      </c>
      <c r="S154" s="17" t="str">
        <f t="shared" si="57"/>
        <v/>
      </c>
      <c r="T154" s="17" t="str">
        <f t="shared" si="58"/>
        <v/>
      </c>
      <c r="U154" s="16" t="str">
        <f t="shared" si="59"/>
        <v/>
      </c>
      <c r="V154" s="16" t="str">
        <f t="shared" si="60"/>
        <v/>
      </c>
      <c r="W154" s="16" t="str">
        <f t="shared" si="61"/>
        <v/>
      </c>
      <c r="X154" s="40"/>
      <c r="Y154" s="14"/>
      <c r="AZ154" t="str">
        <f>IF($C154="","",ANAGRAFICA!$P151)</f>
        <v/>
      </c>
      <c r="BA154" t="str">
        <f>IF($C154="","",SUMIF('MOVIMENTI 2026'!$B$7:$B$4206,$C154,'MOVIMENTI 2026'!$I$7:$I$4206)+SUMIF('SALDI AL 31.12.2025'!$A$6:$A$505,$C154,'SALDI AL 31.12.2025'!$C$6:$C$505))</f>
        <v/>
      </c>
      <c r="BB154" t="str">
        <f>IF($C154="","",SUMIF('MOVIMENTI 2026'!$B$7:$B$4206,$C154,'MOVIMENTI 2026'!$J$7:$J$4206)+SUMIF('SALDI AL 31.12.2025'!$A$6:$A$505,$C154,'SALDI AL 31.12.2025'!$D$6:$D$505))</f>
        <v/>
      </c>
      <c r="BC154" t="str">
        <f>IF($C154="","",SUMIF('MOVIMENTI 2026'!$B$7:$B$4206,$C154,'MOVIMENTI 2026'!$K$7:$K$4206)+SUMIF('SALDI AL 31.12.2025'!$A$6:$A$505,$C154,'SALDI AL 31.12.2025'!$E$6:$E$505))</f>
        <v/>
      </c>
      <c r="BD154" t="str">
        <f>IF($C154="","",SUMIF('MOVIMENTI 2026'!$B$7:$B$4206,$C154,'MOVIMENTI 2026'!$L$7:$L$4206)+SUMIF('SALDI AL 31.12.2025'!$A$6:$A$505,$C154,'SALDI AL 31.12.2025'!$F$6:$F$505))</f>
        <v/>
      </c>
      <c r="BE154" t="str">
        <f t="shared" si="62"/>
        <v/>
      </c>
      <c r="BF154" t="str">
        <f t="shared" si="63"/>
        <v/>
      </c>
      <c r="BG154" t="str">
        <f t="shared" si="64"/>
        <v/>
      </c>
      <c r="BH154" t="str">
        <f>IFERROR(IF(OR($C154="",ANAGRAFICA!$I151="",ANAGRAFICA!$J151="",ANAGRAFICA!$J151&lt;=ANAGRAFICA!$I151,$Y154=""),"",IF(OR($I154="Finito ritenute non previste",$I154="Finito con sblocco ritenute",$I154="Finito senza sblocco ritenute"),1,MAX(0,MIN(1,($Y154-ANAGRAFICA!$I151)/(ANAGRAFICA!$J151-ANAGRAFICA!$I151))))),"")</f>
        <v/>
      </c>
      <c r="BI154" t="str">
        <f t="shared" si="65"/>
        <v/>
      </c>
      <c r="BJ154" t="str">
        <f>IFERROR(IF($C154="","",'BUDGET COMMESSA'!$D151),"")</f>
        <v/>
      </c>
      <c r="BK154" t="str">
        <f>IF($C154="","",SUMIF('MOVIMENTI 2026'!$B$7:$B$4206,$C154,'MOVIMENTI 2026'!$N$7:$N$4206)+SUMIF('SALDI AL 31.12.2025'!$A$6:$A$505,$C154,'SALDI AL 31.12.2025'!$H$6:$H$505))</f>
        <v/>
      </c>
      <c r="BL154" t="str">
        <f t="shared" si="66"/>
        <v/>
      </c>
      <c r="BM154" t="str">
        <f t="shared" si="67"/>
        <v/>
      </c>
      <c r="BN154" t="str">
        <f t="shared" si="68"/>
        <v/>
      </c>
      <c r="BO154" t="str">
        <f>IFERROR(IF($C154="","",'BUDGET COMMESSA'!$G151),"")</f>
        <v/>
      </c>
      <c r="BP154" t="str">
        <f>IF($C154="","",SUMIF('COSTI DIRETTI'!$C$6:$C$505,$C154,'COSTI DIRETTI'!$H$6:$H$505)+SUMIF('SALDI AL 31.12.2025'!$A$6:$A$505,$C154,'SALDI AL 31.12.2025'!$I$6:$I$505))</f>
        <v/>
      </c>
      <c r="BQ154" t="str">
        <f t="shared" si="69"/>
        <v/>
      </c>
      <c r="BR154" t="str">
        <f t="shared" si="70"/>
        <v/>
      </c>
      <c r="BS154" t="str">
        <f>IF($C154="","",$BK154*PARAMETRI!$B$4+$BP154)</f>
        <v/>
      </c>
      <c r="BT154">
        <f t="shared" si="71"/>
        <v>0</v>
      </c>
      <c r="BU154">
        <f t="shared" si="72"/>
        <v>0</v>
      </c>
      <c r="BV154" t="str">
        <f>IF($C154="","",SUMIF('MOVIMENTI 2026'!$B$7:$B$4206,$C154,'MOVIMENTI 2026'!$P$7:$P$4206)+SUMIF('SALDI AL 31.12.2025'!$A$6:$A$505,$C154,'SALDI AL 31.12.2025'!$G$6:$G$505))</f>
        <v/>
      </c>
    </row>
    <row r="155" spans="1:74" ht="16" x14ac:dyDescent="0.15">
      <c r="A155" s="17" t="str">
        <f>IFERROR(IF($C155="","",IF(OR($BF155&gt;0,$V155&gt;$J155,AND(ISNUMBER($Q155),$Q155&gt;0),AND($BI155&lt;&gt;"",$BI155&lt;-PARAMETRI!$B$6),AND($BM155&lt;&gt;"",$BM155&gt;=1),AND($BN155&lt;&gt;"",$BN155&gt;PARAMETRI!$B$8),AND(ISNUMBER($BR155),$BR155&gt;0)),"CRITICO",IF(OR($AZ155="",LEFT($C155,5)="TEMP",$BJ155="",$BO155="",ANAGRAFICA!$I152="",ANAGRAFICA!$J152="",$Y155="",AND(OR($I155="Finito ritenute non previste",$I155="Finito con sblocco ritenute",$I155="Finito senza sblocco ritenute"),ANAGRAFICA!$K152=""),OR(AND(ANAGRAFICA!$T152&lt;&gt;"",ANAGRAFICA!$J152&lt;&gt;ANAGRAFICA!$T152,OR(ANAGRAFICA!$R152="",ANAGRAFICA!$R152="Nessuna variazione")),AND(ANAGRAFICA!$J152="",ANAGRAFICA!$R152&lt;&gt;"",ANAGRAFICA!$R152&lt;&gt;"Nessuna variazione")),AND($BI155&lt;&gt;"",$BI155&lt;-PARAMETRI!$B$5),AND($BN155&lt;&gt;"",$BN155&gt;PARAMETRI!$B$7),AND($W155&gt;0,$M155&gt;$W155*PARAMETRI!$B$9),AND($O155&gt;0,OR($I155="Finito ritenute non previste",$I155="Finito con sblocco ritenute",$I155="Finito senza sblocco ritenute")),AND($BA155&gt;0,$BO155&gt;0,$BP155=0),AND(OR($I155="Finito ritenute non previste",$I155="Finito con sblocco ritenute",$I155="Finito senza sblocco ritenute"),$W155&gt;0,$N155&gt;$W155*PARAMETRI!$B$9),$V155&gt;0),"ATTENZIONE","REGOLARE"))),"ATTENZIONE")</f>
        <v/>
      </c>
      <c r="B155" s="17" t="str">
        <f>IFERROR(IF($C155="","",IF($BF155&gt;0,"FATTURATO OLTRE VALORE RECUPERABILE; ","")&amp;IF($V155&gt;$J155,"PERDITE ACCETTATE OLTRE CONTRATTO; ","")&amp;IF($V155&gt;0,"PERDITA SAL ACCETTATA (€ "&amp;TEXT($V155,"#,##0.00")&amp;"); ","")&amp;IF(AND(ISNUMBER($Q155),$Q155&gt;0),"RITARDO PRODUTTIVO ("&amp;TEXT($Q155,"0")&amp;" GG); ","")&amp;IF(AND($BI155&lt;&gt;"",$BI155&lt;-PARAMETRI!$B$5),"AVANZAMENTO PIÙ LENTO DEL TEMPO; ","")&amp;IF(AND($BM155&lt;&gt;"",$BM155&gt;1),"ORE OLTRE BUDGET; ","")&amp;IF(AND($BM155&lt;&gt;"",$BM155=1),"ORE PREVENTIVATE ESAURITE; ","")&amp;IF(AND($BN155&lt;&gt;"",$BN155&gt;PARAMETRI!$B$7),"CONSUMO ORE SUPERIORE ALL'AVANZAMENTO; ","")&amp;IF(AND(ISNUMBER($BR155),$BR155&gt;0),"COSTI DIRETTI OLTRE BUDGET; ","")&amp;IF(AND($W155&gt;0,$M155&gt;$W155*PARAMETRI!$B$9),"SAL MATURATO NON FATTURATO; ","")&amp;IF(AND($O155&gt;0,OR($I155="Finito ritenute non previste",$I155="Finito con sblocco ritenute",$I155="Finito senza sblocco ritenute")),"RITENUTE DA SBLOCCARE; ","")&amp;IF(AND($BA155&gt;0,$BO155&gt;0,$BP155=0),"COSTI DIRETTI NON REGISTRATI; ","")&amp;IF(AND(OR($I155="Finito ritenute non previste",$I155="Finito con sblocco ritenute",$I155="Finito senza sblocco ritenute"),$W155&gt;0,$N155&gt;$W155*PARAMETRI!$B$9),"CANTIERE FINITO CON RESIDUO LAVORI; ","")&amp;IF(AND(OR($I155="Finito ritenute non previste",$I155="Finito con sblocco ritenute",$I155="Finito senza sblocco ritenute"),ANAGRAFICA!$K152=""),"DATA FINE EFFETTIVA MANCANTE; ","")&amp;IF(OR(AND(ANAGRAFICA!$T152&lt;&gt;"",ANAGRAFICA!$J152&lt;&gt;ANAGRAFICA!$T152,OR(ANAGRAFICA!$R152="",ANAGRAFICA!$R152="Nessuna variazione")),AND(ANAGRAFICA!$J152="",ANAGRAFICA!$R152&lt;&gt;"",ANAGRAFICA!$R152&lt;&gt;"Nessuna variazione")),"GESTIONE DATA FINE INCOMPLETA; ","")&amp;IF($Y155="","AGGIORNATO AL MANCANTE; ","")&amp;IF(OR($AZ155="",$BJ155="",$BO155="",ANAGRAFICA!$I152="",ANAGRAFICA!$J152=""),"DATI PREVISIONALI INCOMPLETI; ","")&amp;IF(LEFT($C155,5)="TEMP","CODICE COMMESSA TEMPORANEO; ","")),"DATI INCOMPLETI; ")</f>
        <v/>
      </c>
      <c r="C155" s="17" t="str">
        <f>IF(ANAGRAFICA!$B152="","",ANAGRAFICA!$B152)</f>
        <v/>
      </c>
      <c r="D155" s="17" t="str">
        <f>IF($C155="","",ANAGRAFICA!$C152)</f>
        <v/>
      </c>
      <c r="E155" s="17" t="str">
        <f>IF($C155="","",ANAGRAFICA!$D152)</f>
        <v/>
      </c>
      <c r="F155" s="17" t="str">
        <f>IF($C155="","",ANAGRAFICA!$E152)</f>
        <v/>
      </c>
      <c r="G155" s="17" t="str">
        <f>IF($C155="","",ANAGRAFICA!$F152)</f>
        <v/>
      </c>
      <c r="H155" s="17" t="str">
        <f>IF($C155="","",ANAGRAFICA!$G152)</f>
        <v/>
      </c>
      <c r="I155" s="17" t="str">
        <f>IF($C155="","",ANAGRAFICA!$L152)</f>
        <v/>
      </c>
      <c r="J155" s="16" t="str">
        <f t="shared" si="49"/>
        <v/>
      </c>
      <c r="K155" s="16" t="str">
        <f t="shared" si="50"/>
        <v/>
      </c>
      <c r="L155" s="16" t="str">
        <f t="shared" si="51"/>
        <v/>
      </c>
      <c r="M155" s="16" t="str">
        <f t="shared" si="52"/>
        <v/>
      </c>
      <c r="N155" s="16" t="str">
        <f t="shared" si="53"/>
        <v/>
      </c>
      <c r="O155" s="16" t="str">
        <f t="shared" si="54"/>
        <v/>
      </c>
      <c r="P155" s="17" t="str">
        <f t="shared" si="55"/>
        <v/>
      </c>
      <c r="Q155" s="31" t="str">
        <f>IF(OR($C155="",'BUDGET COMMESSA'!$D152="",'BUDGET COMMESSA'!$D152&lt;=0,ANAGRAFICA!$J152=""),"",IF(OR($I155="Finito ritenute non previste",$I155="Finito con sblocco ritenute",$I155="Finito senza sblocco ritenute"),0,IF(AND($BK155&gt;=$BJ155,ANAGRAFICA!$R152="Ritardo produttivo FIDA"),IF(ANAGRAFICA!$T152&lt;&gt;"",MAX(0,ANAGRAFICA!$J152-ANAGRAFICA!$T152),MAX(0,$Y155-ANAGRAFICA!$J152)),0)))</f>
        <v/>
      </c>
      <c r="R155" s="17" t="str">
        <f t="shared" si="56"/>
        <v/>
      </c>
      <c r="S155" s="17" t="str">
        <f t="shared" si="57"/>
        <v/>
      </c>
      <c r="T155" s="17" t="str">
        <f t="shared" si="58"/>
        <v/>
      </c>
      <c r="U155" s="16" t="str">
        <f t="shared" si="59"/>
        <v/>
      </c>
      <c r="V155" s="16" t="str">
        <f t="shared" si="60"/>
        <v/>
      </c>
      <c r="W155" s="16" t="str">
        <f t="shared" si="61"/>
        <v/>
      </c>
      <c r="X155" s="40"/>
      <c r="Y155" s="14"/>
      <c r="AZ155" t="str">
        <f>IF($C155="","",ANAGRAFICA!$P152)</f>
        <v/>
      </c>
      <c r="BA155" t="str">
        <f>IF($C155="","",SUMIF('MOVIMENTI 2026'!$B$7:$B$4206,$C155,'MOVIMENTI 2026'!$I$7:$I$4206)+SUMIF('SALDI AL 31.12.2025'!$A$6:$A$505,$C155,'SALDI AL 31.12.2025'!$C$6:$C$505))</f>
        <v/>
      </c>
      <c r="BB155" t="str">
        <f>IF($C155="","",SUMIF('MOVIMENTI 2026'!$B$7:$B$4206,$C155,'MOVIMENTI 2026'!$J$7:$J$4206)+SUMIF('SALDI AL 31.12.2025'!$A$6:$A$505,$C155,'SALDI AL 31.12.2025'!$D$6:$D$505))</f>
        <v/>
      </c>
      <c r="BC155" t="str">
        <f>IF($C155="","",SUMIF('MOVIMENTI 2026'!$B$7:$B$4206,$C155,'MOVIMENTI 2026'!$K$7:$K$4206)+SUMIF('SALDI AL 31.12.2025'!$A$6:$A$505,$C155,'SALDI AL 31.12.2025'!$E$6:$E$505))</f>
        <v/>
      </c>
      <c r="BD155" t="str">
        <f>IF($C155="","",SUMIF('MOVIMENTI 2026'!$B$7:$B$4206,$C155,'MOVIMENTI 2026'!$L$7:$L$4206)+SUMIF('SALDI AL 31.12.2025'!$A$6:$A$505,$C155,'SALDI AL 31.12.2025'!$F$6:$F$505))</f>
        <v/>
      </c>
      <c r="BE155" t="str">
        <f t="shared" si="62"/>
        <v/>
      </c>
      <c r="BF155" t="str">
        <f t="shared" si="63"/>
        <v/>
      </c>
      <c r="BG155" t="str">
        <f t="shared" si="64"/>
        <v/>
      </c>
      <c r="BH155" t="str">
        <f>IFERROR(IF(OR($C155="",ANAGRAFICA!$I152="",ANAGRAFICA!$J152="",ANAGRAFICA!$J152&lt;=ANAGRAFICA!$I152,$Y155=""),"",IF(OR($I155="Finito ritenute non previste",$I155="Finito con sblocco ritenute",$I155="Finito senza sblocco ritenute"),1,MAX(0,MIN(1,($Y155-ANAGRAFICA!$I152)/(ANAGRAFICA!$J152-ANAGRAFICA!$I152))))),"")</f>
        <v/>
      </c>
      <c r="BI155" t="str">
        <f t="shared" si="65"/>
        <v/>
      </c>
      <c r="BJ155" t="str">
        <f>IFERROR(IF($C155="","",'BUDGET COMMESSA'!$D152),"")</f>
        <v/>
      </c>
      <c r="BK155" t="str">
        <f>IF($C155="","",SUMIF('MOVIMENTI 2026'!$B$7:$B$4206,$C155,'MOVIMENTI 2026'!$N$7:$N$4206)+SUMIF('SALDI AL 31.12.2025'!$A$6:$A$505,$C155,'SALDI AL 31.12.2025'!$H$6:$H$505))</f>
        <v/>
      </c>
      <c r="BL155" t="str">
        <f t="shared" si="66"/>
        <v/>
      </c>
      <c r="BM155" t="str">
        <f t="shared" si="67"/>
        <v/>
      </c>
      <c r="BN155" t="str">
        <f t="shared" si="68"/>
        <v/>
      </c>
      <c r="BO155" t="str">
        <f>IFERROR(IF($C155="","",'BUDGET COMMESSA'!$G152),"")</f>
        <v/>
      </c>
      <c r="BP155" t="str">
        <f>IF($C155="","",SUMIF('COSTI DIRETTI'!$C$6:$C$505,$C155,'COSTI DIRETTI'!$H$6:$H$505)+SUMIF('SALDI AL 31.12.2025'!$A$6:$A$505,$C155,'SALDI AL 31.12.2025'!$I$6:$I$505))</f>
        <v/>
      </c>
      <c r="BQ155" t="str">
        <f t="shared" si="69"/>
        <v/>
      </c>
      <c r="BR155" t="str">
        <f t="shared" si="70"/>
        <v/>
      </c>
      <c r="BS155" t="str">
        <f>IF($C155="","",$BK155*PARAMETRI!$B$4+$BP155)</f>
        <v/>
      </c>
      <c r="BT155">
        <f t="shared" si="71"/>
        <v>0</v>
      </c>
      <c r="BU155">
        <f t="shared" si="72"/>
        <v>0</v>
      </c>
      <c r="BV155" t="str">
        <f>IF($C155="","",SUMIF('MOVIMENTI 2026'!$B$7:$B$4206,$C155,'MOVIMENTI 2026'!$P$7:$P$4206)+SUMIF('SALDI AL 31.12.2025'!$A$6:$A$505,$C155,'SALDI AL 31.12.2025'!$G$6:$G$505))</f>
        <v/>
      </c>
    </row>
    <row r="156" spans="1:74" ht="16" x14ac:dyDescent="0.15">
      <c r="A156" s="17" t="str">
        <f>IFERROR(IF($C156="","",IF(OR($BF156&gt;0,$V156&gt;$J156,AND(ISNUMBER($Q156),$Q156&gt;0),AND($BI156&lt;&gt;"",$BI156&lt;-PARAMETRI!$B$6),AND($BM156&lt;&gt;"",$BM156&gt;=1),AND($BN156&lt;&gt;"",$BN156&gt;PARAMETRI!$B$8),AND(ISNUMBER($BR156),$BR156&gt;0)),"CRITICO",IF(OR($AZ156="",LEFT($C156,5)="TEMP",$BJ156="",$BO156="",ANAGRAFICA!$I153="",ANAGRAFICA!$J153="",$Y156="",AND(OR($I156="Finito ritenute non previste",$I156="Finito con sblocco ritenute",$I156="Finito senza sblocco ritenute"),ANAGRAFICA!$K153=""),OR(AND(ANAGRAFICA!$T153&lt;&gt;"",ANAGRAFICA!$J153&lt;&gt;ANAGRAFICA!$T153,OR(ANAGRAFICA!$R153="",ANAGRAFICA!$R153="Nessuna variazione")),AND(ANAGRAFICA!$J153="",ANAGRAFICA!$R153&lt;&gt;"",ANAGRAFICA!$R153&lt;&gt;"Nessuna variazione")),AND($BI156&lt;&gt;"",$BI156&lt;-PARAMETRI!$B$5),AND($BN156&lt;&gt;"",$BN156&gt;PARAMETRI!$B$7),AND($W156&gt;0,$M156&gt;$W156*PARAMETRI!$B$9),AND($O156&gt;0,OR($I156="Finito ritenute non previste",$I156="Finito con sblocco ritenute",$I156="Finito senza sblocco ritenute")),AND($BA156&gt;0,$BO156&gt;0,$BP156=0),AND(OR($I156="Finito ritenute non previste",$I156="Finito con sblocco ritenute",$I156="Finito senza sblocco ritenute"),$W156&gt;0,$N156&gt;$W156*PARAMETRI!$B$9),$V156&gt;0),"ATTENZIONE","REGOLARE"))),"ATTENZIONE")</f>
        <v/>
      </c>
      <c r="B156" s="17" t="str">
        <f>IFERROR(IF($C156="","",IF($BF156&gt;0,"FATTURATO OLTRE VALORE RECUPERABILE; ","")&amp;IF($V156&gt;$J156,"PERDITE ACCETTATE OLTRE CONTRATTO; ","")&amp;IF($V156&gt;0,"PERDITA SAL ACCETTATA (€ "&amp;TEXT($V156,"#,##0.00")&amp;"); ","")&amp;IF(AND(ISNUMBER($Q156),$Q156&gt;0),"RITARDO PRODUTTIVO ("&amp;TEXT($Q156,"0")&amp;" GG); ","")&amp;IF(AND($BI156&lt;&gt;"",$BI156&lt;-PARAMETRI!$B$5),"AVANZAMENTO PIÙ LENTO DEL TEMPO; ","")&amp;IF(AND($BM156&lt;&gt;"",$BM156&gt;1),"ORE OLTRE BUDGET; ","")&amp;IF(AND($BM156&lt;&gt;"",$BM156=1),"ORE PREVENTIVATE ESAURITE; ","")&amp;IF(AND($BN156&lt;&gt;"",$BN156&gt;PARAMETRI!$B$7),"CONSUMO ORE SUPERIORE ALL'AVANZAMENTO; ","")&amp;IF(AND(ISNUMBER($BR156),$BR156&gt;0),"COSTI DIRETTI OLTRE BUDGET; ","")&amp;IF(AND($W156&gt;0,$M156&gt;$W156*PARAMETRI!$B$9),"SAL MATURATO NON FATTURATO; ","")&amp;IF(AND($O156&gt;0,OR($I156="Finito ritenute non previste",$I156="Finito con sblocco ritenute",$I156="Finito senza sblocco ritenute")),"RITENUTE DA SBLOCCARE; ","")&amp;IF(AND($BA156&gt;0,$BO156&gt;0,$BP156=0),"COSTI DIRETTI NON REGISTRATI; ","")&amp;IF(AND(OR($I156="Finito ritenute non previste",$I156="Finito con sblocco ritenute",$I156="Finito senza sblocco ritenute"),$W156&gt;0,$N156&gt;$W156*PARAMETRI!$B$9),"CANTIERE FINITO CON RESIDUO LAVORI; ","")&amp;IF(AND(OR($I156="Finito ritenute non previste",$I156="Finito con sblocco ritenute",$I156="Finito senza sblocco ritenute"),ANAGRAFICA!$K153=""),"DATA FINE EFFETTIVA MANCANTE; ","")&amp;IF(OR(AND(ANAGRAFICA!$T153&lt;&gt;"",ANAGRAFICA!$J153&lt;&gt;ANAGRAFICA!$T153,OR(ANAGRAFICA!$R153="",ANAGRAFICA!$R153="Nessuna variazione")),AND(ANAGRAFICA!$J153="",ANAGRAFICA!$R153&lt;&gt;"",ANAGRAFICA!$R153&lt;&gt;"Nessuna variazione")),"GESTIONE DATA FINE INCOMPLETA; ","")&amp;IF($Y156="","AGGIORNATO AL MANCANTE; ","")&amp;IF(OR($AZ156="",$BJ156="",$BO156="",ANAGRAFICA!$I153="",ANAGRAFICA!$J153=""),"DATI PREVISIONALI INCOMPLETI; ","")&amp;IF(LEFT($C156,5)="TEMP","CODICE COMMESSA TEMPORANEO; ","")),"DATI INCOMPLETI; ")</f>
        <v/>
      </c>
      <c r="C156" s="17" t="str">
        <f>IF(ANAGRAFICA!$B153="","",ANAGRAFICA!$B153)</f>
        <v/>
      </c>
      <c r="D156" s="17" t="str">
        <f>IF($C156="","",ANAGRAFICA!$C153)</f>
        <v/>
      </c>
      <c r="E156" s="17" t="str">
        <f>IF($C156="","",ANAGRAFICA!$D153)</f>
        <v/>
      </c>
      <c r="F156" s="17" t="str">
        <f>IF($C156="","",ANAGRAFICA!$E153)</f>
        <v/>
      </c>
      <c r="G156" s="17" t="str">
        <f>IF($C156="","",ANAGRAFICA!$F153)</f>
        <v/>
      </c>
      <c r="H156" s="17" t="str">
        <f>IF($C156="","",ANAGRAFICA!$G153)</f>
        <v/>
      </c>
      <c r="I156" s="17" t="str">
        <f>IF($C156="","",ANAGRAFICA!$L153)</f>
        <v/>
      </c>
      <c r="J156" s="16" t="str">
        <f t="shared" si="49"/>
        <v/>
      </c>
      <c r="K156" s="16" t="str">
        <f t="shared" si="50"/>
        <v/>
      </c>
      <c r="L156" s="16" t="str">
        <f t="shared" si="51"/>
        <v/>
      </c>
      <c r="M156" s="16" t="str">
        <f t="shared" si="52"/>
        <v/>
      </c>
      <c r="N156" s="16" t="str">
        <f t="shared" si="53"/>
        <v/>
      </c>
      <c r="O156" s="16" t="str">
        <f t="shared" si="54"/>
        <v/>
      </c>
      <c r="P156" s="17" t="str">
        <f t="shared" si="55"/>
        <v/>
      </c>
      <c r="Q156" s="31" t="str">
        <f>IF(OR($C156="",'BUDGET COMMESSA'!$D153="",'BUDGET COMMESSA'!$D153&lt;=0,ANAGRAFICA!$J153=""),"",IF(OR($I156="Finito ritenute non previste",$I156="Finito con sblocco ritenute",$I156="Finito senza sblocco ritenute"),0,IF(AND($BK156&gt;=$BJ156,ANAGRAFICA!$R153="Ritardo produttivo FIDA"),IF(ANAGRAFICA!$T153&lt;&gt;"",MAX(0,ANAGRAFICA!$J153-ANAGRAFICA!$T153),MAX(0,$Y156-ANAGRAFICA!$J153)),0)))</f>
        <v/>
      </c>
      <c r="R156" s="17" t="str">
        <f t="shared" si="56"/>
        <v/>
      </c>
      <c r="S156" s="17" t="str">
        <f t="shared" si="57"/>
        <v/>
      </c>
      <c r="T156" s="17" t="str">
        <f t="shared" si="58"/>
        <v/>
      </c>
      <c r="U156" s="16" t="str">
        <f t="shared" si="59"/>
        <v/>
      </c>
      <c r="V156" s="16" t="str">
        <f t="shared" si="60"/>
        <v/>
      </c>
      <c r="W156" s="16" t="str">
        <f t="shared" si="61"/>
        <v/>
      </c>
      <c r="X156" s="40"/>
      <c r="Y156" s="14"/>
      <c r="AZ156" t="str">
        <f>IF($C156="","",ANAGRAFICA!$P153)</f>
        <v/>
      </c>
      <c r="BA156" t="str">
        <f>IF($C156="","",SUMIF('MOVIMENTI 2026'!$B$7:$B$4206,$C156,'MOVIMENTI 2026'!$I$7:$I$4206)+SUMIF('SALDI AL 31.12.2025'!$A$6:$A$505,$C156,'SALDI AL 31.12.2025'!$C$6:$C$505))</f>
        <v/>
      </c>
      <c r="BB156" t="str">
        <f>IF($C156="","",SUMIF('MOVIMENTI 2026'!$B$7:$B$4206,$C156,'MOVIMENTI 2026'!$J$7:$J$4206)+SUMIF('SALDI AL 31.12.2025'!$A$6:$A$505,$C156,'SALDI AL 31.12.2025'!$D$6:$D$505))</f>
        <v/>
      </c>
      <c r="BC156" t="str">
        <f>IF($C156="","",SUMIF('MOVIMENTI 2026'!$B$7:$B$4206,$C156,'MOVIMENTI 2026'!$K$7:$K$4206)+SUMIF('SALDI AL 31.12.2025'!$A$6:$A$505,$C156,'SALDI AL 31.12.2025'!$E$6:$E$505))</f>
        <v/>
      </c>
      <c r="BD156" t="str">
        <f>IF($C156="","",SUMIF('MOVIMENTI 2026'!$B$7:$B$4206,$C156,'MOVIMENTI 2026'!$L$7:$L$4206)+SUMIF('SALDI AL 31.12.2025'!$A$6:$A$505,$C156,'SALDI AL 31.12.2025'!$F$6:$F$505))</f>
        <v/>
      </c>
      <c r="BE156" t="str">
        <f t="shared" si="62"/>
        <v/>
      </c>
      <c r="BF156" t="str">
        <f t="shared" si="63"/>
        <v/>
      </c>
      <c r="BG156" t="str">
        <f t="shared" si="64"/>
        <v/>
      </c>
      <c r="BH156" t="str">
        <f>IFERROR(IF(OR($C156="",ANAGRAFICA!$I153="",ANAGRAFICA!$J153="",ANAGRAFICA!$J153&lt;=ANAGRAFICA!$I153,$Y156=""),"",IF(OR($I156="Finito ritenute non previste",$I156="Finito con sblocco ritenute",$I156="Finito senza sblocco ritenute"),1,MAX(0,MIN(1,($Y156-ANAGRAFICA!$I153)/(ANAGRAFICA!$J153-ANAGRAFICA!$I153))))),"")</f>
        <v/>
      </c>
      <c r="BI156" t="str">
        <f t="shared" si="65"/>
        <v/>
      </c>
      <c r="BJ156" t="str">
        <f>IFERROR(IF($C156="","",'BUDGET COMMESSA'!$D153),"")</f>
        <v/>
      </c>
      <c r="BK156" t="str">
        <f>IF($C156="","",SUMIF('MOVIMENTI 2026'!$B$7:$B$4206,$C156,'MOVIMENTI 2026'!$N$7:$N$4206)+SUMIF('SALDI AL 31.12.2025'!$A$6:$A$505,$C156,'SALDI AL 31.12.2025'!$H$6:$H$505))</f>
        <v/>
      </c>
      <c r="BL156" t="str">
        <f t="shared" si="66"/>
        <v/>
      </c>
      <c r="BM156" t="str">
        <f t="shared" si="67"/>
        <v/>
      </c>
      <c r="BN156" t="str">
        <f t="shared" si="68"/>
        <v/>
      </c>
      <c r="BO156" t="str">
        <f>IFERROR(IF($C156="","",'BUDGET COMMESSA'!$G153),"")</f>
        <v/>
      </c>
      <c r="BP156" t="str">
        <f>IF($C156="","",SUMIF('COSTI DIRETTI'!$C$6:$C$505,$C156,'COSTI DIRETTI'!$H$6:$H$505)+SUMIF('SALDI AL 31.12.2025'!$A$6:$A$505,$C156,'SALDI AL 31.12.2025'!$I$6:$I$505))</f>
        <v/>
      </c>
      <c r="BQ156" t="str">
        <f t="shared" si="69"/>
        <v/>
      </c>
      <c r="BR156" t="str">
        <f t="shared" si="70"/>
        <v/>
      </c>
      <c r="BS156" t="str">
        <f>IF($C156="","",$BK156*PARAMETRI!$B$4+$BP156)</f>
        <v/>
      </c>
      <c r="BT156">
        <f t="shared" si="71"/>
        <v>0</v>
      </c>
      <c r="BU156">
        <f t="shared" si="72"/>
        <v>0</v>
      </c>
      <c r="BV156" t="str">
        <f>IF($C156="","",SUMIF('MOVIMENTI 2026'!$B$7:$B$4206,$C156,'MOVIMENTI 2026'!$P$7:$P$4206)+SUMIF('SALDI AL 31.12.2025'!$A$6:$A$505,$C156,'SALDI AL 31.12.2025'!$G$6:$G$505))</f>
        <v/>
      </c>
    </row>
    <row r="157" spans="1:74" ht="16" x14ac:dyDescent="0.15">
      <c r="A157" s="17" t="str">
        <f>IFERROR(IF($C157="","",IF(OR($BF157&gt;0,$V157&gt;$J157,AND(ISNUMBER($Q157),$Q157&gt;0),AND($BI157&lt;&gt;"",$BI157&lt;-PARAMETRI!$B$6),AND($BM157&lt;&gt;"",$BM157&gt;=1),AND($BN157&lt;&gt;"",$BN157&gt;PARAMETRI!$B$8),AND(ISNUMBER($BR157),$BR157&gt;0)),"CRITICO",IF(OR($AZ157="",LEFT($C157,5)="TEMP",$BJ157="",$BO157="",ANAGRAFICA!$I154="",ANAGRAFICA!$J154="",$Y157="",AND(OR($I157="Finito ritenute non previste",$I157="Finito con sblocco ritenute",$I157="Finito senza sblocco ritenute"),ANAGRAFICA!$K154=""),OR(AND(ANAGRAFICA!$T154&lt;&gt;"",ANAGRAFICA!$J154&lt;&gt;ANAGRAFICA!$T154,OR(ANAGRAFICA!$R154="",ANAGRAFICA!$R154="Nessuna variazione")),AND(ANAGRAFICA!$J154="",ANAGRAFICA!$R154&lt;&gt;"",ANAGRAFICA!$R154&lt;&gt;"Nessuna variazione")),AND($BI157&lt;&gt;"",$BI157&lt;-PARAMETRI!$B$5),AND($BN157&lt;&gt;"",$BN157&gt;PARAMETRI!$B$7),AND($W157&gt;0,$M157&gt;$W157*PARAMETRI!$B$9),AND($O157&gt;0,OR($I157="Finito ritenute non previste",$I157="Finito con sblocco ritenute",$I157="Finito senza sblocco ritenute")),AND($BA157&gt;0,$BO157&gt;0,$BP157=0),AND(OR($I157="Finito ritenute non previste",$I157="Finito con sblocco ritenute",$I157="Finito senza sblocco ritenute"),$W157&gt;0,$N157&gt;$W157*PARAMETRI!$B$9),$V157&gt;0),"ATTENZIONE","REGOLARE"))),"ATTENZIONE")</f>
        <v/>
      </c>
      <c r="B157" s="17" t="str">
        <f>IFERROR(IF($C157="","",IF($BF157&gt;0,"FATTURATO OLTRE VALORE RECUPERABILE; ","")&amp;IF($V157&gt;$J157,"PERDITE ACCETTATE OLTRE CONTRATTO; ","")&amp;IF($V157&gt;0,"PERDITA SAL ACCETTATA (€ "&amp;TEXT($V157,"#,##0.00")&amp;"); ","")&amp;IF(AND(ISNUMBER($Q157),$Q157&gt;0),"RITARDO PRODUTTIVO ("&amp;TEXT($Q157,"0")&amp;" GG); ","")&amp;IF(AND($BI157&lt;&gt;"",$BI157&lt;-PARAMETRI!$B$5),"AVANZAMENTO PIÙ LENTO DEL TEMPO; ","")&amp;IF(AND($BM157&lt;&gt;"",$BM157&gt;1),"ORE OLTRE BUDGET; ","")&amp;IF(AND($BM157&lt;&gt;"",$BM157=1),"ORE PREVENTIVATE ESAURITE; ","")&amp;IF(AND($BN157&lt;&gt;"",$BN157&gt;PARAMETRI!$B$7),"CONSUMO ORE SUPERIORE ALL'AVANZAMENTO; ","")&amp;IF(AND(ISNUMBER($BR157),$BR157&gt;0),"COSTI DIRETTI OLTRE BUDGET; ","")&amp;IF(AND($W157&gt;0,$M157&gt;$W157*PARAMETRI!$B$9),"SAL MATURATO NON FATTURATO; ","")&amp;IF(AND($O157&gt;0,OR($I157="Finito ritenute non previste",$I157="Finito con sblocco ritenute",$I157="Finito senza sblocco ritenute")),"RITENUTE DA SBLOCCARE; ","")&amp;IF(AND($BA157&gt;0,$BO157&gt;0,$BP157=0),"COSTI DIRETTI NON REGISTRATI; ","")&amp;IF(AND(OR($I157="Finito ritenute non previste",$I157="Finito con sblocco ritenute",$I157="Finito senza sblocco ritenute"),$W157&gt;0,$N157&gt;$W157*PARAMETRI!$B$9),"CANTIERE FINITO CON RESIDUO LAVORI; ","")&amp;IF(AND(OR($I157="Finito ritenute non previste",$I157="Finito con sblocco ritenute",$I157="Finito senza sblocco ritenute"),ANAGRAFICA!$K154=""),"DATA FINE EFFETTIVA MANCANTE; ","")&amp;IF(OR(AND(ANAGRAFICA!$T154&lt;&gt;"",ANAGRAFICA!$J154&lt;&gt;ANAGRAFICA!$T154,OR(ANAGRAFICA!$R154="",ANAGRAFICA!$R154="Nessuna variazione")),AND(ANAGRAFICA!$J154="",ANAGRAFICA!$R154&lt;&gt;"",ANAGRAFICA!$R154&lt;&gt;"Nessuna variazione")),"GESTIONE DATA FINE INCOMPLETA; ","")&amp;IF($Y157="","AGGIORNATO AL MANCANTE; ","")&amp;IF(OR($AZ157="",$BJ157="",$BO157="",ANAGRAFICA!$I154="",ANAGRAFICA!$J154=""),"DATI PREVISIONALI INCOMPLETI; ","")&amp;IF(LEFT($C157,5)="TEMP","CODICE COMMESSA TEMPORANEO; ","")),"DATI INCOMPLETI; ")</f>
        <v/>
      </c>
      <c r="C157" s="17" t="str">
        <f>IF(ANAGRAFICA!$B154="","",ANAGRAFICA!$B154)</f>
        <v/>
      </c>
      <c r="D157" s="17" t="str">
        <f>IF($C157="","",ANAGRAFICA!$C154)</f>
        <v/>
      </c>
      <c r="E157" s="17" t="str">
        <f>IF($C157="","",ANAGRAFICA!$D154)</f>
        <v/>
      </c>
      <c r="F157" s="17" t="str">
        <f>IF($C157="","",ANAGRAFICA!$E154)</f>
        <v/>
      </c>
      <c r="G157" s="17" t="str">
        <f>IF($C157="","",ANAGRAFICA!$F154)</f>
        <v/>
      </c>
      <c r="H157" s="17" t="str">
        <f>IF($C157="","",ANAGRAFICA!$G154)</f>
        <v/>
      </c>
      <c r="I157" s="17" t="str">
        <f>IF($C157="","",ANAGRAFICA!$L154)</f>
        <v/>
      </c>
      <c r="J157" s="16" t="str">
        <f t="shared" si="49"/>
        <v/>
      </c>
      <c r="K157" s="16" t="str">
        <f t="shared" si="50"/>
        <v/>
      </c>
      <c r="L157" s="16" t="str">
        <f t="shared" si="51"/>
        <v/>
      </c>
      <c r="M157" s="16" t="str">
        <f t="shared" si="52"/>
        <v/>
      </c>
      <c r="N157" s="16" t="str">
        <f t="shared" si="53"/>
        <v/>
      </c>
      <c r="O157" s="16" t="str">
        <f t="shared" si="54"/>
        <v/>
      </c>
      <c r="P157" s="17" t="str">
        <f t="shared" si="55"/>
        <v/>
      </c>
      <c r="Q157" s="31" t="str">
        <f>IF(OR($C157="",'BUDGET COMMESSA'!$D154="",'BUDGET COMMESSA'!$D154&lt;=0,ANAGRAFICA!$J154=""),"",IF(OR($I157="Finito ritenute non previste",$I157="Finito con sblocco ritenute",$I157="Finito senza sblocco ritenute"),0,IF(AND($BK157&gt;=$BJ157,ANAGRAFICA!$R154="Ritardo produttivo FIDA"),IF(ANAGRAFICA!$T154&lt;&gt;"",MAX(0,ANAGRAFICA!$J154-ANAGRAFICA!$T154),MAX(0,$Y157-ANAGRAFICA!$J154)),0)))</f>
        <v/>
      </c>
      <c r="R157" s="17" t="str">
        <f t="shared" si="56"/>
        <v/>
      </c>
      <c r="S157" s="17" t="str">
        <f t="shared" si="57"/>
        <v/>
      </c>
      <c r="T157" s="17" t="str">
        <f t="shared" si="58"/>
        <v/>
      </c>
      <c r="U157" s="16" t="str">
        <f t="shared" si="59"/>
        <v/>
      </c>
      <c r="V157" s="16" t="str">
        <f t="shared" si="60"/>
        <v/>
      </c>
      <c r="W157" s="16" t="str">
        <f t="shared" si="61"/>
        <v/>
      </c>
      <c r="X157" s="40"/>
      <c r="Y157" s="14"/>
      <c r="AZ157" t="str">
        <f>IF($C157="","",ANAGRAFICA!$P154)</f>
        <v/>
      </c>
      <c r="BA157" t="str">
        <f>IF($C157="","",SUMIF('MOVIMENTI 2026'!$B$7:$B$4206,$C157,'MOVIMENTI 2026'!$I$7:$I$4206)+SUMIF('SALDI AL 31.12.2025'!$A$6:$A$505,$C157,'SALDI AL 31.12.2025'!$C$6:$C$505))</f>
        <v/>
      </c>
      <c r="BB157" t="str">
        <f>IF($C157="","",SUMIF('MOVIMENTI 2026'!$B$7:$B$4206,$C157,'MOVIMENTI 2026'!$J$7:$J$4206)+SUMIF('SALDI AL 31.12.2025'!$A$6:$A$505,$C157,'SALDI AL 31.12.2025'!$D$6:$D$505))</f>
        <v/>
      </c>
      <c r="BC157" t="str">
        <f>IF($C157="","",SUMIF('MOVIMENTI 2026'!$B$7:$B$4206,$C157,'MOVIMENTI 2026'!$K$7:$K$4206)+SUMIF('SALDI AL 31.12.2025'!$A$6:$A$505,$C157,'SALDI AL 31.12.2025'!$E$6:$E$505))</f>
        <v/>
      </c>
      <c r="BD157" t="str">
        <f>IF($C157="","",SUMIF('MOVIMENTI 2026'!$B$7:$B$4206,$C157,'MOVIMENTI 2026'!$L$7:$L$4206)+SUMIF('SALDI AL 31.12.2025'!$A$6:$A$505,$C157,'SALDI AL 31.12.2025'!$F$6:$F$505))</f>
        <v/>
      </c>
      <c r="BE157" t="str">
        <f t="shared" si="62"/>
        <v/>
      </c>
      <c r="BF157" t="str">
        <f t="shared" si="63"/>
        <v/>
      </c>
      <c r="BG157" t="str">
        <f t="shared" si="64"/>
        <v/>
      </c>
      <c r="BH157" t="str">
        <f>IFERROR(IF(OR($C157="",ANAGRAFICA!$I154="",ANAGRAFICA!$J154="",ANAGRAFICA!$J154&lt;=ANAGRAFICA!$I154,$Y157=""),"",IF(OR($I157="Finito ritenute non previste",$I157="Finito con sblocco ritenute",$I157="Finito senza sblocco ritenute"),1,MAX(0,MIN(1,($Y157-ANAGRAFICA!$I154)/(ANAGRAFICA!$J154-ANAGRAFICA!$I154))))),"")</f>
        <v/>
      </c>
      <c r="BI157" t="str">
        <f t="shared" si="65"/>
        <v/>
      </c>
      <c r="BJ157" t="str">
        <f>IFERROR(IF($C157="","",'BUDGET COMMESSA'!$D154),"")</f>
        <v/>
      </c>
      <c r="BK157" t="str">
        <f>IF($C157="","",SUMIF('MOVIMENTI 2026'!$B$7:$B$4206,$C157,'MOVIMENTI 2026'!$N$7:$N$4206)+SUMIF('SALDI AL 31.12.2025'!$A$6:$A$505,$C157,'SALDI AL 31.12.2025'!$H$6:$H$505))</f>
        <v/>
      </c>
      <c r="BL157" t="str">
        <f t="shared" si="66"/>
        <v/>
      </c>
      <c r="BM157" t="str">
        <f t="shared" si="67"/>
        <v/>
      </c>
      <c r="BN157" t="str">
        <f t="shared" si="68"/>
        <v/>
      </c>
      <c r="BO157" t="str">
        <f>IFERROR(IF($C157="","",'BUDGET COMMESSA'!$G154),"")</f>
        <v/>
      </c>
      <c r="BP157" t="str">
        <f>IF($C157="","",SUMIF('COSTI DIRETTI'!$C$6:$C$505,$C157,'COSTI DIRETTI'!$H$6:$H$505)+SUMIF('SALDI AL 31.12.2025'!$A$6:$A$505,$C157,'SALDI AL 31.12.2025'!$I$6:$I$505))</f>
        <v/>
      </c>
      <c r="BQ157" t="str">
        <f t="shared" si="69"/>
        <v/>
      </c>
      <c r="BR157" t="str">
        <f t="shared" si="70"/>
        <v/>
      </c>
      <c r="BS157" t="str">
        <f>IF($C157="","",$BK157*PARAMETRI!$B$4+$BP157)</f>
        <v/>
      </c>
      <c r="BT157">
        <f t="shared" si="71"/>
        <v>0</v>
      </c>
      <c r="BU157">
        <f t="shared" si="72"/>
        <v>0</v>
      </c>
      <c r="BV157" t="str">
        <f>IF($C157="","",SUMIF('MOVIMENTI 2026'!$B$7:$B$4206,$C157,'MOVIMENTI 2026'!$P$7:$P$4206)+SUMIF('SALDI AL 31.12.2025'!$A$6:$A$505,$C157,'SALDI AL 31.12.2025'!$G$6:$G$505))</f>
        <v/>
      </c>
    </row>
    <row r="158" spans="1:74" ht="16" x14ac:dyDescent="0.15">
      <c r="A158" s="17" t="str">
        <f>IFERROR(IF($C158="","",IF(OR($BF158&gt;0,$V158&gt;$J158,AND(ISNUMBER($Q158),$Q158&gt;0),AND($BI158&lt;&gt;"",$BI158&lt;-PARAMETRI!$B$6),AND($BM158&lt;&gt;"",$BM158&gt;=1),AND($BN158&lt;&gt;"",$BN158&gt;PARAMETRI!$B$8),AND(ISNUMBER($BR158),$BR158&gt;0)),"CRITICO",IF(OR($AZ158="",LEFT($C158,5)="TEMP",$BJ158="",$BO158="",ANAGRAFICA!$I155="",ANAGRAFICA!$J155="",$Y158="",AND(OR($I158="Finito ritenute non previste",$I158="Finito con sblocco ritenute",$I158="Finito senza sblocco ritenute"),ANAGRAFICA!$K155=""),OR(AND(ANAGRAFICA!$T155&lt;&gt;"",ANAGRAFICA!$J155&lt;&gt;ANAGRAFICA!$T155,OR(ANAGRAFICA!$R155="",ANAGRAFICA!$R155="Nessuna variazione")),AND(ANAGRAFICA!$J155="",ANAGRAFICA!$R155&lt;&gt;"",ANAGRAFICA!$R155&lt;&gt;"Nessuna variazione")),AND($BI158&lt;&gt;"",$BI158&lt;-PARAMETRI!$B$5),AND($BN158&lt;&gt;"",$BN158&gt;PARAMETRI!$B$7),AND($W158&gt;0,$M158&gt;$W158*PARAMETRI!$B$9),AND($O158&gt;0,OR($I158="Finito ritenute non previste",$I158="Finito con sblocco ritenute",$I158="Finito senza sblocco ritenute")),AND($BA158&gt;0,$BO158&gt;0,$BP158=0),AND(OR($I158="Finito ritenute non previste",$I158="Finito con sblocco ritenute",$I158="Finito senza sblocco ritenute"),$W158&gt;0,$N158&gt;$W158*PARAMETRI!$B$9),$V158&gt;0),"ATTENZIONE","REGOLARE"))),"ATTENZIONE")</f>
        <v/>
      </c>
      <c r="B158" s="17" t="str">
        <f>IFERROR(IF($C158="","",IF($BF158&gt;0,"FATTURATO OLTRE VALORE RECUPERABILE; ","")&amp;IF($V158&gt;$J158,"PERDITE ACCETTATE OLTRE CONTRATTO; ","")&amp;IF($V158&gt;0,"PERDITA SAL ACCETTATA (€ "&amp;TEXT($V158,"#,##0.00")&amp;"); ","")&amp;IF(AND(ISNUMBER($Q158),$Q158&gt;0),"RITARDO PRODUTTIVO ("&amp;TEXT($Q158,"0")&amp;" GG); ","")&amp;IF(AND($BI158&lt;&gt;"",$BI158&lt;-PARAMETRI!$B$5),"AVANZAMENTO PIÙ LENTO DEL TEMPO; ","")&amp;IF(AND($BM158&lt;&gt;"",$BM158&gt;1),"ORE OLTRE BUDGET; ","")&amp;IF(AND($BM158&lt;&gt;"",$BM158=1),"ORE PREVENTIVATE ESAURITE; ","")&amp;IF(AND($BN158&lt;&gt;"",$BN158&gt;PARAMETRI!$B$7),"CONSUMO ORE SUPERIORE ALL'AVANZAMENTO; ","")&amp;IF(AND(ISNUMBER($BR158),$BR158&gt;0),"COSTI DIRETTI OLTRE BUDGET; ","")&amp;IF(AND($W158&gt;0,$M158&gt;$W158*PARAMETRI!$B$9),"SAL MATURATO NON FATTURATO; ","")&amp;IF(AND($O158&gt;0,OR($I158="Finito ritenute non previste",$I158="Finito con sblocco ritenute",$I158="Finito senza sblocco ritenute")),"RITENUTE DA SBLOCCARE; ","")&amp;IF(AND($BA158&gt;0,$BO158&gt;0,$BP158=0),"COSTI DIRETTI NON REGISTRATI; ","")&amp;IF(AND(OR($I158="Finito ritenute non previste",$I158="Finito con sblocco ritenute",$I158="Finito senza sblocco ritenute"),$W158&gt;0,$N158&gt;$W158*PARAMETRI!$B$9),"CANTIERE FINITO CON RESIDUO LAVORI; ","")&amp;IF(AND(OR($I158="Finito ritenute non previste",$I158="Finito con sblocco ritenute",$I158="Finito senza sblocco ritenute"),ANAGRAFICA!$K155=""),"DATA FINE EFFETTIVA MANCANTE; ","")&amp;IF(OR(AND(ANAGRAFICA!$T155&lt;&gt;"",ANAGRAFICA!$J155&lt;&gt;ANAGRAFICA!$T155,OR(ANAGRAFICA!$R155="",ANAGRAFICA!$R155="Nessuna variazione")),AND(ANAGRAFICA!$J155="",ANAGRAFICA!$R155&lt;&gt;"",ANAGRAFICA!$R155&lt;&gt;"Nessuna variazione")),"GESTIONE DATA FINE INCOMPLETA; ","")&amp;IF($Y158="","AGGIORNATO AL MANCANTE; ","")&amp;IF(OR($AZ158="",$BJ158="",$BO158="",ANAGRAFICA!$I155="",ANAGRAFICA!$J155=""),"DATI PREVISIONALI INCOMPLETI; ","")&amp;IF(LEFT($C158,5)="TEMP","CODICE COMMESSA TEMPORANEO; ","")),"DATI INCOMPLETI; ")</f>
        <v/>
      </c>
      <c r="C158" s="17" t="str">
        <f>IF(ANAGRAFICA!$B155="","",ANAGRAFICA!$B155)</f>
        <v/>
      </c>
      <c r="D158" s="17" t="str">
        <f>IF($C158="","",ANAGRAFICA!$C155)</f>
        <v/>
      </c>
      <c r="E158" s="17" t="str">
        <f>IF($C158="","",ANAGRAFICA!$D155)</f>
        <v/>
      </c>
      <c r="F158" s="17" t="str">
        <f>IF($C158="","",ANAGRAFICA!$E155)</f>
        <v/>
      </c>
      <c r="G158" s="17" t="str">
        <f>IF($C158="","",ANAGRAFICA!$F155)</f>
        <v/>
      </c>
      <c r="H158" s="17" t="str">
        <f>IF($C158="","",ANAGRAFICA!$G155)</f>
        <v/>
      </c>
      <c r="I158" s="17" t="str">
        <f>IF($C158="","",ANAGRAFICA!$L155)</f>
        <v/>
      </c>
      <c r="J158" s="16" t="str">
        <f t="shared" si="49"/>
        <v/>
      </c>
      <c r="K158" s="16" t="str">
        <f t="shared" si="50"/>
        <v/>
      </c>
      <c r="L158" s="16" t="str">
        <f t="shared" si="51"/>
        <v/>
      </c>
      <c r="M158" s="16" t="str">
        <f t="shared" si="52"/>
        <v/>
      </c>
      <c r="N158" s="16" t="str">
        <f t="shared" si="53"/>
        <v/>
      </c>
      <c r="O158" s="16" t="str">
        <f t="shared" si="54"/>
        <v/>
      </c>
      <c r="P158" s="17" t="str">
        <f t="shared" si="55"/>
        <v/>
      </c>
      <c r="Q158" s="31" t="str">
        <f>IF(OR($C158="",'BUDGET COMMESSA'!$D155="",'BUDGET COMMESSA'!$D155&lt;=0,ANAGRAFICA!$J155=""),"",IF(OR($I158="Finito ritenute non previste",$I158="Finito con sblocco ritenute",$I158="Finito senza sblocco ritenute"),0,IF(AND($BK158&gt;=$BJ158,ANAGRAFICA!$R155="Ritardo produttivo FIDA"),IF(ANAGRAFICA!$T155&lt;&gt;"",MAX(0,ANAGRAFICA!$J155-ANAGRAFICA!$T155),MAX(0,$Y158-ANAGRAFICA!$J155)),0)))</f>
        <v/>
      </c>
      <c r="R158" s="17" t="str">
        <f t="shared" si="56"/>
        <v/>
      </c>
      <c r="S158" s="17" t="str">
        <f t="shared" si="57"/>
        <v/>
      </c>
      <c r="T158" s="17" t="str">
        <f t="shared" si="58"/>
        <v/>
      </c>
      <c r="U158" s="16" t="str">
        <f t="shared" si="59"/>
        <v/>
      </c>
      <c r="V158" s="16" t="str">
        <f t="shared" si="60"/>
        <v/>
      </c>
      <c r="W158" s="16" t="str">
        <f t="shared" si="61"/>
        <v/>
      </c>
      <c r="X158" s="40"/>
      <c r="Y158" s="14"/>
      <c r="AZ158" t="str">
        <f>IF($C158="","",ANAGRAFICA!$P155)</f>
        <v/>
      </c>
      <c r="BA158" t="str">
        <f>IF($C158="","",SUMIF('MOVIMENTI 2026'!$B$7:$B$4206,$C158,'MOVIMENTI 2026'!$I$7:$I$4206)+SUMIF('SALDI AL 31.12.2025'!$A$6:$A$505,$C158,'SALDI AL 31.12.2025'!$C$6:$C$505))</f>
        <v/>
      </c>
      <c r="BB158" t="str">
        <f>IF($C158="","",SUMIF('MOVIMENTI 2026'!$B$7:$B$4206,$C158,'MOVIMENTI 2026'!$J$7:$J$4206)+SUMIF('SALDI AL 31.12.2025'!$A$6:$A$505,$C158,'SALDI AL 31.12.2025'!$D$6:$D$505))</f>
        <v/>
      </c>
      <c r="BC158" t="str">
        <f>IF($C158="","",SUMIF('MOVIMENTI 2026'!$B$7:$B$4206,$C158,'MOVIMENTI 2026'!$K$7:$K$4206)+SUMIF('SALDI AL 31.12.2025'!$A$6:$A$505,$C158,'SALDI AL 31.12.2025'!$E$6:$E$505))</f>
        <v/>
      </c>
      <c r="BD158" t="str">
        <f>IF($C158="","",SUMIF('MOVIMENTI 2026'!$B$7:$B$4206,$C158,'MOVIMENTI 2026'!$L$7:$L$4206)+SUMIF('SALDI AL 31.12.2025'!$A$6:$A$505,$C158,'SALDI AL 31.12.2025'!$F$6:$F$505))</f>
        <v/>
      </c>
      <c r="BE158" t="str">
        <f t="shared" si="62"/>
        <v/>
      </c>
      <c r="BF158" t="str">
        <f t="shared" si="63"/>
        <v/>
      </c>
      <c r="BG158" t="str">
        <f t="shared" si="64"/>
        <v/>
      </c>
      <c r="BH158" t="str">
        <f>IFERROR(IF(OR($C158="",ANAGRAFICA!$I155="",ANAGRAFICA!$J155="",ANAGRAFICA!$J155&lt;=ANAGRAFICA!$I155,$Y158=""),"",IF(OR($I158="Finito ritenute non previste",$I158="Finito con sblocco ritenute",$I158="Finito senza sblocco ritenute"),1,MAX(0,MIN(1,($Y158-ANAGRAFICA!$I155)/(ANAGRAFICA!$J155-ANAGRAFICA!$I155))))),"")</f>
        <v/>
      </c>
      <c r="BI158" t="str">
        <f t="shared" si="65"/>
        <v/>
      </c>
      <c r="BJ158" t="str">
        <f>IFERROR(IF($C158="","",'BUDGET COMMESSA'!$D155),"")</f>
        <v/>
      </c>
      <c r="BK158" t="str">
        <f>IF($C158="","",SUMIF('MOVIMENTI 2026'!$B$7:$B$4206,$C158,'MOVIMENTI 2026'!$N$7:$N$4206)+SUMIF('SALDI AL 31.12.2025'!$A$6:$A$505,$C158,'SALDI AL 31.12.2025'!$H$6:$H$505))</f>
        <v/>
      </c>
      <c r="BL158" t="str">
        <f t="shared" si="66"/>
        <v/>
      </c>
      <c r="BM158" t="str">
        <f t="shared" si="67"/>
        <v/>
      </c>
      <c r="BN158" t="str">
        <f t="shared" si="68"/>
        <v/>
      </c>
      <c r="BO158" t="str">
        <f>IFERROR(IF($C158="","",'BUDGET COMMESSA'!$G155),"")</f>
        <v/>
      </c>
      <c r="BP158" t="str">
        <f>IF($C158="","",SUMIF('COSTI DIRETTI'!$C$6:$C$505,$C158,'COSTI DIRETTI'!$H$6:$H$505)+SUMIF('SALDI AL 31.12.2025'!$A$6:$A$505,$C158,'SALDI AL 31.12.2025'!$I$6:$I$505))</f>
        <v/>
      </c>
      <c r="BQ158" t="str">
        <f t="shared" si="69"/>
        <v/>
      </c>
      <c r="BR158" t="str">
        <f t="shared" si="70"/>
        <v/>
      </c>
      <c r="BS158" t="str">
        <f>IF($C158="","",$BK158*PARAMETRI!$B$4+$BP158)</f>
        <v/>
      </c>
      <c r="BT158">
        <f t="shared" si="71"/>
        <v>0</v>
      </c>
      <c r="BU158">
        <f t="shared" si="72"/>
        <v>0</v>
      </c>
      <c r="BV158" t="str">
        <f>IF($C158="","",SUMIF('MOVIMENTI 2026'!$B$7:$B$4206,$C158,'MOVIMENTI 2026'!$P$7:$P$4206)+SUMIF('SALDI AL 31.12.2025'!$A$6:$A$505,$C158,'SALDI AL 31.12.2025'!$G$6:$G$505))</f>
        <v/>
      </c>
    </row>
    <row r="159" spans="1:74" ht="16" x14ac:dyDescent="0.15">
      <c r="A159" s="17" t="str">
        <f>IFERROR(IF($C159="","",IF(OR($BF159&gt;0,$V159&gt;$J159,AND(ISNUMBER($Q159),$Q159&gt;0),AND($BI159&lt;&gt;"",$BI159&lt;-PARAMETRI!$B$6),AND($BM159&lt;&gt;"",$BM159&gt;=1),AND($BN159&lt;&gt;"",$BN159&gt;PARAMETRI!$B$8),AND(ISNUMBER($BR159),$BR159&gt;0)),"CRITICO",IF(OR($AZ159="",LEFT($C159,5)="TEMP",$BJ159="",$BO159="",ANAGRAFICA!$I156="",ANAGRAFICA!$J156="",$Y159="",AND(OR($I159="Finito ritenute non previste",$I159="Finito con sblocco ritenute",$I159="Finito senza sblocco ritenute"),ANAGRAFICA!$K156=""),OR(AND(ANAGRAFICA!$T156&lt;&gt;"",ANAGRAFICA!$J156&lt;&gt;ANAGRAFICA!$T156,OR(ANAGRAFICA!$R156="",ANAGRAFICA!$R156="Nessuna variazione")),AND(ANAGRAFICA!$J156="",ANAGRAFICA!$R156&lt;&gt;"",ANAGRAFICA!$R156&lt;&gt;"Nessuna variazione")),AND($BI159&lt;&gt;"",$BI159&lt;-PARAMETRI!$B$5),AND($BN159&lt;&gt;"",$BN159&gt;PARAMETRI!$B$7),AND($W159&gt;0,$M159&gt;$W159*PARAMETRI!$B$9),AND($O159&gt;0,OR($I159="Finito ritenute non previste",$I159="Finito con sblocco ritenute",$I159="Finito senza sblocco ritenute")),AND($BA159&gt;0,$BO159&gt;0,$BP159=0),AND(OR($I159="Finito ritenute non previste",$I159="Finito con sblocco ritenute",$I159="Finito senza sblocco ritenute"),$W159&gt;0,$N159&gt;$W159*PARAMETRI!$B$9),$V159&gt;0),"ATTENZIONE","REGOLARE"))),"ATTENZIONE")</f>
        <v/>
      </c>
      <c r="B159" s="17" t="str">
        <f>IFERROR(IF($C159="","",IF($BF159&gt;0,"FATTURATO OLTRE VALORE RECUPERABILE; ","")&amp;IF($V159&gt;$J159,"PERDITE ACCETTATE OLTRE CONTRATTO; ","")&amp;IF($V159&gt;0,"PERDITA SAL ACCETTATA (€ "&amp;TEXT($V159,"#,##0.00")&amp;"); ","")&amp;IF(AND(ISNUMBER($Q159),$Q159&gt;0),"RITARDO PRODUTTIVO ("&amp;TEXT($Q159,"0")&amp;" GG); ","")&amp;IF(AND($BI159&lt;&gt;"",$BI159&lt;-PARAMETRI!$B$5),"AVANZAMENTO PIÙ LENTO DEL TEMPO; ","")&amp;IF(AND($BM159&lt;&gt;"",$BM159&gt;1),"ORE OLTRE BUDGET; ","")&amp;IF(AND($BM159&lt;&gt;"",$BM159=1),"ORE PREVENTIVATE ESAURITE; ","")&amp;IF(AND($BN159&lt;&gt;"",$BN159&gt;PARAMETRI!$B$7),"CONSUMO ORE SUPERIORE ALL'AVANZAMENTO; ","")&amp;IF(AND(ISNUMBER($BR159),$BR159&gt;0),"COSTI DIRETTI OLTRE BUDGET; ","")&amp;IF(AND($W159&gt;0,$M159&gt;$W159*PARAMETRI!$B$9),"SAL MATURATO NON FATTURATO; ","")&amp;IF(AND($O159&gt;0,OR($I159="Finito ritenute non previste",$I159="Finito con sblocco ritenute",$I159="Finito senza sblocco ritenute")),"RITENUTE DA SBLOCCARE; ","")&amp;IF(AND($BA159&gt;0,$BO159&gt;0,$BP159=0),"COSTI DIRETTI NON REGISTRATI; ","")&amp;IF(AND(OR($I159="Finito ritenute non previste",$I159="Finito con sblocco ritenute",$I159="Finito senza sblocco ritenute"),$W159&gt;0,$N159&gt;$W159*PARAMETRI!$B$9),"CANTIERE FINITO CON RESIDUO LAVORI; ","")&amp;IF(AND(OR($I159="Finito ritenute non previste",$I159="Finito con sblocco ritenute",$I159="Finito senza sblocco ritenute"),ANAGRAFICA!$K156=""),"DATA FINE EFFETTIVA MANCANTE; ","")&amp;IF(OR(AND(ANAGRAFICA!$T156&lt;&gt;"",ANAGRAFICA!$J156&lt;&gt;ANAGRAFICA!$T156,OR(ANAGRAFICA!$R156="",ANAGRAFICA!$R156="Nessuna variazione")),AND(ANAGRAFICA!$J156="",ANAGRAFICA!$R156&lt;&gt;"",ANAGRAFICA!$R156&lt;&gt;"Nessuna variazione")),"GESTIONE DATA FINE INCOMPLETA; ","")&amp;IF($Y159="","AGGIORNATO AL MANCANTE; ","")&amp;IF(OR($AZ159="",$BJ159="",$BO159="",ANAGRAFICA!$I156="",ANAGRAFICA!$J156=""),"DATI PREVISIONALI INCOMPLETI; ","")&amp;IF(LEFT($C159,5)="TEMP","CODICE COMMESSA TEMPORANEO; ","")),"DATI INCOMPLETI; ")</f>
        <v/>
      </c>
      <c r="C159" s="17" t="str">
        <f>IF(ANAGRAFICA!$B156="","",ANAGRAFICA!$B156)</f>
        <v/>
      </c>
      <c r="D159" s="17" t="str">
        <f>IF($C159="","",ANAGRAFICA!$C156)</f>
        <v/>
      </c>
      <c r="E159" s="17" t="str">
        <f>IF($C159="","",ANAGRAFICA!$D156)</f>
        <v/>
      </c>
      <c r="F159" s="17" t="str">
        <f>IF($C159="","",ANAGRAFICA!$E156)</f>
        <v/>
      </c>
      <c r="G159" s="17" t="str">
        <f>IF($C159="","",ANAGRAFICA!$F156)</f>
        <v/>
      </c>
      <c r="H159" s="17" t="str">
        <f>IF($C159="","",ANAGRAFICA!$G156)</f>
        <v/>
      </c>
      <c r="I159" s="17" t="str">
        <f>IF($C159="","",ANAGRAFICA!$L156)</f>
        <v/>
      </c>
      <c r="J159" s="16" t="str">
        <f t="shared" si="49"/>
        <v/>
      </c>
      <c r="K159" s="16" t="str">
        <f t="shared" si="50"/>
        <v/>
      </c>
      <c r="L159" s="16" t="str">
        <f t="shared" si="51"/>
        <v/>
      </c>
      <c r="M159" s="16" t="str">
        <f t="shared" si="52"/>
        <v/>
      </c>
      <c r="N159" s="16" t="str">
        <f t="shared" si="53"/>
        <v/>
      </c>
      <c r="O159" s="16" t="str">
        <f t="shared" si="54"/>
        <v/>
      </c>
      <c r="P159" s="17" t="str">
        <f t="shared" si="55"/>
        <v/>
      </c>
      <c r="Q159" s="31" t="str">
        <f>IF(OR($C159="",'BUDGET COMMESSA'!$D156="",'BUDGET COMMESSA'!$D156&lt;=0,ANAGRAFICA!$J156=""),"",IF(OR($I159="Finito ritenute non previste",$I159="Finito con sblocco ritenute",$I159="Finito senza sblocco ritenute"),0,IF(AND($BK159&gt;=$BJ159,ANAGRAFICA!$R156="Ritardo produttivo FIDA"),IF(ANAGRAFICA!$T156&lt;&gt;"",MAX(0,ANAGRAFICA!$J156-ANAGRAFICA!$T156),MAX(0,$Y159-ANAGRAFICA!$J156)),0)))</f>
        <v/>
      </c>
      <c r="R159" s="17" t="str">
        <f t="shared" si="56"/>
        <v/>
      </c>
      <c r="S159" s="17" t="str">
        <f t="shared" si="57"/>
        <v/>
      </c>
      <c r="T159" s="17" t="str">
        <f t="shared" si="58"/>
        <v/>
      </c>
      <c r="U159" s="16" t="str">
        <f t="shared" si="59"/>
        <v/>
      </c>
      <c r="V159" s="16" t="str">
        <f t="shared" si="60"/>
        <v/>
      </c>
      <c r="W159" s="16" t="str">
        <f t="shared" si="61"/>
        <v/>
      </c>
      <c r="X159" s="40"/>
      <c r="Y159" s="14"/>
      <c r="AZ159" t="str">
        <f>IF($C159="","",ANAGRAFICA!$P156)</f>
        <v/>
      </c>
      <c r="BA159" t="str">
        <f>IF($C159="","",SUMIF('MOVIMENTI 2026'!$B$7:$B$4206,$C159,'MOVIMENTI 2026'!$I$7:$I$4206)+SUMIF('SALDI AL 31.12.2025'!$A$6:$A$505,$C159,'SALDI AL 31.12.2025'!$C$6:$C$505))</f>
        <v/>
      </c>
      <c r="BB159" t="str">
        <f>IF($C159="","",SUMIF('MOVIMENTI 2026'!$B$7:$B$4206,$C159,'MOVIMENTI 2026'!$J$7:$J$4206)+SUMIF('SALDI AL 31.12.2025'!$A$6:$A$505,$C159,'SALDI AL 31.12.2025'!$D$6:$D$505))</f>
        <v/>
      </c>
      <c r="BC159" t="str">
        <f>IF($C159="","",SUMIF('MOVIMENTI 2026'!$B$7:$B$4206,$C159,'MOVIMENTI 2026'!$K$7:$K$4206)+SUMIF('SALDI AL 31.12.2025'!$A$6:$A$505,$C159,'SALDI AL 31.12.2025'!$E$6:$E$505))</f>
        <v/>
      </c>
      <c r="BD159" t="str">
        <f>IF($C159="","",SUMIF('MOVIMENTI 2026'!$B$7:$B$4206,$C159,'MOVIMENTI 2026'!$L$7:$L$4206)+SUMIF('SALDI AL 31.12.2025'!$A$6:$A$505,$C159,'SALDI AL 31.12.2025'!$F$6:$F$505))</f>
        <v/>
      </c>
      <c r="BE159" t="str">
        <f t="shared" si="62"/>
        <v/>
      </c>
      <c r="BF159" t="str">
        <f t="shared" si="63"/>
        <v/>
      </c>
      <c r="BG159" t="str">
        <f t="shared" si="64"/>
        <v/>
      </c>
      <c r="BH159" t="str">
        <f>IFERROR(IF(OR($C159="",ANAGRAFICA!$I156="",ANAGRAFICA!$J156="",ANAGRAFICA!$J156&lt;=ANAGRAFICA!$I156,$Y159=""),"",IF(OR($I159="Finito ritenute non previste",$I159="Finito con sblocco ritenute",$I159="Finito senza sblocco ritenute"),1,MAX(0,MIN(1,($Y159-ANAGRAFICA!$I156)/(ANAGRAFICA!$J156-ANAGRAFICA!$I156))))),"")</f>
        <v/>
      </c>
      <c r="BI159" t="str">
        <f t="shared" si="65"/>
        <v/>
      </c>
      <c r="BJ159" t="str">
        <f>IFERROR(IF($C159="","",'BUDGET COMMESSA'!$D156),"")</f>
        <v/>
      </c>
      <c r="BK159" t="str">
        <f>IF($C159="","",SUMIF('MOVIMENTI 2026'!$B$7:$B$4206,$C159,'MOVIMENTI 2026'!$N$7:$N$4206)+SUMIF('SALDI AL 31.12.2025'!$A$6:$A$505,$C159,'SALDI AL 31.12.2025'!$H$6:$H$505))</f>
        <v/>
      </c>
      <c r="BL159" t="str">
        <f t="shared" si="66"/>
        <v/>
      </c>
      <c r="BM159" t="str">
        <f t="shared" si="67"/>
        <v/>
      </c>
      <c r="BN159" t="str">
        <f t="shared" si="68"/>
        <v/>
      </c>
      <c r="BO159" t="str">
        <f>IFERROR(IF($C159="","",'BUDGET COMMESSA'!$G156),"")</f>
        <v/>
      </c>
      <c r="BP159" t="str">
        <f>IF($C159="","",SUMIF('COSTI DIRETTI'!$C$6:$C$505,$C159,'COSTI DIRETTI'!$H$6:$H$505)+SUMIF('SALDI AL 31.12.2025'!$A$6:$A$505,$C159,'SALDI AL 31.12.2025'!$I$6:$I$505))</f>
        <v/>
      </c>
      <c r="BQ159" t="str">
        <f t="shared" si="69"/>
        <v/>
      </c>
      <c r="BR159" t="str">
        <f t="shared" si="70"/>
        <v/>
      </c>
      <c r="BS159" t="str">
        <f>IF($C159="","",$BK159*PARAMETRI!$B$4+$BP159)</f>
        <v/>
      </c>
      <c r="BT159">
        <f t="shared" si="71"/>
        <v>0</v>
      </c>
      <c r="BU159">
        <f t="shared" si="72"/>
        <v>0</v>
      </c>
      <c r="BV159" t="str">
        <f>IF($C159="","",SUMIF('MOVIMENTI 2026'!$B$7:$B$4206,$C159,'MOVIMENTI 2026'!$P$7:$P$4206)+SUMIF('SALDI AL 31.12.2025'!$A$6:$A$505,$C159,'SALDI AL 31.12.2025'!$G$6:$G$505))</f>
        <v/>
      </c>
    </row>
    <row r="160" spans="1:74" ht="16" x14ac:dyDescent="0.15">
      <c r="A160" s="17" t="str">
        <f>IFERROR(IF($C160="","",IF(OR($BF160&gt;0,$V160&gt;$J160,AND(ISNUMBER($Q160),$Q160&gt;0),AND($BI160&lt;&gt;"",$BI160&lt;-PARAMETRI!$B$6),AND($BM160&lt;&gt;"",$BM160&gt;=1),AND($BN160&lt;&gt;"",$BN160&gt;PARAMETRI!$B$8),AND(ISNUMBER($BR160),$BR160&gt;0)),"CRITICO",IF(OR($AZ160="",LEFT($C160,5)="TEMP",$BJ160="",$BO160="",ANAGRAFICA!$I157="",ANAGRAFICA!$J157="",$Y160="",AND(OR($I160="Finito ritenute non previste",$I160="Finito con sblocco ritenute",$I160="Finito senza sblocco ritenute"),ANAGRAFICA!$K157=""),OR(AND(ANAGRAFICA!$T157&lt;&gt;"",ANAGRAFICA!$J157&lt;&gt;ANAGRAFICA!$T157,OR(ANAGRAFICA!$R157="",ANAGRAFICA!$R157="Nessuna variazione")),AND(ANAGRAFICA!$J157="",ANAGRAFICA!$R157&lt;&gt;"",ANAGRAFICA!$R157&lt;&gt;"Nessuna variazione")),AND($BI160&lt;&gt;"",$BI160&lt;-PARAMETRI!$B$5),AND($BN160&lt;&gt;"",$BN160&gt;PARAMETRI!$B$7),AND($W160&gt;0,$M160&gt;$W160*PARAMETRI!$B$9),AND($O160&gt;0,OR($I160="Finito ritenute non previste",$I160="Finito con sblocco ritenute",$I160="Finito senza sblocco ritenute")),AND($BA160&gt;0,$BO160&gt;0,$BP160=0),AND(OR($I160="Finito ritenute non previste",$I160="Finito con sblocco ritenute",$I160="Finito senza sblocco ritenute"),$W160&gt;0,$N160&gt;$W160*PARAMETRI!$B$9),$V160&gt;0),"ATTENZIONE","REGOLARE"))),"ATTENZIONE")</f>
        <v/>
      </c>
      <c r="B160" s="17" t="str">
        <f>IFERROR(IF($C160="","",IF($BF160&gt;0,"FATTURATO OLTRE VALORE RECUPERABILE; ","")&amp;IF($V160&gt;$J160,"PERDITE ACCETTATE OLTRE CONTRATTO; ","")&amp;IF($V160&gt;0,"PERDITA SAL ACCETTATA (€ "&amp;TEXT($V160,"#,##0.00")&amp;"); ","")&amp;IF(AND(ISNUMBER($Q160),$Q160&gt;0),"RITARDO PRODUTTIVO ("&amp;TEXT($Q160,"0")&amp;" GG); ","")&amp;IF(AND($BI160&lt;&gt;"",$BI160&lt;-PARAMETRI!$B$5),"AVANZAMENTO PIÙ LENTO DEL TEMPO; ","")&amp;IF(AND($BM160&lt;&gt;"",$BM160&gt;1),"ORE OLTRE BUDGET; ","")&amp;IF(AND($BM160&lt;&gt;"",$BM160=1),"ORE PREVENTIVATE ESAURITE; ","")&amp;IF(AND($BN160&lt;&gt;"",$BN160&gt;PARAMETRI!$B$7),"CONSUMO ORE SUPERIORE ALL'AVANZAMENTO; ","")&amp;IF(AND(ISNUMBER($BR160),$BR160&gt;0),"COSTI DIRETTI OLTRE BUDGET; ","")&amp;IF(AND($W160&gt;0,$M160&gt;$W160*PARAMETRI!$B$9),"SAL MATURATO NON FATTURATO; ","")&amp;IF(AND($O160&gt;0,OR($I160="Finito ritenute non previste",$I160="Finito con sblocco ritenute",$I160="Finito senza sblocco ritenute")),"RITENUTE DA SBLOCCARE; ","")&amp;IF(AND($BA160&gt;0,$BO160&gt;0,$BP160=0),"COSTI DIRETTI NON REGISTRATI; ","")&amp;IF(AND(OR($I160="Finito ritenute non previste",$I160="Finito con sblocco ritenute",$I160="Finito senza sblocco ritenute"),$W160&gt;0,$N160&gt;$W160*PARAMETRI!$B$9),"CANTIERE FINITO CON RESIDUO LAVORI; ","")&amp;IF(AND(OR($I160="Finito ritenute non previste",$I160="Finito con sblocco ritenute",$I160="Finito senza sblocco ritenute"),ANAGRAFICA!$K157=""),"DATA FINE EFFETTIVA MANCANTE; ","")&amp;IF(OR(AND(ANAGRAFICA!$T157&lt;&gt;"",ANAGRAFICA!$J157&lt;&gt;ANAGRAFICA!$T157,OR(ANAGRAFICA!$R157="",ANAGRAFICA!$R157="Nessuna variazione")),AND(ANAGRAFICA!$J157="",ANAGRAFICA!$R157&lt;&gt;"",ANAGRAFICA!$R157&lt;&gt;"Nessuna variazione")),"GESTIONE DATA FINE INCOMPLETA; ","")&amp;IF($Y160="","AGGIORNATO AL MANCANTE; ","")&amp;IF(OR($AZ160="",$BJ160="",$BO160="",ANAGRAFICA!$I157="",ANAGRAFICA!$J157=""),"DATI PREVISIONALI INCOMPLETI; ","")&amp;IF(LEFT($C160,5)="TEMP","CODICE COMMESSA TEMPORANEO; ","")),"DATI INCOMPLETI; ")</f>
        <v/>
      </c>
      <c r="C160" s="17" t="str">
        <f>IF(ANAGRAFICA!$B157="","",ANAGRAFICA!$B157)</f>
        <v/>
      </c>
      <c r="D160" s="17" t="str">
        <f>IF($C160="","",ANAGRAFICA!$C157)</f>
        <v/>
      </c>
      <c r="E160" s="17" t="str">
        <f>IF($C160="","",ANAGRAFICA!$D157)</f>
        <v/>
      </c>
      <c r="F160" s="17" t="str">
        <f>IF($C160="","",ANAGRAFICA!$E157)</f>
        <v/>
      </c>
      <c r="G160" s="17" t="str">
        <f>IF($C160="","",ANAGRAFICA!$F157)</f>
        <v/>
      </c>
      <c r="H160" s="17" t="str">
        <f>IF($C160="","",ANAGRAFICA!$G157)</f>
        <v/>
      </c>
      <c r="I160" s="17" t="str">
        <f>IF($C160="","",ANAGRAFICA!$L157)</f>
        <v/>
      </c>
      <c r="J160" s="16" t="str">
        <f t="shared" si="49"/>
        <v/>
      </c>
      <c r="K160" s="16" t="str">
        <f t="shared" si="50"/>
        <v/>
      </c>
      <c r="L160" s="16" t="str">
        <f t="shared" si="51"/>
        <v/>
      </c>
      <c r="M160" s="16" t="str">
        <f t="shared" si="52"/>
        <v/>
      </c>
      <c r="N160" s="16" t="str">
        <f t="shared" si="53"/>
        <v/>
      </c>
      <c r="O160" s="16" t="str">
        <f t="shared" si="54"/>
        <v/>
      </c>
      <c r="P160" s="17" t="str">
        <f t="shared" si="55"/>
        <v/>
      </c>
      <c r="Q160" s="31" t="str">
        <f>IF(OR($C160="",'BUDGET COMMESSA'!$D157="",'BUDGET COMMESSA'!$D157&lt;=0,ANAGRAFICA!$J157=""),"",IF(OR($I160="Finito ritenute non previste",$I160="Finito con sblocco ritenute",$I160="Finito senza sblocco ritenute"),0,IF(AND($BK160&gt;=$BJ160,ANAGRAFICA!$R157="Ritardo produttivo FIDA"),IF(ANAGRAFICA!$T157&lt;&gt;"",MAX(0,ANAGRAFICA!$J157-ANAGRAFICA!$T157),MAX(0,$Y160-ANAGRAFICA!$J157)),0)))</f>
        <v/>
      </c>
      <c r="R160" s="17" t="str">
        <f t="shared" si="56"/>
        <v/>
      </c>
      <c r="S160" s="17" t="str">
        <f t="shared" si="57"/>
        <v/>
      </c>
      <c r="T160" s="17" t="str">
        <f t="shared" si="58"/>
        <v/>
      </c>
      <c r="U160" s="16" t="str">
        <f t="shared" si="59"/>
        <v/>
      </c>
      <c r="V160" s="16" t="str">
        <f t="shared" si="60"/>
        <v/>
      </c>
      <c r="W160" s="16" t="str">
        <f t="shared" si="61"/>
        <v/>
      </c>
      <c r="X160" s="40"/>
      <c r="Y160" s="14"/>
      <c r="AZ160" t="str">
        <f>IF($C160="","",ANAGRAFICA!$P157)</f>
        <v/>
      </c>
      <c r="BA160" t="str">
        <f>IF($C160="","",SUMIF('MOVIMENTI 2026'!$B$7:$B$4206,$C160,'MOVIMENTI 2026'!$I$7:$I$4206)+SUMIF('SALDI AL 31.12.2025'!$A$6:$A$505,$C160,'SALDI AL 31.12.2025'!$C$6:$C$505))</f>
        <v/>
      </c>
      <c r="BB160" t="str">
        <f>IF($C160="","",SUMIF('MOVIMENTI 2026'!$B$7:$B$4206,$C160,'MOVIMENTI 2026'!$J$7:$J$4206)+SUMIF('SALDI AL 31.12.2025'!$A$6:$A$505,$C160,'SALDI AL 31.12.2025'!$D$6:$D$505))</f>
        <v/>
      </c>
      <c r="BC160" t="str">
        <f>IF($C160="","",SUMIF('MOVIMENTI 2026'!$B$7:$B$4206,$C160,'MOVIMENTI 2026'!$K$7:$K$4206)+SUMIF('SALDI AL 31.12.2025'!$A$6:$A$505,$C160,'SALDI AL 31.12.2025'!$E$6:$E$505))</f>
        <v/>
      </c>
      <c r="BD160" t="str">
        <f>IF($C160="","",SUMIF('MOVIMENTI 2026'!$B$7:$B$4206,$C160,'MOVIMENTI 2026'!$L$7:$L$4206)+SUMIF('SALDI AL 31.12.2025'!$A$6:$A$505,$C160,'SALDI AL 31.12.2025'!$F$6:$F$505))</f>
        <v/>
      </c>
      <c r="BE160" t="str">
        <f t="shared" si="62"/>
        <v/>
      </c>
      <c r="BF160" t="str">
        <f t="shared" si="63"/>
        <v/>
      </c>
      <c r="BG160" t="str">
        <f t="shared" si="64"/>
        <v/>
      </c>
      <c r="BH160" t="str">
        <f>IFERROR(IF(OR($C160="",ANAGRAFICA!$I157="",ANAGRAFICA!$J157="",ANAGRAFICA!$J157&lt;=ANAGRAFICA!$I157,$Y160=""),"",IF(OR($I160="Finito ritenute non previste",$I160="Finito con sblocco ritenute",$I160="Finito senza sblocco ritenute"),1,MAX(0,MIN(1,($Y160-ANAGRAFICA!$I157)/(ANAGRAFICA!$J157-ANAGRAFICA!$I157))))),"")</f>
        <v/>
      </c>
      <c r="BI160" t="str">
        <f t="shared" si="65"/>
        <v/>
      </c>
      <c r="BJ160" t="str">
        <f>IFERROR(IF($C160="","",'BUDGET COMMESSA'!$D157),"")</f>
        <v/>
      </c>
      <c r="BK160" t="str">
        <f>IF($C160="","",SUMIF('MOVIMENTI 2026'!$B$7:$B$4206,$C160,'MOVIMENTI 2026'!$N$7:$N$4206)+SUMIF('SALDI AL 31.12.2025'!$A$6:$A$505,$C160,'SALDI AL 31.12.2025'!$H$6:$H$505))</f>
        <v/>
      </c>
      <c r="BL160" t="str">
        <f t="shared" si="66"/>
        <v/>
      </c>
      <c r="BM160" t="str">
        <f t="shared" si="67"/>
        <v/>
      </c>
      <c r="BN160" t="str">
        <f t="shared" si="68"/>
        <v/>
      </c>
      <c r="BO160" t="str">
        <f>IFERROR(IF($C160="","",'BUDGET COMMESSA'!$G157),"")</f>
        <v/>
      </c>
      <c r="BP160" t="str">
        <f>IF($C160="","",SUMIF('COSTI DIRETTI'!$C$6:$C$505,$C160,'COSTI DIRETTI'!$H$6:$H$505)+SUMIF('SALDI AL 31.12.2025'!$A$6:$A$505,$C160,'SALDI AL 31.12.2025'!$I$6:$I$505))</f>
        <v/>
      </c>
      <c r="BQ160" t="str">
        <f t="shared" si="69"/>
        <v/>
      </c>
      <c r="BR160" t="str">
        <f t="shared" si="70"/>
        <v/>
      </c>
      <c r="BS160" t="str">
        <f>IF($C160="","",$BK160*PARAMETRI!$B$4+$BP160)</f>
        <v/>
      </c>
      <c r="BT160">
        <f t="shared" si="71"/>
        <v>0</v>
      </c>
      <c r="BU160">
        <f t="shared" si="72"/>
        <v>0</v>
      </c>
      <c r="BV160" t="str">
        <f>IF($C160="","",SUMIF('MOVIMENTI 2026'!$B$7:$B$4206,$C160,'MOVIMENTI 2026'!$P$7:$P$4206)+SUMIF('SALDI AL 31.12.2025'!$A$6:$A$505,$C160,'SALDI AL 31.12.2025'!$G$6:$G$505))</f>
        <v/>
      </c>
    </row>
    <row r="161" spans="1:74" ht="16" x14ac:dyDescent="0.15">
      <c r="A161" s="17" t="str">
        <f>IFERROR(IF($C161="","",IF(OR($BF161&gt;0,$V161&gt;$J161,AND(ISNUMBER($Q161),$Q161&gt;0),AND($BI161&lt;&gt;"",$BI161&lt;-PARAMETRI!$B$6),AND($BM161&lt;&gt;"",$BM161&gt;=1),AND($BN161&lt;&gt;"",$BN161&gt;PARAMETRI!$B$8),AND(ISNUMBER($BR161),$BR161&gt;0)),"CRITICO",IF(OR($AZ161="",LEFT($C161,5)="TEMP",$BJ161="",$BO161="",ANAGRAFICA!$I158="",ANAGRAFICA!$J158="",$Y161="",AND(OR($I161="Finito ritenute non previste",$I161="Finito con sblocco ritenute",$I161="Finito senza sblocco ritenute"),ANAGRAFICA!$K158=""),OR(AND(ANAGRAFICA!$T158&lt;&gt;"",ANAGRAFICA!$J158&lt;&gt;ANAGRAFICA!$T158,OR(ANAGRAFICA!$R158="",ANAGRAFICA!$R158="Nessuna variazione")),AND(ANAGRAFICA!$J158="",ANAGRAFICA!$R158&lt;&gt;"",ANAGRAFICA!$R158&lt;&gt;"Nessuna variazione")),AND($BI161&lt;&gt;"",$BI161&lt;-PARAMETRI!$B$5),AND($BN161&lt;&gt;"",$BN161&gt;PARAMETRI!$B$7),AND($W161&gt;0,$M161&gt;$W161*PARAMETRI!$B$9),AND($O161&gt;0,OR($I161="Finito ritenute non previste",$I161="Finito con sblocco ritenute",$I161="Finito senza sblocco ritenute")),AND($BA161&gt;0,$BO161&gt;0,$BP161=0),AND(OR($I161="Finito ritenute non previste",$I161="Finito con sblocco ritenute",$I161="Finito senza sblocco ritenute"),$W161&gt;0,$N161&gt;$W161*PARAMETRI!$B$9),$V161&gt;0),"ATTENZIONE","REGOLARE"))),"ATTENZIONE")</f>
        <v/>
      </c>
      <c r="B161" s="17" t="str">
        <f>IFERROR(IF($C161="","",IF($BF161&gt;0,"FATTURATO OLTRE VALORE RECUPERABILE; ","")&amp;IF($V161&gt;$J161,"PERDITE ACCETTATE OLTRE CONTRATTO; ","")&amp;IF($V161&gt;0,"PERDITA SAL ACCETTATA (€ "&amp;TEXT($V161,"#,##0.00")&amp;"); ","")&amp;IF(AND(ISNUMBER($Q161),$Q161&gt;0),"RITARDO PRODUTTIVO ("&amp;TEXT($Q161,"0")&amp;" GG); ","")&amp;IF(AND($BI161&lt;&gt;"",$BI161&lt;-PARAMETRI!$B$5),"AVANZAMENTO PIÙ LENTO DEL TEMPO; ","")&amp;IF(AND($BM161&lt;&gt;"",$BM161&gt;1),"ORE OLTRE BUDGET; ","")&amp;IF(AND($BM161&lt;&gt;"",$BM161=1),"ORE PREVENTIVATE ESAURITE; ","")&amp;IF(AND($BN161&lt;&gt;"",$BN161&gt;PARAMETRI!$B$7),"CONSUMO ORE SUPERIORE ALL'AVANZAMENTO; ","")&amp;IF(AND(ISNUMBER($BR161),$BR161&gt;0),"COSTI DIRETTI OLTRE BUDGET; ","")&amp;IF(AND($W161&gt;0,$M161&gt;$W161*PARAMETRI!$B$9),"SAL MATURATO NON FATTURATO; ","")&amp;IF(AND($O161&gt;0,OR($I161="Finito ritenute non previste",$I161="Finito con sblocco ritenute",$I161="Finito senza sblocco ritenute")),"RITENUTE DA SBLOCCARE; ","")&amp;IF(AND($BA161&gt;0,$BO161&gt;0,$BP161=0),"COSTI DIRETTI NON REGISTRATI; ","")&amp;IF(AND(OR($I161="Finito ritenute non previste",$I161="Finito con sblocco ritenute",$I161="Finito senza sblocco ritenute"),$W161&gt;0,$N161&gt;$W161*PARAMETRI!$B$9),"CANTIERE FINITO CON RESIDUO LAVORI; ","")&amp;IF(AND(OR($I161="Finito ritenute non previste",$I161="Finito con sblocco ritenute",$I161="Finito senza sblocco ritenute"),ANAGRAFICA!$K158=""),"DATA FINE EFFETTIVA MANCANTE; ","")&amp;IF(OR(AND(ANAGRAFICA!$T158&lt;&gt;"",ANAGRAFICA!$J158&lt;&gt;ANAGRAFICA!$T158,OR(ANAGRAFICA!$R158="",ANAGRAFICA!$R158="Nessuna variazione")),AND(ANAGRAFICA!$J158="",ANAGRAFICA!$R158&lt;&gt;"",ANAGRAFICA!$R158&lt;&gt;"Nessuna variazione")),"GESTIONE DATA FINE INCOMPLETA; ","")&amp;IF($Y161="","AGGIORNATO AL MANCANTE; ","")&amp;IF(OR($AZ161="",$BJ161="",$BO161="",ANAGRAFICA!$I158="",ANAGRAFICA!$J158=""),"DATI PREVISIONALI INCOMPLETI; ","")&amp;IF(LEFT($C161,5)="TEMP","CODICE COMMESSA TEMPORANEO; ","")),"DATI INCOMPLETI; ")</f>
        <v/>
      </c>
      <c r="C161" s="17" t="str">
        <f>IF(ANAGRAFICA!$B158="","",ANAGRAFICA!$B158)</f>
        <v/>
      </c>
      <c r="D161" s="17" t="str">
        <f>IF($C161="","",ANAGRAFICA!$C158)</f>
        <v/>
      </c>
      <c r="E161" s="17" t="str">
        <f>IF($C161="","",ANAGRAFICA!$D158)</f>
        <v/>
      </c>
      <c r="F161" s="17" t="str">
        <f>IF($C161="","",ANAGRAFICA!$E158)</f>
        <v/>
      </c>
      <c r="G161" s="17" t="str">
        <f>IF($C161="","",ANAGRAFICA!$F158)</f>
        <v/>
      </c>
      <c r="H161" s="17" t="str">
        <f>IF($C161="","",ANAGRAFICA!$G158)</f>
        <v/>
      </c>
      <c r="I161" s="17" t="str">
        <f>IF($C161="","",ANAGRAFICA!$L158)</f>
        <v/>
      </c>
      <c r="J161" s="16" t="str">
        <f t="shared" si="49"/>
        <v/>
      </c>
      <c r="K161" s="16" t="str">
        <f t="shared" si="50"/>
        <v/>
      </c>
      <c r="L161" s="16" t="str">
        <f t="shared" si="51"/>
        <v/>
      </c>
      <c r="M161" s="16" t="str">
        <f t="shared" si="52"/>
        <v/>
      </c>
      <c r="N161" s="16" t="str">
        <f t="shared" si="53"/>
        <v/>
      </c>
      <c r="O161" s="16" t="str">
        <f t="shared" si="54"/>
        <v/>
      </c>
      <c r="P161" s="17" t="str">
        <f t="shared" si="55"/>
        <v/>
      </c>
      <c r="Q161" s="31" t="str">
        <f>IF(OR($C161="",'BUDGET COMMESSA'!$D158="",'BUDGET COMMESSA'!$D158&lt;=0,ANAGRAFICA!$J158=""),"",IF(OR($I161="Finito ritenute non previste",$I161="Finito con sblocco ritenute",$I161="Finito senza sblocco ritenute"),0,IF(AND($BK161&gt;=$BJ161,ANAGRAFICA!$R158="Ritardo produttivo FIDA"),IF(ANAGRAFICA!$T158&lt;&gt;"",MAX(0,ANAGRAFICA!$J158-ANAGRAFICA!$T158),MAX(0,$Y161-ANAGRAFICA!$J158)),0)))</f>
        <v/>
      </c>
      <c r="R161" s="17" t="str">
        <f t="shared" si="56"/>
        <v/>
      </c>
      <c r="S161" s="17" t="str">
        <f t="shared" si="57"/>
        <v/>
      </c>
      <c r="T161" s="17" t="str">
        <f t="shared" si="58"/>
        <v/>
      </c>
      <c r="U161" s="16" t="str">
        <f t="shared" si="59"/>
        <v/>
      </c>
      <c r="V161" s="16" t="str">
        <f t="shared" si="60"/>
        <v/>
      </c>
      <c r="W161" s="16" t="str">
        <f t="shared" si="61"/>
        <v/>
      </c>
      <c r="X161" s="40"/>
      <c r="Y161" s="14"/>
      <c r="AZ161" t="str">
        <f>IF($C161="","",ANAGRAFICA!$P158)</f>
        <v/>
      </c>
      <c r="BA161" t="str">
        <f>IF($C161="","",SUMIF('MOVIMENTI 2026'!$B$7:$B$4206,$C161,'MOVIMENTI 2026'!$I$7:$I$4206)+SUMIF('SALDI AL 31.12.2025'!$A$6:$A$505,$C161,'SALDI AL 31.12.2025'!$C$6:$C$505))</f>
        <v/>
      </c>
      <c r="BB161" t="str">
        <f>IF($C161="","",SUMIF('MOVIMENTI 2026'!$B$7:$B$4206,$C161,'MOVIMENTI 2026'!$J$7:$J$4206)+SUMIF('SALDI AL 31.12.2025'!$A$6:$A$505,$C161,'SALDI AL 31.12.2025'!$D$6:$D$505))</f>
        <v/>
      </c>
      <c r="BC161" t="str">
        <f>IF($C161="","",SUMIF('MOVIMENTI 2026'!$B$7:$B$4206,$C161,'MOVIMENTI 2026'!$K$7:$K$4206)+SUMIF('SALDI AL 31.12.2025'!$A$6:$A$505,$C161,'SALDI AL 31.12.2025'!$E$6:$E$505))</f>
        <v/>
      </c>
      <c r="BD161" t="str">
        <f>IF($C161="","",SUMIF('MOVIMENTI 2026'!$B$7:$B$4206,$C161,'MOVIMENTI 2026'!$L$7:$L$4206)+SUMIF('SALDI AL 31.12.2025'!$A$6:$A$505,$C161,'SALDI AL 31.12.2025'!$F$6:$F$505))</f>
        <v/>
      </c>
      <c r="BE161" t="str">
        <f t="shared" si="62"/>
        <v/>
      </c>
      <c r="BF161" t="str">
        <f t="shared" si="63"/>
        <v/>
      </c>
      <c r="BG161" t="str">
        <f t="shared" si="64"/>
        <v/>
      </c>
      <c r="BH161" t="str">
        <f>IFERROR(IF(OR($C161="",ANAGRAFICA!$I158="",ANAGRAFICA!$J158="",ANAGRAFICA!$J158&lt;=ANAGRAFICA!$I158,$Y161=""),"",IF(OR($I161="Finito ritenute non previste",$I161="Finito con sblocco ritenute",$I161="Finito senza sblocco ritenute"),1,MAX(0,MIN(1,($Y161-ANAGRAFICA!$I158)/(ANAGRAFICA!$J158-ANAGRAFICA!$I158))))),"")</f>
        <v/>
      </c>
      <c r="BI161" t="str">
        <f t="shared" si="65"/>
        <v/>
      </c>
      <c r="BJ161" t="str">
        <f>IFERROR(IF($C161="","",'BUDGET COMMESSA'!$D158),"")</f>
        <v/>
      </c>
      <c r="BK161" t="str">
        <f>IF($C161="","",SUMIF('MOVIMENTI 2026'!$B$7:$B$4206,$C161,'MOVIMENTI 2026'!$N$7:$N$4206)+SUMIF('SALDI AL 31.12.2025'!$A$6:$A$505,$C161,'SALDI AL 31.12.2025'!$H$6:$H$505))</f>
        <v/>
      </c>
      <c r="BL161" t="str">
        <f t="shared" si="66"/>
        <v/>
      </c>
      <c r="BM161" t="str">
        <f t="shared" si="67"/>
        <v/>
      </c>
      <c r="BN161" t="str">
        <f t="shared" si="68"/>
        <v/>
      </c>
      <c r="BO161" t="str">
        <f>IFERROR(IF($C161="","",'BUDGET COMMESSA'!$G158),"")</f>
        <v/>
      </c>
      <c r="BP161" t="str">
        <f>IF($C161="","",SUMIF('COSTI DIRETTI'!$C$6:$C$505,$C161,'COSTI DIRETTI'!$H$6:$H$505)+SUMIF('SALDI AL 31.12.2025'!$A$6:$A$505,$C161,'SALDI AL 31.12.2025'!$I$6:$I$505))</f>
        <v/>
      </c>
      <c r="BQ161" t="str">
        <f t="shared" si="69"/>
        <v/>
      </c>
      <c r="BR161" t="str">
        <f t="shared" si="70"/>
        <v/>
      </c>
      <c r="BS161" t="str">
        <f>IF($C161="","",$BK161*PARAMETRI!$B$4+$BP161)</f>
        <v/>
      </c>
      <c r="BT161">
        <f t="shared" si="71"/>
        <v>0</v>
      </c>
      <c r="BU161">
        <f t="shared" si="72"/>
        <v>0</v>
      </c>
      <c r="BV161" t="str">
        <f>IF($C161="","",SUMIF('MOVIMENTI 2026'!$B$7:$B$4206,$C161,'MOVIMENTI 2026'!$P$7:$P$4206)+SUMIF('SALDI AL 31.12.2025'!$A$6:$A$505,$C161,'SALDI AL 31.12.2025'!$G$6:$G$505))</f>
        <v/>
      </c>
    </row>
    <row r="162" spans="1:74" ht="16" x14ac:dyDescent="0.15">
      <c r="A162" s="17" t="str">
        <f>IFERROR(IF($C162="","",IF(OR($BF162&gt;0,$V162&gt;$J162,AND(ISNUMBER($Q162),$Q162&gt;0),AND($BI162&lt;&gt;"",$BI162&lt;-PARAMETRI!$B$6),AND($BM162&lt;&gt;"",$BM162&gt;=1),AND($BN162&lt;&gt;"",$BN162&gt;PARAMETRI!$B$8),AND(ISNUMBER($BR162),$BR162&gt;0)),"CRITICO",IF(OR($AZ162="",LEFT($C162,5)="TEMP",$BJ162="",$BO162="",ANAGRAFICA!$I159="",ANAGRAFICA!$J159="",$Y162="",AND(OR($I162="Finito ritenute non previste",$I162="Finito con sblocco ritenute",$I162="Finito senza sblocco ritenute"),ANAGRAFICA!$K159=""),OR(AND(ANAGRAFICA!$T159&lt;&gt;"",ANAGRAFICA!$J159&lt;&gt;ANAGRAFICA!$T159,OR(ANAGRAFICA!$R159="",ANAGRAFICA!$R159="Nessuna variazione")),AND(ANAGRAFICA!$J159="",ANAGRAFICA!$R159&lt;&gt;"",ANAGRAFICA!$R159&lt;&gt;"Nessuna variazione")),AND($BI162&lt;&gt;"",$BI162&lt;-PARAMETRI!$B$5),AND($BN162&lt;&gt;"",$BN162&gt;PARAMETRI!$B$7),AND($W162&gt;0,$M162&gt;$W162*PARAMETRI!$B$9),AND($O162&gt;0,OR($I162="Finito ritenute non previste",$I162="Finito con sblocco ritenute",$I162="Finito senza sblocco ritenute")),AND($BA162&gt;0,$BO162&gt;0,$BP162=0),AND(OR($I162="Finito ritenute non previste",$I162="Finito con sblocco ritenute",$I162="Finito senza sblocco ritenute"),$W162&gt;0,$N162&gt;$W162*PARAMETRI!$B$9),$V162&gt;0),"ATTENZIONE","REGOLARE"))),"ATTENZIONE")</f>
        <v/>
      </c>
      <c r="B162" s="17" t="str">
        <f>IFERROR(IF($C162="","",IF($BF162&gt;0,"FATTURATO OLTRE VALORE RECUPERABILE; ","")&amp;IF($V162&gt;$J162,"PERDITE ACCETTATE OLTRE CONTRATTO; ","")&amp;IF($V162&gt;0,"PERDITA SAL ACCETTATA (€ "&amp;TEXT($V162,"#,##0.00")&amp;"); ","")&amp;IF(AND(ISNUMBER($Q162),$Q162&gt;0),"RITARDO PRODUTTIVO ("&amp;TEXT($Q162,"0")&amp;" GG); ","")&amp;IF(AND($BI162&lt;&gt;"",$BI162&lt;-PARAMETRI!$B$5),"AVANZAMENTO PIÙ LENTO DEL TEMPO; ","")&amp;IF(AND($BM162&lt;&gt;"",$BM162&gt;1),"ORE OLTRE BUDGET; ","")&amp;IF(AND($BM162&lt;&gt;"",$BM162=1),"ORE PREVENTIVATE ESAURITE; ","")&amp;IF(AND($BN162&lt;&gt;"",$BN162&gt;PARAMETRI!$B$7),"CONSUMO ORE SUPERIORE ALL'AVANZAMENTO; ","")&amp;IF(AND(ISNUMBER($BR162),$BR162&gt;0),"COSTI DIRETTI OLTRE BUDGET; ","")&amp;IF(AND($W162&gt;0,$M162&gt;$W162*PARAMETRI!$B$9),"SAL MATURATO NON FATTURATO; ","")&amp;IF(AND($O162&gt;0,OR($I162="Finito ritenute non previste",$I162="Finito con sblocco ritenute",$I162="Finito senza sblocco ritenute")),"RITENUTE DA SBLOCCARE; ","")&amp;IF(AND($BA162&gt;0,$BO162&gt;0,$BP162=0),"COSTI DIRETTI NON REGISTRATI; ","")&amp;IF(AND(OR($I162="Finito ritenute non previste",$I162="Finito con sblocco ritenute",$I162="Finito senza sblocco ritenute"),$W162&gt;0,$N162&gt;$W162*PARAMETRI!$B$9),"CANTIERE FINITO CON RESIDUO LAVORI; ","")&amp;IF(AND(OR($I162="Finito ritenute non previste",$I162="Finito con sblocco ritenute",$I162="Finito senza sblocco ritenute"),ANAGRAFICA!$K159=""),"DATA FINE EFFETTIVA MANCANTE; ","")&amp;IF(OR(AND(ANAGRAFICA!$T159&lt;&gt;"",ANAGRAFICA!$J159&lt;&gt;ANAGRAFICA!$T159,OR(ANAGRAFICA!$R159="",ANAGRAFICA!$R159="Nessuna variazione")),AND(ANAGRAFICA!$J159="",ANAGRAFICA!$R159&lt;&gt;"",ANAGRAFICA!$R159&lt;&gt;"Nessuna variazione")),"GESTIONE DATA FINE INCOMPLETA; ","")&amp;IF($Y162="","AGGIORNATO AL MANCANTE; ","")&amp;IF(OR($AZ162="",$BJ162="",$BO162="",ANAGRAFICA!$I159="",ANAGRAFICA!$J159=""),"DATI PREVISIONALI INCOMPLETI; ","")&amp;IF(LEFT($C162,5)="TEMP","CODICE COMMESSA TEMPORANEO; ","")),"DATI INCOMPLETI; ")</f>
        <v/>
      </c>
      <c r="C162" s="17" t="str">
        <f>IF(ANAGRAFICA!$B159="","",ANAGRAFICA!$B159)</f>
        <v/>
      </c>
      <c r="D162" s="17" t="str">
        <f>IF($C162="","",ANAGRAFICA!$C159)</f>
        <v/>
      </c>
      <c r="E162" s="17" t="str">
        <f>IF($C162="","",ANAGRAFICA!$D159)</f>
        <v/>
      </c>
      <c r="F162" s="17" t="str">
        <f>IF($C162="","",ANAGRAFICA!$E159)</f>
        <v/>
      </c>
      <c r="G162" s="17" t="str">
        <f>IF($C162="","",ANAGRAFICA!$F159)</f>
        <v/>
      </c>
      <c r="H162" s="17" t="str">
        <f>IF($C162="","",ANAGRAFICA!$G159)</f>
        <v/>
      </c>
      <c r="I162" s="17" t="str">
        <f>IF($C162="","",ANAGRAFICA!$L159)</f>
        <v/>
      </c>
      <c r="J162" s="16" t="str">
        <f t="shared" si="49"/>
        <v/>
      </c>
      <c r="K162" s="16" t="str">
        <f t="shared" si="50"/>
        <v/>
      </c>
      <c r="L162" s="16" t="str">
        <f t="shared" si="51"/>
        <v/>
      </c>
      <c r="M162" s="16" t="str">
        <f t="shared" si="52"/>
        <v/>
      </c>
      <c r="N162" s="16" t="str">
        <f t="shared" si="53"/>
        <v/>
      </c>
      <c r="O162" s="16" t="str">
        <f t="shared" si="54"/>
        <v/>
      </c>
      <c r="P162" s="17" t="str">
        <f t="shared" si="55"/>
        <v/>
      </c>
      <c r="Q162" s="31" t="str">
        <f>IF(OR($C162="",'BUDGET COMMESSA'!$D159="",'BUDGET COMMESSA'!$D159&lt;=0,ANAGRAFICA!$J159=""),"",IF(OR($I162="Finito ritenute non previste",$I162="Finito con sblocco ritenute",$I162="Finito senza sblocco ritenute"),0,IF(AND($BK162&gt;=$BJ162,ANAGRAFICA!$R159="Ritardo produttivo FIDA"),IF(ANAGRAFICA!$T159&lt;&gt;"",MAX(0,ANAGRAFICA!$J159-ANAGRAFICA!$T159),MAX(0,$Y162-ANAGRAFICA!$J159)),0)))</f>
        <v/>
      </c>
      <c r="R162" s="17" t="str">
        <f t="shared" si="56"/>
        <v/>
      </c>
      <c r="S162" s="17" t="str">
        <f t="shared" si="57"/>
        <v/>
      </c>
      <c r="T162" s="17" t="str">
        <f t="shared" si="58"/>
        <v/>
      </c>
      <c r="U162" s="16" t="str">
        <f t="shared" si="59"/>
        <v/>
      </c>
      <c r="V162" s="16" t="str">
        <f t="shared" si="60"/>
        <v/>
      </c>
      <c r="W162" s="16" t="str">
        <f t="shared" si="61"/>
        <v/>
      </c>
      <c r="X162" s="40"/>
      <c r="Y162" s="14"/>
      <c r="AZ162" t="str">
        <f>IF($C162="","",ANAGRAFICA!$P159)</f>
        <v/>
      </c>
      <c r="BA162" t="str">
        <f>IF($C162="","",SUMIF('MOVIMENTI 2026'!$B$7:$B$4206,$C162,'MOVIMENTI 2026'!$I$7:$I$4206)+SUMIF('SALDI AL 31.12.2025'!$A$6:$A$505,$C162,'SALDI AL 31.12.2025'!$C$6:$C$505))</f>
        <v/>
      </c>
      <c r="BB162" t="str">
        <f>IF($C162="","",SUMIF('MOVIMENTI 2026'!$B$7:$B$4206,$C162,'MOVIMENTI 2026'!$J$7:$J$4206)+SUMIF('SALDI AL 31.12.2025'!$A$6:$A$505,$C162,'SALDI AL 31.12.2025'!$D$6:$D$505))</f>
        <v/>
      </c>
      <c r="BC162" t="str">
        <f>IF($C162="","",SUMIF('MOVIMENTI 2026'!$B$7:$B$4206,$C162,'MOVIMENTI 2026'!$K$7:$K$4206)+SUMIF('SALDI AL 31.12.2025'!$A$6:$A$505,$C162,'SALDI AL 31.12.2025'!$E$6:$E$505))</f>
        <v/>
      </c>
      <c r="BD162" t="str">
        <f>IF($C162="","",SUMIF('MOVIMENTI 2026'!$B$7:$B$4206,$C162,'MOVIMENTI 2026'!$L$7:$L$4206)+SUMIF('SALDI AL 31.12.2025'!$A$6:$A$505,$C162,'SALDI AL 31.12.2025'!$F$6:$F$505))</f>
        <v/>
      </c>
      <c r="BE162" t="str">
        <f t="shared" si="62"/>
        <v/>
      </c>
      <c r="BF162" t="str">
        <f t="shared" si="63"/>
        <v/>
      </c>
      <c r="BG162" t="str">
        <f t="shared" si="64"/>
        <v/>
      </c>
      <c r="BH162" t="str">
        <f>IFERROR(IF(OR($C162="",ANAGRAFICA!$I159="",ANAGRAFICA!$J159="",ANAGRAFICA!$J159&lt;=ANAGRAFICA!$I159,$Y162=""),"",IF(OR($I162="Finito ritenute non previste",$I162="Finito con sblocco ritenute",$I162="Finito senza sblocco ritenute"),1,MAX(0,MIN(1,($Y162-ANAGRAFICA!$I159)/(ANAGRAFICA!$J159-ANAGRAFICA!$I159))))),"")</f>
        <v/>
      </c>
      <c r="BI162" t="str">
        <f t="shared" si="65"/>
        <v/>
      </c>
      <c r="BJ162" t="str">
        <f>IFERROR(IF($C162="","",'BUDGET COMMESSA'!$D159),"")</f>
        <v/>
      </c>
      <c r="BK162" t="str">
        <f>IF($C162="","",SUMIF('MOVIMENTI 2026'!$B$7:$B$4206,$C162,'MOVIMENTI 2026'!$N$7:$N$4206)+SUMIF('SALDI AL 31.12.2025'!$A$6:$A$505,$C162,'SALDI AL 31.12.2025'!$H$6:$H$505))</f>
        <v/>
      </c>
      <c r="BL162" t="str">
        <f t="shared" si="66"/>
        <v/>
      </c>
      <c r="BM162" t="str">
        <f t="shared" si="67"/>
        <v/>
      </c>
      <c r="BN162" t="str">
        <f t="shared" si="68"/>
        <v/>
      </c>
      <c r="BO162" t="str">
        <f>IFERROR(IF($C162="","",'BUDGET COMMESSA'!$G159),"")</f>
        <v/>
      </c>
      <c r="BP162" t="str">
        <f>IF($C162="","",SUMIF('COSTI DIRETTI'!$C$6:$C$505,$C162,'COSTI DIRETTI'!$H$6:$H$505)+SUMIF('SALDI AL 31.12.2025'!$A$6:$A$505,$C162,'SALDI AL 31.12.2025'!$I$6:$I$505))</f>
        <v/>
      </c>
      <c r="BQ162" t="str">
        <f t="shared" si="69"/>
        <v/>
      </c>
      <c r="BR162" t="str">
        <f t="shared" si="70"/>
        <v/>
      </c>
      <c r="BS162" t="str">
        <f>IF($C162="","",$BK162*PARAMETRI!$B$4+$BP162)</f>
        <v/>
      </c>
      <c r="BT162">
        <f t="shared" si="71"/>
        <v>0</v>
      </c>
      <c r="BU162">
        <f t="shared" si="72"/>
        <v>0</v>
      </c>
      <c r="BV162" t="str">
        <f>IF($C162="","",SUMIF('MOVIMENTI 2026'!$B$7:$B$4206,$C162,'MOVIMENTI 2026'!$P$7:$P$4206)+SUMIF('SALDI AL 31.12.2025'!$A$6:$A$505,$C162,'SALDI AL 31.12.2025'!$G$6:$G$505))</f>
        <v/>
      </c>
    </row>
    <row r="163" spans="1:74" ht="16" x14ac:dyDescent="0.15">
      <c r="A163" s="17" t="str">
        <f>IFERROR(IF($C163="","",IF(OR($BF163&gt;0,$V163&gt;$J163,AND(ISNUMBER($Q163),$Q163&gt;0),AND($BI163&lt;&gt;"",$BI163&lt;-PARAMETRI!$B$6),AND($BM163&lt;&gt;"",$BM163&gt;=1),AND($BN163&lt;&gt;"",$BN163&gt;PARAMETRI!$B$8),AND(ISNUMBER($BR163),$BR163&gt;0)),"CRITICO",IF(OR($AZ163="",LEFT($C163,5)="TEMP",$BJ163="",$BO163="",ANAGRAFICA!$I160="",ANAGRAFICA!$J160="",$Y163="",AND(OR($I163="Finito ritenute non previste",$I163="Finito con sblocco ritenute",$I163="Finito senza sblocco ritenute"),ANAGRAFICA!$K160=""),OR(AND(ANAGRAFICA!$T160&lt;&gt;"",ANAGRAFICA!$J160&lt;&gt;ANAGRAFICA!$T160,OR(ANAGRAFICA!$R160="",ANAGRAFICA!$R160="Nessuna variazione")),AND(ANAGRAFICA!$J160="",ANAGRAFICA!$R160&lt;&gt;"",ANAGRAFICA!$R160&lt;&gt;"Nessuna variazione")),AND($BI163&lt;&gt;"",$BI163&lt;-PARAMETRI!$B$5),AND($BN163&lt;&gt;"",$BN163&gt;PARAMETRI!$B$7),AND($W163&gt;0,$M163&gt;$W163*PARAMETRI!$B$9),AND($O163&gt;0,OR($I163="Finito ritenute non previste",$I163="Finito con sblocco ritenute",$I163="Finito senza sblocco ritenute")),AND($BA163&gt;0,$BO163&gt;0,$BP163=0),AND(OR($I163="Finito ritenute non previste",$I163="Finito con sblocco ritenute",$I163="Finito senza sblocco ritenute"),$W163&gt;0,$N163&gt;$W163*PARAMETRI!$B$9),$V163&gt;0),"ATTENZIONE","REGOLARE"))),"ATTENZIONE")</f>
        <v/>
      </c>
      <c r="B163" s="17" t="str">
        <f>IFERROR(IF($C163="","",IF($BF163&gt;0,"FATTURATO OLTRE VALORE RECUPERABILE; ","")&amp;IF($V163&gt;$J163,"PERDITE ACCETTATE OLTRE CONTRATTO; ","")&amp;IF($V163&gt;0,"PERDITA SAL ACCETTATA (€ "&amp;TEXT($V163,"#,##0.00")&amp;"); ","")&amp;IF(AND(ISNUMBER($Q163),$Q163&gt;0),"RITARDO PRODUTTIVO ("&amp;TEXT($Q163,"0")&amp;" GG); ","")&amp;IF(AND($BI163&lt;&gt;"",$BI163&lt;-PARAMETRI!$B$5),"AVANZAMENTO PIÙ LENTO DEL TEMPO; ","")&amp;IF(AND($BM163&lt;&gt;"",$BM163&gt;1),"ORE OLTRE BUDGET; ","")&amp;IF(AND($BM163&lt;&gt;"",$BM163=1),"ORE PREVENTIVATE ESAURITE; ","")&amp;IF(AND($BN163&lt;&gt;"",$BN163&gt;PARAMETRI!$B$7),"CONSUMO ORE SUPERIORE ALL'AVANZAMENTO; ","")&amp;IF(AND(ISNUMBER($BR163),$BR163&gt;0),"COSTI DIRETTI OLTRE BUDGET; ","")&amp;IF(AND($W163&gt;0,$M163&gt;$W163*PARAMETRI!$B$9),"SAL MATURATO NON FATTURATO; ","")&amp;IF(AND($O163&gt;0,OR($I163="Finito ritenute non previste",$I163="Finito con sblocco ritenute",$I163="Finito senza sblocco ritenute")),"RITENUTE DA SBLOCCARE; ","")&amp;IF(AND($BA163&gt;0,$BO163&gt;0,$BP163=0),"COSTI DIRETTI NON REGISTRATI; ","")&amp;IF(AND(OR($I163="Finito ritenute non previste",$I163="Finito con sblocco ritenute",$I163="Finito senza sblocco ritenute"),$W163&gt;0,$N163&gt;$W163*PARAMETRI!$B$9),"CANTIERE FINITO CON RESIDUO LAVORI; ","")&amp;IF(AND(OR($I163="Finito ritenute non previste",$I163="Finito con sblocco ritenute",$I163="Finito senza sblocco ritenute"),ANAGRAFICA!$K160=""),"DATA FINE EFFETTIVA MANCANTE; ","")&amp;IF(OR(AND(ANAGRAFICA!$T160&lt;&gt;"",ANAGRAFICA!$J160&lt;&gt;ANAGRAFICA!$T160,OR(ANAGRAFICA!$R160="",ANAGRAFICA!$R160="Nessuna variazione")),AND(ANAGRAFICA!$J160="",ANAGRAFICA!$R160&lt;&gt;"",ANAGRAFICA!$R160&lt;&gt;"Nessuna variazione")),"GESTIONE DATA FINE INCOMPLETA; ","")&amp;IF($Y163="","AGGIORNATO AL MANCANTE; ","")&amp;IF(OR($AZ163="",$BJ163="",$BO163="",ANAGRAFICA!$I160="",ANAGRAFICA!$J160=""),"DATI PREVISIONALI INCOMPLETI; ","")&amp;IF(LEFT($C163,5)="TEMP","CODICE COMMESSA TEMPORANEO; ","")),"DATI INCOMPLETI; ")</f>
        <v/>
      </c>
      <c r="C163" s="17" t="str">
        <f>IF(ANAGRAFICA!$B160="","",ANAGRAFICA!$B160)</f>
        <v/>
      </c>
      <c r="D163" s="17" t="str">
        <f>IF($C163="","",ANAGRAFICA!$C160)</f>
        <v/>
      </c>
      <c r="E163" s="17" t="str">
        <f>IF($C163="","",ANAGRAFICA!$D160)</f>
        <v/>
      </c>
      <c r="F163" s="17" t="str">
        <f>IF($C163="","",ANAGRAFICA!$E160)</f>
        <v/>
      </c>
      <c r="G163" s="17" t="str">
        <f>IF($C163="","",ANAGRAFICA!$F160)</f>
        <v/>
      </c>
      <c r="H163" s="17" t="str">
        <f>IF($C163="","",ANAGRAFICA!$G160)</f>
        <v/>
      </c>
      <c r="I163" s="17" t="str">
        <f>IF($C163="","",ANAGRAFICA!$L160)</f>
        <v/>
      </c>
      <c r="J163" s="16" t="str">
        <f t="shared" si="49"/>
        <v/>
      </c>
      <c r="K163" s="16" t="str">
        <f t="shared" si="50"/>
        <v/>
      </c>
      <c r="L163" s="16" t="str">
        <f t="shared" si="51"/>
        <v/>
      </c>
      <c r="M163" s="16" t="str">
        <f t="shared" si="52"/>
        <v/>
      </c>
      <c r="N163" s="16" t="str">
        <f t="shared" si="53"/>
        <v/>
      </c>
      <c r="O163" s="16" t="str">
        <f t="shared" si="54"/>
        <v/>
      </c>
      <c r="P163" s="17" t="str">
        <f t="shared" si="55"/>
        <v/>
      </c>
      <c r="Q163" s="31" t="str">
        <f>IF(OR($C163="",'BUDGET COMMESSA'!$D160="",'BUDGET COMMESSA'!$D160&lt;=0,ANAGRAFICA!$J160=""),"",IF(OR($I163="Finito ritenute non previste",$I163="Finito con sblocco ritenute",$I163="Finito senza sblocco ritenute"),0,IF(AND($BK163&gt;=$BJ163,ANAGRAFICA!$R160="Ritardo produttivo FIDA"),IF(ANAGRAFICA!$T160&lt;&gt;"",MAX(0,ANAGRAFICA!$J160-ANAGRAFICA!$T160),MAX(0,$Y163-ANAGRAFICA!$J160)),0)))</f>
        <v/>
      </c>
      <c r="R163" s="17" t="str">
        <f t="shared" si="56"/>
        <v/>
      </c>
      <c r="S163" s="17" t="str">
        <f t="shared" si="57"/>
        <v/>
      </c>
      <c r="T163" s="17" t="str">
        <f t="shared" si="58"/>
        <v/>
      </c>
      <c r="U163" s="16" t="str">
        <f t="shared" si="59"/>
        <v/>
      </c>
      <c r="V163" s="16" t="str">
        <f t="shared" si="60"/>
        <v/>
      </c>
      <c r="W163" s="16" t="str">
        <f t="shared" si="61"/>
        <v/>
      </c>
      <c r="X163" s="40"/>
      <c r="Y163" s="14"/>
      <c r="AZ163" t="str">
        <f>IF($C163="","",ANAGRAFICA!$P160)</f>
        <v/>
      </c>
      <c r="BA163" t="str">
        <f>IF($C163="","",SUMIF('MOVIMENTI 2026'!$B$7:$B$4206,$C163,'MOVIMENTI 2026'!$I$7:$I$4206)+SUMIF('SALDI AL 31.12.2025'!$A$6:$A$505,$C163,'SALDI AL 31.12.2025'!$C$6:$C$505))</f>
        <v/>
      </c>
      <c r="BB163" t="str">
        <f>IF($C163="","",SUMIF('MOVIMENTI 2026'!$B$7:$B$4206,$C163,'MOVIMENTI 2026'!$J$7:$J$4206)+SUMIF('SALDI AL 31.12.2025'!$A$6:$A$505,$C163,'SALDI AL 31.12.2025'!$D$6:$D$505))</f>
        <v/>
      </c>
      <c r="BC163" t="str">
        <f>IF($C163="","",SUMIF('MOVIMENTI 2026'!$B$7:$B$4206,$C163,'MOVIMENTI 2026'!$K$7:$K$4206)+SUMIF('SALDI AL 31.12.2025'!$A$6:$A$505,$C163,'SALDI AL 31.12.2025'!$E$6:$E$505))</f>
        <v/>
      </c>
      <c r="BD163" t="str">
        <f>IF($C163="","",SUMIF('MOVIMENTI 2026'!$B$7:$B$4206,$C163,'MOVIMENTI 2026'!$L$7:$L$4206)+SUMIF('SALDI AL 31.12.2025'!$A$6:$A$505,$C163,'SALDI AL 31.12.2025'!$F$6:$F$505))</f>
        <v/>
      </c>
      <c r="BE163" t="str">
        <f t="shared" si="62"/>
        <v/>
      </c>
      <c r="BF163" t="str">
        <f t="shared" si="63"/>
        <v/>
      </c>
      <c r="BG163" t="str">
        <f t="shared" si="64"/>
        <v/>
      </c>
      <c r="BH163" t="str">
        <f>IFERROR(IF(OR($C163="",ANAGRAFICA!$I160="",ANAGRAFICA!$J160="",ANAGRAFICA!$J160&lt;=ANAGRAFICA!$I160,$Y163=""),"",IF(OR($I163="Finito ritenute non previste",$I163="Finito con sblocco ritenute",$I163="Finito senza sblocco ritenute"),1,MAX(0,MIN(1,($Y163-ANAGRAFICA!$I160)/(ANAGRAFICA!$J160-ANAGRAFICA!$I160))))),"")</f>
        <v/>
      </c>
      <c r="BI163" t="str">
        <f t="shared" si="65"/>
        <v/>
      </c>
      <c r="BJ163" t="str">
        <f>IFERROR(IF($C163="","",'BUDGET COMMESSA'!$D160),"")</f>
        <v/>
      </c>
      <c r="BK163" t="str">
        <f>IF($C163="","",SUMIF('MOVIMENTI 2026'!$B$7:$B$4206,$C163,'MOVIMENTI 2026'!$N$7:$N$4206)+SUMIF('SALDI AL 31.12.2025'!$A$6:$A$505,$C163,'SALDI AL 31.12.2025'!$H$6:$H$505))</f>
        <v/>
      </c>
      <c r="BL163" t="str">
        <f t="shared" si="66"/>
        <v/>
      </c>
      <c r="BM163" t="str">
        <f t="shared" si="67"/>
        <v/>
      </c>
      <c r="BN163" t="str">
        <f t="shared" si="68"/>
        <v/>
      </c>
      <c r="BO163" t="str">
        <f>IFERROR(IF($C163="","",'BUDGET COMMESSA'!$G160),"")</f>
        <v/>
      </c>
      <c r="BP163" t="str">
        <f>IF($C163="","",SUMIF('COSTI DIRETTI'!$C$6:$C$505,$C163,'COSTI DIRETTI'!$H$6:$H$505)+SUMIF('SALDI AL 31.12.2025'!$A$6:$A$505,$C163,'SALDI AL 31.12.2025'!$I$6:$I$505))</f>
        <v/>
      </c>
      <c r="BQ163" t="str">
        <f t="shared" si="69"/>
        <v/>
      </c>
      <c r="BR163" t="str">
        <f t="shared" si="70"/>
        <v/>
      </c>
      <c r="BS163" t="str">
        <f>IF($C163="","",$BK163*PARAMETRI!$B$4+$BP163)</f>
        <v/>
      </c>
      <c r="BT163">
        <f t="shared" si="71"/>
        <v>0</v>
      </c>
      <c r="BU163">
        <f t="shared" si="72"/>
        <v>0</v>
      </c>
      <c r="BV163" t="str">
        <f>IF($C163="","",SUMIF('MOVIMENTI 2026'!$B$7:$B$4206,$C163,'MOVIMENTI 2026'!$P$7:$P$4206)+SUMIF('SALDI AL 31.12.2025'!$A$6:$A$505,$C163,'SALDI AL 31.12.2025'!$G$6:$G$505))</f>
        <v/>
      </c>
    </row>
    <row r="164" spans="1:74" ht="16" x14ac:dyDescent="0.15">
      <c r="A164" s="17" t="str">
        <f>IFERROR(IF($C164="","",IF(OR($BF164&gt;0,$V164&gt;$J164,AND(ISNUMBER($Q164),$Q164&gt;0),AND($BI164&lt;&gt;"",$BI164&lt;-PARAMETRI!$B$6),AND($BM164&lt;&gt;"",$BM164&gt;=1),AND($BN164&lt;&gt;"",$BN164&gt;PARAMETRI!$B$8),AND(ISNUMBER($BR164),$BR164&gt;0)),"CRITICO",IF(OR($AZ164="",LEFT($C164,5)="TEMP",$BJ164="",$BO164="",ANAGRAFICA!$I161="",ANAGRAFICA!$J161="",$Y164="",AND(OR($I164="Finito ritenute non previste",$I164="Finito con sblocco ritenute",$I164="Finito senza sblocco ritenute"),ANAGRAFICA!$K161=""),OR(AND(ANAGRAFICA!$T161&lt;&gt;"",ANAGRAFICA!$J161&lt;&gt;ANAGRAFICA!$T161,OR(ANAGRAFICA!$R161="",ANAGRAFICA!$R161="Nessuna variazione")),AND(ANAGRAFICA!$J161="",ANAGRAFICA!$R161&lt;&gt;"",ANAGRAFICA!$R161&lt;&gt;"Nessuna variazione")),AND($BI164&lt;&gt;"",$BI164&lt;-PARAMETRI!$B$5),AND($BN164&lt;&gt;"",$BN164&gt;PARAMETRI!$B$7),AND($W164&gt;0,$M164&gt;$W164*PARAMETRI!$B$9),AND($O164&gt;0,OR($I164="Finito ritenute non previste",$I164="Finito con sblocco ritenute",$I164="Finito senza sblocco ritenute")),AND($BA164&gt;0,$BO164&gt;0,$BP164=0),AND(OR($I164="Finito ritenute non previste",$I164="Finito con sblocco ritenute",$I164="Finito senza sblocco ritenute"),$W164&gt;0,$N164&gt;$W164*PARAMETRI!$B$9),$V164&gt;0),"ATTENZIONE","REGOLARE"))),"ATTENZIONE")</f>
        <v/>
      </c>
      <c r="B164" s="17" t="str">
        <f>IFERROR(IF($C164="","",IF($BF164&gt;0,"FATTURATO OLTRE VALORE RECUPERABILE; ","")&amp;IF($V164&gt;$J164,"PERDITE ACCETTATE OLTRE CONTRATTO; ","")&amp;IF($V164&gt;0,"PERDITA SAL ACCETTATA (€ "&amp;TEXT($V164,"#,##0.00")&amp;"); ","")&amp;IF(AND(ISNUMBER($Q164),$Q164&gt;0),"RITARDO PRODUTTIVO ("&amp;TEXT($Q164,"0")&amp;" GG); ","")&amp;IF(AND($BI164&lt;&gt;"",$BI164&lt;-PARAMETRI!$B$5),"AVANZAMENTO PIÙ LENTO DEL TEMPO; ","")&amp;IF(AND($BM164&lt;&gt;"",$BM164&gt;1),"ORE OLTRE BUDGET; ","")&amp;IF(AND($BM164&lt;&gt;"",$BM164=1),"ORE PREVENTIVATE ESAURITE; ","")&amp;IF(AND($BN164&lt;&gt;"",$BN164&gt;PARAMETRI!$B$7),"CONSUMO ORE SUPERIORE ALL'AVANZAMENTO; ","")&amp;IF(AND(ISNUMBER($BR164),$BR164&gt;0),"COSTI DIRETTI OLTRE BUDGET; ","")&amp;IF(AND($W164&gt;0,$M164&gt;$W164*PARAMETRI!$B$9),"SAL MATURATO NON FATTURATO; ","")&amp;IF(AND($O164&gt;0,OR($I164="Finito ritenute non previste",$I164="Finito con sblocco ritenute",$I164="Finito senza sblocco ritenute")),"RITENUTE DA SBLOCCARE; ","")&amp;IF(AND($BA164&gt;0,$BO164&gt;0,$BP164=0),"COSTI DIRETTI NON REGISTRATI; ","")&amp;IF(AND(OR($I164="Finito ritenute non previste",$I164="Finito con sblocco ritenute",$I164="Finito senza sblocco ritenute"),$W164&gt;0,$N164&gt;$W164*PARAMETRI!$B$9),"CANTIERE FINITO CON RESIDUO LAVORI; ","")&amp;IF(AND(OR($I164="Finito ritenute non previste",$I164="Finito con sblocco ritenute",$I164="Finito senza sblocco ritenute"),ANAGRAFICA!$K161=""),"DATA FINE EFFETTIVA MANCANTE; ","")&amp;IF(OR(AND(ANAGRAFICA!$T161&lt;&gt;"",ANAGRAFICA!$J161&lt;&gt;ANAGRAFICA!$T161,OR(ANAGRAFICA!$R161="",ANAGRAFICA!$R161="Nessuna variazione")),AND(ANAGRAFICA!$J161="",ANAGRAFICA!$R161&lt;&gt;"",ANAGRAFICA!$R161&lt;&gt;"Nessuna variazione")),"GESTIONE DATA FINE INCOMPLETA; ","")&amp;IF($Y164="","AGGIORNATO AL MANCANTE; ","")&amp;IF(OR($AZ164="",$BJ164="",$BO164="",ANAGRAFICA!$I161="",ANAGRAFICA!$J161=""),"DATI PREVISIONALI INCOMPLETI; ","")&amp;IF(LEFT($C164,5)="TEMP","CODICE COMMESSA TEMPORANEO; ","")),"DATI INCOMPLETI; ")</f>
        <v/>
      </c>
      <c r="C164" s="17" t="str">
        <f>IF(ANAGRAFICA!$B161="","",ANAGRAFICA!$B161)</f>
        <v/>
      </c>
      <c r="D164" s="17" t="str">
        <f>IF($C164="","",ANAGRAFICA!$C161)</f>
        <v/>
      </c>
      <c r="E164" s="17" t="str">
        <f>IF($C164="","",ANAGRAFICA!$D161)</f>
        <v/>
      </c>
      <c r="F164" s="17" t="str">
        <f>IF($C164="","",ANAGRAFICA!$E161)</f>
        <v/>
      </c>
      <c r="G164" s="17" t="str">
        <f>IF($C164="","",ANAGRAFICA!$F161)</f>
        <v/>
      </c>
      <c r="H164" s="17" t="str">
        <f>IF($C164="","",ANAGRAFICA!$G161)</f>
        <v/>
      </c>
      <c r="I164" s="17" t="str">
        <f>IF($C164="","",ANAGRAFICA!$L161)</f>
        <v/>
      </c>
      <c r="J164" s="16" t="str">
        <f t="shared" si="49"/>
        <v/>
      </c>
      <c r="K164" s="16" t="str">
        <f t="shared" si="50"/>
        <v/>
      </c>
      <c r="L164" s="16" t="str">
        <f t="shared" si="51"/>
        <v/>
      </c>
      <c r="M164" s="16" t="str">
        <f t="shared" si="52"/>
        <v/>
      </c>
      <c r="N164" s="16" t="str">
        <f t="shared" si="53"/>
        <v/>
      </c>
      <c r="O164" s="16" t="str">
        <f t="shared" si="54"/>
        <v/>
      </c>
      <c r="P164" s="17" t="str">
        <f t="shared" si="55"/>
        <v/>
      </c>
      <c r="Q164" s="31" t="str">
        <f>IF(OR($C164="",'BUDGET COMMESSA'!$D161="",'BUDGET COMMESSA'!$D161&lt;=0,ANAGRAFICA!$J161=""),"",IF(OR($I164="Finito ritenute non previste",$I164="Finito con sblocco ritenute",$I164="Finito senza sblocco ritenute"),0,IF(AND($BK164&gt;=$BJ164,ANAGRAFICA!$R161="Ritardo produttivo FIDA"),IF(ANAGRAFICA!$T161&lt;&gt;"",MAX(0,ANAGRAFICA!$J161-ANAGRAFICA!$T161),MAX(0,$Y164-ANAGRAFICA!$J161)),0)))</f>
        <v/>
      </c>
      <c r="R164" s="17" t="str">
        <f t="shared" si="56"/>
        <v/>
      </c>
      <c r="S164" s="17" t="str">
        <f t="shared" si="57"/>
        <v/>
      </c>
      <c r="T164" s="17" t="str">
        <f t="shared" si="58"/>
        <v/>
      </c>
      <c r="U164" s="16" t="str">
        <f t="shared" si="59"/>
        <v/>
      </c>
      <c r="V164" s="16" t="str">
        <f t="shared" si="60"/>
        <v/>
      </c>
      <c r="W164" s="16" t="str">
        <f t="shared" si="61"/>
        <v/>
      </c>
      <c r="X164" s="40"/>
      <c r="Y164" s="14"/>
      <c r="AZ164" t="str">
        <f>IF($C164="","",ANAGRAFICA!$P161)</f>
        <v/>
      </c>
      <c r="BA164" t="str">
        <f>IF($C164="","",SUMIF('MOVIMENTI 2026'!$B$7:$B$4206,$C164,'MOVIMENTI 2026'!$I$7:$I$4206)+SUMIF('SALDI AL 31.12.2025'!$A$6:$A$505,$C164,'SALDI AL 31.12.2025'!$C$6:$C$505))</f>
        <v/>
      </c>
      <c r="BB164" t="str">
        <f>IF($C164="","",SUMIF('MOVIMENTI 2026'!$B$7:$B$4206,$C164,'MOVIMENTI 2026'!$J$7:$J$4206)+SUMIF('SALDI AL 31.12.2025'!$A$6:$A$505,$C164,'SALDI AL 31.12.2025'!$D$6:$D$505))</f>
        <v/>
      </c>
      <c r="BC164" t="str">
        <f>IF($C164="","",SUMIF('MOVIMENTI 2026'!$B$7:$B$4206,$C164,'MOVIMENTI 2026'!$K$7:$K$4206)+SUMIF('SALDI AL 31.12.2025'!$A$6:$A$505,$C164,'SALDI AL 31.12.2025'!$E$6:$E$505))</f>
        <v/>
      </c>
      <c r="BD164" t="str">
        <f>IF($C164="","",SUMIF('MOVIMENTI 2026'!$B$7:$B$4206,$C164,'MOVIMENTI 2026'!$L$7:$L$4206)+SUMIF('SALDI AL 31.12.2025'!$A$6:$A$505,$C164,'SALDI AL 31.12.2025'!$F$6:$F$505))</f>
        <v/>
      </c>
      <c r="BE164" t="str">
        <f t="shared" si="62"/>
        <v/>
      </c>
      <c r="BF164" t="str">
        <f t="shared" si="63"/>
        <v/>
      </c>
      <c r="BG164" t="str">
        <f t="shared" si="64"/>
        <v/>
      </c>
      <c r="BH164" t="str">
        <f>IFERROR(IF(OR($C164="",ANAGRAFICA!$I161="",ANAGRAFICA!$J161="",ANAGRAFICA!$J161&lt;=ANAGRAFICA!$I161,$Y164=""),"",IF(OR($I164="Finito ritenute non previste",$I164="Finito con sblocco ritenute",$I164="Finito senza sblocco ritenute"),1,MAX(0,MIN(1,($Y164-ANAGRAFICA!$I161)/(ANAGRAFICA!$J161-ANAGRAFICA!$I161))))),"")</f>
        <v/>
      </c>
      <c r="BI164" t="str">
        <f t="shared" si="65"/>
        <v/>
      </c>
      <c r="BJ164" t="str">
        <f>IFERROR(IF($C164="","",'BUDGET COMMESSA'!$D161),"")</f>
        <v/>
      </c>
      <c r="BK164" t="str">
        <f>IF($C164="","",SUMIF('MOVIMENTI 2026'!$B$7:$B$4206,$C164,'MOVIMENTI 2026'!$N$7:$N$4206)+SUMIF('SALDI AL 31.12.2025'!$A$6:$A$505,$C164,'SALDI AL 31.12.2025'!$H$6:$H$505))</f>
        <v/>
      </c>
      <c r="BL164" t="str">
        <f t="shared" si="66"/>
        <v/>
      </c>
      <c r="BM164" t="str">
        <f t="shared" si="67"/>
        <v/>
      </c>
      <c r="BN164" t="str">
        <f t="shared" si="68"/>
        <v/>
      </c>
      <c r="BO164" t="str">
        <f>IFERROR(IF($C164="","",'BUDGET COMMESSA'!$G161),"")</f>
        <v/>
      </c>
      <c r="BP164" t="str">
        <f>IF($C164="","",SUMIF('COSTI DIRETTI'!$C$6:$C$505,$C164,'COSTI DIRETTI'!$H$6:$H$505)+SUMIF('SALDI AL 31.12.2025'!$A$6:$A$505,$C164,'SALDI AL 31.12.2025'!$I$6:$I$505))</f>
        <v/>
      </c>
      <c r="BQ164" t="str">
        <f t="shared" si="69"/>
        <v/>
      </c>
      <c r="BR164" t="str">
        <f t="shared" si="70"/>
        <v/>
      </c>
      <c r="BS164" t="str">
        <f>IF($C164="","",$BK164*PARAMETRI!$B$4+$BP164)</f>
        <v/>
      </c>
      <c r="BT164">
        <f t="shared" si="71"/>
        <v>0</v>
      </c>
      <c r="BU164">
        <f t="shared" si="72"/>
        <v>0</v>
      </c>
      <c r="BV164" t="str">
        <f>IF($C164="","",SUMIF('MOVIMENTI 2026'!$B$7:$B$4206,$C164,'MOVIMENTI 2026'!$P$7:$P$4206)+SUMIF('SALDI AL 31.12.2025'!$A$6:$A$505,$C164,'SALDI AL 31.12.2025'!$G$6:$G$505))</f>
        <v/>
      </c>
    </row>
    <row r="165" spans="1:74" ht="16" x14ac:dyDescent="0.15">
      <c r="A165" s="17" t="str">
        <f>IFERROR(IF($C165="","",IF(OR($BF165&gt;0,$V165&gt;$J165,AND(ISNUMBER($Q165),$Q165&gt;0),AND($BI165&lt;&gt;"",$BI165&lt;-PARAMETRI!$B$6),AND($BM165&lt;&gt;"",$BM165&gt;=1),AND($BN165&lt;&gt;"",$BN165&gt;PARAMETRI!$B$8),AND(ISNUMBER($BR165),$BR165&gt;0)),"CRITICO",IF(OR($AZ165="",LEFT($C165,5)="TEMP",$BJ165="",$BO165="",ANAGRAFICA!$I162="",ANAGRAFICA!$J162="",$Y165="",AND(OR($I165="Finito ritenute non previste",$I165="Finito con sblocco ritenute",$I165="Finito senza sblocco ritenute"),ANAGRAFICA!$K162=""),OR(AND(ANAGRAFICA!$T162&lt;&gt;"",ANAGRAFICA!$J162&lt;&gt;ANAGRAFICA!$T162,OR(ANAGRAFICA!$R162="",ANAGRAFICA!$R162="Nessuna variazione")),AND(ANAGRAFICA!$J162="",ANAGRAFICA!$R162&lt;&gt;"",ANAGRAFICA!$R162&lt;&gt;"Nessuna variazione")),AND($BI165&lt;&gt;"",$BI165&lt;-PARAMETRI!$B$5),AND($BN165&lt;&gt;"",$BN165&gt;PARAMETRI!$B$7),AND($W165&gt;0,$M165&gt;$W165*PARAMETRI!$B$9),AND($O165&gt;0,OR($I165="Finito ritenute non previste",$I165="Finito con sblocco ritenute",$I165="Finito senza sblocco ritenute")),AND($BA165&gt;0,$BO165&gt;0,$BP165=0),AND(OR($I165="Finito ritenute non previste",$I165="Finito con sblocco ritenute",$I165="Finito senza sblocco ritenute"),$W165&gt;0,$N165&gt;$W165*PARAMETRI!$B$9),$V165&gt;0),"ATTENZIONE","REGOLARE"))),"ATTENZIONE")</f>
        <v/>
      </c>
      <c r="B165" s="17" t="str">
        <f>IFERROR(IF($C165="","",IF($BF165&gt;0,"FATTURATO OLTRE VALORE RECUPERABILE; ","")&amp;IF($V165&gt;$J165,"PERDITE ACCETTATE OLTRE CONTRATTO; ","")&amp;IF($V165&gt;0,"PERDITA SAL ACCETTATA (€ "&amp;TEXT($V165,"#,##0.00")&amp;"); ","")&amp;IF(AND(ISNUMBER($Q165),$Q165&gt;0),"RITARDO PRODUTTIVO ("&amp;TEXT($Q165,"0")&amp;" GG); ","")&amp;IF(AND($BI165&lt;&gt;"",$BI165&lt;-PARAMETRI!$B$5),"AVANZAMENTO PIÙ LENTO DEL TEMPO; ","")&amp;IF(AND($BM165&lt;&gt;"",$BM165&gt;1),"ORE OLTRE BUDGET; ","")&amp;IF(AND($BM165&lt;&gt;"",$BM165=1),"ORE PREVENTIVATE ESAURITE; ","")&amp;IF(AND($BN165&lt;&gt;"",$BN165&gt;PARAMETRI!$B$7),"CONSUMO ORE SUPERIORE ALL'AVANZAMENTO; ","")&amp;IF(AND(ISNUMBER($BR165),$BR165&gt;0),"COSTI DIRETTI OLTRE BUDGET; ","")&amp;IF(AND($W165&gt;0,$M165&gt;$W165*PARAMETRI!$B$9),"SAL MATURATO NON FATTURATO; ","")&amp;IF(AND($O165&gt;0,OR($I165="Finito ritenute non previste",$I165="Finito con sblocco ritenute",$I165="Finito senza sblocco ritenute")),"RITENUTE DA SBLOCCARE; ","")&amp;IF(AND($BA165&gt;0,$BO165&gt;0,$BP165=0),"COSTI DIRETTI NON REGISTRATI; ","")&amp;IF(AND(OR($I165="Finito ritenute non previste",$I165="Finito con sblocco ritenute",$I165="Finito senza sblocco ritenute"),$W165&gt;0,$N165&gt;$W165*PARAMETRI!$B$9),"CANTIERE FINITO CON RESIDUO LAVORI; ","")&amp;IF(AND(OR($I165="Finito ritenute non previste",$I165="Finito con sblocco ritenute",$I165="Finito senza sblocco ritenute"),ANAGRAFICA!$K162=""),"DATA FINE EFFETTIVA MANCANTE; ","")&amp;IF(OR(AND(ANAGRAFICA!$T162&lt;&gt;"",ANAGRAFICA!$J162&lt;&gt;ANAGRAFICA!$T162,OR(ANAGRAFICA!$R162="",ANAGRAFICA!$R162="Nessuna variazione")),AND(ANAGRAFICA!$J162="",ANAGRAFICA!$R162&lt;&gt;"",ANAGRAFICA!$R162&lt;&gt;"Nessuna variazione")),"GESTIONE DATA FINE INCOMPLETA; ","")&amp;IF($Y165="","AGGIORNATO AL MANCANTE; ","")&amp;IF(OR($AZ165="",$BJ165="",$BO165="",ANAGRAFICA!$I162="",ANAGRAFICA!$J162=""),"DATI PREVISIONALI INCOMPLETI; ","")&amp;IF(LEFT($C165,5)="TEMP","CODICE COMMESSA TEMPORANEO; ","")),"DATI INCOMPLETI; ")</f>
        <v/>
      </c>
      <c r="C165" s="17" t="str">
        <f>IF(ANAGRAFICA!$B162="","",ANAGRAFICA!$B162)</f>
        <v/>
      </c>
      <c r="D165" s="17" t="str">
        <f>IF($C165="","",ANAGRAFICA!$C162)</f>
        <v/>
      </c>
      <c r="E165" s="17" t="str">
        <f>IF($C165="","",ANAGRAFICA!$D162)</f>
        <v/>
      </c>
      <c r="F165" s="17" t="str">
        <f>IF($C165="","",ANAGRAFICA!$E162)</f>
        <v/>
      </c>
      <c r="G165" s="17" t="str">
        <f>IF($C165="","",ANAGRAFICA!$F162)</f>
        <v/>
      </c>
      <c r="H165" s="17" t="str">
        <f>IF($C165="","",ANAGRAFICA!$G162)</f>
        <v/>
      </c>
      <c r="I165" s="17" t="str">
        <f>IF($C165="","",ANAGRAFICA!$L162)</f>
        <v/>
      </c>
      <c r="J165" s="16" t="str">
        <f t="shared" si="49"/>
        <v/>
      </c>
      <c r="K165" s="16" t="str">
        <f t="shared" si="50"/>
        <v/>
      </c>
      <c r="L165" s="16" t="str">
        <f t="shared" si="51"/>
        <v/>
      </c>
      <c r="M165" s="16" t="str">
        <f t="shared" si="52"/>
        <v/>
      </c>
      <c r="N165" s="16" t="str">
        <f t="shared" si="53"/>
        <v/>
      </c>
      <c r="O165" s="16" t="str">
        <f t="shared" si="54"/>
        <v/>
      </c>
      <c r="P165" s="17" t="str">
        <f t="shared" si="55"/>
        <v/>
      </c>
      <c r="Q165" s="31" t="str">
        <f>IF(OR($C165="",'BUDGET COMMESSA'!$D162="",'BUDGET COMMESSA'!$D162&lt;=0,ANAGRAFICA!$J162=""),"",IF(OR($I165="Finito ritenute non previste",$I165="Finito con sblocco ritenute",$I165="Finito senza sblocco ritenute"),0,IF(AND($BK165&gt;=$BJ165,ANAGRAFICA!$R162="Ritardo produttivo FIDA"),IF(ANAGRAFICA!$T162&lt;&gt;"",MAX(0,ANAGRAFICA!$J162-ANAGRAFICA!$T162),MAX(0,$Y165-ANAGRAFICA!$J162)),0)))</f>
        <v/>
      </c>
      <c r="R165" s="17" t="str">
        <f t="shared" si="56"/>
        <v/>
      </c>
      <c r="S165" s="17" t="str">
        <f t="shared" si="57"/>
        <v/>
      </c>
      <c r="T165" s="17" t="str">
        <f t="shared" si="58"/>
        <v/>
      </c>
      <c r="U165" s="16" t="str">
        <f t="shared" si="59"/>
        <v/>
      </c>
      <c r="V165" s="16" t="str">
        <f t="shared" si="60"/>
        <v/>
      </c>
      <c r="W165" s="16" t="str">
        <f t="shared" si="61"/>
        <v/>
      </c>
      <c r="X165" s="40"/>
      <c r="Y165" s="14"/>
      <c r="AZ165" t="str">
        <f>IF($C165="","",ANAGRAFICA!$P162)</f>
        <v/>
      </c>
      <c r="BA165" t="str">
        <f>IF($C165="","",SUMIF('MOVIMENTI 2026'!$B$7:$B$4206,$C165,'MOVIMENTI 2026'!$I$7:$I$4206)+SUMIF('SALDI AL 31.12.2025'!$A$6:$A$505,$C165,'SALDI AL 31.12.2025'!$C$6:$C$505))</f>
        <v/>
      </c>
      <c r="BB165" t="str">
        <f>IF($C165="","",SUMIF('MOVIMENTI 2026'!$B$7:$B$4206,$C165,'MOVIMENTI 2026'!$J$7:$J$4206)+SUMIF('SALDI AL 31.12.2025'!$A$6:$A$505,$C165,'SALDI AL 31.12.2025'!$D$6:$D$505))</f>
        <v/>
      </c>
      <c r="BC165" t="str">
        <f>IF($C165="","",SUMIF('MOVIMENTI 2026'!$B$7:$B$4206,$C165,'MOVIMENTI 2026'!$K$7:$K$4206)+SUMIF('SALDI AL 31.12.2025'!$A$6:$A$505,$C165,'SALDI AL 31.12.2025'!$E$6:$E$505))</f>
        <v/>
      </c>
      <c r="BD165" t="str">
        <f>IF($C165="","",SUMIF('MOVIMENTI 2026'!$B$7:$B$4206,$C165,'MOVIMENTI 2026'!$L$7:$L$4206)+SUMIF('SALDI AL 31.12.2025'!$A$6:$A$505,$C165,'SALDI AL 31.12.2025'!$F$6:$F$505))</f>
        <v/>
      </c>
      <c r="BE165" t="str">
        <f t="shared" si="62"/>
        <v/>
      </c>
      <c r="BF165" t="str">
        <f t="shared" si="63"/>
        <v/>
      </c>
      <c r="BG165" t="str">
        <f t="shared" si="64"/>
        <v/>
      </c>
      <c r="BH165" t="str">
        <f>IFERROR(IF(OR($C165="",ANAGRAFICA!$I162="",ANAGRAFICA!$J162="",ANAGRAFICA!$J162&lt;=ANAGRAFICA!$I162,$Y165=""),"",IF(OR($I165="Finito ritenute non previste",$I165="Finito con sblocco ritenute",$I165="Finito senza sblocco ritenute"),1,MAX(0,MIN(1,($Y165-ANAGRAFICA!$I162)/(ANAGRAFICA!$J162-ANAGRAFICA!$I162))))),"")</f>
        <v/>
      </c>
      <c r="BI165" t="str">
        <f t="shared" si="65"/>
        <v/>
      </c>
      <c r="BJ165" t="str">
        <f>IFERROR(IF($C165="","",'BUDGET COMMESSA'!$D162),"")</f>
        <v/>
      </c>
      <c r="BK165" t="str">
        <f>IF($C165="","",SUMIF('MOVIMENTI 2026'!$B$7:$B$4206,$C165,'MOVIMENTI 2026'!$N$7:$N$4206)+SUMIF('SALDI AL 31.12.2025'!$A$6:$A$505,$C165,'SALDI AL 31.12.2025'!$H$6:$H$505))</f>
        <v/>
      </c>
      <c r="BL165" t="str">
        <f t="shared" si="66"/>
        <v/>
      </c>
      <c r="BM165" t="str">
        <f t="shared" si="67"/>
        <v/>
      </c>
      <c r="BN165" t="str">
        <f t="shared" si="68"/>
        <v/>
      </c>
      <c r="BO165" t="str">
        <f>IFERROR(IF($C165="","",'BUDGET COMMESSA'!$G162),"")</f>
        <v/>
      </c>
      <c r="BP165" t="str">
        <f>IF($C165="","",SUMIF('COSTI DIRETTI'!$C$6:$C$505,$C165,'COSTI DIRETTI'!$H$6:$H$505)+SUMIF('SALDI AL 31.12.2025'!$A$6:$A$505,$C165,'SALDI AL 31.12.2025'!$I$6:$I$505))</f>
        <v/>
      </c>
      <c r="BQ165" t="str">
        <f t="shared" si="69"/>
        <v/>
      </c>
      <c r="BR165" t="str">
        <f t="shared" si="70"/>
        <v/>
      </c>
      <c r="BS165" t="str">
        <f>IF($C165="","",$BK165*PARAMETRI!$B$4+$BP165)</f>
        <v/>
      </c>
      <c r="BT165">
        <f t="shared" si="71"/>
        <v>0</v>
      </c>
      <c r="BU165">
        <f t="shared" si="72"/>
        <v>0</v>
      </c>
      <c r="BV165" t="str">
        <f>IF($C165="","",SUMIF('MOVIMENTI 2026'!$B$7:$B$4206,$C165,'MOVIMENTI 2026'!$P$7:$P$4206)+SUMIF('SALDI AL 31.12.2025'!$A$6:$A$505,$C165,'SALDI AL 31.12.2025'!$G$6:$G$505))</f>
        <v/>
      </c>
    </row>
    <row r="166" spans="1:74" ht="16" x14ac:dyDescent="0.15">
      <c r="A166" s="17" t="str">
        <f>IFERROR(IF($C166="","",IF(OR($BF166&gt;0,$V166&gt;$J166,AND(ISNUMBER($Q166),$Q166&gt;0),AND($BI166&lt;&gt;"",$BI166&lt;-PARAMETRI!$B$6),AND($BM166&lt;&gt;"",$BM166&gt;=1),AND($BN166&lt;&gt;"",$BN166&gt;PARAMETRI!$B$8),AND(ISNUMBER($BR166),$BR166&gt;0)),"CRITICO",IF(OR($AZ166="",LEFT($C166,5)="TEMP",$BJ166="",$BO166="",ANAGRAFICA!$I163="",ANAGRAFICA!$J163="",$Y166="",AND(OR($I166="Finito ritenute non previste",$I166="Finito con sblocco ritenute",$I166="Finito senza sblocco ritenute"),ANAGRAFICA!$K163=""),OR(AND(ANAGRAFICA!$T163&lt;&gt;"",ANAGRAFICA!$J163&lt;&gt;ANAGRAFICA!$T163,OR(ANAGRAFICA!$R163="",ANAGRAFICA!$R163="Nessuna variazione")),AND(ANAGRAFICA!$J163="",ANAGRAFICA!$R163&lt;&gt;"",ANAGRAFICA!$R163&lt;&gt;"Nessuna variazione")),AND($BI166&lt;&gt;"",$BI166&lt;-PARAMETRI!$B$5),AND($BN166&lt;&gt;"",$BN166&gt;PARAMETRI!$B$7),AND($W166&gt;0,$M166&gt;$W166*PARAMETRI!$B$9),AND($O166&gt;0,OR($I166="Finito ritenute non previste",$I166="Finito con sblocco ritenute",$I166="Finito senza sblocco ritenute")),AND($BA166&gt;0,$BO166&gt;0,$BP166=0),AND(OR($I166="Finito ritenute non previste",$I166="Finito con sblocco ritenute",$I166="Finito senza sblocco ritenute"),$W166&gt;0,$N166&gt;$W166*PARAMETRI!$B$9),$V166&gt;0),"ATTENZIONE","REGOLARE"))),"ATTENZIONE")</f>
        <v/>
      </c>
      <c r="B166" s="17" t="str">
        <f>IFERROR(IF($C166="","",IF($BF166&gt;0,"FATTURATO OLTRE VALORE RECUPERABILE; ","")&amp;IF($V166&gt;$J166,"PERDITE ACCETTATE OLTRE CONTRATTO; ","")&amp;IF($V166&gt;0,"PERDITA SAL ACCETTATA (€ "&amp;TEXT($V166,"#,##0.00")&amp;"); ","")&amp;IF(AND(ISNUMBER($Q166),$Q166&gt;0),"RITARDO PRODUTTIVO ("&amp;TEXT($Q166,"0")&amp;" GG); ","")&amp;IF(AND($BI166&lt;&gt;"",$BI166&lt;-PARAMETRI!$B$5),"AVANZAMENTO PIÙ LENTO DEL TEMPO; ","")&amp;IF(AND($BM166&lt;&gt;"",$BM166&gt;1),"ORE OLTRE BUDGET; ","")&amp;IF(AND($BM166&lt;&gt;"",$BM166=1),"ORE PREVENTIVATE ESAURITE; ","")&amp;IF(AND($BN166&lt;&gt;"",$BN166&gt;PARAMETRI!$B$7),"CONSUMO ORE SUPERIORE ALL'AVANZAMENTO; ","")&amp;IF(AND(ISNUMBER($BR166),$BR166&gt;0),"COSTI DIRETTI OLTRE BUDGET; ","")&amp;IF(AND($W166&gt;0,$M166&gt;$W166*PARAMETRI!$B$9),"SAL MATURATO NON FATTURATO; ","")&amp;IF(AND($O166&gt;0,OR($I166="Finito ritenute non previste",$I166="Finito con sblocco ritenute",$I166="Finito senza sblocco ritenute")),"RITENUTE DA SBLOCCARE; ","")&amp;IF(AND($BA166&gt;0,$BO166&gt;0,$BP166=0),"COSTI DIRETTI NON REGISTRATI; ","")&amp;IF(AND(OR($I166="Finito ritenute non previste",$I166="Finito con sblocco ritenute",$I166="Finito senza sblocco ritenute"),$W166&gt;0,$N166&gt;$W166*PARAMETRI!$B$9),"CANTIERE FINITO CON RESIDUO LAVORI; ","")&amp;IF(AND(OR($I166="Finito ritenute non previste",$I166="Finito con sblocco ritenute",$I166="Finito senza sblocco ritenute"),ANAGRAFICA!$K163=""),"DATA FINE EFFETTIVA MANCANTE; ","")&amp;IF(OR(AND(ANAGRAFICA!$T163&lt;&gt;"",ANAGRAFICA!$J163&lt;&gt;ANAGRAFICA!$T163,OR(ANAGRAFICA!$R163="",ANAGRAFICA!$R163="Nessuna variazione")),AND(ANAGRAFICA!$J163="",ANAGRAFICA!$R163&lt;&gt;"",ANAGRAFICA!$R163&lt;&gt;"Nessuna variazione")),"GESTIONE DATA FINE INCOMPLETA; ","")&amp;IF($Y166="","AGGIORNATO AL MANCANTE; ","")&amp;IF(OR($AZ166="",$BJ166="",$BO166="",ANAGRAFICA!$I163="",ANAGRAFICA!$J163=""),"DATI PREVISIONALI INCOMPLETI; ","")&amp;IF(LEFT($C166,5)="TEMP","CODICE COMMESSA TEMPORANEO; ","")),"DATI INCOMPLETI; ")</f>
        <v/>
      </c>
      <c r="C166" s="17" t="str">
        <f>IF(ANAGRAFICA!$B163="","",ANAGRAFICA!$B163)</f>
        <v/>
      </c>
      <c r="D166" s="17" t="str">
        <f>IF($C166="","",ANAGRAFICA!$C163)</f>
        <v/>
      </c>
      <c r="E166" s="17" t="str">
        <f>IF($C166="","",ANAGRAFICA!$D163)</f>
        <v/>
      </c>
      <c r="F166" s="17" t="str">
        <f>IF($C166="","",ANAGRAFICA!$E163)</f>
        <v/>
      </c>
      <c r="G166" s="17" t="str">
        <f>IF($C166="","",ANAGRAFICA!$F163)</f>
        <v/>
      </c>
      <c r="H166" s="17" t="str">
        <f>IF($C166="","",ANAGRAFICA!$G163)</f>
        <v/>
      </c>
      <c r="I166" s="17" t="str">
        <f>IF($C166="","",ANAGRAFICA!$L163)</f>
        <v/>
      </c>
      <c r="J166" s="16" t="str">
        <f t="shared" si="49"/>
        <v/>
      </c>
      <c r="K166" s="16" t="str">
        <f t="shared" si="50"/>
        <v/>
      </c>
      <c r="L166" s="16" t="str">
        <f t="shared" si="51"/>
        <v/>
      </c>
      <c r="M166" s="16" t="str">
        <f t="shared" si="52"/>
        <v/>
      </c>
      <c r="N166" s="16" t="str">
        <f t="shared" si="53"/>
        <v/>
      </c>
      <c r="O166" s="16" t="str">
        <f t="shared" si="54"/>
        <v/>
      </c>
      <c r="P166" s="17" t="str">
        <f t="shared" si="55"/>
        <v/>
      </c>
      <c r="Q166" s="31" t="str">
        <f>IF(OR($C166="",'BUDGET COMMESSA'!$D163="",'BUDGET COMMESSA'!$D163&lt;=0,ANAGRAFICA!$J163=""),"",IF(OR($I166="Finito ritenute non previste",$I166="Finito con sblocco ritenute",$I166="Finito senza sblocco ritenute"),0,IF(AND($BK166&gt;=$BJ166,ANAGRAFICA!$R163="Ritardo produttivo FIDA"),IF(ANAGRAFICA!$T163&lt;&gt;"",MAX(0,ANAGRAFICA!$J163-ANAGRAFICA!$T163),MAX(0,$Y166-ANAGRAFICA!$J163)),0)))</f>
        <v/>
      </c>
      <c r="R166" s="17" t="str">
        <f t="shared" si="56"/>
        <v/>
      </c>
      <c r="S166" s="17" t="str">
        <f t="shared" si="57"/>
        <v/>
      </c>
      <c r="T166" s="17" t="str">
        <f t="shared" si="58"/>
        <v/>
      </c>
      <c r="U166" s="16" t="str">
        <f t="shared" si="59"/>
        <v/>
      </c>
      <c r="V166" s="16" t="str">
        <f t="shared" si="60"/>
        <v/>
      </c>
      <c r="W166" s="16" t="str">
        <f t="shared" si="61"/>
        <v/>
      </c>
      <c r="X166" s="40"/>
      <c r="Y166" s="14"/>
      <c r="AZ166" t="str">
        <f>IF($C166="","",ANAGRAFICA!$P163)</f>
        <v/>
      </c>
      <c r="BA166" t="str">
        <f>IF($C166="","",SUMIF('MOVIMENTI 2026'!$B$7:$B$4206,$C166,'MOVIMENTI 2026'!$I$7:$I$4206)+SUMIF('SALDI AL 31.12.2025'!$A$6:$A$505,$C166,'SALDI AL 31.12.2025'!$C$6:$C$505))</f>
        <v/>
      </c>
      <c r="BB166" t="str">
        <f>IF($C166="","",SUMIF('MOVIMENTI 2026'!$B$7:$B$4206,$C166,'MOVIMENTI 2026'!$J$7:$J$4206)+SUMIF('SALDI AL 31.12.2025'!$A$6:$A$505,$C166,'SALDI AL 31.12.2025'!$D$6:$D$505))</f>
        <v/>
      </c>
      <c r="BC166" t="str">
        <f>IF($C166="","",SUMIF('MOVIMENTI 2026'!$B$7:$B$4206,$C166,'MOVIMENTI 2026'!$K$7:$K$4206)+SUMIF('SALDI AL 31.12.2025'!$A$6:$A$505,$C166,'SALDI AL 31.12.2025'!$E$6:$E$505))</f>
        <v/>
      </c>
      <c r="BD166" t="str">
        <f>IF($C166="","",SUMIF('MOVIMENTI 2026'!$B$7:$B$4206,$C166,'MOVIMENTI 2026'!$L$7:$L$4206)+SUMIF('SALDI AL 31.12.2025'!$A$6:$A$505,$C166,'SALDI AL 31.12.2025'!$F$6:$F$505))</f>
        <v/>
      </c>
      <c r="BE166" t="str">
        <f t="shared" si="62"/>
        <v/>
      </c>
      <c r="BF166" t="str">
        <f t="shared" si="63"/>
        <v/>
      </c>
      <c r="BG166" t="str">
        <f t="shared" si="64"/>
        <v/>
      </c>
      <c r="BH166" t="str">
        <f>IFERROR(IF(OR($C166="",ANAGRAFICA!$I163="",ANAGRAFICA!$J163="",ANAGRAFICA!$J163&lt;=ANAGRAFICA!$I163,$Y166=""),"",IF(OR($I166="Finito ritenute non previste",$I166="Finito con sblocco ritenute",$I166="Finito senza sblocco ritenute"),1,MAX(0,MIN(1,($Y166-ANAGRAFICA!$I163)/(ANAGRAFICA!$J163-ANAGRAFICA!$I163))))),"")</f>
        <v/>
      </c>
      <c r="BI166" t="str">
        <f t="shared" si="65"/>
        <v/>
      </c>
      <c r="BJ166" t="str">
        <f>IFERROR(IF($C166="","",'BUDGET COMMESSA'!$D163),"")</f>
        <v/>
      </c>
      <c r="BK166" t="str">
        <f>IF($C166="","",SUMIF('MOVIMENTI 2026'!$B$7:$B$4206,$C166,'MOVIMENTI 2026'!$N$7:$N$4206)+SUMIF('SALDI AL 31.12.2025'!$A$6:$A$505,$C166,'SALDI AL 31.12.2025'!$H$6:$H$505))</f>
        <v/>
      </c>
      <c r="BL166" t="str">
        <f t="shared" si="66"/>
        <v/>
      </c>
      <c r="BM166" t="str">
        <f t="shared" si="67"/>
        <v/>
      </c>
      <c r="BN166" t="str">
        <f t="shared" si="68"/>
        <v/>
      </c>
      <c r="BO166" t="str">
        <f>IFERROR(IF($C166="","",'BUDGET COMMESSA'!$G163),"")</f>
        <v/>
      </c>
      <c r="BP166" t="str">
        <f>IF($C166="","",SUMIF('COSTI DIRETTI'!$C$6:$C$505,$C166,'COSTI DIRETTI'!$H$6:$H$505)+SUMIF('SALDI AL 31.12.2025'!$A$6:$A$505,$C166,'SALDI AL 31.12.2025'!$I$6:$I$505))</f>
        <v/>
      </c>
      <c r="BQ166" t="str">
        <f t="shared" si="69"/>
        <v/>
      </c>
      <c r="BR166" t="str">
        <f t="shared" si="70"/>
        <v/>
      </c>
      <c r="BS166" t="str">
        <f>IF($C166="","",$BK166*PARAMETRI!$B$4+$BP166)</f>
        <v/>
      </c>
      <c r="BT166">
        <f t="shared" si="71"/>
        <v>0</v>
      </c>
      <c r="BU166">
        <f t="shared" si="72"/>
        <v>0</v>
      </c>
      <c r="BV166" t="str">
        <f>IF($C166="","",SUMIF('MOVIMENTI 2026'!$B$7:$B$4206,$C166,'MOVIMENTI 2026'!$P$7:$P$4206)+SUMIF('SALDI AL 31.12.2025'!$A$6:$A$505,$C166,'SALDI AL 31.12.2025'!$G$6:$G$505))</f>
        <v/>
      </c>
    </row>
    <row r="167" spans="1:74" ht="16" x14ac:dyDescent="0.15">
      <c r="A167" s="17" t="str">
        <f>IFERROR(IF($C167="","",IF(OR($BF167&gt;0,$V167&gt;$J167,AND(ISNUMBER($Q167),$Q167&gt;0),AND($BI167&lt;&gt;"",$BI167&lt;-PARAMETRI!$B$6),AND($BM167&lt;&gt;"",$BM167&gt;=1),AND($BN167&lt;&gt;"",$BN167&gt;PARAMETRI!$B$8),AND(ISNUMBER($BR167),$BR167&gt;0)),"CRITICO",IF(OR($AZ167="",LEFT($C167,5)="TEMP",$BJ167="",$BO167="",ANAGRAFICA!$I164="",ANAGRAFICA!$J164="",$Y167="",AND(OR($I167="Finito ritenute non previste",$I167="Finito con sblocco ritenute",$I167="Finito senza sblocco ritenute"),ANAGRAFICA!$K164=""),OR(AND(ANAGRAFICA!$T164&lt;&gt;"",ANAGRAFICA!$J164&lt;&gt;ANAGRAFICA!$T164,OR(ANAGRAFICA!$R164="",ANAGRAFICA!$R164="Nessuna variazione")),AND(ANAGRAFICA!$J164="",ANAGRAFICA!$R164&lt;&gt;"",ANAGRAFICA!$R164&lt;&gt;"Nessuna variazione")),AND($BI167&lt;&gt;"",$BI167&lt;-PARAMETRI!$B$5),AND($BN167&lt;&gt;"",$BN167&gt;PARAMETRI!$B$7),AND($W167&gt;0,$M167&gt;$W167*PARAMETRI!$B$9),AND($O167&gt;0,OR($I167="Finito ritenute non previste",$I167="Finito con sblocco ritenute",$I167="Finito senza sblocco ritenute")),AND($BA167&gt;0,$BO167&gt;0,$BP167=0),AND(OR($I167="Finito ritenute non previste",$I167="Finito con sblocco ritenute",$I167="Finito senza sblocco ritenute"),$W167&gt;0,$N167&gt;$W167*PARAMETRI!$B$9),$V167&gt;0),"ATTENZIONE","REGOLARE"))),"ATTENZIONE")</f>
        <v/>
      </c>
      <c r="B167" s="17" t="str">
        <f>IFERROR(IF($C167="","",IF($BF167&gt;0,"FATTURATO OLTRE VALORE RECUPERABILE; ","")&amp;IF($V167&gt;$J167,"PERDITE ACCETTATE OLTRE CONTRATTO; ","")&amp;IF($V167&gt;0,"PERDITA SAL ACCETTATA (€ "&amp;TEXT($V167,"#,##0.00")&amp;"); ","")&amp;IF(AND(ISNUMBER($Q167),$Q167&gt;0),"RITARDO PRODUTTIVO ("&amp;TEXT($Q167,"0")&amp;" GG); ","")&amp;IF(AND($BI167&lt;&gt;"",$BI167&lt;-PARAMETRI!$B$5),"AVANZAMENTO PIÙ LENTO DEL TEMPO; ","")&amp;IF(AND($BM167&lt;&gt;"",$BM167&gt;1),"ORE OLTRE BUDGET; ","")&amp;IF(AND($BM167&lt;&gt;"",$BM167=1),"ORE PREVENTIVATE ESAURITE; ","")&amp;IF(AND($BN167&lt;&gt;"",$BN167&gt;PARAMETRI!$B$7),"CONSUMO ORE SUPERIORE ALL'AVANZAMENTO; ","")&amp;IF(AND(ISNUMBER($BR167),$BR167&gt;0),"COSTI DIRETTI OLTRE BUDGET; ","")&amp;IF(AND($W167&gt;0,$M167&gt;$W167*PARAMETRI!$B$9),"SAL MATURATO NON FATTURATO; ","")&amp;IF(AND($O167&gt;0,OR($I167="Finito ritenute non previste",$I167="Finito con sblocco ritenute",$I167="Finito senza sblocco ritenute")),"RITENUTE DA SBLOCCARE; ","")&amp;IF(AND($BA167&gt;0,$BO167&gt;0,$BP167=0),"COSTI DIRETTI NON REGISTRATI; ","")&amp;IF(AND(OR($I167="Finito ritenute non previste",$I167="Finito con sblocco ritenute",$I167="Finito senza sblocco ritenute"),$W167&gt;0,$N167&gt;$W167*PARAMETRI!$B$9),"CANTIERE FINITO CON RESIDUO LAVORI; ","")&amp;IF(AND(OR($I167="Finito ritenute non previste",$I167="Finito con sblocco ritenute",$I167="Finito senza sblocco ritenute"),ANAGRAFICA!$K164=""),"DATA FINE EFFETTIVA MANCANTE; ","")&amp;IF(OR(AND(ANAGRAFICA!$T164&lt;&gt;"",ANAGRAFICA!$J164&lt;&gt;ANAGRAFICA!$T164,OR(ANAGRAFICA!$R164="",ANAGRAFICA!$R164="Nessuna variazione")),AND(ANAGRAFICA!$J164="",ANAGRAFICA!$R164&lt;&gt;"",ANAGRAFICA!$R164&lt;&gt;"Nessuna variazione")),"GESTIONE DATA FINE INCOMPLETA; ","")&amp;IF($Y167="","AGGIORNATO AL MANCANTE; ","")&amp;IF(OR($AZ167="",$BJ167="",$BO167="",ANAGRAFICA!$I164="",ANAGRAFICA!$J164=""),"DATI PREVISIONALI INCOMPLETI; ","")&amp;IF(LEFT($C167,5)="TEMP","CODICE COMMESSA TEMPORANEO; ","")),"DATI INCOMPLETI; ")</f>
        <v/>
      </c>
      <c r="C167" s="17" t="str">
        <f>IF(ANAGRAFICA!$B164="","",ANAGRAFICA!$B164)</f>
        <v/>
      </c>
      <c r="D167" s="17" t="str">
        <f>IF($C167="","",ANAGRAFICA!$C164)</f>
        <v/>
      </c>
      <c r="E167" s="17" t="str">
        <f>IF($C167="","",ANAGRAFICA!$D164)</f>
        <v/>
      </c>
      <c r="F167" s="17" t="str">
        <f>IF($C167="","",ANAGRAFICA!$E164)</f>
        <v/>
      </c>
      <c r="G167" s="17" t="str">
        <f>IF($C167="","",ANAGRAFICA!$F164)</f>
        <v/>
      </c>
      <c r="H167" s="17" t="str">
        <f>IF($C167="","",ANAGRAFICA!$G164)</f>
        <v/>
      </c>
      <c r="I167" s="17" t="str">
        <f>IF($C167="","",ANAGRAFICA!$L164)</f>
        <v/>
      </c>
      <c r="J167" s="16" t="str">
        <f t="shared" si="49"/>
        <v/>
      </c>
      <c r="K167" s="16" t="str">
        <f t="shared" si="50"/>
        <v/>
      </c>
      <c r="L167" s="16" t="str">
        <f t="shared" si="51"/>
        <v/>
      </c>
      <c r="M167" s="16" t="str">
        <f t="shared" si="52"/>
        <v/>
      </c>
      <c r="N167" s="16" t="str">
        <f t="shared" si="53"/>
        <v/>
      </c>
      <c r="O167" s="16" t="str">
        <f t="shared" si="54"/>
        <v/>
      </c>
      <c r="P167" s="17" t="str">
        <f t="shared" si="55"/>
        <v/>
      </c>
      <c r="Q167" s="31" t="str">
        <f>IF(OR($C167="",'BUDGET COMMESSA'!$D164="",'BUDGET COMMESSA'!$D164&lt;=0,ANAGRAFICA!$J164=""),"",IF(OR($I167="Finito ritenute non previste",$I167="Finito con sblocco ritenute",$I167="Finito senza sblocco ritenute"),0,IF(AND($BK167&gt;=$BJ167,ANAGRAFICA!$R164="Ritardo produttivo FIDA"),IF(ANAGRAFICA!$T164&lt;&gt;"",MAX(0,ANAGRAFICA!$J164-ANAGRAFICA!$T164),MAX(0,$Y167-ANAGRAFICA!$J164)),0)))</f>
        <v/>
      </c>
      <c r="R167" s="17" t="str">
        <f t="shared" si="56"/>
        <v/>
      </c>
      <c r="S167" s="17" t="str">
        <f t="shared" si="57"/>
        <v/>
      </c>
      <c r="T167" s="17" t="str">
        <f t="shared" si="58"/>
        <v/>
      </c>
      <c r="U167" s="16" t="str">
        <f t="shared" si="59"/>
        <v/>
      </c>
      <c r="V167" s="16" t="str">
        <f t="shared" si="60"/>
        <v/>
      </c>
      <c r="W167" s="16" t="str">
        <f t="shared" si="61"/>
        <v/>
      </c>
      <c r="X167" s="40"/>
      <c r="Y167" s="14"/>
      <c r="AZ167" t="str">
        <f>IF($C167="","",ANAGRAFICA!$P164)</f>
        <v/>
      </c>
      <c r="BA167" t="str">
        <f>IF($C167="","",SUMIF('MOVIMENTI 2026'!$B$7:$B$4206,$C167,'MOVIMENTI 2026'!$I$7:$I$4206)+SUMIF('SALDI AL 31.12.2025'!$A$6:$A$505,$C167,'SALDI AL 31.12.2025'!$C$6:$C$505))</f>
        <v/>
      </c>
      <c r="BB167" t="str">
        <f>IF($C167="","",SUMIF('MOVIMENTI 2026'!$B$7:$B$4206,$C167,'MOVIMENTI 2026'!$J$7:$J$4206)+SUMIF('SALDI AL 31.12.2025'!$A$6:$A$505,$C167,'SALDI AL 31.12.2025'!$D$6:$D$505))</f>
        <v/>
      </c>
      <c r="BC167" t="str">
        <f>IF($C167="","",SUMIF('MOVIMENTI 2026'!$B$7:$B$4206,$C167,'MOVIMENTI 2026'!$K$7:$K$4206)+SUMIF('SALDI AL 31.12.2025'!$A$6:$A$505,$C167,'SALDI AL 31.12.2025'!$E$6:$E$505))</f>
        <v/>
      </c>
      <c r="BD167" t="str">
        <f>IF($C167="","",SUMIF('MOVIMENTI 2026'!$B$7:$B$4206,$C167,'MOVIMENTI 2026'!$L$7:$L$4206)+SUMIF('SALDI AL 31.12.2025'!$A$6:$A$505,$C167,'SALDI AL 31.12.2025'!$F$6:$F$505))</f>
        <v/>
      </c>
      <c r="BE167" t="str">
        <f t="shared" si="62"/>
        <v/>
      </c>
      <c r="BF167" t="str">
        <f t="shared" si="63"/>
        <v/>
      </c>
      <c r="BG167" t="str">
        <f t="shared" si="64"/>
        <v/>
      </c>
      <c r="BH167" t="str">
        <f>IFERROR(IF(OR($C167="",ANAGRAFICA!$I164="",ANAGRAFICA!$J164="",ANAGRAFICA!$J164&lt;=ANAGRAFICA!$I164,$Y167=""),"",IF(OR($I167="Finito ritenute non previste",$I167="Finito con sblocco ritenute",$I167="Finito senza sblocco ritenute"),1,MAX(0,MIN(1,($Y167-ANAGRAFICA!$I164)/(ANAGRAFICA!$J164-ANAGRAFICA!$I164))))),"")</f>
        <v/>
      </c>
      <c r="BI167" t="str">
        <f t="shared" si="65"/>
        <v/>
      </c>
      <c r="BJ167" t="str">
        <f>IFERROR(IF($C167="","",'BUDGET COMMESSA'!$D164),"")</f>
        <v/>
      </c>
      <c r="BK167" t="str">
        <f>IF($C167="","",SUMIF('MOVIMENTI 2026'!$B$7:$B$4206,$C167,'MOVIMENTI 2026'!$N$7:$N$4206)+SUMIF('SALDI AL 31.12.2025'!$A$6:$A$505,$C167,'SALDI AL 31.12.2025'!$H$6:$H$505))</f>
        <v/>
      </c>
      <c r="BL167" t="str">
        <f t="shared" si="66"/>
        <v/>
      </c>
      <c r="BM167" t="str">
        <f t="shared" si="67"/>
        <v/>
      </c>
      <c r="BN167" t="str">
        <f t="shared" si="68"/>
        <v/>
      </c>
      <c r="BO167" t="str">
        <f>IFERROR(IF($C167="","",'BUDGET COMMESSA'!$G164),"")</f>
        <v/>
      </c>
      <c r="BP167" t="str">
        <f>IF($C167="","",SUMIF('COSTI DIRETTI'!$C$6:$C$505,$C167,'COSTI DIRETTI'!$H$6:$H$505)+SUMIF('SALDI AL 31.12.2025'!$A$6:$A$505,$C167,'SALDI AL 31.12.2025'!$I$6:$I$505))</f>
        <v/>
      </c>
      <c r="BQ167" t="str">
        <f t="shared" si="69"/>
        <v/>
      </c>
      <c r="BR167" t="str">
        <f t="shared" si="70"/>
        <v/>
      </c>
      <c r="BS167" t="str">
        <f>IF($C167="","",$BK167*PARAMETRI!$B$4+$BP167)</f>
        <v/>
      </c>
      <c r="BT167">
        <f t="shared" si="71"/>
        <v>0</v>
      </c>
      <c r="BU167">
        <f t="shared" si="72"/>
        <v>0</v>
      </c>
      <c r="BV167" t="str">
        <f>IF($C167="","",SUMIF('MOVIMENTI 2026'!$B$7:$B$4206,$C167,'MOVIMENTI 2026'!$P$7:$P$4206)+SUMIF('SALDI AL 31.12.2025'!$A$6:$A$505,$C167,'SALDI AL 31.12.2025'!$G$6:$G$505))</f>
        <v/>
      </c>
    </row>
    <row r="168" spans="1:74" ht="16" x14ac:dyDescent="0.15">
      <c r="A168" s="17" t="str">
        <f>IFERROR(IF($C168="","",IF(OR($BF168&gt;0,$V168&gt;$J168,AND(ISNUMBER($Q168),$Q168&gt;0),AND($BI168&lt;&gt;"",$BI168&lt;-PARAMETRI!$B$6),AND($BM168&lt;&gt;"",$BM168&gt;=1),AND($BN168&lt;&gt;"",$BN168&gt;PARAMETRI!$B$8),AND(ISNUMBER($BR168),$BR168&gt;0)),"CRITICO",IF(OR($AZ168="",LEFT($C168,5)="TEMP",$BJ168="",$BO168="",ANAGRAFICA!$I165="",ANAGRAFICA!$J165="",$Y168="",AND(OR($I168="Finito ritenute non previste",$I168="Finito con sblocco ritenute",$I168="Finito senza sblocco ritenute"),ANAGRAFICA!$K165=""),OR(AND(ANAGRAFICA!$T165&lt;&gt;"",ANAGRAFICA!$J165&lt;&gt;ANAGRAFICA!$T165,OR(ANAGRAFICA!$R165="",ANAGRAFICA!$R165="Nessuna variazione")),AND(ANAGRAFICA!$J165="",ANAGRAFICA!$R165&lt;&gt;"",ANAGRAFICA!$R165&lt;&gt;"Nessuna variazione")),AND($BI168&lt;&gt;"",$BI168&lt;-PARAMETRI!$B$5),AND($BN168&lt;&gt;"",$BN168&gt;PARAMETRI!$B$7),AND($W168&gt;0,$M168&gt;$W168*PARAMETRI!$B$9),AND($O168&gt;0,OR($I168="Finito ritenute non previste",$I168="Finito con sblocco ritenute",$I168="Finito senza sblocco ritenute")),AND($BA168&gt;0,$BO168&gt;0,$BP168=0),AND(OR($I168="Finito ritenute non previste",$I168="Finito con sblocco ritenute",$I168="Finito senza sblocco ritenute"),$W168&gt;0,$N168&gt;$W168*PARAMETRI!$B$9),$V168&gt;0),"ATTENZIONE","REGOLARE"))),"ATTENZIONE")</f>
        <v/>
      </c>
      <c r="B168" s="17" t="str">
        <f>IFERROR(IF($C168="","",IF($BF168&gt;0,"FATTURATO OLTRE VALORE RECUPERABILE; ","")&amp;IF($V168&gt;$J168,"PERDITE ACCETTATE OLTRE CONTRATTO; ","")&amp;IF($V168&gt;0,"PERDITA SAL ACCETTATA (€ "&amp;TEXT($V168,"#,##0.00")&amp;"); ","")&amp;IF(AND(ISNUMBER($Q168),$Q168&gt;0),"RITARDO PRODUTTIVO ("&amp;TEXT($Q168,"0")&amp;" GG); ","")&amp;IF(AND($BI168&lt;&gt;"",$BI168&lt;-PARAMETRI!$B$5),"AVANZAMENTO PIÙ LENTO DEL TEMPO; ","")&amp;IF(AND($BM168&lt;&gt;"",$BM168&gt;1),"ORE OLTRE BUDGET; ","")&amp;IF(AND($BM168&lt;&gt;"",$BM168=1),"ORE PREVENTIVATE ESAURITE; ","")&amp;IF(AND($BN168&lt;&gt;"",$BN168&gt;PARAMETRI!$B$7),"CONSUMO ORE SUPERIORE ALL'AVANZAMENTO; ","")&amp;IF(AND(ISNUMBER($BR168),$BR168&gt;0),"COSTI DIRETTI OLTRE BUDGET; ","")&amp;IF(AND($W168&gt;0,$M168&gt;$W168*PARAMETRI!$B$9),"SAL MATURATO NON FATTURATO; ","")&amp;IF(AND($O168&gt;0,OR($I168="Finito ritenute non previste",$I168="Finito con sblocco ritenute",$I168="Finito senza sblocco ritenute")),"RITENUTE DA SBLOCCARE; ","")&amp;IF(AND($BA168&gt;0,$BO168&gt;0,$BP168=0),"COSTI DIRETTI NON REGISTRATI; ","")&amp;IF(AND(OR($I168="Finito ritenute non previste",$I168="Finito con sblocco ritenute",$I168="Finito senza sblocco ritenute"),$W168&gt;0,$N168&gt;$W168*PARAMETRI!$B$9),"CANTIERE FINITO CON RESIDUO LAVORI; ","")&amp;IF(AND(OR($I168="Finito ritenute non previste",$I168="Finito con sblocco ritenute",$I168="Finito senza sblocco ritenute"),ANAGRAFICA!$K165=""),"DATA FINE EFFETTIVA MANCANTE; ","")&amp;IF(OR(AND(ANAGRAFICA!$T165&lt;&gt;"",ANAGRAFICA!$J165&lt;&gt;ANAGRAFICA!$T165,OR(ANAGRAFICA!$R165="",ANAGRAFICA!$R165="Nessuna variazione")),AND(ANAGRAFICA!$J165="",ANAGRAFICA!$R165&lt;&gt;"",ANAGRAFICA!$R165&lt;&gt;"Nessuna variazione")),"GESTIONE DATA FINE INCOMPLETA; ","")&amp;IF($Y168="","AGGIORNATO AL MANCANTE; ","")&amp;IF(OR($AZ168="",$BJ168="",$BO168="",ANAGRAFICA!$I165="",ANAGRAFICA!$J165=""),"DATI PREVISIONALI INCOMPLETI; ","")&amp;IF(LEFT($C168,5)="TEMP","CODICE COMMESSA TEMPORANEO; ","")),"DATI INCOMPLETI; ")</f>
        <v/>
      </c>
      <c r="C168" s="17" t="str">
        <f>IF(ANAGRAFICA!$B165="","",ANAGRAFICA!$B165)</f>
        <v/>
      </c>
      <c r="D168" s="17" t="str">
        <f>IF($C168="","",ANAGRAFICA!$C165)</f>
        <v/>
      </c>
      <c r="E168" s="17" t="str">
        <f>IF($C168="","",ANAGRAFICA!$D165)</f>
        <v/>
      </c>
      <c r="F168" s="17" t="str">
        <f>IF($C168="","",ANAGRAFICA!$E165)</f>
        <v/>
      </c>
      <c r="G168" s="17" t="str">
        <f>IF($C168="","",ANAGRAFICA!$F165)</f>
        <v/>
      </c>
      <c r="H168" s="17" t="str">
        <f>IF($C168="","",ANAGRAFICA!$G165)</f>
        <v/>
      </c>
      <c r="I168" s="17" t="str">
        <f>IF($C168="","",ANAGRAFICA!$L165)</f>
        <v/>
      </c>
      <c r="J168" s="16" t="str">
        <f t="shared" si="49"/>
        <v/>
      </c>
      <c r="K168" s="16" t="str">
        <f t="shared" si="50"/>
        <v/>
      </c>
      <c r="L168" s="16" t="str">
        <f t="shared" si="51"/>
        <v/>
      </c>
      <c r="M168" s="16" t="str">
        <f t="shared" si="52"/>
        <v/>
      </c>
      <c r="N168" s="16" t="str">
        <f t="shared" si="53"/>
        <v/>
      </c>
      <c r="O168" s="16" t="str">
        <f t="shared" si="54"/>
        <v/>
      </c>
      <c r="P168" s="17" t="str">
        <f t="shared" si="55"/>
        <v/>
      </c>
      <c r="Q168" s="31" t="str">
        <f>IF(OR($C168="",'BUDGET COMMESSA'!$D165="",'BUDGET COMMESSA'!$D165&lt;=0,ANAGRAFICA!$J165=""),"",IF(OR($I168="Finito ritenute non previste",$I168="Finito con sblocco ritenute",$I168="Finito senza sblocco ritenute"),0,IF(AND($BK168&gt;=$BJ168,ANAGRAFICA!$R165="Ritardo produttivo FIDA"),IF(ANAGRAFICA!$T165&lt;&gt;"",MAX(0,ANAGRAFICA!$J165-ANAGRAFICA!$T165),MAX(0,$Y168-ANAGRAFICA!$J165)),0)))</f>
        <v/>
      </c>
      <c r="R168" s="17" t="str">
        <f t="shared" si="56"/>
        <v/>
      </c>
      <c r="S168" s="17" t="str">
        <f t="shared" si="57"/>
        <v/>
      </c>
      <c r="T168" s="17" t="str">
        <f t="shared" si="58"/>
        <v/>
      </c>
      <c r="U168" s="16" t="str">
        <f t="shared" si="59"/>
        <v/>
      </c>
      <c r="V168" s="16" t="str">
        <f t="shared" si="60"/>
        <v/>
      </c>
      <c r="W168" s="16" t="str">
        <f t="shared" si="61"/>
        <v/>
      </c>
      <c r="X168" s="40"/>
      <c r="Y168" s="14"/>
      <c r="AZ168" t="str">
        <f>IF($C168="","",ANAGRAFICA!$P165)</f>
        <v/>
      </c>
      <c r="BA168" t="str">
        <f>IF($C168="","",SUMIF('MOVIMENTI 2026'!$B$7:$B$4206,$C168,'MOVIMENTI 2026'!$I$7:$I$4206)+SUMIF('SALDI AL 31.12.2025'!$A$6:$A$505,$C168,'SALDI AL 31.12.2025'!$C$6:$C$505))</f>
        <v/>
      </c>
      <c r="BB168" t="str">
        <f>IF($C168="","",SUMIF('MOVIMENTI 2026'!$B$7:$B$4206,$C168,'MOVIMENTI 2026'!$J$7:$J$4206)+SUMIF('SALDI AL 31.12.2025'!$A$6:$A$505,$C168,'SALDI AL 31.12.2025'!$D$6:$D$505))</f>
        <v/>
      </c>
      <c r="BC168" t="str">
        <f>IF($C168="","",SUMIF('MOVIMENTI 2026'!$B$7:$B$4206,$C168,'MOVIMENTI 2026'!$K$7:$K$4206)+SUMIF('SALDI AL 31.12.2025'!$A$6:$A$505,$C168,'SALDI AL 31.12.2025'!$E$6:$E$505))</f>
        <v/>
      </c>
      <c r="BD168" t="str">
        <f>IF($C168="","",SUMIF('MOVIMENTI 2026'!$B$7:$B$4206,$C168,'MOVIMENTI 2026'!$L$7:$L$4206)+SUMIF('SALDI AL 31.12.2025'!$A$6:$A$505,$C168,'SALDI AL 31.12.2025'!$F$6:$F$505))</f>
        <v/>
      </c>
      <c r="BE168" t="str">
        <f t="shared" si="62"/>
        <v/>
      </c>
      <c r="BF168" t="str">
        <f t="shared" si="63"/>
        <v/>
      </c>
      <c r="BG168" t="str">
        <f t="shared" si="64"/>
        <v/>
      </c>
      <c r="BH168" t="str">
        <f>IFERROR(IF(OR($C168="",ANAGRAFICA!$I165="",ANAGRAFICA!$J165="",ANAGRAFICA!$J165&lt;=ANAGRAFICA!$I165,$Y168=""),"",IF(OR($I168="Finito ritenute non previste",$I168="Finito con sblocco ritenute",$I168="Finito senza sblocco ritenute"),1,MAX(0,MIN(1,($Y168-ANAGRAFICA!$I165)/(ANAGRAFICA!$J165-ANAGRAFICA!$I165))))),"")</f>
        <v/>
      </c>
      <c r="BI168" t="str">
        <f t="shared" si="65"/>
        <v/>
      </c>
      <c r="BJ168" t="str">
        <f>IFERROR(IF($C168="","",'BUDGET COMMESSA'!$D165),"")</f>
        <v/>
      </c>
      <c r="BK168" t="str">
        <f>IF($C168="","",SUMIF('MOVIMENTI 2026'!$B$7:$B$4206,$C168,'MOVIMENTI 2026'!$N$7:$N$4206)+SUMIF('SALDI AL 31.12.2025'!$A$6:$A$505,$C168,'SALDI AL 31.12.2025'!$H$6:$H$505))</f>
        <v/>
      </c>
      <c r="BL168" t="str">
        <f t="shared" si="66"/>
        <v/>
      </c>
      <c r="BM168" t="str">
        <f t="shared" si="67"/>
        <v/>
      </c>
      <c r="BN168" t="str">
        <f t="shared" si="68"/>
        <v/>
      </c>
      <c r="BO168" t="str">
        <f>IFERROR(IF($C168="","",'BUDGET COMMESSA'!$G165),"")</f>
        <v/>
      </c>
      <c r="BP168" t="str">
        <f>IF($C168="","",SUMIF('COSTI DIRETTI'!$C$6:$C$505,$C168,'COSTI DIRETTI'!$H$6:$H$505)+SUMIF('SALDI AL 31.12.2025'!$A$6:$A$505,$C168,'SALDI AL 31.12.2025'!$I$6:$I$505))</f>
        <v/>
      </c>
      <c r="BQ168" t="str">
        <f t="shared" si="69"/>
        <v/>
      </c>
      <c r="BR168" t="str">
        <f t="shared" si="70"/>
        <v/>
      </c>
      <c r="BS168" t="str">
        <f>IF($C168="","",$BK168*PARAMETRI!$B$4+$BP168)</f>
        <v/>
      </c>
      <c r="BT168">
        <f t="shared" si="71"/>
        <v>0</v>
      </c>
      <c r="BU168">
        <f t="shared" si="72"/>
        <v>0</v>
      </c>
      <c r="BV168" t="str">
        <f>IF($C168="","",SUMIF('MOVIMENTI 2026'!$B$7:$B$4206,$C168,'MOVIMENTI 2026'!$P$7:$P$4206)+SUMIF('SALDI AL 31.12.2025'!$A$6:$A$505,$C168,'SALDI AL 31.12.2025'!$G$6:$G$505))</f>
        <v/>
      </c>
    </row>
    <row r="169" spans="1:74" ht="16" x14ac:dyDescent="0.15">
      <c r="A169" s="17" t="str">
        <f>IFERROR(IF($C169="","",IF(OR($BF169&gt;0,$V169&gt;$J169,AND(ISNUMBER($Q169),$Q169&gt;0),AND($BI169&lt;&gt;"",$BI169&lt;-PARAMETRI!$B$6),AND($BM169&lt;&gt;"",$BM169&gt;=1),AND($BN169&lt;&gt;"",$BN169&gt;PARAMETRI!$B$8),AND(ISNUMBER($BR169),$BR169&gt;0)),"CRITICO",IF(OR($AZ169="",LEFT($C169,5)="TEMP",$BJ169="",$BO169="",ANAGRAFICA!$I166="",ANAGRAFICA!$J166="",$Y169="",AND(OR($I169="Finito ritenute non previste",$I169="Finito con sblocco ritenute",$I169="Finito senza sblocco ritenute"),ANAGRAFICA!$K166=""),OR(AND(ANAGRAFICA!$T166&lt;&gt;"",ANAGRAFICA!$J166&lt;&gt;ANAGRAFICA!$T166,OR(ANAGRAFICA!$R166="",ANAGRAFICA!$R166="Nessuna variazione")),AND(ANAGRAFICA!$J166="",ANAGRAFICA!$R166&lt;&gt;"",ANAGRAFICA!$R166&lt;&gt;"Nessuna variazione")),AND($BI169&lt;&gt;"",$BI169&lt;-PARAMETRI!$B$5),AND($BN169&lt;&gt;"",$BN169&gt;PARAMETRI!$B$7),AND($W169&gt;0,$M169&gt;$W169*PARAMETRI!$B$9),AND($O169&gt;0,OR($I169="Finito ritenute non previste",$I169="Finito con sblocco ritenute",$I169="Finito senza sblocco ritenute")),AND($BA169&gt;0,$BO169&gt;0,$BP169=0),AND(OR($I169="Finito ritenute non previste",$I169="Finito con sblocco ritenute",$I169="Finito senza sblocco ritenute"),$W169&gt;0,$N169&gt;$W169*PARAMETRI!$B$9),$V169&gt;0),"ATTENZIONE","REGOLARE"))),"ATTENZIONE")</f>
        <v/>
      </c>
      <c r="B169" s="17" t="str">
        <f>IFERROR(IF($C169="","",IF($BF169&gt;0,"FATTURATO OLTRE VALORE RECUPERABILE; ","")&amp;IF($V169&gt;$J169,"PERDITE ACCETTATE OLTRE CONTRATTO; ","")&amp;IF($V169&gt;0,"PERDITA SAL ACCETTATA (€ "&amp;TEXT($V169,"#,##0.00")&amp;"); ","")&amp;IF(AND(ISNUMBER($Q169),$Q169&gt;0),"RITARDO PRODUTTIVO ("&amp;TEXT($Q169,"0")&amp;" GG); ","")&amp;IF(AND($BI169&lt;&gt;"",$BI169&lt;-PARAMETRI!$B$5),"AVANZAMENTO PIÙ LENTO DEL TEMPO; ","")&amp;IF(AND($BM169&lt;&gt;"",$BM169&gt;1),"ORE OLTRE BUDGET; ","")&amp;IF(AND($BM169&lt;&gt;"",$BM169=1),"ORE PREVENTIVATE ESAURITE; ","")&amp;IF(AND($BN169&lt;&gt;"",$BN169&gt;PARAMETRI!$B$7),"CONSUMO ORE SUPERIORE ALL'AVANZAMENTO; ","")&amp;IF(AND(ISNUMBER($BR169),$BR169&gt;0),"COSTI DIRETTI OLTRE BUDGET; ","")&amp;IF(AND($W169&gt;0,$M169&gt;$W169*PARAMETRI!$B$9),"SAL MATURATO NON FATTURATO; ","")&amp;IF(AND($O169&gt;0,OR($I169="Finito ritenute non previste",$I169="Finito con sblocco ritenute",$I169="Finito senza sblocco ritenute")),"RITENUTE DA SBLOCCARE; ","")&amp;IF(AND($BA169&gt;0,$BO169&gt;0,$BP169=0),"COSTI DIRETTI NON REGISTRATI; ","")&amp;IF(AND(OR($I169="Finito ritenute non previste",$I169="Finito con sblocco ritenute",$I169="Finito senza sblocco ritenute"),$W169&gt;0,$N169&gt;$W169*PARAMETRI!$B$9),"CANTIERE FINITO CON RESIDUO LAVORI; ","")&amp;IF(AND(OR($I169="Finito ritenute non previste",$I169="Finito con sblocco ritenute",$I169="Finito senza sblocco ritenute"),ANAGRAFICA!$K166=""),"DATA FINE EFFETTIVA MANCANTE; ","")&amp;IF(OR(AND(ANAGRAFICA!$T166&lt;&gt;"",ANAGRAFICA!$J166&lt;&gt;ANAGRAFICA!$T166,OR(ANAGRAFICA!$R166="",ANAGRAFICA!$R166="Nessuna variazione")),AND(ANAGRAFICA!$J166="",ANAGRAFICA!$R166&lt;&gt;"",ANAGRAFICA!$R166&lt;&gt;"Nessuna variazione")),"GESTIONE DATA FINE INCOMPLETA; ","")&amp;IF($Y169="","AGGIORNATO AL MANCANTE; ","")&amp;IF(OR($AZ169="",$BJ169="",$BO169="",ANAGRAFICA!$I166="",ANAGRAFICA!$J166=""),"DATI PREVISIONALI INCOMPLETI; ","")&amp;IF(LEFT($C169,5)="TEMP","CODICE COMMESSA TEMPORANEO; ","")),"DATI INCOMPLETI; ")</f>
        <v/>
      </c>
      <c r="C169" s="17" t="str">
        <f>IF(ANAGRAFICA!$B166="","",ANAGRAFICA!$B166)</f>
        <v/>
      </c>
      <c r="D169" s="17" t="str">
        <f>IF($C169="","",ANAGRAFICA!$C166)</f>
        <v/>
      </c>
      <c r="E169" s="17" t="str">
        <f>IF($C169="","",ANAGRAFICA!$D166)</f>
        <v/>
      </c>
      <c r="F169" s="17" t="str">
        <f>IF($C169="","",ANAGRAFICA!$E166)</f>
        <v/>
      </c>
      <c r="G169" s="17" t="str">
        <f>IF($C169="","",ANAGRAFICA!$F166)</f>
        <v/>
      </c>
      <c r="H169" s="17" t="str">
        <f>IF($C169="","",ANAGRAFICA!$G166)</f>
        <v/>
      </c>
      <c r="I169" s="17" t="str">
        <f>IF($C169="","",ANAGRAFICA!$L166)</f>
        <v/>
      </c>
      <c r="J169" s="16" t="str">
        <f t="shared" si="49"/>
        <v/>
      </c>
      <c r="K169" s="16" t="str">
        <f t="shared" si="50"/>
        <v/>
      </c>
      <c r="L169" s="16" t="str">
        <f t="shared" si="51"/>
        <v/>
      </c>
      <c r="M169" s="16" t="str">
        <f t="shared" si="52"/>
        <v/>
      </c>
      <c r="N169" s="16" t="str">
        <f t="shared" si="53"/>
        <v/>
      </c>
      <c r="O169" s="16" t="str">
        <f t="shared" si="54"/>
        <v/>
      </c>
      <c r="P169" s="17" t="str">
        <f t="shared" si="55"/>
        <v/>
      </c>
      <c r="Q169" s="31" t="str">
        <f>IF(OR($C169="",'BUDGET COMMESSA'!$D166="",'BUDGET COMMESSA'!$D166&lt;=0,ANAGRAFICA!$J166=""),"",IF(OR($I169="Finito ritenute non previste",$I169="Finito con sblocco ritenute",$I169="Finito senza sblocco ritenute"),0,IF(AND($BK169&gt;=$BJ169,ANAGRAFICA!$R166="Ritardo produttivo FIDA"),IF(ANAGRAFICA!$T166&lt;&gt;"",MAX(0,ANAGRAFICA!$J166-ANAGRAFICA!$T166),MAX(0,$Y169-ANAGRAFICA!$J166)),0)))</f>
        <v/>
      </c>
      <c r="R169" s="17" t="str">
        <f t="shared" si="56"/>
        <v/>
      </c>
      <c r="S169" s="17" t="str">
        <f t="shared" si="57"/>
        <v/>
      </c>
      <c r="T169" s="17" t="str">
        <f t="shared" si="58"/>
        <v/>
      </c>
      <c r="U169" s="16" t="str">
        <f t="shared" si="59"/>
        <v/>
      </c>
      <c r="V169" s="16" t="str">
        <f t="shared" si="60"/>
        <v/>
      </c>
      <c r="W169" s="16" t="str">
        <f t="shared" si="61"/>
        <v/>
      </c>
      <c r="X169" s="40"/>
      <c r="Y169" s="14"/>
      <c r="AZ169" t="str">
        <f>IF($C169="","",ANAGRAFICA!$P166)</f>
        <v/>
      </c>
      <c r="BA169" t="str">
        <f>IF($C169="","",SUMIF('MOVIMENTI 2026'!$B$7:$B$4206,$C169,'MOVIMENTI 2026'!$I$7:$I$4206)+SUMIF('SALDI AL 31.12.2025'!$A$6:$A$505,$C169,'SALDI AL 31.12.2025'!$C$6:$C$505))</f>
        <v/>
      </c>
      <c r="BB169" t="str">
        <f>IF($C169="","",SUMIF('MOVIMENTI 2026'!$B$7:$B$4206,$C169,'MOVIMENTI 2026'!$J$7:$J$4206)+SUMIF('SALDI AL 31.12.2025'!$A$6:$A$505,$C169,'SALDI AL 31.12.2025'!$D$6:$D$505))</f>
        <v/>
      </c>
      <c r="BC169" t="str">
        <f>IF($C169="","",SUMIF('MOVIMENTI 2026'!$B$7:$B$4206,$C169,'MOVIMENTI 2026'!$K$7:$K$4206)+SUMIF('SALDI AL 31.12.2025'!$A$6:$A$505,$C169,'SALDI AL 31.12.2025'!$E$6:$E$505))</f>
        <v/>
      </c>
      <c r="BD169" t="str">
        <f>IF($C169="","",SUMIF('MOVIMENTI 2026'!$B$7:$B$4206,$C169,'MOVIMENTI 2026'!$L$7:$L$4206)+SUMIF('SALDI AL 31.12.2025'!$A$6:$A$505,$C169,'SALDI AL 31.12.2025'!$F$6:$F$505))</f>
        <v/>
      </c>
      <c r="BE169" t="str">
        <f t="shared" si="62"/>
        <v/>
      </c>
      <c r="BF169" t="str">
        <f t="shared" si="63"/>
        <v/>
      </c>
      <c r="BG169" t="str">
        <f t="shared" si="64"/>
        <v/>
      </c>
      <c r="BH169" t="str">
        <f>IFERROR(IF(OR($C169="",ANAGRAFICA!$I166="",ANAGRAFICA!$J166="",ANAGRAFICA!$J166&lt;=ANAGRAFICA!$I166,$Y169=""),"",IF(OR($I169="Finito ritenute non previste",$I169="Finito con sblocco ritenute",$I169="Finito senza sblocco ritenute"),1,MAX(0,MIN(1,($Y169-ANAGRAFICA!$I166)/(ANAGRAFICA!$J166-ANAGRAFICA!$I166))))),"")</f>
        <v/>
      </c>
      <c r="BI169" t="str">
        <f t="shared" si="65"/>
        <v/>
      </c>
      <c r="BJ169" t="str">
        <f>IFERROR(IF($C169="","",'BUDGET COMMESSA'!$D166),"")</f>
        <v/>
      </c>
      <c r="BK169" t="str">
        <f>IF($C169="","",SUMIF('MOVIMENTI 2026'!$B$7:$B$4206,$C169,'MOVIMENTI 2026'!$N$7:$N$4206)+SUMIF('SALDI AL 31.12.2025'!$A$6:$A$505,$C169,'SALDI AL 31.12.2025'!$H$6:$H$505))</f>
        <v/>
      </c>
      <c r="BL169" t="str">
        <f t="shared" si="66"/>
        <v/>
      </c>
      <c r="BM169" t="str">
        <f t="shared" si="67"/>
        <v/>
      </c>
      <c r="BN169" t="str">
        <f t="shared" si="68"/>
        <v/>
      </c>
      <c r="BO169" t="str">
        <f>IFERROR(IF($C169="","",'BUDGET COMMESSA'!$G166),"")</f>
        <v/>
      </c>
      <c r="BP169" t="str">
        <f>IF($C169="","",SUMIF('COSTI DIRETTI'!$C$6:$C$505,$C169,'COSTI DIRETTI'!$H$6:$H$505)+SUMIF('SALDI AL 31.12.2025'!$A$6:$A$505,$C169,'SALDI AL 31.12.2025'!$I$6:$I$505))</f>
        <v/>
      </c>
      <c r="BQ169" t="str">
        <f t="shared" si="69"/>
        <v/>
      </c>
      <c r="BR169" t="str">
        <f t="shared" si="70"/>
        <v/>
      </c>
      <c r="BS169" t="str">
        <f>IF($C169="","",$BK169*PARAMETRI!$B$4+$BP169)</f>
        <v/>
      </c>
      <c r="BT169">
        <f t="shared" si="71"/>
        <v>0</v>
      </c>
      <c r="BU169">
        <f t="shared" si="72"/>
        <v>0</v>
      </c>
      <c r="BV169" t="str">
        <f>IF($C169="","",SUMIF('MOVIMENTI 2026'!$B$7:$B$4206,$C169,'MOVIMENTI 2026'!$P$7:$P$4206)+SUMIF('SALDI AL 31.12.2025'!$A$6:$A$505,$C169,'SALDI AL 31.12.2025'!$G$6:$G$505))</f>
        <v/>
      </c>
    </row>
    <row r="170" spans="1:74" ht="16" x14ac:dyDescent="0.15">
      <c r="A170" s="17" t="str">
        <f>IFERROR(IF($C170="","",IF(OR($BF170&gt;0,$V170&gt;$J170,AND(ISNUMBER($Q170),$Q170&gt;0),AND($BI170&lt;&gt;"",$BI170&lt;-PARAMETRI!$B$6),AND($BM170&lt;&gt;"",$BM170&gt;=1),AND($BN170&lt;&gt;"",$BN170&gt;PARAMETRI!$B$8),AND(ISNUMBER($BR170),$BR170&gt;0)),"CRITICO",IF(OR($AZ170="",LEFT($C170,5)="TEMP",$BJ170="",$BO170="",ANAGRAFICA!$I167="",ANAGRAFICA!$J167="",$Y170="",AND(OR($I170="Finito ritenute non previste",$I170="Finito con sblocco ritenute",$I170="Finito senza sblocco ritenute"),ANAGRAFICA!$K167=""),OR(AND(ANAGRAFICA!$T167&lt;&gt;"",ANAGRAFICA!$J167&lt;&gt;ANAGRAFICA!$T167,OR(ANAGRAFICA!$R167="",ANAGRAFICA!$R167="Nessuna variazione")),AND(ANAGRAFICA!$J167="",ANAGRAFICA!$R167&lt;&gt;"",ANAGRAFICA!$R167&lt;&gt;"Nessuna variazione")),AND($BI170&lt;&gt;"",$BI170&lt;-PARAMETRI!$B$5),AND($BN170&lt;&gt;"",$BN170&gt;PARAMETRI!$B$7),AND($W170&gt;0,$M170&gt;$W170*PARAMETRI!$B$9),AND($O170&gt;0,OR($I170="Finito ritenute non previste",$I170="Finito con sblocco ritenute",$I170="Finito senza sblocco ritenute")),AND($BA170&gt;0,$BO170&gt;0,$BP170=0),AND(OR($I170="Finito ritenute non previste",$I170="Finito con sblocco ritenute",$I170="Finito senza sblocco ritenute"),$W170&gt;0,$N170&gt;$W170*PARAMETRI!$B$9),$V170&gt;0),"ATTENZIONE","REGOLARE"))),"ATTENZIONE")</f>
        <v/>
      </c>
      <c r="B170" s="17" t="str">
        <f>IFERROR(IF($C170="","",IF($BF170&gt;0,"FATTURATO OLTRE VALORE RECUPERABILE; ","")&amp;IF($V170&gt;$J170,"PERDITE ACCETTATE OLTRE CONTRATTO; ","")&amp;IF($V170&gt;0,"PERDITA SAL ACCETTATA (€ "&amp;TEXT($V170,"#,##0.00")&amp;"); ","")&amp;IF(AND(ISNUMBER($Q170),$Q170&gt;0),"RITARDO PRODUTTIVO ("&amp;TEXT($Q170,"0")&amp;" GG); ","")&amp;IF(AND($BI170&lt;&gt;"",$BI170&lt;-PARAMETRI!$B$5),"AVANZAMENTO PIÙ LENTO DEL TEMPO; ","")&amp;IF(AND($BM170&lt;&gt;"",$BM170&gt;1),"ORE OLTRE BUDGET; ","")&amp;IF(AND($BM170&lt;&gt;"",$BM170=1),"ORE PREVENTIVATE ESAURITE; ","")&amp;IF(AND($BN170&lt;&gt;"",$BN170&gt;PARAMETRI!$B$7),"CONSUMO ORE SUPERIORE ALL'AVANZAMENTO; ","")&amp;IF(AND(ISNUMBER($BR170),$BR170&gt;0),"COSTI DIRETTI OLTRE BUDGET; ","")&amp;IF(AND($W170&gt;0,$M170&gt;$W170*PARAMETRI!$B$9),"SAL MATURATO NON FATTURATO; ","")&amp;IF(AND($O170&gt;0,OR($I170="Finito ritenute non previste",$I170="Finito con sblocco ritenute",$I170="Finito senza sblocco ritenute")),"RITENUTE DA SBLOCCARE; ","")&amp;IF(AND($BA170&gt;0,$BO170&gt;0,$BP170=0),"COSTI DIRETTI NON REGISTRATI; ","")&amp;IF(AND(OR($I170="Finito ritenute non previste",$I170="Finito con sblocco ritenute",$I170="Finito senza sblocco ritenute"),$W170&gt;0,$N170&gt;$W170*PARAMETRI!$B$9),"CANTIERE FINITO CON RESIDUO LAVORI; ","")&amp;IF(AND(OR($I170="Finito ritenute non previste",$I170="Finito con sblocco ritenute",$I170="Finito senza sblocco ritenute"),ANAGRAFICA!$K167=""),"DATA FINE EFFETTIVA MANCANTE; ","")&amp;IF(OR(AND(ANAGRAFICA!$T167&lt;&gt;"",ANAGRAFICA!$J167&lt;&gt;ANAGRAFICA!$T167,OR(ANAGRAFICA!$R167="",ANAGRAFICA!$R167="Nessuna variazione")),AND(ANAGRAFICA!$J167="",ANAGRAFICA!$R167&lt;&gt;"",ANAGRAFICA!$R167&lt;&gt;"Nessuna variazione")),"GESTIONE DATA FINE INCOMPLETA; ","")&amp;IF($Y170="","AGGIORNATO AL MANCANTE; ","")&amp;IF(OR($AZ170="",$BJ170="",$BO170="",ANAGRAFICA!$I167="",ANAGRAFICA!$J167=""),"DATI PREVISIONALI INCOMPLETI; ","")&amp;IF(LEFT($C170,5)="TEMP","CODICE COMMESSA TEMPORANEO; ","")),"DATI INCOMPLETI; ")</f>
        <v/>
      </c>
      <c r="C170" s="17" t="str">
        <f>IF(ANAGRAFICA!$B167="","",ANAGRAFICA!$B167)</f>
        <v/>
      </c>
      <c r="D170" s="17" t="str">
        <f>IF($C170="","",ANAGRAFICA!$C167)</f>
        <v/>
      </c>
      <c r="E170" s="17" t="str">
        <f>IF($C170="","",ANAGRAFICA!$D167)</f>
        <v/>
      </c>
      <c r="F170" s="17" t="str">
        <f>IF($C170="","",ANAGRAFICA!$E167)</f>
        <v/>
      </c>
      <c r="G170" s="17" t="str">
        <f>IF($C170="","",ANAGRAFICA!$F167)</f>
        <v/>
      </c>
      <c r="H170" s="17" t="str">
        <f>IF($C170="","",ANAGRAFICA!$G167)</f>
        <v/>
      </c>
      <c r="I170" s="17" t="str">
        <f>IF($C170="","",ANAGRAFICA!$L167)</f>
        <v/>
      </c>
      <c r="J170" s="16" t="str">
        <f t="shared" si="49"/>
        <v/>
      </c>
      <c r="K170" s="16" t="str">
        <f t="shared" si="50"/>
        <v/>
      </c>
      <c r="L170" s="16" t="str">
        <f t="shared" si="51"/>
        <v/>
      </c>
      <c r="M170" s="16" t="str">
        <f t="shared" si="52"/>
        <v/>
      </c>
      <c r="N170" s="16" t="str">
        <f t="shared" si="53"/>
        <v/>
      </c>
      <c r="O170" s="16" t="str">
        <f t="shared" si="54"/>
        <v/>
      </c>
      <c r="P170" s="17" t="str">
        <f t="shared" si="55"/>
        <v/>
      </c>
      <c r="Q170" s="31" t="str">
        <f>IF(OR($C170="",'BUDGET COMMESSA'!$D167="",'BUDGET COMMESSA'!$D167&lt;=0,ANAGRAFICA!$J167=""),"",IF(OR($I170="Finito ritenute non previste",$I170="Finito con sblocco ritenute",$I170="Finito senza sblocco ritenute"),0,IF(AND($BK170&gt;=$BJ170,ANAGRAFICA!$R167="Ritardo produttivo FIDA"),IF(ANAGRAFICA!$T167&lt;&gt;"",MAX(0,ANAGRAFICA!$J167-ANAGRAFICA!$T167),MAX(0,$Y170-ANAGRAFICA!$J167)),0)))</f>
        <v/>
      </c>
      <c r="R170" s="17" t="str">
        <f t="shared" si="56"/>
        <v/>
      </c>
      <c r="S170" s="17" t="str">
        <f t="shared" si="57"/>
        <v/>
      </c>
      <c r="T170" s="17" t="str">
        <f t="shared" si="58"/>
        <v/>
      </c>
      <c r="U170" s="16" t="str">
        <f t="shared" si="59"/>
        <v/>
      </c>
      <c r="V170" s="16" t="str">
        <f t="shared" si="60"/>
        <v/>
      </c>
      <c r="W170" s="16" t="str">
        <f t="shared" si="61"/>
        <v/>
      </c>
      <c r="X170" s="40"/>
      <c r="Y170" s="14"/>
      <c r="AZ170" t="str">
        <f>IF($C170="","",ANAGRAFICA!$P167)</f>
        <v/>
      </c>
      <c r="BA170" t="str">
        <f>IF($C170="","",SUMIF('MOVIMENTI 2026'!$B$7:$B$4206,$C170,'MOVIMENTI 2026'!$I$7:$I$4206)+SUMIF('SALDI AL 31.12.2025'!$A$6:$A$505,$C170,'SALDI AL 31.12.2025'!$C$6:$C$505))</f>
        <v/>
      </c>
      <c r="BB170" t="str">
        <f>IF($C170="","",SUMIF('MOVIMENTI 2026'!$B$7:$B$4206,$C170,'MOVIMENTI 2026'!$J$7:$J$4206)+SUMIF('SALDI AL 31.12.2025'!$A$6:$A$505,$C170,'SALDI AL 31.12.2025'!$D$6:$D$505))</f>
        <v/>
      </c>
      <c r="BC170" t="str">
        <f>IF($C170="","",SUMIF('MOVIMENTI 2026'!$B$7:$B$4206,$C170,'MOVIMENTI 2026'!$K$7:$K$4206)+SUMIF('SALDI AL 31.12.2025'!$A$6:$A$505,$C170,'SALDI AL 31.12.2025'!$E$6:$E$505))</f>
        <v/>
      </c>
      <c r="BD170" t="str">
        <f>IF($C170="","",SUMIF('MOVIMENTI 2026'!$B$7:$B$4206,$C170,'MOVIMENTI 2026'!$L$7:$L$4206)+SUMIF('SALDI AL 31.12.2025'!$A$6:$A$505,$C170,'SALDI AL 31.12.2025'!$F$6:$F$505))</f>
        <v/>
      </c>
      <c r="BE170" t="str">
        <f t="shared" si="62"/>
        <v/>
      </c>
      <c r="BF170" t="str">
        <f t="shared" si="63"/>
        <v/>
      </c>
      <c r="BG170" t="str">
        <f t="shared" si="64"/>
        <v/>
      </c>
      <c r="BH170" t="str">
        <f>IFERROR(IF(OR($C170="",ANAGRAFICA!$I167="",ANAGRAFICA!$J167="",ANAGRAFICA!$J167&lt;=ANAGRAFICA!$I167,$Y170=""),"",IF(OR($I170="Finito ritenute non previste",$I170="Finito con sblocco ritenute",$I170="Finito senza sblocco ritenute"),1,MAX(0,MIN(1,($Y170-ANAGRAFICA!$I167)/(ANAGRAFICA!$J167-ANAGRAFICA!$I167))))),"")</f>
        <v/>
      </c>
      <c r="BI170" t="str">
        <f t="shared" si="65"/>
        <v/>
      </c>
      <c r="BJ170" t="str">
        <f>IFERROR(IF($C170="","",'BUDGET COMMESSA'!$D167),"")</f>
        <v/>
      </c>
      <c r="BK170" t="str">
        <f>IF($C170="","",SUMIF('MOVIMENTI 2026'!$B$7:$B$4206,$C170,'MOVIMENTI 2026'!$N$7:$N$4206)+SUMIF('SALDI AL 31.12.2025'!$A$6:$A$505,$C170,'SALDI AL 31.12.2025'!$H$6:$H$505))</f>
        <v/>
      </c>
      <c r="BL170" t="str">
        <f t="shared" si="66"/>
        <v/>
      </c>
      <c r="BM170" t="str">
        <f t="shared" si="67"/>
        <v/>
      </c>
      <c r="BN170" t="str">
        <f t="shared" si="68"/>
        <v/>
      </c>
      <c r="BO170" t="str">
        <f>IFERROR(IF($C170="","",'BUDGET COMMESSA'!$G167),"")</f>
        <v/>
      </c>
      <c r="BP170" t="str">
        <f>IF($C170="","",SUMIF('COSTI DIRETTI'!$C$6:$C$505,$C170,'COSTI DIRETTI'!$H$6:$H$505)+SUMIF('SALDI AL 31.12.2025'!$A$6:$A$505,$C170,'SALDI AL 31.12.2025'!$I$6:$I$505))</f>
        <v/>
      </c>
      <c r="BQ170" t="str">
        <f t="shared" si="69"/>
        <v/>
      </c>
      <c r="BR170" t="str">
        <f t="shared" si="70"/>
        <v/>
      </c>
      <c r="BS170" t="str">
        <f>IF($C170="","",$BK170*PARAMETRI!$B$4+$BP170)</f>
        <v/>
      </c>
      <c r="BT170">
        <f t="shared" si="71"/>
        <v>0</v>
      </c>
      <c r="BU170">
        <f t="shared" si="72"/>
        <v>0</v>
      </c>
      <c r="BV170" t="str">
        <f>IF($C170="","",SUMIF('MOVIMENTI 2026'!$B$7:$B$4206,$C170,'MOVIMENTI 2026'!$P$7:$P$4206)+SUMIF('SALDI AL 31.12.2025'!$A$6:$A$505,$C170,'SALDI AL 31.12.2025'!$G$6:$G$505))</f>
        <v/>
      </c>
    </row>
    <row r="171" spans="1:74" ht="16" x14ac:dyDescent="0.15">
      <c r="A171" s="17" t="str">
        <f>IFERROR(IF($C171="","",IF(OR($BF171&gt;0,$V171&gt;$J171,AND(ISNUMBER($Q171),$Q171&gt;0),AND($BI171&lt;&gt;"",$BI171&lt;-PARAMETRI!$B$6),AND($BM171&lt;&gt;"",$BM171&gt;=1),AND($BN171&lt;&gt;"",$BN171&gt;PARAMETRI!$B$8),AND(ISNUMBER($BR171),$BR171&gt;0)),"CRITICO",IF(OR($AZ171="",LEFT($C171,5)="TEMP",$BJ171="",$BO171="",ANAGRAFICA!$I168="",ANAGRAFICA!$J168="",$Y171="",AND(OR($I171="Finito ritenute non previste",$I171="Finito con sblocco ritenute",$I171="Finito senza sblocco ritenute"),ANAGRAFICA!$K168=""),OR(AND(ANAGRAFICA!$T168&lt;&gt;"",ANAGRAFICA!$J168&lt;&gt;ANAGRAFICA!$T168,OR(ANAGRAFICA!$R168="",ANAGRAFICA!$R168="Nessuna variazione")),AND(ANAGRAFICA!$J168="",ANAGRAFICA!$R168&lt;&gt;"",ANAGRAFICA!$R168&lt;&gt;"Nessuna variazione")),AND($BI171&lt;&gt;"",$BI171&lt;-PARAMETRI!$B$5),AND($BN171&lt;&gt;"",$BN171&gt;PARAMETRI!$B$7),AND($W171&gt;0,$M171&gt;$W171*PARAMETRI!$B$9),AND($O171&gt;0,OR($I171="Finito ritenute non previste",$I171="Finito con sblocco ritenute",$I171="Finito senza sblocco ritenute")),AND($BA171&gt;0,$BO171&gt;0,$BP171=0),AND(OR($I171="Finito ritenute non previste",$I171="Finito con sblocco ritenute",$I171="Finito senza sblocco ritenute"),$W171&gt;0,$N171&gt;$W171*PARAMETRI!$B$9),$V171&gt;0),"ATTENZIONE","REGOLARE"))),"ATTENZIONE")</f>
        <v/>
      </c>
      <c r="B171" s="17" t="str">
        <f>IFERROR(IF($C171="","",IF($BF171&gt;0,"FATTURATO OLTRE VALORE RECUPERABILE; ","")&amp;IF($V171&gt;$J171,"PERDITE ACCETTATE OLTRE CONTRATTO; ","")&amp;IF($V171&gt;0,"PERDITA SAL ACCETTATA (€ "&amp;TEXT($V171,"#,##0.00")&amp;"); ","")&amp;IF(AND(ISNUMBER($Q171),$Q171&gt;0),"RITARDO PRODUTTIVO ("&amp;TEXT($Q171,"0")&amp;" GG); ","")&amp;IF(AND($BI171&lt;&gt;"",$BI171&lt;-PARAMETRI!$B$5),"AVANZAMENTO PIÙ LENTO DEL TEMPO; ","")&amp;IF(AND($BM171&lt;&gt;"",$BM171&gt;1),"ORE OLTRE BUDGET; ","")&amp;IF(AND($BM171&lt;&gt;"",$BM171=1),"ORE PREVENTIVATE ESAURITE; ","")&amp;IF(AND($BN171&lt;&gt;"",$BN171&gt;PARAMETRI!$B$7),"CONSUMO ORE SUPERIORE ALL'AVANZAMENTO; ","")&amp;IF(AND(ISNUMBER($BR171),$BR171&gt;0),"COSTI DIRETTI OLTRE BUDGET; ","")&amp;IF(AND($W171&gt;0,$M171&gt;$W171*PARAMETRI!$B$9),"SAL MATURATO NON FATTURATO; ","")&amp;IF(AND($O171&gt;0,OR($I171="Finito ritenute non previste",$I171="Finito con sblocco ritenute",$I171="Finito senza sblocco ritenute")),"RITENUTE DA SBLOCCARE; ","")&amp;IF(AND($BA171&gt;0,$BO171&gt;0,$BP171=0),"COSTI DIRETTI NON REGISTRATI; ","")&amp;IF(AND(OR($I171="Finito ritenute non previste",$I171="Finito con sblocco ritenute",$I171="Finito senza sblocco ritenute"),$W171&gt;0,$N171&gt;$W171*PARAMETRI!$B$9),"CANTIERE FINITO CON RESIDUO LAVORI; ","")&amp;IF(AND(OR($I171="Finito ritenute non previste",$I171="Finito con sblocco ritenute",$I171="Finito senza sblocco ritenute"),ANAGRAFICA!$K168=""),"DATA FINE EFFETTIVA MANCANTE; ","")&amp;IF(OR(AND(ANAGRAFICA!$T168&lt;&gt;"",ANAGRAFICA!$J168&lt;&gt;ANAGRAFICA!$T168,OR(ANAGRAFICA!$R168="",ANAGRAFICA!$R168="Nessuna variazione")),AND(ANAGRAFICA!$J168="",ANAGRAFICA!$R168&lt;&gt;"",ANAGRAFICA!$R168&lt;&gt;"Nessuna variazione")),"GESTIONE DATA FINE INCOMPLETA; ","")&amp;IF($Y171="","AGGIORNATO AL MANCANTE; ","")&amp;IF(OR($AZ171="",$BJ171="",$BO171="",ANAGRAFICA!$I168="",ANAGRAFICA!$J168=""),"DATI PREVISIONALI INCOMPLETI; ","")&amp;IF(LEFT($C171,5)="TEMP","CODICE COMMESSA TEMPORANEO; ","")),"DATI INCOMPLETI; ")</f>
        <v/>
      </c>
      <c r="C171" s="17" t="str">
        <f>IF(ANAGRAFICA!$B168="","",ANAGRAFICA!$B168)</f>
        <v/>
      </c>
      <c r="D171" s="17" t="str">
        <f>IF($C171="","",ANAGRAFICA!$C168)</f>
        <v/>
      </c>
      <c r="E171" s="17" t="str">
        <f>IF($C171="","",ANAGRAFICA!$D168)</f>
        <v/>
      </c>
      <c r="F171" s="17" t="str">
        <f>IF($C171="","",ANAGRAFICA!$E168)</f>
        <v/>
      </c>
      <c r="G171" s="17" t="str">
        <f>IF($C171="","",ANAGRAFICA!$F168)</f>
        <v/>
      </c>
      <c r="H171" s="17" t="str">
        <f>IF($C171="","",ANAGRAFICA!$G168)</f>
        <v/>
      </c>
      <c r="I171" s="17" t="str">
        <f>IF($C171="","",ANAGRAFICA!$L168)</f>
        <v/>
      </c>
      <c r="J171" s="16" t="str">
        <f t="shared" si="49"/>
        <v/>
      </c>
      <c r="K171" s="16" t="str">
        <f t="shared" si="50"/>
        <v/>
      </c>
      <c r="L171" s="16" t="str">
        <f t="shared" si="51"/>
        <v/>
      </c>
      <c r="M171" s="16" t="str">
        <f t="shared" si="52"/>
        <v/>
      </c>
      <c r="N171" s="16" t="str">
        <f t="shared" si="53"/>
        <v/>
      </c>
      <c r="O171" s="16" t="str">
        <f t="shared" si="54"/>
        <v/>
      </c>
      <c r="P171" s="17" t="str">
        <f t="shared" si="55"/>
        <v/>
      </c>
      <c r="Q171" s="31" t="str">
        <f>IF(OR($C171="",'BUDGET COMMESSA'!$D168="",'BUDGET COMMESSA'!$D168&lt;=0,ANAGRAFICA!$J168=""),"",IF(OR($I171="Finito ritenute non previste",$I171="Finito con sblocco ritenute",$I171="Finito senza sblocco ritenute"),0,IF(AND($BK171&gt;=$BJ171,ANAGRAFICA!$R168="Ritardo produttivo FIDA"),IF(ANAGRAFICA!$T168&lt;&gt;"",MAX(0,ANAGRAFICA!$J168-ANAGRAFICA!$T168),MAX(0,$Y171-ANAGRAFICA!$J168)),0)))</f>
        <v/>
      </c>
      <c r="R171" s="17" t="str">
        <f t="shared" si="56"/>
        <v/>
      </c>
      <c r="S171" s="17" t="str">
        <f t="shared" si="57"/>
        <v/>
      </c>
      <c r="T171" s="17" t="str">
        <f t="shared" si="58"/>
        <v/>
      </c>
      <c r="U171" s="16" t="str">
        <f t="shared" si="59"/>
        <v/>
      </c>
      <c r="V171" s="16" t="str">
        <f t="shared" si="60"/>
        <v/>
      </c>
      <c r="W171" s="16" t="str">
        <f t="shared" si="61"/>
        <v/>
      </c>
      <c r="X171" s="40"/>
      <c r="Y171" s="14"/>
      <c r="AZ171" t="str">
        <f>IF($C171="","",ANAGRAFICA!$P168)</f>
        <v/>
      </c>
      <c r="BA171" t="str">
        <f>IF($C171="","",SUMIF('MOVIMENTI 2026'!$B$7:$B$4206,$C171,'MOVIMENTI 2026'!$I$7:$I$4206)+SUMIF('SALDI AL 31.12.2025'!$A$6:$A$505,$C171,'SALDI AL 31.12.2025'!$C$6:$C$505))</f>
        <v/>
      </c>
      <c r="BB171" t="str">
        <f>IF($C171="","",SUMIF('MOVIMENTI 2026'!$B$7:$B$4206,$C171,'MOVIMENTI 2026'!$J$7:$J$4206)+SUMIF('SALDI AL 31.12.2025'!$A$6:$A$505,$C171,'SALDI AL 31.12.2025'!$D$6:$D$505))</f>
        <v/>
      </c>
      <c r="BC171" t="str">
        <f>IF($C171="","",SUMIF('MOVIMENTI 2026'!$B$7:$B$4206,$C171,'MOVIMENTI 2026'!$K$7:$K$4206)+SUMIF('SALDI AL 31.12.2025'!$A$6:$A$505,$C171,'SALDI AL 31.12.2025'!$E$6:$E$505))</f>
        <v/>
      </c>
      <c r="BD171" t="str">
        <f>IF($C171="","",SUMIF('MOVIMENTI 2026'!$B$7:$B$4206,$C171,'MOVIMENTI 2026'!$L$7:$L$4206)+SUMIF('SALDI AL 31.12.2025'!$A$6:$A$505,$C171,'SALDI AL 31.12.2025'!$F$6:$F$505))</f>
        <v/>
      </c>
      <c r="BE171" t="str">
        <f t="shared" si="62"/>
        <v/>
      </c>
      <c r="BF171" t="str">
        <f t="shared" si="63"/>
        <v/>
      </c>
      <c r="BG171" t="str">
        <f t="shared" si="64"/>
        <v/>
      </c>
      <c r="BH171" t="str">
        <f>IFERROR(IF(OR($C171="",ANAGRAFICA!$I168="",ANAGRAFICA!$J168="",ANAGRAFICA!$J168&lt;=ANAGRAFICA!$I168,$Y171=""),"",IF(OR($I171="Finito ritenute non previste",$I171="Finito con sblocco ritenute",$I171="Finito senza sblocco ritenute"),1,MAX(0,MIN(1,($Y171-ANAGRAFICA!$I168)/(ANAGRAFICA!$J168-ANAGRAFICA!$I168))))),"")</f>
        <v/>
      </c>
      <c r="BI171" t="str">
        <f t="shared" si="65"/>
        <v/>
      </c>
      <c r="BJ171" t="str">
        <f>IFERROR(IF($C171="","",'BUDGET COMMESSA'!$D168),"")</f>
        <v/>
      </c>
      <c r="BK171" t="str">
        <f>IF($C171="","",SUMIF('MOVIMENTI 2026'!$B$7:$B$4206,$C171,'MOVIMENTI 2026'!$N$7:$N$4206)+SUMIF('SALDI AL 31.12.2025'!$A$6:$A$505,$C171,'SALDI AL 31.12.2025'!$H$6:$H$505))</f>
        <v/>
      </c>
      <c r="BL171" t="str">
        <f t="shared" si="66"/>
        <v/>
      </c>
      <c r="BM171" t="str">
        <f t="shared" si="67"/>
        <v/>
      </c>
      <c r="BN171" t="str">
        <f t="shared" si="68"/>
        <v/>
      </c>
      <c r="BO171" t="str">
        <f>IFERROR(IF($C171="","",'BUDGET COMMESSA'!$G168),"")</f>
        <v/>
      </c>
      <c r="BP171" t="str">
        <f>IF($C171="","",SUMIF('COSTI DIRETTI'!$C$6:$C$505,$C171,'COSTI DIRETTI'!$H$6:$H$505)+SUMIF('SALDI AL 31.12.2025'!$A$6:$A$505,$C171,'SALDI AL 31.12.2025'!$I$6:$I$505))</f>
        <v/>
      </c>
      <c r="BQ171" t="str">
        <f t="shared" si="69"/>
        <v/>
      </c>
      <c r="BR171" t="str">
        <f t="shared" si="70"/>
        <v/>
      </c>
      <c r="BS171" t="str">
        <f>IF($C171="","",$BK171*PARAMETRI!$B$4+$BP171)</f>
        <v/>
      </c>
      <c r="BT171">
        <f t="shared" si="71"/>
        <v>0</v>
      </c>
      <c r="BU171">
        <f t="shared" si="72"/>
        <v>0</v>
      </c>
      <c r="BV171" t="str">
        <f>IF($C171="","",SUMIF('MOVIMENTI 2026'!$B$7:$B$4206,$C171,'MOVIMENTI 2026'!$P$7:$P$4206)+SUMIF('SALDI AL 31.12.2025'!$A$6:$A$505,$C171,'SALDI AL 31.12.2025'!$G$6:$G$505))</f>
        <v/>
      </c>
    </row>
    <row r="172" spans="1:74" ht="16" x14ac:dyDescent="0.15">
      <c r="A172" s="17" t="str">
        <f>IFERROR(IF($C172="","",IF(OR($BF172&gt;0,$V172&gt;$J172,AND(ISNUMBER($Q172),$Q172&gt;0),AND($BI172&lt;&gt;"",$BI172&lt;-PARAMETRI!$B$6),AND($BM172&lt;&gt;"",$BM172&gt;=1),AND($BN172&lt;&gt;"",$BN172&gt;PARAMETRI!$B$8),AND(ISNUMBER($BR172),$BR172&gt;0)),"CRITICO",IF(OR($AZ172="",LEFT($C172,5)="TEMP",$BJ172="",$BO172="",ANAGRAFICA!$I169="",ANAGRAFICA!$J169="",$Y172="",AND(OR($I172="Finito ritenute non previste",$I172="Finito con sblocco ritenute",$I172="Finito senza sblocco ritenute"),ANAGRAFICA!$K169=""),OR(AND(ANAGRAFICA!$T169&lt;&gt;"",ANAGRAFICA!$J169&lt;&gt;ANAGRAFICA!$T169,OR(ANAGRAFICA!$R169="",ANAGRAFICA!$R169="Nessuna variazione")),AND(ANAGRAFICA!$J169="",ANAGRAFICA!$R169&lt;&gt;"",ANAGRAFICA!$R169&lt;&gt;"Nessuna variazione")),AND($BI172&lt;&gt;"",$BI172&lt;-PARAMETRI!$B$5),AND($BN172&lt;&gt;"",$BN172&gt;PARAMETRI!$B$7),AND($W172&gt;0,$M172&gt;$W172*PARAMETRI!$B$9),AND($O172&gt;0,OR($I172="Finito ritenute non previste",$I172="Finito con sblocco ritenute",$I172="Finito senza sblocco ritenute")),AND($BA172&gt;0,$BO172&gt;0,$BP172=0),AND(OR($I172="Finito ritenute non previste",$I172="Finito con sblocco ritenute",$I172="Finito senza sblocco ritenute"),$W172&gt;0,$N172&gt;$W172*PARAMETRI!$B$9),$V172&gt;0),"ATTENZIONE","REGOLARE"))),"ATTENZIONE")</f>
        <v/>
      </c>
      <c r="B172" s="17" t="str">
        <f>IFERROR(IF($C172="","",IF($BF172&gt;0,"FATTURATO OLTRE VALORE RECUPERABILE; ","")&amp;IF($V172&gt;$J172,"PERDITE ACCETTATE OLTRE CONTRATTO; ","")&amp;IF($V172&gt;0,"PERDITA SAL ACCETTATA (€ "&amp;TEXT($V172,"#,##0.00")&amp;"); ","")&amp;IF(AND(ISNUMBER($Q172),$Q172&gt;0),"RITARDO PRODUTTIVO ("&amp;TEXT($Q172,"0")&amp;" GG); ","")&amp;IF(AND($BI172&lt;&gt;"",$BI172&lt;-PARAMETRI!$B$5),"AVANZAMENTO PIÙ LENTO DEL TEMPO; ","")&amp;IF(AND($BM172&lt;&gt;"",$BM172&gt;1),"ORE OLTRE BUDGET; ","")&amp;IF(AND($BM172&lt;&gt;"",$BM172=1),"ORE PREVENTIVATE ESAURITE; ","")&amp;IF(AND($BN172&lt;&gt;"",$BN172&gt;PARAMETRI!$B$7),"CONSUMO ORE SUPERIORE ALL'AVANZAMENTO; ","")&amp;IF(AND(ISNUMBER($BR172),$BR172&gt;0),"COSTI DIRETTI OLTRE BUDGET; ","")&amp;IF(AND($W172&gt;0,$M172&gt;$W172*PARAMETRI!$B$9),"SAL MATURATO NON FATTURATO; ","")&amp;IF(AND($O172&gt;0,OR($I172="Finito ritenute non previste",$I172="Finito con sblocco ritenute",$I172="Finito senza sblocco ritenute")),"RITENUTE DA SBLOCCARE; ","")&amp;IF(AND($BA172&gt;0,$BO172&gt;0,$BP172=0),"COSTI DIRETTI NON REGISTRATI; ","")&amp;IF(AND(OR($I172="Finito ritenute non previste",$I172="Finito con sblocco ritenute",$I172="Finito senza sblocco ritenute"),$W172&gt;0,$N172&gt;$W172*PARAMETRI!$B$9),"CANTIERE FINITO CON RESIDUO LAVORI; ","")&amp;IF(AND(OR($I172="Finito ritenute non previste",$I172="Finito con sblocco ritenute",$I172="Finito senza sblocco ritenute"),ANAGRAFICA!$K169=""),"DATA FINE EFFETTIVA MANCANTE; ","")&amp;IF(OR(AND(ANAGRAFICA!$T169&lt;&gt;"",ANAGRAFICA!$J169&lt;&gt;ANAGRAFICA!$T169,OR(ANAGRAFICA!$R169="",ANAGRAFICA!$R169="Nessuna variazione")),AND(ANAGRAFICA!$J169="",ANAGRAFICA!$R169&lt;&gt;"",ANAGRAFICA!$R169&lt;&gt;"Nessuna variazione")),"GESTIONE DATA FINE INCOMPLETA; ","")&amp;IF($Y172="","AGGIORNATO AL MANCANTE; ","")&amp;IF(OR($AZ172="",$BJ172="",$BO172="",ANAGRAFICA!$I169="",ANAGRAFICA!$J169=""),"DATI PREVISIONALI INCOMPLETI; ","")&amp;IF(LEFT($C172,5)="TEMP","CODICE COMMESSA TEMPORANEO; ","")),"DATI INCOMPLETI; ")</f>
        <v/>
      </c>
      <c r="C172" s="17" t="str">
        <f>IF(ANAGRAFICA!$B169="","",ANAGRAFICA!$B169)</f>
        <v/>
      </c>
      <c r="D172" s="17" t="str">
        <f>IF($C172="","",ANAGRAFICA!$C169)</f>
        <v/>
      </c>
      <c r="E172" s="17" t="str">
        <f>IF($C172="","",ANAGRAFICA!$D169)</f>
        <v/>
      </c>
      <c r="F172" s="17" t="str">
        <f>IF($C172="","",ANAGRAFICA!$E169)</f>
        <v/>
      </c>
      <c r="G172" s="17" t="str">
        <f>IF($C172="","",ANAGRAFICA!$F169)</f>
        <v/>
      </c>
      <c r="H172" s="17" t="str">
        <f>IF($C172="","",ANAGRAFICA!$G169)</f>
        <v/>
      </c>
      <c r="I172" s="17" t="str">
        <f>IF($C172="","",ANAGRAFICA!$L169)</f>
        <v/>
      </c>
      <c r="J172" s="16" t="str">
        <f t="shared" si="49"/>
        <v/>
      </c>
      <c r="K172" s="16" t="str">
        <f t="shared" si="50"/>
        <v/>
      </c>
      <c r="L172" s="16" t="str">
        <f t="shared" si="51"/>
        <v/>
      </c>
      <c r="M172" s="16" t="str">
        <f t="shared" si="52"/>
        <v/>
      </c>
      <c r="N172" s="16" t="str">
        <f t="shared" si="53"/>
        <v/>
      </c>
      <c r="O172" s="16" t="str">
        <f t="shared" si="54"/>
        <v/>
      </c>
      <c r="P172" s="17" t="str">
        <f t="shared" si="55"/>
        <v/>
      </c>
      <c r="Q172" s="31" t="str">
        <f>IF(OR($C172="",'BUDGET COMMESSA'!$D169="",'BUDGET COMMESSA'!$D169&lt;=0,ANAGRAFICA!$J169=""),"",IF(OR($I172="Finito ritenute non previste",$I172="Finito con sblocco ritenute",$I172="Finito senza sblocco ritenute"),0,IF(AND($BK172&gt;=$BJ172,ANAGRAFICA!$R169="Ritardo produttivo FIDA"),IF(ANAGRAFICA!$T169&lt;&gt;"",MAX(0,ANAGRAFICA!$J169-ANAGRAFICA!$T169),MAX(0,$Y172-ANAGRAFICA!$J169)),0)))</f>
        <v/>
      </c>
      <c r="R172" s="17" t="str">
        <f t="shared" si="56"/>
        <v/>
      </c>
      <c r="S172" s="17" t="str">
        <f t="shared" si="57"/>
        <v/>
      </c>
      <c r="T172" s="17" t="str">
        <f t="shared" si="58"/>
        <v/>
      </c>
      <c r="U172" s="16" t="str">
        <f t="shared" si="59"/>
        <v/>
      </c>
      <c r="V172" s="16" t="str">
        <f t="shared" si="60"/>
        <v/>
      </c>
      <c r="W172" s="16" t="str">
        <f t="shared" si="61"/>
        <v/>
      </c>
      <c r="X172" s="40"/>
      <c r="Y172" s="14"/>
      <c r="AZ172" t="str">
        <f>IF($C172="","",ANAGRAFICA!$P169)</f>
        <v/>
      </c>
      <c r="BA172" t="str">
        <f>IF($C172="","",SUMIF('MOVIMENTI 2026'!$B$7:$B$4206,$C172,'MOVIMENTI 2026'!$I$7:$I$4206)+SUMIF('SALDI AL 31.12.2025'!$A$6:$A$505,$C172,'SALDI AL 31.12.2025'!$C$6:$C$505))</f>
        <v/>
      </c>
      <c r="BB172" t="str">
        <f>IF($C172="","",SUMIF('MOVIMENTI 2026'!$B$7:$B$4206,$C172,'MOVIMENTI 2026'!$J$7:$J$4206)+SUMIF('SALDI AL 31.12.2025'!$A$6:$A$505,$C172,'SALDI AL 31.12.2025'!$D$6:$D$505))</f>
        <v/>
      </c>
      <c r="BC172" t="str">
        <f>IF($C172="","",SUMIF('MOVIMENTI 2026'!$B$7:$B$4206,$C172,'MOVIMENTI 2026'!$K$7:$K$4206)+SUMIF('SALDI AL 31.12.2025'!$A$6:$A$505,$C172,'SALDI AL 31.12.2025'!$E$6:$E$505))</f>
        <v/>
      </c>
      <c r="BD172" t="str">
        <f>IF($C172="","",SUMIF('MOVIMENTI 2026'!$B$7:$B$4206,$C172,'MOVIMENTI 2026'!$L$7:$L$4206)+SUMIF('SALDI AL 31.12.2025'!$A$6:$A$505,$C172,'SALDI AL 31.12.2025'!$F$6:$F$505))</f>
        <v/>
      </c>
      <c r="BE172" t="str">
        <f t="shared" si="62"/>
        <v/>
      </c>
      <c r="BF172" t="str">
        <f t="shared" si="63"/>
        <v/>
      </c>
      <c r="BG172" t="str">
        <f t="shared" si="64"/>
        <v/>
      </c>
      <c r="BH172" t="str">
        <f>IFERROR(IF(OR($C172="",ANAGRAFICA!$I169="",ANAGRAFICA!$J169="",ANAGRAFICA!$J169&lt;=ANAGRAFICA!$I169,$Y172=""),"",IF(OR($I172="Finito ritenute non previste",$I172="Finito con sblocco ritenute",$I172="Finito senza sblocco ritenute"),1,MAX(0,MIN(1,($Y172-ANAGRAFICA!$I169)/(ANAGRAFICA!$J169-ANAGRAFICA!$I169))))),"")</f>
        <v/>
      </c>
      <c r="BI172" t="str">
        <f t="shared" si="65"/>
        <v/>
      </c>
      <c r="BJ172" t="str">
        <f>IFERROR(IF($C172="","",'BUDGET COMMESSA'!$D169),"")</f>
        <v/>
      </c>
      <c r="BK172" t="str">
        <f>IF($C172="","",SUMIF('MOVIMENTI 2026'!$B$7:$B$4206,$C172,'MOVIMENTI 2026'!$N$7:$N$4206)+SUMIF('SALDI AL 31.12.2025'!$A$6:$A$505,$C172,'SALDI AL 31.12.2025'!$H$6:$H$505))</f>
        <v/>
      </c>
      <c r="BL172" t="str">
        <f t="shared" si="66"/>
        <v/>
      </c>
      <c r="BM172" t="str">
        <f t="shared" si="67"/>
        <v/>
      </c>
      <c r="BN172" t="str">
        <f t="shared" si="68"/>
        <v/>
      </c>
      <c r="BO172" t="str">
        <f>IFERROR(IF($C172="","",'BUDGET COMMESSA'!$G169),"")</f>
        <v/>
      </c>
      <c r="BP172" t="str">
        <f>IF($C172="","",SUMIF('COSTI DIRETTI'!$C$6:$C$505,$C172,'COSTI DIRETTI'!$H$6:$H$505)+SUMIF('SALDI AL 31.12.2025'!$A$6:$A$505,$C172,'SALDI AL 31.12.2025'!$I$6:$I$505))</f>
        <v/>
      </c>
      <c r="BQ172" t="str">
        <f t="shared" si="69"/>
        <v/>
      </c>
      <c r="BR172" t="str">
        <f t="shared" si="70"/>
        <v/>
      </c>
      <c r="BS172" t="str">
        <f>IF($C172="","",$BK172*PARAMETRI!$B$4+$BP172)</f>
        <v/>
      </c>
      <c r="BT172">
        <f t="shared" si="71"/>
        <v>0</v>
      </c>
      <c r="BU172">
        <f t="shared" si="72"/>
        <v>0</v>
      </c>
      <c r="BV172" t="str">
        <f>IF($C172="","",SUMIF('MOVIMENTI 2026'!$B$7:$B$4206,$C172,'MOVIMENTI 2026'!$P$7:$P$4206)+SUMIF('SALDI AL 31.12.2025'!$A$6:$A$505,$C172,'SALDI AL 31.12.2025'!$G$6:$G$505))</f>
        <v/>
      </c>
    </row>
    <row r="173" spans="1:74" ht="16" x14ac:dyDescent="0.15">
      <c r="A173" s="17" t="str">
        <f>IFERROR(IF($C173="","",IF(OR($BF173&gt;0,$V173&gt;$J173,AND(ISNUMBER($Q173),$Q173&gt;0),AND($BI173&lt;&gt;"",$BI173&lt;-PARAMETRI!$B$6),AND($BM173&lt;&gt;"",$BM173&gt;=1),AND($BN173&lt;&gt;"",$BN173&gt;PARAMETRI!$B$8),AND(ISNUMBER($BR173),$BR173&gt;0)),"CRITICO",IF(OR($AZ173="",LEFT($C173,5)="TEMP",$BJ173="",$BO173="",ANAGRAFICA!$I170="",ANAGRAFICA!$J170="",$Y173="",AND(OR($I173="Finito ritenute non previste",$I173="Finito con sblocco ritenute",$I173="Finito senza sblocco ritenute"),ANAGRAFICA!$K170=""),OR(AND(ANAGRAFICA!$T170&lt;&gt;"",ANAGRAFICA!$J170&lt;&gt;ANAGRAFICA!$T170,OR(ANAGRAFICA!$R170="",ANAGRAFICA!$R170="Nessuna variazione")),AND(ANAGRAFICA!$J170="",ANAGRAFICA!$R170&lt;&gt;"",ANAGRAFICA!$R170&lt;&gt;"Nessuna variazione")),AND($BI173&lt;&gt;"",$BI173&lt;-PARAMETRI!$B$5),AND($BN173&lt;&gt;"",$BN173&gt;PARAMETRI!$B$7),AND($W173&gt;0,$M173&gt;$W173*PARAMETRI!$B$9),AND($O173&gt;0,OR($I173="Finito ritenute non previste",$I173="Finito con sblocco ritenute",$I173="Finito senza sblocco ritenute")),AND($BA173&gt;0,$BO173&gt;0,$BP173=0),AND(OR($I173="Finito ritenute non previste",$I173="Finito con sblocco ritenute",$I173="Finito senza sblocco ritenute"),$W173&gt;0,$N173&gt;$W173*PARAMETRI!$B$9),$V173&gt;0),"ATTENZIONE","REGOLARE"))),"ATTENZIONE")</f>
        <v/>
      </c>
      <c r="B173" s="17" t="str">
        <f>IFERROR(IF($C173="","",IF($BF173&gt;0,"FATTURATO OLTRE VALORE RECUPERABILE; ","")&amp;IF($V173&gt;$J173,"PERDITE ACCETTATE OLTRE CONTRATTO; ","")&amp;IF($V173&gt;0,"PERDITA SAL ACCETTATA (€ "&amp;TEXT($V173,"#,##0.00")&amp;"); ","")&amp;IF(AND(ISNUMBER($Q173),$Q173&gt;0),"RITARDO PRODUTTIVO ("&amp;TEXT($Q173,"0")&amp;" GG); ","")&amp;IF(AND($BI173&lt;&gt;"",$BI173&lt;-PARAMETRI!$B$5),"AVANZAMENTO PIÙ LENTO DEL TEMPO; ","")&amp;IF(AND($BM173&lt;&gt;"",$BM173&gt;1),"ORE OLTRE BUDGET; ","")&amp;IF(AND($BM173&lt;&gt;"",$BM173=1),"ORE PREVENTIVATE ESAURITE; ","")&amp;IF(AND($BN173&lt;&gt;"",$BN173&gt;PARAMETRI!$B$7),"CONSUMO ORE SUPERIORE ALL'AVANZAMENTO; ","")&amp;IF(AND(ISNUMBER($BR173),$BR173&gt;0),"COSTI DIRETTI OLTRE BUDGET; ","")&amp;IF(AND($W173&gt;0,$M173&gt;$W173*PARAMETRI!$B$9),"SAL MATURATO NON FATTURATO; ","")&amp;IF(AND($O173&gt;0,OR($I173="Finito ritenute non previste",$I173="Finito con sblocco ritenute",$I173="Finito senza sblocco ritenute")),"RITENUTE DA SBLOCCARE; ","")&amp;IF(AND($BA173&gt;0,$BO173&gt;0,$BP173=0),"COSTI DIRETTI NON REGISTRATI; ","")&amp;IF(AND(OR($I173="Finito ritenute non previste",$I173="Finito con sblocco ritenute",$I173="Finito senza sblocco ritenute"),$W173&gt;0,$N173&gt;$W173*PARAMETRI!$B$9),"CANTIERE FINITO CON RESIDUO LAVORI; ","")&amp;IF(AND(OR($I173="Finito ritenute non previste",$I173="Finito con sblocco ritenute",$I173="Finito senza sblocco ritenute"),ANAGRAFICA!$K170=""),"DATA FINE EFFETTIVA MANCANTE; ","")&amp;IF(OR(AND(ANAGRAFICA!$T170&lt;&gt;"",ANAGRAFICA!$J170&lt;&gt;ANAGRAFICA!$T170,OR(ANAGRAFICA!$R170="",ANAGRAFICA!$R170="Nessuna variazione")),AND(ANAGRAFICA!$J170="",ANAGRAFICA!$R170&lt;&gt;"",ANAGRAFICA!$R170&lt;&gt;"Nessuna variazione")),"GESTIONE DATA FINE INCOMPLETA; ","")&amp;IF($Y173="","AGGIORNATO AL MANCANTE; ","")&amp;IF(OR($AZ173="",$BJ173="",$BO173="",ANAGRAFICA!$I170="",ANAGRAFICA!$J170=""),"DATI PREVISIONALI INCOMPLETI; ","")&amp;IF(LEFT($C173,5)="TEMP","CODICE COMMESSA TEMPORANEO; ","")),"DATI INCOMPLETI; ")</f>
        <v/>
      </c>
      <c r="C173" s="17" t="str">
        <f>IF(ANAGRAFICA!$B170="","",ANAGRAFICA!$B170)</f>
        <v/>
      </c>
      <c r="D173" s="17" t="str">
        <f>IF($C173="","",ANAGRAFICA!$C170)</f>
        <v/>
      </c>
      <c r="E173" s="17" t="str">
        <f>IF($C173="","",ANAGRAFICA!$D170)</f>
        <v/>
      </c>
      <c r="F173" s="17" t="str">
        <f>IF($C173="","",ANAGRAFICA!$E170)</f>
        <v/>
      </c>
      <c r="G173" s="17" t="str">
        <f>IF($C173="","",ANAGRAFICA!$F170)</f>
        <v/>
      </c>
      <c r="H173" s="17" t="str">
        <f>IF($C173="","",ANAGRAFICA!$G170)</f>
        <v/>
      </c>
      <c r="I173" s="17" t="str">
        <f>IF($C173="","",ANAGRAFICA!$L170)</f>
        <v/>
      </c>
      <c r="J173" s="16" t="str">
        <f t="shared" si="49"/>
        <v/>
      </c>
      <c r="K173" s="16" t="str">
        <f t="shared" si="50"/>
        <v/>
      </c>
      <c r="L173" s="16" t="str">
        <f t="shared" si="51"/>
        <v/>
      </c>
      <c r="M173" s="16" t="str">
        <f t="shared" si="52"/>
        <v/>
      </c>
      <c r="N173" s="16" t="str">
        <f t="shared" si="53"/>
        <v/>
      </c>
      <c r="O173" s="16" t="str">
        <f t="shared" si="54"/>
        <v/>
      </c>
      <c r="P173" s="17" t="str">
        <f t="shared" si="55"/>
        <v/>
      </c>
      <c r="Q173" s="31" t="str">
        <f>IF(OR($C173="",'BUDGET COMMESSA'!$D170="",'BUDGET COMMESSA'!$D170&lt;=0,ANAGRAFICA!$J170=""),"",IF(OR($I173="Finito ritenute non previste",$I173="Finito con sblocco ritenute",$I173="Finito senza sblocco ritenute"),0,IF(AND($BK173&gt;=$BJ173,ANAGRAFICA!$R170="Ritardo produttivo FIDA"),IF(ANAGRAFICA!$T170&lt;&gt;"",MAX(0,ANAGRAFICA!$J170-ANAGRAFICA!$T170),MAX(0,$Y173-ANAGRAFICA!$J170)),0)))</f>
        <v/>
      </c>
      <c r="R173" s="17" t="str">
        <f t="shared" si="56"/>
        <v/>
      </c>
      <c r="S173" s="17" t="str">
        <f t="shared" si="57"/>
        <v/>
      </c>
      <c r="T173" s="17" t="str">
        <f t="shared" si="58"/>
        <v/>
      </c>
      <c r="U173" s="16" t="str">
        <f t="shared" si="59"/>
        <v/>
      </c>
      <c r="V173" s="16" t="str">
        <f t="shared" si="60"/>
        <v/>
      </c>
      <c r="W173" s="16" t="str">
        <f t="shared" si="61"/>
        <v/>
      </c>
      <c r="X173" s="40"/>
      <c r="Y173" s="14"/>
      <c r="AZ173" t="str">
        <f>IF($C173="","",ANAGRAFICA!$P170)</f>
        <v/>
      </c>
      <c r="BA173" t="str">
        <f>IF($C173="","",SUMIF('MOVIMENTI 2026'!$B$7:$B$4206,$C173,'MOVIMENTI 2026'!$I$7:$I$4206)+SUMIF('SALDI AL 31.12.2025'!$A$6:$A$505,$C173,'SALDI AL 31.12.2025'!$C$6:$C$505))</f>
        <v/>
      </c>
      <c r="BB173" t="str">
        <f>IF($C173="","",SUMIF('MOVIMENTI 2026'!$B$7:$B$4206,$C173,'MOVIMENTI 2026'!$J$7:$J$4206)+SUMIF('SALDI AL 31.12.2025'!$A$6:$A$505,$C173,'SALDI AL 31.12.2025'!$D$6:$D$505))</f>
        <v/>
      </c>
      <c r="BC173" t="str">
        <f>IF($C173="","",SUMIF('MOVIMENTI 2026'!$B$7:$B$4206,$C173,'MOVIMENTI 2026'!$K$7:$K$4206)+SUMIF('SALDI AL 31.12.2025'!$A$6:$A$505,$C173,'SALDI AL 31.12.2025'!$E$6:$E$505))</f>
        <v/>
      </c>
      <c r="BD173" t="str">
        <f>IF($C173="","",SUMIF('MOVIMENTI 2026'!$B$7:$B$4206,$C173,'MOVIMENTI 2026'!$L$7:$L$4206)+SUMIF('SALDI AL 31.12.2025'!$A$6:$A$505,$C173,'SALDI AL 31.12.2025'!$F$6:$F$505))</f>
        <v/>
      </c>
      <c r="BE173" t="str">
        <f t="shared" si="62"/>
        <v/>
      </c>
      <c r="BF173" t="str">
        <f t="shared" si="63"/>
        <v/>
      </c>
      <c r="BG173" t="str">
        <f t="shared" si="64"/>
        <v/>
      </c>
      <c r="BH173" t="str">
        <f>IFERROR(IF(OR($C173="",ANAGRAFICA!$I170="",ANAGRAFICA!$J170="",ANAGRAFICA!$J170&lt;=ANAGRAFICA!$I170,$Y173=""),"",IF(OR($I173="Finito ritenute non previste",$I173="Finito con sblocco ritenute",$I173="Finito senza sblocco ritenute"),1,MAX(0,MIN(1,($Y173-ANAGRAFICA!$I170)/(ANAGRAFICA!$J170-ANAGRAFICA!$I170))))),"")</f>
        <v/>
      </c>
      <c r="BI173" t="str">
        <f t="shared" si="65"/>
        <v/>
      </c>
      <c r="BJ173" t="str">
        <f>IFERROR(IF($C173="","",'BUDGET COMMESSA'!$D170),"")</f>
        <v/>
      </c>
      <c r="BK173" t="str">
        <f>IF($C173="","",SUMIF('MOVIMENTI 2026'!$B$7:$B$4206,$C173,'MOVIMENTI 2026'!$N$7:$N$4206)+SUMIF('SALDI AL 31.12.2025'!$A$6:$A$505,$C173,'SALDI AL 31.12.2025'!$H$6:$H$505))</f>
        <v/>
      </c>
      <c r="BL173" t="str">
        <f t="shared" si="66"/>
        <v/>
      </c>
      <c r="BM173" t="str">
        <f t="shared" si="67"/>
        <v/>
      </c>
      <c r="BN173" t="str">
        <f t="shared" si="68"/>
        <v/>
      </c>
      <c r="BO173" t="str">
        <f>IFERROR(IF($C173="","",'BUDGET COMMESSA'!$G170),"")</f>
        <v/>
      </c>
      <c r="BP173" t="str">
        <f>IF($C173="","",SUMIF('COSTI DIRETTI'!$C$6:$C$505,$C173,'COSTI DIRETTI'!$H$6:$H$505)+SUMIF('SALDI AL 31.12.2025'!$A$6:$A$505,$C173,'SALDI AL 31.12.2025'!$I$6:$I$505))</f>
        <v/>
      </c>
      <c r="BQ173" t="str">
        <f t="shared" si="69"/>
        <v/>
      </c>
      <c r="BR173" t="str">
        <f t="shared" si="70"/>
        <v/>
      </c>
      <c r="BS173" t="str">
        <f>IF($C173="","",$BK173*PARAMETRI!$B$4+$BP173)</f>
        <v/>
      </c>
      <c r="BT173">
        <f t="shared" si="71"/>
        <v>0</v>
      </c>
      <c r="BU173">
        <f t="shared" si="72"/>
        <v>0</v>
      </c>
      <c r="BV173" t="str">
        <f>IF($C173="","",SUMIF('MOVIMENTI 2026'!$B$7:$B$4206,$C173,'MOVIMENTI 2026'!$P$7:$P$4206)+SUMIF('SALDI AL 31.12.2025'!$A$6:$A$505,$C173,'SALDI AL 31.12.2025'!$G$6:$G$505))</f>
        <v/>
      </c>
    </row>
    <row r="174" spans="1:74" ht="16" x14ac:dyDescent="0.15">
      <c r="A174" s="17" t="str">
        <f>IFERROR(IF($C174="","",IF(OR($BF174&gt;0,$V174&gt;$J174,AND(ISNUMBER($Q174),$Q174&gt;0),AND($BI174&lt;&gt;"",$BI174&lt;-PARAMETRI!$B$6),AND($BM174&lt;&gt;"",$BM174&gt;=1),AND($BN174&lt;&gt;"",$BN174&gt;PARAMETRI!$B$8),AND(ISNUMBER($BR174),$BR174&gt;0)),"CRITICO",IF(OR($AZ174="",LEFT($C174,5)="TEMP",$BJ174="",$BO174="",ANAGRAFICA!$I171="",ANAGRAFICA!$J171="",$Y174="",AND(OR($I174="Finito ritenute non previste",$I174="Finito con sblocco ritenute",$I174="Finito senza sblocco ritenute"),ANAGRAFICA!$K171=""),OR(AND(ANAGRAFICA!$T171&lt;&gt;"",ANAGRAFICA!$J171&lt;&gt;ANAGRAFICA!$T171,OR(ANAGRAFICA!$R171="",ANAGRAFICA!$R171="Nessuna variazione")),AND(ANAGRAFICA!$J171="",ANAGRAFICA!$R171&lt;&gt;"",ANAGRAFICA!$R171&lt;&gt;"Nessuna variazione")),AND($BI174&lt;&gt;"",$BI174&lt;-PARAMETRI!$B$5),AND($BN174&lt;&gt;"",$BN174&gt;PARAMETRI!$B$7),AND($W174&gt;0,$M174&gt;$W174*PARAMETRI!$B$9),AND($O174&gt;0,OR($I174="Finito ritenute non previste",$I174="Finito con sblocco ritenute",$I174="Finito senza sblocco ritenute")),AND($BA174&gt;0,$BO174&gt;0,$BP174=0),AND(OR($I174="Finito ritenute non previste",$I174="Finito con sblocco ritenute",$I174="Finito senza sblocco ritenute"),$W174&gt;0,$N174&gt;$W174*PARAMETRI!$B$9),$V174&gt;0),"ATTENZIONE","REGOLARE"))),"ATTENZIONE")</f>
        <v/>
      </c>
      <c r="B174" s="17" t="str">
        <f>IFERROR(IF($C174="","",IF($BF174&gt;0,"FATTURATO OLTRE VALORE RECUPERABILE; ","")&amp;IF($V174&gt;$J174,"PERDITE ACCETTATE OLTRE CONTRATTO; ","")&amp;IF($V174&gt;0,"PERDITA SAL ACCETTATA (€ "&amp;TEXT($V174,"#,##0.00")&amp;"); ","")&amp;IF(AND(ISNUMBER($Q174),$Q174&gt;0),"RITARDO PRODUTTIVO ("&amp;TEXT($Q174,"0")&amp;" GG); ","")&amp;IF(AND($BI174&lt;&gt;"",$BI174&lt;-PARAMETRI!$B$5),"AVANZAMENTO PIÙ LENTO DEL TEMPO; ","")&amp;IF(AND($BM174&lt;&gt;"",$BM174&gt;1),"ORE OLTRE BUDGET; ","")&amp;IF(AND($BM174&lt;&gt;"",$BM174=1),"ORE PREVENTIVATE ESAURITE; ","")&amp;IF(AND($BN174&lt;&gt;"",$BN174&gt;PARAMETRI!$B$7),"CONSUMO ORE SUPERIORE ALL'AVANZAMENTO; ","")&amp;IF(AND(ISNUMBER($BR174),$BR174&gt;0),"COSTI DIRETTI OLTRE BUDGET; ","")&amp;IF(AND($W174&gt;0,$M174&gt;$W174*PARAMETRI!$B$9),"SAL MATURATO NON FATTURATO; ","")&amp;IF(AND($O174&gt;0,OR($I174="Finito ritenute non previste",$I174="Finito con sblocco ritenute",$I174="Finito senza sblocco ritenute")),"RITENUTE DA SBLOCCARE; ","")&amp;IF(AND($BA174&gt;0,$BO174&gt;0,$BP174=0),"COSTI DIRETTI NON REGISTRATI; ","")&amp;IF(AND(OR($I174="Finito ritenute non previste",$I174="Finito con sblocco ritenute",$I174="Finito senza sblocco ritenute"),$W174&gt;0,$N174&gt;$W174*PARAMETRI!$B$9),"CANTIERE FINITO CON RESIDUO LAVORI; ","")&amp;IF(AND(OR($I174="Finito ritenute non previste",$I174="Finito con sblocco ritenute",$I174="Finito senza sblocco ritenute"),ANAGRAFICA!$K171=""),"DATA FINE EFFETTIVA MANCANTE; ","")&amp;IF(OR(AND(ANAGRAFICA!$T171&lt;&gt;"",ANAGRAFICA!$J171&lt;&gt;ANAGRAFICA!$T171,OR(ANAGRAFICA!$R171="",ANAGRAFICA!$R171="Nessuna variazione")),AND(ANAGRAFICA!$J171="",ANAGRAFICA!$R171&lt;&gt;"",ANAGRAFICA!$R171&lt;&gt;"Nessuna variazione")),"GESTIONE DATA FINE INCOMPLETA; ","")&amp;IF($Y174="","AGGIORNATO AL MANCANTE; ","")&amp;IF(OR($AZ174="",$BJ174="",$BO174="",ANAGRAFICA!$I171="",ANAGRAFICA!$J171=""),"DATI PREVISIONALI INCOMPLETI; ","")&amp;IF(LEFT($C174,5)="TEMP","CODICE COMMESSA TEMPORANEO; ","")),"DATI INCOMPLETI; ")</f>
        <v/>
      </c>
      <c r="C174" s="17" t="str">
        <f>IF(ANAGRAFICA!$B171="","",ANAGRAFICA!$B171)</f>
        <v/>
      </c>
      <c r="D174" s="17" t="str">
        <f>IF($C174="","",ANAGRAFICA!$C171)</f>
        <v/>
      </c>
      <c r="E174" s="17" t="str">
        <f>IF($C174="","",ANAGRAFICA!$D171)</f>
        <v/>
      </c>
      <c r="F174" s="17" t="str">
        <f>IF($C174="","",ANAGRAFICA!$E171)</f>
        <v/>
      </c>
      <c r="G174" s="17" t="str">
        <f>IF($C174="","",ANAGRAFICA!$F171)</f>
        <v/>
      </c>
      <c r="H174" s="17" t="str">
        <f>IF($C174="","",ANAGRAFICA!$G171)</f>
        <v/>
      </c>
      <c r="I174" s="17" t="str">
        <f>IF($C174="","",ANAGRAFICA!$L171)</f>
        <v/>
      </c>
      <c r="J174" s="16" t="str">
        <f t="shared" si="49"/>
        <v/>
      </c>
      <c r="K174" s="16" t="str">
        <f t="shared" si="50"/>
        <v/>
      </c>
      <c r="L174" s="16" t="str">
        <f t="shared" si="51"/>
        <v/>
      </c>
      <c r="M174" s="16" t="str">
        <f t="shared" si="52"/>
        <v/>
      </c>
      <c r="N174" s="16" t="str">
        <f t="shared" si="53"/>
        <v/>
      </c>
      <c r="O174" s="16" t="str">
        <f t="shared" si="54"/>
        <v/>
      </c>
      <c r="P174" s="17" t="str">
        <f t="shared" si="55"/>
        <v/>
      </c>
      <c r="Q174" s="31" t="str">
        <f>IF(OR($C174="",'BUDGET COMMESSA'!$D171="",'BUDGET COMMESSA'!$D171&lt;=0,ANAGRAFICA!$J171=""),"",IF(OR($I174="Finito ritenute non previste",$I174="Finito con sblocco ritenute",$I174="Finito senza sblocco ritenute"),0,IF(AND($BK174&gt;=$BJ174,ANAGRAFICA!$R171="Ritardo produttivo FIDA"),IF(ANAGRAFICA!$T171&lt;&gt;"",MAX(0,ANAGRAFICA!$J171-ANAGRAFICA!$T171),MAX(0,$Y174-ANAGRAFICA!$J171)),0)))</f>
        <v/>
      </c>
      <c r="R174" s="17" t="str">
        <f t="shared" si="56"/>
        <v/>
      </c>
      <c r="S174" s="17" t="str">
        <f t="shared" si="57"/>
        <v/>
      </c>
      <c r="T174" s="17" t="str">
        <f t="shared" si="58"/>
        <v/>
      </c>
      <c r="U174" s="16" t="str">
        <f t="shared" si="59"/>
        <v/>
      </c>
      <c r="V174" s="16" t="str">
        <f t="shared" si="60"/>
        <v/>
      </c>
      <c r="W174" s="16" t="str">
        <f t="shared" si="61"/>
        <v/>
      </c>
      <c r="X174" s="40"/>
      <c r="Y174" s="14"/>
      <c r="AZ174" t="str">
        <f>IF($C174="","",ANAGRAFICA!$P171)</f>
        <v/>
      </c>
      <c r="BA174" t="str">
        <f>IF($C174="","",SUMIF('MOVIMENTI 2026'!$B$7:$B$4206,$C174,'MOVIMENTI 2026'!$I$7:$I$4206)+SUMIF('SALDI AL 31.12.2025'!$A$6:$A$505,$C174,'SALDI AL 31.12.2025'!$C$6:$C$505))</f>
        <v/>
      </c>
      <c r="BB174" t="str">
        <f>IF($C174="","",SUMIF('MOVIMENTI 2026'!$B$7:$B$4206,$C174,'MOVIMENTI 2026'!$J$7:$J$4206)+SUMIF('SALDI AL 31.12.2025'!$A$6:$A$505,$C174,'SALDI AL 31.12.2025'!$D$6:$D$505))</f>
        <v/>
      </c>
      <c r="BC174" t="str">
        <f>IF($C174="","",SUMIF('MOVIMENTI 2026'!$B$7:$B$4206,$C174,'MOVIMENTI 2026'!$K$7:$K$4206)+SUMIF('SALDI AL 31.12.2025'!$A$6:$A$505,$C174,'SALDI AL 31.12.2025'!$E$6:$E$505))</f>
        <v/>
      </c>
      <c r="BD174" t="str">
        <f>IF($C174="","",SUMIF('MOVIMENTI 2026'!$B$7:$B$4206,$C174,'MOVIMENTI 2026'!$L$7:$L$4206)+SUMIF('SALDI AL 31.12.2025'!$A$6:$A$505,$C174,'SALDI AL 31.12.2025'!$F$6:$F$505))</f>
        <v/>
      </c>
      <c r="BE174" t="str">
        <f t="shared" si="62"/>
        <v/>
      </c>
      <c r="BF174" t="str">
        <f t="shared" si="63"/>
        <v/>
      </c>
      <c r="BG174" t="str">
        <f t="shared" si="64"/>
        <v/>
      </c>
      <c r="BH174" t="str">
        <f>IFERROR(IF(OR($C174="",ANAGRAFICA!$I171="",ANAGRAFICA!$J171="",ANAGRAFICA!$J171&lt;=ANAGRAFICA!$I171,$Y174=""),"",IF(OR($I174="Finito ritenute non previste",$I174="Finito con sblocco ritenute",$I174="Finito senza sblocco ritenute"),1,MAX(0,MIN(1,($Y174-ANAGRAFICA!$I171)/(ANAGRAFICA!$J171-ANAGRAFICA!$I171))))),"")</f>
        <v/>
      </c>
      <c r="BI174" t="str">
        <f t="shared" si="65"/>
        <v/>
      </c>
      <c r="BJ174" t="str">
        <f>IFERROR(IF($C174="","",'BUDGET COMMESSA'!$D171),"")</f>
        <v/>
      </c>
      <c r="BK174" t="str">
        <f>IF($C174="","",SUMIF('MOVIMENTI 2026'!$B$7:$B$4206,$C174,'MOVIMENTI 2026'!$N$7:$N$4206)+SUMIF('SALDI AL 31.12.2025'!$A$6:$A$505,$C174,'SALDI AL 31.12.2025'!$H$6:$H$505))</f>
        <v/>
      </c>
      <c r="BL174" t="str">
        <f t="shared" si="66"/>
        <v/>
      </c>
      <c r="BM174" t="str">
        <f t="shared" si="67"/>
        <v/>
      </c>
      <c r="BN174" t="str">
        <f t="shared" si="68"/>
        <v/>
      </c>
      <c r="BO174" t="str">
        <f>IFERROR(IF($C174="","",'BUDGET COMMESSA'!$G171),"")</f>
        <v/>
      </c>
      <c r="BP174" t="str">
        <f>IF($C174="","",SUMIF('COSTI DIRETTI'!$C$6:$C$505,$C174,'COSTI DIRETTI'!$H$6:$H$505)+SUMIF('SALDI AL 31.12.2025'!$A$6:$A$505,$C174,'SALDI AL 31.12.2025'!$I$6:$I$505))</f>
        <v/>
      </c>
      <c r="BQ174" t="str">
        <f t="shared" si="69"/>
        <v/>
      </c>
      <c r="BR174" t="str">
        <f t="shared" si="70"/>
        <v/>
      </c>
      <c r="BS174" t="str">
        <f>IF($C174="","",$BK174*PARAMETRI!$B$4+$BP174)</f>
        <v/>
      </c>
      <c r="BT174">
        <f t="shared" si="71"/>
        <v>0</v>
      </c>
      <c r="BU174">
        <f t="shared" si="72"/>
        <v>0</v>
      </c>
      <c r="BV174" t="str">
        <f>IF($C174="","",SUMIF('MOVIMENTI 2026'!$B$7:$B$4206,$C174,'MOVIMENTI 2026'!$P$7:$P$4206)+SUMIF('SALDI AL 31.12.2025'!$A$6:$A$505,$C174,'SALDI AL 31.12.2025'!$G$6:$G$505))</f>
        <v/>
      </c>
    </row>
    <row r="175" spans="1:74" ht="16" x14ac:dyDescent="0.15">
      <c r="A175" s="17" t="str">
        <f>IFERROR(IF($C175="","",IF(OR($BF175&gt;0,$V175&gt;$J175,AND(ISNUMBER($Q175),$Q175&gt;0),AND($BI175&lt;&gt;"",$BI175&lt;-PARAMETRI!$B$6),AND($BM175&lt;&gt;"",$BM175&gt;=1),AND($BN175&lt;&gt;"",$BN175&gt;PARAMETRI!$B$8),AND(ISNUMBER($BR175),$BR175&gt;0)),"CRITICO",IF(OR($AZ175="",LEFT($C175,5)="TEMP",$BJ175="",$BO175="",ANAGRAFICA!$I172="",ANAGRAFICA!$J172="",$Y175="",AND(OR($I175="Finito ritenute non previste",$I175="Finito con sblocco ritenute",$I175="Finito senza sblocco ritenute"),ANAGRAFICA!$K172=""),OR(AND(ANAGRAFICA!$T172&lt;&gt;"",ANAGRAFICA!$J172&lt;&gt;ANAGRAFICA!$T172,OR(ANAGRAFICA!$R172="",ANAGRAFICA!$R172="Nessuna variazione")),AND(ANAGRAFICA!$J172="",ANAGRAFICA!$R172&lt;&gt;"",ANAGRAFICA!$R172&lt;&gt;"Nessuna variazione")),AND($BI175&lt;&gt;"",$BI175&lt;-PARAMETRI!$B$5),AND($BN175&lt;&gt;"",$BN175&gt;PARAMETRI!$B$7),AND($W175&gt;0,$M175&gt;$W175*PARAMETRI!$B$9),AND($O175&gt;0,OR($I175="Finito ritenute non previste",$I175="Finito con sblocco ritenute",$I175="Finito senza sblocco ritenute")),AND($BA175&gt;0,$BO175&gt;0,$BP175=0),AND(OR($I175="Finito ritenute non previste",$I175="Finito con sblocco ritenute",$I175="Finito senza sblocco ritenute"),$W175&gt;0,$N175&gt;$W175*PARAMETRI!$B$9),$V175&gt;0),"ATTENZIONE","REGOLARE"))),"ATTENZIONE")</f>
        <v/>
      </c>
      <c r="B175" s="17" t="str">
        <f>IFERROR(IF($C175="","",IF($BF175&gt;0,"FATTURATO OLTRE VALORE RECUPERABILE; ","")&amp;IF($V175&gt;$J175,"PERDITE ACCETTATE OLTRE CONTRATTO; ","")&amp;IF($V175&gt;0,"PERDITA SAL ACCETTATA (€ "&amp;TEXT($V175,"#,##0.00")&amp;"); ","")&amp;IF(AND(ISNUMBER($Q175),$Q175&gt;0),"RITARDO PRODUTTIVO ("&amp;TEXT($Q175,"0")&amp;" GG); ","")&amp;IF(AND($BI175&lt;&gt;"",$BI175&lt;-PARAMETRI!$B$5),"AVANZAMENTO PIÙ LENTO DEL TEMPO; ","")&amp;IF(AND($BM175&lt;&gt;"",$BM175&gt;1),"ORE OLTRE BUDGET; ","")&amp;IF(AND($BM175&lt;&gt;"",$BM175=1),"ORE PREVENTIVATE ESAURITE; ","")&amp;IF(AND($BN175&lt;&gt;"",$BN175&gt;PARAMETRI!$B$7),"CONSUMO ORE SUPERIORE ALL'AVANZAMENTO; ","")&amp;IF(AND(ISNUMBER($BR175),$BR175&gt;0),"COSTI DIRETTI OLTRE BUDGET; ","")&amp;IF(AND($W175&gt;0,$M175&gt;$W175*PARAMETRI!$B$9),"SAL MATURATO NON FATTURATO; ","")&amp;IF(AND($O175&gt;0,OR($I175="Finito ritenute non previste",$I175="Finito con sblocco ritenute",$I175="Finito senza sblocco ritenute")),"RITENUTE DA SBLOCCARE; ","")&amp;IF(AND($BA175&gt;0,$BO175&gt;0,$BP175=0),"COSTI DIRETTI NON REGISTRATI; ","")&amp;IF(AND(OR($I175="Finito ritenute non previste",$I175="Finito con sblocco ritenute",$I175="Finito senza sblocco ritenute"),$W175&gt;0,$N175&gt;$W175*PARAMETRI!$B$9),"CANTIERE FINITO CON RESIDUO LAVORI; ","")&amp;IF(AND(OR($I175="Finito ritenute non previste",$I175="Finito con sblocco ritenute",$I175="Finito senza sblocco ritenute"),ANAGRAFICA!$K172=""),"DATA FINE EFFETTIVA MANCANTE; ","")&amp;IF(OR(AND(ANAGRAFICA!$T172&lt;&gt;"",ANAGRAFICA!$J172&lt;&gt;ANAGRAFICA!$T172,OR(ANAGRAFICA!$R172="",ANAGRAFICA!$R172="Nessuna variazione")),AND(ANAGRAFICA!$J172="",ANAGRAFICA!$R172&lt;&gt;"",ANAGRAFICA!$R172&lt;&gt;"Nessuna variazione")),"GESTIONE DATA FINE INCOMPLETA; ","")&amp;IF($Y175="","AGGIORNATO AL MANCANTE; ","")&amp;IF(OR($AZ175="",$BJ175="",$BO175="",ANAGRAFICA!$I172="",ANAGRAFICA!$J172=""),"DATI PREVISIONALI INCOMPLETI; ","")&amp;IF(LEFT($C175,5)="TEMP","CODICE COMMESSA TEMPORANEO; ","")),"DATI INCOMPLETI; ")</f>
        <v/>
      </c>
      <c r="C175" s="17" t="str">
        <f>IF(ANAGRAFICA!$B172="","",ANAGRAFICA!$B172)</f>
        <v/>
      </c>
      <c r="D175" s="17" t="str">
        <f>IF($C175="","",ANAGRAFICA!$C172)</f>
        <v/>
      </c>
      <c r="E175" s="17" t="str">
        <f>IF($C175="","",ANAGRAFICA!$D172)</f>
        <v/>
      </c>
      <c r="F175" s="17" t="str">
        <f>IF($C175="","",ANAGRAFICA!$E172)</f>
        <v/>
      </c>
      <c r="G175" s="17" t="str">
        <f>IF($C175="","",ANAGRAFICA!$F172)</f>
        <v/>
      </c>
      <c r="H175" s="17" t="str">
        <f>IF($C175="","",ANAGRAFICA!$G172)</f>
        <v/>
      </c>
      <c r="I175" s="17" t="str">
        <f>IF($C175="","",ANAGRAFICA!$L172)</f>
        <v/>
      </c>
      <c r="J175" s="16" t="str">
        <f t="shared" si="49"/>
        <v/>
      </c>
      <c r="K175" s="16" t="str">
        <f t="shared" si="50"/>
        <v/>
      </c>
      <c r="L175" s="16" t="str">
        <f t="shared" si="51"/>
        <v/>
      </c>
      <c r="M175" s="16" t="str">
        <f t="shared" si="52"/>
        <v/>
      </c>
      <c r="N175" s="16" t="str">
        <f t="shared" si="53"/>
        <v/>
      </c>
      <c r="O175" s="16" t="str">
        <f t="shared" si="54"/>
        <v/>
      </c>
      <c r="P175" s="17" t="str">
        <f t="shared" si="55"/>
        <v/>
      </c>
      <c r="Q175" s="31" t="str">
        <f>IF(OR($C175="",'BUDGET COMMESSA'!$D172="",'BUDGET COMMESSA'!$D172&lt;=0,ANAGRAFICA!$J172=""),"",IF(OR($I175="Finito ritenute non previste",$I175="Finito con sblocco ritenute",$I175="Finito senza sblocco ritenute"),0,IF(AND($BK175&gt;=$BJ175,ANAGRAFICA!$R172="Ritardo produttivo FIDA"),IF(ANAGRAFICA!$T172&lt;&gt;"",MAX(0,ANAGRAFICA!$J172-ANAGRAFICA!$T172),MAX(0,$Y175-ANAGRAFICA!$J172)),0)))</f>
        <v/>
      </c>
      <c r="R175" s="17" t="str">
        <f t="shared" si="56"/>
        <v/>
      </c>
      <c r="S175" s="17" t="str">
        <f t="shared" si="57"/>
        <v/>
      </c>
      <c r="T175" s="17" t="str">
        <f t="shared" si="58"/>
        <v/>
      </c>
      <c r="U175" s="16" t="str">
        <f t="shared" si="59"/>
        <v/>
      </c>
      <c r="V175" s="16" t="str">
        <f t="shared" si="60"/>
        <v/>
      </c>
      <c r="W175" s="16" t="str">
        <f t="shared" si="61"/>
        <v/>
      </c>
      <c r="X175" s="40"/>
      <c r="Y175" s="14"/>
      <c r="AZ175" t="str">
        <f>IF($C175="","",ANAGRAFICA!$P172)</f>
        <v/>
      </c>
      <c r="BA175" t="str">
        <f>IF($C175="","",SUMIF('MOVIMENTI 2026'!$B$7:$B$4206,$C175,'MOVIMENTI 2026'!$I$7:$I$4206)+SUMIF('SALDI AL 31.12.2025'!$A$6:$A$505,$C175,'SALDI AL 31.12.2025'!$C$6:$C$505))</f>
        <v/>
      </c>
      <c r="BB175" t="str">
        <f>IF($C175="","",SUMIF('MOVIMENTI 2026'!$B$7:$B$4206,$C175,'MOVIMENTI 2026'!$J$7:$J$4206)+SUMIF('SALDI AL 31.12.2025'!$A$6:$A$505,$C175,'SALDI AL 31.12.2025'!$D$6:$D$505))</f>
        <v/>
      </c>
      <c r="BC175" t="str">
        <f>IF($C175="","",SUMIF('MOVIMENTI 2026'!$B$7:$B$4206,$C175,'MOVIMENTI 2026'!$K$7:$K$4206)+SUMIF('SALDI AL 31.12.2025'!$A$6:$A$505,$C175,'SALDI AL 31.12.2025'!$E$6:$E$505))</f>
        <v/>
      </c>
      <c r="BD175" t="str">
        <f>IF($C175="","",SUMIF('MOVIMENTI 2026'!$B$7:$B$4206,$C175,'MOVIMENTI 2026'!$L$7:$L$4206)+SUMIF('SALDI AL 31.12.2025'!$A$6:$A$505,$C175,'SALDI AL 31.12.2025'!$F$6:$F$505))</f>
        <v/>
      </c>
      <c r="BE175" t="str">
        <f t="shared" si="62"/>
        <v/>
      </c>
      <c r="BF175" t="str">
        <f t="shared" si="63"/>
        <v/>
      </c>
      <c r="BG175" t="str">
        <f t="shared" si="64"/>
        <v/>
      </c>
      <c r="BH175" t="str">
        <f>IFERROR(IF(OR($C175="",ANAGRAFICA!$I172="",ANAGRAFICA!$J172="",ANAGRAFICA!$J172&lt;=ANAGRAFICA!$I172,$Y175=""),"",IF(OR($I175="Finito ritenute non previste",$I175="Finito con sblocco ritenute",$I175="Finito senza sblocco ritenute"),1,MAX(0,MIN(1,($Y175-ANAGRAFICA!$I172)/(ANAGRAFICA!$J172-ANAGRAFICA!$I172))))),"")</f>
        <v/>
      </c>
      <c r="BI175" t="str">
        <f t="shared" si="65"/>
        <v/>
      </c>
      <c r="BJ175" t="str">
        <f>IFERROR(IF($C175="","",'BUDGET COMMESSA'!$D172),"")</f>
        <v/>
      </c>
      <c r="BK175" t="str">
        <f>IF($C175="","",SUMIF('MOVIMENTI 2026'!$B$7:$B$4206,$C175,'MOVIMENTI 2026'!$N$7:$N$4206)+SUMIF('SALDI AL 31.12.2025'!$A$6:$A$505,$C175,'SALDI AL 31.12.2025'!$H$6:$H$505))</f>
        <v/>
      </c>
      <c r="BL175" t="str">
        <f t="shared" si="66"/>
        <v/>
      </c>
      <c r="BM175" t="str">
        <f t="shared" si="67"/>
        <v/>
      </c>
      <c r="BN175" t="str">
        <f t="shared" si="68"/>
        <v/>
      </c>
      <c r="BO175" t="str">
        <f>IFERROR(IF($C175="","",'BUDGET COMMESSA'!$G172),"")</f>
        <v/>
      </c>
      <c r="BP175" t="str">
        <f>IF($C175="","",SUMIF('COSTI DIRETTI'!$C$6:$C$505,$C175,'COSTI DIRETTI'!$H$6:$H$505)+SUMIF('SALDI AL 31.12.2025'!$A$6:$A$505,$C175,'SALDI AL 31.12.2025'!$I$6:$I$505))</f>
        <v/>
      </c>
      <c r="BQ175" t="str">
        <f t="shared" si="69"/>
        <v/>
      </c>
      <c r="BR175" t="str">
        <f t="shared" si="70"/>
        <v/>
      </c>
      <c r="BS175" t="str">
        <f>IF($C175="","",$BK175*PARAMETRI!$B$4+$BP175)</f>
        <v/>
      </c>
      <c r="BT175">
        <f t="shared" si="71"/>
        <v>0</v>
      </c>
      <c r="BU175">
        <f t="shared" si="72"/>
        <v>0</v>
      </c>
      <c r="BV175" t="str">
        <f>IF($C175="","",SUMIF('MOVIMENTI 2026'!$B$7:$B$4206,$C175,'MOVIMENTI 2026'!$P$7:$P$4206)+SUMIF('SALDI AL 31.12.2025'!$A$6:$A$505,$C175,'SALDI AL 31.12.2025'!$G$6:$G$505))</f>
        <v/>
      </c>
    </row>
    <row r="176" spans="1:74" ht="16" x14ac:dyDescent="0.15">
      <c r="A176" s="17" t="str">
        <f>IFERROR(IF($C176="","",IF(OR($BF176&gt;0,$V176&gt;$J176,AND(ISNUMBER($Q176),$Q176&gt;0),AND($BI176&lt;&gt;"",$BI176&lt;-PARAMETRI!$B$6),AND($BM176&lt;&gt;"",$BM176&gt;=1),AND($BN176&lt;&gt;"",$BN176&gt;PARAMETRI!$B$8),AND(ISNUMBER($BR176),$BR176&gt;0)),"CRITICO",IF(OR($AZ176="",LEFT($C176,5)="TEMP",$BJ176="",$BO176="",ANAGRAFICA!$I173="",ANAGRAFICA!$J173="",$Y176="",AND(OR($I176="Finito ritenute non previste",$I176="Finito con sblocco ritenute",$I176="Finito senza sblocco ritenute"),ANAGRAFICA!$K173=""),OR(AND(ANAGRAFICA!$T173&lt;&gt;"",ANAGRAFICA!$J173&lt;&gt;ANAGRAFICA!$T173,OR(ANAGRAFICA!$R173="",ANAGRAFICA!$R173="Nessuna variazione")),AND(ANAGRAFICA!$J173="",ANAGRAFICA!$R173&lt;&gt;"",ANAGRAFICA!$R173&lt;&gt;"Nessuna variazione")),AND($BI176&lt;&gt;"",$BI176&lt;-PARAMETRI!$B$5),AND($BN176&lt;&gt;"",$BN176&gt;PARAMETRI!$B$7),AND($W176&gt;0,$M176&gt;$W176*PARAMETRI!$B$9),AND($O176&gt;0,OR($I176="Finito ritenute non previste",$I176="Finito con sblocco ritenute",$I176="Finito senza sblocco ritenute")),AND($BA176&gt;0,$BO176&gt;0,$BP176=0),AND(OR($I176="Finito ritenute non previste",$I176="Finito con sblocco ritenute",$I176="Finito senza sblocco ritenute"),$W176&gt;0,$N176&gt;$W176*PARAMETRI!$B$9),$V176&gt;0),"ATTENZIONE","REGOLARE"))),"ATTENZIONE")</f>
        <v/>
      </c>
      <c r="B176" s="17" t="str">
        <f>IFERROR(IF($C176="","",IF($BF176&gt;0,"FATTURATO OLTRE VALORE RECUPERABILE; ","")&amp;IF($V176&gt;$J176,"PERDITE ACCETTATE OLTRE CONTRATTO; ","")&amp;IF($V176&gt;0,"PERDITA SAL ACCETTATA (€ "&amp;TEXT($V176,"#,##0.00")&amp;"); ","")&amp;IF(AND(ISNUMBER($Q176),$Q176&gt;0),"RITARDO PRODUTTIVO ("&amp;TEXT($Q176,"0")&amp;" GG); ","")&amp;IF(AND($BI176&lt;&gt;"",$BI176&lt;-PARAMETRI!$B$5),"AVANZAMENTO PIÙ LENTO DEL TEMPO; ","")&amp;IF(AND($BM176&lt;&gt;"",$BM176&gt;1),"ORE OLTRE BUDGET; ","")&amp;IF(AND($BM176&lt;&gt;"",$BM176=1),"ORE PREVENTIVATE ESAURITE; ","")&amp;IF(AND($BN176&lt;&gt;"",$BN176&gt;PARAMETRI!$B$7),"CONSUMO ORE SUPERIORE ALL'AVANZAMENTO; ","")&amp;IF(AND(ISNUMBER($BR176),$BR176&gt;0),"COSTI DIRETTI OLTRE BUDGET; ","")&amp;IF(AND($W176&gt;0,$M176&gt;$W176*PARAMETRI!$B$9),"SAL MATURATO NON FATTURATO; ","")&amp;IF(AND($O176&gt;0,OR($I176="Finito ritenute non previste",$I176="Finito con sblocco ritenute",$I176="Finito senza sblocco ritenute")),"RITENUTE DA SBLOCCARE; ","")&amp;IF(AND($BA176&gt;0,$BO176&gt;0,$BP176=0),"COSTI DIRETTI NON REGISTRATI; ","")&amp;IF(AND(OR($I176="Finito ritenute non previste",$I176="Finito con sblocco ritenute",$I176="Finito senza sblocco ritenute"),$W176&gt;0,$N176&gt;$W176*PARAMETRI!$B$9),"CANTIERE FINITO CON RESIDUO LAVORI; ","")&amp;IF(AND(OR($I176="Finito ritenute non previste",$I176="Finito con sblocco ritenute",$I176="Finito senza sblocco ritenute"),ANAGRAFICA!$K173=""),"DATA FINE EFFETTIVA MANCANTE; ","")&amp;IF(OR(AND(ANAGRAFICA!$T173&lt;&gt;"",ANAGRAFICA!$J173&lt;&gt;ANAGRAFICA!$T173,OR(ANAGRAFICA!$R173="",ANAGRAFICA!$R173="Nessuna variazione")),AND(ANAGRAFICA!$J173="",ANAGRAFICA!$R173&lt;&gt;"",ANAGRAFICA!$R173&lt;&gt;"Nessuna variazione")),"GESTIONE DATA FINE INCOMPLETA; ","")&amp;IF($Y176="","AGGIORNATO AL MANCANTE; ","")&amp;IF(OR($AZ176="",$BJ176="",$BO176="",ANAGRAFICA!$I173="",ANAGRAFICA!$J173=""),"DATI PREVISIONALI INCOMPLETI; ","")&amp;IF(LEFT($C176,5)="TEMP","CODICE COMMESSA TEMPORANEO; ","")),"DATI INCOMPLETI; ")</f>
        <v/>
      </c>
      <c r="C176" s="17" t="str">
        <f>IF(ANAGRAFICA!$B173="","",ANAGRAFICA!$B173)</f>
        <v/>
      </c>
      <c r="D176" s="17" t="str">
        <f>IF($C176="","",ANAGRAFICA!$C173)</f>
        <v/>
      </c>
      <c r="E176" s="17" t="str">
        <f>IF($C176="","",ANAGRAFICA!$D173)</f>
        <v/>
      </c>
      <c r="F176" s="17" t="str">
        <f>IF($C176="","",ANAGRAFICA!$E173)</f>
        <v/>
      </c>
      <c r="G176" s="17" t="str">
        <f>IF($C176="","",ANAGRAFICA!$F173)</f>
        <v/>
      </c>
      <c r="H176" s="17" t="str">
        <f>IF($C176="","",ANAGRAFICA!$G173)</f>
        <v/>
      </c>
      <c r="I176" s="17" t="str">
        <f>IF($C176="","",ANAGRAFICA!$L173)</f>
        <v/>
      </c>
      <c r="J176" s="16" t="str">
        <f t="shared" si="49"/>
        <v/>
      </c>
      <c r="K176" s="16" t="str">
        <f t="shared" si="50"/>
        <v/>
      </c>
      <c r="L176" s="16" t="str">
        <f t="shared" si="51"/>
        <v/>
      </c>
      <c r="M176" s="16" t="str">
        <f t="shared" si="52"/>
        <v/>
      </c>
      <c r="N176" s="16" t="str">
        <f t="shared" si="53"/>
        <v/>
      </c>
      <c r="O176" s="16" t="str">
        <f t="shared" si="54"/>
        <v/>
      </c>
      <c r="P176" s="17" t="str">
        <f t="shared" si="55"/>
        <v/>
      </c>
      <c r="Q176" s="31" t="str">
        <f>IF(OR($C176="",'BUDGET COMMESSA'!$D173="",'BUDGET COMMESSA'!$D173&lt;=0,ANAGRAFICA!$J173=""),"",IF(OR($I176="Finito ritenute non previste",$I176="Finito con sblocco ritenute",$I176="Finito senza sblocco ritenute"),0,IF(AND($BK176&gt;=$BJ176,ANAGRAFICA!$R173="Ritardo produttivo FIDA"),IF(ANAGRAFICA!$T173&lt;&gt;"",MAX(0,ANAGRAFICA!$J173-ANAGRAFICA!$T173),MAX(0,$Y176-ANAGRAFICA!$J173)),0)))</f>
        <v/>
      </c>
      <c r="R176" s="17" t="str">
        <f t="shared" si="56"/>
        <v/>
      </c>
      <c r="S176" s="17" t="str">
        <f t="shared" si="57"/>
        <v/>
      </c>
      <c r="T176" s="17" t="str">
        <f t="shared" si="58"/>
        <v/>
      </c>
      <c r="U176" s="16" t="str">
        <f t="shared" si="59"/>
        <v/>
      </c>
      <c r="V176" s="16" t="str">
        <f t="shared" si="60"/>
        <v/>
      </c>
      <c r="W176" s="16" t="str">
        <f t="shared" si="61"/>
        <v/>
      </c>
      <c r="X176" s="40"/>
      <c r="Y176" s="14"/>
      <c r="AZ176" t="str">
        <f>IF($C176="","",ANAGRAFICA!$P173)</f>
        <v/>
      </c>
      <c r="BA176" t="str">
        <f>IF($C176="","",SUMIF('MOVIMENTI 2026'!$B$7:$B$4206,$C176,'MOVIMENTI 2026'!$I$7:$I$4206)+SUMIF('SALDI AL 31.12.2025'!$A$6:$A$505,$C176,'SALDI AL 31.12.2025'!$C$6:$C$505))</f>
        <v/>
      </c>
      <c r="BB176" t="str">
        <f>IF($C176="","",SUMIF('MOVIMENTI 2026'!$B$7:$B$4206,$C176,'MOVIMENTI 2026'!$J$7:$J$4206)+SUMIF('SALDI AL 31.12.2025'!$A$6:$A$505,$C176,'SALDI AL 31.12.2025'!$D$6:$D$505))</f>
        <v/>
      </c>
      <c r="BC176" t="str">
        <f>IF($C176="","",SUMIF('MOVIMENTI 2026'!$B$7:$B$4206,$C176,'MOVIMENTI 2026'!$K$7:$K$4206)+SUMIF('SALDI AL 31.12.2025'!$A$6:$A$505,$C176,'SALDI AL 31.12.2025'!$E$6:$E$505))</f>
        <v/>
      </c>
      <c r="BD176" t="str">
        <f>IF($C176="","",SUMIF('MOVIMENTI 2026'!$B$7:$B$4206,$C176,'MOVIMENTI 2026'!$L$7:$L$4206)+SUMIF('SALDI AL 31.12.2025'!$A$6:$A$505,$C176,'SALDI AL 31.12.2025'!$F$6:$F$505))</f>
        <v/>
      </c>
      <c r="BE176" t="str">
        <f t="shared" si="62"/>
        <v/>
      </c>
      <c r="BF176" t="str">
        <f t="shared" si="63"/>
        <v/>
      </c>
      <c r="BG176" t="str">
        <f t="shared" si="64"/>
        <v/>
      </c>
      <c r="BH176" t="str">
        <f>IFERROR(IF(OR($C176="",ANAGRAFICA!$I173="",ANAGRAFICA!$J173="",ANAGRAFICA!$J173&lt;=ANAGRAFICA!$I173,$Y176=""),"",IF(OR($I176="Finito ritenute non previste",$I176="Finito con sblocco ritenute",$I176="Finito senza sblocco ritenute"),1,MAX(0,MIN(1,($Y176-ANAGRAFICA!$I173)/(ANAGRAFICA!$J173-ANAGRAFICA!$I173))))),"")</f>
        <v/>
      </c>
      <c r="BI176" t="str">
        <f t="shared" si="65"/>
        <v/>
      </c>
      <c r="BJ176" t="str">
        <f>IFERROR(IF($C176="","",'BUDGET COMMESSA'!$D173),"")</f>
        <v/>
      </c>
      <c r="BK176" t="str">
        <f>IF($C176="","",SUMIF('MOVIMENTI 2026'!$B$7:$B$4206,$C176,'MOVIMENTI 2026'!$N$7:$N$4206)+SUMIF('SALDI AL 31.12.2025'!$A$6:$A$505,$C176,'SALDI AL 31.12.2025'!$H$6:$H$505))</f>
        <v/>
      </c>
      <c r="BL176" t="str">
        <f t="shared" si="66"/>
        <v/>
      </c>
      <c r="BM176" t="str">
        <f t="shared" si="67"/>
        <v/>
      </c>
      <c r="BN176" t="str">
        <f t="shared" si="68"/>
        <v/>
      </c>
      <c r="BO176" t="str">
        <f>IFERROR(IF($C176="","",'BUDGET COMMESSA'!$G173),"")</f>
        <v/>
      </c>
      <c r="BP176" t="str">
        <f>IF($C176="","",SUMIF('COSTI DIRETTI'!$C$6:$C$505,$C176,'COSTI DIRETTI'!$H$6:$H$505)+SUMIF('SALDI AL 31.12.2025'!$A$6:$A$505,$C176,'SALDI AL 31.12.2025'!$I$6:$I$505))</f>
        <v/>
      </c>
      <c r="BQ176" t="str">
        <f t="shared" si="69"/>
        <v/>
      </c>
      <c r="BR176" t="str">
        <f t="shared" si="70"/>
        <v/>
      </c>
      <c r="BS176" t="str">
        <f>IF($C176="","",$BK176*PARAMETRI!$B$4+$BP176)</f>
        <v/>
      </c>
      <c r="BT176">
        <f t="shared" si="71"/>
        <v>0</v>
      </c>
      <c r="BU176">
        <f t="shared" si="72"/>
        <v>0</v>
      </c>
      <c r="BV176" t="str">
        <f>IF($C176="","",SUMIF('MOVIMENTI 2026'!$B$7:$B$4206,$C176,'MOVIMENTI 2026'!$P$7:$P$4206)+SUMIF('SALDI AL 31.12.2025'!$A$6:$A$505,$C176,'SALDI AL 31.12.2025'!$G$6:$G$505))</f>
        <v/>
      </c>
    </row>
    <row r="177" spans="1:74" ht="16" x14ac:dyDescent="0.15">
      <c r="A177" s="17" t="str">
        <f>IFERROR(IF($C177="","",IF(OR($BF177&gt;0,$V177&gt;$J177,AND(ISNUMBER($Q177),$Q177&gt;0),AND($BI177&lt;&gt;"",$BI177&lt;-PARAMETRI!$B$6),AND($BM177&lt;&gt;"",$BM177&gt;=1),AND($BN177&lt;&gt;"",$BN177&gt;PARAMETRI!$B$8),AND(ISNUMBER($BR177),$BR177&gt;0)),"CRITICO",IF(OR($AZ177="",LEFT($C177,5)="TEMP",$BJ177="",$BO177="",ANAGRAFICA!$I174="",ANAGRAFICA!$J174="",$Y177="",AND(OR($I177="Finito ritenute non previste",$I177="Finito con sblocco ritenute",$I177="Finito senza sblocco ritenute"),ANAGRAFICA!$K174=""),OR(AND(ANAGRAFICA!$T174&lt;&gt;"",ANAGRAFICA!$J174&lt;&gt;ANAGRAFICA!$T174,OR(ANAGRAFICA!$R174="",ANAGRAFICA!$R174="Nessuna variazione")),AND(ANAGRAFICA!$J174="",ANAGRAFICA!$R174&lt;&gt;"",ANAGRAFICA!$R174&lt;&gt;"Nessuna variazione")),AND($BI177&lt;&gt;"",$BI177&lt;-PARAMETRI!$B$5),AND($BN177&lt;&gt;"",$BN177&gt;PARAMETRI!$B$7),AND($W177&gt;0,$M177&gt;$W177*PARAMETRI!$B$9),AND($O177&gt;0,OR($I177="Finito ritenute non previste",$I177="Finito con sblocco ritenute",$I177="Finito senza sblocco ritenute")),AND($BA177&gt;0,$BO177&gt;0,$BP177=0),AND(OR($I177="Finito ritenute non previste",$I177="Finito con sblocco ritenute",$I177="Finito senza sblocco ritenute"),$W177&gt;0,$N177&gt;$W177*PARAMETRI!$B$9),$V177&gt;0),"ATTENZIONE","REGOLARE"))),"ATTENZIONE")</f>
        <v/>
      </c>
      <c r="B177" s="17" t="str">
        <f>IFERROR(IF($C177="","",IF($BF177&gt;0,"FATTURATO OLTRE VALORE RECUPERABILE; ","")&amp;IF($V177&gt;$J177,"PERDITE ACCETTATE OLTRE CONTRATTO; ","")&amp;IF($V177&gt;0,"PERDITA SAL ACCETTATA (€ "&amp;TEXT($V177,"#,##0.00")&amp;"); ","")&amp;IF(AND(ISNUMBER($Q177),$Q177&gt;0),"RITARDO PRODUTTIVO ("&amp;TEXT($Q177,"0")&amp;" GG); ","")&amp;IF(AND($BI177&lt;&gt;"",$BI177&lt;-PARAMETRI!$B$5),"AVANZAMENTO PIÙ LENTO DEL TEMPO; ","")&amp;IF(AND($BM177&lt;&gt;"",$BM177&gt;1),"ORE OLTRE BUDGET; ","")&amp;IF(AND($BM177&lt;&gt;"",$BM177=1),"ORE PREVENTIVATE ESAURITE; ","")&amp;IF(AND($BN177&lt;&gt;"",$BN177&gt;PARAMETRI!$B$7),"CONSUMO ORE SUPERIORE ALL'AVANZAMENTO; ","")&amp;IF(AND(ISNUMBER($BR177),$BR177&gt;0),"COSTI DIRETTI OLTRE BUDGET; ","")&amp;IF(AND($W177&gt;0,$M177&gt;$W177*PARAMETRI!$B$9),"SAL MATURATO NON FATTURATO; ","")&amp;IF(AND($O177&gt;0,OR($I177="Finito ritenute non previste",$I177="Finito con sblocco ritenute",$I177="Finito senza sblocco ritenute")),"RITENUTE DA SBLOCCARE; ","")&amp;IF(AND($BA177&gt;0,$BO177&gt;0,$BP177=0),"COSTI DIRETTI NON REGISTRATI; ","")&amp;IF(AND(OR($I177="Finito ritenute non previste",$I177="Finito con sblocco ritenute",$I177="Finito senza sblocco ritenute"),$W177&gt;0,$N177&gt;$W177*PARAMETRI!$B$9),"CANTIERE FINITO CON RESIDUO LAVORI; ","")&amp;IF(AND(OR($I177="Finito ritenute non previste",$I177="Finito con sblocco ritenute",$I177="Finito senza sblocco ritenute"),ANAGRAFICA!$K174=""),"DATA FINE EFFETTIVA MANCANTE; ","")&amp;IF(OR(AND(ANAGRAFICA!$T174&lt;&gt;"",ANAGRAFICA!$J174&lt;&gt;ANAGRAFICA!$T174,OR(ANAGRAFICA!$R174="",ANAGRAFICA!$R174="Nessuna variazione")),AND(ANAGRAFICA!$J174="",ANAGRAFICA!$R174&lt;&gt;"",ANAGRAFICA!$R174&lt;&gt;"Nessuna variazione")),"GESTIONE DATA FINE INCOMPLETA; ","")&amp;IF($Y177="","AGGIORNATO AL MANCANTE; ","")&amp;IF(OR($AZ177="",$BJ177="",$BO177="",ANAGRAFICA!$I174="",ANAGRAFICA!$J174=""),"DATI PREVISIONALI INCOMPLETI; ","")&amp;IF(LEFT($C177,5)="TEMP","CODICE COMMESSA TEMPORANEO; ","")),"DATI INCOMPLETI; ")</f>
        <v/>
      </c>
      <c r="C177" s="17" t="str">
        <f>IF(ANAGRAFICA!$B174="","",ANAGRAFICA!$B174)</f>
        <v/>
      </c>
      <c r="D177" s="17" t="str">
        <f>IF($C177="","",ANAGRAFICA!$C174)</f>
        <v/>
      </c>
      <c r="E177" s="17" t="str">
        <f>IF($C177="","",ANAGRAFICA!$D174)</f>
        <v/>
      </c>
      <c r="F177" s="17" t="str">
        <f>IF($C177="","",ANAGRAFICA!$E174)</f>
        <v/>
      </c>
      <c r="G177" s="17" t="str">
        <f>IF($C177="","",ANAGRAFICA!$F174)</f>
        <v/>
      </c>
      <c r="H177" s="17" t="str">
        <f>IF($C177="","",ANAGRAFICA!$G174)</f>
        <v/>
      </c>
      <c r="I177" s="17" t="str">
        <f>IF($C177="","",ANAGRAFICA!$L174)</f>
        <v/>
      </c>
      <c r="J177" s="16" t="str">
        <f t="shared" si="49"/>
        <v/>
      </c>
      <c r="K177" s="16" t="str">
        <f t="shared" si="50"/>
        <v/>
      </c>
      <c r="L177" s="16" t="str">
        <f t="shared" si="51"/>
        <v/>
      </c>
      <c r="M177" s="16" t="str">
        <f t="shared" si="52"/>
        <v/>
      </c>
      <c r="N177" s="16" t="str">
        <f t="shared" si="53"/>
        <v/>
      </c>
      <c r="O177" s="16" t="str">
        <f t="shared" si="54"/>
        <v/>
      </c>
      <c r="P177" s="17" t="str">
        <f t="shared" si="55"/>
        <v/>
      </c>
      <c r="Q177" s="31" t="str">
        <f>IF(OR($C177="",'BUDGET COMMESSA'!$D174="",'BUDGET COMMESSA'!$D174&lt;=0,ANAGRAFICA!$J174=""),"",IF(OR($I177="Finito ritenute non previste",$I177="Finito con sblocco ritenute",$I177="Finito senza sblocco ritenute"),0,IF(AND($BK177&gt;=$BJ177,ANAGRAFICA!$R174="Ritardo produttivo FIDA"),IF(ANAGRAFICA!$T174&lt;&gt;"",MAX(0,ANAGRAFICA!$J174-ANAGRAFICA!$T174),MAX(0,$Y177-ANAGRAFICA!$J174)),0)))</f>
        <v/>
      </c>
      <c r="R177" s="17" t="str">
        <f t="shared" si="56"/>
        <v/>
      </c>
      <c r="S177" s="17" t="str">
        <f t="shared" si="57"/>
        <v/>
      </c>
      <c r="T177" s="17" t="str">
        <f t="shared" si="58"/>
        <v/>
      </c>
      <c r="U177" s="16" t="str">
        <f t="shared" si="59"/>
        <v/>
      </c>
      <c r="V177" s="16" t="str">
        <f t="shared" si="60"/>
        <v/>
      </c>
      <c r="W177" s="16" t="str">
        <f t="shared" si="61"/>
        <v/>
      </c>
      <c r="X177" s="40"/>
      <c r="Y177" s="14"/>
      <c r="AZ177" t="str">
        <f>IF($C177="","",ANAGRAFICA!$P174)</f>
        <v/>
      </c>
      <c r="BA177" t="str">
        <f>IF($C177="","",SUMIF('MOVIMENTI 2026'!$B$7:$B$4206,$C177,'MOVIMENTI 2026'!$I$7:$I$4206)+SUMIF('SALDI AL 31.12.2025'!$A$6:$A$505,$C177,'SALDI AL 31.12.2025'!$C$6:$C$505))</f>
        <v/>
      </c>
      <c r="BB177" t="str">
        <f>IF($C177="","",SUMIF('MOVIMENTI 2026'!$B$7:$B$4206,$C177,'MOVIMENTI 2026'!$J$7:$J$4206)+SUMIF('SALDI AL 31.12.2025'!$A$6:$A$505,$C177,'SALDI AL 31.12.2025'!$D$6:$D$505))</f>
        <v/>
      </c>
      <c r="BC177" t="str">
        <f>IF($C177="","",SUMIF('MOVIMENTI 2026'!$B$7:$B$4206,$C177,'MOVIMENTI 2026'!$K$7:$K$4206)+SUMIF('SALDI AL 31.12.2025'!$A$6:$A$505,$C177,'SALDI AL 31.12.2025'!$E$6:$E$505))</f>
        <v/>
      </c>
      <c r="BD177" t="str">
        <f>IF($C177="","",SUMIF('MOVIMENTI 2026'!$B$7:$B$4206,$C177,'MOVIMENTI 2026'!$L$7:$L$4206)+SUMIF('SALDI AL 31.12.2025'!$A$6:$A$505,$C177,'SALDI AL 31.12.2025'!$F$6:$F$505))</f>
        <v/>
      </c>
      <c r="BE177" t="str">
        <f t="shared" si="62"/>
        <v/>
      </c>
      <c r="BF177" t="str">
        <f t="shared" si="63"/>
        <v/>
      </c>
      <c r="BG177" t="str">
        <f t="shared" si="64"/>
        <v/>
      </c>
      <c r="BH177" t="str">
        <f>IFERROR(IF(OR($C177="",ANAGRAFICA!$I174="",ANAGRAFICA!$J174="",ANAGRAFICA!$J174&lt;=ANAGRAFICA!$I174,$Y177=""),"",IF(OR($I177="Finito ritenute non previste",$I177="Finito con sblocco ritenute",$I177="Finito senza sblocco ritenute"),1,MAX(0,MIN(1,($Y177-ANAGRAFICA!$I174)/(ANAGRAFICA!$J174-ANAGRAFICA!$I174))))),"")</f>
        <v/>
      </c>
      <c r="BI177" t="str">
        <f t="shared" si="65"/>
        <v/>
      </c>
      <c r="BJ177" t="str">
        <f>IFERROR(IF($C177="","",'BUDGET COMMESSA'!$D174),"")</f>
        <v/>
      </c>
      <c r="BK177" t="str">
        <f>IF($C177="","",SUMIF('MOVIMENTI 2026'!$B$7:$B$4206,$C177,'MOVIMENTI 2026'!$N$7:$N$4206)+SUMIF('SALDI AL 31.12.2025'!$A$6:$A$505,$C177,'SALDI AL 31.12.2025'!$H$6:$H$505))</f>
        <v/>
      </c>
      <c r="BL177" t="str">
        <f t="shared" si="66"/>
        <v/>
      </c>
      <c r="BM177" t="str">
        <f t="shared" si="67"/>
        <v/>
      </c>
      <c r="BN177" t="str">
        <f t="shared" si="68"/>
        <v/>
      </c>
      <c r="BO177" t="str">
        <f>IFERROR(IF($C177="","",'BUDGET COMMESSA'!$G174),"")</f>
        <v/>
      </c>
      <c r="BP177" t="str">
        <f>IF($C177="","",SUMIF('COSTI DIRETTI'!$C$6:$C$505,$C177,'COSTI DIRETTI'!$H$6:$H$505)+SUMIF('SALDI AL 31.12.2025'!$A$6:$A$505,$C177,'SALDI AL 31.12.2025'!$I$6:$I$505))</f>
        <v/>
      </c>
      <c r="BQ177" t="str">
        <f t="shared" si="69"/>
        <v/>
      </c>
      <c r="BR177" t="str">
        <f t="shared" si="70"/>
        <v/>
      </c>
      <c r="BS177" t="str">
        <f>IF($C177="","",$BK177*PARAMETRI!$B$4+$BP177)</f>
        <v/>
      </c>
      <c r="BT177">
        <f t="shared" si="71"/>
        <v>0</v>
      </c>
      <c r="BU177">
        <f t="shared" si="72"/>
        <v>0</v>
      </c>
      <c r="BV177" t="str">
        <f>IF($C177="","",SUMIF('MOVIMENTI 2026'!$B$7:$B$4206,$C177,'MOVIMENTI 2026'!$P$7:$P$4206)+SUMIF('SALDI AL 31.12.2025'!$A$6:$A$505,$C177,'SALDI AL 31.12.2025'!$G$6:$G$505))</f>
        <v/>
      </c>
    </row>
    <row r="178" spans="1:74" ht="16" x14ac:dyDescent="0.15">
      <c r="A178" s="17" t="str">
        <f>IFERROR(IF($C178="","",IF(OR($BF178&gt;0,$V178&gt;$J178,AND(ISNUMBER($Q178),$Q178&gt;0),AND($BI178&lt;&gt;"",$BI178&lt;-PARAMETRI!$B$6),AND($BM178&lt;&gt;"",$BM178&gt;=1),AND($BN178&lt;&gt;"",$BN178&gt;PARAMETRI!$B$8),AND(ISNUMBER($BR178),$BR178&gt;0)),"CRITICO",IF(OR($AZ178="",LEFT($C178,5)="TEMP",$BJ178="",$BO178="",ANAGRAFICA!$I175="",ANAGRAFICA!$J175="",$Y178="",AND(OR($I178="Finito ritenute non previste",$I178="Finito con sblocco ritenute",$I178="Finito senza sblocco ritenute"),ANAGRAFICA!$K175=""),OR(AND(ANAGRAFICA!$T175&lt;&gt;"",ANAGRAFICA!$J175&lt;&gt;ANAGRAFICA!$T175,OR(ANAGRAFICA!$R175="",ANAGRAFICA!$R175="Nessuna variazione")),AND(ANAGRAFICA!$J175="",ANAGRAFICA!$R175&lt;&gt;"",ANAGRAFICA!$R175&lt;&gt;"Nessuna variazione")),AND($BI178&lt;&gt;"",$BI178&lt;-PARAMETRI!$B$5),AND($BN178&lt;&gt;"",$BN178&gt;PARAMETRI!$B$7),AND($W178&gt;0,$M178&gt;$W178*PARAMETRI!$B$9),AND($O178&gt;0,OR($I178="Finito ritenute non previste",$I178="Finito con sblocco ritenute",$I178="Finito senza sblocco ritenute")),AND($BA178&gt;0,$BO178&gt;0,$BP178=0),AND(OR($I178="Finito ritenute non previste",$I178="Finito con sblocco ritenute",$I178="Finito senza sblocco ritenute"),$W178&gt;0,$N178&gt;$W178*PARAMETRI!$B$9),$V178&gt;0),"ATTENZIONE","REGOLARE"))),"ATTENZIONE")</f>
        <v/>
      </c>
      <c r="B178" s="17" t="str">
        <f>IFERROR(IF($C178="","",IF($BF178&gt;0,"FATTURATO OLTRE VALORE RECUPERABILE; ","")&amp;IF($V178&gt;$J178,"PERDITE ACCETTATE OLTRE CONTRATTO; ","")&amp;IF($V178&gt;0,"PERDITA SAL ACCETTATA (€ "&amp;TEXT($V178,"#,##0.00")&amp;"); ","")&amp;IF(AND(ISNUMBER($Q178),$Q178&gt;0),"RITARDO PRODUTTIVO ("&amp;TEXT($Q178,"0")&amp;" GG); ","")&amp;IF(AND($BI178&lt;&gt;"",$BI178&lt;-PARAMETRI!$B$5),"AVANZAMENTO PIÙ LENTO DEL TEMPO; ","")&amp;IF(AND($BM178&lt;&gt;"",$BM178&gt;1),"ORE OLTRE BUDGET; ","")&amp;IF(AND($BM178&lt;&gt;"",$BM178=1),"ORE PREVENTIVATE ESAURITE; ","")&amp;IF(AND($BN178&lt;&gt;"",$BN178&gt;PARAMETRI!$B$7),"CONSUMO ORE SUPERIORE ALL'AVANZAMENTO; ","")&amp;IF(AND(ISNUMBER($BR178),$BR178&gt;0),"COSTI DIRETTI OLTRE BUDGET; ","")&amp;IF(AND($W178&gt;0,$M178&gt;$W178*PARAMETRI!$B$9),"SAL MATURATO NON FATTURATO; ","")&amp;IF(AND($O178&gt;0,OR($I178="Finito ritenute non previste",$I178="Finito con sblocco ritenute",$I178="Finito senza sblocco ritenute")),"RITENUTE DA SBLOCCARE; ","")&amp;IF(AND($BA178&gt;0,$BO178&gt;0,$BP178=0),"COSTI DIRETTI NON REGISTRATI; ","")&amp;IF(AND(OR($I178="Finito ritenute non previste",$I178="Finito con sblocco ritenute",$I178="Finito senza sblocco ritenute"),$W178&gt;0,$N178&gt;$W178*PARAMETRI!$B$9),"CANTIERE FINITO CON RESIDUO LAVORI; ","")&amp;IF(AND(OR($I178="Finito ritenute non previste",$I178="Finito con sblocco ritenute",$I178="Finito senza sblocco ritenute"),ANAGRAFICA!$K175=""),"DATA FINE EFFETTIVA MANCANTE; ","")&amp;IF(OR(AND(ANAGRAFICA!$T175&lt;&gt;"",ANAGRAFICA!$J175&lt;&gt;ANAGRAFICA!$T175,OR(ANAGRAFICA!$R175="",ANAGRAFICA!$R175="Nessuna variazione")),AND(ANAGRAFICA!$J175="",ANAGRAFICA!$R175&lt;&gt;"",ANAGRAFICA!$R175&lt;&gt;"Nessuna variazione")),"GESTIONE DATA FINE INCOMPLETA; ","")&amp;IF($Y178="","AGGIORNATO AL MANCANTE; ","")&amp;IF(OR($AZ178="",$BJ178="",$BO178="",ANAGRAFICA!$I175="",ANAGRAFICA!$J175=""),"DATI PREVISIONALI INCOMPLETI; ","")&amp;IF(LEFT($C178,5)="TEMP","CODICE COMMESSA TEMPORANEO; ","")),"DATI INCOMPLETI; ")</f>
        <v/>
      </c>
      <c r="C178" s="17" t="str">
        <f>IF(ANAGRAFICA!$B175="","",ANAGRAFICA!$B175)</f>
        <v/>
      </c>
      <c r="D178" s="17" t="str">
        <f>IF($C178="","",ANAGRAFICA!$C175)</f>
        <v/>
      </c>
      <c r="E178" s="17" t="str">
        <f>IF($C178="","",ANAGRAFICA!$D175)</f>
        <v/>
      </c>
      <c r="F178" s="17" t="str">
        <f>IF($C178="","",ANAGRAFICA!$E175)</f>
        <v/>
      </c>
      <c r="G178" s="17" t="str">
        <f>IF($C178="","",ANAGRAFICA!$F175)</f>
        <v/>
      </c>
      <c r="H178" s="17" t="str">
        <f>IF($C178="","",ANAGRAFICA!$G175)</f>
        <v/>
      </c>
      <c r="I178" s="17" t="str">
        <f>IF($C178="","",ANAGRAFICA!$L175)</f>
        <v/>
      </c>
      <c r="J178" s="16" t="str">
        <f t="shared" si="49"/>
        <v/>
      </c>
      <c r="K178" s="16" t="str">
        <f t="shared" si="50"/>
        <v/>
      </c>
      <c r="L178" s="16" t="str">
        <f t="shared" si="51"/>
        <v/>
      </c>
      <c r="M178" s="16" t="str">
        <f t="shared" si="52"/>
        <v/>
      </c>
      <c r="N178" s="16" t="str">
        <f t="shared" si="53"/>
        <v/>
      </c>
      <c r="O178" s="16" t="str">
        <f t="shared" si="54"/>
        <v/>
      </c>
      <c r="P178" s="17" t="str">
        <f t="shared" si="55"/>
        <v/>
      </c>
      <c r="Q178" s="31" t="str">
        <f>IF(OR($C178="",'BUDGET COMMESSA'!$D175="",'BUDGET COMMESSA'!$D175&lt;=0,ANAGRAFICA!$J175=""),"",IF(OR($I178="Finito ritenute non previste",$I178="Finito con sblocco ritenute",$I178="Finito senza sblocco ritenute"),0,IF(AND($BK178&gt;=$BJ178,ANAGRAFICA!$R175="Ritardo produttivo FIDA"),IF(ANAGRAFICA!$T175&lt;&gt;"",MAX(0,ANAGRAFICA!$J175-ANAGRAFICA!$T175),MAX(0,$Y178-ANAGRAFICA!$J175)),0)))</f>
        <v/>
      </c>
      <c r="R178" s="17" t="str">
        <f t="shared" si="56"/>
        <v/>
      </c>
      <c r="S178" s="17" t="str">
        <f t="shared" si="57"/>
        <v/>
      </c>
      <c r="T178" s="17" t="str">
        <f t="shared" si="58"/>
        <v/>
      </c>
      <c r="U178" s="16" t="str">
        <f t="shared" si="59"/>
        <v/>
      </c>
      <c r="V178" s="16" t="str">
        <f t="shared" si="60"/>
        <v/>
      </c>
      <c r="W178" s="16" t="str">
        <f t="shared" si="61"/>
        <v/>
      </c>
      <c r="X178" s="40"/>
      <c r="Y178" s="14"/>
      <c r="AZ178" t="str">
        <f>IF($C178="","",ANAGRAFICA!$P175)</f>
        <v/>
      </c>
      <c r="BA178" t="str">
        <f>IF($C178="","",SUMIF('MOVIMENTI 2026'!$B$7:$B$4206,$C178,'MOVIMENTI 2026'!$I$7:$I$4206)+SUMIF('SALDI AL 31.12.2025'!$A$6:$A$505,$C178,'SALDI AL 31.12.2025'!$C$6:$C$505))</f>
        <v/>
      </c>
      <c r="BB178" t="str">
        <f>IF($C178="","",SUMIF('MOVIMENTI 2026'!$B$7:$B$4206,$C178,'MOVIMENTI 2026'!$J$7:$J$4206)+SUMIF('SALDI AL 31.12.2025'!$A$6:$A$505,$C178,'SALDI AL 31.12.2025'!$D$6:$D$505))</f>
        <v/>
      </c>
      <c r="BC178" t="str">
        <f>IF($C178="","",SUMIF('MOVIMENTI 2026'!$B$7:$B$4206,$C178,'MOVIMENTI 2026'!$K$7:$K$4206)+SUMIF('SALDI AL 31.12.2025'!$A$6:$A$505,$C178,'SALDI AL 31.12.2025'!$E$6:$E$505))</f>
        <v/>
      </c>
      <c r="BD178" t="str">
        <f>IF($C178="","",SUMIF('MOVIMENTI 2026'!$B$7:$B$4206,$C178,'MOVIMENTI 2026'!$L$7:$L$4206)+SUMIF('SALDI AL 31.12.2025'!$A$6:$A$505,$C178,'SALDI AL 31.12.2025'!$F$6:$F$505))</f>
        <v/>
      </c>
      <c r="BE178" t="str">
        <f t="shared" si="62"/>
        <v/>
      </c>
      <c r="BF178" t="str">
        <f t="shared" si="63"/>
        <v/>
      </c>
      <c r="BG178" t="str">
        <f t="shared" si="64"/>
        <v/>
      </c>
      <c r="BH178" t="str">
        <f>IFERROR(IF(OR($C178="",ANAGRAFICA!$I175="",ANAGRAFICA!$J175="",ANAGRAFICA!$J175&lt;=ANAGRAFICA!$I175,$Y178=""),"",IF(OR($I178="Finito ritenute non previste",$I178="Finito con sblocco ritenute",$I178="Finito senza sblocco ritenute"),1,MAX(0,MIN(1,($Y178-ANAGRAFICA!$I175)/(ANAGRAFICA!$J175-ANAGRAFICA!$I175))))),"")</f>
        <v/>
      </c>
      <c r="BI178" t="str">
        <f t="shared" si="65"/>
        <v/>
      </c>
      <c r="BJ178" t="str">
        <f>IFERROR(IF($C178="","",'BUDGET COMMESSA'!$D175),"")</f>
        <v/>
      </c>
      <c r="BK178" t="str">
        <f>IF($C178="","",SUMIF('MOVIMENTI 2026'!$B$7:$B$4206,$C178,'MOVIMENTI 2026'!$N$7:$N$4206)+SUMIF('SALDI AL 31.12.2025'!$A$6:$A$505,$C178,'SALDI AL 31.12.2025'!$H$6:$H$505))</f>
        <v/>
      </c>
      <c r="BL178" t="str">
        <f t="shared" si="66"/>
        <v/>
      </c>
      <c r="BM178" t="str">
        <f t="shared" si="67"/>
        <v/>
      </c>
      <c r="BN178" t="str">
        <f t="shared" si="68"/>
        <v/>
      </c>
      <c r="BO178" t="str">
        <f>IFERROR(IF($C178="","",'BUDGET COMMESSA'!$G175),"")</f>
        <v/>
      </c>
      <c r="BP178" t="str">
        <f>IF($C178="","",SUMIF('COSTI DIRETTI'!$C$6:$C$505,$C178,'COSTI DIRETTI'!$H$6:$H$505)+SUMIF('SALDI AL 31.12.2025'!$A$6:$A$505,$C178,'SALDI AL 31.12.2025'!$I$6:$I$505))</f>
        <v/>
      </c>
      <c r="BQ178" t="str">
        <f t="shared" si="69"/>
        <v/>
      </c>
      <c r="BR178" t="str">
        <f t="shared" si="70"/>
        <v/>
      </c>
      <c r="BS178" t="str">
        <f>IF($C178="","",$BK178*PARAMETRI!$B$4+$BP178)</f>
        <v/>
      </c>
      <c r="BT178">
        <f t="shared" si="71"/>
        <v>0</v>
      </c>
      <c r="BU178">
        <f t="shared" si="72"/>
        <v>0</v>
      </c>
      <c r="BV178" t="str">
        <f>IF($C178="","",SUMIF('MOVIMENTI 2026'!$B$7:$B$4206,$C178,'MOVIMENTI 2026'!$P$7:$P$4206)+SUMIF('SALDI AL 31.12.2025'!$A$6:$A$505,$C178,'SALDI AL 31.12.2025'!$G$6:$G$505))</f>
        <v/>
      </c>
    </row>
    <row r="179" spans="1:74" ht="16" x14ac:dyDescent="0.15">
      <c r="A179" s="17" t="str">
        <f>IFERROR(IF($C179="","",IF(OR($BF179&gt;0,$V179&gt;$J179,AND(ISNUMBER($Q179),$Q179&gt;0),AND($BI179&lt;&gt;"",$BI179&lt;-PARAMETRI!$B$6),AND($BM179&lt;&gt;"",$BM179&gt;=1),AND($BN179&lt;&gt;"",$BN179&gt;PARAMETRI!$B$8),AND(ISNUMBER($BR179),$BR179&gt;0)),"CRITICO",IF(OR($AZ179="",LEFT($C179,5)="TEMP",$BJ179="",$BO179="",ANAGRAFICA!$I176="",ANAGRAFICA!$J176="",$Y179="",AND(OR($I179="Finito ritenute non previste",$I179="Finito con sblocco ritenute",$I179="Finito senza sblocco ritenute"),ANAGRAFICA!$K176=""),OR(AND(ANAGRAFICA!$T176&lt;&gt;"",ANAGRAFICA!$J176&lt;&gt;ANAGRAFICA!$T176,OR(ANAGRAFICA!$R176="",ANAGRAFICA!$R176="Nessuna variazione")),AND(ANAGRAFICA!$J176="",ANAGRAFICA!$R176&lt;&gt;"",ANAGRAFICA!$R176&lt;&gt;"Nessuna variazione")),AND($BI179&lt;&gt;"",$BI179&lt;-PARAMETRI!$B$5),AND($BN179&lt;&gt;"",$BN179&gt;PARAMETRI!$B$7),AND($W179&gt;0,$M179&gt;$W179*PARAMETRI!$B$9),AND($O179&gt;0,OR($I179="Finito ritenute non previste",$I179="Finito con sblocco ritenute",$I179="Finito senza sblocco ritenute")),AND($BA179&gt;0,$BO179&gt;0,$BP179=0),AND(OR($I179="Finito ritenute non previste",$I179="Finito con sblocco ritenute",$I179="Finito senza sblocco ritenute"),$W179&gt;0,$N179&gt;$W179*PARAMETRI!$B$9),$V179&gt;0),"ATTENZIONE","REGOLARE"))),"ATTENZIONE")</f>
        <v/>
      </c>
      <c r="B179" s="17" t="str">
        <f>IFERROR(IF($C179="","",IF($BF179&gt;0,"FATTURATO OLTRE VALORE RECUPERABILE; ","")&amp;IF($V179&gt;$J179,"PERDITE ACCETTATE OLTRE CONTRATTO; ","")&amp;IF($V179&gt;0,"PERDITA SAL ACCETTATA (€ "&amp;TEXT($V179,"#,##0.00")&amp;"); ","")&amp;IF(AND(ISNUMBER($Q179),$Q179&gt;0),"RITARDO PRODUTTIVO ("&amp;TEXT($Q179,"0")&amp;" GG); ","")&amp;IF(AND($BI179&lt;&gt;"",$BI179&lt;-PARAMETRI!$B$5),"AVANZAMENTO PIÙ LENTO DEL TEMPO; ","")&amp;IF(AND($BM179&lt;&gt;"",$BM179&gt;1),"ORE OLTRE BUDGET; ","")&amp;IF(AND($BM179&lt;&gt;"",$BM179=1),"ORE PREVENTIVATE ESAURITE; ","")&amp;IF(AND($BN179&lt;&gt;"",$BN179&gt;PARAMETRI!$B$7),"CONSUMO ORE SUPERIORE ALL'AVANZAMENTO; ","")&amp;IF(AND(ISNUMBER($BR179),$BR179&gt;0),"COSTI DIRETTI OLTRE BUDGET; ","")&amp;IF(AND($W179&gt;0,$M179&gt;$W179*PARAMETRI!$B$9),"SAL MATURATO NON FATTURATO; ","")&amp;IF(AND($O179&gt;0,OR($I179="Finito ritenute non previste",$I179="Finito con sblocco ritenute",$I179="Finito senza sblocco ritenute")),"RITENUTE DA SBLOCCARE; ","")&amp;IF(AND($BA179&gt;0,$BO179&gt;0,$BP179=0),"COSTI DIRETTI NON REGISTRATI; ","")&amp;IF(AND(OR($I179="Finito ritenute non previste",$I179="Finito con sblocco ritenute",$I179="Finito senza sblocco ritenute"),$W179&gt;0,$N179&gt;$W179*PARAMETRI!$B$9),"CANTIERE FINITO CON RESIDUO LAVORI; ","")&amp;IF(AND(OR($I179="Finito ritenute non previste",$I179="Finito con sblocco ritenute",$I179="Finito senza sblocco ritenute"),ANAGRAFICA!$K176=""),"DATA FINE EFFETTIVA MANCANTE; ","")&amp;IF(OR(AND(ANAGRAFICA!$T176&lt;&gt;"",ANAGRAFICA!$J176&lt;&gt;ANAGRAFICA!$T176,OR(ANAGRAFICA!$R176="",ANAGRAFICA!$R176="Nessuna variazione")),AND(ANAGRAFICA!$J176="",ANAGRAFICA!$R176&lt;&gt;"",ANAGRAFICA!$R176&lt;&gt;"Nessuna variazione")),"GESTIONE DATA FINE INCOMPLETA; ","")&amp;IF($Y179="","AGGIORNATO AL MANCANTE; ","")&amp;IF(OR($AZ179="",$BJ179="",$BO179="",ANAGRAFICA!$I176="",ANAGRAFICA!$J176=""),"DATI PREVISIONALI INCOMPLETI; ","")&amp;IF(LEFT($C179,5)="TEMP","CODICE COMMESSA TEMPORANEO; ","")),"DATI INCOMPLETI; ")</f>
        <v/>
      </c>
      <c r="C179" s="17" t="str">
        <f>IF(ANAGRAFICA!$B176="","",ANAGRAFICA!$B176)</f>
        <v/>
      </c>
      <c r="D179" s="17" t="str">
        <f>IF($C179="","",ANAGRAFICA!$C176)</f>
        <v/>
      </c>
      <c r="E179" s="17" t="str">
        <f>IF($C179="","",ANAGRAFICA!$D176)</f>
        <v/>
      </c>
      <c r="F179" s="17" t="str">
        <f>IF($C179="","",ANAGRAFICA!$E176)</f>
        <v/>
      </c>
      <c r="G179" s="17" t="str">
        <f>IF($C179="","",ANAGRAFICA!$F176)</f>
        <v/>
      </c>
      <c r="H179" s="17" t="str">
        <f>IF($C179="","",ANAGRAFICA!$G176)</f>
        <v/>
      </c>
      <c r="I179" s="17" t="str">
        <f>IF($C179="","",ANAGRAFICA!$L176)</f>
        <v/>
      </c>
      <c r="J179" s="16" t="str">
        <f t="shared" si="49"/>
        <v/>
      </c>
      <c r="K179" s="16" t="str">
        <f t="shared" si="50"/>
        <v/>
      </c>
      <c r="L179" s="16" t="str">
        <f t="shared" si="51"/>
        <v/>
      </c>
      <c r="M179" s="16" t="str">
        <f t="shared" si="52"/>
        <v/>
      </c>
      <c r="N179" s="16" t="str">
        <f t="shared" si="53"/>
        <v/>
      </c>
      <c r="O179" s="16" t="str">
        <f t="shared" si="54"/>
        <v/>
      </c>
      <c r="P179" s="17" t="str">
        <f t="shared" si="55"/>
        <v/>
      </c>
      <c r="Q179" s="31" t="str">
        <f>IF(OR($C179="",'BUDGET COMMESSA'!$D176="",'BUDGET COMMESSA'!$D176&lt;=0,ANAGRAFICA!$J176=""),"",IF(OR($I179="Finito ritenute non previste",$I179="Finito con sblocco ritenute",$I179="Finito senza sblocco ritenute"),0,IF(AND($BK179&gt;=$BJ179,ANAGRAFICA!$R176="Ritardo produttivo FIDA"),IF(ANAGRAFICA!$T176&lt;&gt;"",MAX(0,ANAGRAFICA!$J176-ANAGRAFICA!$T176),MAX(0,$Y179-ANAGRAFICA!$J176)),0)))</f>
        <v/>
      </c>
      <c r="R179" s="17" t="str">
        <f t="shared" si="56"/>
        <v/>
      </c>
      <c r="S179" s="17" t="str">
        <f t="shared" si="57"/>
        <v/>
      </c>
      <c r="T179" s="17" t="str">
        <f t="shared" si="58"/>
        <v/>
      </c>
      <c r="U179" s="16" t="str">
        <f t="shared" si="59"/>
        <v/>
      </c>
      <c r="V179" s="16" t="str">
        <f t="shared" si="60"/>
        <v/>
      </c>
      <c r="W179" s="16" t="str">
        <f t="shared" si="61"/>
        <v/>
      </c>
      <c r="X179" s="40"/>
      <c r="Y179" s="14"/>
      <c r="AZ179" t="str">
        <f>IF($C179="","",ANAGRAFICA!$P176)</f>
        <v/>
      </c>
      <c r="BA179" t="str">
        <f>IF($C179="","",SUMIF('MOVIMENTI 2026'!$B$7:$B$4206,$C179,'MOVIMENTI 2026'!$I$7:$I$4206)+SUMIF('SALDI AL 31.12.2025'!$A$6:$A$505,$C179,'SALDI AL 31.12.2025'!$C$6:$C$505))</f>
        <v/>
      </c>
      <c r="BB179" t="str">
        <f>IF($C179="","",SUMIF('MOVIMENTI 2026'!$B$7:$B$4206,$C179,'MOVIMENTI 2026'!$J$7:$J$4206)+SUMIF('SALDI AL 31.12.2025'!$A$6:$A$505,$C179,'SALDI AL 31.12.2025'!$D$6:$D$505))</f>
        <v/>
      </c>
      <c r="BC179" t="str">
        <f>IF($C179="","",SUMIF('MOVIMENTI 2026'!$B$7:$B$4206,$C179,'MOVIMENTI 2026'!$K$7:$K$4206)+SUMIF('SALDI AL 31.12.2025'!$A$6:$A$505,$C179,'SALDI AL 31.12.2025'!$E$6:$E$505))</f>
        <v/>
      </c>
      <c r="BD179" t="str">
        <f>IF($C179="","",SUMIF('MOVIMENTI 2026'!$B$7:$B$4206,$C179,'MOVIMENTI 2026'!$L$7:$L$4206)+SUMIF('SALDI AL 31.12.2025'!$A$6:$A$505,$C179,'SALDI AL 31.12.2025'!$F$6:$F$505))</f>
        <v/>
      </c>
      <c r="BE179" t="str">
        <f t="shared" si="62"/>
        <v/>
      </c>
      <c r="BF179" t="str">
        <f t="shared" si="63"/>
        <v/>
      </c>
      <c r="BG179" t="str">
        <f t="shared" si="64"/>
        <v/>
      </c>
      <c r="BH179" t="str">
        <f>IFERROR(IF(OR($C179="",ANAGRAFICA!$I176="",ANAGRAFICA!$J176="",ANAGRAFICA!$J176&lt;=ANAGRAFICA!$I176,$Y179=""),"",IF(OR($I179="Finito ritenute non previste",$I179="Finito con sblocco ritenute",$I179="Finito senza sblocco ritenute"),1,MAX(0,MIN(1,($Y179-ANAGRAFICA!$I176)/(ANAGRAFICA!$J176-ANAGRAFICA!$I176))))),"")</f>
        <v/>
      </c>
      <c r="BI179" t="str">
        <f t="shared" si="65"/>
        <v/>
      </c>
      <c r="BJ179" t="str">
        <f>IFERROR(IF($C179="","",'BUDGET COMMESSA'!$D176),"")</f>
        <v/>
      </c>
      <c r="BK179" t="str">
        <f>IF($C179="","",SUMIF('MOVIMENTI 2026'!$B$7:$B$4206,$C179,'MOVIMENTI 2026'!$N$7:$N$4206)+SUMIF('SALDI AL 31.12.2025'!$A$6:$A$505,$C179,'SALDI AL 31.12.2025'!$H$6:$H$505))</f>
        <v/>
      </c>
      <c r="BL179" t="str">
        <f t="shared" si="66"/>
        <v/>
      </c>
      <c r="BM179" t="str">
        <f t="shared" si="67"/>
        <v/>
      </c>
      <c r="BN179" t="str">
        <f t="shared" si="68"/>
        <v/>
      </c>
      <c r="BO179" t="str">
        <f>IFERROR(IF($C179="","",'BUDGET COMMESSA'!$G176),"")</f>
        <v/>
      </c>
      <c r="BP179" t="str">
        <f>IF($C179="","",SUMIF('COSTI DIRETTI'!$C$6:$C$505,$C179,'COSTI DIRETTI'!$H$6:$H$505)+SUMIF('SALDI AL 31.12.2025'!$A$6:$A$505,$C179,'SALDI AL 31.12.2025'!$I$6:$I$505))</f>
        <v/>
      </c>
      <c r="BQ179" t="str">
        <f t="shared" si="69"/>
        <v/>
      </c>
      <c r="BR179" t="str">
        <f t="shared" si="70"/>
        <v/>
      </c>
      <c r="BS179" t="str">
        <f>IF($C179="","",$BK179*PARAMETRI!$B$4+$BP179)</f>
        <v/>
      </c>
      <c r="BT179">
        <f t="shared" si="71"/>
        <v>0</v>
      </c>
      <c r="BU179">
        <f t="shared" si="72"/>
        <v>0</v>
      </c>
      <c r="BV179" t="str">
        <f>IF($C179="","",SUMIF('MOVIMENTI 2026'!$B$7:$B$4206,$C179,'MOVIMENTI 2026'!$P$7:$P$4206)+SUMIF('SALDI AL 31.12.2025'!$A$6:$A$505,$C179,'SALDI AL 31.12.2025'!$G$6:$G$505))</f>
        <v/>
      </c>
    </row>
    <row r="180" spans="1:74" ht="16" x14ac:dyDescent="0.15">
      <c r="A180" s="17" t="str">
        <f>IFERROR(IF($C180="","",IF(OR($BF180&gt;0,$V180&gt;$J180,AND(ISNUMBER($Q180),$Q180&gt;0),AND($BI180&lt;&gt;"",$BI180&lt;-PARAMETRI!$B$6),AND($BM180&lt;&gt;"",$BM180&gt;=1),AND($BN180&lt;&gt;"",$BN180&gt;PARAMETRI!$B$8),AND(ISNUMBER($BR180),$BR180&gt;0)),"CRITICO",IF(OR($AZ180="",LEFT($C180,5)="TEMP",$BJ180="",$BO180="",ANAGRAFICA!$I177="",ANAGRAFICA!$J177="",$Y180="",AND(OR($I180="Finito ritenute non previste",$I180="Finito con sblocco ritenute",$I180="Finito senza sblocco ritenute"),ANAGRAFICA!$K177=""),OR(AND(ANAGRAFICA!$T177&lt;&gt;"",ANAGRAFICA!$J177&lt;&gt;ANAGRAFICA!$T177,OR(ANAGRAFICA!$R177="",ANAGRAFICA!$R177="Nessuna variazione")),AND(ANAGRAFICA!$J177="",ANAGRAFICA!$R177&lt;&gt;"",ANAGRAFICA!$R177&lt;&gt;"Nessuna variazione")),AND($BI180&lt;&gt;"",$BI180&lt;-PARAMETRI!$B$5),AND($BN180&lt;&gt;"",$BN180&gt;PARAMETRI!$B$7),AND($W180&gt;0,$M180&gt;$W180*PARAMETRI!$B$9),AND($O180&gt;0,OR($I180="Finito ritenute non previste",$I180="Finito con sblocco ritenute",$I180="Finito senza sblocco ritenute")),AND($BA180&gt;0,$BO180&gt;0,$BP180=0),AND(OR($I180="Finito ritenute non previste",$I180="Finito con sblocco ritenute",$I180="Finito senza sblocco ritenute"),$W180&gt;0,$N180&gt;$W180*PARAMETRI!$B$9),$V180&gt;0),"ATTENZIONE","REGOLARE"))),"ATTENZIONE")</f>
        <v/>
      </c>
      <c r="B180" s="17" t="str">
        <f>IFERROR(IF($C180="","",IF($BF180&gt;0,"FATTURATO OLTRE VALORE RECUPERABILE; ","")&amp;IF($V180&gt;$J180,"PERDITE ACCETTATE OLTRE CONTRATTO; ","")&amp;IF($V180&gt;0,"PERDITA SAL ACCETTATA (€ "&amp;TEXT($V180,"#,##0.00")&amp;"); ","")&amp;IF(AND(ISNUMBER($Q180),$Q180&gt;0),"RITARDO PRODUTTIVO ("&amp;TEXT($Q180,"0")&amp;" GG); ","")&amp;IF(AND($BI180&lt;&gt;"",$BI180&lt;-PARAMETRI!$B$5),"AVANZAMENTO PIÙ LENTO DEL TEMPO; ","")&amp;IF(AND($BM180&lt;&gt;"",$BM180&gt;1),"ORE OLTRE BUDGET; ","")&amp;IF(AND($BM180&lt;&gt;"",$BM180=1),"ORE PREVENTIVATE ESAURITE; ","")&amp;IF(AND($BN180&lt;&gt;"",$BN180&gt;PARAMETRI!$B$7),"CONSUMO ORE SUPERIORE ALL'AVANZAMENTO; ","")&amp;IF(AND(ISNUMBER($BR180),$BR180&gt;0),"COSTI DIRETTI OLTRE BUDGET; ","")&amp;IF(AND($W180&gt;0,$M180&gt;$W180*PARAMETRI!$B$9),"SAL MATURATO NON FATTURATO; ","")&amp;IF(AND($O180&gt;0,OR($I180="Finito ritenute non previste",$I180="Finito con sblocco ritenute",$I180="Finito senza sblocco ritenute")),"RITENUTE DA SBLOCCARE; ","")&amp;IF(AND($BA180&gt;0,$BO180&gt;0,$BP180=0),"COSTI DIRETTI NON REGISTRATI; ","")&amp;IF(AND(OR($I180="Finito ritenute non previste",$I180="Finito con sblocco ritenute",$I180="Finito senza sblocco ritenute"),$W180&gt;0,$N180&gt;$W180*PARAMETRI!$B$9),"CANTIERE FINITO CON RESIDUO LAVORI; ","")&amp;IF(AND(OR($I180="Finito ritenute non previste",$I180="Finito con sblocco ritenute",$I180="Finito senza sblocco ritenute"),ANAGRAFICA!$K177=""),"DATA FINE EFFETTIVA MANCANTE; ","")&amp;IF(OR(AND(ANAGRAFICA!$T177&lt;&gt;"",ANAGRAFICA!$J177&lt;&gt;ANAGRAFICA!$T177,OR(ANAGRAFICA!$R177="",ANAGRAFICA!$R177="Nessuna variazione")),AND(ANAGRAFICA!$J177="",ANAGRAFICA!$R177&lt;&gt;"",ANAGRAFICA!$R177&lt;&gt;"Nessuna variazione")),"GESTIONE DATA FINE INCOMPLETA; ","")&amp;IF($Y180="","AGGIORNATO AL MANCANTE; ","")&amp;IF(OR($AZ180="",$BJ180="",$BO180="",ANAGRAFICA!$I177="",ANAGRAFICA!$J177=""),"DATI PREVISIONALI INCOMPLETI; ","")&amp;IF(LEFT($C180,5)="TEMP","CODICE COMMESSA TEMPORANEO; ","")),"DATI INCOMPLETI; ")</f>
        <v/>
      </c>
      <c r="C180" s="17" t="str">
        <f>IF(ANAGRAFICA!$B177="","",ANAGRAFICA!$B177)</f>
        <v/>
      </c>
      <c r="D180" s="17" t="str">
        <f>IF($C180="","",ANAGRAFICA!$C177)</f>
        <v/>
      </c>
      <c r="E180" s="17" t="str">
        <f>IF($C180="","",ANAGRAFICA!$D177)</f>
        <v/>
      </c>
      <c r="F180" s="17" t="str">
        <f>IF($C180="","",ANAGRAFICA!$E177)</f>
        <v/>
      </c>
      <c r="G180" s="17" t="str">
        <f>IF($C180="","",ANAGRAFICA!$F177)</f>
        <v/>
      </c>
      <c r="H180" s="17" t="str">
        <f>IF($C180="","",ANAGRAFICA!$G177)</f>
        <v/>
      </c>
      <c r="I180" s="17" t="str">
        <f>IF($C180="","",ANAGRAFICA!$L177)</f>
        <v/>
      </c>
      <c r="J180" s="16" t="str">
        <f t="shared" si="49"/>
        <v/>
      </c>
      <c r="K180" s="16" t="str">
        <f t="shared" si="50"/>
        <v/>
      </c>
      <c r="L180" s="16" t="str">
        <f t="shared" si="51"/>
        <v/>
      </c>
      <c r="M180" s="16" t="str">
        <f t="shared" si="52"/>
        <v/>
      </c>
      <c r="N180" s="16" t="str">
        <f t="shared" si="53"/>
        <v/>
      </c>
      <c r="O180" s="16" t="str">
        <f t="shared" si="54"/>
        <v/>
      </c>
      <c r="P180" s="17" t="str">
        <f t="shared" si="55"/>
        <v/>
      </c>
      <c r="Q180" s="31" t="str">
        <f>IF(OR($C180="",'BUDGET COMMESSA'!$D177="",'BUDGET COMMESSA'!$D177&lt;=0,ANAGRAFICA!$J177=""),"",IF(OR($I180="Finito ritenute non previste",$I180="Finito con sblocco ritenute",$I180="Finito senza sblocco ritenute"),0,IF(AND($BK180&gt;=$BJ180,ANAGRAFICA!$R177="Ritardo produttivo FIDA"),IF(ANAGRAFICA!$T177&lt;&gt;"",MAX(0,ANAGRAFICA!$J177-ANAGRAFICA!$T177),MAX(0,$Y180-ANAGRAFICA!$J177)),0)))</f>
        <v/>
      </c>
      <c r="R180" s="17" t="str">
        <f t="shared" si="56"/>
        <v/>
      </c>
      <c r="S180" s="17" t="str">
        <f t="shared" si="57"/>
        <v/>
      </c>
      <c r="T180" s="17" t="str">
        <f t="shared" si="58"/>
        <v/>
      </c>
      <c r="U180" s="16" t="str">
        <f t="shared" si="59"/>
        <v/>
      </c>
      <c r="V180" s="16" t="str">
        <f t="shared" si="60"/>
        <v/>
      </c>
      <c r="W180" s="16" t="str">
        <f t="shared" si="61"/>
        <v/>
      </c>
      <c r="X180" s="40"/>
      <c r="Y180" s="14"/>
      <c r="AZ180" t="str">
        <f>IF($C180="","",ANAGRAFICA!$P177)</f>
        <v/>
      </c>
      <c r="BA180" t="str">
        <f>IF($C180="","",SUMIF('MOVIMENTI 2026'!$B$7:$B$4206,$C180,'MOVIMENTI 2026'!$I$7:$I$4206)+SUMIF('SALDI AL 31.12.2025'!$A$6:$A$505,$C180,'SALDI AL 31.12.2025'!$C$6:$C$505))</f>
        <v/>
      </c>
      <c r="BB180" t="str">
        <f>IF($C180="","",SUMIF('MOVIMENTI 2026'!$B$7:$B$4206,$C180,'MOVIMENTI 2026'!$J$7:$J$4206)+SUMIF('SALDI AL 31.12.2025'!$A$6:$A$505,$C180,'SALDI AL 31.12.2025'!$D$6:$D$505))</f>
        <v/>
      </c>
      <c r="BC180" t="str">
        <f>IF($C180="","",SUMIF('MOVIMENTI 2026'!$B$7:$B$4206,$C180,'MOVIMENTI 2026'!$K$7:$K$4206)+SUMIF('SALDI AL 31.12.2025'!$A$6:$A$505,$C180,'SALDI AL 31.12.2025'!$E$6:$E$505))</f>
        <v/>
      </c>
      <c r="BD180" t="str">
        <f>IF($C180="","",SUMIF('MOVIMENTI 2026'!$B$7:$B$4206,$C180,'MOVIMENTI 2026'!$L$7:$L$4206)+SUMIF('SALDI AL 31.12.2025'!$A$6:$A$505,$C180,'SALDI AL 31.12.2025'!$F$6:$F$505))</f>
        <v/>
      </c>
      <c r="BE180" t="str">
        <f t="shared" si="62"/>
        <v/>
      </c>
      <c r="BF180" t="str">
        <f t="shared" si="63"/>
        <v/>
      </c>
      <c r="BG180" t="str">
        <f t="shared" si="64"/>
        <v/>
      </c>
      <c r="BH180" t="str">
        <f>IFERROR(IF(OR($C180="",ANAGRAFICA!$I177="",ANAGRAFICA!$J177="",ANAGRAFICA!$J177&lt;=ANAGRAFICA!$I177,$Y180=""),"",IF(OR($I180="Finito ritenute non previste",$I180="Finito con sblocco ritenute",$I180="Finito senza sblocco ritenute"),1,MAX(0,MIN(1,($Y180-ANAGRAFICA!$I177)/(ANAGRAFICA!$J177-ANAGRAFICA!$I177))))),"")</f>
        <v/>
      </c>
      <c r="BI180" t="str">
        <f t="shared" si="65"/>
        <v/>
      </c>
      <c r="BJ180" t="str">
        <f>IFERROR(IF($C180="","",'BUDGET COMMESSA'!$D177),"")</f>
        <v/>
      </c>
      <c r="BK180" t="str">
        <f>IF($C180="","",SUMIF('MOVIMENTI 2026'!$B$7:$B$4206,$C180,'MOVIMENTI 2026'!$N$7:$N$4206)+SUMIF('SALDI AL 31.12.2025'!$A$6:$A$505,$C180,'SALDI AL 31.12.2025'!$H$6:$H$505))</f>
        <v/>
      </c>
      <c r="BL180" t="str">
        <f t="shared" si="66"/>
        <v/>
      </c>
      <c r="BM180" t="str">
        <f t="shared" si="67"/>
        <v/>
      </c>
      <c r="BN180" t="str">
        <f t="shared" si="68"/>
        <v/>
      </c>
      <c r="BO180" t="str">
        <f>IFERROR(IF($C180="","",'BUDGET COMMESSA'!$G177),"")</f>
        <v/>
      </c>
      <c r="BP180" t="str">
        <f>IF($C180="","",SUMIF('COSTI DIRETTI'!$C$6:$C$505,$C180,'COSTI DIRETTI'!$H$6:$H$505)+SUMIF('SALDI AL 31.12.2025'!$A$6:$A$505,$C180,'SALDI AL 31.12.2025'!$I$6:$I$505))</f>
        <v/>
      </c>
      <c r="BQ180" t="str">
        <f t="shared" si="69"/>
        <v/>
      </c>
      <c r="BR180" t="str">
        <f t="shared" si="70"/>
        <v/>
      </c>
      <c r="BS180" t="str">
        <f>IF($C180="","",$BK180*PARAMETRI!$B$4+$BP180)</f>
        <v/>
      </c>
      <c r="BT180">
        <f t="shared" si="71"/>
        <v>0</v>
      </c>
      <c r="BU180">
        <f t="shared" si="72"/>
        <v>0</v>
      </c>
      <c r="BV180" t="str">
        <f>IF($C180="","",SUMIF('MOVIMENTI 2026'!$B$7:$B$4206,$C180,'MOVIMENTI 2026'!$P$7:$P$4206)+SUMIF('SALDI AL 31.12.2025'!$A$6:$A$505,$C180,'SALDI AL 31.12.2025'!$G$6:$G$505))</f>
        <v/>
      </c>
    </row>
    <row r="181" spans="1:74" ht="16" x14ac:dyDescent="0.15">
      <c r="A181" s="17" t="str">
        <f>IFERROR(IF($C181="","",IF(OR($BF181&gt;0,$V181&gt;$J181,AND(ISNUMBER($Q181),$Q181&gt;0),AND($BI181&lt;&gt;"",$BI181&lt;-PARAMETRI!$B$6),AND($BM181&lt;&gt;"",$BM181&gt;=1),AND($BN181&lt;&gt;"",$BN181&gt;PARAMETRI!$B$8),AND(ISNUMBER($BR181),$BR181&gt;0)),"CRITICO",IF(OR($AZ181="",LEFT($C181,5)="TEMP",$BJ181="",$BO181="",ANAGRAFICA!$I178="",ANAGRAFICA!$J178="",$Y181="",AND(OR($I181="Finito ritenute non previste",$I181="Finito con sblocco ritenute",$I181="Finito senza sblocco ritenute"),ANAGRAFICA!$K178=""),OR(AND(ANAGRAFICA!$T178&lt;&gt;"",ANAGRAFICA!$J178&lt;&gt;ANAGRAFICA!$T178,OR(ANAGRAFICA!$R178="",ANAGRAFICA!$R178="Nessuna variazione")),AND(ANAGRAFICA!$J178="",ANAGRAFICA!$R178&lt;&gt;"",ANAGRAFICA!$R178&lt;&gt;"Nessuna variazione")),AND($BI181&lt;&gt;"",$BI181&lt;-PARAMETRI!$B$5),AND($BN181&lt;&gt;"",$BN181&gt;PARAMETRI!$B$7),AND($W181&gt;0,$M181&gt;$W181*PARAMETRI!$B$9),AND($O181&gt;0,OR($I181="Finito ritenute non previste",$I181="Finito con sblocco ritenute",$I181="Finito senza sblocco ritenute")),AND($BA181&gt;0,$BO181&gt;0,$BP181=0),AND(OR($I181="Finito ritenute non previste",$I181="Finito con sblocco ritenute",$I181="Finito senza sblocco ritenute"),$W181&gt;0,$N181&gt;$W181*PARAMETRI!$B$9),$V181&gt;0),"ATTENZIONE","REGOLARE"))),"ATTENZIONE")</f>
        <v/>
      </c>
      <c r="B181" s="17" t="str">
        <f>IFERROR(IF($C181="","",IF($BF181&gt;0,"FATTURATO OLTRE VALORE RECUPERABILE; ","")&amp;IF($V181&gt;$J181,"PERDITE ACCETTATE OLTRE CONTRATTO; ","")&amp;IF($V181&gt;0,"PERDITA SAL ACCETTATA (€ "&amp;TEXT($V181,"#,##0.00")&amp;"); ","")&amp;IF(AND(ISNUMBER($Q181),$Q181&gt;0),"RITARDO PRODUTTIVO ("&amp;TEXT($Q181,"0")&amp;" GG); ","")&amp;IF(AND($BI181&lt;&gt;"",$BI181&lt;-PARAMETRI!$B$5),"AVANZAMENTO PIÙ LENTO DEL TEMPO; ","")&amp;IF(AND($BM181&lt;&gt;"",$BM181&gt;1),"ORE OLTRE BUDGET; ","")&amp;IF(AND($BM181&lt;&gt;"",$BM181=1),"ORE PREVENTIVATE ESAURITE; ","")&amp;IF(AND($BN181&lt;&gt;"",$BN181&gt;PARAMETRI!$B$7),"CONSUMO ORE SUPERIORE ALL'AVANZAMENTO; ","")&amp;IF(AND(ISNUMBER($BR181),$BR181&gt;0),"COSTI DIRETTI OLTRE BUDGET; ","")&amp;IF(AND($W181&gt;0,$M181&gt;$W181*PARAMETRI!$B$9),"SAL MATURATO NON FATTURATO; ","")&amp;IF(AND($O181&gt;0,OR($I181="Finito ritenute non previste",$I181="Finito con sblocco ritenute",$I181="Finito senza sblocco ritenute")),"RITENUTE DA SBLOCCARE; ","")&amp;IF(AND($BA181&gt;0,$BO181&gt;0,$BP181=0),"COSTI DIRETTI NON REGISTRATI; ","")&amp;IF(AND(OR($I181="Finito ritenute non previste",$I181="Finito con sblocco ritenute",$I181="Finito senza sblocco ritenute"),$W181&gt;0,$N181&gt;$W181*PARAMETRI!$B$9),"CANTIERE FINITO CON RESIDUO LAVORI; ","")&amp;IF(AND(OR($I181="Finito ritenute non previste",$I181="Finito con sblocco ritenute",$I181="Finito senza sblocco ritenute"),ANAGRAFICA!$K178=""),"DATA FINE EFFETTIVA MANCANTE; ","")&amp;IF(OR(AND(ANAGRAFICA!$T178&lt;&gt;"",ANAGRAFICA!$J178&lt;&gt;ANAGRAFICA!$T178,OR(ANAGRAFICA!$R178="",ANAGRAFICA!$R178="Nessuna variazione")),AND(ANAGRAFICA!$J178="",ANAGRAFICA!$R178&lt;&gt;"",ANAGRAFICA!$R178&lt;&gt;"Nessuna variazione")),"GESTIONE DATA FINE INCOMPLETA; ","")&amp;IF($Y181="","AGGIORNATO AL MANCANTE; ","")&amp;IF(OR($AZ181="",$BJ181="",$BO181="",ANAGRAFICA!$I178="",ANAGRAFICA!$J178=""),"DATI PREVISIONALI INCOMPLETI; ","")&amp;IF(LEFT($C181,5)="TEMP","CODICE COMMESSA TEMPORANEO; ","")),"DATI INCOMPLETI; ")</f>
        <v/>
      </c>
      <c r="C181" s="17" t="str">
        <f>IF(ANAGRAFICA!$B178="","",ANAGRAFICA!$B178)</f>
        <v/>
      </c>
      <c r="D181" s="17" t="str">
        <f>IF($C181="","",ANAGRAFICA!$C178)</f>
        <v/>
      </c>
      <c r="E181" s="17" t="str">
        <f>IF($C181="","",ANAGRAFICA!$D178)</f>
        <v/>
      </c>
      <c r="F181" s="17" t="str">
        <f>IF($C181="","",ANAGRAFICA!$E178)</f>
        <v/>
      </c>
      <c r="G181" s="17" t="str">
        <f>IF($C181="","",ANAGRAFICA!$F178)</f>
        <v/>
      </c>
      <c r="H181" s="17" t="str">
        <f>IF($C181="","",ANAGRAFICA!$G178)</f>
        <v/>
      </c>
      <c r="I181" s="17" t="str">
        <f>IF($C181="","",ANAGRAFICA!$L178)</f>
        <v/>
      </c>
      <c r="J181" s="16" t="str">
        <f t="shared" si="49"/>
        <v/>
      </c>
      <c r="K181" s="16" t="str">
        <f t="shared" si="50"/>
        <v/>
      </c>
      <c r="L181" s="16" t="str">
        <f t="shared" si="51"/>
        <v/>
      </c>
      <c r="M181" s="16" t="str">
        <f t="shared" si="52"/>
        <v/>
      </c>
      <c r="N181" s="16" t="str">
        <f t="shared" si="53"/>
        <v/>
      </c>
      <c r="O181" s="16" t="str">
        <f t="shared" si="54"/>
        <v/>
      </c>
      <c r="P181" s="17" t="str">
        <f t="shared" si="55"/>
        <v/>
      </c>
      <c r="Q181" s="31" t="str">
        <f>IF(OR($C181="",'BUDGET COMMESSA'!$D178="",'BUDGET COMMESSA'!$D178&lt;=0,ANAGRAFICA!$J178=""),"",IF(OR($I181="Finito ritenute non previste",$I181="Finito con sblocco ritenute",$I181="Finito senza sblocco ritenute"),0,IF(AND($BK181&gt;=$BJ181,ANAGRAFICA!$R178="Ritardo produttivo FIDA"),IF(ANAGRAFICA!$T178&lt;&gt;"",MAX(0,ANAGRAFICA!$J178-ANAGRAFICA!$T178),MAX(0,$Y181-ANAGRAFICA!$J178)),0)))</f>
        <v/>
      </c>
      <c r="R181" s="17" t="str">
        <f t="shared" si="56"/>
        <v/>
      </c>
      <c r="S181" s="17" t="str">
        <f t="shared" si="57"/>
        <v/>
      </c>
      <c r="T181" s="17" t="str">
        <f t="shared" si="58"/>
        <v/>
      </c>
      <c r="U181" s="16" t="str">
        <f t="shared" si="59"/>
        <v/>
      </c>
      <c r="V181" s="16" t="str">
        <f t="shared" si="60"/>
        <v/>
      </c>
      <c r="W181" s="16" t="str">
        <f t="shared" si="61"/>
        <v/>
      </c>
      <c r="X181" s="40"/>
      <c r="Y181" s="14"/>
      <c r="AZ181" t="str">
        <f>IF($C181="","",ANAGRAFICA!$P178)</f>
        <v/>
      </c>
      <c r="BA181" t="str">
        <f>IF($C181="","",SUMIF('MOVIMENTI 2026'!$B$7:$B$4206,$C181,'MOVIMENTI 2026'!$I$7:$I$4206)+SUMIF('SALDI AL 31.12.2025'!$A$6:$A$505,$C181,'SALDI AL 31.12.2025'!$C$6:$C$505))</f>
        <v/>
      </c>
      <c r="BB181" t="str">
        <f>IF($C181="","",SUMIF('MOVIMENTI 2026'!$B$7:$B$4206,$C181,'MOVIMENTI 2026'!$J$7:$J$4206)+SUMIF('SALDI AL 31.12.2025'!$A$6:$A$505,$C181,'SALDI AL 31.12.2025'!$D$6:$D$505))</f>
        <v/>
      </c>
      <c r="BC181" t="str">
        <f>IF($C181="","",SUMIF('MOVIMENTI 2026'!$B$7:$B$4206,$C181,'MOVIMENTI 2026'!$K$7:$K$4206)+SUMIF('SALDI AL 31.12.2025'!$A$6:$A$505,$C181,'SALDI AL 31.12.2025'!$E$6:$E$505))</f>
        <v/>
      </c>
      <c r="BD181" t="str">
        <f>IF($C181="","",SUMIF('MOVIMENTI 2026'!$B$7:$B$4206,$C181,'MOVIMENTI 2026'!$L$7:$L$4206)+SUMIF('SALDI AL 31.12.2025'!$A$6:$A$505,$C181,'SALDI AL 31.12.2025'!$F$6:$F$505))</f>
        <v/>
      </c>
      <c r="BE181" t="str">
        <f t="shared" si="62"/>
        <v/>
      </c>
      <c r="BF181" t="str">
        <f t="shared" si="63"/>
        <v/>
      </c>
      <c r="BG181" t="str">
        <f t="shared" si="64"/>
        <v/>
      </c>
      <c r="BH181" t="str">
        <f>IFERROR(IF(OR($C181="",ANAGRAFICA!$I178="",ANAGRAFICA!$J178="",ANAGRAFICA!$J178&lt;=ANAGRAFICA!$I178,$Y181=""),"",IF(OR($I181="Finito ritenute non previste",$I181="Finito con sblocco ritenute",$I181="Finito senza sblocco ritenute"),1,MAX(0,MIN(1,($Y181-ANAGRAFICA!$I178)/(ANAGRAFICA!$J178-ANAGRAFICA!$I178))))),"")</f>
        <v/>
      </c>
      <c r="BI181" t="str">
        <f t="shared" si="65"/>
        <v/>
      </c>
      <c r="BJ181" t="str">
        <f>IFERROR(IF($C181="","",'BUDGET COMMESSA'!$D178),"")</f>
        <v/>
      </c>
      <c r="BK181" t="str">
        <f>IF($C181="","",SUMIF('MOVIMENTI 2026'!$B$7:$B$4206,$C181,'MOVIMENTI 2026'!$N$7:$N$4206)+SUMIF('SALDI AL 31.12.2025'!$A$6:$A$505,$C181,'SALDI AL 31.12.2025'!$H$6:$H$505))</f>
        <v/>
      </c>
      <c r="BL181" t="str">
        <f t="shared" si="66"/>
        <v/>
      </c>
      <c r="BM181" t="str">
        <f t="shared" si="67"/>
        <v/>
      </c>
      <c r="BN181" t="str">
        <f t="shared" si="68"/>
        <v/>
      </c>
      <c r="BO181" t="str">
        <f>IFERROR(IF($C181="","",'BUDGET COMMESSA'!$G178),"")</f>
        <v/>
      </c>
      <c r="BP181" t="str">
        <f>IF($C181="","",SUMIF('COSTI DIRETTI'!$C$6:$C$505,$C181,'COSTI DIRETTI'!$H$6:$H$505)+SUMIF('SALDI AL 31.12.2025'!$A$6:$A$505,$C181,'SALDI AL 31.12.2025'!$I$6:$I$505))</f>
        <v/>
      </c>
      <c r="BQ181" t="str">
        <f t="shared" si="69"/>
        <v/>
      </c>
      <c r="BR181" t="str">
        <f t="shared" si="70"/>
        <v/>
      </c>
      <c r="BS181" t="str">
        <f>IF($C181="","",$BK181*PARAMETRI!$B$4+$BP181)</f>
        <v/>
      </c>
      <c r="BT181">
        <f t="shared" si="71"/>
        <v>0</v>
      </c>
      <c r="BU181">
        <f t="shared" si="72"/>
        <v>0</v>
      </c>
      <c r="BV181" t="str">
        <f>IF($C181="","",SUMIF('MOVIMENTI 2026'!$B$7:$B$4206,$C181,'MOVIMENTI 2026'!$P$7:$P$4206)+SUMIF('SALDI AL 31.12.2025'!$A$6:$A$505,$C181,'SALDI AL 31.12.2025'!$G$6:$G$505))</f>
        <v/>
      </c>
    </row>
    <row r="182" spans="1:74" ht="16" x14ac:dyDescent="0.15">
      <c r="A182" s="17" t="str">
        <f>IFERROR(IF($C182="","",IF(OR($BF182&gt;0,$V182&gt;$J182,AND(ISNUMBER($Q182),$Q182&gt;0),AND($BI182&lt;&gt;"",$BI182&lt;-PARAMETRI!$B$6),AND($BM182&lt;&gt;"",$BM182&gt;=1),AND($BN182&lt;&gt;"",$BN182&gt;PARAMETRI!$B$8),AND(ISNUMBER($BR182),$BR182&gt;0)),"CRITICO",IF(OR($AZ182="",LEFT($C182,5)="TEMP",$BJ182="",$BO182="",ANAGRAFICA!$I179="",ANAGRAFICA!$J179="",$Y182="",AND(OR($I182="Finito ritenute non previste",$I182="Finito con sblocco ritenute",$I182="Finito senza sblocco ritenute"),ANAGRAFICA!$K179=""),OR(AND(ANAGRAFICA!$T179&lt;&gt;"",ANAGRAFICA!$J179&lt;&gt;ANAGRAFICA!$T179,OR(ANAGRAFICA!$R179="",ANAGRAFICA!$R179="Nessuna variazione")),AND(ANAGRAFICA!$J179="",ANAGRAFICA!$R179&lt;&gt;"",ANAGRAFICA!$R179&lt;&gt;"Nessuna variazione")),AND($BI182&lt;&gt;"",$BI182&lt;-PARAMETRI!$B$5),AND($BN182&lt;&gt;"",$BN182&gt;PARAMETRI!$B$7),AND($W182&gt;0,$M182&gt;$W182*PARAMETRI!$B$9),AND($O182&gt;0,OR($I182="Finito ritenute non previste",$I182="Finito con sblocco ritenute",$I182="Finito senza sblocco ritenute")),AND($BA182&gt;0,$BO182&gt;0,$BP182=0),AND(OR($I182="Finito ritenute non previste",$I182="Finito con sblocco ritenute",$I182="Finito senza sblocco ritenute"),$W182&gt;0,$N182&gt;$W182*PARAMETRI!$B$9),$V182&gt;0),"ATTENZIONE","REGOLARE"))),"ATTENZIONE")</f>
        <v/>
      </c>
      <c r="B182" s="17" t="str">
        <f>IFERROR(IF($C182="","",IF($BF182&gt;0,"FATTURATO OLTRE VALORE RECUPERABILE; ","")&amp;IF($V182&gt;$J182,"PERDITE ACCETTATE OLTRE CONTRATTO; ","")&amp;IF($V182&gt;0,"PERDITA SAL ACCETTATA (€ "&amp;TEXT($V182,"#,##0.00")&amp;"); ","")&amp;IF(AND(ISNUMBER($Q182),$Q182&gt;0),"RITARDO PRODUTTIVO ("&amp;TEXT($Q182,"0")&amp;" GG); ","")&amp;IF(AND($BI182&lt;&gt;"",$BI182&lt;-PARAMETRI!$B$5),"AVANZAMENTO PIÙ LENTO DEL TEMPO; ","")&amp;IF(AND($BM182&lt;&gt;"",$BM182&gt;1),"ORE OLTRE BUDGET; ","")&amp;IF(AND($BM182&lt;&gt;"",$BM182=1),"ORE PREVENTIVATE ESAURITE; ","")&amp;IF(AND($BN182&lt;&gt;"",$BN182&gt;PARAMETRI!$B$7),"CONSUMO ORE SUPERIORE ALL'AVANZAMENTO; ","")&amp;IF(AND(ISNUMBER($BR182),$BR182&gt;0),"COSTI DIRETTI OLTRE BUDGET; ","")&amp;IF(AND($W182&gt;0,$M182&gt;$W182*PARAMETRI!$B$9),"SAL MATURATO NON FATTURATO; ","")&amp;IF(AND($O182&gt;0,OR($I182="Finito ritenute non previste",$I182="Finito con sblocco ritenute",$I182="Finito senza sblocco ritenute")),"RITENUTE DA SBLOCCARE; ","")&amp;IF(AND($BA182&gt;0,$BO182&gt;0,$BP182=0),"COSTI DIRETTI NON REGISTRATI; ","")&amp;IF(AND(OR($I182="Finito ritenute non previste",$I182="Finito con sblocco ritenute",$I182="Finito senza sblocco ritenute"),$W182&gt;0,$N182&gt;$W182*PARAMETRI!$B$9),"CANTIERE FINITO CON RESIDUO LAVORI; ","")&amp;IF(AND(OR($I182="Finito ritenute non previste",$I182="Finito con sblocco ritenute",$I182="Finito senza sblocco ritenute"),ANAGRAFICA!$K179=""),"DATA FINE EFFETTIVA MANCANTE; ","")&amp;IF(OR(AND(ANAGRAFICA!$T179&lt;&gt;"",ANAGRAFICA!$J179&lt;&gt;ANAGRAFICA!$T179,OR(ANAGRAFICA!$R179="",ANAGRAFICA!$R179="Nessuna variazione")),AND(ANAGRAFICA!$J179="",ANAGRAFICA!$R179&lt;&gt;"",ANAGRAFICA!$R179&lt;&gt;"Nessuna variazione")),"GESTIONE DATA FINE INCOMPLETA; ","")&amp;IF($Y182="","AGGIORNATO AL MANCANTE; ","")&amp;IF(OR($AZ182="",$BJ182="",$BO182="",ANAGRAFICA!$I179="",ANAGRAFICA!$J179=""),"DATI PREVISIONALI INCOMPLETI; ","")&amp;IF(LEFT($C182,5)="TEMP","CODICE COMMESSA TEMPORANEO; ","")),"DATI INCOMPLETI; ")</f>
        <v/>
      </c>
      <c r="C182" s="17" t="str">
        <f>IF(ANAGRAFICA!$B179="","",ANAGRAFICA!$B179)</f>
        <v/>
      </c>
      <c r="D182" s="17" t="str">
        <f>IF($C182="","",ANAGRAFICA!$C179)</f>
        <v/>
      </c>
      <c r="E182" s="17" t="str">
        <f>IF($C182="","",ANAGRAFICA!$D179)</f>
        <v/>
      </c>
      <c r="F182" s="17" t="str">
        <f>IF($C182="","",ANAGRAFICA!$E179)</f>
        <v/>
      </c>
      <c r="G182" s="17" t="str">
        <f>IF($C182="","",ANAGRAFICA!$F179)</f>
        <v/>
      </c>
      <c r="H182" s="17" t="str">
        <f>IF($C182="","",ANAGRAFICA!$G179)</f>
        <v/>
      </c>
      <c r="I182" s="17" t="str">
        <f>IF($C182="","",ANAGRAFICA!$L179)</f>
        <v/>
      </c>
      <c r="J182" s="16" t="str">
        <f t="shared" si="49"/>
        <v/>
      </c>
      <c r="K182" s="16" t="str">
        <f t="shared" si="50"/>
        <v/>
      </c>
      <c r="L182" s="16" t="str">
        <f t="shared" si="51"/>
        <v/>
      </c>
      <c r="M182" s="16" t="str">
        <f t="shared" si="52"/>
        <v/>
      </c>
      <c r="N182" s="16" t="str">
        <f t="shared" si="53"/>
        <v/>
      </c>
      <c r="O182" s="16" t="str">
        <f t="shared" si="54"/>
        <v/>
      </c>
      <c r="P182" s="17" t="str">
        <f t="shared" si="55"/>
        <v/>
      </c>
      <c r="Q182" s="31" t="str">
        <f>IF(OR($C182="",'BUDGET COMMESSA'!$D179="",'BUDGET COMMESSA'!$D179&lt;=0,ANAGRAFICA!$J179=""),"",IF(OR($I182="Finito ritenute non previste",$I182="Finito con sblocco ritenute",$I182="Finito senza sblocco ritenute"),0,IF(AND($BK182&gt;=$BJ182,ANAGRAFICA!$R179="Ritardo produttivo FIDA"),IF(ANAGRAFICA!$T179&lt;&gt;"",MAX(0,ANAGRAFICA!$J179-ANAGRAFICA!$T179),MAX(0,$Y182-ANAGRAFICA!$J179)),0)))</f>
        <v/>
      </c>
      <c r="R182" s="17" t="str">
        <f t="shared" si="56"/>
        <v/>
      </c>
      <c r="S182" s="17" t="str">
        <f t="shared" si="57"/>
        <v/>
      </c>
      <c r="T182" s="17" t="str">
        <f t="shared" si="58"/>
        <v/>
      </c>
      <c r="U182" s="16" t="str">
        <f t="shared" si="59"/>
        <v/>
      </c>
      <c r="V182" s="16" t="str">
        <f t="shared" si="60"/>
        <v/>
      </c>
      <c r="W182" s="16" t="str">
        <f t="shared" si="61"/>
        <v/>
      </c>
      <c r="X182" s="40"/>
      <c r="Y182" s="14"/>
      <c r="AZ182" t="str">
        <f>IF($C182="","",ANAGRAFICA!$P179)</f>
        <v/>
      </c>
      <c r="BA182" t="str">
        <f>IF($C182="","",SUMIF('MOVIMENTI 2026'!$B$7:$B$4206,$C182,'MOVIMENTI 2026'!$I$7:$I$4206)+SUMIF('SALDI AL 31.12.2025'!$A$6:$A$505,$C182,'SALDI AL 31.12.2025'!$C$6:$C$505))</f>
        <v/>
      </c>
      <c r="BB182" t="str">
        <f>IF($C182="","",SUMIF('MOVIMENTI 2026'!$B$7:$B$4206,$C182,'MOVIMENTI 2026'!$J$7:$J$4206)+SUMIF('SALDI AL 31.12.2025'!$A$6:$A$505,$C182,'SALDI AL 31.12.2025'!$D$6:$D$505))</f>
        <v/>
      </c>
      <c r="BC182" t="str">
        <f>IF($C182="","",SUMIF('MOVIMENTI 2026'!$B$7:$B$4206,$C182,'MOVIMENTI 2026'!$K$7:$K$4206)+SUMIF('SALDI AL 31.12.2025'!$A$6:$A$505,$C182,'SALDI AL 31.12.2025'!$E$6:$E$505))</f>
        <v/>
      </c>
      <c r="BD182" t="str">
        <f>IF($C182="","",SUMIF('MOVIMENTI 2026'!$B$7:$B$4206,$C182,'MOVIMENTI 2026'!$L$7:$L$4206)+SUMIF('SALDI AL 31.12.2025'!$A$6:$A$505,$C182,'SALDI AL 31.12.2025'!$F$6:$F$505))</f>
        <v/>
      </c>
      <c r="BE182" t="str">
        <f t="shared" si="62"/>
        <v/>
      </c>
      <c r="BF182" t="str">
        <f t="shared" si="63"/>
        <v/>
      </c>
      <c r="BG182" t="str">
        <f t="shared" si="64"/>
        <v/>
      </c>
      <c r="BH182" t="str">
        <f>IFERROR(IF(OR($C182="",ANAGRAFICA!$I179="",ANAGRAFICA!$J179="",ANAGRAFICA!$J179&lt;=ANAGRAFICA!$I179,$Y182=""),"",IF(OR($I182="Finito ritenute non previste",$I182="Finito con sblocco ritenute",$I182="Finito senza sblocco ritenute"),1,MAX(0,MIN(1,($Y182-ANAGRAFICA!$I179)/(ANAGRAFICA!$J179-ANAGRAFICA!$I179))))),"")</f>
        <v/>
      </c>
      <c r="BI182" t="str">
        <f t="shared" si="65"/>
        <v/>
      </c>
      <c r="BJ182" t="str">
        <f>IFERROR(IF($C182="","",'BUDGET COMMESSA'!$D179),"")</f>
        <v/>
      </c>
      <c r="BK182" t="str">
        <f>IF($C182="","",SUMIF('MOVIMENTI 2026'!$B$7:$B$4206,$C182,'MOVIMENTI 2026'!$N$7:$N$4206)+SUMIF('SALDI AL 31.12.2025'!$A$6:$A$505,$C182,'SALDI AL 31.12.2025'!$H$6:$H$505))</f>
        <v/>
      </c>
      <c r="BL182" t="str">
        <f t="shared" si="66"/>
        <v/>
      </c>
      <c r="BM182" t="str">
        <f t="shared" si="67"/>
        <v/>
      </c>
      <c r="BN182" t="str">
        <f t="shared" si="68"/>
        <v/>
      </c>
      <c r="BO182" t="str">
        <f>IFERROR(IF($C182="","",'BUDGET COMMESSA'!$G179),"")</f>
        <v/>
      </c>
      <c r="BP182" t="str">
        <f>IF($C182="","",SUMIF('COSTI DIRETTI'!$C$6:$C$505,$C182,'COSTI DIRETTI'!$H$6:$H$505)+SUMIF('SALDI AL 31.12.2025'!$A$6:$A$505,$C182,'SALDI AL 31.12.2025'!$I$6:$I$505))</f>
        <v/>
      </c>
      <c r="BQ182" t="str">
        <f t="shared" si="69"/>
        <v/>
      </c>
      <c r="BR182" t="str">
        <f t="shared" si="70"/>
        <v/>
      </c>
      <c r="BS182" t="str">
        <f>IF($C182="","",$BK182*PARAMETRI!$B$4+$BP182)</f>
        <v/>
      </c>
      <c r="BT182">
        <f t="shared" si="71"/>
        <v>0</v>
      </c>
      <c r="BU182">
        <f t="shared" si="72"/>
        <v>0</v>
      </c>
      <c r="BV182" t="str">
        <f>IF($C182="","",SUMIF('MOVIMENTI 2026'!$B$7:$B$4206,$C182,'MOVIMENTI 2026'!$P$7:$P$4206)+SUMIF('SALDI AL 31.12.2025'!$A$6:$A$505,$C182,'SALDI AL 31.12.2025'!$G$6:$G$505))</f>
        <v/>
      </c>
    </row>
    <row r="183" spans="1:74" ht="16" x14ac:dyDescent="0.15">
      <c r="A183" s="17" t="str">
        <f>IFERROR(IF($C183="","",IF(OR($BF183&gt;0,$V183&gt;$J183,AND(ISNUMBER($Q183),$Q183&gt;0),AND($BI183&lt;&gt;"",$BI183&lt;-PARAMETRI!$B$6),AND($BM183&lt;&gt;"",$BM183&gt;=1),AND($BN183&lt;&gt;"",$BN183&gt;PARAMETRI!$B$8),AND(ISNUMBER($BR183),$BR183&gt;0)),"CRITICO",IF(OR($AZ183="",LEFT($C183,5)="TEMP",$BJ183="",$BO183="",ANAGRAFICA!$I180="",ANAGRAFICA!$J180="",$Y183="",AND(OR($I183="Finito ritenute non previste",$I183="Finito con sblocco ritenute",$I183="Finito senza sblocco ritenute"),ANAGRAFICA!$K180=""),OR(AND(ANAGRAFICA!$T180&lt;&gt;"",ANAGRAFICA!$J180&lt;&gt;ANAGRAFICA!$T180,OR(ANAGRAFICA!$R180="",ANAGRAFICA!$R180="Nessuna variazione")),AND(ANAGRAFICA!$J180="",ANAGRAFICA!$R180&lt;&gt;"",ANAGRAFICA!$R180&lt;&gt;"Nessuna variazione")),AND($BI183&lt;&gt;"",$BI183&lt;-PARAMETRI!$B$5),AND($BN183&lt;&gt;"",$BN183&gt;PARAMETRI!$B$7),AND($W183&gt;0,$M183&gt;$W183*PARAMETRI!$B$9),AND($O183&gt;0,OR($I183="Finito ritenute non previste",$I183="Finito con sblocco ritenute",$I183="Finito senza sblocco ritenute")),AND($BA183&gt;0,$BO183&gt;0,$BP183=0),AND(OR($I183="Finito ritenute non previste",$I183="Finito con sblocco ritenute",$I183="Finito senza sblocco ritenute"),$W183&gt;0,$N183&gt;$W183*PARAMETRI!$B$9),$V183&gt;0),"ATTENZIONE","REGOLARE"))),"ATTENZIONE")</f>
        <v/>
      </c>
      <c r="B183" s="17" t="str">
        <f>IFERROR(IF($C183="","",IF($BF183&gt;0,"FATTURATO OLTRE VALORE RECUPERABILE; ","")&amp;IF($V183&gt;$J183,"PERDITE ACCETTATE OLTRE CONTRATTO; ","")&amp;IF($V183&gt;0,"PERDITA SAL ACCETTATA (€ "&amp;TEXT($V183,"#,##0.00")&amp;"); ","")&amp;IF(AND(ISNUMBER($Q183),$Q183&gt;0),"RITARDO PRODUTTIVO ("&amp;TEXT($Q183,"0")&amp;" GG); ","")&amp;IF(AND($BI183&lt;&gt;"",$BI183&lt;-PARAMETRI!$B$5),"AVANZAMENTO PIÙ LENTO DEL TEMPO; ","")&amp;IF(AND($BM183&lt;&gt;"",$BM183&gt;1),"ORE OLTRE BUDGET; ","")&amp;IF(AND($BM183&lt;&gt;"",$BM183=1),"ORE PREVENTIVATE ESAURITE; ","")&amp;IF(AND($BN183&lt;&gt;"",$BN183&gt;PARAMETRI!$B$7),"CONSUMO ORE SUPERIORE ALL'AVANZAMENTO; ","")&amp;IF(AND(ISNUMBER($BR183),$BR183&gt;0),"COSTI DIRETTI OLTRE BUDGET; ","")&amp;IF(AND($W183&gt;0,$M183&gt;$W183*PARAMETRI!$B$9),"SAL MATURATO NON FATTURATO; ","")&amp;IF(AND($O183&gt;0,OR($I183="Finito ritenute non previste",$I183="Finito con sblocco ritenute",$I183="Finito senza sblocco ritenute")),"RITENUTE DA SBLOCCARE; ","")&amp;IF(AND($BA183&gt;0,$BO183&gt;0,$BP183=0),"COSTI DIRETTI NON REGISTRATI; ","")&amp;IF(AND(OR($I183="Finito ritenute non previste",$I183="Finito con sblocco ritenute",$I183="Finito senza sblocco ritenute"),$W183&gt;0,$N183&gt;$W183*PARAMETRI!$B$9),"CANTIERE FINITO CON RESIDUO LAVORI; ","")&amp;IF(AND(OR($I183="Finito ritenute non previste",$I183="Finito con sblocco ritenute",$I183="Finito senza sblocco ritenute"),ANAGRAFICA!$K180=""),"DATA FINE EFFETTIVA MANCANTE; ","")&amp;IF(OR(AND(ANAGRAFICA!$T180&lt;&gt;"",ANAGRAFICA!$J180&lt;&gt;ANAGRAFICA!$T180,OR(ANAGRAFICA!$R180="",ANAGRAFICA!$R180="Nessuna variazione")),AND(ANAGRAFICA!$J180="",ANAGRAFICA!$R180&lt;&gt;"",ANAGRAFICA!$R180&lt;&gt;"Nessuna variazione")),"GESTIONE DATA FINE INCOMPLETA; ","")&amp;IF($Y183="","AGGIORNATO AL MANCANTE; ","")&amp;IF(OR($AZ183="",$BJ183="",$BO183="",ANAGRAFICA!$I180="",ANAGRAFICA!$J180=""),"DATI PREVISIONALI INCOMPLETI; ","")&amp;IF(LEFT($C183,5)="TEMP","CODICE COMMESSA TEMPORANEO; ","")),"DATI INCOMPLETI; ")</f>
        <v/>
      </c>
      <c r="C183" s="17" t="str">
        <f>IF(ANAGRAFICA!$B180="","",ANAGRAFICA!$B180)</f>
        <v/>
      </c>
      <c r="D183" s="17" t="str">
        <f>IF($C183="","",ANAGRAFICA!$C180)</f>
        <v/>
      </c>
      <c r="E183" s="17" t="str">
        <f>IF($C183="","",ANAGRAFICA!$D180)</f>
        <v/>
      </c>
      <c r="F183" s="17" t="str">
        <f>IF($C183="","",ANAGRAFICA!$E180)</f>
        <v/>
      </c>
      <c r="G183" s="17" t="str">
        <f>IF($C183="","",ANAGRAFICA!$F180)</f>
        <v/>
      </c>
      <c r="H183" s="17" t="str">
        <f>IF($C183="","",ANAGRAFICA!$G180)</f>
        <v/>
      </c>
      <c r="I183" s="17" t="str">
        <f>IF($C183="","",ANAGRAFICA!$L180)</f>
        <v/>
      </c>
      <c r="J183" s="16" t="str">
        <f t="shared" si="49"/>
        <v/>
      </c>
      <c r="K183" s="16" t="str">
        <f t="shared" si="50"/>
        <v/>
      </c>
      <c r="L183" s="16" t="str">
        <f t="shared" si="51"/>
        <v/>
      </c>
      <c r="M183" s="16" t="str">
        <f t="shared" si="52"/>
        <v/>
      </c>
      <c r="N183" s="16" t="str">
        <f t="shared" si="53"/>
        <v/>
      </c>
      <c r="O183" s="16" t="str">
        <f t="shared" si="54"/>
        <v/>
      </c>
      <c r="P183" s="17" t="str">
        <f t="shared" si="55"/>
        <v/>
      </c>
      <c r="Q183" s="31" t="str">
        <f>IF(OR($C183="",'BUDGET COMMESSA'!$D180="",'BUDGET COMMESSA'!$D180&lt;=0,ANAGRAFICA!$J180=""),"",IF(OR($I183="Finito ritenute non previste",$I183="Finito con sblocco ritenute",$I183="Finito senza sblocco ritenute"),0,IF(AND($BK183&gt;=$BJ183,ANAGRAFICA!$R180="Ritardo produttivo FIDA"),IF(ANAGRAFICA!$T180&lt;&gt;"",MAX(0,ANAGRAFICA!$J180-ANAGRAFICA!$T180),MAX(0,$Y183-ANAGRAFICA!$J180)),0)))</f>
        <v/>
      </c>
      <c r="R183" s="17" t="str">
        <f t="shared" si="56"/>
        <v/>
      </c>
      <c r="S183" s="17" t="str">
        <f t="shared" si="57"/>
        <v/>
      </c>
      <c r="T183" s="17" t="str">
        <f t="shared" si="58"/>
        <v/>
      </c>
      <c r="U183" s="16" t="str">
        <f t="shared" si="59"/>
        <v/>
      </c>
      <c r="V183" s="16" t="str">
        <f t="shared" si="60"/>
        <v/>
      </c>
      <c r="W183" s="16" t="str">
        <f t="shared" si="61"/>
        <v/>
      </c>
      <c r="X183" s="40"/>
      <c r="Y183" s="14"/>
      <c r="AZ183" t="str">
        <f>IF($C183="","",ANAGRAFICA!$P180)</f>
        <v/>
      </c>
      <c r="BA183" t="str">
        <f>IF($C183="","",SUMIF('MOVIMENTI 2026'!$B$7:$B$4206,$C183,'MOVIMENTI 2026'!$I$7:$I$4206)+SUMIF('SALDI AL 31.12.2025'!$A$6:$A$505,$C183,'SALDI AL 31.12.2025'!$C$6:$C$505))</f>
        <v/>
      </c>
      <c r="BB183" t="str">
        <f>IF($C183="","",SUMIF('MOVIMENTI 2026'!$B$7:$B$4206,$C183,'MOVIMENTI 2026'!$J$7:$J$4206)+SUMIF('SALDI AL 31.12.2025'!$A$6:$A$505,$C183,'SALDI AL 31.12.2025'!$D$6:$D$505))</f>
        <v/>
      </c>
      <c r="BC183" t="str">
        <f>IF($C183="","",SUMIF('MOVIMENTI 2026'!$B$7:$B$4206,$C183,'MOVIMENTI 2026'!$K$7:$K$4206)+SUMIF('SALDI AL 31.12.2025'!$A$6:$A$505,$C183,'SALDI AL 31.12.2025'!$E$6:$E$505))</f>
        <v/>
      </c>
      <c r="BD183" t="str">
        <f>IF($C183="","",SUMIF('MOVIMENTI 2026'!$B$7:$B$4206,$C183,'MOVIMENTI 2026'!$L$7:$L$4206)+SUMIF('SALDI AL 31.12.2025'!$A$6:$A$505,$C183,'SALDI AL 31.12.2025'!$F$6:$F$505))</f>
        <v/>
      </c>
      <c r="BE183" t="str">
        <f t="shared" si="62"/>
        <v/>
      </c>
      <c r="BF183" t="str">
        <f t="shared" si="63"/>
        <v/>
      </c>
      <c r="BG183" t="str">
        <f t="shared" si="64"/>
        <v/>
      </c>
      <c r="BH183" t="str">
        <f>IFERROR(IF(OR($C183="",ANAGRAFICA!$I180="",ANAGRAFICA!$J180="",ANAGRAFICA!$J180&lt;=ANAGRAFICA!$I180,$Y183=""),"",IF(OR($I183="Finito ritenute non previste",$I183="Finito con sblocco ritenute",$I183="Finito senza sblocco ritenute"),1,MAX(0,MIN(1,($Y183-ANAGRAFICA!$I180)/(ANAGRAFICA!$J180-ANAGRAFICA!$I180))))),"")</f>
        <v/>
      </c>
      <c r="BI183" t="str">
        <f t="shared" si="65"/>
        <v/>
      </c>
      <c r="BJ183" t="str">
        <f>IFERROR(IF($C183="","",'BUDGET COMMESSA'!$D180),"")</f>
        <v/>
      </c>
      <c r="BK183" t="str">
        <f>IF($C183="","",SUMIF('MOVIMENTI 2026'!$B$7:$B$4206,$C183,'MOVIMENTI 2026'!$N$7:$N$4206)+SUMIF('SALDI AL 31.12.2025'!$A$6:$A$505,$C183,'SALDI AL 31.12.2025'!$H$6:$H$505))</f>
        <v/>
      </c>
      <c r="BL183" t="str">
        <f t="shared" si="66"/>
        <v/>
      </c>
      <c r="BM183" t="str">
        <f t="shared" si="67"/>
        <v/>
      </c>
      <c r="BN183" t="str">
        <f t="shared" si="68"/>
        <v/>
      </c>
      <c r="BO183" t="str">
        <f>IFERROR(IF($C183="","",'BUDGET COMMESSA'!$G180),"")</f>
        <v/>
      </c>
      <c r="BP183" t="str">
        <f>IF($C183="","",SUMIF('COSTI DIRETTI'!$C$6:$C$505,$C183,'COSTI DIRETTI'!$H$6:$H$505)+SUMIF('SALDI AL 31.12.2025'!$A$6:$A$505,$C183,'SALDI AL 31.12.2025'!$I$6:$I$505))</f>
        <v/>
      </c>
      <c r="BQ183" t="str">
        <f t="shared" si="69"/>
        <v/>
      </c>
      <c r="BR183" t="str">
        <f t="shared" si="70"/>
        <v/>
      </c>
      <c r="BS183" t="str">
        <f>IF($C183="","",$BK183*PARAMETRI!$B$4+$BP183)</f>
        <v/>
      </c>
      <c r="BT183">
        <f t="shared" si="71"/>
        <v>0</v>
      </c>
      <c r="BU183">
        <f t="shared" si="72"/>
        <v>0</v>
      </c>
      <c r="BV183" t="str">
        <f>IF($C183="","",SUMIF('MOVIMENTI 2026'!$B$7:$B$4206,$C183,'MOVIMENTI 2026'!$P$7:$P$4206)+SUMIF('SALDI AL 31.12.2025'!$A$6:$A$505,$C183,'SALDI AL 31.12.2025'!$G$6:$G$505))</f>
        <v/>
      </c>
    </row>
    <row r="184" spans="1:74" ht="16" x14ac:dyDescent="0.15">
      <c r="A184" s="17" t="str">
        <f>IFERROR(IF($C184="","",IF(OR($BF184&gt;0,$V184&gt;$J184,AND(ISNUMBER($Q184),$Q184&gt;0),AND($BI184&lt;&gt;"",$BI184&lt;-PARAMETRI!$B$6),AND($BM184&lt;&gt;"",$BM184&gt;=1),AND($BN184&lt;&gt;"",$BN184&gt;PARAMETRI!$B$8),AND(ISNUMBER($BR184),$BR184&gt;0)),"CRITICO",IF(OR($AZ184="",LEFT($C184,5)="TEMP",$BJ184="",$BO184="",ANAGRAFICA!$I181="",ANAGRAFICA!$J181="",$Y184="",AND(OR($I184="Finito ritenute non previste",$I184="Finito con sblocco ritenute",$I184="Finito senza sblocco ritenute"),ANAGRAFICA!$K181=""),OR(AND(ANAGRAFICA!$T181&lt;&gt;"",ANAGRAFICA!$J181&lt;&gt;ANAGRAFICA!$T181,OR(ANAGRAFICA!$R181="",ANAGRAFICA!$R181="Nessuna variazione")),AND(ANAGRAFICA!$J181="",ANAGRAFICA!$R181&lt;&gt;"",ANAGRAFICA!$R181&lt;&gt;"Nessuna variazione")),AND($BI184&lt;&gt;"",$BI184&lt;-PARAMETRI!$B$5),AND($BN184&lt;&gt;"",$BN184&gt;PARAMETRI!$B$7),AND($W184&gt;0,$M184&gt;$W184*PARAMETRI!$B$9),AND($O184&gt;0,OR($I184="Finito ritenute non previste",$I184="Finito con sblocco ritenute",$I184="Finito senza sblocco ritenute")),AND($BA184&gt;0,$BO184&gt;0,$BP184=0),AND(OR($I184="Finito ritenute non previste",$I184="Finito con sblocco ritenute",$I184="Finito senza sblocco ritenute"),$W184&gt;0,$N184&gt;$W184*PARAMETRI!$B$9),$V184&gt;0),"ATTENZIONE","REGOLARE"))),"ATTENZIONE")</f>
        <v/>
      </c>
      <c r="B184" s="17" t="str">
        <f>IFERROR(IF($C184="","",IF($BF184&gt;0,"FATTURATO OLTRE VALORE RECUPERABILE; ","")&amp;IF($V184&gt;$J184,"PERDITE ACCETTATE OLTRE CONTRATTO; ","")&amp;IF($V184&gt;0,"PERDITA SAL ACCETTATA (€ "&amp;TEXT($V184,"#,##0.00")&amp;"); ","")&amp;IF(AND(ISNUMBER($Q184),$Q184&gt;0),"RITARDO PRODUTTIVO ("&amp;TEXT($Q184,"0")&amp;" GG); ","")&amp;IF(AND($BI184&lt;&gt;"",$BI184&lt;-PARAMETRI!$B$5),"AVANZAMENTO PIÙ LENTO DEL TEMPO; ","")&amp;IF(AND($BM184&lt;&gt;"",$BM184&gt;1),"ORE OLTRE BUDGET; ","")&amp;IF(AND($BM184&lt;&gt;"",$BM184=1),"ORE PREVENTIVATE ESAURITE; ","")&amp;IF(AND($BN184&lt;&gt;"",$BN184&gt;PARAMETRI!$B$7),"CONSUMO ORE SUPERIORE ALL'AVANZAMENTO; ","")&amp;IF(AND(ISNUMBER($BR184),$BR184&gt;0),"COSTI DIRETTI OLTRE BUDGET; ","")&amp;IF(AND($W184&gt;0,$M184&gt;$W184*PARAMETRI!$B$9),"SAL MATURATO NON FATTURATO; ","")&amp;IF(AND($O184&gt;0,OR($I184="Finito ritenute non previste",$I184="Finito con sblocco ritenute",$I184="Finito senza sblocco ritenute")),"RITENUTE DA SBLOCCARE; ","")&amp;IF(AND($BA184&gt;0,$BO184&gt;0,$BP184=0),"COSTI DIRETTI NON REGISTRATI; ","")&amp;IF(AND(OR($I184="Finito ritenute non previste",$I184="Finito con sblocco ritenute",$I184="Finito senza sblocco ritenute"),$W184&gt;0,$N184&gt;$W184*PARAMETRI!$B$9),"CANTIERE FINITO CON RESIDUO LAVORI; ","")&amp;IF(AND(OR($I184="Finito ritenute non previste",$I184="Finito con sblocco ritenute",$I184="Finito senza sblocco ritenute"),ANAGRAFICA!$K181=""),"DATA FINE EFFETTIVA MANCANTE; ","")&amp;IF(OR(AND(ANAGRAFICA!$T181&lt;&gt;"",ANAGRAFICA!$J181&lt;&gt;ANAGRAFICA!$T181,OR(ANAGRAFICA!$R181="",ANAGRAFICA!$R181="Nessuna variazione")),AND(ANAGRAFICA!$J181="",ANAGRAFICA!$R181&lt;&gt;"",ANAGRAFICA!$R181&lt;&gt;"Nessuna variazione")),"GESTIONE DATA FINE INCOMPLETA; ","")&amp;IF($Y184="","AGGIORNATO AL MANCANTE; ","")&amp;IF(OR($AZ184="",$BJ184="",$BO184="",ANAGRAFICA!$I181="",ANAGRAFICA!$J181=""),"DATI PREVISIONALI INCOMPLETI; ","")&amp;IF(LEFT($C184,5)="TEMP","CODICE COMMESSA TEMPORANEO; ","")),"DATI INCOMPLETI; ")</f>
        <v/>
      </c>
      <c r="C184" s="17" t="str">
        <f>IF(ANAGRAFICA!$B181="","",ANAGRAFICA!$B181)</f>
        <v/>
      </c>
      <c r="D184" s="17" t="str">
        <f>IF($C184="","",ANAGRAFICA!$C181)</f>
        <v/>
      </c>
      <c r="E184" s="17" t="str">
        <f>IF($C184="","",ANAGRAFICA!$D181)</f>
        <v/>
      </c>
      <c r="F184" s="17" t="str">
        <f>IF($C184="","",ANAGRAFICA!$E181)</f>
        <v/>
      </c>
      <c r="G184" s="17" t="str">
        <f>IF($C184="","",ANAGRAFICA!$F181)</f>
        <v/>
      </c>
      <c r="H184" s="17" t="str">
        <f>IF($C184="","",ANAGRAFICA!$G181)</f>
        <v/>
      </c>
      <c r="I184" s="17" t="str">
        <f>IF($C184="","",ANAGRAFICA!$L181)</f>
        <v/>
      </c>
      <c r="J184" s="16" t="str">
        <f t="shared" si="49"/>
        <v/>
      </c>
      <c r="K184" s="16" t="str">
        <f t="shared" si="50"/>
        <v/>
      </c>
      <c r="L184" s="16" t="str">
        <f t="shared" si="51"/>
        <v/>
      </c>
      <c r="M184" s="16" t="str">
        <f t="shared" si="52"/>
        <v/>
      </c>
      <c r="N184" s="16" t="str">
        <f t="shared" si="53"/>
        <v/>
      </c>
      <c r="O184" s="16" t="str">
        <f t="shared" si="54"/>
        <v/>
      </c>
      <c r="P184" s="17" t="str">
        <f t="shared" si="55"/>
        <v/>
      </c>
      <c r="Q184" s="31" t="str">
        <f>IF(OR($C184="",'BUDGET COMMESSA'!$D181="",'BUDGET COMMESSA'!$D181&lt;=0,ANAGRAFICA!$J181=""),"",IF(OR($I184="Finito ritenute non previste",$I184="Finito con sblocco ritenute",$I184="Finito senza sblocco ritenute"),0,IF(AND($BK184&gt;=$BJ184,ANAGRAFICA!$R181="Ritardo produttivo FIDA"),IF(ANAGRAFICA!$T181&lt;&gt;"",MAX(0,ANAGRAFICA!$J181-ANAGRAFICA!$T181),MAX(0,$Y184-ANAGRAFICA!$J181)),0)))</f>
        <v/>
      </c>
      <c r="R184" s="17" t="str">
        <f t="shared" si="56"/>
        <v/>
      </c>
      <c r="S184" s="17" t="str">
        <f t="shared" si="57"/>
        <v/>
      </c>
      <c r="T184" s="17" t="str">
        <f t="shared" si="58"/>
        <v/>
      </c>
      <c r="U184" s="16" t="str">
        <f t="shared" si="59"/>
        <v/>
      </c>
      <c r="V184" s="16" t="str">
        <f t="shared" si="60"/>
        <v/>
      </c>
      <c r="W184" s="16" t="str">
        <f t="shared" si="61"/>
        <v/>
      </c>
      <c r="X184" s="40"/>
      <c r="Y184" s="14"/>
      <c r="AZ184" t="str">
        <f>IF($C184="","",ANAGRAFICA!$P181)</f>
        <v/>
      </c>
      <c r="BA184" t="str">
        <f>IF($C184="","",SUMIF('MOVIMENTI 2026'!$B$7:$B$4206,$C184,'MOVIMENTI 2026'!$I$7:$I$4206)+SUMIF('SALDI AL 31.12.2025'!$A$6:$A$505,$C184,'SALDI AL 31.12.2025'!$C$6:$C$505))</f>
        <v/>
      </c>
      <c r="BB184" t="str">
        <f>IF($C184="","",SUMIF('MOVIMENTI 2026'!$B$7:$B$4206,$C184,'MOVIMENTI 2026'!$J$7:$J$4206)+SUMIF('SALDI AL 31.12.2025'!$A$6:$A$505,$C184,'SALDI AL 31.12.2025'!$D$6:$D$505))</f>
        <v/>
      </c>
      <c r="BC184" t="str">
        <f>IF($C184="","",SUMIF('MOVIMENTI 2026'!$B$7:$B$4206,$C184,'MOVIMENTI 2026'!$K$7:$K$4206)+SUMIF('SALDI AL 31.12.2025'!$A$6:$A$505,$C184,'SALDI AL 31.12.2025'!$E$6:$E$505))</f>
        <v/>
      </c>
      <c r="BD184" t="str">
        <f>IF($C184="","",SUMIF('MOVIMENTI 2026'!$B$7:$B$4206,$C184,'MOVIMENTI 2026'!$L$7:$L$4206)+SUMIF('SALDI AL 31.12.2025'!$A$6:$A$505,$C184,'SALDI AL 31.12.2025'!$F$6:$F$505))</f>
        <v/>
      </c>
      <c r="BE184" t="str">
        <f t="shared" si="62"/>
        <v/>
      </c>
      <c r="BF184" t="str">
        <f t="shared" si="63"/>
        <v/>
      </c>
      <c r="BG184" t="str">
        <f t="shared" si="64"/>
        <v/>
      </c>
      <c r="BH184" t="str">
        <f>IFERROR(IF(OR($C184="",ANAGRAFICA!$I181="",ANAGRAFICA!$J181="",ANAGRAFICA!$J181&lt;=ANAGRAFICA!$I181,$Y184=""),"",IF(OR($I184="Finito ritenute non previste",$I184="Finito con sblocco ritenute",$I184="Finito senza sblocco ritenute"),1,MAX(0,MIN(1,($Y184-ANAGRAFICA!$I181)/(ANAGRAFICA!$J181-ANAGRAFICA!$I181))))),"")</f>
        <v/>
      </c>
      <c r="BI184" t="str">
        <f t="shared" si="65"/>
        <v/>
      </c>
      <c r="BJ184" t="str">
        <f>IFERROR(IF($C184="","",'BUDGET COMMESSA'!$D181),"")</f>
        <v/>
      </c>
      <c r="BK184" t="str">
        <f>IF($C184="","",SUMIF('MOVIMENTI 2026'!$B$7:$B$4206,$C184,'MOVIMENTI 2026'!$N$7:$N$4206)+SUMIF('SALDI AL 31.12.2025'!$A$6:$A$505,$C184,'SALDI AL 31.12.2025'!$H$6:$H$505))</f>
        <v/>
      </c>
      <c r="BL184" t="str">
        <f t="shared" si="66"/>
        <v/>
      </c>
      <c r="BM184" t="str">
        <f t="shared" si="67"/>
        <v/>
      </c>
      <c r="BN184" t="str">
        <f t="shared" si="68"/>
        <v/>
      </c>
      <c r="BO184" t="str">
        <f>IFERROR(IF($C184="","",'BUDGET COMMESSA'!$G181),"")</f>
        <v/>
      </c>
      <c r="BP184" t="str">
        <f>IF($C184="","",SUMIF('COSTI DIRETTI'!$C$6:$C$505,$C184,'COSTI DIRETTI'!$H$6:$H$505)+SUMIF('SALDI AL 31.12.2025'!$A$6:$A$505,$C184,'SALDI AL 31.12.2025'!$I$6:$I$505))</f>
        <v/>
      </c>
      <c r="BQ184" t="str">
        <f t="shared" si="69"/>
        <v/>
      </c>
      <c r="BR184" t="str">
        <f t="shared" si="70"/>
        <v/>
      </c>
      <c r="BS184" t="str">
        <f>IF($C184="","",$BK184*PARAMETRI!$B$4+$BP184)</f>
        <v/>
      </c>
      <c r="BT184">
        <f t="shared" si="71"/>
        <v>0</v>
      </c>
      <c r="BU184">
        <f t="shared" si="72"/>
        <v>0</v>
      </c>
      <c r="BV184" t="str">
        <f>IF($C184="","",SUMIF('MOVIMENTI 2026'!$B$7:$B$4206,$C184,'MOVIMENTI 2026'!$P$7:$P$4206)+SUMIF('SALDI AL 31.12.2025'!$A$6:$A$505,$C184,'SALDI AL 31.12.2025'!$G$6:$G$505))</f>
        <v/>
      </c>
    </row>
    <row r="185" spans="1:74" ht="16" x14ac:dyDescent="0.15">
      <c r="A185" s="17" t="str">
        <f>IFERROR(IF($C185="","",IF(OR($BF185&gt;0,$V185&gt;$J185,AND(ISNUMBER($Q185),$Q185&gt;0),AND($BI185&lt;&gt;"",$BI185&lt;-PARAMETRI!$B$6),AND($BM185&lt;&gt;"",$BM185&gt;=1),AND($BN185&lt;&gt;"",$BN185&gt;PARAMETRI!$B$8),AND(ISNUMBER($BR185),$BR185&gt;0)),"CRITICO",IF(OR($AZ185="",LEFT($C185,5)="TEMP",$BJ185="",$BO185="",ANAGRAFICA!$I182="",ANAGRAFICA!$J182="",$Y185="",AND(OR($I185="Finito ritenute non previste",$I185="Finito con sblocco ritenute",$I185="Finito senza sblocco ritenute"),ANAGRAFICA!$K182=""),OR(AND(ANAGRAFICA!$T182&lt;&gt;"",ANAGRAFICA!$J182&lt;&gt;ANAGRAFICA!$T182,OR(ANAGRAFICA!$R182="",ANAGRAFICA!$R182="Nessuna variazione")),AND(ANAGRAFICA!$J182="",ANAGRAFICA!$R182&lt;&gt;"",ANAGRAFICA!$R182&lt;&gt;"Nessuna variazione")),AND($BI185&lt;&gt;"",$BI185&lt;-PARAMETRI!$B$5),AND($BN185&lt;&gt;"",$BN185&gt;PARAMETRI!$B$7),AND($W185&gt;0,$M185&gt;$W185*PARAMETRI!$B$9),AND($O185&gt;0,OR($I185="Finito ritenute non previste",$I185="Finito con sblocco ritenute",$I185="Finito senza sblocco ritenute")),AND($BA185&gt;0,$BO185&gt;0,$BP185=0),AND(OR($I185="Finito ritenute non previste",$I185="Finito con sblocco ritenute",$I185="Finito senza sblocco ritenute"),$W185&gt;0,$N185&gt;$W185*PARAMETRI!$B$9),$V185&gt;0),"ATTENZIONE","REGOLARE"))),"ATTENZIONE")</f>
        <v/>
      </c>
      <c r="B185" s="17" t="str">
        <f>IFERROR(IF($C185="","",IF($BF185&gt;0,"FATTURATO OLTRE VALORE RECUPERABILE; ","")&amp;IF($V185&gt;$J185,"PERDITE ACCETTATE OLTRE CONTRATTO; ","")&amp;IF($V185&gt;0,"PERDITA SAL ACCETTATA (€ "&amp;TEXT($V185,"#,##0.00")&amp;"); ","")&amp;IF(AND(ISNUMBER($Q185),$Q185&gt;0),"RITARDO PRODUTTIVO ("&amp;TEXT($Q185,"0")&amp;" GG); ","")&amp;IF(AND($BI185&lt;&gt;"",$BI185&lt;-PARAMETRI!$B$5),"AVANZAMENTO PIÙ LENTO DEL TEMPO; ","")&amp;IF(AND($BM185&lt;&gt;"",$BM185&gt;1),"ORE OLTRE BUDGET; ","")&amp;IF(AND($BM185&lt;&gt;"",$BM185=1),"ORE PREVENTIVATE ESAURITE; ","")&amp;IF(AND($BN185&lt;&gt;"",$BN185&gt;PARAMETRI!$B$7),"CONSUMO ORE SUPERIORE ALL'AVANZAMENTO; ","")&amp;IF(AND(ISNUMBER($BR185),$BR185&gt;0),"COSTI DIRETTI OLTRE BUDGET; ","")&amp;IF(AND($W185&gt;0,$M185&gt;$W185*PARAMETRI!$B$9),"SAL MATURATO NON FATTURATO; ","")&amp;IF(AND($O185&gt;0,OR($I185="Finito ritenute non previste",$I185="Finito con sblocco ritenute",$I185="Finito senza sblocco ritenute")),"RITENUTE DA SBLOCCARE; ","")&amp;IF(AND($BA185&gt;0,$BO185&gt;0,$BP185=0),"COSTI DIRETTI NON REGISTRATI; ","")&amp;IF(AND(OR($I185="Finito ritenute non previste",$I185="Finito con sblocco ritenute",$I185="Finito senza sblocco ritenute"),$W185&gt;0,$N185&gt;$W185*PARAMETRI!$B$9),"CANTIERE FINITO CON RESIDUO LAVORI; ","")&amp;IF(AND(OR($I185="Finito ritenute non previste",$I185="Finito con sblocco ritenute",$I185="Finito senza sblocco ritenute"),ANAGRAFICA!$K182=""),"DATA FINE EFFETTIVA MANCANTE; ","")&amp;IF(OR(AND(ANAGRAFICA!$T182&lt;&gt;"",ANAGRAFICA!$J182&lt;&gt;ANAGRAFICA!$T182,OR(ANAGRAFICA!$R182="",ANAGRAFICA!$R182="Nessuna variazione")),AND(ANAGRAFICA!$J182="",ANAGRAFICA!$R182&lt;&gt;"",ANAGRAFICA!$R182&lt;&gt;"Nessuna variazione")),"GESTIONE DATA FINE INCOMPLETA; ","")&amp;IF($Y185="","AGGIORNATO AL MANCANTE; ","")&amp;IF(OR($AZ185="",$BJ185="",$BO185="",ANAGRAFICA!$I182="",ANAGRAFICA!$J182=""),"DATI PREVISIONALI INCOMPLETI; ","")&amp;IF(LEFT($C185,5)="TEMP","CODICE COMMESSA TEMPORANEO; ","")),"DATI INCOMPLETI; ")</f>
        <v/>
      </c>
      <c r="C185" s="17" t="str">
        <f>IF(ANAGRAFICA!$B182="","",ANAGRAFICA!$B182)</f>
        <v/>
      </c>
      <c r="D185" s="17" t="str">
        <f>IF($C185="","",ANAGRAFICA!$C182)</f>
        <v/>
      </c>
      <c r="E185" s="17" t="str">
        <f>IF($C185="","",ANAGRAFICA!$D182)</f>
        <v/>
      </c>
      <c r="F185" s="17" t="str">
        <f>IF($C185="","",ANAGRAFICA!$E182)</f>
        <v/>
      </c>
      <c r="G185" s="17" t="str">
        <f>IF($C185="","",ANAGRAFICA!$F182)</f>
        <v/>
      </c>
      <c r="H185" s="17" t="str">
        <f>IF($C185="","",ANAGRAFICA!$G182)</f>
        <v/>
      </c>
      <c r="I185" s="17" t="str">
        <f>IF($C185="","",ANAGRAFICA!$L182)</f>
        <v/>
      </c>
      <c r="J185" s="16" t="str">
        <f t="shared" si="49"/>
        <v/>
      </c>
      <c r="K185" s="16" t="str">
        <f t="shared" si="50"/>
        <v/>
      </c>
      <c r="L185" s="16" t="str">
        <f t="shared" si="51"/>
        <v/>
      </c>
      <c r="M185" s="16" t="str">
        <f t="shared" si="52"/>
        <v/>
      </c>
      <c r="N185" s="16" t="str">
        <f t="shared" si="53"/>
        <v/>
      </c>
      <c r="O185" s="16" t="str">
        <f t="shared" si="54"/>
        <v/>
      </c>
      <c r="P185" s="17" t="str">
        <f t="shared" si="55"/>
        <v/>
      </c>
      <c r="Q185" s="31" t="str">
        <f>IF(OR($C185="",'BUDGET COMMESSA'!$D182="",'BUDGET COMMESSA'!$D182&lt;=0,ANAGRAFICA!$J182=""),"",IF(OR($I185="Finito ritenute non previste",$I185="Finito con sblocco ritenute",$I185="Finito senza sblocco ritenute"),0,IF(AND($BK185&gt;=$BJ185,ANAGRAFICA!$R182="Ritardo produttivo FIDA"),IF(ANAGRAFICA!$T182&lt;&gt;"",MAX(0,ANAGRAFICA!$J182-ANAGRAFICA!$T182),MAX(0,$Y185-ANAGRAFICA!$J182)),0)))</f>
        <v/>
      </c>
      <c r="R185" s="17" t="str">
        <f t="shared" si="56"/>
        <v/>
      </c>
      <c r="S185" s="17" t="str">
        <f t="shared" si="57"/>
        <v/>
      </c>
      <c r="T185" s="17" t="str">
        <f t="shared" si="58"/>
        <v/>
      </c>
      <c r="U185" s="16" t="str">
        <f t="shared" si="59"/>
        <v/>
      </c>
      <c r="V185" s="16" t="str">
        <f t="shared" si="60"/>
        <v/>
      </c>
      <c r="W185" s="16" t="str">
        <f t="shared" si="61"/>
        <v/>
      </c>
      <c r="X185" s="40"/>
      <c r="Y185" s="14"/>
      <c r="AZ185" t="str">
        <f>IF($C185="","",ANAGRAFICA!$P182)</f>
        <v/>
      </c>
      <c r="BA185" t="str">
        <f>IF($C185="","",SUMIF('MOVIMENTI 2026'!$B$7:$B$4206,$C185,'MOVIMENTI 2026'!$I$7:$I$4206)+SUMIF('SALDI AL 31.12.2025'!$A$6:$A$505,$C185,'SALDI AL 31.12.2025'!$C$6:$C$505))</f>
        <v/>
      </c>
      <c r="BB185" t="str">
        <f>IF($C185="","",SUMIF('MOVIMENTI 2026'!$B$7:$B$4206,$C185,'MOVIMENTI 2026'!$J$7:$J$4206)+SUMIF('SALDI AL 31.12.2025'!$A$6:$A$505,$C185,'SALDI AL 31.12.2025'!$D$6:$D$505))</f>
        <v/>
      </c>
      <c r="BC185" t="str">
        <f>IF($C185="","",SUMIF('MOVIMENTI 2026'!$B$7:$B$4206,$C185,'MOVIMENTI 2026'!$K$7:$K$4206)+SUMIF('SALDI AL 31.12.2025'!$A$6:$A$505,$C185,'SALDI AL 31.12.2025'!$E$6:$E$505))</f>
        <v/>
      </c>
      <c r="BD185" t="str">
        <f>IF($C185="","",SUMIF('MOVIMENTI 2026'!$B$7:$B$4206,$C185,'MOVIMENTI 2026'!$L$7:$L$4206)+SUMIF('SALDI AL 31.12.2025'!$A$6:$A$505,$C185,'SALDI AL 31.12.2025'!$F$6:$F$505))</f>
        <v/>
      </c>
      <c r="BE185" t="str">
        <f t="shared" si="62"/>
        <v/>
      </c>
      <c r="BF185" t="str">
        <f t="shared" si="63"/>
        <v/>
      </c>
      <c r="BG185" t="str">
        <f t="shared" si="64"/>
        <v/>
      </c>
      <c r="BH185" t="str">
        <f>IFERROR(IF(OR($C185="",ANAGRAFICA!$I182="",ANAGRAFICA!$J182="",ANAGRAFICA!$J182&lt;=ANAGRAFICA!$I182,$Y185=""),"",IF(OR($I185="Finito ritenute non previste",$I185="Finito con sblocco ritenute",$I185="Finito senza sblocco ritenute"),1,MAX(0,MIN(1,($Y185-ANAGRAFICA!$I182)/(ANAGRAFICA!$J182-ANAGRAFICA!$I182))))),"")</f>
        <v/>
      </c>
      <c r="BI185" t="str">
        <f t="shared" si="65"/>
        <v/>
      </c>
      <c r="BJ185" t="str">
        <f>IFERROR(IF($C185="","",'BUDGET COMMESSA'!$D182),"")</f>
        <v/>
      </c>
      <c r="BK185" t="str">
        <f>IF($C185="","",SUMIF('MOVIMENTI 2026'!$B$7:$B$4206,$C185,'MOVIMENTI 2026'!$N$7:$N$4206)+SUMIF('SALDI AL 31.12.2025'!$A$6:$A$505,$C185,'SALDI AL 31.12.2025'!$H$6:$H$505))</f>
        <v/>
      </c>
      <c r="BL185" t="str">
        <f t="shared" si="66"/>
        <v/>
      </c>
      <c r="BM185" t="str">
        <f t="shared" si="67"/>
        <v/>
      </c>
      <c r="BN185" t="str">
        <f t="shared" si="68"/>
        <v/>
      </c>
      <c r="BO185" t="str">
        <f>IFERROR(IF($C185="","",'BUDGET COMMESSA'!$G182),"")</f>
        <v/>
      </c>
      <c r="BP185" t="str">
        <f>IF($C185="","",SUMIF('COSTI DIRETTI'!$C$6:$C$505,$C185,'COSTI DIRETTI'!$H$6:$H$505)+SUMIF('SALDI AL 31.12.2025'!$A$6:$A$505,$C185,'SALDI AL 31.12.2025'!$I$6:$I$505))</f>
        <v/>
      </c>
      <c r="BQ185" t="str">
        <f t="shared" si="69"/>
        <v/>
      </c>
      <c r="BR185" t="str">
        <f t="shared" si="70"/>
        <v/>
      </c>
      <c r="BS185" t="str">
        <f>IF($C185="","",$BK185*PARAMETRI!$B$4+$BP185)</f>
        <v/>
      </c>
      <c r="BT185">
        <f t="shared" si="71"/>
        <v>0</v>
      </c>
      <c r="BU185">
        <f t="shared" si="72"/>
        <v>0</v>
      </c>
      <c r="BV185" t="str">
        <f>IF($C185="","",SUMIF('MOVIMENTI 2026'!$B$7:$B$4206,$C185,'MOVIMENTI 2026'!$P$7:$P$4206)+SUMIF('SALDI AL 31.12.2025'!$A$6:$A$505,$C185,'SALDI AL 31.12.2025'!$G$6:$G$505))</f>
        <v/>
      </c>
    </row>
    <row r="186" spans="1:74" ht="16" x14ac:dyDescent="0.15">
      <c r="A186" s="17" t="str">
        <f>IFERROR(IF($C186="","",IF(OR($BF186&gt;0,$V186&gt;$J186,AND(ISNUMBER($Q186),$Q186&gt;0),AND($BI186&lt;&gt;"",$BI186&lt;-PARAMETRI!$B$6),AND($BM186&lt;&gt;"",$BM186&gt;=1),AND($BN186&lt;&gt;"",$BN186&gt;PARAMETRI!$B$8),AND(ISNUMBER($BR186),$BR186&gt;0)),"CRITICO",IF(OR($AZ186="",LEFT($C186,5)="TEMP",$BJ186="",$BO186="",ANAGRAFICA!$I183="",ANAGRAFICA!$J183="",$Y186="",AND(OR($I186="Finito ritenute non previste",$I186="Finito con sblocco ritenute",$I186="Finito senza sblocco ritenute"),ANAGRAFICA!$K183=""),OR(AND(ANAGRAFICA!$T183&lt;&gt;"",ANAGRAFICA!$J183&lt;&gt;ANAGRAFICA!$T183,OR(ANAGRAFICA!$R183="",ANAGRAFICA!$R183="Nessuna variazione")),AND(ANAGRAFICA!$J183="",ANAGRAFICA!$R183&lt;&gt;"",ANAGRAFICA!$R183&lt;&gt;"Nessuna variazione")),AND($BI186&lt;&gt;"",$BI186&lt;-PARAMETRI!$B$5),AND($BN186&lt;&gt;"",$BN186&gt;PARAMETRI!$B$7),AND($W186&gt;0,$M186&gt;$W186*PARAMETRI!$B$9),AND($O186&gt;0,OR($I186="Finito ritenute non previste",$I186="Finito con sblocco ritenute",$I186="Finito senza sblocco ritenute")),AND($BA186&gt;0,$BO186&gt;0,$BP186=0),AND(OR($I186="Finito ritenute non previste",$I186="Finito con sblocco ritenute",$I186="Finito senza sblocco ritenute"),$W186&gt;0,$N186&gt;$W186*PARAMETRI!$B$9),$V186&gt;0),"ATTENZIONE","REGOLARE"))),"ATTENZIONE")</f>
        <v/>
      </c>
      <c r="B186" s="17" t="str">
        <f>IFERROR(IF($C186="","",IF($BF186&gt;0,"FATTURATO OLTRE VALORE RECUPERABILE; ","")&amp;IF($V186&gt;$J186,"PERDITE ACCETTATE OLTRE CONTRATTO; ","")&amp;IF($V186&gt;0,"PERDITA SAL ACCETTATA (€ "&amp;TEXT($V186,"#,##0.00")&amp;"); ","")&amp;IF(AND(ISNUMBER($Q186),$Q186&gt;0),"RITARDO PRODUTTIVO ("&amp;TEXT($Q186,"0")&amp;" GG); ","")&amp;IF(AND($BI186&lt;&gt;"",$BI186&lt;-PARAMETRI!$B$5),"AVANZAMENTO PIÙ LENTO DEL TEMPO; ","")&amp;IF(AND($BM186&lt;&gt;"",$BM186&gt;1),"ORE OLTRE BUDGET; ","")&amp;IF(AND($BM186&lt;&gt;"",$BM186=1),"ORE PREVENTIVATE ESAURITE; ","")&amp;IF(AND($BN186&lt;&gt;"",$BN186&gt;PARAMETRI!$B$7),"CONSUMO ORE SUPERIORE ALL'AVANZAMENTO; ","")&amp;IF(AND(ISNUMBER($BR186),$BR186&gt;0),"COSTI DIRETTI OLTRE BUDGET; ","")&amp;IF(AND($W186&gt;0,$M186&gt;$W186*PARAMETRI!$B$9),"SAL MATURATO NON FATTURATO; ","")&amp;IF(AND($O186&gt;0,OR($I186="Finito ritenute non previste",$I186="Finito con sblocco ritenute",$I186="Finito senza sblocco ritenute")),"RITENUTE DA SBLOCCARE; ","")&amp;IF(AND($BA186&gt;0,$BO186&gt;0,$BP186=0),"COSTI DIRETTI NON REGISTRATI; ","")&amp;IF(AND(OR($I186="Finito ritenute non previste",$I186="Finito con sblocco ritenute",$I186="Finito senza sblocco ritenute"),$W186&gt;0,$N186&gt;$W186*PARAMETRI!$B$9),"CANTIERE FINITO CON RESIDUO LAVORI; ","")&amp;IF(AND(OR($I186="Finito ritenute non previste",$I186="Finito con sblocco ritenute",$I186="Finito senza sblocco ritenute"),ANAGRAFICA!$K183=""),"DATA FINE EFFETTIVA MANCANTE; ","")&amp;IF(OR(AND(ANAGRAFICA!$T183&lt;&gt;"",ANAGRAFICA!$J183&lt;&gt;ANAGRAFICA!$T183,OR(ANAGRAFICA!$R183="",ANAGRAFICA!$R183="Nessuna variazione")),AND(ANAGRAFICA!$J183="",ANAGRAFICA!$R183&lt;&gt;"",ANAGRAFICA!$R183&lt;&gt;"Nessuna variazione")),"GESTIONE DATA FINE INCOMPLETA; ","")&amp;IF($Y186="","AGGIORNATO AL MANCANTE; ","")&amp;IF(OR($AZ186="",$BJ186="",$BO186="",ANAGRAFICA!$I183="",ANAGRAFICA!$J183=""),"DATI PREVISIONALI INCOMPLETI; ","")&amp;IF(LEFT($C186,5)="TEMP","CODICE COMMESSA TEMPORANEO; ","")),"DATI INCOMPLETI; ")</f>
        <v/>
      </c>
      <c r="C186" s="17" t="str">
        <f>IF(ANAGRAFICA!$B183="","",ANAGRAFICA!$B183)</f>
        <v/>
      </c>
      <c r="D186" s="17" t="str">
        <f>IF($C186="","",ANAGRAFICA!$C183)</f>
        <v/>
      </c>
      <c r="E186" s="17" t="str">
        <f>IF($C186="","",ANAGRAFICA!$D183)</f>
        <v/>
      </c>
      <c r="F186" s="17" t="str">
        <f>IF($C186="","",ANAGRAFICA!$E183)</f>
        <v/>
      </c>
      <c r="G186" s="17" t="str">
        <f>IF($C186="","",ANAGRAFICA!$F183)</f>
        <v/>
      </c>
      <c r="H186" s="17" t="str">
        <f>IF($C186="","",ANAGRAFICA!$G183)</f>
        <v/>
      </c>
      <c r="I186" s="17" t="str">
        <f>IF($C186="","",ANAGRAFICA!$L183)</f>
        <v/>
      </c>
      <c r="J186" s="16" t="str">
        <f t="shared" si="49"/>
        <v/>
      </c>
      <c r="K186" s="16" t="str">
        <f t="shared" si="50"/>
        <v/>
      </c>
      <c r="L186" s="16" t="str">
        <f t="shared" si="51"/>
        <v/>
      </c>
      <c r="M186" s="16" t="str">
        <f t="shared" si="52"/>
        <v/>
      </c>
      <c r="N186" s="16" t="str">
        <f t="shared" si="53"/>
        <v/>
      </c>
      <c r="O186" s="16" t="str">
        <f t="shared" si="54"/>
        <v/>
      </c>
      <c r="P186" s="17" t="str">
        <f t="shared" si="55"/>
        <v/>
      </c>
      <c r="Q186" s="31" t="str">
        <f>IF(OR($C186="",'BUDGET COMMESSA'!$D183="",'BUDGET COMMESSA'!$D183&lt;=0,ANAGRAFICA!$J183=""),"",IF(OR($I186="Finito ritenute non previste",$I186="Finito con sblocco ritenute",$I186="Finito senza sblocco ritenute"),0,IF(AND($BK186&gt;=$BJ186,ANAGRAFICA!$R183="Ritardo produttivo FIDA"),IF(ANAGRAFICA!$T183&lt;&gt;"",MAX(0,ANAGRAFICA!$J183-ANAGRAFICA!$T183),MAX(0,$Y186-ANAGRAFICA!$J183)),0)))</f>
        <v/>
      </c>
      <c r="R186" s="17" t="str">
        <f t="shared" si="56"/>
        <v/>
      </c>
      <c r="S186" s="17" t="str">
        <f t="shared" si="57"/>
        <v/>
      </c>
      <c r="T186" s="17" t="str">
        <f t="shared" si="58"/>
        <v/>
      </c>
      <c r="U186" s="16" t="str">
        <f t="shared" si="59"/>
        <v/>
      </c>
      <c r="V186" s="16" t="str">
        <f t="shared" si="60"/>
        <v/>
      </c>
      <c r="W186" s="16" t="str">
        <f t="shared" si="61"/>
        <v/>
      </c>
      <c r="X186" s="40"/>
      <c r="Y186" s="14"/>
      <c r="AZ186" t="str">
        <f>IF($C186="","",ANAGRAFICA!$P183)</f>
        <v/>
      </c>
      <c r="BA186" t="str">
        <f>IF($C186="","",SUMIF('MOVIMENTI 2026'!$B$7:$B$4206,$C186,'MOVIMENTI 2026'!$I$7:$I$4206)+SUMIF('SALDI AL 31.12.2025'!$A$6:$A$505,$C186,'SALDI AL 31.12.2025'!$C$6:$C$505))</f>
        <v/>
      </c>
      <c r="BB186" t="str">
        <f>IF($C186="","",SUMIF('MOVIMENTI 2026'!$B$7:$B$4206,$C186,'MOVIMENTI 2026'!$J$7:$J$4206)+SUMIF('SALDI AL 31.12.2025'!$A$6:$A$505,$C186,'SALDI AL 31.12.2025'!$D$6:$D$505))</f>
        <v/>
      </c>
      <c r="BC186" t="str">
        <f>IF($C186="","",SUMIF('MOVIMENTI 2026'!$B$7:$B$4206,$C186,'MOVIMENTI 2026'!$K$7:$K$4206)+SUMIF('SALDI AL 31.12.2025'!$A$6:$A$505,$C186,'SALDI AL 31.12.2025'!$E$6:$E$505))</f>
        <v/>
      </c>
      <c r="BD186" t="str">
        <f>IF($C186="","",SUMIF('MOVIMENTI 2026'!$B$7:$B$4206,$C186,'MOVIMENTI 2026'!$L$7:$L$4206)+SUMIF('SALDI AL 31.12.2025'!$A$6:$A$505,$C186,'SALDI AL 31.12.2025'!$F$6:$F$505))</f>
        <v/>
      </c>
      <c r="BE186" t="str">
        <f t="shared" si="62"/>
        <v/>
      </c>
      <c r="BF186" t="str">
        <f t="shared" si="63"/>
        <v/>
      </c>
      <c r="BG186" t="str">
        <f t="shared" si="64"/>
        <v/>
      </c>
      <c r="BH186" t="str">
        <f>IFERROR(IF(OR($C186="",ANAGRAFICA!$I183="",ANAGRAFICA!$J183="",ANAGRAFICA!$J183&lt;=ANAGRAFICA!$I183,$Y186=""),"",IF(OR($I186="Finito ritenute non previste",$I186="Finito con sblocco ritenute",$I186="Finito senza sblocco ritenute"),1,MAX(0,MIN(1,($Y186-ANAGRAFICA!$I183)/(ANAGRAFICA!$J183-ANAGRAFICA!$I183))))),"")</f>
        <v/>
      </c>
      <c r="BI186" t="str">
        <f t="shared" si="65"/>
        <v/>
      </c>
      <c r="BJ186" t="str">
        <f>IFERROR(IF($C186="","",'BUDGET COMMESSA'!$D183),"")</f>
        <v/>
      </c>
      <c r="BK186" t="str">
        <f>IF($C186="","",SUMIF('MOVIMENTI 2026'!$B$7:$B$4206,$C186,'MOVIMENTI 2026'!$N$7:$N$4206)+SUMIF('SALDI AL 31.12.2025'!$A$6:$A$505,$C186,'SALDI AL 31.12.2025'!$H$6:$H$505))</f>
        <v/>
      </c>
      <c r="BL186" t="str">
        <f t="shared" si="66"/>
        <v/>
      </c>
      <c r="BM186" t="str">
        <f t="shared" si="67"/>
        <v/>
      </c>
      <c r="BN186" t="str">
        <f t="shared" si="68"/>
        <v/>
      </c>
      <c r="BO186" t="str">
        <f>IFERROR(IF($C186="","",'BUDGET COMMESSA'!$G183),"")</f>
        <v/>
      </c>
      <c r="BP186" t="str">
        <f>IF($C186="","",SUMIF('COSTI DIRETTI'!$C$6:$C$505,$C186,'COSTI DIRETTI'!$H$6:$H$505)+SUMIF('SALDI AL 31.12.2025'!$A$6:$A$505,$C186,'SALDI AL 31.12.2025'!$I$6:$I$505))</f>
        <v/>
      </c>
      <c r="BQ186" t="str">
        <f t="shared" si="69"/>
        <v/>
      </c>
      <c r="BR186" t="str">
        <f t="shared" si="70"/>
        <v/>
      </c>
      <c r="BS186" t="str">
        <f>IF($C186="","",$BK186*PARAMETRI!$B$4+$BP186)</f>
        <v/>
      </c>
      <c r="BT186">
        <f t="shared" si="71"/>
        <v>0</v>
      </c>
      <c r="BU186">
        <f t="shared" si="72"/>
        <v>0</v>
      </c>
      <c r="BV186" t="str">
        <f>IF($C186="","",SUMIF('MOVIMENTI 2026'!$B$7:$B$4206,$C186,'MOVIMENTI 2026'!$P$7:$P$4206)+SUMIF('SALDI AL 31.12.2025'!$A$6:$A$505,$C186,'SALDI AL 31.12.2025'!$G$6:$G$505))</f>
        <v/>
      </c>
    </row>
    <row r="187" spans="1:74" ht="16" x14ac:dyDescent="0.15">
      <c r="A187" s="17" t="str">
        <f>IFERROR(IF($C187="","",IF(OR($BF187&gt;0,$V187&gt;$J187,AND(ISNUMBER($Q187),$Q187&gt;0),AND($BI187&lt;&gt;"",$BI187&lt;-PARAMETRI!$B$6),AND($BM187&lt;&gt;"",$BM187&gt;=1),AND($BN187&lt;&gt;"",$BN187&gt;PARAMETRI!$B$8),AND(ISNUMBER($BR187),$BR187&gt;0)),"CRITICO",IF(OR($AZ187="",LEFT($C187,5)="TEMP",$BJ187="",$BO187="",ANAGRAFICA!$I184="",ANAGRAFICA!$J184="",$Y187="",AND(OR($I187="Finito ritenute non previste",$I187="Finito con sblocco ritenute",$I187="Finito senza sblocco ritenute"),ANAGRAFICA!$K184=""),OR(AND(ANAGRAFICA!$T184&lt;&gt;"",ANAGRAFICA!$J184&lt;&gt;ANAGRAFICA!$T184,OR(ANAGRAFICA!$R184="",ANAGRAFICA!$R184="Nessuna variazione")),AND(ANAGRAFICA!$J184="",ANAGRAFICA!$R184&lt;&gt;"",ANAGRAFICA!$R184&lt;&gt;"Nessuna variazione")),AND($BI187&lt;&gt;"",$BI187&lt;-PARAMETRI!$B$5),AND($BN187&lt;&gt;"",$BN187&gt;PARAMETRI!$B$7),AND($W187&gt;0,$M187&gt;$W187*PARAMETRI!$B$9),AND($O187&gt;0,OR($I187="Finito ritenute non previste",$I187="Finito con sblocco ritenute",$I187="Finito senza sblocco ritenute")),AND($BA187&gt;0,$BO187&gt;0,$BP187=0),AND(OR($I187="Finito ritenute non previste",$I187="Finito con sblocco ritenute",$I187="Finito senza sblocco ritenute"),$W187&gt;0,$N187&gt;$W187*PARAMETRI!$B$9),$V187&gt;0),"ATTENZIONE","REGOLARE"))),"ATTENZIONE")</f>
        <v/>
      </c>
      <c r="B187" s="17" t="str">
        <f>IFERROR(IF($C187="","",IF($BF187&gt;0,"FATTURATO OLTRE VALORE RECUPERABILE; ","")&amp;IF($V187&gt;$J187,"PERDITE ACCETTATE OLTRE CONTRATTO; ","")&amp;IF($V187&gt;0,"PERDITA SAL ACCETTATA (€ "&amp;TEXT($V187,"#,##0.00")&amp;"); ","")&amp;IF(AND(ISNUMBER($Q187),$Q187&gt;0),"RITARDO PRODUTTIVO ("&amp;TEXT($Q187,"0")&amp;" GG); ","")&amp;IF(AND($BI187&lt;&gt;"",$BI187&lt;-PARAMETRI!$B$5),"AVANZAMENTO PIÙ LENTO DEL TEMPO; ","")&amp;IF(AND($BM187&lt;&gt;"",$BM187&gt;1),"ORE OLTRE BUDGET; ","")&amp;IF(AND($BM187&lt;&gt;"",$BM187=1),"ORE PREVENTIVATE ESAURITE; ","")&amp;IF(AND($BN187&lt;&gt;"",$BN187&gt;PARAMETRI!$B$7),"CONSUMO ORE SUPERIORE ALL'AVANZAMENTO; ","")&amp;IF(AND(ISNUMBER($BR187),$BR187&gt;0),"COSTI DIRETTI OLTRE BUDGET; ","")&amp;IF(AND($W187&gt;0,$M187&gt;$W187*PARAMETRI!$B$9),"SAL MATURATO NON FATTURATO; ","")&amp;IF(AND($O187&gt;0,OR($I187="Finito ritenute non previste",$I187="Finito con sblocco ritenute",$I187="Finito senza sblocco ritenute")),"RITENUTE DA SBLOCCARE; ","")&amp;IF(AND($BA187&gt;0,$BO187&gt;0,$BP187=0),"COSTI DIRETTI NON REGISTRATI; ","")&amp;IF(AND(OR($I187="Finito ritenute non previste",$I187="Finito con sblocco ritenute",$I187="Finito senza sblocco ritenute"),$W187&gt;0,$N187&gt;$W187*PARAMETRI!$B$9),"CANTIERE FINITO CON RESIDUO LAVORI; ","")&amp;IF(AND(OR($I187="Finito ritenute non previste",$I187="Finito con sblocco ritenute",$I187="Finito senza sblocco ritenute"),ANAGRAFICA!$K184=""),"DATA FINE EFFETTIVA MANCANTE; ","")&amp;IF(OR(AND(ANAGRAFICA!$T184&lt;&gt;"",ANAGRAFICA!$J184&lt;&gt;ANAGRAFICA!$T184,OR(ANAGRAFICA!$R184="",ANAGRAFICA!$R184="Nessuna variazione")),AND(ANAGRAFICA!$J184="",ANAGRAFICA!$R184&lt;&gt;"",ANAGRAFICA!$R184&lt;&gt;"Nessuna variazione")),"GESTIONE DATA FINE INCOMPLETA; ","")&amp;IF($Y187="","AGGIORNATO AL MANCANTE; ","")&amp;IF(OR($AZ187="",$BJ187="",$BO187="",ANAGRAFICA!$I184="",ANAGRAFICA!$J184=""),"DATI PREVISIONALI INCOMPLETI; ","")&amp;IF(LEFT($C187,5)="TEMP","CODICE COMMESSA TEMPORANEO; ","")),"DATI INCOMPLETI; ")</f>
        <v/>
      </c>
      <c r="C187" s="17" t="str">
        <f>IF(ANAGRAFICA!$B184="","",ANAGRAFICA!$B184)</f>
        <v/>
      </c>
      <c r="D187" s="17" t="str">
        <f>IF($C187="","",ANAGRAFICA!$C184)</f>
        <v/>
      </c>
      <c r="E187" s="17" t="str">
        <f>IF($C187="","",ANAGRAFICA!$D184)</f>
        <v/>
      </c>
      <c r="F187" s="17" t="str">
        <f>IF($C187="","",ANAGRAFICA!$E184)</f>
        <v/>
      </c>
      <c r="G187" s="17" t="str">
        <f>IF($C187="","",ANAGRAFICA!$F184)</f>
        <v/>
      </c>
      <c r="H187" s="17" t="str">
        <f>IF($C187="","",ANAGRAFICA!$G184)</f>
        <v/>
      </c>
      <c r="I187" s="17" t="str">
        <f>IF($C187="","",ANAGRAFICA!$L184)</f>
        <v/>
      </c>
      <c r="J187" s="16" t="str">
        <f t="shared" si="49"/>
        <v/>
      </c>
      <c r="K187" s="16" t="str">
        <f t="shared" si="50"/>
        <v/>
      </c>
      <c r="L187" s="16" t="str">
        <f t="shared" si="51"/>
        <v/>
      </c>
      <c r="M187" s="16" t="str">
        <f t="shared" si="52"/>
        <v/>
      </c>
      <c r="N187" s="16" t="str">
        <f t="shared" si="53"/>
        <v/>
      </c>
      <c r="O187" s="16" t="str">
        <f t="shared" si="54"/>
        <v/>
      </c>
      <c r="P187" s="17" t="str">
        <f t="shared" si="55"/>
        <v/>
      </c>
      <c r="Q187" s="31" t="str">
        <f>IF(OR($C187="",'BUDGET COMMESSA'!$D184="",'BUDGET COMMESSA'!$D184&lt;=0,ANAGRAFICA!$J184=""),"",IF(OR($I187="Finito ritenute non previste",$I187="Finito con sblocco ritenute",$I187="Finito senza sblocco ritenute"),0,IF(AND($BK187&gt;=$BJ187,ANAGRAFICA!$R184="Ritardo produttivo FIDA"),IF(ANAGRAFICA!$T184&lt;&gt;"",MAX(0,ANAGRAFICA!$J184-ANAGRAFICA!$T184),MAX(0,$Y187-ANAGRAFICA!$J184)),0)))</f>
        <v/>
      </c>
      <c r="R187" s="17" t="str">
        <f t="shared" si="56"/>
        <v/>
      </c>
      <c r="S187" s="17" t="str">
        <f t="shared" si="57"/>
        <v/>
      </c>
      <c r="T187" s="17" t="str">
        <f t="shared" si="58"/>
        <v/>
      </c>
      <c r="U187" s="16" t="str">
        <f t="shared" si="59"/>
        <v/>
      </c>
      <c r="V187" s="16" t="str">
        <f t="shared" si="60"/>
        <v/>
      </c>
      <c r="W187" s="16" t="str">
        <f t="shared" si="61"/>
        <v/>
      </c>
      <c r="X187" s="40"/>
      <c r="Y187" s="14"/>
      <c r="AZ187" t="str">
        <f>IF($C187="","",ANAGRAFICA!$P184)</f>
        <v/>
      </c>
      <c r="BA187" t="str">
        <f>IF($C187="","",SUMIF('MOVIMENTI 2026'!$B$7:$B$4206,$C187,'MOVIMENTI 2026'!$I$7:$I$4206)+SUMIF('SALDI AL 31.12.2025'!$A$6:$A$505,$C187,'SALDI AL 31.12.2025'!$C$6:$C$505))</f>
        <v/>
      </c>
      <c r="BB187" t="str">
        <f>IF($C187="","",SUMIF('MOVIMENTI 2026'!$B$7:$B$4206,$C187,'MOVIMENTI 2026'!$J$7:$J$4206)+SUMIF('SALDI AL 31.12.2025'!$A$6:$A$505,$C187,'SALDI AL 31.12.2025'!$D$6:$D$505))</f>
        <v/>
      </c>
      <c r="BC187" t="str">
        <f>IF($C187="","",SUMIF('MOVIMENTI 2026'!$B$7:$B$4206,$C187,'MOVIMENTI 2026'!$K$7:$K$4206)+SUMIF('SALDI AL 31.12.2025'!$A$6:$A$505,$C187,'SALDI AL 31.12.2025'!$E$6:$E$505))</f>
        <v/>
      </c>
      <c r="BD187" t="str">
        <f>IF($C187="","",SUMIF('MOVIMENTI 2026'!$B$7:$B$4206,$C187,'MOVIMENTI 2026'!$L$7:$L$4206)+SUMIF('SALDI AL 31.12.2025'!$A$6:$A$505,$C187,'SALDI AL 31.12.2025'!$F$6:$F$505))</f>
        <v/>
      </c>
      <c r="BE187" t="str">
        <f t="shared" si="62"/>
        <v/>
      </c>
      <c r="BF187" t="str">
        <f t="shared" si="63"/>
        <v/>
      </c>
      <c r="BG187" t="str">
        <f t="shared" si="64"/>
        <v/>
      </c>
      <c r="BH187" t="str">
        <f>IFERROR(IF(OR($C187="",ANAGRAFICA!$I184="",ANAGRAFICA!$J184="",ANAGRAFICA!$J184&lt;=ANAGRAFICA!$I184,$Y187=""),"",IF(OR($I187="Finito ritenute non previste",$I187="Finito con sblocco ritenute",$I187="Finito senza sblocco ritenute"),1,MAX(0,MIN(1,($Y187-ANAGRAFICA!$I184)/(ANAGRAFICA!$J184-ANAGRAFICA!$I184))))),"")</f>
        <v/>
      </c>
      <c r="BI187" t="str">
        <f t="shared" si="65"/>
        <v/>
      </c>
      <c r="BJ187" t="str">
        <f>IFERROR(IF($C187="","",'BUDGET COMMESSA'!$D184),"")</f>
        <v/>
      </c>
      <c r="BK187" t="str">
        <f>IF($C187="","",SUMIF('MOVIMENTI 2026'!$B$7:$B$4206,$C187,'MOVIMENTI 2026'!$N$7:$N$4206)+SUMIF('SALDI AL 31.12.2025'!$A$6:$A$505,$C187,'SALDI AL 31.12.2025'!$H$6:$H$505))</f>
        <v/>
      </c>
      <c r="BL187" t="str">
        <f t="shared" si="66"/>
        <v/>
      </c>
      <c r="BM187" t="str">
        <f t="shared" si="67"/>
        <v/>
      </c>
      <c r="BN187" t="str">
        <f t="shared" si="68"/>
        <v/>
      </c>
      <c r="BO187" t="str">
        <f>IFERROR(IF($C187="","",'BUDGET COMMESSA'!$G184),"")</f>
        <v/>
      </c>
      <c r="BP187" t="str">
        <f>IF($C187="","",SUMIF('COSTI DIRETTI'!$C$6:$C$505,$C187,'COSTI DIRETTI'!$H$6:$H$505)+SUMIF('SALDI AL 31.12.2025'!$A$6:$A$505,$C187,'SALDI AL 31.12.2025'!$I$6:$I$505))</f>
        <v/>
      </c>
      <c r="BQ187" t="str">
        <f t="shared" si="69"/>
        <v/>
      </c>
      <c r="BR187" t="str">
        <f t="shared" si="70"/>
        <v/>
      </c>
      <c r="BS187" t="str">
        <f>IF($C187="","",$BK187*PARAMETRI!$B$4+$BP187)</f>
        <v/>
      </c>
      <c r="BT187">
        <f t="shared" si="71"/>
        <v>0</v>
      </c>
      <c r="BU187">
        <f t="shared" si="72"/>
        <v>0</v>
      </c>
      <c r="BV187" t="str">
        <f>IF($C187="","",SUMIF('MOVIMENTI 2026'!$B$7:$B$4206,$C187,'MOVIMENTI 2026'!$P$7:$P$4206)+SUMIF('SALDI AL 31.12.2025'!$A$6:$A$505,$C187,'SALDI AL 31.12.2025'!$G$6:$G$505))</f>
        <v/>
      </c>
    </row>
    <row r="188" spans="1:74" ht="16" x14ac:dyDescent="0.15">
      <c r="A188" s="17" t="str">
        <f>IFERROR(IF($C188="","",IF(OR($BF188&gt;0,$V188&gt;$J188,AND(ISNUMBER($Q188),$Q188&gt;0),AND($BI188&lt;&gt;"",$BI188&lt;-PARAMETRI!$B$6),AND($BM188&lt;&gt;"",$BM188&gt;=1),AND($BN188&lt;&gt;"",$BN188&gt;PARAMETRI!$B$8),AND(ISNUMBER($BR188),$BR188&gt;0)),"CRITICO",IF(OR($AZ188="",LEFT($C188,5)="TEMP",$BJ188="",$BO188="",ANAGRAFICA!$I185="",ANAGRAFICA!$J185="",$Y188="",AND(OR($I188="Finito ritenute non previste",$I188="Finito con sblocco ritenute",$I188="Finito senza sblocco ritenute"),ANAGRAFICA!$K185=""),OR(AND(ANAGRAFICA!$T185&lt;&gt;"",ANAGRAFICA!$J185&lt;&gt;ANAGRAFICA!$T185,OR(ANAGRAFICA!$R185="",ANAGRAFICA!$R185="Nessuna variazione")),AND(ANAGRAFICA!$J185="",ANAGRAFICA!$R185&lt;&gt;"",ANAGRAFICA!$R185&lt;&gt;"Nessuna variazione")),AND($BI188&lt;&gt;"",$BI188&lt;-PARAMETRI!$B$5),AND($BN188&lt;&gt;"",$BN188&gt;PARAMETRI!$B$7),AND($W188&gt;0,$M188&gt;$W188*PARAMETRI!$B$9),AND($O188&gt;0,OR($I188="Finito ritenute non previste",$I188="Finito con sblocco ritenute",$I188="Finito senza sblocco ritenute")),AND($BA188&gt;0,$BO188&gt;0,$BP188=0),AND(OR($I188="Finito ritenute non previste",$I188="Finito con sblocco ritenute",$I188="Finito senza sblocco ritenute"),$W188&gt;0,$N188&gt;$W188*PARAMETRI!$B$9),$V188&gt;0),"ATTENZIONE","REGOLARE"))),"ATTENZIONE")</f>
        <v/>
      </c>
      <c r="B188" s="17" t="str">
        <f>IFERROR(IF($C188="","",IF($BF188&gt;0,"FATTURATO OLTRE VALORE RECUPERABILE; ","")&amp;IF($V188&gt;$J188,"PERDITE ACCETTATE OLTRE CONTRATTO; ","")&amp;IF($V188&gt;0,"PERDITA SAL ACCETTATA (€ "&amp;TEXT($V188,"#,##0.00")&amp;"); ","")&amp;IF(AND(ISNUMBER($Q188),$Q188&gt;0),"RITARDO PRODUTTIVO ("&amp;TEXT($Q188,"0")&amp;" GG); ","")&amp;IF(AND($BI188&lt;&gt;"",$BI188&lt;-PARAMETRI!$B$5),"AVANZAMENTO PIÙ LENTO DEL TEMPO; ","")&amp;IF(AND($BM188&lt;&gt;"",$BM188&gt;1),"ORE OLTRE BUDGET; ","")&amp;IF(AND($BM188&lt;&gt;"",$BM188=1),"ORE PREVENTIVATE ESAURITE; ","")&amp;IF(AND($BN188&lt;&gt;"",$BN188&gt;PARAMETRI!$B$7),"CONSUMO ORE SUPERIORE ALL'AVANZAMENTO; ","")&amp;IF(AND(ISNUMBER($BR188),$BR188&gt;0),"COSTI DIRETTI OLTRE BUDGET; ","")&amp;IF(AND($W188&gt;0,$M188&gt;$W188*PARAMETRI!$B$9),"SAL MATURATO NON FATTURATO; ","")&amp;IF(AND($O188&gt;0,OR($I188="Finito ritenute non previste",$I188="Finito con sblocco ritenute",$I188="Finito senza sblocco ritenute")),"RITENUTE DA SBLOCCARE; ","")&amp;IF(AND($BA188&gt;0,$BO188&gt;0,$BP188=0),"COSTI DIRETTI NON REGISTRATI; ","")&amp;IF(AND(OR($I188="Finito ritenute non previste",$I188="Finito con sblocco ritenute",$I188="Finito senza sblocco ritenute"),$W188&gt;0,$N188&gt;$W188*PARAMETRI!$B$9),"CANTIERE FINITO CON RESIDUO LAVORI; ","")&amp;IF(AND(OR($I188="Finito ritenute non previste",$I188="Finito con sblocco ritenute",$I188="Finito senza sblocco ritenute"),ANAGRAFICA!$K185=""),"DATA FINE EFFETTIVA MANCANTE; ","")&amp;IF(OR(AND(ANAGRAFICA!$T185&lt;&gt;"",ANAGRAFICA!$J185&lt;&gt;ANAGRAFICA!$T185,OR(ANAGRAFICA!$R185="",ANAGRAFICA!$R185="Nessuna variazione")),AND(ANAGRAFICA!$J185="",ANAGRAFICA!$R185&lt;&gt;"",ANAGRAFICA!$R185&lt;&gt;"Nessuna variazione")),"GESTIONE DATA FINE INCOMPLETA; ","")&amp;IF($Y188="","AGGIORNATO AL MANCANTE; ","")&amp;IF(OR($AZ188="",$BJ188="",$BO188="",ANAGRAFICA!$I185="",ANAGRAFICA!$J185=""),"DATI PREVISIONALI INCOMPLETI; ","")&amp;IF(LEFT($C188,5)="TEMP","CODICE COMMESSA TEMPORANEO; ","")),"DATI INCOMPLETI; ")</f>
        <v/>
      </c>
      <c r="C188" s="17" t="str">
        <f>IF(ANAGRAFICA!$B185="","",ANAGRAFICA!$B185)</f>
        <v/>
      </c>
      <c r="D188" s="17" t="str">
        <f>IF($C188="","",ANAGRAFICA!$C185)</f>
        <v/>
      </c>
      <c r="E188" s="17" t="str">
        <f>IF($C188="","",ANAGRAFICA!$D185)</f>
        <v/>
      </c>
      <c r="F188" s="17" t="str">
        <f>IF($C188="","",ANAGRAFICA!$E185)</f>
        <v/>
      </c>
      <c r="G188" s="17" t="str">
        <f>IF($C188="","",ANAGRAFICA!$F185)</f>
        <v/>
      </c>
      <c r="H188" s="17" t="str">
        <f>IF($C188="","",ANAGRAFICA!$G185)</f>
        <v/>
      </c>
      <c r="I188" s="17" t="str">
        <f>IF($C188="","",ANAGRAFICA!$L185)</f>
        <v/>
      </c>
      <c r="J188" s="16" t="str">
        <f t="shared" si="49"/>
        <v/>
      </c>
      <c r="K188" s="16" t="str">
        <f t="shared" si="50"/>
        <v/>
      </c>
      <c r="L188" s="16" t="str">
        <f t="shared" si="51"/>
        <v/>
      </c>
      <c r="M188" s="16" t="str">
        <f t="shared" si="52"/>
        <v/>
      </c>
      <c r="N188" s="16" t="str">
        <f t="shared" si="53"/>
        <v/>
      </c>
      <c r="O188" s="16" t="str">
        <f t="shared" si="54"/>
        <v/>
      </c>
      <c r="P188" s="17" t="str">
        <f t="shared" si="55"/>
        <v/>
      </c>
      <c r="Q188" s="31" t="str">
        <f>IF(OR($C188="",'BUDGET COMMESSA'!$D185="",'BUDGET COMMESSA'!$D185&lt;=0,ANAGRAFICA!$J185=""),"",IF(OR($I188="Finito ritenute non previste",$I188="Finito con sblocco ritenute",$I188="Finito senza sblocco ritenute"),0,IF(AND($BK188&gt;=$BJ188,ANAGRAFICA!$R185="Ritardo produttivo FIDA"),IF(ANAGRAFICA!$T185&lt;&gt;"",MAX(0,ANAGRAFICA!$J185-ANAGRAFICA!$T185),MAX(0,$Y188-ANAGRAFICA!$J185)),0)))</f>
        <v/>
      </c>
      <c r="R188" s="17" t="str">
        <f t="shared" si="56"/>
        <v/>
      </c>
      <c r="S188" s="17" t="str">
        <f t="shared" si="57"/>
        <v/>
      </c>
      <c r="T188" s="17" t="str">
        <f t="shared" si="58"/>
        <v/>
      </c>
      <c r="U188" s="16" t="str">
        <f t="shared" si="59"/>
        <v/>
      </c>
      <c r="V188" s="16" t="str">
        <f t="shared" si="60"/>
        <v/>
      </c>
      <c r="W188" s="16" t="str">
        <f t="shared" si="61"/>
        <v/>
      </c>
      <c r="X188" s="40"/>
      <c r="Y188" s="14"/>
      <c r="AZ188" t="str">
        <f>IF($C188="","",ANAGRAFICA!$P185)</f>
        <v/>
      </c>
      <c r="BA188" t="str">
        <f>IF($C188="","",SUMIF('MOVIMENTI 2026'!$B$7:$B$4206,$C188,'MOVIMENTI 2026'!$I$7:$I$4206)+SUMIF('SALDI AL 31.12.2025'!$A$6:$A$505,$C188,'SALDI AL 31.12.2025'!$C$6:$C$505))</f>
        <v/>
      </c>
      <c r="BB188" t="str">
        <f>IF($C188="","",SUMIF('MOVIMENTI 2026'!$B$7:$B$4206,$C188,'MOVIMENTI 2026'!$J$7:$J$4206)+SUMIF('SALDI AL 31.12.2025'!$A$6:$A$505,$C188,'SALDI AL 31.12.2025'!$D$6:$D$505))</f>
        <v/>
      </c>
      <c r="BC188" t="str">
        <f>IF($C188="","",SUMIF('MOVIMENTI 2026'!$B$7:$B$4206,$C188,'MOVIMENTI 2026'!$K$7:$K$4206)+SUMIF('SALDI AL 31.12.2025'!$A$6:$A$505,$C188,'SALDI AL 31.12.2025'!$E$6:$E$505))</f>
        <v/>
      </c>
      <c r="BD188" t="str">
        <f>IF($C188="","",SUMIF('MOVIMENTI 2026'!$B$7:$B$4206,$C188,'MOVIMENTI 2026'!$L$7:$L$4206)+SUMIF('SALDI AL 31.12.2025'!$A$6:$A$505,$C188,'SALDI AL 31.12.2025'!$F$6:$F$505))</f>
        <v/>
      </c>
      <c r="BE188" t="str">
        <f t="shared" si="62"/>
        <v/>
      </c>
      <c r="BF188" t="str">
        <f t="shared" si="63"/>
        <v/>
      </c>
      <c r="BG188" t="str">
        <f t="shared" si="64"/>
        <v/>
      </c>
      <c r="BH188" t="str">
        <f>IFERROR(IF(OR($C188="",ANAGRAFICA!$I185="",ANAGRAFICA!$J185="",ANAGRAFICA!$J185&lt;=ANAGRAFICA!$I185,$Y188=""),"",IF(OR($I188="Finito ritenute non previste",$I188="Finito con sblocco ritenute",$I188="Finito senza sblocco ritenute"),1,MAX(0,MIN(1,($Y188-ANAGRAFICA!$I185)/(ANAGRAFICA!$J185-ANAGRAFICA!$I185))))),"")</f>
        <v/>
      </c>
      <c r="BI188" t="str">
        <f t="shared" si="65"/>
        <v/>
      </c>
      <c r="BJ188" t="str">
        <f>IFERROR(IF($C188="","",'BUDGET COMMESSA'!$D185),"")</f>
        <v/>
      </c>
      <c r="BK188" t="str">
        <f>IF($C188="","",SUMIF('MOVIMENTI 2026'!$B$7:$B$4206,$C188,'MOVIMENTI 2026'!$N$7:$N$4206)+SUMIF('SALDI AL 31.12.2025'!$A$6:$A$505,$C188,'SALDI AL 31.12.2025'!$H$6:$H$505))</f>
        <v/>
      </c>
      <c r="BL188" t="str">
        <f t="shared" si="66"/>
        <v/>
      </c>
      <c r="BM188" t="str">
        <f t="shared" si="67"/>
        <v/>
      </c>
      <c r="BN188" t="str">
        <f t="shared" si="68"/>
        <v/>
      </c>
      <c r="BO188" t="str">
        <f>IFERROR(IF($C188="","",'BUDGET COMMESSA'!$G185),"")</f>
        <v/>
      </c>
      <c r="BP188" t="str">
        <f>IF($C188="","",SUMIF('COSTI DIRETTI'!$C$6:$C$505,$C188,'COSTI DIRETTI'!$H$6:$H$505)+SUMIF('SALDI AL 31.12.2025'!$A$6:$A$505,$C188,'SALDI AL 31.12.2025'!$I$6:$I$505))</f>
        <v/>
      </c>
      <c r="BQ188" t="str">
        <f t="shared" si="69"/>
        <v/>
      </c>
      <c r="BR188" t="str">
        <f t="shared" si="70"/>
        <v/>
      </c>
      <c r="BS188" t="str">
        <f>IF($C188="","",$BK188*PARAMETRI!$B$4+$BP188)</f>
        <v/>
      </c>
      <c r="BT188">
        <f t="shared" si="71"/>
        <v>0</v>
      </c>
      <c r="BU188">
        <f t="shared" si="72"/>
        <v>0</v>
      </c>
      <c r="BV188" t="str">
        <f>IF($C188="","",SUMIF('MOVIMENTI 2026'!$B$7:$B$4206,$C188,'MOVIMENTI 2026'!$P$7:$P$4206)+SUMIF('SALDI AL 31.12.2025'!$A$6:$A$505,$C188,'SALDI AL 31.12.2025'!$G$6:$G$505))</f>
        <v/>
      </c>
    </row>
    <row r="189" spans="1:74" ht="16" x14ac:dyDescent="0.15">
      <c r="A189" s="17" t="str">
        <f>IFERROR(IF($C189="","",IF(OR($BF189&gt;0,$V189&gt;$J189,AND(ISNUMBER($Q189),$Q189&gt;0),AND($BI189&lt;&gt;"",$BI189&lt;-PARAMETRI!$B$6),AND($BM189&lt;&gt;"",$BM189&gt;=1),AND($BN189&lt;&gt;"",$BN189&gt;PARAMETRI!$B$8),AND(ISNUMBER($BR189),$BR189&gt;0)),"CRITICO",IF(OR($AZ189="",LEFT($C189,5)="TEMP",$BJ189="",$BO189="",ANAGRAFICA!$I186="",ANAGRAFICA!$J186="",$Y189="",AND(OR($I189="Finito ritenute non previste",$I189="Finito con sblocco ritenute",$I189="Finito senza sblocco ritenute"),ANAGRAFICA!$K186=""),OR(AND(ANAGRAFICA!$T186&lt;&gt;"",ANAGRAFICA!$J186&lt;&gt;ANAGRAFICA!$T186,OR(ANAGRAFICA!$R186="",ANAGRAFICA!$R186="Nessuna variazione")),AND(ANAGRAFICA!$J186="",ANAGRAFICA!$R186&lt;&gt;"",ANAGRAFICA!$R186&lt;&gt;"Nessuna variazione")),AND($BI189&lt;&gt;"",$BI189&lt;-PARAMETRI!$B$5),AND($BN189&lt;&gt;"",$BN189&gt;PARAMETRI!$B$7),AND($W189&gt;0,$M189&gt;$W189*PARAMETRI!$B$9),AND($O189&gt;0,OR($I189="Finito ritenute non previste",$I189="Finito con sblocco ritenute",$I189="Finito senza sblocco ritenute")),AND($BA189&gt;0,$BO189&gt;0,$BP189=0),AND(OR($I189="Finito ritenute non previste",$I189="Finito con sblocco ritenute",$I189="Finito senza sblocco ritenute"),$W189&gt;0,$N189&gt;$W189*PARAMETRI!$B$9),$V189&gt;0),"ATTENZIONE","REGOLARE"))),"ATTENZIONE")</f>
        <v/>
      </c>
      <c r="B189" s="17" t="str">
        <f>IFERROR(IF($C189="","",IF($BF189&gt;0,"FATTURATO OLTRE VALORE RECUPERABILE; ","")&amp;IF($V189&gt;$J189,"PERDITE ACCETTATE OLTRE CONTRATTO; ","")&amp;IF($V189&gt;0,"PERDITA SAL ACCETTATA (€ "&amp;TEXT($V189,"#,##0.00")&amp;"); ","")&amp;IF(AND(ISNUMBER($Q189),$Q189&gt;0),"RITARDO PRODUTTIVO ("&amp;TEXT($Q189,"0")&amp;" GG); ","")&amp;IF(AND($BI189&lt;&gt;"",$BI189&lt;-PARAMETRI!$B$5),"AVANZAMENTO PIÙ LENTO DEL TEMPO; ","")&amp;IF(AND($BM189&lt;&gt;"",$BM189&gt;1),"ORE OLTRE BUDGET; ","")&amp;IF(AND($BM189&lt;&gt;"",$BM189=1),"ORE PREVENTIVATE ESAURITE; ","")&amp;IF(AND($BN189&lt;&gt;"",$BN189&gt;PARAMETRI!$B$7),"CONSUMO ORE SUPERIORE ALL'AVANZAMENTO; ","")&amp;IF(AND(ISNUMBER($BR189),$BR189&gt;0),"COSTI DIRETTI OLTRE BUDGET; ","")&amp;IF(AND($W189&gt;0,$M189&gt;$W189*PARAMETRI!$B$9),"SAL MATURATO NON FATTURATO; ","")&amp;IF(AND($O189&gt;0,OR($I189="Finito ritenute non previste",$I189="Finito con sblocco ritenute",$I189="Finito senza sblocco ritenute")),"RITENUTE DA SBLOCCARE; ","")&amp;IF(AND($BA189&gt;0,$BO189&gt;0,$BP189=0),"COSTI DIRETTI NON REGISTRATI; ","")&amp;IF(AND(OR($I189="Finito ritenute non previste",$I189="Finito con sblocco ritenute",$I189="Finito senza sblocco ritenute"),$W189&gt;0,$N189&gt;$W189*PARAMETRI!$B$9),"CANTIERE FINITO CON RESIDUO LAVORI; ","")&amp;IF(AND(OR($I189="Finito ritenute non previste",$I189="Finito con sblocco ritenute",$I189="Finito senza sblocco ritenute"),ANAGRAFICA!$K186=""),"DATA FINE EFFETTIVA MANCANTE; ","")&amp;IF(OR(AND(ANAGRAFICA!$T186&lt;&gt;"",ANAGRAFICA!$J186&lt;&gt;ANAGRAFICA!$T186,OR(ANAGRAFICA!$R186="",ANAGRAFICA!$R186="Nessuna variazione")),AND(ANAGRAFICA!$J186="",ANAGRAFICA!$R186&lt;&gt;"",ANAGRAFICA!$R186&lt;&gt;"Nessuna variazione")),"GESTIONE DATA FINE INCOMPLETA; ","")&amp;IF($Y189="","AGGIORNATO AL MANCANTE; ","")&amp;IF(OR($AZ189="",$BJ189="",$BO189="",ANAGRAFICA!$I186="",ANAGRAFICA!$J186=""),"DATI PREVISIONALI INCOMPLETI; ","")&amp;IF(LEFT($C189,5)="TEMP","CODICE COMMESSA TEMPORANEO; ","")),"DATI INCOMPLETI; ")</f>
        <v/>
      </c>
      <c r="C189" s="17" t="str">
        <f>IF(ANAGRAFICA!$B186="","",ANAGRAFICA!$B186)</f>
        <v/>
      </c>
      <c r="D189" s="17" t="str">
        <f>IF($C189="","",ANAGRAFICA!$C186)</f>
        <v/>
      </c>
      <c r="E189" s="17" t="str">
        <f>IF($C189="","",ANAGRAFICA!$D186)</f>
        <v/>
      </c>
      <c r="F189" s="17" t="str">
        <f>IF($C189="","",ANAGRAFICA!$E186)</f>
        <v/>
      </c>
      <c r="G189" s="17" t="str">
        <f>IF($C189="","",ANAGRAFICA!$F186)</f>
        <v/>
      </c>
      <c r="H189" s="17" t="str">
        <f>IF($C189="","",ANAGRAFICA!$G186)</f>
        <v/>
      </c>
      <c r="I189" s="17" t="str">
        <f>IF($C189="","",ANAGRAFICA!$L186)</f>
        <v/>
      </c>
      <c r="J189" s="16" t="str">
        <f t="shared" si="49"/>
        <v/>
      </c>
      <c r="K189" s="16" t="str">
        <f t="shared" si="50"/>
        <v/>
      </c>
      <c r="L189" s="16" t="str">
        <f t="shared" si="51"/>
        <v/>
      </c>
      <c r="M189" s="16" t="str">
        <f t="shared" si="52"/>
        <v/>
      </c>
      <c r="N189" s="16" t="str">
        <f t="shared" si="53"/>
        <v/>
      </c>
      <c r="O189" s="16" t="str">
        <f t="shared" si="54"/>
        <v/>
      </c>
      <c r="P189" s="17" t="str">
        <f t="shared" si="55"/>
        <v/>
      </c>
      <c r="Q189" s="31" t="str">
        <f>IF(OR($C189="",'BUDGET COMMESSA'!$D186="",'BUDGET COMMESSA'!$D186&lt;=0,ANAGRAFICA!$J186=""),"",IF(OR($I189="Finito ritenute non previste",$I189="Finito con sblocco ritenute",$I189="Finito senza sblocco ritenute"),0,IF(AND($BK189&gt;=$BJ189,ANAGRAFICA!$R186="Ritardo produttivo FIDA"),IF(ANAGRAFICA!$T186&lt;&gt;"",MAX(0,ANAGRAFICA!$J186-ANAGRAFICA!$T186),MAX(0,$Y189-ANAGRAFICA!$J186)),0)))</f>
        <v/>
      </c>
      <c r="R189" s="17" t="str">
        <f t="shared" si="56"/>
        <v/>
      </c>
      <c r="S189" s="17" t="str">
        <f t="shared" si="57"/>
        <v/>
      </c>
      <c r="T189" s="17" t="str">
        <f t="shared" si="58"/>
        <v/>
      </c>
      <c r="U189" s="16" t="str">
        <f t="shared" si="59"/>
        <v/>
      </c>
      <c r="V189" s="16" t="str">
        <f t="shared" si="60"/>
        <v/>
      </c>
      <c r="W189" s="16" t="str">
        <f t="shared" si="61"/>
        <v/>
      </c>
      <c r="X189" s="40"/>
      <c r="Y189" s="14"/>
      <c r="AZ189" t="str">
        <f>IF($C189="","",ANAGRAFICA!$P186)</f>
        <v/>
      </c>
      <c r="BA189" t="str">
        <f>IF($C189="","",SUMIF('MOVIMENTI 2026'!$B$7:$B$4206,$C189,'MOVIMENTI 2026'!$I$7:$I$4206)+SUMIF('SALDI AL 31.12.2025'!$A$6:$A$505,$C189,'SALDI AL 31.12.2025'!$C$6:$C$505))</f>
        <v/>
      </c>
      <c r="BB189" t="str">
        <f>IF($C189="","",SUMIF('MOVIMENTI 2026'!$B$7:$B$4206,$C189,'MOVIMENTI 2026'!$J$7:$J$4206)+SUMIF('SALDI AL 31.12.2025'!$A$6:$A$505,$C189,'SALDI AL 31.12.2025'!$D$6:$D$505))</f>
        <v/>
      </c>
      <c r="BC189" t="str">
        <f>IF($C189="","",SUMIF('MOVIMENTI 2026'!$B$7:$B$4206,$C189,'MOVIMENTI 2026'!$K$7:$K$4206)+SUMIF('SALDI AL 31.12.2025'!$A$6:$A$505,$C189,'SALDI AL 31.12.2025'!$E$6:$E$505))</f>
        <v/>
      </c>
      <c r="BD189" t="str">
        <f>IF($C189="","",SUMIF('MOVIMENTI 2026'!$B$7:$B$4206,$C189,'MOVIMENTI 2026'!$L$7:$L$4206)+SUMIF('SALDI AL 31.12.2025'!$A$6:$A$505,$C189,'SALDI AL 31.12.2025'!$F$6:$F$505))</f>
        <v/>
      </c>
      <c r="BE189" t="str">
        <f t="shared" si="62"/>
        <v/>
      </c>
      <c r="BF189" t="str">
        <f t="shared" si="63"/>
        <v/>
      </c>
      <c r="BG189" t="str">
        <f t="shared" si="64"/>
        <v/>
      </c>
      <c r="BH189" t="str">
        <f>IFERROR(IF(OR($C189="",ANAGRAFICA!$I186="",ANAGRAFICA!$J186="",ANAGRAFICA!$J186&lt;=ANAGRAFICA!$I186,$Y189=""),"",IF(OR($I189="Finito ritenute non previste",$I189="Finito con sblocco ritenute",$I189="Finito senza sblocco ritenute"),1,MAX(0,MIN(1,($Y189-ANAGRAFICA!$I186)/(ANAGRAFICA!$J186-ANAGRAFICA!$I186))))),"")</f>
        <v/>
      </c>
      <c r="BI189" t="str">
        <f t="shared" si="65"/>
        <v/>
      </c>
      <c r="BJ189" t="str">
        <f>IFERROR(IF($C189="","",'BUDGET COMMESSA'!$D186),"")</f>
        <v/>
      </c>
      <c r="BK189" t="str">
        <f>IF($C189="","",SUMIF('MOVIMENTI 2026'!$B$7:$B$4206,$C189,'MOVIMENTI 2026'!$N$7:$N$4206)+SUMIF('SALDI AL 31.12.2025'!$A$6:$A$505,$C189,'SALDI AL 31.12.2025'!$H$6:$H$505))</f>
        <v/>
      </c>
      <c r="BL189" t="str">
        <f t="shared" si="66"/>
        <v/>
      </c>
      <c r="BM189" t="str">
        <f t="shared" si="67"/>
        <v/>
      </c>
      <c r="BN189" t="str">
        <f t="shared" si="68"/>
        <v/>
      </c>
      <c r="BO189" t="str">
        <f>IFERROR(IF($C189="","",'BUDGET COMMESSA'!$G186),"")</f>
        <v/>
      </c>
      <c r="BP189" t="str">
        <f>IF($C189="","",SUMIF('COSTI DIRETTI'!$C$6:$C$505,$C189,'COSTI DIRETTI'!$H$6:$H$505)+SUMIF('SALDI AL 31.12.2025'!$A$6:$A$505,$C189,'SALDI AL 31.12.2025'!$I$6:$I$505))</f>
        <v/>
      </c>
      <c r="BQ189" t="str">
        <f t="shared" si="69"/>
        <v/>
      </c>
      <c r="BR189" t="str">
        <f t="shared" si="70"/>
        <v/>
      </c>
      <c r="BS189" t="str">
        <f>IF($C189="","",$BK189*PARAMETRI!$B$4+$BP189)</f>
        <v/>
      </c>
      <c r="BT189">
        <f t="shared" si="71"/>
        <v>0</v>
      </c>
      <c r="BU189">
        <f t="shared" si="72"/>
        <v>0</v>
      </c>
      <c r="BV189" t="str">
        <f>IF($C189="","",SUMIF('MOVIMENTI 2026'!$B$7:$B$4206,$C189,'MOVIMENTI 2026'!$P$7:$P$4206)+SUMIF('SALDI AL 31.12.2025'!$A$6:$A$505,$C189,'SALDI AL 31.12.2025'!$G$6:$G$505))</f>
        <v/>
      </c>
    </row>
    <row r="190" spans="1:74" ht="16" x14ac:dyDescent="0.15">
      <c r="A190" s="17" t="str">
        <f>IFERROR(IF($C190="","",IF(OR($BF190&gt;0,$V190&gt;$J190,AND(ISNUMBER($Q190),$Q190&gt;0),AND($BI190&lt;&gt;"",$BI190&lt;-PARAMETRI!$B$6),AND($BM190&lt;&gt;"",$BM190&gt;=1),AND($BN190&lt;&gt;"",$BN190&gt;PARAMETRI!$B$8),AND(ISNUMBER($BR190),$BR190&gt;0)),"CRITICO",IF(OR($AZ190="",LEFT($C190,5)="TEMP",$BJ190="",$BO190="",ANAGRAFICA!$I187="",ANAGRAFICA!$J187="",$Y190="",AND(OR($I190="Finito ritenute non previste",$I190="Finito con sblocco ritenute",$I190="Finito senza sblocco ritenute"),ANAGRAFICA!$K187=""),OR(AND(ANAGRAFICA!$T187&lt;&gt;"",ANAGRAFICA!$J187&lt;&gt;ANAGRAFICA!$T187,OR(ANAGRAFICA!$R187="",ANAGRAFICA!$R187="Nessuna variazione")),AND(ANAGRAFICA!$J187="",ANAGRAFICA!$R187&lt;&gt;"",ANAGRAFICA!$R187&lt;&gt;"Nessuna variazione")),AND($BI190&lt;&gt;"",$BI190&lt;-PARAMETRI!$B$5),AND($BN190&lt;&gt;"",$BN190&gt;PARAMETRI!$B$7),AND($W190&gt;0,$M190&gt;$W190*PARAMETRI!$B$9),AND($O190&gt;0,OR($I190="Finito ritenute non previste",$I190="Finito con sblocco ritenute",$I190="Finito senza sblocco ritenute")),AND($BA190&gt;0,$BO190&gt;0,$BP190=0),AND(OR($I190="Finito ritenute non previste",$I190="Finito con sblocco ritenute",$I190="Finito senza sblocco ritenute"),$W190&gt;0,$N190&gt;$W190*PARAMETRI!$B$9),$V190&gt;0),"ATTENZIONE","REGOLARE"))),"ATTENZIONE")</f>
        <v/>
      </c>
      <c r="B190" s="17" t="str">
        <f>IFERROR(IF($C190="","",IF($BF190&gt;0,"FATTURATO OLTRE VALORE RECUPERABILE; ","")&amp;IF($V190&gt;$J190,"PERDITE ACCETTATE OLTRE CONTRATTO; ","")&amp;IF($V190&gt;0,"PERDITA SAL ACCETTATA (€ "&amp;TEXT($V190,"#,##0.00")&amp;"); ","")&amp;IF(AND(ISNUMBER($Q190),$Q190&gt;0),"RITARDO PRODUTTIVO ("&amp;TEXT($Q190,"0")&amp;" GG); ","")&amp;IF(AND($BI190&lt;&gt;"",$BI190&lt;-PARAMETRI!$B$5),"AVANZAMENTO PIÙ LENTO DEL TEMPO; ","")&amp;IF(AND($BM190&lt;&gt;"",$BM190&gt;1),"ORE OLTRE BUDGET; ","")&amp;IF(AND($BM190&lt;&gt;"",$BM190=1),"ORE PREVENTIVATE ESAURITE; ","")&amp;IF(AND($BN190&lt;&gt;"",$BN190&gt;PARAMETRI!$B$7),"CONSUMO ORE SUPERIORE ALL'AVANZAMENTO; ","")&amp;IF(AND(ISNUMBER($BR190),$BR190&gt;0),"COSTI DIRETTI OLTRE BUDGET; ","")&amp;IF(AND($W190&gt;0,$M190&gt;$W190*PARAMETRI!$B$9),"SAL MATURATO NON FATTURATO; ","")&amp;IF(AND($O190&gt;0,OR($I190="Finito ritenute non previste",$I190="Finito con sblocco ritenute",$I190="Finito senza sblocco ritenute")),"RITENUTE DA SBLOCCARE; ","")&amp;IF(AND($BA190&gt;0,$BO190&gt;0,$BP190=0),"COSTI DIRETTI NON REGISTRATI; ","")&amp;IF(AND(OR($I190="Finito ritenute non previste",$I190="Finito con sblocco ritenute",$I190="Finito senza sblocco ritenute"),$W190&gt;0,$N190&gt;$W190*PARAMETRI!$B$9),"CANTIERE FINITO CON RESIDUO LAVORI; ","")&amp;IF(AND(OR($I190="Finito ritenute non previste",$I190="Finito con sblocco ritenute",$I190="Finito senza sblocco ritenute"),ANAGRAFICA!$K187=""),"DATA FINE EFFETTIVA MANCANTE; ","")&amp;IF(OR(AND(ANAGRAFICA!$T187&lt;&gt;"",ANAGRAFICA!$J187&lt;&gt;ANAGRAFICA!$T187,OR(ANAGRAFICA!$R187="",ANAGRAFICA!$R187="Nessuna variazione")),AND(ANAGRAFICA!$J187="",ANAGRAFICA!$R187&lt;&gt;"",ANAGRAFICA!$R187&lt;&gt;"Nessuna variazione")),"GESTIONE DATA FINE INCOMPLETA; ","")&amp;IF($Y190="","AGGIORNATO AL MANCANTE; ","")&amp;IF(OR($AZ190="",$BJ190="",$BO190="",ANAGRAFICA!$I187="",ANAGRAFICA!$J187=""),"DATI PREVISIONALI INCOMPLETI; ","")&amp;IF(LEFT($C190,5)="TEMP","CODICE COMMESSA TEMPORANEO; ","")),"DATI INCOMPLETI; ")</f>
        <v/>
      </c>
      <c r="C190" s="17" t="str">
        <f>IF(ANAGRAFICA!$B187="","",ANAGRAFICA!$B187)</f>
        <v/>
      </c>
      <c r="D190" s="17" t="str">
        <f>IF($C190="","",ANAGRAFICA!$C187)</f>
        <v/>
      </c>
      <c r="E190" s="17" t="str">
        <f>IF($C190="","",ANAGRAFICA!$D187)</f>
        <v/>
      </c>
      <c r="F190" s="17" t="str">
        <f>IF($C190="","",ANAGRAFICA!$E187)</f>
        <v/>
      </c>
      <c r="G190" s="17" t="str">
        <f>IF($C190="","",ANAGRAFICA!$F187)</f>
        <v/>
      </c>
      <c r="H190" s="17" t="str">
        <f>IF($C190="","",ANAGRAFICA!$G187)</f>
        <v/>
      </c>
      <c r="I190" s="17" t="str">
        <f>IF($C190="","",ANAGRAFICA!$L187)</f>
        <v/>
      </c>
      <c r="J190" s="16" t="str">
        <f t="shared" si="49"/>
        <v/>
      </c>
      <c r="K190" s="16" t="str">
        <f t="shared" si="50"/>
        <v/>
      </c>
      <c r="L190" s="16" t="str">
        <f t="shared" si="51"/>
        <v/>
      </c>
      <c r="M190" s="16" t="str">
        <f t="shared" si="52"/>
        <v/>
      </c>
      <c r="N190" s="16" t="str">
        <f t="shared" si="53"/>
        <v/>
      </c>
      <c r="O190" s="16" t="str">
        <f t="shared" si="54"/>
        <v/>
      </c>
      <c r="P190" s="17" t="str">
        <f t="shared" si="55"/>
        <v/>
      </c>
      <c r="Q190" s="31" t="str">
        <f>IF(OR($C190="",'BUDGET COMMESSA'!$D187="",'BUDGET COMMESSA'!$D187&lt;=0,ANAGRAFICA!$J187=""),"",IF(OR($I190="Finito ritenute non previste",$I190="Finito con sblocco ritenute",$I190="Finito senza sblocco ritenute"),0,IF(AND($BK190&gt;=$BJ190,ANAGRAFICA!$R187="Ritardo produttivo FIDA"),IF(ANAGRAFICA!$T187&lt;&gt;"",MAX(0,ANAGRAFICA!$J187-ANAGRAFICA!$T187),MAX(0,$Y190-ANAGRAFICA!$J187)),0)))</f>
        <v/>
      </c>
      <c r="R190" s="17" t="str">
        <f t="shared" si="56"/>
        <v/>
      </c>
      <c r="S190" s="17" t="str">
        <f t="shared" si="57"/>
        <v/>
      </c>
      <c r="T190" s="17" t="str">
        <f t="shared" si="58"/>
        <v/>
      </c>
      <c r="U190" s="16" t="str">
        <f t="shared" si="59"/>
        <v/>
      </c>
      <c r="V190" s="16" t="str">
        <f t="shared" si="60"/>
        <v/>
      </c>
      <c r="W190" s="16" t="str">
        <f t="shared" si="61"/>
        <v/>
      </c>
      <c r="X190" s="40"/>
      <c r="Y190" s="14"/>
      <c r="AZ190" t="str">
        <f>IF($C190="","",ANAGRAFICA!$P187)</f>
        <v/>
      </c>
      <c r="BA190" t="str">
        <f>IF($C190="","",SUMIF('MOVIMENTI 2026'!$B$7:$B$4206,$C190,'MOVIMENTI 2026'!$I$7:$I$4206)+SUMIF('SALDI AL 31.12.2025'!$A$6:$A$505,$C190,'SALDI AL 31.12.2025'!$C$6:$C$505))</f>
        <v/>
      </c>
      <c r="BB190" t="str">
        <f>IF($C190="","",SUMIF('MOVIMENTI 2026'!$B$7:$B$4206,$C190,'MOVIMENTI 2026'!$J$7:$J$4206)+SUMIF('SALDI AL 31.12.2025'!$A$6:$A$505,$C190,'SALDI AL 31.12.2025'!$D$6:$D$505))</f>
        <v/>
      </c>
      <c r="BC190" t="str">
        <f>IF($C190="","",SUMIF('MOVIMENTI 2026'!$B$7:$B$4206,$C190,'MOVIMENTI 2026'!$K$7:$K$4206)+SUMIF('SALDI AL 31.12.2025'!$A$6:$A$505,$C190,'SALDI AL 31.12.2025'!$E$6:$E$505))</f>
        <v/>
      </c>
      <c r="BD190" t="str">
        <f>IF($C190="","",SUMIF('MOVIMENTI 2026'!$B$7:$B$4206,$C190,'MOVIMENTI 2026'!$L$7:$L$4206)+SUMIF('SALDI AL 31.12.2025'!$A$6:$A$505,$C190,'SALDI AL 31.12.2025'!$F$6:$F$505))</f>
        <v/>
      </c>
      <c r="BE190" t="str">
        <f t="shared" si="62"/>
        <v/>
      </c>
      <c r="BF190" t="str">
        <f t="shared" si="63"/>
        <v/>
      </c>
      <c r="BG190" t="str">
        <f t="shared" si="64"/>
        <v/>
      </c>
      <c r="BH190" t="str">
        <f>IFERROR(IF(OR($C190="",ANAGRAFICA!$I187="",ANAGRAFICA!$J187="",ANAGRAFICA!$J187&lt;=ANAGRAFICA!$I187,$Y190=""),"",IF(OR($I190="Finito ritenute non previste",$I190="Finito con sblocco ritenute",$I190="Finito senza sblocco ritenute"),1,MAX(0,MIN(1,($Y190-ANAGRAFICA!$I187)/(ANAGRAFICA!$J187-ANAGRAFICA!$I187))))),"")</f>
        <v/>
      </c>
      <c r="BI190" t="str">
        <f t="shared" si="65"/>
        <v/>
      </c>
      <c r="BJ190" t="str">
        <f>IFERROR(IF($C190="","",'BUDGET COMMESSA'!$D187),"")</f>
        <v/>
      </c>
      <c r="BK190" t="str">
        <f>IF($C190="","",SUMIF('MOVIMENTI 2026'!$B$7:$B$4206,$C190,'MOVIMENTI 2026'!$N$7:$N$4206)+SUMIF('SALDI AL 31.12.2025'!$A$6:$A$505,$C190,'SALDI AL 31.12.2025'!$H$6:$H$505))</f>
        <v/>
      </c>
      <c r="BL190" t="str">
        <f t="shared" si="66"/>
        <v/>
      </c>
      <c r="BM190" t="str">
        <f t="shared" si="67"/>
        <v/>
      </c>
      <c r="BN190" t="str">
        <f t="shared" si="68"/>
        <v/>
      </c>
      <c r="BO190" t="str">
        <f>IFERROR(IF($C190="","",'BUDGET COMMESSA'!$G187),"")</f>
        <v/>
      </c>
      <c r="BP190" t="str">
        <f>IF($C190="","",SUMIF('COSTI DIRETTI'!$C$6:$C$505,$C190,'COSTI DIRETTI'!$H$6:$H$505)+SUMIF('SALDI AL 31.12.2025'!$A$6:$A$505,$C190,'SALDI AL 31.12.2025'!$I$6:$I$505))</f>
        <v/>
      </c>
      <c r="BQ190" t="str">
        <f t="shared" si="69"/>
        <v/>
      </c>
      <c r="BR190" t="str">
        <f t="shared" si="70"/>
        <v/>
      </c>
      <c r="BS190" t="str">
        <f>IF($C190="","",$BK190*PARAMETRI!$B$4+$BP190)</f>
        <v/>
      </c>
      <c r="BT190">
        <f t="shared" si="71"/>
        <v>0</v>
      </c>
      <c r="BU190">
        <f t="shared" si="72"/>
        <v>0</v>
      </c>
      <c r="BV190" t="str">
        <f>IF($C190="","",SUMIF('MOVIMENTI 2026'!$B$7:$B$4206,$C190,'MOVIMENTI 2026'!$P$7:$P$4206)+SUMIF('SALDI AL 31.12.2025'!$A$6:$A$505,$C190,'SALDI AL 31.12.2025'!$G$6:$G$505))</f>
        <v/>
      </c>
    </row>
    <row r="191" spans="1:74" ht="16" x14ac:dyDescent="0.15">
      <c r="A191" s="17" t="str">
        <f>IFERROR(IF($C191="","",IF(OR($BF191&gt;0,$V191&gt;$J191,AND(ISNUMBER($Q191),$Q191&gt;0),AND($BI191&lt;&gt;"",$BI191&lt;-PARAMETRI!$B$6),AND($BM191&lt;&gt;"",$BM191&gt;=1),AND($BN191&lt;&gt;"",$BN191&gt;PARAMETRI!$B$8),AND(ISNUMBER($BR191),$BR191&gt;0)),"CRITICO",IF(OR($AZ191="",LEFT($C191,5)="TEMP",$BJ191="",$BO191="",ANAGRAFICA!$I188="",ANAGRAFICA!$J188="",$Y191="",AND(OR($I191="Finito ritenute non previste",$I191="Finito con sblocco ritenute",$I191="Finito senza sblocco ritenute"),ANAGRAFICA!$K188=""),OR(AND(ANAGRAFICA!$T188&lt;&gt;"",ANAGRAFICA!$J188&lt;&gt;ANAGRAFICA!$T188,OR(ANAGRAFICA!$R188="",ANAGRAFICA!$R188="Nessuna variazione")),AND(ANAGRAFICA!$J188="",ANAGRAFICA!$R188&lt;&gt;"",ANAGRAFICA!$R188&lt;&gt;"Nessuna variazione")),AND($BI191&lt;&gt;"",$BI191&lt;-PARAMETRI!$B$5),AND($BN191&lt;&gt;"",$BN191&gt;PARAMETRI!$B$7),AND($W191&gt;0,$M191&gt;$W191*PARAMETRI!$B$9),AND($O191&gt;0,OR($I191="Finito ritenute non previste",$I191="Finito con sblocco ritenute",$I191="Finito senza sblocco ritenute")),AND($BA191&gt;0,$BO191&gt;0,$BP191=0),AND(OR($I191="Finito ritenute non previste",$I191="Finito con sblocco ritenute",$I191="Finito senza sblocco ritenute"),$W191&gt;0,$N191&gt;$W191*PARAMETRI!$B$9),$V191&gt;0),"ATTENZIONE","REGOLARE"))),"ATTENZIONE")</f>
        <v/>
      </c>
      <c r="B191" s="17" t="str">
        <f>IFERROR(IF($C191="","",IF($BF191&gt;0,"FATTURATO OLTRE VALORE RECUPERABILE; ","")&amp;IF($V191&gt;$J191,"PERDITE ACCETTATE OLTRE CONTRATTO; ","")&amp;IF($V191&gt;0,"PERDITA SAL ACCETTATA (€ "&amp;TEXT($V191,"#,##0.00")&amp;"); ","")&amp;IF(AND(ISNUMBER($Q191),$Q191&gt;0),"RITARDO PRODUTTIVO ("&amp;TEXT($Q191,"0")&amp;" GG); ","")&amp;IF(AND($BI191&lt;&gt;"",$BI191&lt;-PARAMETRI!$B$5),"AVANZAMENTO PIÙ LENTO DEL TEMPO; ","")&amp;IF(AND($BM191&lt;&gt;"",$BM191&gt;1),"ORE OLTRE BUDGET; ","")&amp;IF(AND($BM191&lt;&gt;"",$BM191=1),"ORE PREVENTIVATE ESAURITE; ","")&amp;IF(AND($BN191&lt;&gt;"",$BN191&gt;PARAMETRI!$B$7),"CONSUMO ORE SUPERIORE ALL'AVANZAMENTO; ","")&amp;IF(AND(ISNUMBER($BR191),$BR191&gt;0),"COSTI DIRETTI OLTRE BUDGET; ","")&amp;IF(AND($W191&gt;0,$M191&gt;$W191*PARAMETRI!$B$9),"SAL MATURATO NON FATTURATO; ","")&amp;IF(AND($O191&gt;0,OR($I191="Finito ritenute non previste",$I191="Finito con sblocco ritenute",$I191="Finito senza sblocco ritenute")),"RITENUTE DA SBLOCCARE; ","")&amp;IF(AND($BA191&gt;0,$BO191&gt;0,$BP191=0),"COSTI DIRETTI NON REGISTRATI; ","")&amp;IF(AND(OR($I191="Finito ritenute non previste",$I191="Finito con sblocco ritenute",$I191="Finito senza sblocco ritenute"),$W191&gt;0,$N191&gt;$W191*PARAMETRI!$B$9),"CANTIERE FINITO CON RESIDUO LAVORI; ","")&amp;IF(AND(OR($I191="Finito ritenute non previste",$I191="Finito con sblocco ritenute",$I191="Finito senza sblocco ritenute"),ANAGRAFICA!$K188=""),"DATA FINE EFFETTIVA MANCANTE; ","")&amp;IF(OR(AND(ANAGRAFICA!$T188&lt;&gt;"",ANAGRAFICA!$J188&lt;&gt;ANAGRAFICA!$T188,OR(ANAGRAFICA!$R188="",ANAGRAFICA!$R188="Nessuna variazione")),AND(ANAGRAFICA!$J188="",ANAGRAFICA!$R188&lt;&gt;"",ANAGRAFICA!$R188&lt;&gt;"Nessuna variazione")),"GESTIONE DATA FINE INCOMPLETA; ","")&amp;IF($Y191="","AGGIORNATO AL MANCANTE; ","")&amp;IF(OR($AZ191="",$BJ191="",$BO191="",ANAGRAFICA!$I188="",ANAGRAFICA!$J188=""),"DATI PREVISIONALI INCOMPLETI; ","")&amp;IF(LEFT($C191,5)="TEMP","CODICE COMMESSA TEMPORANEO; ","")),"DATI INCOMPLETI; ")</f>
        <v/>
      </c>
      <c r="C191" s="17" t="str">
        <f>IF(ANAGRAFICA!$B188="","",ANAGRAFICA!$B188)</f>
        <v/>
      </c>
      <c r="D191" s="17" t="str">
        <f>IF($C191="","",ANAGRAFICA!$C188)</f>
        <v/>
      </c>
      <c r="E191" s="17" t="str">
        <f>IF($C191="","",ANAGRAFICA!$D188)</f>
        <v/>
      </c>
      <c r="F191" s="17" t="str">
        <f>IF($C191="","",ANAGRAFICA!$E188)</f>
        <v/>
      </c>
      <c r="G191" s="17" t="str">
        <f>IF($C191="","",ANAGRAFICA!$F188)</f>
        <v/>
      </c>
      <c r="H191" s="17" t="str">
        <f>IF($C191="","",ANAGRAFICA!$G188)</f>
        <v/>
      </c>
      <c r="I191" s="17" t="str">
        <f>IF($C191="","",ANAGRAFICA!$L188)</f>
        <v/>
      </c>
      <c r="J191" s="16" t="str">
        <f t="shared" si="49"/>
        <v/>
      </c>
      <c r="K191" s="16" t="str">
        <f t="shared" si="50"/>
        <v/>
      </c>
      <c r="L191" s="16" t="str">
        <f t="shared" si="51"/>
        <v/>
      </c>
      <c r="M191" s="16" t="str">
        <f t="shared" si="52"/>
        <v/>
      </c>
      <c r="N191" s="16" t="str">
        <f t="shared" si="53"/>
        <v/>
      </c>
      <c r="O191" s="16" t="str">
        <f t="shared" si="54"/>
        <v/>
      </c>
      <c r="P191" s="17" t="str">
        <f t="shared" si="55"/>
        <v/>
      </c>
      <c r="Q191" s="31" t="str">
        <f>IF(OR($C191="",'BUDGET COMMESSA'!$D188="",'BUDGET COMMESSA'!$D188&lt;=0,ANAGRAFICA!$J188=""),"",IF(OR($I191="Finito ritenute non previste",$I191="Finito con sblocco ritenute",$I191="Finito senza sblocco ritenute"),0,IF(AND($BK191&gt;=$BJ191,ANAGRAFICA!$R188="Ritardo produttivo FIDA"),IF(ANAGRAFICA!$T188&lt;&gt;"",MAX(0,ANAGRAFICA!$J188-ANAGRAFICA!$T188),MAX(0,$Y191-ANAGRAFICA!$J188)),0)))</f>
        <v/>
      </c>
      <c r="R191" s="17" t="str">
        <f t="shared" si="56"/>
        <v/>
      </c>
      <c r="S191" s="17" t="str">
        <f t="shared" si="57"/>
        <v/>
      </c>
      <c r="T191" s="17" t="str">
        <f t="shared" si="58"/>
        <v/>
      </c>
      <c r="U191" s="16" t="str">
        <f t="shared" si="59"/>
        <v/>
      </c>
      <c r="V191" s="16" t="str">
        <f t="shared" si="60"/>
        <v/>
      </c>
      <c r="W191" s="16" t="str">
        <f t="shared" si="61"/>
        <v/>
      </c>
      <c r="X191" s="40"/>
      <c r="Y191" s="14"/>
      <c r="AZ191" t="str">
        <f>IF($C191="","",ANAGRAFICA!$P188)</f>
        <v/>
      </c>
      <c r="BA191" t="str">
        <f>IF($C191="","",SUMIF('MOVIMENTI 2026'!$B$7:$B$4206,$C191,'MOVIMENTI 2026'!$I$7:$I$4206)+SUMIF('SALDI AL 31.12.2025'!$A$6:$A$505,$C191,'SALDI AL 31.12.2025'!$C$6:$C$505))</f>
        <v/>
      </c>
      <c r="BB191" t="str">
        <f>IF($C191="","",SUMIF('MOVIMENTI 2026'!$B$7:$B$4206,$C191,'MOVIMENTI 2026'!$J$7:$J$4206)+SUMIF('SALDI AL 31.12.2025'!$A$6:$A$505,$C191,'SALDI AL 31.12.2025'!$D$6:$D$505))</f>
        <v/>
      </c>
      <c r="BC191" t="str">
        <f>IF($C191="","",SUMIF('MOVIMENTI 2026'!$B$7:$B$4206,$C191,'MOVIMENTI 2026'!$K$7:$K$4206)+SUMIF('SALDI AL 31.12.2025'!$A$6:$A$505,$C191,'SALDI AL 31.12.2025'!$E$6:$E$505))</f>
        <v/>
      </c>
      <c r="BD191" t="str">
        <f>IF($C191="","",SUMIF('MOVIMENTI 2026'!$B$7:$B$4206,$C191,'MOVIMENTI 2026'!$L$7:$L$4206)+SUMIF('SALDI AL 31.12.2025'!$A$6:$A$505,$C191,'SALDI AL 31.12.2025'!$F$6:$F$505))</f>
        <v/>
      </c>
      <c r="BE191" t="str">
        <f t="shared" si="62"/>
        <v/>
      </c>
      <c r="BF191" t="str">
        <f t="shared" si="63"/>
        <v/>
      </c>
      <c r="BG191" t="str">
        <f t="shared" si="64"/>
        <v/>
      </c>
      <c r="BH191" t="str">
        <f>IFERROR(IF(OR($C191="",ANAGRAFICA!$I188="",ANAGRAFICA!$J188="",ANAGRAFICA!$J188&lt;=ANAGRAFICA!$I188,$Y191=""),"",IF(OR($I191="Finito ritenute non previste",$I191="Finito con sblocco ritenute",$I191="Finito senza sblocco ritenute"),1,MAX(0,MIN(1,($Y191-ANAGRAFICA!$I188)/(ANAGRAFICA!$J188-ANAGRAFICA!$I188))))),"")</f>
        <v/>
      </c>
      <c r="BI191" t="str">
        <f t="shared" si="65"/>
        <v/>
      </c>
      <c r="BJ191" t="str">
        <f>IFERROR(IF($C191="","",'BUDGET COMMESSA'!$D188),"")</f>
        <v/>
      </c>
      <c r="BK191" t="str">
        <f>IF($C191="","",SUMIF('MOVIMENTI 2026'!$B$7:$B$4206,$C191,'MOVIMENTI 2026'!$N$7:$N$4206)+SUMIF('SALDI AL 31.12.2025'!$A$6:$A$505,$C191,'SALDI AL 31.12.2025'!$H$6:$H$505))</f>
        <v/>
      </c>
      <c r="BL191" t="str">
        <f t="shared" si="66"/>
        <v/>
      </c>
      <c r="BM191" t="str">
        <f t="shared" si="67"/>
        <v/>
      </c>
      <c r="BN191" t="str">
        <f t="shared" si="68"/>
        <v/>
      </c>
      <c r="BO191" t="str">
        <f>IFERROR(IF($C191="","",'BUDGET COMMESSA'!$G188),"")</f>
        <v/>
      </c>
      <c r="BP191" t="str">
        <f>IF($C191="","",SUMIF('COSTI DIRETTI'!$C$6:$C$505,$C191,'COSTI DIRETTI'!$H$6:$H$505)+SUMIF('SALDI AL 31.12.2025'!$A$6:$A$505,$C191,'SALDI AL 31.12.2025'!$I$6:$I$505))</f>
        <v/>
      </c>
      <c r="BQ191" t="str">
        <f t="shared" si="69"/>
        <v/>
      </c>
      <c r="BR191" t="str">
        <f t="shared" si="70"/>
        <v/>
      </c>
      <c r="BS191" t="str">
        <f>IF($C191="","",$BK191*PARAMETRI!$B$4+$BP191)</f>
        <v/>
      </c>
      <c r="BT191">
        <f t="shared" si="71"/>
        <v>0</v>
      </c>
      <c r="BU191">
        <f t="shared" si="72"/>
        <v>0</v>
      </c>
      <c r="BV191" t="str">
        <f>IF($C191="","",SUMIF('MOVIMENTI 2026'!$B$7:$B$4206,$C191,'MOVIMENTI 2026'!$P$7:$P$4206)+SUMIF('SALDI AL 31.12.2025'!$A$6:$A$505,$C191,'SALDI AL 31.12.2025'!$G$6:$G$505))</f>
        <v/>
      </c>
    </row>
    <row r="192" spans="1:74" ht="16" x14ac:dyDescent="0.15">
      <c r="A192" s="17" t="str">
        <f>IFERROR(IF($C192="","",IF(OR($BF192&gt;0,$V192&gt;$J192,AND(ISNUMBER($Q192),$Q192&gt;0),AND($BI192&lt;&gt;"",$BI192&lt;-PARAMETRI!$B$6),AND($BM192&lt;&gt;"",$BM192&gt;=1),AND($BN192&lt;&gt;"",$BN192&gt;PARAMETRI!$B$8),AND(ISNUMBER($BR192),$BR192&gt;0)),"CRITICO",IF(OR($AZ192="",LEFT($C192,5)="TEMP",$BJ192="",$BO192="",ANAGRAFICA!$I189="",ANAGRAFICA!$J189="",$Y192="",AND(OR($I192="Finito ritenute non previste",$I192="Finito con sblocco ritenute",$I192="Finito senza sblocco ritenute"),ANAGRAFICA!$K189=""),OR(AND(ANAGRAFICA!$T189&lt;&gt;"",ANAGRAFICA!$J189&lt;&gt;ANAGRAFICA!$T189,OR(ANAGRAFICA!$R189="",ANAGRAFICA!$R189="Nessuna variazione")),AND(ANAGRAFICA!$J189="",ANAGRAFICA!$R189&lt;&gt;"",ANAGRAFICA!$R189&lt;&gt;"Nessuna variazione")),AND($BI192&lt;&gt;"",$BI192&lt;-PARAMETRI!$B$5),AND($BN192&lt;&gt;"",$BN192&gt;PARAMETRI!$B$7),AND($W192&gt;0,$M192&gt;$W192*PARAMETRI!$B$9),AND($O192&gt;0,OR($I192="Finito ritenute non previste",$I192="Finito con sblocco ritenute",$I192="Finito senza sblocco ritenute")),AND($BA192&gt;0,$BO192&gt;0,$BP192=0),AND(OR($I192="Finito ritenute non previste",$I192="Finito con sblocco ritenute",$I192="Finito senza sblocco ritenute"),$W192&gt;0,$N192&gt;$W192*PARAMETRI!$B$9),$V192&gt;0),"ATTENZIONE","REGOLARE"))),"ATTENZIONE")</f>
        <v/>
      </c>
      <c r="B192" s="17" t="str">
        <f>IFERROR(IF($C192="","",IF($BF192&gt;0,"FATTURATO OLTRE VALORE RECUPERABILE; ","")&amp;IF($V192&gt;$J192,"PERDITE ACCETTATE OLTRE CONTRATTO; ","")&amp;IF($V192&gt;0,"PERDITA SAL ACCETTATA (€ "&amp;TEXT($V192,"#,##0.00")&amp;"); ","")&amp;IF(AND(ISNUMBER($Q192),$Q192&gt;0),"RITARDO PRODUTTIVO ("&amp;TEXT($Q192,"0")&amp;" GG); ","")&amp;IF(AND($BI192&lt;&gt;"",$BI192&lt;-PARAMETRI!$B$5),"AVANZAMENTO PIÙ LENTO DEL TEMPO; ","")&amp;IF(AND($BM192&lt;&gt;"",$BM192&gt;1),"ORE OLTRE BUDGET; ","")&amp;IF(AND($BM192&lt;&gt;"",$BM192=1),"ORE PREVENTIVATE ESAURITE; ","")&amp;IF(AND($BN192&lt;&gt;"",$BN192&gt;PARAMETRI!$B$7),"CONSUMO ORE SUPERIORE ALL'AVANZAMENTO; ","")&amp;IF(AND(ISNUMBER($BR192),$BR192&gt;0),"COSTI DIRETTI OLTRE BUDGET; ","")&amp;IF(AND($W192&gt;0,$M192&gt;$W192*PARAMETRI!$B$9),"SAL MATURATO NON FATTURATO; ","")&amp;IF(AND($O192&gt;0,OR($I192="Finito ritenute non previste",$I192="Finito con sblocco ritenute",$I192="Finito senza sblocco ritenute")),"RITENUTE DA SBLOCCARE; ","")&amp;IF(AND($BA192&gt;0,$BO192&gt;0,$BP192=0),"COSTI DIRETTI NON REGISTRATI; ","")&amp;IF(AND(OR($I192="Finito ritenute non previste",$I192="Finito con sblocco ritenute",$I192="Finito senza sblocco ritenute"),$W192&gt;0,$N192&gt;$W192*PARAMETRI!$B$9),"CANTIERE FINITO CON RESIDUO LAVORI; ","")&amp;IF(AND(OR($I192="Finito ritenute non previste",$I192="Finito con sblocco ritenute",$I192="Finito senza sblocco ritenute"),ANAGRAFICA!$K189=""),"DATA FINE EFFETTIVA MANCANTE; ","")&amp;IF(OR(AND(ANAGRAFICA!$T189&lt;&gt;"",ANAGRAFICA!$J189&lt;&gt;ANAGRAFICA!$T189,OR(ANAGRAFICA!$R189="",ANAGRAFICA!$R189="Nessuna variazione")),AND(ANAGRAFICA!$J189="",ANAGRAFICA!$R189&lt;&gt;"",ANAGRAFICA!$R189&lt;&gt;"Nessuna variazione")),"GESTIONE DATA FINE INCOMPLETA; ","")&amp;IF($Y192="","AGGIORNATO AL MANCANTE; ","")&amp;IF(OR($AZ192="",$BJ192="",$BO192="",ANAGRAFICA!$I189="",ANAGRAFICA!$J189=""),"DATI PREVISIONALI INCOMPLETI; ","")&amp;IF(LEFT($C192,5)="TEMP","CODICE COMMESSA TEMPORANEO; ","")),"DATI INCOMPLETI; ")</f>
        <v/>
      </c>
      <c r="C192" s="17" t="str">
        <f>IF(ANAGRAFICA!$B189="","",ANAGRAFICA!$B189)</f>
        <v/>
      </c>
      <c r="D192" s="17" t="str">
        <f>IF($C192="","",ANAGRAFICA!$C189)</f>
        <v/>
      </c>
      <c r="E192" s="17" t="str">
        <f>IF($C192="","",ANAGRAFICA!$D189)</f>
        <v/>
      </c>
      <c r="F192" s="17" t="str">
        <f>IF($C192="","",ANAGRAFICA!$E189)</f>
        <v/>
      </c>
      <c r="G192" s="17" t="str">
        <f>IF($C192="","",ANAGRAFICA!$F189)</f>
        <v/>
      </c>
      <c r="H192" s="17" t="str">
        <f>IF($C192="","",ANAGRAFICA!$G189)</f>
        <v/>
      </c>
      <c r="I192" s="17" t="str">
        <f>IF($C192="","",ANAGRAFICA!$L189)</f>
        <v/>
      </c>
      <c r="J192" s="16" t="str">
        <f t="shared" si="49"/>
        <v/>
      </c>
      <c r="K192" s="16" t="str">
        <f t="shared" si="50"/>
        <v/>
      </c>
      <c r="L192" s="16" t="str">
        <f t="shared" si="51"/>
        <v/>
      </c>
      <c r="M192" s="16" t="str">
        <f t="shared" si="52"/>
        <v/>
      </c>
      <c r="N192" s="16" t="str">
        <f t="shared" si="53"/>
        <v/>
      </c>
      <c r="O192" s="16" t="str">
        <f t="shared" si="54"/>
        <v/>
      </c>
      <c r="P192" s="17" t="str">
        <f t="shared" si="55"/>
        <v/>
      </c>
      <c r="Q192" s="31" t="str">
        <f>IF(OR($C192="",'BUDGET COMMESSA'!$D189="",'BUDGET COMMESSA'!$D189&lt;=0,ANAGRAFICA!$J189=""),"",IF(OR($I192="Finito ritenute non previste",$I192="Finito con sblocco ritenute",$I192="Finito senza sblocco ritenute"),0,IF(AND($BK192&gt;=$BJ192,ANAGRAFICA!$R189="Ritardo produttivo FIDA"),IF(ANAGRAFICA!$T189&lt;&gt;"",MAX(0,ANAGRAFICA!$J189-ANAGRAFICA!$T189),MAX(0,$Y192-ANAGRAFICA!$J189)),0)))</f>
        <v/>
      </c>
      <c r="R192" s="17" t="str">
        <f t="shared" si="56"/>
        <v/>
      </c>
      <c r="S192" s="17" t="str">
        <f t="shared" si="57"/>
        <v/>
      </c>
      <c r="T192" s="17" t="str">
        <f t="shared" si="58"/>
        <v/>
      </c>
      <c r="U192" s="16" t="str">
        <f t="shared" si="59"/>
        <v/>
      </c>
      <c r="V192" s="16" t="str">
        <f t="shared" si="60"/>
        <v/>
      </c>
      <c r="W192" s="16" t="str">
        <f t="shared" si="61"/>
        <v/>
      </c>
      <c r="X192" s="40"/>
      <c r="Y192" s="14"/>
      <c r="AZ192" t="str">
        <f>IF($C192="","",ANAGRAFICA!$P189)</f>
        <v/>
      </c>
      <c r="BA192" t="str">
        <f>IF($C192="","",SUMIF('MOVIMENTI 2026'!$B$7:$B$4206,$C192,'MOVIMENTI 2026'!$I$7:$I$4206)+SUMIF('SALDI AL 31.12.2025'!$A$6:$A$505,$C192,'SALDI AL 31.12.2025'!$C$6:$C$505))</f>
        <v/>
      </c>
      <c r="BB192" t="str">
        <f>IF($C192="","",SUMIF('MOVIMENTI 2026'!$B$7:$B$4206,$C192,'MOVIMENTI 2026'!$J$7:$J$4206)+SUMIF('SALDI AL 31.12.2025'!$A$6:$A$505,$C192,'SALDI AL 31.12.2025'!$D$6:$D$505))</f>
        <v/>
      </c>
      <c r="BC192" t="str">
        <f>IF($C192="","",SUMIF('MOVIMENTI 2026'!$B$7:$B$4206,$C192,'MOVIMENTI 2026'!$K$7:$K$4206)+SUMIF('SALDI AL 31.12.2025'!$A$6:$A$505,$C192,'SALDI AL 31.12.2025'!$E$6:$E$505))</f>
        <v/>
      </c>
      <c r="BD192" t="str">
        <f>IF($C192="","",SUMIF('MOVIMENTI 2026'!$B$7:$B$4206,$C192,'MOVIMENTI 2026'!$L$7:$L$4206)+SUMIF('SALDI AL 31.12.2025'!$A$6:$A$505,$C192,'SALDI AL 31.12.2025'!$F$6:$F$505))</f>
        <v/>
      </c>
      <c r="BE192" t="str">
        <f t="shared" si="62"/>
        <v/>
      </c>
      <c r="BF192" t="str">
        <f t="shared" si="63"/>
        <v/>
      </c>
      <c r="BG192" t="str">
        <f t="shared" si="64"/>
        <v/>
      </c>
      <c r="BH192" t="str">
        <f>IFERROR(IF(OR($C192="",ANAGRAFICA!$I189="",ANAGRAFICA!$J189="",ANAGRAFICA!$J189&lt;=ANAGRAFICA!$I189,$Y192=""),"",IF(OR($I192="Finito ritenute non previste",$I192="Finito con sblocco ritenute",$I192="Finito senza sblocco ritenute"),1,MAX(0,MIN(1,($Y192-ANAGRAFICA!$I189)/(ANAGRAFICA!$J189-ANAGRAFICA!$I189))))),"")</f>
        <v/>
      </c>
      <c r="BI192" t="str">
        <f t="shared" si="65"/>
        <v/>
      </c>
      <c r="BJ192" t="str">
        <f>IFERROR(IF($C192="","",'BUDGET COMMESSA'!$D189),"")</f>
        <v/>
      </c>
      <c r="BK192" t="str">
        <f>IF($C192="","",SUMIF('MOVIMENTI 2026'!$B$7:$B$4206,$C192,'MOVIMENTI 2026'!$N$7:$N$4206)+SUMIF('SALDI AL 31.12.2025'!$A$6:$A$505,$C192,'SALDI AL 31.12.2025'!$H$6:$H$505))</f>
        <v/>
      </c>
      <c r="BL192" t="str">
        <f t="shared" si="66"/>
        <v/>
      </c>
      <c r="BM192" t="str">
        <f t="shared" si="67"/>
        <v/>
      </c>
      <c r="BN192" t="str">
        <f t="shared" si="68"/>
        <v/>
      </c>
      <c r="BO192" t="str">
        <f>IFERROR(IF($C192="","",'BUDGET COMMESSA'!$G189),"")</f>
        <v/>
      </c>
      <c r="BP192" t="str">
        <f>IF($C192="","",SUMIF('COSTI DIRETTI'!$C$6:$C$505,$C192,'COSTI DIRETTI'!$H$6:$H$505)+SUMIF('SALDI AL 31.12.2025'!$A$6:$A$505,$C192,'SALDI AL 31.12.2025'!$I$6:$I$505))</f>
        <v/>
      </c>
      <c r="BQ192" t="str">
        <f t="shared" si="69"/>
        <v/>
      </c>
      <c r="BR192" t="str">
        <f t="shared" si="70"/>
        <v/>
      </c>
      <c r="BS192" t="str">
        <f>IF($C192="","",$BK192*PARAMETRI!$B$4+$BP192)</f>
        <v/>
      </c>
      <c r="BT192">
        <f t="shared" si="71"/>
        <v>0</v>
      </c>
      <c r="BU192">
        <f t="shared" si="72"/>
        <v>0</v>
      </c>
      <c r="BV192" t="str">
        <f>IF($C192="","",SUMIF('MOVIMENTI 2026'!$B$7:$B$4206,$C192,'MOVIMENTI 2026'!$P$7:$P$4206)+SUMIF('SALDI AL 31.12.2025'!$A$6:$A$505,$C192,'SALDI AL 31.12.2025'!$G$6:$G$505))</f>
        <v/>
      </c>
    </row>
    <row r="193" spans="1:74" ht="16" x14ac:dyDescent="0.15">
      <c r="A193" s="17" t="str">
        <f>IFERROR(IF($C193="","",IF(OR($BF193&gt;0,$V193&gt;$J193,AND(ISNUMBER($Q193),$Q193&gt;0),AND($BI193&lt;&gt;"",$BI193&lt;-PARAMETRI!$B$6),AND($BM193&lt;&gt;"",$BM193&gt;=1),AND($BN193&lt;&gt;"",$BN193&gt;PARAMETRI!$B$8),AND(ISNUMBER($BR193),$BR193&gt;0)),"CRITICO",IF(OR($AZ193="",LEFT($C193,5)="TEMP",$BJ193="",$BO193="",ANAGRAFICA!$I190="",ANAGRAFICA!$J190="",$Y193="",AND(OR($I193="Finito ritenute non previste",$I193="Finito con sblocco ritenute",$I193="Finito senza sblocco ritenute"),ANAGRAFICA!$K190=""),OR(AND(ANAGRAFICA!$T190&lt;&gt;"",ANAGRAFICA!$J190&lt;&gt;ANAGRAFICA!$T190,OR(ANAGRAFICA!$R190="",ANAGRAFICA!$R190="Nessuna variazione")),AND(ANAGRAFICA!$J190="",ANAGRAFICA!$R190&lt;&gt;"",ANAGRAFICA!$R190&lt;&gt;"Nessuna variazione")),AND($BI193&lt;&gt;"",$BI193&lt;-PARAMETRI!$B$5),AND($BN193&lt;&gt;"",$BN193&gt;PARAMETRI!$B$7),AND($W193&gt;0,$M193&gt;$W193*PARAMETRI!$B$9),AND($O193&gt;0,OR($I193="Finito ritenute non previste",$I193="Finito con sblocco ritenute",$I193="Finito senza sblocco ritenute")),AND($BA193&gt;0,$BO193&gt;0,$BP193=0),AND(OR($I193="Finito ritenute non previste",$I193="Finito con sblocco ritenute",$I193="Finito senza sblocco ritenute"),$W193&gt;0,$N193&gt;$W193*PARAMETRI!$B$9),$V193&gt;0),"ATTENZIONE","REGOLARE"))),"ATTENZIONE")</f>
        <v/>
      </c>
      <c r="B193" s="17" t="str">
        <f>IFERROR(IF($C193="","",IF($BF193&gt;0,"FATTURATO OLTRE VALORE RECUPERABILE; ","")&amp;IF($V193&gt;$J193,"PERDITE ACCETTATE OLTRE CONTRATTO; ","")&amp;IF($V193&gt;0,"PERDITA SAL ACCETTATA (€ "&amp;TEXT($V193,"#,##0.00")&amp;"); ","")&amp;IF(AND(ISNUMBER($Q193),$Q193&gt;0),"RITARDO PRODUTTIVO ("&amp;TEXT($Q193,"0")&amp;" GG); ","")&amp;IF(AND($BI193&lt;&gt;"",$BI193&lt;-PARAMETRI!$B$5),"AVANZAMENTO PIÙ LENTO DEL TEMPO; ","")&amp;IF(AND($BM193&lt;&gt;"",$BM193&gt;1),"ORE OLTRE BUDGET; ","")&amp;IF(AND($BM193&lt;&gt;"",$BM193=1),"ORE PREVENTIVATE ESAURITE; ","")&amp;IF(AND($BN193&lt;&gt;"",$BN193&gt;PARAMETRI!$B$7),"CONSUMO ORE SUPERIORE ALL'AVANZAMENTO; ","")&amp;IF(AND(ISNUMBER($BR193),$BR193&gt;0),"COSTI DIRETTI OLTRE BUDGET; ","")&amp;IF(AND($W193&gt;0,$M193&gt;$W193*PARAMETRI!$B$9),"SAL MATURATO NON FATTURATO; ","")&amp;IF(AND($O193&gt;0,OR($I193="Finito ritenute non previste",$I193="Finito con sblocco ritenute",$I193="Finito senza sblocco ritenute")),"RITENUTE DA SBLOCCARE; ","")&amp;IF(AND($BA193&gt;0,$BO193&gt;0,$BP193=0),"COSTI DIRETTI NON REGISTRATI; ","")&amp;IF(AND(OR($I193="Finito ritenute non previste",$I193="Finito con sblocco ritenute",$I193="Finito senza sblocco ritenute"),$W193&gt;0,$N193&gt;$W193*PARAMETRI!$B$9),"CANTIERE FINITO CON RESIDUO LAVORI; ","")&amp;IF(AND(OR($I193="Finito ritenute non previste",$I193="Finito con sblocco ritenute",$I193="Finito senza sblocco ritenute"),ANAGRAFICA!$K190=""),"DATA FINE EFFETTIVA MANCANTE; ","")&amp;IF(OR(AND(ANAGRAFICA!$T190&lt;&gt;"",ANAGRAFICA!$J190&lt;&gt;ANAGRAFICA!$T190,OR(ANAGRAFICA!$R190="",ANAGRAFICA!$R190="Nessuna variazione")),AND(ANAGRAFICA!$J190="",ANAGRAFICA!$R190&lt;&gt;"",ANAGRAFICA!$R190&lt;&gt;"Nessuna variazione")),"GESTIONE DATA FINE INCOMPLETA; ","")&amp;IF($Y193="","AGGIORNATO AL MANCANTE; ","")&amp;IF(OR($AZ193="",$BJ193="",$BO193="",ANAGRAFICA!$I190="",ANAGRAFICA!$J190=""),"DATI PREVISIONALI INCOMPLETI; ","")&amp;IF(LEFT($C193,5)="TEMP","CODICE COMMESSA TEMPORANEO; ","")),"DATI INCOMPLETI; ")</f>
        <v/>
      </c>
      <c r="C193" s="17" t="str">
        <f>IF(ANAGRAFICA!$B190="","",ANAGRAFICA!$B190)</f>
        <v/>
      </c>
      <c r="D193" s="17" t="str">
        <f>IF($C193="","",ANAGRAFICA!$C190)</f>
        <v/>
      </c>
      <c r="E193" s="17" t="str">
        <f>IF($C193="","",ANAGRAFICA!$D190)</f>
        <v/>
      </c>
      <c r="F193" s="17" t="str">
        <f>IF($C193="","",ANAGRAFICA!$E190)</f>
        <v/>
      </c>
      <c r="G193" s="17" t="str">
        <f>IF($C193="","",ANAGRAFICA!$F190)</f>
        <v/>
      </c>
      <c r="H193" s="17" t="str">
        <f>IF($C193="","",ANAGRAFICA!$G190)</f>
        <v/>
      </c>
      <c r="I193" s="17" t="str">
        <f>IF($C193="","",ANAGRAFICA!$L190)</f>
        <v/>
      </c>
      <c r="J193" s="16" t="str">
        <f t="shared" si="49"/>
        <v/>
      </c>
      <c r="K193" s="16" t="str">
        <f t="shared" si="50"/>
        <v/>
      </c>
      <c r="L193" s="16" t="str">
        <f t="shared" si="51"/>
        <v/>
      </c>
      <c r="M193" s="16" t="str">
        <f t="shared" si="52"/>
        <v/>
      </c>
      <c r="N193" s="16" t="str">
        <f t="shared" si="53"/>
        <v/>
      </c>
      <c r="O193" s="16" t="str">
        <f t="shared" si="54"/>
        <v/>
      </c>
      <c r="P193" s="17" t="str">
        <f t="shared" si="55"/>
        <v/>
      </c>
      <c r="Q193" s="31" t="str">
        <f>IF(OR($C193="",'BUDGET COMMESSA'!$D190="",'BUDGET COMMESSA'!$D190&lt;=0,ANAGRAFICA!$J190=""),"",IF(OR($I193="Finito ritenute non previste",$I193="Finito con sblocco ritenute",$I193="Finito senza sblocco ritenute"),0,IF(AND($BK193&gt;=$BJ193,ANAGRAFICA!$R190="Ritardo produttivo FIDA"),IF(ANAGRAFICA!$T190&lt;&gt;"",MAX(0,ANAGRAFICA!$J190-ANAGRAFICA!$T190),MAX(0,$Y193-ANAGRAFICA!$J190)),0)))</f>
        <v/>
      </c>
      <c r="R193" s="17" t="str">
        <f t="shared" si="56"/>
        <v/>
      </c>
      <c r="S193" s="17" t="str">
        <f t="shared" si="57"/>
        <v/>
      </c>
      <c r="T193" s="17" t="str">
        <f t="shared" si="58"/>
        <v/>
      </c>
      <c r="U193" s="16" t="str">
        <f t="shared" si="59"/>
        <v/>
      </c>
      <c r="V193" s="16" t="str">
        <f t="shared" si="60"/>
        <v/>
      </c>
      <c r="W193" s="16" t="str">
        <f t="shared" si="61"/>
        <v/>
      </c>
      <c r="X193" s="40"/>
      <c r="Y193" s="14"/>
      <c r="AZ193" t="str">
        <f>IF($C193="","",ANAGRAFICA!$P190)</f>
        <v/>
      </c>
      <c r="BA193" t="str">
        <f>IF($C193="","",SUMIF('MOVIMENTI 2026'!$B$7:$B$4206,$C193,'MOVIMENTI 2026'!$I$7:$I$4206)+SUMIF('SALDI AL 31.12.2025'!$A$6:$A$505,$C193,'SALDI AL 31.12.2025'!$C$6:$C$505))</f>
        <v/>
      </c>
      <c r="BB193" t="str">
        <f>IF($C193="","",SUMIF('MOVIMENTI 2026'!$B$7:$B$4206,$C193,'MOVIMENTI 2026'!$J$7:$J$4206)+SUMIF('SALDI AL 31.12.2025'!$A$6:$A$505,$C193,'SALDI AL 31.12.2025'!$D$6:$D$505))</f>
        <v/>
      </c>
      <c r="BC193" t="str">
        <f>IF($C193="","",SUMIF('MOVIMENTI 2026'!$B$7:$B$4206,$C193,'MOVIMENTI 2026'!$K$7:$K$4206)+SUMIF('SALDI AL 31.12.2025'!$A$6:$A$505,$C193,'SALDI AL 31.12.2025'!$E$6:$E$505))</f>
        <v/>
      </c>
      <c r="BD193" t="str">
        <f>IF($C193="","",SUMIF('MOVIMENTI 2026'!$B$7:$B$4206,$C193,'MOVIMENTI 2026'!$L$7:$L$4206)+SUMIF('SALDI AL 31.12.2025'!$A$6:$A$505,$C193,'SALDI AL 31.12.2025'!$F$6:$F$505))</f>
        <v/>
      </c>
      <c r="BE193" t="str">
        <f t="shared" si="62"/>
        <v/>
      </c>
      <c r="BF193" t="str">
        <f t="shared" si="63"/>
        <v/>
      </c>
      <c r="BG193" t="str">
        <f t="shared" si="64"/>
        <v/>
      </c>
      <c r="BH193" t="str">
        <f>IFERROR(IF(OR($C193="",ANAGRAFICA!$I190="",ANAGRAFICA!$J190="",ANAGRAFICA!$J190&lt;=ANAGRAFICA!$I190,$Y193=""),"",IF(OR($I193="Finito ritenute non previste",$I193="Finito con sblocco ritenute",$I193="Finito senza sblocco ritenute"),1,MAX(0,MIN(1,($Y193-ANAGRAFICA!$I190)/(ANAGRAFICA!$J190-ANAGRAFICA!$I190))))),"")</f>
        <v/>
      </c>
      <c r="BI193" t="str">
        <f t="shared" si="65"/>
        <v/>
      </c>
      <c r="BJ193" t="str">
        <f>IFERROR(IF($C193="","",'BUDGET COMMESSA'!$D190),"")</f>
        <v/>
      </c>
      <c r="BK193" t="str">
        <f>IF($C193="","",SUMIF('MOVIMENTI 2026'!$B$7:$B$4206,$C193,'MOVIMENTI 2026'!$N$7:$N$4206)+SUMIF('SALDI AL 31.12.2025'!$A$6:$A$505,$C193,'SALDI AL 31.12.2025'!$H$6:$H$505))</f>
        <v/>
      </c>
      <c r="BL193" t="str">
        <f t="shared" si="66"/>
        <v/>
      </c>
      <c r="BM193" t="str">
        <f t="shared" si="67"/>
        <v/>
      </c>
      <c r="BN193" t="str">
        <f t="shared" si="68"/>
        <v/>
      </c>
      <c r="BO193" t="str">
        <f>IFERROR(IF($C193="","",'BUDGET COMMESSA'!$G190),"")</f>
        <v/>
      </c>
      <c r="BP193" t="str">
        <f>IF($C193="","",SUMIF('COSTI DIRETTI'!$C$6:$C$505,$C193,'COSTI DIRETTI'!$H$6:$H$505)+SUMIF('SALDI AL 31.12.2025'!$A$6:$A$505,$C193,'SALDI AL 31.12.2025'!$I$6:$I$505))</f>
        <v/>
      </c>
      <c r="BQ193" t="str">
        <f t="shared" si="69"/>
        <v/>
      </c>
      <c r="BR193" t="str">
        <f t="shared" si="70"/>
        <v/>
      </c>
      <c r="BS193" t="str">
        <f>IF($C193="","",$BK193*PARAMETRI!$B$4+$BP193)</f>
        <v/>
      </c>
      <c r="BT193">
        <f t="shared" si="71"/>
        <v>0</v>
      </c>
      <c r="BU193">
        <f t="shared" si="72"/>
        <v>0</v>
      </c>
      <c r="BV193" t="str">
        <f>IF($C193="","",SUMIF('MOVIMENTI 2026'!$B$7:$B$4206,$C193,'MOVIMENTI 2026'!$P$7:$P$4206)+SUMIF('SALDI AL 31.12.2025'!$A$6:$A$505,$C193,'SALDI AL 31.12.2025'!$G$6:$G$505))</f>
        <v/>
      </c>
    </row>
    <row r="194" spans="1:74" ht="16" x14ac:dyDescent="0.15">
      <c r="A194" s="17" t="str">
        <f>IFERROR(IF($C194="","",IF(OR($BF194&gt;0,$V194&gt;$J194,AND(ISNUMBER($Q194),$Q194&gt;0),AND($BI194&lt;&gt;"",$BI194&lt;-PARAMETRI!$B$6),AND($BM194&lt;&gt;"",$BM194&gt;=1),AND($BN194&lt;&gt;"",$BN194&gt;PARAMETRI!$B$8),AND(ISNUMBER($BR194),$BR194&gt;0)),"CRITICO",IF(OR($AZ194="",LEFT($C194,5)="TEMP",$BJ194="",$BO194="",ANAGRAFICA!$I191="",ANAGRAFICA!$J191="",$Y194="",AND(OR($I194="Finito ritenute non previste",$I194="Finito con sblocco ritenute",$I194="Finito senza sblocco ritenute"),ANAGRAFICA!$K191=""),OR(AND(ANAGRAFICA!$T191&lt;&gt;"",ANAGRAFICA!$J191&lt;&gt;ANAGRAFICA!$T191,OR(ANAGRAFICA!$R191="",ANAGRAFICA!$R191="Nessuna variazione")),AND(ANAGRAFICA!$J191="",ANAGRAFICA!$R191&lt;&gt;"",ANAGRAFICA!$R191&lt;&gt;"Nessuna variazione")),AND($BI194&lt;&gt;"",$BI194&lt;-PARAMETRI!$B$5),AND($BN194&lt;&gt;"",$BN194&gt;PARAMETRI!$B$7),AND($W194&gt;0,$M194&gt;$W194*PARAMETRI!$B$9),AND($O194&gt;0,OR($I194="Finito ritenute non previste",$I194="Finito con sblocco ritenute",$I194="Finito senza sblocco ritenute")),AND($BA194&gt;0,$BO194&gt;0,$BP194=0),AND(OR($I194="Finito ritenute non previste",$I194="Finito con sblocco ritenute",$I194="Finito senza sblocco ritenute"),$W194&gt;0,$N194&gt;$W194*PARAMETRI!$B$9),$V194&gt;0),"ATTENZIONE","REGOLARE"))),"ATTENZIONE")</f>
        <v/>
      </c>
      <c r="B194" s="17" t="str">
        <f>IFERROR(IF($C194="","",IF($BF194&gt;0,"FATTURATO OLTRE VALORE RECUPERABILE; ","")&amp;IF($V194&gt;$J194,"PERDITE ACCETTATE OLTRE CONTRATTO; ","")&amp;IF($V194&gt;0,"PERDITA SAL ACCETTATA (€ "&amp;TEXT($V194,"#,##0.00")&amp;"); ","")&amp;IF(AND(ISNUMBER($Q194),$Q194&gt;0),"RITARDO PRODUTTIVO ("&amp;TEXT($Q194,"0")&amp;" GG); ","")&amp;IF(AND($BI194&lt;&gt;"",$BI194&lt;-PARAMETRI!$B$5),"AVANZAMENTO PIÙ LENTO DEL TEMPO; ","")&amp;IF(AND($BM194&lt;&gt;"",$BM194&gt;1),"ORE OLTRE BUDGET; ","")&amp;IF(AND($BM194&lt;&gt;"",$BM194=1),"ORE PREVENTIVATE ESAURITE; ","")&amp;IF(AND($BN194&lt;&gt;"",$BN194&gt;PARAMETRI!$B$7),"CONSUMO ORE SUPERIORE ALL'AVANZAMENTO; ","")&amp;IF(AND(ISNUMBER($BR194),$BR194&gt;0),"COSTI DIRETTI OLTRE BUDGET; ","")&amp;IF(AND($W194&gt;0,$M194&gt;$W194*PARAMETRI!$B$9),"SAL MATURATO NON FATTURATO; ","")&amp;IF(AND($O194&gt;0,OR($I194="Finito ritenute non previste",$I194="Finito con sblocco ritenute",$I194="Finito senza sblocco ritenute")),"RITENUTE DA SBLOCCARE; ","")&amp;IF(AND($BA194&gt;0,$BO194&gt;0,$BP194=0),"COSTI DIRETTI NON REGISTRATI; ","")&amp;IF(AND(OR($I194="Finito ritenute non previste",$I194="Finito con sblocco ritenute",$I194="Finito senza sblocco ritenute"),$W194&gt;0,$N194&gt;$W194*PARAMETRI!$B$9),"CANTIERE FINITO CON RESIDUO LAVORI; ","")&amp;IF(AND(OR($I194="Finito ritenute non previste",$I194="Finito con sblocco ritenute",$I194="Finito senza sblocco ritenute"),ANAGRAFICA!$K191=""),"DATA FINE EFFETTIVA MANCANTE; ","")&amp;IF(OR(AND(ANAGRAFICA!$T191&lt;&gt;"",ANAGRAFICA!$J191&lt;&gt;ANAGRAFICA!$T191,OR(ANAGRAFICA!$R191="",ANAGRAFICA!$R191="Nessuna variazione")),AND(ANAGRAFICA!$J191="",ANAGRAFICA!$R191&lt;&gt;"",ANAGRAFICA!$R191&lt;&gt;"Nessuna variazione")),"GESTIONE DATA FINE INCOMPLETA; ","")&amp;IF($Y194="","AGGIORNATO AL MANCANTE; ","")&amp;IF(OR($AZ194="",$BJ194="",$BO194="",ANAGRAFICA!$I191="",ANAGRAFICA!$J191=""),"DATI PREVISIONALI INCOMPLETI; ","")&amp;IF(LEFT($C194,5)="TEMP","CODICE COMMESSA TEMPORANEO; ","")),"DATI INCOMPLETI; ")</f>
        <v/>
      </c>
      <c r="C194" s="17" t="str">
        <f>IF(ANAGRAFICA!$B191="","",ANAGRAFICA!$B191)</f>
        <v/>
      </c>
      <c r="D194" s="17" t="str">
        <f>IF($C194="","",ANAGRAFICA!$C191)</f>
        <v/>
      </c>
      <c r="E194" s="17" t="str">
        <f>IF($C194="","",ANAGRAFICA!$D191)</f>
        <v/>
      </c>
      <c r="F194" s="17" t="str">
        <f>IF($C194="","",ANAGRAFICA!$E191)</f>
        <v/>
      </c>
      <c r="G194" s="17" t="str">
        <f>IF($C194="","",ANAGRAFICA!$F191)</f>
        <v/>
      </c>
      <c r="H194" s="17" t="str">
        <f>IF($C194="","",ANAGRAFICA!$G191)</f>
        <v/>
      </c>
      <c r="I194" s="17" t="str">
        <f>IF($C194="","",ANAGRAFICA!$L191)</f>
        <v/>
      </c>
      <c r="J194" s="16" t="str">
        <f t="shared" si="49"/>
        <v/>
      </c>
      <c r="K194" s="16" t="str">
        <f t="shared" si="50"/>
        <v/>
      </c>
      <c r="L194" s="16" t="str">
        <f t="shared" si="51"/>
        <v/>
      </c>
      <c r="M194" s="16" t="str">
        <f t="shared" si="52"/>
        <v/>
      </c>
      <c r="N194" s="16" t="str">
        <f t="shared" si="53"/>
        <v/>
      </c>
      <c r="O194" s="16" t="str">
        <f t="shared" si="54"/>
        <v/>
      </c>
      <c r="P194" s="17" t="str">
        <f t="shared" si="55"/>
        <v/>
      </c>
      <c r="Q194" s="31" t="str">
        <f>IF(OR($C194="",'BUDGET COMMESSA'!$D191="",'BUDGET COMMESSA'!$D191&lt;=0,ANAGRAFICA!$J191=""),"",IF(OR($I194="Finito ritenute non previste",$I194="Finito con sblocco ritenute",$I194="Finito senza sblocco ritenute"),0,IF(AND($BK194&gt;=$BJ194,ANAGRAFICA!$R191="Ritardo produttivo FIDA"),IF(ANAGRAFICA!$T191&lt;&gt;"",MAX(0,ANAGRAFICA!$J191-ANAGRAFICA!$T191),MAX(0,$Y194-ANAGRAFICA!$J191)),0)))</f>
        <v/>
      </c>
      <c r="R194" s="17" t="str">
        <f t="shared" si="56"/>
        <v/>
      </c>
      <c r="S194" s="17" t="str">
        <f t="shared" si="57"/>
        <v/>
      </c>
      <c r="T194" s="17" t="str">
        <f t="shared" si="58"/>
        <v/>
      </c>
      <c r="U194" s="16" t="str">
        <f t="shared" si="59"/>
        <v/>
      </c>
      <c r="V194" s="16" t="str">
        <f t="shared" si="60"/>
        <v/>
      </c>
      <c r="W194" s="16" t="str">
        <f t="shared" si="61"/>
        <v/>
      </c>
      <c r="X194" s="40"/>
      <c r="Y194" s="14"/>
      <c r="AZ194" t="str">
        <f>IF($C194="","",ANAGRAFICA!$P191)</f>
        <v/>
      </c>
      <c r="BA194" t="str">
        <f>IF($C194="","",SUMIF('MOVIMENTI 2026'!$B$7:$B$4206,$C194,'MOVIMENTI 2026'!$I$7:$I$4206)+SUMIF('SALDI AL 31.12.2025'!$A$6:$A$505,$C194,'SALDI AL 31.12.2025'!$C$6:$C$505))</f>
        <v/>
      </c>
      <c r="BB194" t="str">
        <f>IF($C194="","",SUMIF('MOVIMENTI 2026'!$B$7:$B$4206,$C194,'MOVIMENTI 2026'!$J$7:$J$4206)+SUMIF('SALDI AL 31.12.2025'!$A$6:$A$505,$C194,'SALDI AL 31.12.2025'!$D$6:$D$505))</f>
        <v/>
      </c>
      <c r="BC194" t="str">
        <f>IF($C194="","",SUMIF('MOVIMENTI 2026'!$B$7:$B$4206,$C194,'MOVIMENTI 2026'!$K$7:$K$4206)+SUMIF('SALDI AL 31.12.2025'!$A$6:$A$505,$C194,'SALDI AL 31.12.2025'!$E$6:$E$505))</f>
        <v/>
      </c>
      <c r="BD194" t="str">
        <f>IF($C194="","",SUMIF('MOVIMENTI 2026'!$B$7:$B$4206,$C194,'MOVIMENTI 2026'!$L$7:$L$4206)+SUMIF('SALDI AL 31.12.2025'!$A$6:$A$505,$C194,'SALDI AL 31.12.2025'!$F$6:$F$505))</f>
        <v/>
      </c>
      <c r="BE194" t="str">
        <f t="shared" si="62"/>
        <v/>
      </c>
      <c r="BF194" t="str">
        <f t="shared" si="63"/>
        <v/>
      </c>
      <c r="BG194" t="str">
        <f t="shared" si="64"/>
        <v/>
      </c>
      <c r="BH194" t="str">
        <f>IFERROR(IF(OR($C194="",ANAGRAFICA!$I191="",ANAGRAFICA!$J191="",ANAGRAFICA!$J191&lt;=ANAGRAFICA!$I191,$Y194=""),"",IF(OR($I194="Finito ritenute non previste",$I194="Finito con sblocco ritenute",$I194="Finito senza sblocco ritenute"),1,MAX(0,MIN(1,($Y194-ANAGRAFICA!$I191)/(ANAGRAFICA!$J191-ANAGRAFICA!$I191))))),"")</f>
        <v/>
      </c>
      <c r="BI194" t="str">
        <f t="shared" si="65"/>
        <v/>
      </c>
      <c r="BJ194" t="str">
        <f>IFERROR(IF($C194="","",'BUDGET COMMESSA'!$D191),"")</f>
        <v/>
      </c>
      <c r="BK194" t="str">
        <f>IF($C194="","",SUMIF('MOVIMENTI 2026'!$B$7:$B$4206,$C194,'MOVIMENTI 2026'!$N$7:$N$4206)+SUMIF('SALDI AL 31.12.2025'!$A$6:$A$505,$C194,'SALDI AL 31.12.2025'!$H$6:$H$505))</f>
        <v/>
      </c>
      <c r="BL194" t="str">
        <f t="shared" si="66"/>
        <v/>
      </c>
      <c r="BM194" t="str">
        <f t="shared" si="67"/>
        <v/>
      </c>
      <c r="BN194" t="str">
        <f t="shared" si="68"/>
        <v/>
      </c>
      <c r="BO194" t="str">
        <f>IFERROR(IF($C194="","",'BUDGET COMMESSA'!$G191),"")</f>
        <v/>
      </c>
      <c r="BP194" t="str">
        <f>IF($C194="","",SUMIF('COSTI DIRETTI'!$C$6:$C$505,$C194,'COSTI DIRETTI'!$H$6:$H$505)+SUMIF('SALDI AL 31.12.2025'!$A$6:$A$505,$C194,'SALDI AL 31.12.2025'!$I$6:$I$505))</f>
        <v/>
      </c>
      <c r="BQ194" t="str">
        <f t="shared" si="69"/>
        <v/>
      </c>
      <c r="BR194" t="str">
        <f t="shared" si="70"/>
        <v/>
      </c>
      <c r="BS194" t="str">
        <f>IF($C194="","",$BK194*PARAMETRI!$B$4+$BP194)</f>
        <v/>
      </c>
      <c r="BT194">
        <f t="shared" si="71"/>
        <v>0</v>
      </c>
      <c r="BU194">
        <f t="shared" si="72"/>
        <v>0</v>
      </c>
      <c r="BV194" t="str">
        <f>IF($C194="","",SUMIF('MOVIMENTI 2026'!$B$7:$B$4206,$C194,'MOVIMENTI 2026'!$P$7:$P$4206)+SUMIF('SALDI AL 31.12.2025'!$A$6:$A$505,$C194,'SALDI AL 31.12.2025'!$G$6:$G$505))</f>
        <v/>
      </c>
    </row>
    <row r="195" spans="1:74" ht="16" x14ac:dyDescent="0.15">
      <c r="A195" s="17" t="str">
        <f>IFERROR(IF($C195="","",IF(OR($BF195&gt;0,$V195&gt;$J195,AND(ISNUMBER($Q195),$Q195&gt;0),AND($BI195&lt;&gt;"",$BI195&lt;-PARAMETRI!$B$6),AND($BM195&lt;&gt;"",$BM195&gt;=1),AND($BN195&lt;&gt;"",$BN195&gt;PARAMETRI!$B$8),AND(ISNUMBER($BR195),$BR195&gt;0)),"CRITICO",IF(OR($AZ195="",LEFT($C195,5)="TEMP",$BJ195="",$BO195="",ANAGRAFICA!$I192="",ANAGRAFICA!$J192="",$Y195="",AND(OR($I195="Finito ritenute non previste",$I195="Finito con sblocco ritenute",$I195="Finito senza sblocco ritenute"),ANAGRAFICA!$K192=""),OR(AND(ANAGRAFICA!$T192&lt;&gt;"",ANAGRAFICA!$J192&lt;&gt;ANAGRAFICA!$T192,OR(ANAGRAFICA!$R192="",ANAGRAFICA!$R192="Nessuna variazione")),AND(ANAGRAFICA!$J192="",ANAGRAFICA!$R192&lt;&gt;"",ANAGRAFICA!$R192&lt;&gt;"Nessuna variazione")),AND($BI195&lt;&gt;"",$BI195&lt;-PARAMETRI!$B$5),AND($BN195&lt;&gt;"",$BN195&gt;PARAMETRI!$B$7),AND($W195&gt;0,$M195&gt;$W195*PARAMETRI!$B$9),AND($O195&gt;0,OR($I195="Finito ritenute non previste",$I195="Finito con sblocco ritenute",$I195="Finito senza sblocco ritenute")),AND($BA195&gt;0,$BO195&gt;0,$BP195=0),AND(OR($I195="Finito ritenute non previste",$I195="Finito con sblocco ritenute",$I195="Finito senza sblocco ritenute"),$W195&gt;0,$N195&gt;$W195*PARAMETRI!$B$9),$V195&gt;0),"ATTENZIONE","REGOLARE"))),"ATTENZIONE")</f>
        <v/>
      </c>
      <c r="B195" s="17" t="str">
        <f>IFERROR(IF($C195="","",IF($BF195&gt;0,"FATTURATO OLTRE VALORE RECUPERABILE; ","")&amp;IF($V195&gt;$J195,"PERDITE ACCETTATE OLTRE CONTRATTO; ","")&amp;IF($V195&gt;0,"PERDITA SAL ACCETTATA (€ "&amp;TEXT($V195,"#,##0.00")&amp;"); ","")&amp;IF(AND(ISNUMBER($Q195),$Q195&gt;0),"RITARDO PRODUTTIVO ("&amp;TEXT($Q195,"0")&amp;" GG); ","")&amp;IF(AND($BI195&lt;&gt;"",$BI195&lt;-PARAMETRI!$B$5),"AVANZAMENTO PIÙ LENTO DEL TEMPO; ","")&amp;IF(AND($BM195&lt;&gt;"",$BM195&gt;1),"ORE OLTRE BUDGET; ","")&amp;IF(AND($BM195&lt;&gt;"",$BM195=1),"ORE PREVENTIVATE ESAURITE; ","")&amp;IF(AND($BN195&lt;&gt;"",$BN195&gt;PARAMETRI!$B$7),"CONSUMO ORE SUPERIORE ALL'AVANZAMENTO; ","")&amp;IF(AND(ISNUMBER($BR195),$BR195&gt;0),"COSTI DIRETTI OLTRE BUDGET; ","")&amp;IF(AND($W195&gt;0,$M195&gt;$W195*PARAMETRI!$B$9),"SAL MATURATO NON FATTURATO; ","")&amp;IF(AND($O195&gt;0,OR($I195="Finito ritenute non previste",$I195="Finito con sblocco ritenute",$I195="Finito senza sblocco ritenute")),"RITENUTE DA SBLOCCARE; ","")&amp;IF(AND($BA195&gt;0,$BO195&gt;0,$BP195=0),"COSTI DIRETTI NON REGISTRATI; ","")&amp;IF(AND(OR($I195="Finito ritenute non previste",$I195="Finito con sblocco ritenute",$I195="Finito senza sblocco ritenute"),$W195&gt;0,$N195&gt;$W195*PARAMETRI!$B$9),"CANTIERE FINITO CON RESIDUO LAVORI; ","")&amp;IF(AND(OR($I195="Finito ritenute non previste",$I195="Finito con sblocco ritenute",$I195="Finito senza sblocco ritenute"),ANAGRAFICA!$K192=""),"DATA FINE EFFETTIVA MANCANTE; ","")&amp;IF(OR(AND(ANAGRAFICA!$T192&lt;&gt;"",ANAGRAFICA!$J192&lt;&gt;ANAGRAFICA!$T192,OR(ANAGRAFICA!$R192="",ANAGRAFICA!$R192="Nessuna variazione")),AND(ANAGRAFICA!$J192="",ANAGRAFICA!$R192&lt;&gt;"",ANAGRAFICA!$R192&lt;&gt;"Nessuna variazione")),"GESTIONE DATA FINE INCOMPLETA; ","")&amp;IF($Y195="","AGGIORNATO AL MANCANTE; ","")&amp;IF(OR($AZ195="",$BJ195="",$BO195="",ANAGRAFICA!$I192="",ANAGRAFICA!$J192=""),"DATI PREVISIONALI INCOMPLETI; ","")&amp;IF(LEFT($C195,5)="TEMP","CODICE COMMESSA TEMPORANEO; ","")),"DATI INCOMPLETI; ")</f>
        <v/>
      </c>
      <c r="C195" s="17" t="str">
        <f>IF(ANAGRAFICA!$B192="","",ANAGRAFICA!$B192)</f>
        <v/>
      </c>
      <c r="D195" s="17" t="str">
        <f>IF($C195="","",ANAGRAFICA!$C192)</f>
        <v/>
      </c>
      <c r="E195" s="17" t="str">
        <f>IF($C195="","",ANAGRAFICA!$D192)</f>
        <v/>
      </c>
      <c r="F195" s="17" t="str">
        <f>IF($C195="","",ANAGRAFICA!$E192)</f>
        <v/>
      </c>
      <c r="G195" s="17" t="str">
        <f>IF($C195="","",ANAGRAFICA!$F192)</f>
        <v/>
      </c>
      <c r="H195" s="17" t="str">
        <f>IF($C195="","",ANAGRAFICA!$G192)</f>
        <v/>
      </c>
      <c r="I195" s="17" t="str">
        <f>IF($C195="","",ANAGRAFICA!$L192)</f>
        <v/>
      </c>
      <c r="J195" s="16" t="str">
        <f t="shared" si="49"/>
        <v/>
      </c>
      <c r="K195" s="16" t="str">
        <f t="shared" si="50"/>
        <v/>
      </c>
      <c r="L195" s="16" t="str">
        <f t="shared" si="51"/>
        <v/>
      </c>
      <c r="M195" s="16" t="str">
        <f t="shared" si="52"/>
        <v/>
      </c>
      <c r="N195" s="16" t="str">
        <f t="shared" si="53"/>
        <v/>
      </c>
      <c r="O195" s="16" t="str">
        <f t="shared" si="54"/>
        <v/>
      </c>
      <c r="P195" s="17" t="str">
        <f t="shared" si="55"/>
        <v/>
      </c>
      <c r="Q195" s="31" t="str">
        <f>IF(OR($C195="",'BUDGET COMMESSA'!$D192="",'BUDGET COMMESSA'!$D192&lt;=0,ANAGRAFICA!$J192=""),"",IF(OR($I195="Finito ritenute non previste",$I195="Finito con sblocco ritenute",$I195="Finito senza sblocco ritenute"),0,IF(AND($BK195&gt;=$BJ195,ANAGRAFICA!$R192="Ritardo produttivo FIDA"),IF(ANAGRAFICA!$T192&lt;&gt;"",MAX(0,ANAGRAFICA!$J192-ANAGRAFICA!$T192),MAX(0,$Y195-ANAGRAFICA!$J192)),0)))</f>
        <v/>
      </c>
      <c r="R195" s="17" t="str">
        <f t="shared" si="56"/>
        <v/>
      </c>
      <c r="S195" s="17" t="str">
        <f t="shared" si="57"/>
        <v/>
      </c>
      <c r="T195" s="17" t="str">
        <f t="shared" si="58"/>
        <v/>
      </c>
      <c r="U195" s="16" t="str">
        <f t="shared" si="59"/>
        <v/>
      </c>
      <c r="V195" s="16" t="str">
        <f t="shared" si="60"/>
        <v/>
      </c>
      <c r="W195" s="16" t="str">
        <f t="shared" si="61"/>
        <v/>
      </c>
      <c r="X195" s="40"/>
      <c r="Y195" s="14"/>
      <c r="AZ195" t="str">
        <f>IF($C195="","",ANAGRAFICA!$P192)</f>
        <v/>
      </c>
      <c r="BA195" t="str">
        <f>IF($C195="","",SUMIF('MOVIMENTI 2026'!$B$7:$B$4206,$C195,'MOVIMENTI 2026'!$I$7:$I$4206)+SUMIF('SALDI AL 31.12.2025'!$A$6:$A$505,$C195,'SALDI AL 31.12.2025'!$C$6:$C$505))</f>
        <v/>
      </c>
      <c r="BB195" t="str">
        <f>IF($C195="","",SUMIF('MOVIMENTI 2026'!$B$7:$B$4206,$C195,'MOVIMENTI 2026'!$J$7:$J$4206)+SUMIF('SALDI AL 31.12.2025'!$A$6:$A$505,$C195,'SALDI AL 31.12.2025'!$D$6:$D$505))</f>
        <v/>
      </c>
      <c r="BC195" t="str">
        <f>IF($C195="","",SUMIF('MOVIMENTI 2026'!$B$7:$B$4206,$C195,'MOVIMENTI 2026'!$K$7:$K$4206)+SUMIF('SALDI AL 31.12.2025'!$A$6:$A$505,$C195,'SALDI AL 31.12.2025'!$E$6:$E$505))</f>
        <v/>
      </c>
      <c r="BD195" t="str">
        <f>IF($C195="","",SUMIF('MOVIMENTI 2026'!$B$7:$B$4206,$C195,'MOVIMENTI 2026'!$L$7:$L$4206)+SUMIF('SALDI AL 31.12.2025'!$A$6:$A$505,$C195,'SALDI AL 31.12.2025'!$F$6:$F$505))</f>
        <v/>
      </c>
      <c r="BE195" t="str">
        <f t="shared" si="62"/>
        <v/>
      </c>
      <c r="BF195" t="str">
        <f t="shared" si="63"/>
        <v/>
      </c>
      <c r="BG195" t="str">
        <f t="shared" si="64"/>
        <v/>
      </c>
      <c r="BH195" t="str">
        <f>IFERROR(IF(OR($C195="",ANAGRAFICA!$I192="",ANAGRAFICA!$J192="",ANAGRAFICA!$J192&lt;=ANAGRAFICA!$I192,$Y195=""),"",IF(OR($I195="Finito ritenute non previste",$I195="Finito con sblocco ritenute",$I195="Finito senza sblocco ritenute"),1,MAX(0,MIN(1,($Y195-ANAGRAFICA!$I192)/(ANAGRAFICA!$J192-ANAGRAFICA!$I192))))),"")</f>
        <v/>
      </c>
      <c r="BI195" t="str">
        <f t="shared" si="65"/>
        <v/>
      </c>
      <c r="BJ195" t="str">
        <f>IFERROR(IF($C195="","",'BUDGET COMMESSA'!$D192),"")</f>
        <v/>
      </c>
      <c r="BK195" t="str">
        <f>IF($C195="","",SUMIF('MOVIMENTI 2026'!$B$7:$B$4206,$C195,'MOVIMENTI 2026'!$N$7:$N$4206)+SUMIF('SALDI AL 31.12.2025'!$A$6:$A$505,$C195,'SALDI AL 31.12.2025'!$H$6:$H$505))</f>
        <v/>
      </c>
      <c r="BL195" t="str">
        <f t="shared" si="66"/>
        <v/>
      </c>
      <c r="BM195" t="str">
        <f t="shared" si="67"/>
        <v/>
      </c>
      <c r="BN195" t="str">
        <f t="shared" si="68"/>
        <v/>
      </c>
      <c r="BO195" t="str">
        <f>IFERROR(IF($C195="","",'BUDGET COMMESSA'!$G192),"")</f>
        <v/>
      </c>
      <c r="BP195" t="str">
        <f>IF($C195="","",SUMIF('COSTI DIRETTI'!$C$6:$C$505,$C195,'COSTI DIRETTI'!$H$6:$H$505)+SUMIF('SALDI AL 31.12.2025'!$A$6:$A$505,$C195,'SALDI AL 31.12.2025'!$I$6:$I$505))</f>
        <v/>
      </c>
      <c r="BQ195" t="str">
        <f t="shared" si="69"/>
        <v/>
      </c>
      <c r="BR195" t="str">
        <f t="shared" si="70"/>
        <v/>
      </c>
      <c r="BS195" t="str">
        <f>IF($C195="","",$BK195*PARAMETRI!$B$4+$BP195)</f>
        <v/>
      </c>
      <c r="BT195">
        <f t="shared" si="71"/>
        <v>0</v>
      </c>
      <c r="BU195">
        <f t="shared" si="72"/>
        <v>0</v>
      </c>
      <c r="BV195" t="str">
        <f>IF($C195="","",SUMIF('MOVIMENTI 2026'!$B$7:$B$4206,$C195,'MOVIMENTI 2026'!$P$7:$P$4206)+SUMIF('SALDI AL 31.12.2025'!$A$6:$A$505,$C195,'SALDI AL 31.12.2025'!$G$6:$G$505))</f>
        <v/>
      </c>
    </row>
    <row r="196" spans="1:74" ht="16" x14ac:dyDescent="0.15">
      <c r="A196" s="17" t="str">
        <f>IFERROR(IF($C196="","",IF(OR($BF196&gt;0,$V196&gt;$J196,AND(ISNUMBER($Q196),$Q196&gt;0),AND($BI196&lt;&gt;"",$BI196&lt;-PARAMETRI!$B$6),AND($BM196&lt;&gt;"",$BM196&gt;=1),AND($BN196&lt;&gt;"",$BN196&gt;PARAMETRI!$B$8),AND(ISNUMBER($BR196),$BR196&gt;0)),"CRITICO",IF(OR($AZ196="",LEFT($C196,5)="TEMP",$BJ196="",$BO196="",ANAGRAFICA!$I193="",ANAGRAFICA!$J193="",$Y196="",AND(OR($I196="Finito ritenute non previste",$I196="Finito con sblocco ritenute",$I196="Finito senza sblocco ritenute"),ANAGRAFICA!$K193=""),OR(AND(ANAGRAFICA!$T193&lt;&gt;"",ANAGRAFICA!$J193&lt;&gt;ANAGRAFICA!$T193,OR(ANAGRAFICA!$R193="",ANAGRAFICA!$R193="Nessuna variazione")),AND(ANAGRAFICA!$J193="",ANAGRAFICA!$R193&lt;&gt;"",ANAGRAFICA!$R193&lt;&gt;"Nessuna variazione")),AND($BI196&lt;&gt;"",$BI196&lt;-PARAMETRI!$B$5),AND($BN196&lt;&gt;"",$BN196&gt;PARAMETRI!$B$7),AND($W196&gt;0,$M196&gt;$W196*PARAMETRI!$B$9),AND($O196&gt;0,OR($I196="Finito ritenute non previste",$I196="Finito con sblocco ritenute",$I196="Finito senza sblocco ritenute")),AND($BA196&gt;0,$BO196&gt;0,$BP196=0),AND(OR($I196="Finito ritenute non previste",$I196="Finito con sblocco ritenute",$I196="Finito senza sblocco ritenute"),$W196&gt;0,$N196&gt;$W196*PARAMETRI!$B$9),$V196&gt;0),"ATTENZIONE","REGOLARE"))),"ATTENZIONE")</f>
        <v/>
      </c>
      <c r="B196" s="17" t="str">
        <f>IFERROR(IF($C196="","",IF($BF196&gt;0,"FATTURATO OLTRE VALORE RECUPERABILE; ","")&amp;IF($V196&gt;$J196,"PERDITE ACCETTATE OLTRE CONTRATTO; ","")&amp;IF($V196&gt;0,"PERDITA SAL ACCETTATA (€ "&amp;TEXT($V196,"#,##0.00")&amp;"); ","")&amp;IF(AND(ISNUMBER($Q196),$Q196&gt;0),"RITARDO PRODUTTIVO ("&amp;TEXT($Q196,"0")&amp;" GG); ","")&amp;IF(AND($BI196&lt;&gt;"",$BI196&lt;-PARAMETRI!$B$5),"AVANZAMENTO PIÙ LENTO DEL TEMPO; ","")&amp;IF(AND($BM196&lt;&gt;"",$BM196&gt;1),"ORE OLTRE BUDGET; ","")&amp;IF(AND($BM196&lt;&gt;"",$BM196=1),"ORE PREVENTIVATE ESAURITE; ","")&amp;IF(AND($BN196&lt;&gt;"",$BN196&gt;PARAMETRI!$B$7),"CONSUMO ORE SUPERIORE ALL'AVANZAMENTO; ","")&amp;IF(AND(ISNUMBER($BR196),$BR196&gt;0),"COSTI DIRETTI OLTRE BUDGET; ","")&amp;IF(AND($W196&gt;0,$M196&gt;$W196*PARAMETRI!$B$9),"SAL MATURATO NON FATTURATO; ","")&amp;IF(AND($O196&gt;0,OR($I196="Finito ritenute non previste",$I196="Finito con sblocco ritenute",$I196="Finito senza sblocco ritenute")),"RITENUTE DA SBLOCCARE; ","")&amp;IF(AND($BA196&gt;0,$BO196&gt;0,$BP196=0),"COSTI DIRETTI NON REGISTRATI; ","")&amp;IF(AND(OR($I196="Finito ritenute non previste",$I196="Finito con sblocco ritenute",$I196="Finito senza sblocco ritenute"),$W196&gt;0,$N196&gt;$W196*PARAMETRI!$B$9),"CANTIERE FINITO CON RESIDUO LAVORI; ","")&amp;IF(AND(OR($I196="Finito ritenute non previste",$I196="Finito con sblocco ritenute",$I196="Finito senza sblocco ritenute"),ANAGRAFICA!$K193=""),"DATA FINE EFFETTIVA MANCANTE; ","")&amp;IF(OR(AND(ANAGRAFICA!$T193&lt;&gt;"",ANAGRAFICA!$J193&lt;&gt;ANAGRAFICA!$T193,OR(ANAGRAFICA!$R193="",ANAGRAFICA!$R193="Nessuna variazione")),AND(ANAGRAFICA!$J193="",ANAGRAFICA!$R193&lt;&gt;"",ANAGRAFICA!$R193&lt;&gt;"Nessuna variazione")),"GESTIONE DATA FINE INCOMPLETA; ","")&amp;IF($Y196="","AGGIORNATO AL MANCANTE; ","")&amp;IF(OR($AZ196="",$BJ196="",$BO196="",ANAGRAFICA!$I193="",ANAGRAFICA!$J193=""),"DATI PREVISIONALI INCOMPLETI; ","")&amp;IF(LEFT($C196,5)="TEMP","CODICE COMMESSA TEMPORANEO; ","")),"DATI INCOMPLETI; ")</f>
        <v/>
      </c>
      <c r="C196" s="17" t="str">
        <f>IF(ANAGRAFICA!$B193="","",ANAGRAFICA!$B193)</f>
        <v/>
      </c>
      <c r="D196" s="17" t="str">
        <f>IF($C196="","",ANAGRAFICA!$C193)</f>
        <v/>
      </c>
      <c r="E196" s="17" t="str">
        <f>IF($C196="","",ANAGRAFICA!$D193)</f>
        <v/>
      </c>
      <c r="F196" s="17" t="str">
        <f>IF($C196="","",ANAGRAFICA!$E193)</f>
        <v/>
      </c>
      <c r="G196" s="17" t="str">
        <f>IF($C196="","",ANAGRAFICA!$F193)</f>
        <v/>
      </c>
      <c r="H196" s="17" t="str">
        <f>IF($C196="","",ANAGRAFICA!$G193)</f>
        <v/>
      </c>
      <c r="I196" s="17" t="str">
        <f>IF($C196="","",ANAGRAFICA!$L193)</f>
        <v/>
      </c>
      <c r="J196" s="16" t="str">
        <f t="shared" si="49"/>
        <v/>
      </c>
      <c r="K196" s="16" t="str">
        <f t="shared" si="50"/>
        <v/>
      </c>
      <c r="L196" s="16" t="str">
        <f t="shared" si="51"/>
        <v/>
      </c>
      <c r="M196" s="16" t="str">
        <f t="shared" si="52"/>
        <v/>
      </c>
      <c r="N196" s="16" t="str">
        <f t="shared" si="53"/>
        <v/>
      </c>
      <c r="O196" s="16" t="str">
        <f t="shared" si="54"/>
        <v/>
      </c>
      <c r="P196" s="17" t="str">
        <f t="shared" si="55"/>
        <v/>
      </c>
      <c r="Q196" s="31" t="str">
        <f>IF(OR($C196="",'BUDGET COMMESSA'!$D193="",'BUDGET COMMESSA'!$D193&lt;=0,ANAGRAFICA!$J193=""),"",IF(OR($I196="Finito ritenute non previste",$I196="Finito con sblocco ritenute",$I196="Finito senza sblocco ritenute"),0,IF(AND($BK196&gt;=$BJ196,ANAGRAFICA!$R193="Ritardo produttivo FIDA"),IF(ANAGRAFICA!$T193&lt;&gt;"",MAX(0,ANAGRAFICA!$J193-ANAGRAFICA!$T193),MAX(0,$Y196-ANAGRAFICA!$J193)),0)))</f>
        <v/>
      </c>
      <c r="R196" s="17" t="str">
        <f t="shared" si="56"/>
        <v/>
      </c>
      <c r="S196" s="17" t="str">
        <f t="shared" si="57"/>
        <v/>
      </c>
      <c r="T196" s="17" t="str">
        <f t="shared" si="58"/>
        <v/>
      </c>
      <c r="U196" s="16" t="str">
        <f t="shared" si="59"/>
        <v/>
      </c>
      <c r="V196" s="16" t="str">
        <f t="shared" si="60"/>
        <v/>
      </c>
      <c r="W196" s="16" t="str">
        <f t="shared" si="61"/>
        <v/>
      </c>
      <c r="X196" s="40"/>
      <c r="Y196" s="14"/>
      <c r="AZ196" t="str">
        <f>IF($C196="","",ANAGRAFICA!$P193)</f>
        <v/>
      </c>
      <c r="BA196" t="str">
        <f>IF($C196="","",SUMIF('MOVIMENTI 2026'!$B$7:$B$4206,$C196,'MOVIMENTI 2026'!$I$7:$I$4206)+SUMIF('SALDI AL 31.12.2025'!$A$6:$A$505,$C196,'SALDI AL 31.12.2025'!$C$6:$C$505))</f>
        <v/>
      </c>
      <c r="BB196" t="str">
        <f>IF($C196="","",SUMIF('MOVIMENTI 2026'!$B$7:$B$4206,$C196,'MOVIMENTI 2026'!$J$7:$J$4206)+SUMIF('SALDI AL 31.12.2025'!$A$6:$A$505,$C196,'SALDI AL 31.12.2025'!$D$6:$D$505))</f>
        <v/>
      </c>
      <c r="BC196" t="str">
        <f>IF($C196="","",SUMIF('MOVIMENTI 2026'!$B$7:$B$4206,$C196,'MOVIMENTI 2026'!$K$7:$K$4206)+SUMIF('SALDI AL 31.12.2025'!$A$6:$A$505,$C196,'SALDI AL 31.12.2025'!$E$6:$E$505))</f>
        <v/>
      </c>
      <c r="BD196" t="str">
        <f>IF($C196="","",SUMIF('MOVIMENTI 2026'!$B$7:$B$4206,$C196,'MOVIMENTI 2026'!$L$7:$L$4206)+SUMIF('SALDI AL 31.12.2025'!$A$6:$A$505,$C196,'SALDI AL 31.12.2025'!$F$6:$F$505))</f>
        <v/>
      </c>
      <c r="BE196" t="str">
        <f t="shared" si="62"/>
        <v/>
      </c>
      <c r="BF196" t="str">
        <f t="shared" si="63"/>
        <v/>
      </c>
      <c r="BG196" t="str">
        <f t="shared" si="64"/>
        <v/>
      </c>
      <c r="BH196" t="str">
        <f>IFERROR(IF(OR($C196="",ANAGRAFICA!$I193="",ANAGRAFICA!$J193="",ANAGRAFICA!$J193&lt;=ANAGRAFICA!$I193,$Y196=""),"",IF(OR($I196="Finito ritenute non previste",$I196="Finito con sblocco ritenute",$I196="Finito senza sblocco ritenute"),1,MAX(0,MIN(1,($Y196-ANAGRAFICA!$I193)/(ANAGRAFICA!$J193-ANAGRAFICA!$I193))))),"")</f>
        <v/>
      </c>
      <c r="BI196" t="str">
        <f t="shared" si="65"/>
        <v/>
      </c>
      <c r="BJ196" t="str">
        <f>IFERROR(IF($C196="","",'BUDGET COMMESSA'!$D193),"")</f>
        <v/>
      </c>
      <c r="BK196" t="str">
        <f>IF($C196="","",SUMIF('MOVIMENTI 2026'!$B$7:$B$4206,$C196,'MOVIMENTI 2026'!$N$7:$N$4206)+SUMIF('SALDI AL 31.12.2025'!$A$6:$A$505,$C196,'SALDI AL 31.12.2025'!$H$6:$H$505))</f>
        <v/>
      </c>
      <c r="BL196" t="str">
        <f t="shared" si="66"/>
        <v/>
      </c>
      <c r="BM196" t="str">
        <f t="shared" si="67"/>
        <v/>
      </c>
      <c r="BN196" t="str">
        <f t="shared" si="68"/>
        <v/>
      </c>
      <c r="BO196" t="str">
        <f>IFERROR(IF($C196="","",'BUDGET COMMESSA'!$G193),"")</f>
        <v/>
      </c>
      <c r="BP196" t="str">
        <f>IF($C196="","",SUMIF('COSTI DIRETTI'!$C$6:$C$505,$C196,'COSTI DIRETTI'!$H$6:$H$505)+SUMIF('SALDI AL 31.12.2025'!$A$6:$A$505,$C196,'SALDI AL 31.12.2025'!$I$6:$I$505))</f>
        <v/>
      </c>
      <c r="BQ196" t="str">
        <f t="shared" si="69"/>
        <v/>
      </c>
      <c r="BR196" t="str">
        <f t="shared" si="70"/>
        <v/>
      </c>
      <c r="BS196" t="str">
        <f>IF($C196="","",$BK196*PARAMETRI!$B$4+$BP196)</f>
        <v/>
      </c>
      <c r="BT196">
        <f t="shared" si="71"/>
        <v>0</v>
      </c>
      <c r="BU196">
        <f t="shared" si="72"/>
        <v>0</v>
      </c>
      <c r="BV196" t="str">
        <f>IF($C196="","",SUMIF('MOVIMENTI 2026'!$B$7:$B$4206,$C196,'MOVIMENTI 2026'!$P$7:$P$4206)+SUMIF('SALDI AL 31.12.2025'!$A$6:$A$505,$C196,'SALDI AL 31.12.2025'!$G$6:$G$505))</f>
        <v/>
      </c>
    </row>
    <row r="197" spans="1:74" ht="16" x14ac:dyDescent="0.15">
      <c r="A197" s="17" t="str">
        <f>IFERROR(IF($C197="","",IF(OR($BF197&gt;0,$V197&gt;$J197,AND(ISNUMBER($Q197),$Q197&gt;0),AND($BI197&lt;&gt;"",$BI197&lt;-PARAMETRI!$B$6),AND($BM197&lt;&gt;"",$BM197&gt;=1),AND($BN197&lt;&gt;"",$BN197&gt;PARAMETRI!$B$8),AND(ISNUMBER($BR197),$BR197&gt;0)),"CRITICO",IF(OR($AZ197="",LEFT($C197,5)="TEMP",$BJ197="",$BO197="",ANAGRAFICA!$I194="",ANAGRAFICA!$J194="",$Y197="",AND(OR($I197="Finito ritenute non previste",$I197="Finito con sblocco ritenute",$I197="Finito senza sblocco ritenute"),ANAGRAFICA!$K194=""),OR(AND(ANAGRAFICA!$T194&lt;&gt;"",ANAGRAFICA!$J194&lt;&gt;ANAGRAFICA!$T194,OR(ANAGRAFICA!$R194="",ANAGRAFICA!$R194="Nessuna variazione")),AND(ANAGRAFICA!$J194="",ANAGRAFICA!$R194&lt;&gt;"",ANAGRAFICA!$R194&lt;&gt;"Nessuna variazione")),AND($BI197&lt;&gt;"",$BI197&lt;-PARAMETRI!$B$5),AND($BN197&lt;&gt;"",$BN197&gt;PARAMETRI!$B$7),AND($W197&gt;0,$M197&gt;$W197*PARAMETRI!$B$9),AND($O197&gt;0,OR($I197="Finito ritenute non previste",$I197="Finito con sblocco ritenute",$I197="Finito senza sblocco ritenute")),AND($BA197&gt;0,$BO197&gt;0,$BP197=0),AND(OR($I197="Finito ritenute non previste",$I197="Finito con sblocco ritenute",$I197="Finito senza sblocco ritenute"),$W197&gt;0,$N197&gt;$W197*PARAMETRI!$B$9),$V197&gt;0),"ATTENZIONE","REGOLARE"))),"ATTENZIONE")</f>
        <v/>
      </c>
      <c r="B197" s="17" t="str">
        <f>IFERROR(IF($C197="","",IF($BF197&gt;0,"FATTURATO OLTRE VALORE RECUPERABILE; ","")&amp;IF($V197&gt;$J197,"PERDITE ACCETTATE OLTRE CONTRATTO; ","")&amp;IF($V197&gt;0,"PERDITA SAL ACCETTATA (€ "&amp;TEXT($V197,"#,##0.00")&amp;"); ","")&amp;IF(AND(ISNUMBER($Q197),$Q197&gt;0),"RITARDO PRODUTTIVO ("&amp;TEXT($Q197,"0")&amp;" GG); ","")&amp;IF(AND($BI197&lt;&gt;"",$BI197&lt;-PARAMETRI!$B$5),"AVANZAMENTO PIÙ LENTO DEL TEMPO; ","")&amp;IF(AND($BM197&lt;&gt;"",$BM197&gt;1),"ORE OLTRE BUDGET; ","")&amp;IF(AND($BM197&lt;&gt;"",$BM197=1),"ORE PREVENTIVATE ESAURITE; ","")&amp;IF(AND($BN197&lt;&gt;"",$BN197&gt;PARAMETRI!$B$7),"CONSUMO ORE SUPERIORE ALL'AVANZAMENTO; ","")&amp;IF(AND(ISNUMBER($BR197),$BR197&gt;0),"COSTI DIRETTI OLTRE BUDGET; ","")&amp;IF(AND($W197&gt;0,$M197&gt;$W197*PARAMETRI!$B$9),"SAL MATURATO NON FATTURATO; ","")&amp;IF(AND($O197&gt;0,OR($I197="Finito ritenute non previste",$I197="Finito con sblocco ritenute",$I197="Finito senza sblocco ritenute")),"RITENUTE DA SBLOCCARE; ","")&amp;IF(AND($BA197&gt;0,$BO197&gt;0,$BP197=0),"COSTI DIRETTI NON REGISTRATI; ","")&amp;IF(AND(OR($I197="Finito ritenute non previste",$I197="Finito con sblocco ritenute",$I197="Finito senza sblocco ritenute"),$W197&gt;0,$N197&gt;$W197*PARAMETRI!$B$9),"CANTIERE FINITO CON RESIDUO LAVORI; ","")&amp;IF(AND(OR($I197="Finito ritenute non previste",$I197="Finito con sblocco ritenute",$I197="Finito senza sblocco ritenute"),ANAGRAFICA!$K194=""),"DATA FINE EFFETTIVA MANCANTE; ","")&amp;IF(OR(AND(ANAGRAFICA!$T194&lt;&gt;"",ANAGRAFICA!$J194&lt;&gt;ANAGRAFICA!$T194,OR(ANAGRAFICA!$R194="",ANAGRAFICA!$R194="Nessuna variazione")),AND(ANAGRAFICA!$J194="",ANAGRAFICA!$R194&lt;&gt;"",ANAGRAFICA!$R194&lt;&gt;"Nessuna variazione")),"GESTIONE DATA FINE INCOMPLETA; ","")&amp;IF($Y197="","AGGIORNATO AL MANCANTE; ","")&amp;IF(OR($AZ197="",$BJ197="",$BO197="",ANAGRAFICA!$I194="",ANAGRAFICA!$J194=""),"DATI PREVISIONALI INCOMPLETI; ","")&amp;IF(LEFT($C197,5)="TEMP","CODICE COMMESSA TEMPORANEO; ","")),"DATI INCOMPLETI; ")</f>
        <v/>
      </c>
      <c r="C197" s="17" t="str">
        <f>IF(ANAGRAFICA!$B194="","",ANAGRAFICA!$B194)</f>
        <v/>
      </c>
      <c r="D197" s="17" t="str">
        <f>IF($C197="","",ANAGRAFICA!$C194)</f>
        <v/>
      </c>
      <c r="E197" s="17" t="str">
        <f>IF($C197="","",ANAGRAFICA!$D194)</f>
        <v/>
      </c>
      <c r="F197" s="17" t="str">
        <f>IF($C197="","",ANAGRAFICA!$E194)</f>
        <v/>
      </c>
      <c r="G197" s="17" t="str">
        <f>IF($C197="","",ANAGRAFICA!$F194)</f>
        <v/>
      </c>
      <c r="H197" s="17" t="str">
        <f>IF($C197="","",ANAGRAFICA!$G194)</f>
        <v/>
      </c>
      <c r="I197" s="17" t="str">
        <f>IF($C197="","",ANAGRAFICA!$L194)</f>
        <v/>
      </c>
      <c r="J197" s="16" t="str">
        <f t="shared" si="49"/>
        <v/>
      </c>
      <c r="K197" s="16" t="str">
        <f t="shared" si="50"/>
        <v/>
      </c>
      <c r="L197" s="16" t="str">
        <f t="shared" si="51"/>
        <v/>
      </c>
      <c r="M197" s="16" t="str">
        <f t="shared" si="52"/>
        <v/>
      </c>
      <c r="N197" s="16" t="str">
        <f t="shared" si="53"/>
        <v/>
      </c>
      <c r="O197" s="16" t="str">
        <f t="shared" si="54"/>
        <v/>
      </c>
      <c r="P197" s="17" t="str">
        <f t="shared" si="55"/>
        <v/>
      </c>
      <c r="Q197" s="31" t="str">
        <f>IF(OR($C197="",'BUDGET COMMESSA'!$D194="",'BUDGET COMMESSA'!$D194&lt;=0,ANAGRAFICA!$J194=""),"",IF(OR($I197="Finito ritenute non previste",$I197="Finito con sblocco ritenute",$I197="Finito senza sblocco ritenute"),0,IF(AND($BK197&gt;=$BJ197,ANAGRAFICA!$R194="Ritardo produttivo FIDA"),IF(ANAGRAFICA!$T194&lt;&gt;"",MAX(0,ANAGRAFICA!$J194-ANAGRAFICA!$T194),MAX(0,$Y197-ANAGRAFICA!$J194)),0)))</f>
        <v/>
      </c>
      <c r="R197" s="17" t="str">
        <f t="shared" si="56"/>
        <v/>
      </c>
      <c r="S197" s="17" t="str">
        <f t="shared" si="57"/>
        <v/>
      </c>
      <c r="T197" s="17" t="str">
        <f t="shared" si="58"/>
        <v/>
      </c>
      <c r="U197" s="16" t="str">
        <f t="shared" si="59"/>
        <v/>
      </c>
      <c r="V197" s="16" t="str">
        <f t="shared" si="60"/>
        <v/>
      </c>
      <c r="W197" s="16" t="str">
        <f t="shared" si="61"/>
        <v/>
      </c>
      <c r="X197" s="40"/>
      <c r="Y197" s="14"/>
      <c r="AZ197" t="str">
        <f>IF($C197="","",ANAGRAFICA!$P194)</f>
        <v/>
      </c>
      <c r="BA197" t="str">
        <f>IF($C197="","",SUMIF('MOVIMENTI 2026'!$B$7:$B$4206,$C197,'MOVIMENTI 2026'!$I$7:$I$4206)+SUMIF('SALDI AL 31.12.2025'!$A$6:$A$505,$C197,'SALDI AL 31.12.2025'!$C$6:$C$505))</f>
        <v/>
      </c>
      <c r="BB197" t="str">
        <f>IF($C197="","",SUMIF('MOVIMENTI 2026'!$B$7:$B$4206,$C197,'MOVIMENTI 2026'!$J$7:$J$4206)+SUMIF('SALDI AL 31.12.2025'!$A$6:$A$505,$C197,'SALDI AL 31.12.2025'!$D$6:$D$505))</f>
        <v/>
      </c>
      <c r="BC197" t="str">
        <f>IF($C197="","",SUMIF('MOVIMENTI 2026'!$B$7:$B$4206,$C197,'MOVIMENTI 2026'!$K$7:$K$4206)+SUMIF('SALDI AL 31.12.2025'!$A$6:$A$505,$C197,'SALDI AL 31.12.2025'!$E$6:$E$505))</f>
        <v/>
      </c>
      <c r="BD197" t="str">
        <f>IF($C197="","",SUMIF('MOVIMENTI 2026'!$B$7:$B$4206,$C197,'MOVIMENTI 2026'!$L$7:$L$4206)+SUMIF('SALDI AL 31.12.2025'!$A$6:$A$505,$C197,'SALDI AL 31.12.2025'!$F$6:$F$505))</f>
        <v/>
      </c>
      <c r="BE197" t="str">
        <f t="shared" si="62"/>
        <v/>
      </c>
      <c r="BF197" t="str">
        <f t="shared" si="63"/>
        <v/>
      </c>
      <c r="BG197" t="str">
        <f t="shared" si="64"/>
        <v/>
      </c>
      <c r="BH197" t="str">
        <f>IFERROR(IF(OR($C197="",ANAGRAFICA!$I194="",ANAGRAFICA!$J194="",ANAGRAFICA!$J194&lt;=ANAGRAFICA!$I194,$Y197=""),"",IF(OR($I197="Finito ritenute non previste",$I197="Finito con sblocco ritenute",$I197="Finito senza sblocco ritenute"),1,MAX(0,MIN(1,($Y197-ANAGRAFICA!$I194)/(ANAGRAFICA!$J194-ANAGRAFICA!$I194))))),"")</f>
        <v/>
      </c>
      <c r="BI197" t="str">
        <f t="shared" si="65"/>
        <v/>
      </c>
      <c r="BJ197" t="str">
        <f>IFERROR(IF($C197="","",'BUDGET COMMESSA'!$D194),"")</f>
        <v/>
      </c>
      <c r="BK197" t="str">
        <f>IF($C197="","",SUMIF('MOVIMENTI 2026'!$B$7:$B$4206,$C197,'MOVIMENTI 2026'!$N$7:$N$4206)+SUMIF('SALDI AL 31.12.2025'!$A$6:$A$505,$C197,'SALDI AL 31.12.2025'!$H$6:$H$505))</f>
        <v/>
      </c>
      <c r="BL197" t="str">
        <f t="shared" si="66"/>
        <v/>
      </c>
      <c r="BM197" t="str">
        <f t="shared" si="67"/>
        <v/>
      </c>
      <c r="BN197" t="str">
        <f t="shared" si="68"/>
        <v/>
      </c>
      <c r="BO197" t="str">
        <f>IFERROR(IF($C197="","",'BUDGET COMMESSA'!$G194),"")</f>
        <v/>
      </c>
      <c r="BP197" t="str">
        <f>IF($C197="","",SUMIF('COSTI DIRETTI'!$C$6:$C$505,$C197,'COSTI DIRETTI'!$H$6:$H$505)+SUMIF('SALDI AL 31.12.2025'!$A$6:$A$505,$C197,'SALDI AL 31.12.2025'!$I$6:$I$505))</f>
        <v/>
      </c>
      <c r="BQ197" t="str">
        <f t="shared" si="69"/>
        <v/>
      </c>
      <c r="BR197" t="str">
        <f t="shared" si="70"/>
        <v/>
      </c>
      <c r="BS197" t="str">
        <f>IF($C197="","",$BK197*PARAMETRI!$B$4+$BP197)</f>
        <v/>
      </c>
      <c r="BT197">
        <f t="shared" si="71"/>
        <v>0</v>
      </c>
      <c r="BU197">
        <f t="shared" si="72"/>
        <v>0</v>
      </c>
      <c r="BV197" t="str">
        <f>IF($C197="","",SUMIF('MOVIMENTI 2026'!$B$7:$B$4206,$C197,'MOVIMENTI 2026'!$P$7:$P$4206)+SUMIF('SALDI AL 31.12.2025'!$A$6:$A$505,$C197,'SALDI AL 31.12.2025'!$G$6:$G$505))</f>
        <v/>
      </c>
    </row>
    <row r="198" spans="1:74" ht="16" x14ac:dyDescent="0.15">
      <c r="A198" s="17" t="str">
        <f>IFERROR(IF($C198="","",IF(OR($BF198&gt;0,$V198&gt;$J198,AND(ISNUMBER($Q198),$Q198&gt;0),AND($BI198&lt;&gt;"",$BI198&lt;-PARAMETRI!$B$6),AND($BM198&lt;&gt;"",$BM198&gt;=1),AND($BN198&lt;&gt;"",$BN198&gt;PARAMETRI!$B$8),AND(ISNUMBER($BR198),$BR198&gt;0)),"CRITICO",IF(OR($AZ198="",LEFT($C198,5)="TEMP",$BJ198="",$BO198="",ANAGRAFICA!$I195="",ANAGRAFICA!$J195="",$Y198="",AND(OR($I198="Finito ritenute non previste",$I198="Finito con sblocco ritenute",$I198="Finito senza sblocco ritenute"),ANAGRAFICA!$K195=""),OR(AND(ANAGRAFICA!$T195&lt;&gt;"",ANAGRAFICA!$J195&lt;&gt;ANAGRAFICA!$T195,OR(ANAGRAFICA!$R195="",ANAGRAFICA!$R195="Nessuna variazione")),AND(ANAGRAFICA!$J195="",ANAGRAFICA!$R195&lt;&gt;"",ANAGRAFICA!$R195&lt;&gt;"Nessuna variazione")),AND($BI198&lt;&gt;"",$BI198&lt;-PARAMETRI!$B$5),AND($BN198&lt;&gt;"",$BN198&gt;PARAMETRI!$B$7),AND($W198&gt;0,$M198&gt;$W198*PARAMETRI!$B$9),AND($O198&gt;0,OR($I198="Finito ritenute non previste",$I198="Finito con sblocco ritenute",$I198="Finito senza sblocco ritenute")),AND($BA198&gt;0,$BO198&gt;0,$BP198=0),AND(OR($I198="Finito ritenute non previste",$I198="Finito con sblocco ritenute",$I198="Finito senza sblocco ritenute"),$W198&gt;0,$N198&gt;$W198*PARAMETRI!$B$9),$V198&gt;0),"ATTENZIONE","REGOLARE"))),"ATTENZIONE")</f>
        <v/>
      </c>
      <c r="B198" s="17" t="str">
        <f>IFERROR(IF($C198="","",IF($BF198&gt;0,"FATTURATO OLTRE VALORE RECUPERABILE; ","")&amp;IF($V198&gt;$J198,"PERDITE ACCETTATE OLTRE CONTRATTO; ","")&amp;IF($V198&gt;0,"PERDITA SAL ACCETTATA (€ "&amp;TEXT($V198,"#,##0.00")&amp;"); ","")&amp;IF(AND(ISNUMBER($Q198),$Q198&gt;0),"RITARDO PRODUTTIVO ("&amp;TEXT($Q198,"0")&amp;" GG); ","")&amp;IF(AND($BI198&lt;&gt;"",$BI198&lt;-PARAMETRI!$B$5),"AVANZAMENTO PIÙ LENTO DEL TEMPO; ","")&amp;IF(AND($BM198&lt;&gt;"",$BM198&gt;1),"ORE OLTRE BUDGET; ","")&amp;IF(AND($BM198&lt;&gt;"",$BM198=1),"ORE PREVENTIVATE ESAURITE; ","")&amp;IF(AND($BN198&lt;&gt;"",$BN198&gt;PARAMETRI!$B$7),"CONSUMO ORE SUPERIORE ALL'AVANZAMENTO; ","")&amp;IF(AND(ISNUMBER($BR198),$BR198&gt;0),"COSTI DIRETTI OLTRE BUDGET; ","")&amp;IF(AND($W198&gt;0,$M198&gt;$W198*PARAMETRI!$B$9),"SAL MATURATO NON FATTURATO; ","")&amp;IF(AND($O198&gt;0,OR($I198="Finito ritenute non previste",$I198="Finito con sblocco ritenute",$I198="Finito senza sblocco ritenute")),"RITENUTE DA SBLOCCARE; ","")&amp;IF(AND($BA198&gt;0,$BO198&gt;0,$BP198=0),"COSTI DIRETTI NON REGISTRATI; ","")&amp;IF(AND(OR($I198="Finito ritenute non previste",$I198="Finito con sblocco ritenute",$I198="Finito senza sblocco ritenute"),$W198&gt;0,$N198&gt;$W198*PARAMETRI!$B$9),"CANTIERE FINITO CON RESIDUO LAVORI; ","")&amp;IF(AND(OR($I198="Finito ritenute non previste",$I198="Finito con sblocco ritenute",$I198="Finito senza sblocco ritenute"),ANAGRAFICA!$K195=""),"DATA FINE EFFETTIVA MANCANTE; ","")&amp;IF(OR(AND(ANAGRAFICA!$T195&lt;&gt;"",ANAGRAFICA!$J195&lt;&gt;ANAGRAFICA!$T195,OR(ANAGRAFICA!$R195="",ANAGRAFICA!$R195="Nessuna variazione")),AND(ANAGRAFICA!$J195="",ANAGRAFICA!$R195&lt;&gt;"",ANAGRAFICA!$R195&lt;&gt;"Nessuna variazione")),"GESTIONE DATA FINE INCOMPLETA; ","")&amp;IF($Y198="","AGGIORNATO AL MANCANTE; ","")&amp;IF(OR($AZ198="",$BJ198="",$BO198="",ANAGRAFICA!$I195="",ANAGRAFICA!$J195=""),"DATI PREVISIONALI INCOMPLETI; ","")&amp;IF(LEFT($C198,5)="TEMP","CODICE COMMESSA TEMPORANEO; ","")),"DATI INCOMPLETI; ")</f>
        <v/>
      </c>
      <c r="C198" s="17" t="str">
        <f>IF(ANAGRAFICA!$B195="","",ANAGRAFICA!$B195)</f>
        <v/>
      </c>
      <c r="D198" s="17" t="str">
        <f>IF($C198="","",ANAGRAFICA!$C195)</f>
        <v/>
      </c>
      <c r="E198" s="17" t="str">
        <f>IF($C198="","",ANAGRAFICA!$D195)</f>
        <v/>
      </c>
      <c r="F198" s="17" t="str">
        <f>IF($C198="","",ANAGRAFICA!$E195)</f>
        <v/>
      </c>
      <c r="G198" s="17" t="str">
        <f>IF($C198="","",ANAGRAFICA!$F195)</f>
        <v/>
      </c>
      <c r="H198" s="17" t="str">
        <f>IF($C198="","",ANAGRAFICA!$G195)</f>
        <v/>
      </c>
      <c r="I198" s="17" t="str">
        <f>IF($C198="","",ANAGRAFICA!$L195)</f>
        <v/>
      </c>
      <c r="J198" s="16" t="str">
        <f t="shared" si="49"/>
        <v/>
      </c>
      <c r="K198" s="16" t="str">
        <f t="shared" si="50"/>
        <v/>
      </c>
      <c r="L198" s="16" t="str">
        <f t="shared" si="51"/>
        <v/>
      </c>
      <c r="M198" s="16" t="str">
        <f t="shared" si="52"/>
        <v/>
      </c>
      <c r="N198" s="16" t="str">
        <f t="shared" si="53"/>
        <v/>
      </c>
      <c r="O198" s="16" t="str">
        <f t="shared" si="54"/>
        <v/>
      </c>
      <c r="P198" s="17" t="str">
        <f t="shared" si="55"/>
        <v/>
      </c>
      <c r="Q198" s="31" t="str">
        <f>IF(OR($C198="",'BUDGET COMMESSA'!$D195="",'BUDGET COMMESSA'!$D195&lt;=0,ANAGRAFICA!$J195=""),"",IF(OR($I198="Finito ritenute non previste",$I198="Finito con sblocco ritenute",$I198="Finito senza sblocco ritenute"),0,IF(AND($BK198&gt;=$BJ198,ANAGRAFICA!$R195="Ritardo produttivo FIDA"),IF(ANAGRAFICA!$T195&lt;&gt;"",MAX(0,ANAGRAFICA!$J195-ANAGRAFICA!$T195),MAX(0,$Y198-ANAGRAFICA!$J195)),0)))</f>
        <v/>
      </c>
      <c r="R198" s="17" t="str">
        <f t="shared" si="56"/>
        <v/>
      </c>
      <c r="S198" s="17" t="str">
        <f t="shared" si="57"/>
        <v/>
      </c>
      <c r="T198" s="17" t="str">
        <f t="shared" si="58"/>
        <v/>
      </c>
      <c r="U198" s="16" t="str">
        <f t="shared" si="59"/>
        <v/>
      </c>
      <c r="V198" s="16" t="str">
        <f t="shared" si="60"/>
        <v/>
      </c>
      <c r="W198" s="16" t="str">
        <f t="shared" si="61"/>
        <v/>
      </c>
      <c r="X198" s="40"/>
      <c r="Y198" s="14"/>
      <c r="AZ198" t="str">
        <f>IF($C198="","",ANAGRAFICA!$P195)</f>
        <v/>
      </c>
      <c r="BA198" t="str">
        <f>IF($C198="","",SUMIF('MOVIMENTI 2026'!$B$7:$B$4206,$C198,'MOVIMENTI 2026'!$I$7:$I$4206)+SUMIF('SALDI AL 31.12.2025'!$A$6:$A$505,$C198,'SALDI AL 31.12.2025'!$C$6:$C$505))</f>
        <v/>
      </c>
      <c r="BB198" t="str">
        <f>IF($C198="","",SUMIF('MOVIMENTI 2026'!$B$7:$B$4206,$C198,'MOVIMENTI 2026'!$J$7:$J$4206)+SUMIF('SALDI AL 31.12.2025'!$A$6:$A$505,$C198,'SALDI AL 31.12.2025'!$D$6:$D$505))</f>
        <v/>
      </c>
      <c r="BC198" t="str">
        <f>IF($C198="","",SUMIF('MOVIMENTI 2026'!$B$7:$B$4206,$C198,'MOVIMENTI 2026'!$K$7:$K$4206)+SUMIF('SALDI AL 31.12.2025'!$A$6:$A$505,$C198,'SALDI AL 31.12.2025'!$E$6:$E$505))</f>
        <v/>
      </c>
      <c r="BD198" t="str">
        <f>IF($C198="","",SUMIF('MOVIMENTI 2026'!$B$7:$B$4206,$C198,'MOVIMENTI 2026'!$L$7:$L$4206)+SUMIF('SALDI AL 31.12.2025'!$A$6:$A$505,$C198,'SALDI AL 31.12.2025'!$F$6:$F$505))</f>
        <v/>
      </c>
      <c r="BE198" t="str">
        <f t="shared" si="62"/>
        <v/>
      </c>
      <c r="BF198" t="str">
        <f t="shared" si="63"/>
        <v/>
      </c>
      <c r="BG198" t="str">
        <f t="shared" si="64"/>
        <v/>
      </c>
      <c r="BH198" t="str">
        <f>IFERROR(IF(OR($C198="",ANAGRAFICA!$I195="",ANAGRAFICA!$J195="",ANAGRAFICA!$J195&lt;=ANAGRAFICA!$I195,$Y198=""),"",IF(OR($I198="Finito ritenute non previste",$I198="Finito con sblocco ritenute",$I198="Finito senza sblocco ritenute"),1,MAX(0,MIN(1,($Y198-ANAGRAFICA!$I195)/(ANAGRAFICA!$J195-ANAGRAFICA!$I195))))),"")</f>
        <v/>
      </c>
      <c r="BI198" t="str">
        <f t="shared" si="65"/>
        <v/>
      </c>
      <c r="BJ198" t="str">
        <f>IFERROR(IF($C198="","",'BUDGET COMMESSA'!$D195),"")</f>
        <v/>
      </c>
      <c r="BK198" t="str">
        <f>IF($C198="","",SUMIF('MOVIMENTI 2026'!$B$7:$B$4206,$C198,'MOVIMENTI 2026'!$N$7:$N$4206)+SUMIF('SALDI AL 31.12.2025'!$A$6:$A$505,$C198,'SALDI AL 31.12.2025'!$H$6:$H$505))</f>
        <v/>
      </c>
      <c r="BL198" t="str">
        <f t="shared" si="66"/>
        <v/>
      </c>
      <c r="BM198" t="str">
        <f t="shared" si="67"/>
        <v/>
      </c>
      <c r="BN198" t="str">
        <f t="shared" si="68"/>
        <v/>
      </c>
      <c r="BO198" t="str">
        <f>IFERROR(IF($C198="","",'BUDGET COMMESSA'!$G195),"")</f>
        <v/>
      </c>
      <c r="BP198" t="str">
        <f>IF($C198="","",SUMIF('COSTI DIRETTI'!$C$6:$C$505,$C198,'COSTI DIRETTI'!$H$6:$H$505)+SUMIF('SALDI AL 31.12.2025'!$A$6:$A$505,$C198,'SALDI AL 31.12.2025'!$I$6:$I$505))</f>
        <v/>
      </c>
      <c r="BQ198" t="str">
        <f t="shared" si="69"/>
        <v/>
      </c>
      <c r="BR198" t="str">
        <f t="shared" si="70"/>
        <v/>
      </c>
      <c r="BS198" t="str">
        <f>IF($C198="","",$BK198*PARAMETRI!$B$4+$BP198)</f>
        <v/>
      </c>
      <c r="BT198">
        <f t="shared" si="71"/>
        <v>0</v>
      </c>
      <c r="BU198">
        <f t="shared" si="72"/>
        <v>0</v>
      </c>
      <c r="BV198" t="str">
        <f>IF($C198="","",SUMIF('MOVIMENTI 2026'!$B$7:$B$4206,$C198,'MOVIMENTI 2026'!$P$7:$P$4206)+SUMIF('SALDI AL 31.12.2025'!$A$6:$A$505,$C198,'SALDI AL 31.12.2025'!$G$6:$G$505))</f>
        <v/>
      </c>
    </row>
    <row r="199" spans="1:74" ht="16" x14ac:dyDescent="0.15">
      <c r="A199" s="17" t="str">
        <f>IFERROR(IF($C199="","",IF(OR($BF199&gt;0,$V199&gt;$J199,AND(ISNUMBER($Q199),$Q199&gt;0),AND($BI199&lt;&gt;"",$BI199&lt;-PARAMETRI!$B$6),AND($BM199&lt;&gt;"",$BM199&gt;=1),AND($BN199&lt;&gt;"",$BN199&gt;PARAMETRI!$B$8),AND(ISNUMBER($BR199),$BR199&gt;0)),"CRITICO",IF(OR($AZ199="",LEFT($C199,5)="TEMP",$BJ199="",$BO199="",ANAGRAFICA!$I196="",ANAGRAFICA!$J196="",$Y199="",AND(OR($I199="Finito ritenute non previste",$I199="Finito con sblocco ritenute",$I199="Finito senza sblocco ritenute"),ANAGRAFICA!$K196=""),OR(AND(ANAGRAFICA!$T196&lt;&gt;"",ANAGRAFICA!$J196&lt;&gt;ANAGRAFICA!$T196,OR(ANAGRAFICA!$R196="",ANAGRAFICA!$R196="Nessuna variazione")),AND(ANAGRAFICA!$J196="",ANAGRAFICA!$R196&lt;&gt;"",ANAGRAFICA!$R196&lt;&gt;"Nessuna variazione")),AND($BI199&lt;&gt;"",$BI199&lt;-PARAMETRI!$B$5),AND($BN199&lt;&gt;"",$BN199&gt;PARAMETRI!$B$7),AND($W199&gt;0,$M199&gt;$W199*PARAMETRI!$B$9),AND($O199&gt;0,OR($I199="Finito ritenute non previste",$I199="Finito con sblocco ritenute",$I199="Finito senza sblocco ritenute")),AND($BA199&gt;0,$BO199&gt;0,$BP199=0),AND(OR($I199="Finito ritenute non previste",$I199="Finito con sblocco ritenute",$I199="Finito senza sblocco ritenute"),$W199&gt;0,$N199&gt;$W199*PARAMETRI!$B$9),$V199&gt;0),"ATTENZIONE","REGOLARE"))),"ATTENZIONE")</f>
        <v/>
      </c>
      <c r="B199" s="17" t="str">
        <f>IFERROR(IF($C199="","",IF($BF199&gt;0,"FATTURATO OLTRE VALORE RECUPERABILE; ","")&amp;IF($V199&gt;$J199,"PERDITE ACCETTATE OLTRE CONTRATTO; ","")&amp;IF($V199&gt;0,"PERDITA SAL ACCETTATA (€ "&amp;TEXT($V199,"#,##0.00")&amp;"); ","")&amp;IF(AND(ISNUMBER($Q199),$Q199&gt;0),"RITARDO PRODUTTIVO ("&amp;TEXT($Q199,"0")&amp;" GG); ","")&amp;IF(AND($BI199&lt;&gt;"",$BI199&lt;-PARAMETRI!$B$5),"AVANZAMENTO PIÙ LENTO DEL TEMPO; ","")&amp;IF(AND($BM199&lt;&gt;"",$BM199&gt;1),"ORE OLTRE BUDGET; ","")&amp;IF(AND($BM199&lt;&gt;"",$BM199=1),"ORE PREVENTIVATE ESAURITE; ","")&amp;IF(AND($BN199&lt;&gt;"",$BN199&gt;PARAMETRI!$B$7),"CONSUMO ORE SUPERIORE ALL'AVANZAMENTO; ","")&amp;IF(AND(ISNUMBER($BR199),$BR199&gt;0),"COSTI DIRETTI OLTRE BUDGET; ","")&amp;IF(AND($W199&gt;0,$M199&gt;$W199*PARAMETRI!$B$9),"SAL MATURATO NON FATTURATO; ","")&amp;IF(AND($O199&gt;0,OR($I199="Finito ritenute non previste",$I199="Finito con sblocco ritenute",$I199="Finito senza sblocco ritenute")),"RITENUTE DA SBLOCCARE; ","")&amp;IF(AND($BA199&gt;0,$BO199&gt;0,$BP199=0),"COSTI DIRETTI NON REGISTRATI; ","")&amp;IF(AND(OR($I199="Finito ritenute non previste",$I199="Finito con sblocco ritenute",$I199="Finito senza sblocco ritenute"),$W199&gt;0,$N199&gt;$W199*PARAMETRI!$B$9),"CANTIERE FINITO CON RESIDUO LAVORI; ","")&amp;IF(AND(OR($I199="Finito ritenute non previste",$I199="Finito con sblocco ritenute",$I199="Finito senza sblocco ritenute"),ANAGRAFICA!$K196=""),"DATA FINE EFFETTIVA MANCANTE; ","")&amp;IF(OR(AND(ANAGRAFICA!$T196&lt;&gt;"",ANAGRAFICA!$J196&lt;&gt;ANAGRAFICA!$T196,OR(ANAGRAFICA!$R196="",ANAGRAFICA!$R196="Nessuna variazione")),AND(ANAGRAFICA!$J196="",ANAGRAFICA!$R196&lt;&gt;"",ANAGRAFICA!$R196&lt;&gt;"Nessuna variazione")),"GESTIONE DATA FINE INCOMPLETA; ","")&amp;IF($Y199="","AGGIORNATO AL MANCANTE; ","")&amp;IF(OR($AZ199="",$BJ199="",$BO199="",ANAGRAFICA!$I196="",ANAGRAFICA!$J196=""),"DATI PREVISIONALI INCOMPLETI; ","")&amp;IF(LEFT($C199,5)="TEMP","CODICE COMMESSA TEMPORANEO; ","")),"DATI INCOMPLETI; ")</f>
        <v/>
      </c>
      <c r="C199" s="17" t="str">
        <f>IF(ANAGRAFICA!$B196="","",ANAGRAFICA!$B196)</f>
        <v/>
      </c>
      <c r="D199" s="17" t="str">
        <f>IF($C199="","",ANAGRAFICA!$C196)</f>
        <v/>
      </c>
      <c r="E199" s="17" t="str">
        <f>IF($C199="","",ANAGRAFICA!$D196)</f>
        <v/>
      </c>
      <c r="F199" s="17" t="str">
        <f>IF($C199="","",ANAGRAFICA!$E196)</f>
        <v/>
      </c>
      <c r="G199" s="17" t="str">
        <f>IF($C199="","",ANAGRAFICA!$F196)</f>
        <v/>
      </c>
      <c r="H199" s="17" t="str">
        <f>IF($C199="","",ANAGRAFICA!$G196)</f>
        <v/>
      </c>
      <c r="I199" s="17" t="str">
        <f>IF($C199="","",ANAGRAFICA!$L196)</f>
        <v/>
      </c>
      <c r="J199" s="16" t="str">
        <f t="shared" si="49"/>
        <v/>
      </c>
      <c r="K199" s="16" t="str">
        <f t="shared" si="50"/>
        <v/>
      </c>
      <c r="L199" s="16" t="str">
        <f t="shared" si="51"/>
        <v/>
      </c>
      <c r="M199" s="16" t="str">
        <f t="shared" si="52"/>
        <v/>
      </c>
      <c r="N199" s="16" t="str">
        <f t="shared" si="53"/>
        <v/>
      </c>
      <c r="O199" s="16" t="str">
        <f t="shared" si="54"/>
        <v/>
      </c>
      <c r="P199" s="17" t="str">
        <f t="shared" si="55"/>
        <v/>
      </c>
      <c r="Q199" s="31" t="str">
        <f>IF(OR($C199="",'BUDGET COMMESSA'!$D196="",'BUDGET COMMESSA'!$D196&lt;=0,ANAGRAFICA!$J196=""),"",IF(OR($I199="Finito ritenute non previste",$I199="Finito con sblocco ritenute",$I199="Finito senza sblocco ritenute"),0,IF(AND($BK199&gt;=$BJ199,ANAGRAFICA!$R196="Ritardo produttivo FIDA"),IF(ANAGRAFICA!$T196&lt;&gt;"",MAX(0,ANAGRAFICA!$J196-ANAGRAFICA!$T196),MAX(0,$Y199-ANAGRAFICA!$J196)),0)))</f>
        <v/>
      </c>
      <c r="R199" s="17" t="str">
        <f t="shared" si="56"/>
        <v/>
      </c>
      <c r="S199" s="17" t="str">
        <f t="shared" si="57"/>
        <v/>
      </c>
      <c r="T199" s="17" t="str">
        <f t="shared" si="58"/>
        <v/>
      </c>
      <c r="U199" s="16" t="str">
        <f t="shared" si="59"/>
        <v/>
      </c>
      <c r="V199" s="16" t="str">
        <f t="shared" si="60"/>
        <v/>
      </c>
      <c r="W199" s="16" t="str">
        <f t="shared" si="61"/>
        <v/>
      </c>
      <c r="X199" s="40"/>
      <c r="Y199" s="14"/>
      <c r="AZ199" t="str">
        <f>IF($C199="","",ANAGRAFICA!$P196)</f>
        <v/>
      </c>
      <c r="BA199" t="str">
        <f>IF($C199="","",SUMIF('MOVIMENTI 2026'!$B$7:$B$4206,$C199,'MOVIMENTI 2026'!$I$7:$I$4206)+SUMIF('SALDI AL 31.12.2025'!$A$6:$A$505,$C199,'SALDI AL 31.12.2025'!$C$6:$C$505))</f>
        <v/>
      </c>
      <c r="BB199" t="str">
        <f>IF($C199="","",SUMIF('MOVIMENTI 2026'!$B$7:$B$4206,$C199,'MOVIMENTI 2026'!$J$7:$J$4206)+SUMIF('SALDI AL 31.12.2025'!$A$6:$A$505,$C199,'SALDI AL 31.12.2025'!$D$6:$D$505))</f>
        <v/>
      </c>
      <c r="BC199" t="str">
        <f>IF($C199="","",SUMIF('MOVIMENTI 2026'!$B$7:$B$4206,$C199,'MOVIMENTI 2026'!$K$7:$K$4206)+SUMIF('SALDI AL 31.12.2025'!$A$6:$A$505,$C199,'SALDI AL 31.12.2025'!$E$6:$E$505))</f>
        <v/>
      </c>
      <c r="BD199" t="str">
        <f>IF($C199="","",SUMIF('MOVIMENTI 2026'!$B$7:$B$4206,$C199,'MOVIMENTI 2026'!$L$7:$L$4206)+SUMIF('SALDI AL 31.12.2025'!$A$6:$A$505,$C199,'SALDI AL 31.12.2025'!$F$6:$F$505))</f>
        <v/>
      </c>
      <c r="BE199" t="str">
        <f t="shared" si="62"/>
        <v/>
      </c>
      <c r="BF199" t="str">
        <f t="shared" si="63"/>
        <v/>
      </c>
      <c r="BG199" t="str">
        <f t="shared" si="64"/>
        <v/>
      </c>
      <c r="BH199" t="str">
        <f>IFERROR(IF(OR($C199="",ANAGRAFICA!$I196="",ANAGRAFICA!$J196="",ANAGRAFICA!$J196&lt;=ANAGRAFICA!$I196,$Y199=""),"",IF(OR($I199="Finito ritenute non previste",$I199="Finito con sblocco ritenute",$I199="Finito senza sblocco ritenute"),1,MAX(0,MIN(1,($Y199-ANAGRAFICA!$I196)/(ANAGRAFICA!$J196-ANAGRAFICA!$I196))))),"")</f>
        <v/>
      </c>
      <c r="BI199" t="str">
        <f t="shared" si="65"/>
        <v/>
      </c>
      <c r="BJ199" t="str">
        <f>IFERROR(IF($C199="","",'BUDGET COMMESSA'!$D196),"")</f>
        <v/>
      </c>
      <c r="BK199" t="str">
        <f>IF($C199="","",SUMIF('MOVIMENTI 2026'!$B$7:$B$4206,$C199,'MOVIMENTI 2026'!$N$7:$N$4206)+SUMIF('SALDI AL 31.12.2025'!$A$6:$A$505,$C199,'SALDI AL 31.12.2025'!$H$6:$H$505))</f>
        <v/>
      </c>
      <c r="BL199" t="str">
        <f t="shared" si="66"/>
        <v/>
      </c>
      <c r="BM199" t="str">
        <f t="shared" si="67"/>
        <v/>
      </c>
      <c r="BN199" t="str">
        <f t="shared" si="68"/>
        <v/>
      </c>
      <c r="BO199" t="str">
        <f>IFERROR(IF($C199="","",'BUDGET COMMESSA'!$G196),"")</f>
        <v/>
      </c>
      <c r="BP199" t="str">
        <f>IF($C199="","",SUMIF('COSTI DIRETTI'!$C$6:$C$505,$C199,'COSTI DIRETTI'!$H$6:$H$505)+SUMIF('SALDI AL 31.12.2025'!$A$6:$A$505,$C199,'SALDI AL 31.12.2025'!$I$6:$I$505))</f>
        <v/>
      </c>
      <c r="BQ199" t="str">
        <f t="shared" si="69"/>
        <v/>
      </c>
      <c r="BR199" t="str">
        <f t="shared" si="70"/>
        <v/>
      </c>
      <c r="BS199" t="str">
        <f>IF($C199="","",$BK199*PARAMETRI!$B$4+$BP199)</f>
        <v/>
      </c>
      <c r="BT199">
        <f t="shared" si="71"/>
        <v>0</v>
      </c>
      <c r="BU199">
        <f t="shared" si="72"/>
        <v>0</v>
      </c>
      <c r="BV199" t="str">
        <f>IF($C199="","",SUMIF('MOVIMENTI 2026'!$B$7:$B$4206,$C199,'MOVIMENTI 2026'!$P$7:$P$4206)+SUMIF('SALDI AL 31.12.2025'!$A$6:$A$505,$C199,'SALDI AL 31.12.2025'!$G$6:$G$505))</f>
        <v/>
      </c>
    </row>
    <row r="200" spans="1:74" ht="16" x14ac:dyDescent="0.15">
      <c r="A200" s="17" t="str">
        <f>IFERROR(IF($C200="","",IF(OR($BF200&gt;0,$V200&gt;$J200,AND(ISNUMBER($Q200),$Q200&gt;0),AND($BI200&lt;&gt;"",$BI200&lt;-PARAMETRI!$B$6),AND($BM200&lt;&gt;"",$BM200&gt;=1),AND($BN200&lt;&gt;"",$BN200&gt;PARAMETRI!$B$8),AND(ISNUMBER($BR200),$BR200&gt;0)),"CRITICO",IF(OR($AZ200="",LEFT($C200,5)="TEMP",$BJ200="",$BO200="",ANAGRAFICA!$I197="",ANAGRAFICA!$J197="",$Y200="",AND(OR($I200="Finito ritenute non previste",$I200="Finito con sblocco ritenute",$I200="Finito senza sblocco ritenute"),ANAGRAFICA!$K197=""),OR(AND(ANAGRAFICA!$T197&lt;&gt;"",ANAGRAFICA!$J197&lt;&gt;ANAGRAFICA!$T197,OR(ANAGRAFICA!$R197="",ANAGRAFICA!$R197="Nessuna variazione")),AND(ANAGRAFICA!$J197="",ANAGRAFICA!$R197&lt;&gt;"",ANAGRAFICA!$R197&lt;&gt;"Nessuna variazione")),AND($BI200&lt;&gt;"",$BI200&lt;-PARAMETRI!$B$5),AND($BN200&lt;&gt;"",$BN200&gt;PARAMETRI!$B$7),AND($W200&gt;0,$M200&gt;$W200*PARAMETRI!$B$9),AND($O200&gt;0,OR($I200="Finito ritenute non previste",$I200="Finito con sblocco ritenute",$I200="Finito senza sblocco ritenute")),AND($BA200&gt;0,$BO200&gt;0,$BP200=0),AND(OR($I200="Finito ritenute non previste",$I200="Finito con sblocco ritenute",$I200="Finito senza sblocco ritenute"),$W200&gt;0,$N200&gt;$W200*PARAMETRI!$B$9),$V200&gt;0),"ATTENZIONE","REGOLARE"))),"ATTENZIONE")</f>
        <v/>
      </c>
      <c r="B200" s="17" t="str">
        <f>IFERROR(IF($C200="","",IF($BF200&gt;0,"FATTURATO OLTRE VALORE RECUPERABILE; ","")&amp;IF($V200&gt;$J200,"PERDITE ACCETTATE OLTRE CONTRATTO; ","")&amp;IF($V200&gt;0,"PERDITA SAL ACCETTATA (€ "&amp;TEXT($V200,"#,##0.00")&amp;"); ","")&amp;IF(AND(ISNUMBER($Q200),$Q200&gt;0),"RITARDO PRODUTTIVO ("&amp;TEXT($Q200,"0")&amp;" GG); ","")&amp;IF(AND($BI200&lt;&gt;"",$BI200&lt;-PARAMETRI!$B$5),"AVANZAMENTO PIÙ LENTO DEL TEMPO; ","")&amp;IF(AND($BM200&lt;&gt;"",$BM200&gt;1),"ORE OLTRE BUDGET; ","")&amp;IF(AND($BM200&lt;&gt;"",$BM200=1),"ORE PREVENTIVATE ESAURITE; ","")&amp;IF(AND($BN200&lt;&gt;"",$BN200&gt;PARAMETRI!$B$7),"CONSUMO ORE SUPERIORE ALL'AVANZAMENTO; ","")&amp;IF(AND(ISNUMBER($BR200),$BR200&gt;0),"COSTI DIRETTI OLTRE BUDGET; ","")&amp;IF(AND($W200&gt;0,$M200&gt;$W200*PARAMETRI!$B$9),"SAL MATURATO NON FATTURATO; ","")&amp;IF(AND($O200&gt;0,OR($I200="Finito ritenute non previste",$I200="Finito con sblocco ritenute",$I200="Finito senza sblocco ritenute")),"RITENUTE DA SBLOCCARE; ","")&amp;IF(AND($BA200&gt;0,$BO200&gt;0,$BP200=0),"COSTI DIRETTI NON REGISTRATI; ","")&amp;IF(AND(OR($I200="Finito ritenute non previste",$I200="Finito con sblocco ritenute",$I200="Finito senza sblocco ritenute"),$W200&gt;0,$N200&gt;$W200*PARAMETRI!$B$9),"CANTIERE FINITO CON RESIDUO LAVORI; ","")&amp;IF(AND(OR($I200="Finito ritenute non previste",$I200="Finito con sblocco ritenute",$I200="Finito senza sblocco ritenute"),ANAGRAFICA!$K197=""),"DATA FINE EFFETTIVA MANCANTE; ","")&amp;IF(OR(AND(ANAGRAFICA!$T197&lt;&gt;"",ANAGRAFICA!$J197&lt;&gt;ANAGRAFICA!$T197,OR(ANAGRAFICA!$R197="",ANAGRAFICA!$R197="Nessuna variazione")),AND(ANAGRAFICA!$J197="",ANAGRAFICA!$R197&lt;&gt;"",ANAGRAFICA!$R197&lt;&gt;"Nessuna variazione")),"GESTIONE DATA FINE INCOMPLETA; ","")&amp;IF($Y200="","AGGIORNATO AL MANCANTE; ","")&amp;IF(OR($AZ200="",$BJ200="",$BO200="",ANAGRAFICA!$I197="",ANAGRAFICA!$J197=""),"DATI PREVISIONALI INCOMPLETI; ","")&amp;IF(LEFT($C200,5)="TEMP","CODICE COMMESSA TEMPORANEO; ","")),"DATI INCOMPLETI; ")</f>
        <v/>
      </c>
      <c r="C200" s="17" t="str">
        <f>IF(ANAGRAFICA!$B197="","",ANAGRAFICA!$B197)</f>
        <v/>
      </c>
      <c r="D200" s="17" t="str">
        <f>IF($C200="","",ANAGRAFICA!$C197)</f>
        <v/>
      </c>
      <c r="E200" s="17" t="str">
        <f>IF($C200="","",ANAGRAFICA!$D197)</f>
        <v/>
      </c>
      <c r="F200" s="17" t="str">
        <f>IF($C200="","",ANAGRAFICA!$E197)</f>
        <v/>
      </c>
      <c r="G200" s="17" t="str">
        <f>IF($C200="","",ANAGRAFICA!$F197)</f>
        <v/>
      </c>
      <c r="H200" s="17" t="str">
        <f>IF($C200="","",ANAGRAFICA!$G197)</f>
        <v/>
      </c>
      <c r="I200" s="17" t="str">
        <f>IF($C200="","",ANAGRAFICA!$L197)</f>
        <v/>
      </c>
      <c r="J200" s="16" t="str">
        <f t="shared" si="49"/>
        <v/>
      </c>
      <c r="K200" s="16" t="str">
        <f t="shared" si="50"/>
        <v/>
      </c>
      <c r="L200" s="16" t="str">
        <f t="shared" si="51"/>
        <v/>
      </c>
      <c r="M200" s="16" t="str">
        <f t="shared" si="52"/>
        <v/>
      </c>
      <c r="N200" s="16" t="str">
        <f t="shared" si="53"/>
        <v/>
      </c>
      <c r="O200" s="16" t="str">
        <f t="shared" si="54"/>
        <v/>
      </c>
      <c r="P200" s="17" t="str">
        <f t="shared" si="55"/>
        <v/>
      </c>
      <c r="Q200" s="31" t="str">
        <f>IF(OR($C200="",'BUDGET COMMESSA'!$D197="",'BUDGET COMMESSA'!$D197&lt;=0,ANAGRAFICA!$J197=""),"",IF(OR($I200="Finito ritenute non previste",$I200="Finito con sblocco ritenute",$I200="Finito senza sblocco ritenute"),0,IF(AND($BK200&gt;=$BJ200,ANAGRAFICA!$R197="Ritardo produttivo FIDA"),IF(ANAGRAFICA!$T197&lt;&gt;"",MAX(0,ANAGRAFICA!$J197-ANAGRAFICA!$T197),MAX(0,$Y200-ANAGRAFICA!$J197)),0)))</f>
        <v/>
      </c>
      <c r="R200" s="17" t="str">
        <f t="shared" si="56"/>
        <v/>
      </c>
      <c r="S200" s="17" t="str">
        <f t="shared" si="57"/>
        <v/>
      </c>
      <c r="T200" s="17" t="str">
        <f t="shared" si="58"/>
        <v/>
      </c>
      <c r="U200" s="16" t="str">
        <f t="shared" si="59"/>
        <v/>
      </c>
      <c r="V200" s="16" t="str">
        <f t="shared" si="60"/>
        <v/>
      </c>
      <c r="W200" s="16" t="str">
        <f t="shared" si="61"/>
        <v/>
      </c>
      <c r="X200" s="40"/>
      <c r="Y200" s="14"/>
      <c r="AZ200" t="str">
        <f>IF($C200="","",ANAGRAFICA!$P197)</f>
        <v/>
      </c>
      <c r="BA200" t="str">
        <f>IF($C200="","",SUMIF('MOVIMENTI 2026'!$B$7:$B$4206,$C200,'MOVIMENTI 2026'!$I$7:$I$4206)+SUMIF('SALDI AL 31.12.2025'!$A$6:$A$505,$C200,'SALDI AL 31.12.2025'!$C$6:$C$505))</f>
        <v/>
      </c>
      <c r="BB200" t="str">
        <f>IF($C200="","",SUMIF('MOVIMENTI 2026'!$B$7:$B$4206,$C200,'MOVIMENTI 2026'!$J$7:$J$4206)+SUMIF('SALDI AL 31.12.2025'!$A$6:$A$505,$C200,'SALDI AL 31.12.2025'!$D$6:$D$505))</f>
        <v/>
      </c>
      <c r="BC200" t="str">
        <f>IF($C200="","",SUMIF('MOVIMENTI 2026'!$B$7:$B$4206,$C200,'MOVIMENTI 2026'!$K$7:$K$4206)+SUMIF('SALDI AL 31.12.2025'!$A$6:$A$505,$C200,'SALDI AL 31.12.2025'!$E$6:$E$505))</f>
        <v/>
      </c>
      <c r="BD200" t="str">
        <f>IF($C200="","",SUMIF('MOVIMENTI 2026'!$B$7:$B$4206,$C200,'MOVIMENTI 2026'!$L$7:$L$4206)+SUMIF('SALDI AL 31.12.2025'!$A$6:$A$505,$C200,'SALDI AL 31.12.2025'!$F$6:$F$505))</f>
        <v/>
      </c>
      <c r="BE200" t="str">
        <f t="shared" si="62"/>
        <v/>
      </c>
      <c r="BF200" t="str">
        <f t="shared" si="63"/>
        <v/>
      </c>
      <c r="BG200" t="str">
        <f t="shared" si="64"/>
        <v/>
      </c>
      <c r="BH200" t="str">
        <f>IFERROR(IF(OR($C200="",ANAGRAFICA!$I197="",ANAGRAFICA!$J197="",ANAGRAFICA!$J197&lt;=ANAGRAFICA!$I197,$Y200=""),"",IF(OR($I200="Finito ritenute non previste",$I200="Finito con sblocco ritenute",$I200="Finito senza sblocco ritenute"),1,MAX(0,MIN(1,($Y200-ANAGRAFICA!$I197)/(ANAGRAFICA!$J197-ANAGRAFICA!$I197))))),"")</f>
        <v/>
      </c>
      <c r="BI200" t="str">
        <f t="shared" si="65"/>
        <v/>
      </c>
      <c r="BJ200" t="str">
        <f>IFERROR(IF($C200="","",'BUDGET COMMESSA'!$D197),"")</f>
        <v/>
      </c>
      <c r="BK200" t="str">
        <f>IF($C200="","",SUMIF('MOVIMENTI 2026'!$B$7:$B$4206,$C200,'MOVIMENTI 2026'!$N$7:$N$4206)+SUMIF('SALDI AL 31.12.2025'!$A$6:$A$505,$C200,'SALDI AL 31.12.2025'!$H$6:$H$505))</f>
        <v/>
      </c>
      <c r="BL200" t="str">
        <f t="shared" si="66"/>
        <v/>
      </c>
      <c r="BM200" t="str">
        <f t="shared" si="67"/>
        <v/>
      </c>
      <c r="BN200" t="str">
        <f t="shared" si="68"/>
        <v/>
      </c>
      <c r="BO200" t="str">
        <f>IFERROR(IF($C200="","",'BUDGET COMMESSA'!$G197),"")</f>
        <v/>
      </c>
      <c r="BP200" t="str">
        <f>IF($C200="","",SUMIF('COSTI DIRETTI'!$C$6:$C$505,$C200,'COSTI DIRETTI'!$H$6:$H$505)+SUMIF('SALDI AL 31.12.2025'!$A$6:$A$505,$C200,'SALDI AL 31.12.2025'!$I$6:$I$505))</f>
        <v/>
      </c>
      <c r="BQ200" t="str">
        <f t="shared" si="69"/>
        <v/>
      </c>
      <c r="BR200" t="str">
        <f t="shared" si="70"/>
        <v/>
      </c>
      <c r="BS200" t="str">
        <f>IF($C200="","",$BK200*PARAMETRI!$B$4+$BP200)</f>
        <v/>
      </c>
      <c r="BT200">
        <f t="shared" si="71"/>
        <v>0</v>
      </c>
      <c r="BU200">
        <f t="shared" si="72"/>
        <v>0</v>
      </c>
      <c r="BV200" t="str">
        <f>IF($C200="","",SUMIF('MOVIMENTI 2026'!$B$7:$B$4206,$C200,'MOVIMENTI 2026'!$P$7:$P$4206)+SUMIF('SALDI AL 31.12.2025'!$A$6:$A$505,$C200,'SALDI AL 31.12.2025'!$G$6:$G$505))</f>
        <v/>
      </c>
    </row>
    <row r="201" spans="1:74" ht="16" x14ac:dyDescent="0.15">
      <c r="A201" s="17" t="str">
        <f>IFERROR(IF($C201="","",IF(OR($BF201&gt;0,$V201&gt;$J201,AND(ISNUMBER($Q201),$Q201&gt;0),AND($BI201&lt;&gt;"",$BI201&lt;-PARAMETRI!$B$6),AND($BM201&lt;&gt;"",$BM201&gt;=1),AND($BN201&lt;&gt;"",$BN201&gt;PARAMETRI!$B$8),AND(ISNUMBER($BR201),$BR201&gt;0)),"CRITICO",IF(OR($AZ201="",LEFT($C201,5)="TEMP",$BJ201="",$BO201="",ANAGRAFICA!$I198="",ANAGRAFICA!$J198="",$Y201="",AND(OR($I201="Finito ritenute non previste",$I201="Finito con sblocco ritenute",$I201="Finito senza sblocco ritenute"),ANAGRAFICA!$K198=""),OR(AND(ANAGRAFICA!$T198&lt;&gt;"",ANAGRAFICA!$J198&lt;&gt;ANAGRAFICA!$T198,OR(ANAGRAFICA!$R198="",ANAGRAFICA!$R198="Nessuna variazione")),AND(ANAGRAFICA!$J198="",ANAGRAFICA!$R198&lt;&gt;"",ANAGRAFICA!$R198&lt;&gt;"Nessuna variazione")),AND($BI201&lt;&gt;"",$BI201&lt;-PARAMETRI!$B$5),AND($BN201&lt;&gt;"",$BN201&gt;PARAMETRI!$B$7),AND($W201&gt;0,$M201&gt;$W201*PARAMETRI!$B$9),AND($O201&gt;0,OR($I201="Finito ritenute non previste",$I201="Finito con sblocco ritenute",$I201="Finito senza sblocco ritenute")),AND($BA201&gt;0,$BO201&gt;0,$BP201=0),AND(OR($I201="Finito ritenute non previste",$I201="Finito con sblocco ritenute",$I201="Finito senza sblocco ritenute"),$W201&gt;0,$N201&gt;$W201*PARAMETRI!$B$9),$V201&gt;0),"ATTENZIONE","REGOLARE"))),"ATTENZIONE")</f>
        <v/>
      </c>
      <c r="B201" s="17" t="str">
        <f>IFERROR(IF($C201="","",IF($BF201&gt;0,"FATTURATO OLTRE VALORE RECUPERABILE; ","")&amp;IF($V201&gt;$J201,"PERDITE ACCETTATE OLTRE CONTRATTO; ","")&amp;IF($V201&gt;0,"PERDITA SAL ACCETTATA (€ "&amp;TEXT($V201,"#,##0.00")&amp;"); ","")&amp;IF(AND(ISNUMBER($Q201),$Q201&gt;0),"RITARDO PRODUTTIVO ("&amp;TEXT($Q201,"0")&amp;" GG); ","")&amp;IF(AND($BI201&lt;&gt;"",$BI201&lt;-PARAMETRI!$B$5),"AVANZAMENTO PIÙ LENTO DEL TEMPO; ","")&amp;IF(AND($BM201&lt;&gt;"",$BM201&gt;1),"ORE OLTRE BUDGET; ","")&amp;IF(AND($BM201&lt;&gt;"",$BM201=1),"ORE PREVENTIVATE ESAURITE; ","")&amp;IF(AND($BN201&lt;&gt;"",$BN201&gt;PARAMETRI!$B$7),"CONSUMO ORE SUPERIORE ALL'AVANZAMENTO; ","")&amp;IF(AND(ISNUMBER($BR201),$BR201&gt;0),"COSTI DIRETTI OLTRE BUDGET; ","")&amp;IF(AND($W201&gt;0,$M201&gt;$W201*PARAMETRI!$B$9),"SAL MATURATO NON FATTURATO; ","")&amp;IF(AND($O201&gt;0,OR($I201="Finito ritenute non previste",$I201="Finito con sblocco ritenute",$I201="Finito senza sblocco ritenute")),"RITENUTE DA SBLOCCARE; ","")&amp;IF(AND($BA201&gt;0,$BO201&gt;0,$BP201=0),"COSTI DIRETTI NON REGISTRATI; ","")&amp;IF(AND(OR($I201="Finito ritenute non previste",$I201="Finito con sblocco ritenute",$I201="Finito senza sblocco ritenute"),$W201&gt;0,$N201&gt;$W201*PARAMETRI!$B$9),"CANTIERE FINITO CON RESIDUO LAVORI; ","")&amp;IF(AND(OR($I201="Finito ritenute non previste",$I201="Finito con sblocco ritenute",$I201="Finito senza sblocco ritenute"),ANAGRAFICA!$K198=""),"DATA FINE EFFETTIVA MANCANTE; ","")&amp;IF(OR(AND(ANAGRAFICA!$T198&lt;&gt;"",ANAGRAFICA!$J198&lt;&gt;ANAGRAFICA!$T198,OR(ANAGRAFICA!$R198="",ANAGRAFICA!$R198="Nessuna variazione")),AND(ANAGRAFICA!$J198="",ANAGRAFICA!$R198&lt;&gt;"",ANAGRAFICA!$R198&lt;&gt;"Nessuna variazione")),"GESTIONE DATA FINE INCOMPLETA; ","")&amp;IF($Y201="","AGGIORNATO AL MANCANTE; ","")&amp;IF(OR($AZ201="",$BJ201="",$BO201="",ANAGRAFICA!$I198="",ANAGRAFICA!$J198=""),"DATI PREVISIONALI INCOMPLETI; ","")&amp;IF(LEFT($C201,5)="TEMP","CODICE COMMESSA TEMPORANEO; ","")),"DATI INCOMPLETI; ")</f>
        <v/>
      </c>
      <c r="C201" s="17" t="str">
        <f>IF(ANAGRAFICA!$B198="","",ANAGRAFICA!$B198)</f>
        <v/>
      </c>
      <c r="D201" s="17" t="str">
        <f>IF($C201="","",ANAGRAFICA!$C198)</f>
        <v/>
      </c>
      <c r="E201" s="17" t="str">
        <f>IF($C201="","",ANAGRAFICA!$D198)</f>
        <v/>
      </c>
      <c r="F201" s="17" t="str">
        <f>IF($C201="","",ANAGRAFICA!$E198)</f>
        <v/>
      </c>
      <c r="G201" s="17" t="str">
        <f>IF($C201="","",ANAGRAFICA!$F198)</f>
        <v/>
      </c>
      <c r="H201" s="17" t="str">
        <f>IF($C201="","",ANAGRAFICA!$G198)</f>
        <v/>
      </c>
      <c r="I201" s="17" t="str">
        <f>IF($C201="","",ANAGRAFICA!$L198)</f>
        <v/>
      </c>
      <c r="J201" s="16" t="str">
        <f t="shared" ref="J201:J264" si="73">IF($C201="","",$AZ201)</f>
        <v/>
      </c>
      <c r="K201" s="16" t="str">
        <f t="shared" ref="K201:K264" si="74">IF($C201="","",$BA201)</f>
        <v/>
      </c>
      <c r="L201" s="16" t="str">
        <f t="shared" ref="L201:L264" si="75">IF($C201="","",$BB201)</f>
        <v/>
      </c>
      <c r="M201" s="16" t="str">
        <f t="shared" ref="M201:M264" si="76">IF($C201="","",MAX($BA201-$BB201,0))</f>
        <v/>
      </c>
      <c r="N201" s="16" t="str">
        <f t="shared" ref="N201:N264" si="77">IF(OR($C201="",$W201=""),"",MAX($W201-$BA201,0))</f>
        <v/>
      </c>
      <c r="O201" s="16" t="str">
        <f t="shared" ref="O201:O264" si="78">IF($C201="","",MAX($BC201-$BD201,0))</f>
        <v/>
      </c>
      <c r="P201" s="17" t="str">
        <f t="shared" ref="P201:P264" si="79">IF(OR($C201="",$BG201="",$BH201="",$BI201=""),"",TEXT($BG201,"0.0%")&amp;" / "&amp;TEXT($BH201,"0.0%")&amp;" / "&amp;TEXT($BI201,"0.0%"))</f>
        <v/>
      </c>
      <c r="Q201" s="31" t="str">
        <f>IF(OR($C201="",'BUDGET COMMESSA'!$D198="",'BUDGET COMMESSA'!$D198&lt;=0,ANAGRAFICA!$J198=""),"",IF(OR($I201="Finito ritenute non previste",$I201="Finito con sblocco ritenute",$I201="Finito senza sblocco ritenute"),0,IF(AND($BK201&gt;=$BJ201,ANAGRAFICA!$R198="Ritardo produttivo FIDA"),IF(ANAGRAFICA!$T198&lt;&gt;"",MAX(0,ANAGRAFICA!$J198-ANAGRAFICA!$T198),MAX(0,$Y201-ANAGRAFICA!$J198)),0)))</f>
        <v/>
      </c>
      <c r="R201" s="17" t="str">
        <f t="shared" ref="R201:R264" si="80">IF(OR($C201="",$BJ201=""),"",TEXT($BJ201,"#,##0.00")&amp;" / "&amp;TEXT($BK201,"#,##0.00")&amp;" / "&amp;TEXT($BL201,"#,##0.00"))</f>
        <v/>
      </c>
      <c r="S201" s="17" t="str">
        <f t="shared" ref="S201:S264" si="81">IF(OR($C201="",$BM201="",$BG201="",$BN201=""),"",TEXT($BM201,"0.0%")&amp;" / "&amp;TEXT($BG201,"0.0%")&amp;" / "&amp;TEXT($BN201,"0.0%"))</f>
        <v/>
      </c>
      <c r="T201" s="17" t="str">
        <f t="shared" ref="T201:T264" si="82">IF(OR($C201="",$BO201=""),"",IF($BR201&gt;0,"BUDGET € "&amp;TEXT($BO201,"#,##0.00")&amp;" | SOSTENUTI € "&amp;TEXT($BP201,"#,##0.00")&amp;" | SFORAMENTO € "&amp;TEXT($BR201,"#,##0.00"),"BUDGET € "&amp;TEXT($BO201,"#,##0.00")&amp;" | SOSTENUTI € "&amp;TEXT($BP201,"#,##0.00")&amp;" | RESIDUO € "&amp;TEXT($BQ201,"#,##0.00")))</f>
        <v/>
      </c>
      <c r="U201" s="16" t="str">
        <f t="shared" ref="U201:U264" si="83">IF($C201="","",$BS201)</f>
        <v/>
      </c>
      <c r="V201" s="16" t="str">
        <f t="shared" ref="V201:V264" si="84">IF($C201="","",$BV201)</f>
        <v/>
      </c>
      <c r="W201" s="16" t="str">
        <f t="shared" ref="W201:W264" si="85">IF(OR($C201="",$AZ201=""),"",MAX($AZ201-$BV201,0))</f>
        <v/>
      </c>
      <c r="X201" s="40"/>
      <c r="Y201" s="14"/>
      <c r="AZ201" t="str">
        <f>IF($C201="","",ANAGRAFICA!$P198)</f>
        <v/>
      </c>
      <c r="BA201" t="str">
        <f>IF($C201="","",SUMIF('MOVIMENTI 2026'!$B$7:$B$4206,$C201,'MOVIMENTI 2026'!$I$7:$I$4206)+SUMIF('SALDI AL 31.12.2025'!$A$6:$A$505,$C201,'SALDI AL 31.12.2025'!$C$6:$C$505))</f>
        <v/>
      </c>
      <c r="BB201" t="str">
        <f>IF($C201="","",SUMIF('MOVIMENTI 2026'!$B$7:$B$4206,$C201,'MOVIMENTI 2026'!$J$7:$J$4206)+SUMIF('SALDI AL 31.12.2025'!$A$6:$A$505,$C201,'SALDI AL 31.12.2025'!$D$6:$D$505))</f>
        <v/>
      </c>
      <c r="BC201" t="str">
        <f>IF($C201="","",SUMIF('MOVIMENTI 2026'!$B$7:$B$4206,$C201,'MOVIMENTI 2026'!$K$7:$K$4206)+SUMIF('SALDI AL 31.12.2025'!$A$6:$A$505,$C201,'SALDI AL 31.12.2025'!$E$6:$E$505))</f>
        <v/>
      </c>
      <c r="BD201" t="str">
        <f>IF($C201="","",SUMIF('MOVIMENTI 2026'!$B$7:$B$4206,$C201,'MOVIMENTI 2026'!$L$7:$L$4206)+SUMIF('SALDI AL 31.12.2025'!$A$6:$A$505,$C201,'SALDI AL 31.12.2025'!$F$6:$F$505))</f>
        <v/>
      </c>
      <c r="BE201" t="str">
        <f t="shared" ref="BE201:BE264" si="86">IF(OR($C201="",$W201=""),"",MAX($W201-$BB201,0))</f>
        <v/>
      </c>
      <c r="BF201" t="str">
        <f t="shared" ref="BF201:BF264" si="87">IF(OR($C201="",$W201=""),"",MAX($BB201-$W201,0))</f>
        <v/>
      </c>
      <c r="BG201" t="str">
        <f t="shared" ref="BG201:BG264" si="88">IF(OR($C201="",$W201&lt;=0),"",$BA201/$W201)</f>
        <v/>
      </c>
      <c r="BH201" t="str">
        <f>IFERROR(IF(OR($C201="",ANAGRAFICA!$I198="",ANAGRAFICA!$J198="",ANAGRAFICA!$J198&lt;=ANAGRAFICA!$I198,$Y201=""),"",IF(OR($I201="Finito ritenute non previste",$I201="Finito con sblocco ritenute",$I201="Finito senza sblocco ritenute"),1,MAX(0,MIN(1,($Y201-ANAGRAFICA!$I198)/(ANAGRAFICA!$J198-ANAGRAFICA!$I198))))),"")</f>
        <v/>
      </c>
      <c r="BI201" t="str">
        <f t="shared" ref="BI201:BI264" si="89">IF(OR($C201="",$BG201="",$BH201=""),"",$BG201-$BH201)</f>
        <v/>
      </c>
      <c r="BJ201" t="str">
        <f>IFERROR(IF($C201="","",'BUDGET COMMESSA'!$D198),"")</f>
        <v/>
      </c>
      <c r="BK201" t="str">
        <f>IF($C201="","",SUMIF('MOVIMENTI 2026'!$B$7:$B$4206,$C201,'MOVIMENTI 2026'!$N$7:$N$4206)+SUMIF('SALDI AL 31.12.2025'!$A$6:$A$505,$C201,'SALDI AL 31.12.2025'!$H$6:$H$505))</f>
        <v/>
      </c>
      <c r="BL201" t="str">
        <f t="shared" ref="BL201:BL264" si="90">IF(OR($C201="",$BJ201=""),"",MAX($BJ201-$BK201,0))</f>
        <v/>
      </c>
      <c r="BM201" t="str">
        <f t="shared" ref="BM201:BM264" si="91">IF(OR($C201="",$BJ201&lt;=0),"",$BK201/$BJ201)</f>
        <v/>
      </c>
      <c r="BN201" t="str">
        <f t="shared" ref="BN201:BN264" si="92">IF(OR($C201="",$BM201="",$BG201=""),"",$BM201-$BG201)</f>
        <v/>
      </c>
      <c r="BO201" t="str">
        <f>IFERROR(IF($C201="","",'BUDGET COMMESSA'!$G198),"")</f>
        <v/>
      </c>
      <c r="BP201" t="str">
        <f>IF($C201="","",SUMIF('COSTI DIRETTI'!$C$6:$C$505,$C201,'COSTI DIRETTI'!$H$6:$H$505)+SUMIF('SALDI AL 31.12.2025'!$A$6:$A$505,$C201,'SALDI AL 31.12.2025'!$I$6:$I$505))</f>
        <v/>
      </c>
      <c r="BQ201" t="str">
        <f t="shared" ref="BQ201:BQ264" si="93">IF(OR($C201="",$BO201=""),"",MAX($BO201-$BP201,0))</f>
        <v/>
      </c>
      <c r="BR201" t="str">
        <f t="shared" ref="BR201:BR264" si="94">IF(OR($C201="",$BO201=""),"",MAX($BP201-$BO201,0))</f>
        <v/>
      </c>
      <c r="BS201" t="str">
        <f>IF($C201="","",$BK201*PARAMETRI!$B$4+$BP201)</f>
        <v/>
      </c>
      <c r="BT201">
        <f t="shared" ref="BT201:BT264" si="95">IF($A201="CRITICO",1,0)</f>
        <v>0</v>
      </c>
      <c r="BU201">
        <f t="shared" ref="BU201:BU264" si="96">IF($A201="ATTENZIONE",1,0)</f>
        <v>0</v>
      </c>
      <c r="BV201" t="str">
        <f>IF($C201="","",SUMIF('MOVIMENTI 2026'!$B$7:$B$4206,$C201,'MOVIMENTI 2026'!$P$7:$P$4206)+SUMIF('SALDI AL 31.12.2025'!$A$6:$A$505,$C201,'SALDI AL 31.12.2025'!$G$6:$G$505))</f>
        <v/>
      </c>
    </row>
    <row r="202" spans="1:74" ht="16" x14ac:dyDescent="0.15">
      <c r="A202" s="17" t="str">
        <f>IFERROR(IF($C202="","",IF(OR($BF202&gt;0,$V202&gt;$J202,AND(ISNUMBER($Q202),$Q202&gt;0),AND($BI202&lt;&gt;"",$BI202&lt;-PARAMETRI!$B$6),AND($BM202&lt;&gt;"",$BM202&gt;=1),AND($BN202&lt;&gt;"",$BN202&gt;PARAMETRI!$B$8),AND(ISNUMBER($BR202),$BR202&gt;0)),"CRITICO",IF(OR($AZ202="",LEFT($C202,5)="TEMP",$BJ202="",$BO202="",ANAGRAFICA!$I199="",ANAGRAFICA!$J199="",$Y202="",AND(OR($I202="Finito ritenute non previste",$I202="Finito con sblocco ritenute",$I202="Finito senza sblocco ritenute"),ANAGRAFICA!$K199=""),OR(AND(ANAGRAFICA!$T199&lt;&gt;"",ANAGRAFICA!$J199&lt;&gt;ANAGRAFICA!$T199,OR(ANAGRAFICA!$R199="",ANAGRAFICA!$R199="Nessuna variazione")),AND(ANAGRAFICA!$J199="",ANAGRAFICA!$R199&lt;&gt;"",ANAGRAFICA!$R199&lt;&gt;"Nessuna variazione")),AND($BI202&lt;&gt;"",$BI202&lt;-PARAMETRI!$B$5),AND($BN202&lt;&gt;"",$BN202&gt;PARAMETRI!$B$7),AND($W202&gt;0,$M202&gt;$W202*PARAMETRI!$B$9),AND($O202&gt;0,OR($I202="Finito ritenute non previste",$I202="Finito con sblocco ritenute",$I202="Finito senza sblocco ritenute")),AND($BA202&gt;0,$BO202&gt;0,$BP202=0),AND(OR($I202="Finito ritenute non previste",$I202="Finito con sblocco ritenute",$I202="Finito senza sblocco ritenute"),$W202&gt;0,$N202&gt;$W202*PARAMETRI!$B$9),$V202&gt;0),"ATTENZIONE","REGOLARE"))),"ATTENZIONE")</f>
        <v/>
      </c>
      <c r="B202" s="17" t="str">
        <f>IFERROR(IF($C202="","",IF($BF202&gt;0,"FATTURATO OLTRE VALORE RECUPERABILE; ","")&amp;IF($V202&gt;$J202,"PERDITE ACCETTATE OLTRE CONTRATTO; ","")&amp;IF($V202&gt;0,"PERDITA SAL ACCETTATA (€ "&amp;TEXT($V202,"#,##0.00")&amp;"); ","")&amp;IF(AND(ISNUMBER($Q202),$Q202&gt;0),"RITARDO PRODUTTIVO ("&amp;TEXT($Q202,"0")&amp;" GG); ","")&amp;IF(AND($BI202&lt;&gt;"",$BI202&lt;-PARAMETRI!$B$5),"AVANZAMENTO PIÙ LENTO DEL TEMPO; ","")&amp;IF(AND($BM202&lt;&gt;"",$BM202&gt;1),"ORE OLTRE BUDGET; ","")&amp;IF(AND($BM202&lt;&gt;"",$BM202=1),"ORE PREVENTIVATE ESAURITE; ","")&amp;IF(AND($BN202&lt;&gt;"",$BN202&gt;PARAMETRI!$B$7),"CONSUMO ORE SUPERIORE ALL'AVANZAMENTO; ","")&amp;IF(AND(ISNUMBER($BR202),$BR202&gt;0),"COSTI DIRETTI OLTRE BUDGET; ","")&amp;IF(AND($W202&gt;0,$M202&gt;$W202*PARAMETRI!$B$9),"SAL MATURATO NON FATTURATO; ","")&amp;IF(AND($O202&gt;0,OR($I202="Finito ritenute non previste",$I202="Finito con sblocco ritenute",$I202="Finito senza sblocco ritenute")),"RITENUTE DA SBLOCCARE; ","")&amp;IF(AND($BA202&gt;0,$BO202&gt;0,$BP202=0),"COSTI DIRETTI NON REGISTRATI; ","")&amp;IF(AND(OR($I202="Finito ritenute non previste",$I202="Finito con sblocco ritenute",$I202="Finito senza sblocco ritenute"),$W202&gt;0,$N202&gt;$W202*PARAMETRI!$B$9),"CANTIERE FINITO CON RESIDUO LAVORI; ","")&amp;IF(AND(OR($I202="Finito ritenute non previste",$I202="Finito con sblocco ritenute",$I202="Finito senza sblocco ritenute"),ANAGRAFICA!$K199=""),"DATA FINE EFFETTIVA MANCANTE; ","")&amp;IF(OR(AND(ANAGRAFICA!$T199&lt;&gt;"",ANAGRAFICA!$J199&lt;&gt;ANAGRAFICA!$T199,OR(ANAGRAFICA!$R199="",ANAGRAFICA!$R199="Nessuna variazione")),AND(ANAGRAFICA!$J199="",ANAGRAFICA!$R199&lt;&gt;"",ANAGRAFICA!$R199&lt;&gt;"Nessuna variazione")),"GESTIONE DATA FINE INCOMPLETA; ","")&amp;IF($Y202="","AGGIORNATO AL MANCANTE; ","")&amp;IF(OR($AZ202="",$BJ202="",$BO202="",ANAGRAFICA!$I199="",ANAGRAFICA!$J199=""),"DATI PREVISIONALI INCOMPLETI; ","")&amp;IF(LEFT($C202,5)="TEMP","CODICE COMMESSA TEMPORANEO; ","")),"DATI INCOMPLETI; ")</f>
        <v/>
      </c>
      <c r="C202" s="17" t="str">
        <f>IF(ANAGRAFICA!$B199="","",ANAGRAFICA!$B199)</f>
        <v/>
      </c>
      <c r="D202" s="17" t="str">
        <f>IF($C202="","",ANAGRAFICA!$C199)</f>
        <v/>
      </c>
      <c r="E202" s="17" t="str">
        <f>IF($C202="","",ANAGRAFICA!$D199)</f>
        <v/>
      </c>
      <c r="F202" s="17" t="str">
        <f>IF($C202="","",ANAGRAFICA!$E199)</f>
        <v/>
      </c>
      <c r="G202" s="17" t="str">
        <f>IF($C202="","",ANAGRAFICA!$F199)</f>
        <v/>
      </c>
      <c r="H202" s="17" t="str">
        <f>IF($C202="","",ANAGRAFICA!$G199)</f>
        <v/>
      </c>
      <c r="I202" s="17" t="str">
        <f>IF($C202="","",ANAGRAFICA!$L199)</f>
        <v/>
      </c>
      <c r="J202" s="16" t="str">
        <f t="shared" si="73"/>
        <v/>
      </c>
      <c r="K202" s="16" t="str">
        <f t="shared" si="74"/>
        <v/>
      </c>
      <c r="L202" s="16" t="str">
        <f t="shared" si="75"/>
        <v/>
      </c>
      <c r="M202" s="16" t="str">
        <f t="shared" si="76"/>
        <v/>
      </c>
      <c r="N202" s="16" t="str">
        <f t="shared" si="77"/>
        <v/>
      </c>
      <c r="O202" s="16" t="str">
        <f t="shared" si="78"/>
        <v/>
      </c>
      <c r="P202" s="17" t="str">
        <f t="shared" si="79"/>
        <v/>
      </c>
      <c r="Q202" s="31" t="str">
        <f>IF(OR($C202="",'BUDGET COMMESSA'!$D199="",'BUDGET COMMESSA'!$D199&lt;=0,ANAGRAFICA!$J199=""),"",IF(OR($I202="Finito ritenute non previste",$I202="Finito con sblocco ritenute",$I202="Finito senza sblocco ritenute"),0,IF(AND($BK202&gt;=$BJ202,ANAGRAFICA!$R199="Ritardo produttivo FIDA"),IF(ANAGRAFICA!$T199&lt;&gt;"",MAX(0,ANAGRAFICA!$J199-ANAGRAFICA!$T199),MAX(0,$Y202-ANAGRAFICA!$J199)),0)))</f>
        <v/>
      </c>
      <c r="R202" s="17" t="str">
        <f t="shared" si="80"/>
        <v/>
      </c>
      <c r="S202" s="17" t="str">
        <f t="shared" si="81"/>
        <v/>
      </c>
      <c r="T202" s="17" t="str">
        <f t="shared" si="82"/>
        <v/>
      </c>
      <c r="U202" s="16" t="str">
        <f t="shared" si="83"/>
        <v/>
      </c>
      <c r="V202" s="16" t="str">
        <f t="shared" si="84"/>
        <v/>
      </c>
      <c r="W202" s="16" t="str">
        <f t="shared" si="85"/>
        <v/>
      </c>
      <c r="X202" s="40"/>
      <c r="Y202" s="14"/>
      <c r="AZ202" t="str">
        <f>IF($C202="","",ANAGRAFICA!$P199)</f>
        <v/>
      </c>
      <c r="BA202" t="str">
        <f>IF($C202="","",SUMIF('MOVIMENTI 2026'!$B$7:$B$4206,$C202,'MOVIMENTI 2026'!$I$7:$I$4206)+SUMIF('SALDI AL 31.12.2025'!$A$6:$A$505,$C202,'SALDI AL 31.12.2025'!$C$6:$C$505))</f>
        <v/>
      </c>
      <c r="BB202" t="str">
        <f>IF($C202="","",SUMIF('MOVIMENTI 2026'!$B$7:$B$4206,$C202,'MOVIMENTI 2026'!$J$7:$J$4206)+SUMIF('SALDI AL 31.12.2025'!$A$6:$A$505,$C202,'SALDI AL 31.12.2025'!$D$6:$D$505))</f>
        <v/>
      </c>
      <c r="BC202" t="str">
        <f>IF($C202="","",SUMIF('MOVIMENTI 2026'!$B$7:$B$4206,$C202,'MOVIMENTI 2026'!$K$7:$K$4206)+SUMIF('SALDI AL 31.12.2025'!$A$6:$A$505,$C202,'SALDI AL 31.12.2025'!$E$6:$E$505))</f>
        <v/>
      </c>
      <c r="BD202" t="str">
        <f>IF($C202="","",SUMIF('MOVIMENTI 2026'!$B$7:$B$4206,$C202,'MOVIMENTI 2026'!$L$7:$L$4206)+SUMIF('SALDI AL 31.12.2025'!$A$6:$A$505,$C202,'SALDI AL 31.12.2025'!$F$6:$F$505))</f>
        <v/>
      </c>
      <c r="BE202" t="str">
        <f t="shared" si="86"/>
        <v/>
      </c>
      <c r="BF202" t="str">
        <f t="shared" si="87"/>
        <v/>
      </c>
      <c r="BG202" t="str">
        <f t="shared" si="88"/>
        <v/>
      </c>
      <c r="BH202" t="str">
        <f>IFERROR(IF(OR($C202="",ANAGRAFICA!$I199="",ANAGRAFICA!$J199="",ANAGRAFICA!$J199&lt;=ANAGRAFICA!$I199,$Y202=""),"",IF(OR($I202="Finito ritenute non previste",$I202="Finito con sblocco ritenute",$I202="Finito senza sblocco ritenute"),1,MAX(0,MIN(1,($Y202-ANAGRAFICA!$I199)/(ANAGRAFICA!$J199-ANAGRAFICA!$I199))))),"")</f>
        <v/>
      </c>
      <c r="BI202" t="str">
        <f t="shared" si="89"/>
        <v/>
      </c>
      <c r="BJ202" t="str">
        <f>IFERROR(IF($C202="","",'BUDGET COMMESSA'!$D199),"")</f>
        <v/>
      </c>
      <c r="BK202" t="str">
        <f>IF($C202="","",SUMIF('MOVIMENTI 2026'!$B$7:$B$4206,$C202,'MOVIMENTI 2026'!$N$7:$N$4206)+SUMIF('SALDI AL 31.12.2025'!$A$6:$A$505,$C202,'SALDI AL 31.12.2025'!$H$6:$H$505))</f>
        <v/>
      </c>
      <c r="BL202" t="str">
        <f t="shared" si="90"/>
        <v/>
      </c>
      <c r="BM202" t="str">
        <f t="shared" si="91"/>
        <v/>
      </c>
      <c r="BN202" t="str">
        <f t="shared" si="92"/>
        <v/>
      </c>
      <c r="BO202" t="str">
        <f>IFERROR(IF($C202="","",'BUDGET COMMESSA'!$G199),"")</f>
        <v/>
      </c>
      <c r="BP202" t="str">
        <f>IF($C202="","",SUMIF('COSTI DIRETTI'!$C$6:$C$505,$C202,'COSTI DIRETTI'!$H$6:$H$505)+SUMIF('SALDI AL 31.12.2025'!$A$6:$A$505,$C202,'SALDI AL 31.12.2025'!$I$6:$I$505))</f>
        <v/>
      </c>
      <c r="BQ202" t="str">
        <f t="shared" si="93"/>
        <v/>
      </c>
      <c r="BR202" t="str">
        <f t="shared" si="94"/>
        <v/>
      </c>
      <c r="BS202" t="str">
        <f>IF($C202="","",$BK202*PARAMETRI!$B$4+$BP202)</f>
        <v/>
      </c>
      <c r="BT202">
        <f t="shared" si="95"/>
        <v>0</v>
      </c>
      <c r="BU202">
        <f t="shared" si="96"/>
        <v>0</v>
      </c>
      <c r="BV202" t="str">
        <f>IF($C202="","",SUMIF('MOVIMENTI 2026'!$B$7:$B$4206,$C202,'MOVIMENTI 2026'!$P$7:$P$4206)+SUMIF('SALDI AL 31.12.2025'!$A$6:$A$505,$C202,'SALDI AL 31.12.2025'!$G$6:$G$505))</f>
        <v/>
      </c>
    </row>
    <row r="203" spans="1:74" ht="16" x14ac:dyDescent="0.15">
      <c r="A203" s="17" t="str">
        <f>IFERROR(IF($C203="","",IF(OR($BF203&gt;0,$V203&gt;$J203,AND(ISNUMBER($Q203),$Q203&gt;0),AND($BI203&lt;&gt;"",$BI203&lt;-PARAMETRI!$B$6),AND($BM203&lt;&gt;"",$BM203&gt;=1),AND($BN203&lt;&gt;"",$BN203&gt;PARAMETRI!$B$8),AND(ISNUMBER($BR203),$BR203&gt;0)),"CRITICO",IF(OR($AZ203="",LEFT($C203,5)="TEMP",$BJ203="",$BO203="",ANAGRAFICA!$I200="",ANAGRAFICA!$J200="",$Y203="",AND(OR($I203="Finito ritenute non previste",$I203="Finito con sblocco ritenute",$I203="Finito senza sblocco ritenute"),ANAGRAFICA!$K200=""),OR(AND(ANAGRAFICA!$T200&lt;&gt;"",ANAGRAFICA!$J200&lt;&gt;ANAGRAFICA!$T200,OR(ANAGRAFICA!$R200="",ANAGRAFICA!$R200="Nessuna variazione")),AND(ANAGRAFICA!$J200="",ANAGRAFICA!$R200&lt;&gt;"",ANAGRAFICA!$R200&lt;&gt;"Nessuna variazione")),AND($BI203&lt;&gt;"",$BI203&lt;-PARAMETRI!$B$5),AND($BN203&lt;&gt;"",$BN203&gt;PARAMETRI!$B$7),AND($W203&gt;0,$M203&gt;$W203*PARAMETRI!$B$9),AND($O203&gt;0,OR($I203="Finito ritenute non previste",$I203="Finito con sblocco ritenute",$I203="Finito senza sblocco ritenute")),AND($BA203&gt;0,$BO203&gt;0,$BP203=0),AND(OR($I203="Finito ritenute non previste",$I203="Finito con sblocco ritenute",$I203="Finito senza sblocco ritenute"),$W203&gt;0,$N203&gt;$W203*PARAMETRI!$B$9),$V203&gt;0),"ATTENZIONE","REGOLARE"))),"ATTENZIONE")</f>
        <v/>
      </c>
      <c r="B203" s="17" t="str">
        <f>IFERROR(IF($C203="","",IF($BF203&gt;0,"FATTURATO OLTRE VALORE RECUPERABILE; ","")&amp;IF($V203&gt;$J203,"PERDITE ACCETTATE OLTRE CONTRATTO; ","")&amp;IF($V203&gt;0,"PERDITA SAL ACCETTATA (€ "&amp;TEXT($V203,"#,##0.00")&amp;"); ","")&amp;IF(AND(ISNUMBER($Q203),$Q203&gt;0),"RITARDO PRODUTTIVO ("&amp;TEXT($Q203,"0")&amp;" GG); ","")&amp;IF(AND($BI203&lt;&gt;"",$BI203&lt;-PARAMETRI!$B$5),"AVANZAMENTO PIÙ LENTO DEL TEMPO; ","")&amp;IF(AND($BM203&lt;&gt;"",$BM203&gt;1),"ORE OLTRE BUDGET; ","")&amp;IF(AND($BM203&lt;&gt;"",$BM203=1),"ORE PREVENTIVATE ESAURITE; ","")&amp;IF(AND($BN203&lt;&gt;"",$BN203&gt;PARAMETRI!$B$7),"CONSUMO ORE SUPERIORE ALL'AVANZAMENTO; ","")&amp;IF(AND(ISNUMBER($BR203),$BR203&gt;0),"COSTI DIRETTI OLTRE BUDGET; ","")&amp;IF(AND($W203&gt;0,$M203&gt;$W203*PARAMETRI!$B$9),"SAL MATURATO NON FATTURATO; ","")&amp;IF(AND($O203&gt;0,OR($I203="Finito ritenute non previste",$I203="Finito con sblocco ritenute",$I203="Finito senza sblocco ritenute")),"RITENUTE DA SBLOCCARE; ","")&amp;IF(AND($BA203&gt;0,$BO203&gt;0,$BP203=0),"COSTI DIRETTI NON REGISTRATI; ","")&amp;IF(AND(OR($I203="Finito ritenute non previste",$I203="Finito con sblocco ritenute",$I203="Finito senza sblocco ritenute"),$W203&gt;0,$N203&gt;$W203*PARAMETRI!$B$9),"CANTIERE FINITO CON RESIDUO LAVORI; ","")&amp;IF(AND(OR($I203="Finito ritenute non previste",$I203="Finito con sblocco ritenute",$I203="Finito senza sblocco ritenute"),ANAGRAFICA!$K200=""),"DATA FINE EFFETTIVA MANCANTE; ","")&amp;IF(OR(AND(ANAGRAFICA!$T200&lt;&gt;"",ANAGRAFICA!$J200&lt;&gt;ANAGRAFICA!$T200,OR(ANAGRAFICA!$R200="",ANAGRAFICA!$R200="Nessuna variazione")),AND(ANAGRAFICA!$J200="",ANAGRAFICA!$R200&lt;&gt;"",ANAGRAFICA!$R200&lt;&gt;"Nessuna variazione")),"GESTIONE DATA FINE INCOMPLETA; ","")&amp;IF($Y203="","AGGIORNATO AL MANCANTE; ","")&amp;IF(OR($AZ203="",$BJ203="",$BO203="",ANAGRAFICA!$I200="",ANAGRAFICA!$J200=""),"DATI PREVISIONALI INCOMPLETI; ","")&amp;IF(LEFT($C203,5)="TEMP","CODICE COMMESSA TEMPORANEO; ","")),"DATI INCOMPLETI; ")</f>
        <v/>
      </c>
      <c r="C203" s="17" t="str">
        <f>IF(ANAGRAFICA!$B200="","",ANAGRAFICA!$B200)</f>
        <v/>
      </c>
      <c r="D203" s="17" t="str">
        <f>IF($C203="","",ANAGRAFICA!$C200)</f>
        <v/>
      </c>
      <c r="E203" s="17" t="str">
        <f>IF($C203="","",ANAGRAFICA!$D200)</f>
        <v/>
      </c>
      <c r="F203" s="17" t="str">
        <f>IF($C203="","",ANAGRAFICA!$E200)</f>
        <v/>
      </c>
      <c r="G203" s="17" t="str">
        <f>IF($C203="","",ANAGRAFICA!$F200)</f>
        <v/>
      </c>
      <c r="H203" s="17" t="str">
        <f>IF($C203="","",ANAGRAFICA!$G200)</f>
        <v/>
      </c>
      <c r="I203" s="17" t="str">
        <f>IF($C203="","",ANAGRAFICA!$L200)</f>
        <v/>
      </c>
      <c r="J203" s="16" t="str">
        <f t="shared" si="73"/>
        <v/>
      </c>
      <c r="K203" s="16" t="str">
        <f t="shared" si="74"/>
        <v/>
      </c>
      <c r="L203" s="16" t="str">
        <f t="shared" si="75"/>
        <v/>
      </c>
      <c r="M203" s="16" t="str">
        <f t="shared" si="76"/>
        <v/>
      </c>
      <c r="N203" s="16" t="str">
        <f t="shared" si="77"/>
        <v/>
      </c>
      <c r="O203" s="16" t="str">
        <f t="shared" si="78"/>
        <v/>
      </c>
      <c r="P203" s="17" t="str">
        <f t="shared" si="79"/>
        <v/>
      </c>
      <c r="Q203" s="31" t="str">
        <f>IF(OR($C203="",'BUDGET COMMESSA'!$D200="",'BUDGET COMMESSA'!$D200&lt;=0,ANAGRAFICA!$J200=""),"",IF(OR($I203="Finito ritenute non previste",$I203="Finito con sblocco ritenute",$I203="Finito senza sblocco ritenute"),0,IF(AND($BK203&gt;=$BJ203,ANAGRAFICA!$R200="Ritardo produttivo FIDA"),IF(ANAGRAFICA!$T200&lt;&gt;"",MAX(0,ANAGRAFICA!$J200-ANAGRAFICA!$T200),MAX(0,$Y203-ANAGRAFICA!$J200)),0)))</f>
        <v/>
      </c>
      <c r="R203" s="17" t="str">
        <f t="shared" si="80"/>
        <v/>
      </c>
      <c r="S203" s="17" t="str">
        <f t="shared" si="81"/>
        <v/>
      </c>
      <c r="T203" s="17" t="str">
        <f t="shared" si="82"/>
        <v/>
      </c>
      <c r="U203" s="16" t="str">
        <f t="shared" si="83"/>
        <v/>
      </c>
      <c r="V203" s="16" t="str">
        <f t="shared" si="84"/>
        <v/>
      </c>
      <c r="W203" s="16" t="str">
        <f t="shared" si="85"/>
        <v/>
      </c>
      <c r="X203" s="40"/>
      <c r="Y203" s="14"/>
      <c r="AZ203" t="str">
        <f>IF($C203="","",ANAGRAFICA!$P200)</f>
        <v/>
      </c>
      <c r="BA203" t="str">
        <f>IF($C203="","",SUMIF('MOVIMENTI 2026'!$B$7:$B$4206,$C203,'MOVIMENTI 2026'!$I$7:$I$4206)+SUMIF('SALDI AL 31.12.2025'!$A$6:$A$505,$C203,'SALDI AL 31.12.2025'!$C$6:$C$505))</f>
        <v/>
      </c>
      <c r="BB203" t="str">
        <f>IF($C203="","",SUMIF('MOVIMENTI 2026'!$B$7:$B$4206,$C203,'MOVIMENTI 2026'!$J$7:$J$4206)+SUMIF('SALDI AL 31.12.2025'!$A$6:$A$505,$C203,'SALDI AL 31.12.2025'!$D$6:$D$505))</f>
        <v/>
      </c>
      <c r="BC203" t="str">
        <f>IF($C203="","",SUMIF('MOVIMENTI 2026'!$B$7:$B$4206,$C203,'MOVIMENTI 2026'!$K$7:$K$4206)+SUMIF('SALDI AL 31.12.2025'!$A$6:$A$505,$C203,'SALDI AL 31.12.2025'!$E$6:$E$505))</f>
        <v/>
      </c>
      <c r="BD203" t="str">
        <f>IF($C203="","",SUMIF('MOVIMENTI 2026'!$B$7:$B$4206,$C203,'MOVIMENTI 2026'!$L$7:$L$4206)+SUMIF('SALDI AL 31.12.2025'!$A$6:$A$505,$C203,'SALDI AL 31.12.2025'!$F$6:$F$505))</f>
        <v/>
      </c>
      <c r="BE203" t="str">
        <f t="shared" si="86"/>
        <v/>
      </c>
      <c r="BF203" t="str">
        <f t="shared" si="87"/>
        <v/>
      </c>
      <c r="BG203" t="str">
        <f t="shared" si="88"/>
        <v/>
      </c>
      <c r="BH203" t="str">
        <f>IFERROR(IF(OR($C203="",ANAGRAFICA!$I200="",ANAGRAFICA!$J200="",ANAGRAFICA!$J200&lt;=ANAGRAFICA!$I200,$Y203=""),"",IF(OR($I203="Finito ritenute non previste",$I203="Finito con sblocco ritenute",$I203="Finito senza sblocco ritenute"),1,MAX(0,MIN(1,($Y203-ANAGRAFICA!$I200)/(ANAGRAFICA!$J200-ANAGRAFICA!$I200))))),"")</f>
        <v/>
      </c>
      <c r="BI203" t="str">
        <f t="shared" si="89"/>
        <v/>
      </c>
      <c r="BJ203" t="str">
        <f>IFERROR(IF($C203="","",'BUDGET COMMESSA'!$D200),"")</f>
        <v/>
      </c>
      <c r="BK203" t="str">
        <f>IF($C203="","",SUMIF('MOVIMENTI 2026'!$B$7:$B$4206,$C203,'MOVIMENTI 2026'!$N$7:$N$4206)+SUMIF('SALDI AL 31.12.2025'!$A$6:$A$505,$C203,'SALDI AL 31.12.2025'!$H$6:$H$505))</f>
        <v/>
      </c>
      <c r="BL203" t="str">
        <f t="shared" si="90"/>
        <v/>
      </c>
      <c r="BM203" t="str">
        <f t="shared" si="91"/>
        <v/>
      </c>
      <c r="BN203" t="str">
        <f t="shared" si="92"/>
        <v/>
      </c>
      <c r="BO203" t="str">
        <f>IFERROR(IF($C203="","",'BUDGET COMMESSA'!$G200),"")</f>
        <v/>
      </c>
      <c r="BP203" t="str">
        <f>IF($C203="","",SUMIF('COSTI DIRETTI'!$C$6:$C$505,$C203,'COSTI DIRETTI'!$H$6:$H$505)+SUMIF('SALDI AL 31.12.2025'!$A$6:$A$505,$C203,'SALDI AL 31.12.2025'!$I$6:$I$505))</f>
        <v/>
      </c>
      <c r="BQ203" t="str">
        <f t="shared" si="93"/>
        <v/>
      </c>
      <c r="BR203" t="str">
        <f t="shared" si="94"/>
        <v/>
      </c>
      <c r="BS203" t="str">
        <f>IF($C203="","",$BK203*PARAMETRI!$B$4+$BP203)</f>
        <v/>
      </c>
      <c r="BT203">
        <f t="shared" si="95"/>
        <v>0</v>
      </c>
      <c r="BU203">
        <f t="shared" si="96"/>
        <v>0</v>
      </c>
      <c r="BV203" t="str">
        <f>IF($C203="","",SUMIF('MOVIMENTI 2026'!$B$7:$B$4206,$C203,'MOVIMENTI 2026'!$P$7:$P$4206)+SUMIF('SALDI AL 31.12.2025'!$A$6:$A$505,$C203,'SALDI AL 31.12.2025'!$G$6:$G$505))</f>
        <v/>
      </c>
    </row>
    <row r="204" spans="1:74" ht="16" x14ac:dyDescent="0.15">
      <c r="A204" s="17" t="str">
        <f>IFERROR(IF($C204="","",IF(OR($BF204&gt;0,$V204&gt;$J204,AND(ISNUMBER($Q204),$Q204&gt;0),AND($BI204&lt;&gt;"",$BI204&lt;-PARAMETRI!$B$6),AND($BM204&lt;&gt;"",$BM204&gt;=1),AND($BN204&lt;&gt;"",$BN204&gt;PARAMETRI!$B$8),AND(ISNUMBER($BR204),$BR204&gt;0)),"CRITICO",IF(OR($AZ204="",LEFT($C204,5)="TEMP",$BJ204="",$BO204="",ANAGRAFICA!$I201="",ANAGRAFICA!$J201="",$Y204="",AND(OR($I204="Finito ritenute non previste",$I204="Finito con sblocco ritenute",$I204="Finito senza sblocco ritenute"),ANAGRAFICA!$K201=""),OR(AND(ANAGRAFICA!$T201&lt;&gt;"",ANAGRAFICA!$J201&lt;&gt;ANAGRAFICA!$T201,OR(ANAGRAFICA!$R201="",ANAGRAFICA!$R201="Nessuna variazione")),AND(ANAGRAFICA!$J201="",ANAGRAFICA!$R201&lt;&gt;"",ANAGRAFICA!$R201&lt;&gt;"Nessuna variazione")),AND($BI204&lt;&gt;"",$BI204&lt;-PARAMETRI!$B$5),AND($BN204&lt;&gt;"",$BN204&gt;PARAMETRI!$B$7),AND($W204&gt;0,$M204&gt;$W204*PARAMETRI!$B$9),AND($O204&gt;0,OR($I204="Finito ritenute non previste",$I204="Finito con sblocco ritenute",$I204="Finito senza sblocco ritenute")),AND($BA204&gt;0,$BO204&gt;0,$BP204=0),AND(OR($I204="Finito ritenute non previste",$I204="Finito con sblocco ritenute",$I204="Finito senza sblocco ritenute"),$W204&gt;0,$N204&gt;$W204*PARAMETRI!$B$9),$V204&gt;0),"ATTENZIONE","REGOLARE"))),"ATTENZIONE")</f>
        <v/>
      </c>
      <c r="B204" s="17" t="str">
        <f>IFERROR(IF($C204="","",IF($BF204&gt;0,"FATTURATO OLTRE VALORE RECUPERABILE; ","")&amp;IF($V204&gt;$J204,"PERDITE ACCETTATE OLTRE CONTRATTO; ","")&amp;IF($V204&gt;0,"PERDITA SAL ACCETTATA (€ "&amp;TEXT($V204,"#,##0.00")&amp;"); ","")&amp;IF(AND(ISNUMBER($Q204),$Q204&gt;0),"RITARDO PRODUTTIVO ("&amp;TEXT($Q204,"0")&amp;" GG); ","")&amp;IF(AND($BI204&lt;&gt;"",$BI204&lt;-PARAMETRI!$B$5),"AVANZAMENTO PIÙ LENTO DEL TEMPO; ","")&amp;IF(AND($BM204&lt;&gt;"",$BM204&gt;1),"ORE OLTRE BUDGET; ","")&amp;IF(AND($BM204&lt;&gt;"",$BM204=1),"ORE PREVENTIVATE ESAURITE; ","")&amp;IF(AND($BN204&lt;&gt;"",$BN204&gt;PARAMETRI!$B$7),"CONSUMO ORE SUPERIORE ALL'AVANZAMENTO; ","")&amp;IF(AND(ISNUMBER($BR204),$BR204&gt;0),"COSTI DIRETTI OLTRE BUDGET; ","")&amp;IF(AND($W204&gt;0,$M204&gt;$W204*PARAMETRI!$B$9),"SAL MATURATO NON FATTURATO; ","")&amp;IF(AND($O204&gt;0,OR($I204="Finito ritenute non previste",$I204="Finito con sblocco ritenute",$I204="Finito senza sblocco ritenute")),"RITENUTE DA SBLOCCARE; ","")&amp;IF(AND($BA204&gt;0,$BO204&gt;0,$BP204=0),"COSTI DIRETTI NON REGISTRATI; ","")&amp;IF(AND(OR($I204="Finito ritenute non previste",$I204="Finito con sblocco ritenute",$I204="Finito senza sblocco ritenute"),$W204&gt;0,$N204&gt;$W204*PARAMETRI!$B$9),"CANTIERE FINITO CON RESIDUO LAVORI; ","")&amp;IF(AND(OR($I204="Finito ritenute non previste",$I204="Finito con sblocco ritenute",$I204="Finito senza sblocco ritenute"),ANAGRAFICA!$K201=""),"DATA FINE EFFETTIVA MANCANTE; ","")&amp;IF(OR(AND(ANAGRAFICA!$T201&lt;&gt;"",ANAGRAFICA!$J201&lt;&gt;ANAGRAFICA!$T201,OR(ANAGRAFICA!$R201="",ANAGRAFICA!$R201="Nessuna variazione")),AND(ANAGRAFICA!$J201="",ANAGRAFICA!$R201&lt;&gt;"",ANAGRAFICA!$R201&lt;&gt;"Nessuna variazione")),"GESTIONE DATA FINE INCOMPLETA; ","")&amp;IF($Y204="","AGGIORNATO AL MANCANTE; ","")&amp;IF(OR($AZ204="",$BJ204="",$BO204="",ANAGRAFICA!$I201="",ANAGRAFICA!$J201=""),"DATI PREVISIONALI INCOMPLETI; ","")&amp;IF(LEFT($C204,5)="TEMP","CODICE COMMESSA TEMPORANEO; ","")),"DATI INCOMPLETI; ")</f>
        <v/>
      </c>
      <c r="C204" s="17" t="str">
        <f>IF(ANAGRAFICA!$B201="","",ANAGRAFICA!$B201)</f>
        <v/>
      </c>
      <c r="D204" s="17" t="str">
        <f>IF($C204="","",ANAGRAFICA!$C201)</f>
        <v/>
      </c>
      <c r="E204" s="17" t="str">
        <f>IF($C204="","",ANAGRAFICA!$D201)</f>
        <v/>
      </c>
      <c r="F204" s="17" t="str">
        <f>IF($C204="","",ANAGRAFICA!$E201)</f>
        <v/>
      </c>
      <c r="G204" s="17" t="str">
        <f>IF($C204="","",ANAGRAFICA!$F201)</f>
        <v/>
      </c>
      <c r="H204" s="17" t="str">
        <f>IF($C204="","",ANAGRAFICA!$G201)</f>
        <v/>
      </c>
      <c r="I204" s="17" t="str">
        <f>IF($C204="","",ANAGRAFICA!$L201)</f>
        <v/>
      </c>
      <c r="J204" s="16" t="str">
        <f t="shared" si="73"/>
        <v/>
      </c>
      <c r="K204" s="16" t="str">
        <f t="shared" si="74"/>
        <v/>
      </c>
      <c r="L204" s="16" t="str">
        <f t="shared" si="75"/>
        <v/>
      </c>
      <c r="M204" s="16" t="str">
        <f t="shared" si="76"/>
        <v/>
      </c>
      <c r="N204" s="16" t="str">
        <f t="shared" si="77"/>
        <v/>
      </c>
      <c r="O204" s="16" t="str">
        <f t="shared" si="78"/>
        <v/>
      </c>
      <c r="P204" s="17" t="str">
        <f t="shared" si="79"/>
        <v/>
      </c>
      <c r="Q204" s="31" t="str">
        <f>IF(OR($C204="",'BUDGET COMMESSA'!$D201="",'BUDGET COMMESSA'!$D201&lt;=0,ANAGRAFICA!$J201=""),"",IF(OR($I204="Finito ritenute non previste",$I204="Finito con sblocco ritenute",$I204="Finito senza sblocco ritenute"),0,IF(AND($BK204&gt;=$BJ204,ANAGRAFICA!$R201="Ritardo produttivo FIDA"),IF(ANAGRAFICA!$T201&lt;&gt;"",MAX(0,ANAGRAFICA!$J201-ANAGRAFICA!$T201),MAX(0,$Y204-ANAGRAFICA!$J201)),0)))</f>
        <v/>
      </c>
      <c r="R204" s="17" t="str">
        <f t="shared" si="80"/>
        <v/>
      </c>
      <c r="S204" s="17" t="str">
        <f t="shared" si="81"/>
        <v/>
      </c>
      <c r="T204" s="17" t="str">
        <f t="shared" si="82"/>
        <v/>
      </c>
      <c r="U204" s="16" t="str">
        <f t="shared" si="83"/>
        <v/>
      </c>
      <c r="V204" s="16" t="str">
        <f t="shared" si="84"/>
        <v/>
      </c>
      <c r="W204" s="16" t="str">
        <f t="shared" si="85"/>
        <v/>
      </c>
      <c r="X204" s="40"/>
      <c r="Y204" s="14"/>
      <c r="AZ204" t="str">
        <f>IF($C204="","",ANAGRAFICA!$P201)</f>
        <v/>
      </c>
      <c r="BA204" t="str">
        <f>IF($C204="","",SUMIF('MOVIMENTI 2026'!$B$7:$B$4206,$C204,'MOVIMENTI 2026'!$I$7:$I$4206)+SUMIF('SALDI AL 31.12.2025'!$A$6:$A$505,$C204,'SALDI AL 31.12.2025'!$C$6:$C$505))</f>
        <v/>
      </c>
      <c r="BB204" t="str">
        <f>IF($C204="","",SUMIF('MOVIMENTI 2026'!$B$7:$B$4206,$C204,'MOVIMENTI 2026'!$J$7:$J$4206)+SUMIF('SALDI AL 31.12.2025'!$A$6:$A$505,$C204,'SALDI AL 31.12.2025'!$D$6:$D$505))</f>
        <v/>
      </c>
      <c r="BC204" t="str">
        <f>IF($C204="","",SUMIF('MOVIMENTI 2026'!$B$7:$B$4206,$C204,'MOVIMENTI 2026'!$K$7:$K$4206)+SUMIF('SALDI AL 31.12.2025'!$A$6:$A$505,$C204,'SALDI AL 31.12.2025'!$E$6:$E$505))</f>
        <v/>
      </c>
      <c r="BD204" t="str">
        <f>IF($C204="","",SUMIF('MOVIMENTI 2026'!$B$7:$B$4206,$C204,'MOVIMENTI 2026'!$L$7:$L$4206)+SUMIF('SALDI AL 31.12.2025'!$A$6:$A$505,$C204,'SALDI AL 31.12.2025'!$F$6:$F$505))</f>
        <v/>
      </c>
      <c r="BE204" t="str">
        <f t="shared" si="86"/>
        <v/>
      </c>
      <c r="BF204" t="str">
        <f t="shared" si="87"/>
        <v/>
      </c>
      <c r="BG204" t="str">
        <f t="shared" si="88"/>
        <v/>
      </c>
      <c r="BH204" t="str">
        <f>IFERROR(IF(OR($C204="",ANAGRAFICA!$I201="",ANAGRAFICA!$J201="",ANAGRAFICA!$J201&lt;=ANAGRAFICA!$I201,$Y204=""),"",IF(OR($I204="Finito ritenute non previste",$I204="Finito con sblocco ritenute",$I204="Finito senza sblocco ritenute"),1,MAX(0,MIN(1,($Y204-ANAGRAFICA!$I201)/(ANAGRAFICA!$J201-ANAGRAFICA!$I201))))),"")</f>
        <v/>
      </c>
      <c r="BI204" t="str">
        <f t="shared" si="89"/>
        <v/>
      </c>
      <c r="BJ204" t="str">
        <f>IFERROR(IF($C204="","",'BUDGET COMMESSA'!$D201),"")</f>
        <v/>
      </c>
      <c r="BK204" t="str">
        <f>IF($C204="","",SUMIF('MOVIMENTI 2026'!$B$7:$B$4206,$C204,'MOVIMENTI 2026'!$N$7:$N$4206)+SUMIF('SALDI AL 31.12.2025'!$A$6:$A$505,$C204,'SALDI AL 31.12.2025'!$H$6:$H$505))</f>
        <v/>
      </c>
      <c r="BL204" t="str">
        <f t="shared" si="90"/>
        <v/>
      </c>
      <c r="BM204" t="str">
        <f t="shared" si="91"/>
        <v/>
      </c>
      <c r="BN204" t="str">
        <f t="shared" si="92"/>
        <v/>
      </c>
      <c r="BO204" t="str">
        <f>IFERROR(IF($C204="","",'BUDGET COMMESSA'!$G201),"")</f>
        <v/>
      </c>
      <c r="BP204" t="str">
        <f>IF($C204="","",SUMIF('COSTI DIRETTI'!$C$6:$C$505,$C204,'COSTI DIRETTI'!$H$6:$H$505)+SUMIF('SALDI AL 31.12.2025'!$A$6:$A$505,$C204,'SALDI AL 31.12.2025'!$I$6:$I$505))</f>
        <v/>
      </c>
      <c r="BQ204" t="str">
        <f t="shared" si="93"/>
        <v/>
      </c>
      <c r="BR204" t="str">
        <f t="shared" si="94"/>
        <v/>
      </c>
      <c r="BS204" t="str">
        <f>IF($C204="","",$BK204*PARAMETRI!$B$4+$BP204)</f>
        <v/>
      </c>
      <c r="BT204">
        <f t="shared" si="95"/>
        <v>0</v>
      </c>
      <c r="BU204">
        <f t="shared" si="96"/>
        <v>0</v>
      </c>
      <c r="BV204" t="str">
        <f>IF($C204="","",SUMIF('MOVIMENTI 2026'!$B$7:$B$4206,$C204,'MOVIMENTI 2026'!$P$7:$P$4206)+SUMIF('SALDI AL 31.12.2025'!$A$6:$A$505,$C204,'SALDI AL 31.12.2025'!$G$6:$G$505))</f>
        <v/>
      </c>
    </row>
    <row r="205" spans="1:74" ht="16" x14ac:dyDescent="0.15">
      <c r="A205" s="17" t="str">
        <f>IFERROR(IF($C205="","",IF(OR($BF205&gt;0,$V205&gt;$J205,AND(ISNUMBER($Q205),$Q205&gt;0),AND($BI205&lt;&gt;"",$BI205&lt;-PARAMETRI!$B$6),AND($BM205&lt;&gt;"",$BM205&gt;=1),AND($BN205&lt;&gt;"",$BN205&gt;PARAMETRI!$B$8),AND(ISNUMBER($BR205),$BR205&gt;0)),"CRITICO",IF(OR($AZ205="",LEFT($C205,5)="TEMP",$BJ205="",$BO205="",ANAGRAFICA!$I202="",ANAGRAFICA!$J202="",$Y205="",AND(OR($I205="Finito ritenute non previste",$I205="Finito con sblocco ritenute",$I205="Finito senza sblocco ritenute"),ANAGRAFICA!$K202=""),OR(AND(ANAGRAFICA!$T202&lt;&gt;"",ANAGRAFICA!$J202&lt;&gt;ANAGRAFICA!$T202,OR(ANAGRAFICA!$R202="",ANAGRAFICA!$R202="Nessuna variazione")),AND(ANAGRAFICA!$J202="",ANAGRAFICA!$R202&lt;&gt;"",ANAGRAFICA!$R202&lt;&gt;"Nessuna variazione")),AND($BI205&lt;&gt;"",$BI205&lt;-PARAMETRI!$B$5),AND($BN205&lt;&gt;"",$BN205&gt;PARAMETRI!$B$7),AND($W205&gt;0,$M205&gt;$W205*PARAMETRI!$B$9),AND($O205&gt;0,OR($I205="Finito ritenute non previste",$I205="Finito con sblocco ritenute",$I205="Finito senza sblocco ritenute")),AND($BA205&gt;0,$BO205&gt;0,$BP205=0),AND(OR($I205="Finito ritenute non previste",$I205="Finito con sblocco ritenute",$I205="Finito senza sblocco ritenute"),$W205&gt;0,$N205&gt;$W205*PARAMETRI!$B$9),$V205&gt;0),"ATTENZIONE","REGOLARE"))),"ATTENZIONE")</f>
        <v/>
      </c>
      <c r="B205" s="17" t="str">
        <f>IFERROR(IF($C205="","",IF($BF205&gt;0,"FATTURATO OLTRE VALORE RECUPERABILE; ","")&amp;IF($V205&gt;$J205,"PERDITE ACCETTATE OLTRE CONTRATTO; ","")&amp;IF($V205&gt;0,"PERDITA SAL ACCETTATA (€ "&amp;TEXT($V205,"#,##0.00")&amp;"); ","")&amp;IF(AND(ISNUMBER($Q205),$Q205&gt;0),"RITARDO PRODUTTIVO ("&amp;TEXT($Q205,"0")&amp;" GG); ","")&amp;IF(AND($BI205&lt;&gt;"",$BI205&lt;-PARAMETRI!$B$5),"AVANZAMENTO PIÙ LENTO DEL TEMPO; ","")&amp;IF(AND($BM205&lt;&gt;"",$BM205&gt;1),"ORE OLTRE BUDGET; ","")&amp;IF(AND($BM205&lt;&gt;"",$BM205=1),"ORE PREVENTIVATE ESAURITE; ","")&amp;IF(AND($BN205&lt;&gt;"",$BN205&gt;PARAMETRI!$B$7),"CONSUMO ORE SUPERIORE ALL'AVANZAMENTO; ","")&amp;IF(AND(ISNUMBER($BR205),$BR205&gt;0),"COSTI DIRETTI OLTRE BUDGET; ","")&amp;IF(AND($W205&gt;0,$M205&gt;$W205*PARAMETRI!$B$9),"SAL MATURATO NON FATTURATO; ","")&amp;IF(AND($O205&gt;0,OR($I205="Finito ritenute non previste",$I205="Finito con sblocco ritenute",$I205="Finito senza sblocco ritenute")),"RITENUTE DA SBLOCCARE; ","")&amp;IF(AND($BA205&gt;0,$BO205&gt;0,$BP205=0),"COSTI DIRETTI NON REGISTRATI; ","")&amp;IF(AND(OR($I205="Finito ritenute non previste",$I205="Finito con sblocco ritenute",$I205="Finito senza sblocco ritenute"),$W205&gt;0,$N205&gt;$W205*PARAMETRI!$B$9),"CANTIERE FINITO CON RESIDUO LAVORI; ","")&amp;IF(AND(OR($I205="Finito ritenute non previste",$I205="Finito con sblocco ritenute",$I205="Finito senza sblocco ritenute"),ANAGRAFICA!$K202=""),"DATA FINE EFFETTIVA MANCANTE; ","")&amp;IF(OR(AND(ANAGRAFICA!$T202&lt;&gt;"",ANAGRAFICA!$J202&lt;&gt;ANAGRAFICA!$T202,OR(ANAGRAFICA!$R202="",ANAGRAFICA!$R202="Nessuna variazione")),AND(ANAGRAFICA!$J202="",ANAGRAFICA!$R202&lt;&gt;"",ANAGRAFICA!$R202&lt;&gt;"Nessuna variazione")),"GESTIONE DATA FINE INCOMPLETA; ","")&amp;IF($Y205="","AGGIORNATO AL MANCANTE; ","")&amp;IF(OR($AZ205="",$BJ205="",$BO205="",ANAGRAFICA!$I202="",ANAGRAFICA!$J202=""),"DATI PREVISIONALI INCOMPLETI; ","")&amp;IF(LEFT($C205,5)="TEMP","CODICE COMMESSA TEMPORANEO; ","")),"DATI INCOMPLETI; ")</f>
        <v/>
      </c>
      <c r="C205" s="17" t="str">
        <f>IF(ANAGRAFICA!$B202="","",ANAGRAFICA!$B202)</f>
        <v/>
      </c>
      <c r="D205" s="17" t="str">
        <f>IF($C205="","",ANAGRAFICA!$C202)</f>
        <v/>
      </c>
      <c r="E205" s="17" t="str">
        <f>IF($C205="","",ANAGRAFICA!$D202)</f>
        <v/>
      </c>
      <c r="F205" s="17" t="str">
        <f>IF($C205="","",ANAGRAFICA!$E202)</f>
        <v/>
      </c>
      <c r="G205" s="17" t="str">
        <f>IF($C205="","",ANAGRAFICA!$F202)</f>
        <v/>
      </c>
      <c r="H205" s="17" t="str">
        <f>IF($C205="","",ANAGRAFICA!$G202)</f>
        <v/>
      </c>
      <c r="I205" s="17" t="str">
        <f>IF($C205="","",ANAGRAFICA!$L202)</f>
        <v/>
      </c>
      <c r="J205" s="16" t="str">
        <f t="shared" si="73"/>
        <v/>
      </c>
      <c r="K205" s="16" t="str">
        <f t="shared" si="74"/>
        <v/>
      </c>
      <c r="L205" s="16" t="str">
        <f t="shared" si="75"/>
        <v/>
      </c>
      <c r="M205" s="16" t="str">
        <f t="shared" si="76"/>
        <v/>
      </c>
      <c r="N205" s="16" t="str">
        <f t="shared" si="77"/>
        <v/>
      </c>
      <c r="O205" s="16" t="str">
        <f t="shared" si="78"/>
        <v/>
      </c>
      <c r="P205" s="17" t="str">
        <f t="shared" si="79"/>
        <v/>
      </c>
      <c r="Q205" s="31" t="str">
        <f>IF(OR($C205="",'BUDGET COMMESSA'!$D202="",'BUDGET COMMESSA'!$D202&lt;=0,ANAGRAFICA!$J202=""),"",IF(OR($I205="Finito ritenute non previste",$I205="Finito con sblocco ritenute",$I205="Finito senza sblocco ritenute"),0,IF(AND($BK205&gt;=$BJ205,ANAGRAFICA!$R202="Ritardo produttivo FIDA"),IF(ANAGRAFICA!$T202&lt;&gt;"",MAX(0,ANAGRAFICA!$J202-ANAGRAFICA!$T202),MAX(0,$Y205-ANAGRAFICA!$J202)),0)))</f>
        <v/>
      </c>
      <c r="R205" s="17" t="str">
        <f t="shared" si="80"/>
        <v/>
      </c>
      <c r="S205" s="17" t="str">
        <f t="shared" si="81"/>
        <v/>
      </c>
      <c r="T205" s="17" t="str">
        <f t="shared" si="82"/>
        <v/>
      </c>
      <c r="U205" s="16" t="str">
        <f t="shared" si="83"/>
        <v/>
      </c>
      <c r="V205" s="16" t="str">
        <f t="shared" si="84"/>
        <v/>
      </c>
      <c r="W205" s="16" t="str">
        <f t="shared" si="85"/>
        <v/>
      </c>
      <c r="X205" s="40"/>
      <c r="Y205" s="14"/>
      <c r="AZ205" t="str">
        <f>IF($C205="","",ANAGRAFICA!$P202)</f>
        <v/>
      </c>
      <c r="BA205" t="str">
        <f>IF($C205="","",SUMIF('MOVIMENTI 2026'!$B$7:$B$4206,$C205,'MOVIMENTI 2026'!$I$7:$I$4206)+SUMIF('SALDI AL 31.12.2025'!$A$6:$A$505,$C205,'SALDI AL 31.12.2025'!$C$6:$C$505))</f>
        <v/>
      </c>
      <c r="BB205" t="str">
        <f>IF($C205="","",SUMIF('MOVIMENTI 2026'!$B$7:$B$4206,$C205,'MOVIMENTI 2026'!$J$7:$J$4206)+SUMIF('SALDI AL 31.12.2025'!$A$6:$A$505,$C205,'SALDI AL 31.12.2025'!$D$6:$D$505))</f>
        <v/>
      </c>
      <c r="BC205" t="str">
        <f>IF($C205="","",SUMIF('MOVIMENTI 2026'!$B$7:$B$4206,$C205,'MOVIMENTI 2026'!$K$7:$K$4206)+SUMIF('SALDI AL 31.12.2025'!$A$6:$A$505,$C205,'SALDI AL 31.12.2025'!$E$6:$E$505))</f>
        <v/>
      </c>
      <c r="BD205" t="str">
        <f>IF($C205="","",SUMIF('MOVIMENTI 2026'!$B$7:$B$4206,$C205,'MOVIMENTI 2026'!$L$7:$L$4206)+SUMIF('SALDI AL 31.12.2025'!$A$6:$A$505,$C205,'SALDI AL 31.12.2025'!$F$6:$F$505))</f>
        <v/>
      </c>
      <c r="BE205" t="str">
        <f t="shared" si="86"/>
        <v/>
      </c>
      <c r="BF205" t="str">
        <f t="shared" si="87"/>
        <v/>
      </c>
      <c r="BG205" t="str">
        <f t="shared" si="88"/>
        <v/>
      </c>
      <c r="BH205" t="str">
        <f>IFERROR(IF(OR($C205="",ANAGRAFICA!$I202="",ANAGRAFICA!$J202="",ANAGRAFICA!$J202&lt;=ANAGRAFICA!$I202,$Y205=""),"",IF(OR($I205="Finito ritenute non previste",$I205="Finito con sblocco ritenute",$I205="Finito senza sblocco ritenute"),1,MAX(0,MIN(1,($Y205-ANAGRAFICA!$I202)/(ANAGRAFICA!$J202-ANAGRAFICA!$I202))))),"")</f>
        <v/>
      </c>
      <c r="BI205" t="str">
        <f t="shared" si="89"/>
        <v/>
      </c>
      <c r="BJ205" t="str">
        <f>IFERROR(IF($C205="","",'BUDGET COMMESSA'!$D202),"")</f>
        <v/>
      </c>
      <c r="BK205" t="str">
        <f>IF($C205="","",SUMIF('MOVIMENTI 2026'!$B$7:$B$4206,$C205,'MOVIMENTI 2026'!$N$7:$N$4206)+SUMIF('SALDI AL 31.12.2025'!$A$6:$A$505,$C205,'SALDI AL 31.12.2025'!$H$6:$H$505))</f>
        <v/>
      </c>
      <c r="BL205" t="str">
        <f t="shared" si="90"/>
        <v/>
      </c>
      <c r="BM205" t="str">
        <f t="shared" si="91"/>
        <v/>
      </c>
      <c r="BN205" t="str">
        <f t="shared" si="92"/>
        <v/>
      </c>
      <c r="BO205" t="str">
        <f>IFERROR(IF($C205="","",'BUDGET COMMESSA'!$G202),"")</f>
        <v/>
      </c>
      <c r="BP205" t="str">
        <f>IF($C205="","",SUMIF('COSTI DIRETTI'!$C$6:$C$505,$C205,'COSTI DIRETTI'!$H$6:$H$505)+SUMIF('SALDI AL 31.12.2025'!$A$6:$A$505,$C205,'SALDI AL 31.12.2025'!$I$6:$I$505))</f>
        <v/>
      </c>
      <c r="BQ205" t="str">
        <f t="shared" si="93"/>
        <v/>
      </c>
      <c r="BR205" t="str">
        <f t="shared" si="94"/>
        <v/>
      </c>
      <c r="BS205" t="str">
        <f>IF($C205="","",$BK205*PARAMETRI!$B$4+$BP205)</f>
        <v/>
      </c>
      <c r="BT205">
        <f t="shared" si="95"/>
        <v>0</v>
      </c>
      <c r="BU205">
        <f t="shared" si="96"/>
        <v>0</v>
      </c>
      <c r="BV205" t="str">
        <f>IF($C205="","",SUMIF('MOVIMENTI 2026'!$B$7:$B$4206,$C205,'MOVIMENTI 2026'!$P$7:$P$4206)+SUMIF('SALDI AL 31.12.2025'!$A$6:$A$505,$C205,'SALDI AL 31.12.2025'!$G$6:$G$505))</f>
        <v/>
      </c>
    </row>
    <row r="206" spans="1:74" ht="16" x14ac:dyDescent="0.15">
      <c r="A206" s="17" t="str">
        <f>IFERROR(IF($C206="","",IF(OR($BF206&gt;0,$V206&gt;$J206,AND(ISNUMBER($Q206),$Q206&gt;0),AND($BI206&lt;&gt;"",$BI206&lt;-PARAMETRI!$B$6),AND($BM206&lt;&gt;"",$BM206&gt;=1),AND($BN206&lt;&gt;"",$BN206&gt;PARAMETRI!$B$8),AND(ISNUMBER($BR206),$BR206&gt;0)),"CRITICO",IF(OR($AZ206="",LEFT($C206,5)="TEMP",$BJ206="",$BO206="",ANAGRAFICA!$I203="",ANAGRAFICA!$J203="",$Y206="",AND(OR($I206="Finito ritenute non previste",$I206="Finito con sblocco ritenute",$I206="Finito senza sblocco ritenute"),ANAGRAFICA!$K203=""),OR(AND(ANAGRAFICA!$T203&lt;&gt;"",ANAGRAFICA!$J203&lt;&gt;ANAGRAFICA!$T203,OR(ANAGRAFICA!$R203="",ANAGRAFICA!$R203="Nessuna variazione")),AND(ANAGRAFICA!$J203="",ANAGRAFICA!$R203&lt;&gt;"",ANAGRAFICA!$R203&lt;&gt;"Nessuna variazione")),AND($BI206&lt;&gt;"",$BI206&lt;-PARAMETRI!$B$5),AND($BN206&lt;&gt;"",$BN206&gt;PARAMETRI!$B$7),AND($W206&gt;0,$M206&gt;$W206*PARAMETRI!$B$9),AND($O206&gt;0,OR($I206="Finito ritenute non previste",$I206="Finito con sblocco ritenute",$I206="Finito senza sblocco ritenute")),AND($BA206&gt;0,$BO206&gt;0,$BP206=0),AND(OR($I206="Finito ritenute non previste",$I206="Finito con sblocco ritenute",$I206="Finito senza sblocco ritenute"),$W206&gt;0,$N206&gt;$W206*PARAMETRI!$B$9),$V206&gt;0),"ATTENZIONE","REGOLARE"))),"ATTENZIONE")</f>
        <v/>
      </c>
      <c r="B206" s="17" t="str">
        <f>IFERROR(IF($C206="","",IF($BF206&gt;0,"FATTURATO OLTRE VALORE RECUPERABILE; ","")&amp;IF($V206&gt;$J206,"PERDITE ACCETTATE OLTRE CONTRATTO; ","")&amp;IF($V206&gt;0,"PERDITA SAL ACCETTATA (€ "&amp;TEXT($V206,"#,##0.00")&amp;"); ","")&amp;IF(AND(ISNUMBER($Q206),$Q206&gt;0),"RITARDO PRODUTTIVO ("&amp;TEXT($Q206,"0")&amp;" GG); ","")&amp;IF(AND($BI206&lt;&gt;"",$BI206&lt;-PARAMETRI!$B$5),"AVANZAMENTO PIÙ LENTO DEL TEMPO; ","")&amp;IF(AND($BM206&lt;&gt;"",$BM206&gt;1),"ORE OLTRE BUDGET; ","")&amp;IF(AND($BM206&lt;&gt;"",$BM206=1),"ORE PREVENTIVATE ESAURITE; ","")&amp;IF(AND($BN206&lt;&gt;"",$BN206&gt;PARAMETRI!$B$7),"CONSUMO ORE SUPERIORE ALL'AVANZAMENTO; ","")&amp;IF(AND(ISNUMBER($BR206),$BR206&gt;0),"COSTI DIRETTI OLTRE BUDGET; ","")&amp;IF(AND($W206&gt;0,$M206&gt;$W206*PARAMETRI!$B$9),"SAL MATURATO NON FATTURATO; ","")&amp;IF(AND($O206&gt;0,OR($I206="Finito ritenute non previste",$I206="Finito con sblocco ritenute",$I206="Finito senza sblocco ritenute")),"RITENUTE DA SBLOCCARE; ","")&amp;IF(AND($BA206&gt;0,$BO206&gt;0,$BP206=0),"COSTI DIRETTI NON REGISTRATI; ","")&amp;IF(AND(OR($I206="Finito ritenute non previste",$I206="Finito con sblocco ritenute",$I206="Finito senza sblocco ritenute"),$W206&gt;0,$N206&gt;$W206*PARAMETRI!$B$9),"CANTIERE FINITO CON RESIDUO LAVORI; ","")&amp;IF(AND(OR($I206="Finito ritenute non previste",$I206="Finito con sblocco ritenute",$I206="Finito senza sblocco ritenute"),ANAGRAFICA!$K203=""),"DATA FINE EFFETTIVA MANCANTE; ","")&amp;IF(OR(AND(ANAGRAFICA!$T203&lt;&gt;"",ANAGRAFICA!$J203&lt;&gt;ANAGRAFICA!$T203,OR(ANAGRAFICA!$R203="",ANAGRAFICA!$R203="Nessuna variazione")),AND(ANAGRAFICA!$J203="",ANAGRAFICA!$R203&lt;&gt;"",ANAGRAFICA!$R203&lt;&gt;"Nessuna variazione")),"GESTIONE DATA FINE INCOMPLETA; ","")&amp;IF($Y206="","AGGIORNATO AL MANCANTE; ","")&amp;IF(OR($AZ206="",$BJ206="",$BO206="",ANAGRAFICA!$I203="",ANAGRAFICA!$J203=""),"DATI PREVISIONALI INCOMPLETI; ","")&amp;IF(LEFT($C206,5)="TEMP","CODICE COMMESSA TEMPORANEO; ","")),"DATI INCOMPLETI; ")</f>
        <v/>
      </c>
      <c r="C206" s="17" t="str">
        <f>IF(ANAGRAFICA!$B203="","",ANAGRAFICA!$B203)</f>
        <v/>
      </c>
      <c r="D206" s="17" t="str">
        <f>IF($C206="","",ANAGRAFICA!$C203)</f>
        <v/>
      </c>
      <c r="E206" s="17" t="str">
        <f>IF($C206="","",ANAGRAFICA!$D203)</f>
        <v/>
      </c>
      <c r="F206" s="17" t="str">
        <f>IF($C206="","",ANAGRAFICA!$E203)</f>
        <v/>
      </c>
      <c r="G206" s="17" t="str">
        <f>IF($C206="","",ANAGRAFICA!$F203)</f>
        <v/>
      </c>
      <c r="H206" s="17" t="str">
        <f>IF($C206="","",ANAGRAFICA!$G203)</f>
        <v/>
      </c>
      <c r="I206" s="17" t="str">
        <f>IF($C206="","",ANAGRAFICA!$L203)</f>
        <v/>
      </c>
      <c r="J206" s="16" t="str">
        <f t="shared" si="73"/>
        <v/>
      </c>
      <c r="K206" s="16" t="str">
        <f t="shared" si="74"/>
        <v/>
      </c>
      <c r="L206" s="16" t="str">
        <f t="shared" si="75"/>
        <v/>
      </c>
      <c r="M206" s="16" t="str">
        <f t="shared" si="76"/>
        <v/>
      </c>
      <c r="N206" s="16" t="str">
        <f t="shared" si="77"/>
        <v/>
      </c>
      <c r="O206" s="16" t="str">
        <f t="shared" si="78"/>
        <v/>
      </c>
      <c r="P206" s="17" t="str">
        <f t="shared" si="79"/>
        <v/>
      </c>
      <c r="Q206" s="31" t="str">
        <f>IF(OR($C206="",'BUDGET COMMESSA'!$D203="",'BUDGET COMMESSA'!$D203&lt;=0,ANAGRAFICA!$J203=""),"",IF(OR($I206="Finito ritenute non previste",$I206="Finito con sblocco ritenute",$I206="Finito senza sblocco ritenute"),0,IF(AND($BK206&gt;=$BJ206,ANAGRAFICA!$R203="Ritardo produttivo FIDA"),IF(ANAGRAFICA!$T203&lt;&gt;"",MAX(0,ANAGRAFICA!$J203-ANAGRAFICA!$T203),MAX(0,$Y206-ANAGRAFICA!$J203)),0)))</f>
        <v/>
      </c>
      <c r="R206" s="17" t="str">
        <f t="shared" si="80"/>
        <v/>
      </c>
      <c r="S206" s="17" t="str">
        <f t="shared" si="81"/>
        <v/>
      </c>
      <c r="T206" s="17" t="str">
        <f t="shared" si="82"/>
        <v/>
      </c>
      <c r="U206" s="16" t="str">
        <f t="shared" si="83"/>
        <v/>
      </c>
      <c r="V206" s="16" t="str">
        <f t="shared" si="84"/>
        <v/>
      </c>
      <c r="W206" s="16" t="str">
        <f t="shared" si="85"/>
        <v/>
      </c>
      <c r="X206" s="40"/>
      <c r="Y206" s="14"/>
      <c r="AZ206" t="str">
        <f>IF($C206="","",ANAGRAFICA!$P203)</f>
        <v/>
      </c>
      <c r="BA206" t="str">
        <f>IF($C206="","",SUMIF('MOVIMENTI 2026'!$B$7:$B$4206,$C206,'MOVIMENTI 2026'!$I$7:$I$4206)+SUMIF('SALDI AL 31.12.2025'!$A$6:$A$505,$C206,'SALDI AL 31.12.2025'!$C$6:$C$505))</f>
        <v/>
      </c>
      <c r="BB206" t="str">
        <f>IF($C206="","",SUMIF('MOVIMENTI 2026'!$B$7:$B$4206,$C206,'MOVIMENTI 2026'!$J$7:$J$4206)+SUMIF('SALDI AL 31.12.2025'!$A$6:$A$505,$C206,'SALDI AL 31.12.2025'!$D$6:$D$505))</f>
        <v/>
      </c>
      <c r="BC206" t="str">
        <f>IF($C206="","",SUMIF('MOVIMENTI 2026'!$B$7:$B$4206,$C206,'MOVIMENTI 2026'!$K$7:$K$4206)+SUMIF('SALDI AL 31.12.2025'!$A$6:$A$505,$C206,'SALDI AL 31.12.2025'!$E$6:$E$505))</f>
        <v/>
      </c>
      <c r="BD206" t="str">
        <f>IF($C206="","",SUMIF('MOVIMENTI 2026'!$B$7:$B$4206,$C206,'MOVIMENTI 2026'!$L$7:$L$4206)+SUMIF('SALDI AL 31.12.2025'!$A$6:$A$505,$C206,'SALDI AL 31.12.2025'!$F$6:$F$505))</f>
        <v/>
      </c>
      <c r="BE206" t="str">
        <f t="shared" si="86"/>
        <v/>
      </c>
      <c r="BF206" t="str">
        <f t="shared" si="87"/>
        <v/>
      </c>
      <c r="BG206" t="str">
        <f t="shared" si="88"/>
        <v/>
      </c>
      <c r="BH206" t="str">
        <f>IFERROR(IF(OR($C206="",ANAGRAFICA!$I203="",ANAGRAFICA!$J203="",ANAGRAFICA!$J203&lt;=ANAGRAFICA!$I203,$Y206=""),"",IF(OR($I206="Finito ritenute non previste",$I206="Finito con sblocco ritenute",$I206="Finito senza sblocco ritenute"),1,MAX(0,MIN(1,($Y206-ANAGRAFICA!$I203)/(ANAGRAFICA!$J203-ANAGRAFICA!$I203))))),"")</f>
        <v/>
      </c>
      <c r="BI206" t="str">
        <f t="shared" si="89"/>
        <v/>
      </c>
      <c r="BJ206" t="str">
        <f>IFERROR(IF($C206="","",'BUDGET COMMESSA'!$D203),"")</f>
        <v/>
      </c>
      <c r="BK206" t="str">
        <f>IF($C206="","",SUMIF('MOVIMENTI 2026'!$B$7:$B$4206,$C206,'MOVIMENTI 2026'!$N$7:$N$4206)+SUMIF('SALDI AL 31.12.2025'!$A$6:$A$505,$C206,'SALDI AL 31.12.2025'!$H$6:$H$505))</f>
        <v/>
      </c>
      <c r="BL206" t="str">
        <f t="shared" si="90"/>
        <v/>
      </c>
      <c r="BM206" t="str">
        <f t="shared" si="91"/>
        <v/>
      </c>
      <c r="BN206" t="str">
        <f t="shared" si="92"/>
        <v/>
      </c>
      <c r="BO206" t="str">
        <f>IFERROR(IF($C206="","",'BUDGET COMMESSA'!$G203),"")</f>
        <v/>
      </c>
      <c r="BP206" t="str">
        <f>IF($C206="","",SUMIF('COSTI DIRETTI'!$C$6:$C$505,$C206,'COSTI DIRETTI'!$H$6:$H$505)+SUMIF('SALDI AL 31.12.2025'!$A$6:$A$505,$C206,'SALDI AL 31.12.2025'!$I$6:$I$505))</f>
        <v/>
      </c>
      <c r="BQ206" t="str">
        <f t="shared" si="93"/>
        <v/>
      </c>
      <c r="BR206" t="str">
        <f t="shared" si="94"/>
        <v/>
      </c>
      <c r="BS206" t="str">
        <f>IF($C206="","",$BK206*PARAMETRI!$B$4+$BP206)</f>
        <v/>
      </c>
      <c r="BT206">
        <f t="shared" si="95"/>
        <v>0</v>
      </c>
      <c r="BU206">
        <f t="shared" si="96"/>
        <v>0</v>
      </c>
      <c r="BV206" t="str">
        <f>IF($C206="","",SUMIF('MOVIMENTI 2026'!$B$7:$B$4206,$C206,'MOVIMENTI 2026'!$P$7:$P$4206)+SUMIF('SALDI AL 31.12.2025'!$A$6:$A$505,$C206,'SALDI AL 31.12.2025'!$G$6:$G$505))</f>
        <v/>
      </c>
    </row>
    <row r="207" spans="1:74" ht="16" x14ac:dyDescent="0.15">
      <c r="A207" s="17" t="str">
        <f>IFERROR(IF($C207="","",IF(OR($BF207&gt;0,$V207&gt;$J207,AND(ISNUMBER($Q207),$Q207&gt;0),AND($BI207&lt;&gt;"",$BI207&lt;-PARAMETRI!$B$6),AND($BM207&lt;&gt;"",$BM207&gt;=1),AND($BN207&lt;&gt;"",$BN207&gt;PARAMETRI!$B$8),AND(ISNUMBER($BR207),$BR207&gt;0)),"CRITICO",IF(OR($AZ207="",LEFT($C207,5)="TEMP",$BJ207="",$BO207="",ANAGRAFICA!$I204="",ANAGRAFICA!$J204="",$Y207="",AND(OR($I207="Finito ritenute non previste",$I207="Finito con sblocco ritenute",$I207="Finito senza sblocco ritenute"),ANAGRAFICA!$K204=""),OR(AND(ANAGRAFICA!$T204&lt;&gt;"",ANAGRAFICA!$J204&lt;&gt;ANAGRAFICA!$T204,OR(ANAGRAFICA!$R204="",ANAGRAFICA!$R204="Nessuna variazione")),AND(ANAGRAFICA!$J204="",ANAGRAFICA!$R204&lt;&gt;"",ANAGRAFICA!$R204&lt;&gt;"Nessuna variazione")),AND($BI207&lt;&gt;"",$BI207&lt;-PARAMETRI!$B$5),AND($BN207&lt;&gt;"",$BN207&gt;PARAMETRI!$B$7),AND($W207&gt;0,$M207&gt;$W207*PARAMETRI!$B$9),AND($O207&gt;0,OR($I207="Finito ritenute non previste",$I207="Finito con sblocco ritenute",$I207="Finito senza sblocco ritenute")),AND($BA207&gt;0,$BO207&gt;0,$BP207=0),AND(OR($I207="Finito ritenute non previste",$I207="Finito con sblocco ritenute",$I207="Finito senza sblocco ritenute"),$W207&gt;0,$N207&gt;$W207*PARAMETRI!$B$9),$V207&gt;0),"ATTENZIONE","REGOLARE"))),"ATTENZIONE")</f>
        <v/>
      </c>
      <c r="B207" s="17" t="str">
        <f>IFERROR(IF($C207="","",IF($BF207&gt;0,"FATTURATO OLTRE VALORE RECUPERABILE; ","")&amp;IF($V207&gt;$J207,"PERDITE ACCETTATE OLTRE CONTRATTO; ","")&amp;IF($V207&gt;0,"PERDITA SAL ACCETTATA (€ "&amp;TEXT($V207,"#,##0.00")&amp;"); ","")&amp;IF(AND(ISNUMBER($Q207),$Q207&gt;0),"RITARDO PRODUTTIVO ("&amp;TEXT($Q207,"0")&amp;" GG); ","")&amp;IF(AND($BI207&lt;&gt;"",$BI207&lt;-PARAMETRI!$B$5),"AVANZAMENTO PIÙ LENTO DEL TEMPO; ","")&amp;IF(AND($BM207&lt;&gt;"",$BM207&gt;1),"ORE OLTRE BUDGET; ","")&amp;IF(AND($BM207&lt;&gt;"",$BM207=1),"ORE PREVENTIVATE ESAURITE; ","")&amp;IF(AND($BN207&lt;&gt;"",$BN207&gt;PARAMETRI!$B$7),"CONSUMO ORE SUPERIORE ALL'AVANZAMENTO; ","")&amp;IF(AND(ISNUMBER($BR207),$BR207&gt;0),"COSTI DIRETTI OLTRE BUDGET; ","")&amp;IF(AND($W207&gt;0,$M207&gt;$W207*PARAMETRI!$B$9),"SAL MATURATO NON FATTURATO; ","")&amp;IF(AND($O207&gt;0,OR($I207="Finito ritenute non previste",$I207="Finito con sblocco ritenute",$I207="Finito senza sblocco ritenute")),"RITENUTE DA SBLOCCARE; ","")&amp;IF(AND($BA207&gt;0,$BO207&gt;0,$BP207=0),"COSTI DIRETTI NON REGISTRATI; ","")&amp;IF(AND(OR($I207="Finito ritenute non previste",$I207="Finito con sblocco ritenute",$I207="Finito senza sblocco ritenute"),$W207&gt;0,$N207&gt;$W207*PARAMETRI!$B$9),"CANTIERE FINITO CON RESIDUO LAVORI; ","")&amp;IF(AND(OR($I207="Finito ritenute non previste",$I207="Finito con sblocco ritenute",$I207="Finito senza sblocco ritenute"),ANAGRAFICA!$K204=""),"DATA FINE EFFETTIVA MANCANTE; ","")&amp;IF(OR(AND(ANAGRAFICA!$T204&lt;&gt;"",ANAGRAFICA!$J204&lt;&gt;ANAGRAFICA!$T204,OR(ANAGRAFICA!$R204="",ANAGRAFICA!$R204="Nessuna variazione")),AND(ANAGRAFICA!$J204="",ANAGRAFICA!$R204&lt;&gt;"",ANAGRAFICA!$R204&lt;&gt;"Nessuna variazione")),"GESTIONE DATA FINE INCOMPLETA; ","")&amp;IF($Y207="","AGGIORNATO AL MANCANTE; ","")&amp;IF(OR($AZ207="",$BJ207="",$BO207="",ANAGRAFICA!$I204="",ANAGRAFICA!$J204=""),"DATI PREVISIONALI INCOMPLETI; ","")&amp;IF(LEFT($C207,5)="TEMP","CODICE COMMESSA TEMPORANEO; ","")),"DATI INCOMPLETI; ")</f>
        <v/>
      </c>
      <c r="C207" s="17" t="str">
        <f>IF(ANAGRAFICA!$B204="","",ANAGRAFICA!$B204)</f>
        <v/>
      </c>
      <c r="D207" s="17" t="str">
        <f>IF($C207="","",ANAGRAFICA!$C204)</f>
        <v/>
      </c>
      <c r="E207" s="17" t="str">
        <f>IF($C207="","",ANAGRAFICA!$D204)</f>
        <v/>
      </c>
      <c r="F207" s="17" t="str">
        <f>IF($C207="","",ANAGRAFICA!$E204)</f>
        <v/>
      </c>
      <c r="G207" s="17" t="str">
        <f>IF($C207="","",ANAGRAFICA!$F204)</f>
        <v/>
      </c>
      <c r="H207" s="17" t="str">
        <f>IF($C207="","",ANAGRAFICA!$G204)</f>
        <v/>
      </c>
      <c r="I207" s="17" t="str">
        <f>IF($C207="","",ANAGRAFICA!$L204)</f>
        <v/>
      </c>
      <c r="J207" s="16" t="str">
        <f t="shared" si="73"/>
        <v/>
      </c>
      <c r="K207" s="16" t="str">
        <f t="shared" si="74"/>
        <v/>
      </c>
      <c r="L207" s="16" t="str">
        <f t="shared" si="75"/>
        <v/>
      </c>
      <c r="M207" s="16" t="str">
        <f t="shared" si="76"/>
        <v/>
      </c>
      <c r="N207" s="16" t="str">
        <f t="shared" si="77"/>
        <v/>
      </c>
      <c r="O207" s="16" t="str">
        <f t="shared" si="78"/>
        <v/>
      </c>
      <c r="P207" s="17" t="str">
        <f t="shared" si="79"/>
        <v/>
      </c>
      <c r="Q207" s="31" t="str">
        <f>IF(OR($C207="",'BUDGET COMMESSA'!$D204="",'BUDGET COMMESSA'!$D204&lt;=0,ANAGRAFICA!$J204=""),"",IF(OR($I207="Finito ritenute non previste",$I207="Finito con sblocco ritenute",$I207="Finito senza sblocco ritenute"),0,IF(AND($BK207&gt;=$BJ207,ANAGRAFICA!$R204="Ritardo produttivo FIDA"),IF(ANAGRAFICA!$T204&lt;&gt;"",MAX(0,ANAGRAFICA!$J204-ANAGRAFICA!$T204),MAX(0,$Y207-ANAGRAFICA!$J204)),0)))</f>
        <v/>
      </c>
      <c r="R207" s="17" t="str">
        <f t="shared" si="80"/>
        <v/>
      </c>
      <c r="S207" s="17" t="str">
        <f t="shared" si="81"/>
        <v/>
      </c>
      <c r="T207" s="17" t="str">
        <f t="shared" si="82"/>
        <v/>
      </c>
      <c r="U207" s="16" t="str">
        <f t="shared" si="83"/>
        <v/>
      </c>
      <c r="V207" s="16" t="str">
        <f t="shared" si="84"/>
        <v/>
      </c>
      <c r="W207" s="16" t="str">
        <f t="shared" si="85"/>
        <v/>
      </c>
      <c r="X207" s="40"/>
      <c r="Y207" s="14"/>
      <c r="AZ207" t="str">
        <f>IF($C207="","",ANAGRAFICA!$P204)</f>
        <v/>
      </c>
      <c r="BA207" t="str">
        <f>IF($C207="","",SUMIF('MOVIMENTI 2026'!$B$7:$B$4206,$C207,'MOVIMENTI 2026'!$I$7:$I$4206)+SUMIF('SALDI AL 31.12.2025'!$A$6:$A$505,$C207,'SALDI AL 31.12.2025'!$C$6:$C$505))</f>
        <v/>
      </c>
      <c r="BB207" t="str">
        <f>IF($C207="","",SUMIF('MOVIMENTI 2026'!$B$7:$B$4206,$C207,'MOVIMENTI 2026'!$J$7:$J$4206)+SUMIF('SALDI AL 31.12.2025'!$A$6:$A$505,$C207,'SALDI AL 31.12.2025'!$D$6:$D$505))</f>
        <v/>
      </c>
      <c r="BC207" t="str">
        <f>IF($C207="","",SUMIF('MOVIMENTI 2026'!$B$7:$B$4206,$C207,'MOVIMENTI 2026'!$K$7:$K$4206)+SUMIF('SALDI AL 31.12.2025'!$A$6:$A$505,$C207,'SALDI AL 31.12.2025'!$E$6:$E$505))</f>
        <v/>
      </c>
      <c r="BD207" t="str">
        <f>IF($C207="","",SUMIF('MOVIMENTI 2026'!$B$7:$B$4206,$C207,'MOVIMENTI 2026'!$L$7:$L$4206)+SUMIF('SALDI AL 31.12.2025'!$A$6:$A$505,$C207,'SALDI AL 31.12.2025'!$F$6:$F$505))</f>
        <v/>
      </c>
      <c r="BE207" t="str">
        <f t="shared" si="86"/>
        <v/>
      </c>
      <c r="BF207" t="str">
        <f t="shared" si="87"/>
        <v/>
      </c>
      <c r="BG207" t="str">
        <f t="shared" si="88"/>
        <v/>
      </c>
      <c r="BH207" t="str">
        <f>IFERROR(IF(OR($C207="",ANAGRAFICA!$I204="",ANAGRAFICA!$J204="",ANAGRAFICA!$J204&lt;=ANAGRAFICA!$I204,$Y207=""),"",IF(OR($I207="Finito ritenute non previste",$I207="Finito con sblocco ritenute",$I207="Finito senza sblocco ritenute"),1,MAX(0,MIN(1,($Y207-ANAGRAFICA!$I204)/(ANAGRAFICA!$J204-ANAGRAFICA!$I204))))),"")</f>
        <v/>
      </c>
      <c r="BI207" t="str">
        <f t="shared" si="89"/>
        <v/>
      </c>
      <c r="BJ207" t="str">
        <f>IFERROR(IF($C207="","",'BUDGET COMMESSA'!$D204),"")</f>
        <v/>
      </c>
      <c r="BK207" t="str">
        <f>IF($C207="","",SUMIF('MOVIMENTI 2026'!$B$7:$B$4206,$C207,'MOVIMENTI 2026'!$N$7:$N$4206)+SUMIF('SALDI AL 31.12.2025'!$A$6:$A$505,$C207,'SALDI AL 31.12.2025'!$H$6:$H$505))</f>
        <v/>
      </c>
      <c r="BL207" t="str">
        <f t="shared" si="90"/>
        <v/>
      </c>
      <c r="BM207" t="str">
        <f t="shared" si="91"/>
        <v/>
      </c>
      <c r="BN207" t="str">
        <f t="shared" si="92"/>
        <v/>
      </c>
      <c r="BO207" t="str">
        <f>IFERROR(IF($C207="","",'BUDGET COMMESSA'!$G204),"")</f>
        <v/>
      </c>
      <c r="BP207" t="str">
        <f>IF($C207="","",SUMIF('COSTI DIRETTI'!$C$6:$C$505,$C207,'COSTI DIRETTI'!$H$6:$H$505)+SUMIF('SALDI AL 31.12.2025'!$A$6:$A$505,$C207,'SALDI AL 31.12.2025'!$I$6:$I$505))</f>
        <v/>
      </c>
      <c r="BQ207" t="str">
        <f t="shared" si="93"/>
        <v/>
      </c>
      <c r="BR207" t="str">
        <f t="shared" si="94"/>
        <v/>
      </c>
      <c r="BS207" t="str">
        <f>IF($C207="","",$BK207*PARAMETRI!$B$4+$BP207)</f>
        <v/>
      </c>
      <c r="BT207">
        <f t="shared" si="95"/>
        <v>0</v>
      </c>
      <c r="BU207">
        <f t="shared" si="96"/>
        <v>0</v>
      </c>
      <c r="BV207" t="str">
        <f>IF($C207="","",SUMIF('MOVIMENTI 2026'!$B$7:$B$4206,$C207,'MOVIMENTI 2026'!$P$7:$P$4206)+SUMIF('SALDI AL 31.12.2025'!$A$6:$A$505,$C207,'SALDI AL 31.12.2025'!$G$6:$G$505))</f>
        <v/>
      </c>
    </row>
    <row r="208" spans="1:74" ht="16" x14ac:dyDescent="0.15">
      <c r="A208" s="17" t="str">
        <f>IFERROR(IF($C208="","",IF(OR($BF208&gt;0,$V208&gt;$J208,AND(ISNUMBER($Q208),$Q208&gt;0),AND($BI208&lt;&gt;"",$BI208&lt;-PARAMETRI!$B$6),AND($BM208&lt;&gt;"",$BM208&gt;=1),AND($BN208&lt;&gt;"",$BN208&gt;PARAMETRI!$B$8),AND(ISNUMBER($BR208),$BR208&gt;0)),"CRITICO",IF(OR($AZ208="",LEFT($C208,5)="TEMP",$BJ208="",$BO208="",ANAGRAFICA!$I205="",ANAGRAFICA!$J205="",$Y208="",AND(OR($I208="Finito ritenute non previste",$I208="Finito con sblocco ritenute",$I208="Finito senza sblocco ritenute"),ANAGRAFICA!$K205=""),OR(AND(ANAGRAFICA!$T205&lt;&gt;"",ANAGRAFICA!$J205&lt;&gt;ANAGRAFICA!$T205,OR(ANAGRAFICA!$R205="",ANAGRAFICA!$R205="Nessuna variazione")),AND(ANAGRAFICA!$J205="",ANAGRAFICA!$R205&lt;&gt;"",ANAGRAFICA!$R205&lt;&gt;"Nessuna variazione")),AND($BI208&lt;&gt;"",$BI208&lt;-PARAMETRI!$B$5),AND($BN208&lt;&gt;"",$BN208&gt;PARAMETRI!$B$7),AND($W208&gt;0,$M208&gt;$W208*PARAMETRI!$B$9),AND($O208&gt;0,OR($I208="Finito ritenute non previste",$I208="Finito con sblocco ritenute",$I208="Finito senza sblocco ritenute")),AND($BA208&gt;0,$BO208&gt;0,$BP208=0),AND(OR($I208="Finito ritenute non previste",$I208="Finito con sblocco ritenute",$I208="Finito senza sblocco ritenute"),$W208&gt;0,$N208&gt;$W208*PARAMETRI!$B$9),$V208&gt;0),"ATTENZIONE","REGOLARE"))),"ATTENZIONE")</f>
        <v/>
      </c>
      <c r="B208" s="17" t="str">
        <f>IFERROR(IF($C208="","",IF($BF208&gt;0,"FATTURATO OLTRE VALORE RECUPERABILE; ","")&amp;IF($V208&gt;$J208,"PERDITE ACCETTATE OLTRE CONTRATTO; ","")&amp;IF($V208&gt;0,"PERDITA SAL ACCETTATA (€ "&amp;TEXT($V208,"#,##0.00")&amp;"); ","")&amp;IF(AND(ISNUMBER($Q208),$Q208&gt;0),"RITARDO PRODUTTIVO ("&amp;TEXT($Q208,"0")&amp;" GG); ","")&amp;IF(AND($BI208&lt;&gt;"",$BI208&lt;-PARAMETRI!$B$5),"AVANZAMENTO PIÙ LENTO DEL TEMPO; ","")&amp;IF(AND($BM208&lt;&gt;"",$BM208&gt;1),"ORE OLTRE BUDGET; ","")&amp;IF(AND($BM208&lt;&gt;"",$BM208=1),"ORE PREVENTIVATE ESAURITE; ","")&amp;IF(AND($BN208&lt;&gt;"",$BN208&gt;PARAMETRI!$B$7),"CONSUMO ORE SUPERIORE ALL'AVANZAMENTO; ","")&amp;IF(AND(ISNUMBER($BR208),$BR208&gt;0),"COSTI DIRETTI OLTRE BUDGET; ","")&amp;IF(AND($W208&gt;0,$M208&gt;$W208*PARAMETRI!$B$9),"SAL MATURATO NON FATTURATO; ","")&amp;IF(AND($O208&gt;0,OR($I208="Finito ritenute non previste",$I208="Finito con sblocco ritenute",$I208="Finito senza sblocco ritenute")),"RITENUTE DA SBLOCCARE; ","")&amp;IF(AND($BA208&gt;0,$BO208&gt;0,$BP208=0),"COSTI DIRETTI NON REGISTRATI; ","")&amp;IF(AND(OR($I208="Finito ritenute non previste",$I208="Finito con sblocco ritenute",$I208="Finito senza sblocco ritenute"),$W208&gt;0,$N208&gt;$W208*PARAMETRI!$B$9),"CANTIERE FINITO CON RESIDUO LAVORI; ","")&amp;IF(AND(OR($I208="Finito ritenute non previste",$I208="Finito con sblocco ritenute",$I208="Finito senza sblocco ritenute"),ANAGRAFICA!$K205=""),"DATA FINE EFFETTIVA MANCANTE; ","")&amp;IF(OR(AND(ANAGRAFICA!$T205&lt;&gt;"",ANAGRAFICA!$J205&lt;&gt;ANAGRAFICA!$T205,OR(ANAGRAFICA!$R205="",ANAGRAFICA!$R205="Nessuna variazione")),AND(ANAGRAFICA!$J205="",ANAGRAFICA!$R205&lt;&gt;"",ANAGRAFICA!$R205&lt;&gt;"Nessuna variazione")),"GESTIONE DATA FINE INCOMPLETA; ","")&amp;IF($Y208="","AGGIORNATO AL MANCANTE; ","")&amp;IF(OR($AZ208="",$BJ208="",$BO208="",ANAGRAFICA!$I205="",ANAGRAFICA!$J205=""),"DATI PREVISIONALI INCOMPLETI; ","")&amp;IF(LEFT($C208,5)="TEMP","CODICE COMMESSA TEMPORANEO; ","")),"DATI INCOMPLETI; ")</f>
        <v/>
      </c>
      <c r="C208" s="17" t="str">
        <f>IF(ANAGRAFICA!$B205="","",ANAGRAFICA!$B205)</f>
        <v/>
      </c>
      <c r="D208" s="17" t="str">
        <f>IF($C208="","",ANAGRAFICA!$C205)</f>
        <v/>
      </c>
      <c r="E208" s="17" t="str">
        <f>IF($C208="","",ANAGRAFICA!$D205)</f>
        <v/>
      </c>
      <c r="F208" s="17" t="str">
        <f>IF($C208="","",ANAGRAFICA!$E205)</f>
        <v/>
      </c>
      <c r="G208" s="17" t="str">
        <f>IF($C208="","",ANAGRAFICA!$F205)</f>
        <v/>
      </c>
      <c r="H208" s="17" t="str">
        <f>IF($C208="","",ANAGRAFICA!$G205)</f>
        <v/>
      </c>
      <c r="I208" s="17" t="str">
        <f>IF($C208="","",ANAGRAFICA!$L205)</f>
        <v/>
      </c>
      <c r="J208" s="16" t="str">
        <f t="shared" si="73"/>
        <v/>
      </c>
      <c r="K208" s="16" t="str">
        <f t="shared" si="74"/>
        <v/>
      </c>
      <c r="L208" s="16" t="str">
        <f t="shared" si="75"/>
        <v/>
      </c>
      <c r="M208" s="16" t="str">
        <f t="shared" si="76"/>
        <v/>
      </c>
      <c r="N208" s="16" t="str">
        <f t="shared" si="77"/>
        <v/>
      </c>
      <c r="O208" s="16" t="str">
        <f t="shared" si="78"/>
        <v/>
      </c>
      <c r="P208" s="17" t="str">
        <f t="shared" si="79"/>
        <v/>
      </c>
      <c r="Q208" s="31" t="str">
        <f>IF(OR($C208="",'BUDGET COMMESSA'!$D205="",'BUDGET COMMESSA'!$D205&lt;=0,ANAGRAFICA!$J205=""),"",IF(OR($I208="Finito ritenute non previste",$I208="Finito con sblocco ritenute",$I208="Finito senza sblocco ritenute"),0,IF(AND($BK208&gt;=$BJ208,ANAGRAFICA!$R205="Ritardo produttivo FIDA"),IF(ANAGRAFICA!$T205&lt;&gt;"",MAX(0,ANAGRAFICA!$J205-ANAGRAFICA!$T205),MAX(0,$Y208-ANAGRAFICA!$J205)),0)))</f>
        <v/>
      </c>
      <c r="R208" s="17" t="str">
        <f t="shared" si="80"/>
        <v/>
      </c>
      <c r="S208" s="17" t="str">
        <f t="shared" si="81"/>
        <v/>
      </c>
      <c r="T208" s="17" t="str">
        <f t="shared" si="82"/>
        <v/>
      </c>
      <c r="U208" s="16" t="str">
        <f t="shared" si="83"/>
        <v/>
      </c>
      <c r="V208" s="16" t="str">
        <f t="shared" si="84"/>
        <v/>
      </c>
      <c r="W208" s="16" t="str">
        <f t="shared" si="85"/>
        <v/>
      </c>
      <c r="X208" s="40"/>
      <c r="Y208" s="14"/>
      <c r="AZ208" t="str">
        <f>IF($C208="","",ANAGRAFICA!$P205)</f>
        <v/>
      </c>
      <c r="BA208" t="str">
        <f>IF($C208="","",SUMIF('MOVIMENTI 2026'!$B$7:$B$4206,$C208,'MOVIMENTI 2026'!$I$7:$I$4206)+SUMIF('SALDI AL 31.12.2025'!$A$6:$A$505,$C208,'SALDI AL 31.12.2025'!$C$6:$C$505))</f>
        <v/>
      </c>
      <c r="BB208" t="str">
        <f>IF($C208="","",SUMIF('MOVIMENTI 2026'!$B$7:$B$4206,$C208,'MOVIMENTI 2026'!$J$7:$J$4206)+SUMIF('SALDI AL 31.12.2025'!$A$6:$A$505,$C208,'SALDI AL 31.12.2025'!$D$6:$D$505))</f>
        <v/>
      </c>
      <c r="BC208" t="str">
        <f>IF($C208="","",SUMIF('MOVIMENTI 2026'!$B$7:$B$4206,$C208,'MOVIMENTI 2026'!$K$7:$K$4206)+SUMIF('SALDI AL 31.12.2025'!$A$6:$A$505,$C208,'SALDI AL 31.12.2025'!$E$6:$E$505))</f>
        <v/>
      </c>
      <c r="BD208" t="str">
        <f>IF($C208="","",SUMIF('MOVIMENTI 2026'!$B$7:$B$4206,$C208,'MOVIMENTI 2026'!$L$7:$L$4206)+SUMIF('SALDI AL 31.12.2025'!$A$6:$A$505,$C208,'SALDI AL 31.12.2025'!$F$6:$F$505))</f>
        <v/>
      </c>
      <c r="BE208" t="str">
        <f t="shared" si="86"/>
        <v/>
      </c>
      <c r="BF208" t="str">
        <f t="shared" si="87"/>
        <v/>
      </c>
      <c r="BG208" t="str">
        <f t="shared" si="88"/>
        <v/>
      </c>
      <c r="BH208" t="str">
        <f>IFERROR(IF(OR($C208="",ANAGRAFICA!$I205="",ANAGRAFICA!$J205="",ANAGRAFICA!$J205&lt;=ANAGRAFICA!$I205,$Y208=""),"",IF(OR($I208="Finito ritenute non previste",$I208="Finito con sblocco ritenute",$I208="Finito senza sblocco ritenute"),1,MAX(0,MIN(1,($Y208-ANAGRAFICA!$I205)/(ANAGRAFICA!$J205-ANAGRAFICA!$I205))))),"")</f>
        <v/>
      </c>
      <c r="BI208" t="str">
        <f t="shared" si="89"/>
        <v/>
      </c>
      <c r="BJ208" t="str">
        <f>IFERROR(IF($C208="","",'BUDGET COMMESSA'!$D205),"")</f>
        <v/>
      </c>
      <c r="BK208" t="str">
        <f>IF($C208="","",SUMIF('MOVIMENTI 2026'!$B$7:$B$4206,$C208,'MOVIMENTI 2026'!$N$7:$N$4206)+SUMIF('SALDI AL 31.12.2025'!$A$6:$A$505,$C208,'SALDI AL 31.12.2025'!$H$6:$H$505))</f>
        <v/>
      </c>
      <c r="BL208" t="str">
        <f t="shared" si="90"/>
        <v/>
      </c>
      <c r="BM208" t="str">
        <f t="shared" si="91"/>
        <v/>
      </c>
      <c r="BN208" t="str">
        <f t="shared" si="92"/>
        <v/>
      </c>
      <c r="BO208" t="str">
        <f>IFERROR(IF($C208="","",'BUDGET COMMESSA'!$G205),"")</f>
        <v/>
      </c>
      <c r="BP208" t="str">
        <f>IF($C208="","",SUMIF('COSTI DIRETTI'!$C$6:$C$505,$C208,'COSTI DIRETTI'!$H$6:$H$505)+SUMIF('SALDI AL 31.12.2025'!$A$6:$A$505,$C208,'SALDI AL 31.12.2025'!$I$6:$I$505))</f>
        <v/>
      </c>
      <c r="BQ208" t="str">
        <f t="shared" si="93"/>
        <v/>
      </c>
      <c r="BR208" t="str">
        <f t="shared" si="94"/>
        <v/>
      </c>
      <c r="BS208" t="str">
        <f>IF($C208="","",$BK208*PARAMETRI!$B$4+$BP208)</f>
        <v/>
      </c>
      <c r="BT208">
        <f t="shared" si="95"/>
        <v>0</v>
      </c>
      <c r="BU208">
        <f t="shared" si="96"/>
        <v>0</v>
      </c>
      <c r="BV208" t="str">
        <f>IF($C208="","",SUMIF('MOVIMENTI 2026'!$B$7:$B$4206,$C208,'MOVIMENTI 2026'!$P$7:$P$4206)+SUMIF('SALDI AL 31.12.2025'!$A$6:$A$505,$C208,'SALDI AL 31.12.2025'!$G$6:$G$505))</f>
        <v/>
      </c>
    </row>
    <row r="209" spans="1:74" ht="16" x14ac:dyDescent="0.15">
      <c r="A209" s="17" t="str">
        <f>IFERROR(IF($C209="","",IF(OR($BF209&gt;0,$V209&gt;$J209,AND(ISNUMBER($Q209),$Q209&gt;0),AND($BI209&lt;&gt;"",$BI209&lt;-PARAMETRI!$B$6),AND($BM209&lt;&gt;"",$BM209&gt;=1),AND($BN209&lt;&gt;"",$BN209&gt;PARAMETRI!$B$8),AND(ISNUMBER($BR209),$BR209&gt;0)),"CRITICO",IF(OR($AZ209="",LEFT($C209,5)="TEMP",$BJ209="",$BO209="",ANAGRAFICA!$I206="",ANAGRAFICA!$J206="",$Y209="",AND(OR($I209="Finito ritenute non previste",$I209="Finito con sblocco ritenute",$I209="Finito senza sblocco ritenute"),ANAGRAFICA!$K206=""),OR(AND(ANAGRAFICA!$T206&lt;&gt;"",ANAGRAFICA!$J206&lt;&gt;ANAGRAFICA!$T206,OR(ANAGRAFICA!$R206="",ANAGRAFICA!$R206="Nessuna variazione")),AND(ANAGRAFICA!$J206="",ANAGRAFICA!$R206&lt;&gt;"",ANAGRAFICA!$R206&lt;&gt;"Nessuna variazione")),AND($BI209&lt;&gt;"",$BI209&lt;-PARAMETRI!$B$5),AND($BN209&lt;&gt;"",$BN209&gt;PARAMETRI!$B$7),AND($W209&gt;0,$M209&gt;$W209*PARAMETRI!$B$9),AND($O209&gt;0,OR($I209="Finito ritenute non previste",$I209="Finito con sblocco ritenute",$I209="Finito senza sblocco ritenute")),AND($BA209&gt;0,$BO209&gt;0,$BP209=0),AND(OR($I209="Finito ritenute non previste",$I209="Finito con sblocco ritenute",$I209="Finito senza sblocco ritenute"),$W209&gt;0,$N209&gt;$W209*PARAMETRI!$B$9),$V209&gt;0),"ATTENZIONE","REGOLARE"))),"ATTENZIONE")</f>
        <v/>
      </c>
      <c r="B209" s="17" t="str">
        <f>IFERROR(IF($C209="","",IF($BF209&gt;0,"FATTURATO OLTRE VALORE RECUPERABILE; ","")&amp;IF($V209&gt;$J209,"PERDITE ACCETTATE OLTRE CONTRATTO; ","")&amp;IF($V209&gt;0,"PERDITA SAL ACCETTATA (€ "&amp;TEXT($V209,"#,##0.00")&amp;"); ","")&amp;IF(AND(ISNUMBER($Q209),$Q209&gt;0),"RITARDO PRODUTTIVO ("&amp;TEXT($Q209,"0")&amp;" GG); ","")&amp;IF(AND($BI209&lt;&gt;"",$BI209&lt;-PARAMETRI!$B$5),"AVANZAMENTO PIÙ LENTO DEL TEMPO; ","")&amp;IF(AND($BM209&lt;&gt;"",$BM209&gt;1),"ORE OLTRE BUDGET; ","")&amp;IF(AND($BM209&lt;&gt;"",$BM209=1),"ORE PREVENTIVATE ESAURITE; ","")&amp;IF(AND($BN209&lt;&gt;"",$BN209&gt;PARAMETRI!$B$7),"CONSUMO ORE SUPERIORE ALL'AVANZAMENTO; ","")&amp;IF(AND(ISNUMBER($BR209),$BR209&gt;0),"COSTI DIRETTI OLTRE BUDGET; ","")&amp;IF(AND($W209&gt;0,$M209&gt;$W209*PARAMETRI!$B$9),"SAL MATURATO NON FATTURATO; ","")&amp;IF(AND($O209&gt;0,OR($I209="Finito ritenute non previste",$I209="Finito con sblocco ritenute",$I209="Finito senza sblocco ritenute")),"RITENUTE DA SBLOCCARE; ","")&amp;IF(AND($BA209&gt;0,$BO209&gt;0,$BP209=0),"COSTI DIRETTI NON REGISTRATI; ","")&amp;IF(AND(OR($I209="Finito ritenute non previste",$I209="Finito con sblocco ritenute",$I209="Finito senza sblocco ritenute"),$W209&gt;0,$N209&gt;$W209*PARAMETRI!$B$9),"CANTIERE FINITO CON RESIDUO LAVORI; ","")&amp;IF(AND(OR($I209="Finito ritenute non previste",$I209="Finito con sblocco ritenute",$I209="Finito senza sblocco ritenute"),ANAGRAFICA!$K206=""),"DATA FINE EFFETTIVA MANCANTE; ","")&amp;IF(OR(AND(ANAGRAFICA!$T206&lt;&gt;"",ANAGRAFICA!$J206&lt;&gt;ANAGRAFICA!$T206,OR(ANAGRAFICA!$R206="",ANAGRAFICA!$R206="Nessuna variazione")),AND(ANAGRAFICA!$J206="",ANAGRAFICA!$R206&lt;&gt;"",ANAGRAFICA!$R206&lt;&gt;"Nessuna variazione")),"GESTIONE DATA FINE INCOMPLETA; ","")&amp;IF($Y209="","AGGIORNATO AL MANCANTE; ","")&amp;IF(OR($AZ209="",$BJ209="",$BO209="",ANAGRAFICA!$I206="",ANAGRAFICA!$J206=""),"DATI PREVISIONALI INCOMPLETI; ","")&amp;IF(LEFT($C209,5)="TEMP","CODICE COMMESSA TEMPORANEO; ","")),"DATI INCOMPLETI; ")</f>
        <v/>
      </c>
      <c r="C209" s="17" t="str">
        <f>IF(ANAGRAFICA!$B206="","",ANAGRAFICA!$B206)</f>
        <v/>
      </c>
      <c r="D209" s="17" t="str">
        <f>IF($C209="","",ANAGRAFICA!$C206)</f>
        <v/>
      </c>
      <c r="E209" s="17" t="str">
        <f>IF($C209="","",ANAGRAFICA!$D206)</f>
        <v/>
      </c>
      <c r="F209" s="17" t="str">
        <f>IF($C209="","",ANAGRAFICA!$E206)</f>
        <v/>
      </c>
      <c r="G209" s="17" t="str">
        <f>IF($C209="","",ANAGRAFICA!$F206)</f>
        <v/>
      </c>
      <c r="H209" s="17" t="str">
        <f>IF($C209="","",ANAGRAFICA!$G206)</f>
        <v/>
      </c>
      <c r="I209" s="17" t="str">
        <f>IF($C209="","",ANAGRAFICA!$L206)</f>
        <v/>
      </c>
      <c r="J209" s="16" t="str">
        <f t="shared" si="73"/>
        <v/>
      </c>
      <c r="K209" s="16" t="str">
        <f t="shared" si="74"/>
        <v/>
      </c>
      <c r="L209" s="16" t="str">
        <f t="shared" si="75"/>
        <v/>
      </c>
      <c r="M209" s="16" t="str">
        <f t="shared" si="76"/>
        <v/>
      </c>
      <c r="N209" s="16" t="str">
        <f t="shared" si="77"/>
        <v/>
      </c>
      <c r="O209" s="16" t="str">
        <f t="shared" si="78"/>
        <v/>
      </c>
      <c r="P209" s="17" t="str">
        <f t="shared" si="79"/>
        <v/>
      </c>
      <c r="Q209" s="31" t="str">
        <f>IF(OR($C209="",'BUDGET COMMESSA'!$D206="",'BUDGET COMMESSA'!$D206&lt;=0,ANAGRAFICA!$J206=""),"",IF(OR($I209="Finito ritenute non previste",$I209="Finito con sblocco ritenute",$I209="Finito senza sblocco ritenute"),0,IF(AND($BK209&gt;=$BJ209,ANAGRAFICA!$R206="Ritardo produttivo FIDA"),IF(ANAGRAFICA!$T206&lt;&gt;"",MAX(0,ANAGRAFICA!$J206-ANAGRAFICA!$T206),MAX(0,$Y209-ANAGRAFICA!$J206)),0)))</f>
        <v/>
      </c>
      <c r="R209" s="17" t="str">
        <f t="shared" si="80"/>
        <v/>
      </c>
      <c r="S209" s="17" t="str">
        <f t="shared" si="81"/>
        <v/>
      </c>
      <c r="T209" s="17" t="str">
        <f t="shared" si="82"/>
        <v/>
      </c>
      <c r="U209" s="16" t="str">
        <f t="shared" si="83"/>
        <v/>
      </c>
      <c r="V209" s="16" t="str">
        <f t="shared" si="84"/>
        <v/>
      </c>
      <c r="W209" s="16" t="str">
        <f t="shared" si="85"/>
        <v/>
      </c>
      <c r="X209" s="40"/>
      <c r="Y209" s="14"/>
      <c r="AZ209" t="str">
        <f>IF($C209="","",ANAGRAFICA!$P206)</f>
        <v/>
      </c>
      <c r="BA209" t="str">
        <f>IF($C209="","",SUMIF('MOVIMENTI 2026'!$B$7:$B$4206,$C209,'MOVIMENTI 2026'!$I$7:$I$4206)+SUMIF('SALDI AL 31.12.2025'!$A$6:$A$505,$C209,'SALDI AL 31.12.2025'!$C$6:$C$505))</f>
        <v/>
      </c>
      <c r="BB209" t="str">
        <f>IF($C209="","",SUMIF('MOVIMENTI 2026'!$B$7:$B$4206,$C209,'MOVIMENTI 2026'!$J$7:$J$4206)+SUMIF('SALDI AL 31.12.2025'!$A$6:$A$505,$C209,'SALDI AL 31.12.2025'!$D$6:$D$505))</f>
        <v/>
      </c>
      <c r="BC209" t="str">
        <f>IF($C209="","",SUMIF('MOVIMENTI 2026'!$B$7:$B$4206,$C209,'MOVIMENTI 2026'!$K$7:$K$4206)+SUMIF('SALDI AL 31.12.2025'!$A$6:$A$505,$C209,'SALDI AL 31.12.2025'!$E$6:$E$505))</f>
        <v/>
      </c>
      <c r="BD209" t="str">
        <f>IF($C209="","",SUMIF('MOVIMENTI 2026'!$B$7:$B$4206,$C209,'MOVIMENTI 2026'!$L$7:$L$4206)+SUMIF('SALDI AL 31.12.2025'!$A$6:$A$505,$C209,'SALDI AL 31.12.2025'!$F$6:$F$505))</f>
        <v/>
      </c>
      <c r="BE209" t="str">
        <f t="shared" si="86"/>
        <v/>
      </c>
      <c r="BF209" t="str">
        <f t="shared" si="87"/>
        <v/>
      </c>
      <c r="BG209" t="str">
        <f t="shared" si="88"/>
        <v/>
      </c>
      <c r="BH209" t="str">
        <f>IFERROR(IF(OR($C209="",ANAGRAFICA!$I206="",ANAGRAFICA!$J206="",ANAGRAFICA!$J206&lt;=ANAGRAFICA!$I206,$Y209=""),"",IF(OR($I209="Finito ritenute non previste",$I209="Finito con sblocco ritenute",$I209="Finito senza sblocco ritenute"),1,MAX(0,MIN(1,($Y209-ANAGRAFICA!$I206)/(ANAGRAFICA!$J206-ANAGRAFICA!$I206))))),"")</f>
        <v/>
      </c>
      <c r="BI209" t="str">
        <f t="shared" si="89"/>
        <v/>
      </c>
      <c r="BJ209" t="str">
        <f>IFERROR(IF($C209="","",'BUDGET COMMESSA'!$D206),"")</f>
        <v/>
      </c>
      <c r="BK209" t="str">
        <f>IF($C209="","",SUMIF('MOVIMENTI 2026'!$B$7:$B$4206,$C209,'MOVIMENTI 2026'!$N$7:$N$4206)+SUMIF('SALDI AL 31.12.2025'!$A$6:$A$505,$C209,'SALDI AL 31.12.2025'!$H$6:$H$505))</f>
        <v/>
      </c>
      <c r="BL209" t="str">
        <f t="shared" si="90"/>
        <v/>
      </c>
      <c r="BM209" t="str">
        <f t="shared" si="91"/>
        <v/>
      </c>
      <c r="BN209" t="str">
        <f t="shared" si="92"/>
        <v/>
      </c>
      <c r="BO209" t="str">
        <f>IFERROR(IF($C209="","",'BUDGET COMMESSA'!$G206),"")</f>
        <v/>
      </c>
      <c r="BP209" t="str">
        <f>IF($C209="","",SUMIF('COSTI DIRETTI'!$C$6:$C$505,$C209,'COSTI DIRETTI'!$H$6:$H$505)+SUMIF('SALDI AL 31.12.2025'!$A$6:$A$505,$C209,'SALDI AL 31.12.2025'!$I$6:$I$505))</f>
        <v/>
      </c>
      <c r="BQ209" t="str">
        <f t="shared" si="93"/>
        <v/>
      </c>
      <c r="BR209" t="str">
        <f t="shared" si="94"/>
        <v/>
      </c>
      <c r="BS209" t="str">
        <f>IF($C209="","",$BK209*PARAMETRI!$B$4+$BP209)</f>
        <v/>
      </c>
      <c r="BT209">
        <f t="shared" si="95"/>
        <v>0</v>
      </c>
      <c r="BU209">
        <f t="shared" si="96"/>
        <v>0</v>
      </c>
      <c r="BV209" t="str">
        <f>IF($C209="","",SUMIF('MOVIMENTI 2026'!$B$7:$B$4206,$C209,'MOVIMENTI 2026'!$P$7:$P$4206)+SUMIF('SALDI AL 31.12.2025'!$A$6:$A$505,$C209,'SALDI AL 31.12.2025'!$G$6:$G$505))</f>
        <v/>
      </c>
    </row>
    <row r="210" spans="1:74" ht="16" x14ac:dyDescent="0.15">
      <c r="A210" s="17" t="str">
        <f>IFERROR(IF($C210="","",IF(OR($BF210&gt;0,$V210&gt;$J210,AND(ISNUMBER($Q210),$Q210&gt;0),AND($BI210&lt;&gt;"",$BI210&lt;-PARAMETRI!$B$6),AND($BM210&lt;&gt;"",$BM210&gt;=1),AND($BN210&lt;&gt;"",$BN210&gt;PARAMETRI!$B$8),AND(ISNUMBER($BR210),$BR210&gt;0)),"CRITICO",IF(OR($AZ210="",LEFT($C210,5)="TEMP",$BJ210="",$BO210="",ANAGRAFICA!$I207="",ANAGRAFICA!$J207="",$Y210="",AND(OR($I210="Finito ritenute non previste",$I210="Finito con sblocco ritenute",$I210="Finito senza sblocco ritenute"),ANAGRAFICA!$K207=""),OR(AND(ANAGRAFICA!$T207&lt;&gt;"",ANAGRAFICA!$J207&lt;&gt;ANAGRAFICA!$T207,OR(ANAGRAFICA!$R207="",ANAGRAFICA!$R207="Nessuna variazione")),AND(ANAGRAFICA!$J207="",ANAGRAFICA!$R207&lt;&gt;"",ANAGRAFICA!$R207&lt;&gt;"Nessuna variazione")),AND($BI210&lt;&gt;"",$BI210&lt;-PARAMETRI!$B$5),AND($BN210&lt;&gt;"",$BN210&gt;PARAMETRI!$B$7),AND($W210&gt;0,$M210&gt;$W210*PARAMETRI!$B$9),AND($O210&gt;0,OR($I210="Finito ritenute non previste",$I210="Finito con sblocco ritenute",$I210="Finito senza sblocco ritenute")),AND($BA210&gt;0,$BO210&gt;0,$BP210=0),AND(OR($I210="Finito ritenute non previste",$I210="Finito con sblocco ritenute",$I210="Finito senza sblocco ritenute"),$W210&gt;0,$N210&gt;$W210*PARAMETRI!$B$9),$V210&gt;0),"ATTENZIONE","REGOLARE"))),"ATTENZIONE")</f>
        <v/>
      </c>
      <c r="B210" s="17" t="str">
        <f>IFERROR(IF($C210="","",IF($BF210&gt;0,"FATTURATO OLTRE VALORE RECUPERABILE; ","")&amp;IF($V210&gt;$J210,"PERDITE ACCETTATE OLTRE CONTRATTO; ","")&amp;IF($V210&gt;0,"PERDITA SAL ACCETTATA (€ "&amp;TEXT($V210,"#,##0.00")&amp;"); ","")&amp;IF(AND(ISNUMBER($Q210),$Q210&gt;0),"RITARDO PRODUTTIVO ("&amp;TEXT($Q210,"0")&amp;" GG); ","")&amp;IF(AND($BI210&lt;&gt;"",$BI210&lt;-PARAMETRI!$B$5),"AVANZAMENTO PIÙ LENTO DEL TEMPO; ","")&amp;IF(AND($BM210&lt;&gt;"",$BM210&gt;1),"ORE OLTRE BUDGET; ","")&amp;IF(AND($BM210&lt;&gt;"",$BM210=1),"ORE PREVENTIVATE ESAURITE; ","")&amp;IF(AND($BN210&lt;&gt;"",$BN210&gt;PARAMETRI!$B$7),"CONSUMO ORE SUPERIORE ALL'AVANZAMENTO; ","")&amp;IF(AND(ISNUMBER($BR210),$BR210&gt;0),"COSTI DIRETTI OLTRE BUDGET; ","")&amp;IF(AND($W210&gt;0,$M210&gt;$W210*PARAMETRI!$B$9),"SAL MATURATO NON FATTURATO; ","")&amp;IF(AND($O210&gt;0,OR($I210="Finito ritenute non previste",$I210="Finito con sblocco ritenute",$I210="Finito senza sblocco ritenute")),"RITENUTE DA SBLOCCARE; ","")&amp;IF(AND($BA210&gt;0,$BO210&gt;0,$BP210=0),"COSTI DIRETTI NON REGISTRATI; ","")&amp;IF(AND(OR($I210="Finito ritenute non previste",$I210="Finito con sblocco ritenute",$I210="Finito senza sblocco ritenute"),$W210&gt;0,$N210&gt;$W210*PARAMETRI!$B$9),"CANTIERE FINITO CON RESIDUO LAVORI; ","")&amp;IF(AND(OR($I210="Finito ritenute non previste",$I210="Finito con sblocco ritenute",$I210="Finito senza sblocco ritenute"),ANAGRAFICA!$K207=""),"DATA FINE EFFETTIVA MANCANTE; ","")&amp;IF(OR(AND(ANAGRAFICA!$T207&lt;&gt;"",ANAGRAFICA!$J207&lt;&gt;ANAGRAFICA!$T207,OR(ANAGRAFICA!$R207="",ANAGRAFICA!$R207="Nessuna variazione")),AND(ANAGRAFICA!$J207="",ANAGRAFICA!$R207&lt;&gt;"",ANAGRAFICA!$R207&lt;&gt;"Nessuna variazione")),"GESTIONE DATA FINE INCOMPLETA; ","")&amp;IF($Y210="","AGGIORNATO AL MANCANTE; ","")&amp;IF(OR($AZ210="",$BJ210="",$BO210="",ANAGRAFICA!$I207="",ANAGRAFICA!$J207=""),"DATI PREVISIONALI INCOMPLETI; ","")&amp;IF(LEFT($C210,5)="TEMP","CODICE COMMESSA TEMPORANEO; ","")),"DATI INCOMPLETI; ")</f>
        <v/>
      </c>
      <c r="C210" s="17" t="str">
        <f>IF(ANAGRAFICA!$B207="","",ANAGRAFICA!$B207)</f>
        <v/>
      </c>
      <c r="D210" s="17" t="str">
        <f>IF($C210="","",ANAGRAFICA!$C207)</f>
        <v/>
      </c>
      <c r="E210" s="17" t="str">
        <f>IF($C210="","",ANAGRAFICA!$D207)</f>
        <v/>
      </c>
      <c r="F210" s="17" t="str">
        <f>IF($C210="","",ANAGRAFICA!$E207)</f>
        <v/>
      </c>
      <c r="G210" s="17" t="str">
        <f>IF($C210="","",ANAGRAFICA!$F207)</f>
        <v/>
      </c>
      <c r="H210" s="17" t="str">
        <f>IF($C210="","",ANAGRAFICA!$G207)</f>
        <v/>
      </c>
      <c r="I210" s="17" t="str">
        <f>IF($C210="","",ANAGRAFICA!$L207)</f>
        <v/>
      </c>
      <c r="J210" s="16" t="str">
        <f t="shared" si="73"/>
        <v/>
      </c>
      <c r="K210" s="16" t="str">
        <f t="shared" si="74"/>
        <v/>
      </c>
      <c r="L210" s="16" t="str">
        <f t="shared" si="75"/>
        <v/>
      </c>
      <c r="M210" s="16" t="str">
        <f t="shared" si="76"/>
        <v/>
      </c>
      <c r="N210" s="16" t="str">
        <f t="shared" si="77"/>
        <v/>
      </c>
      <c r="O210" s="16" t="str">
        <f t="shared" si="78"/>
        <v/>
      </c>
      <c r="P210" s="17" t="str">
        <f t="shared" si="79"/>
        <v/>
      </c>
      <c r="Q210" s="31" t="str">
        <f>IF(OR($C210="",'BUDGET COMMESSA'!$D207="",'BUDGET COMMESSA'!$D207&lt;=0,ANAGRAFICA!$J207=""),"",IF(OR($I210="Finito ritenute non previste",$I210="Finito con sblocco ritenute",$I210="Finito senza sblocco ritenute"),0,IF(AND($BK210&gt;=$BJ210,ANAGRAFICA!$R207="Ritardo produttivo FIDA"),IF(ANAGRAFICA!$T207&lt;&gt;"",MAX(0,ANAGRAFICA!$J207-ANAGRAFICA!$T207),MAX(0,$Y210-ANAGRAFICA!$J207)),0)))</f>
        <v/>
      </c>
      <c r="R210" s="17" t="str">
        <f t="shared" si="80"/>
        <v/>
      </c>
      <c r="S210" s="17" t="str">
        <f t="shared" si="81"/>
        <v/>
      </c>
      <c r="T210" s="17" t="str">
        <f t="shared" si="82"/>
        <v/>
      </c>
      <c r="U210" s="16" t="str">
        <f t="shared" si="83"/>
        <v/>
      </c>
      <c r="V210" s="16" t="str">
        <f t="shared" si="84"/>
        <v/>
      </c>
      <c r="W210" s="16" t="str">
        <f t="shared" si="85"/>
        <v/>
      </c>
      <c r="X210" s="40"/>
      <c r="Y210" s="14"/>
      <c r="AZ210" t="str">
        <f>IF($C210="","",ANAGRAFICA!$P207)</f>
        <v/>
      </c>
      <c r="BA210" t="str">
        <f>IF($C210="","",SUMIF('MOVIMENTI 2026'!$B$7:$B$4206,$C210,'MOVIMENTI 2026'!$I$7:$I$4206)+SUMIF('SALDI AL 31.12.2025'!$A$6:$A$505,$C210,'SALDI AL 31.12.2025'!$C$6:$C$505))</f>
        <v/>
      </c>
      <c r="BB210" t="str">
        <f>IF($C210="","",SUMIF('MOVIMENTI 2026'!$B$7:$B$4206,$C210,'MOVIMENTI 2026'!$J$7:$J$4206)+SUMIF('SALDI AL 31.12.2025'!$A$6:$A$505,$C210,'SALDI AL 31.12.2025'!$D$6:$D$505))</f>
        <v/>
      </c>
      <c r="BC210" t="str">
        <f>IF($C210="","",SUMIF('MOVIMENTI 2026'!$B$7:$B$4206,$C210,'MOVIMENTI 2026'!$K$7:$K$4206)+SUMIF('SALDI AL 31.12.2025'!$A$6:$A$505,$C210,'SALDI AL 31.12.2025'!$E$6:$E$505))</f>
        <v/>
      </c>
      <c r="BD210" t="str">
        <f>IF($C210="","",SUMIF('MOVIMENTI 2026'!$B$7:$B$4206,$C210,'MOVIMENTI 2026'!$L$7:$L$4206)+SUMIF('SALDI AL 31.12.2025'!$A$6:$A$505,$C210,'SALDI AL 31.12.2025'!$F$6:$F$505))</f>
        <v/>
      </c>
      <c r="BE210" t="str">
        <f t="shared" si="86"/>
        <v/>
      </c>
      <c r="BF210" t="str">
        <f t="shared" si="87"/>
        <v/>
      </c>
      <c r="BG210" t="str">
        <f t="shared" si="88"/>
        <v/>
      </c>
      <c r="BH210" t="str">
        <f>IFERROR(IF(OR($C210="",ANAGRAFICA!$I207="",ANAGRAFICA!$J207="",ANAGRAFICA!$J207&lt;=ANAGRAFICA!$I207,$Y210=""),"",IF(OR($I210="Finito ritenute non previste",$I210="Finito con sblocco ritenute",$I210="Finito senza sblocco ritenute"),1,MAX(0,MIN(1,($Y210-ANAGRAFICA!$I207)/(ANAGRAFICA!$J207-ANAGRAFICA!$I207))))),"")</f>
        <v/>
      </c>
      <c r="BI210" t="str">
        <f t="shared" si="89"/>
        <v/>
      </c>
      <c r="BJ210" t="str">
        <f>IFERROR(IF($C210="","",'BUDGET COMMESSA'!$D207),"")</f>
        <v/>
      </c>
      <c r="BK210" t="str">
        <f>IF($C210="","",SUMIF('MOVIMENTI 2026'!$B$7:$B$4206,$C210,'MOVIMENTI 2026'!$N$7:$N$4206)+SUMIF('SALDI AL 31.12.2025'!$A$6:$A$505,$C210,'SALDI AL 31.12.2025'!$H$6:$H$505))</f>
        <v/>
      </c>
      <c r="BL210" t="str">
        <f t="shared" si="90"/>
        <v/>
      </c>
      <c r="BM210" t="str">
        <f t="shared" si="91"/>
        <v/>
      </c>
      <c r="BN210" t="str">
        <f t="shared" si="92"/>
        <v/>
      </c>
      <c r="BO210" t="str">
        <f>IFERROR(IF($C210="","",'BUDGET COMMESSA'!$G207),"")</f>
        <v/>
      </c>
      <c r="BP210" t="str">
        <f>IF($C210="","",SUMIF('COSTI DIRETTI'!$C$6:$C$505,$C210,'COSTI DIRETTI'!$H$6:$H$505)+SUMIF('SALDI AL 31.12.2025'!$A$6:$A$505,$C210,'SALDI AL 31.12.2025'!$I$6:$I$505))</f>
        <v/>
      </c>
      <c r="BQ210" t="str">
        <f t="shared" si="93"/>
        <v/>
      </c>
      <c r="BR210" t="str">
        <f t="shared" si="94"/>
        <v/>
      </c>
      <c r="BS210" t="str">
        <f>IF($C210="","",$BK210*PARAMETRI!$B$4+$BP210)</f>
        <v/>
      </c>
      <c r="BT210">
        <f t="shared" si="95"/>
        <v>0</v>
      </c>
      <c r="BU210">
        <f t="shared" si="96"/>
        <v>0</v>
      </c>
      <c r="BV210" t="str">
        <f>IF($C210="","",SUMIF('MOVIMENTI 2026'!$B$7:$B$4206,$C210,'MOVIMENTI 2026'!$P$7:$P$4206)+SUMIF('SALDI AL 31.12.2025'!$A$6:$A$505,$C210,'SALDI AL 31.12.2025'!$G$6:$G$505))</f>
        <v/>
      </c>
    </row>
    <row r="211" spans="1:74" ht="16" x14ac:dyDescent="0.15">
      <c r="A211" s="17" t="str">
        <f>IFERROR(IF($C211="","",IF(OR($BF211&gt;0,$V211&gt;$J211,AND(ISNUMBER($Q211),$Q211&gt;0),AND($BI211&lt;&gt;"",$BI211&lt;-PARAMETRI!$B$6),AND($BM211&lt;&gt;"",$BM211&gt;=1),AND($BN211&lt;&gt;"",$BN211&gt;PARAMETRI!$B$8),AND(ISNUMBER($BR211),$BR211&gt;0)),"CRITICO",IF(OR($AZ211="",LEFT($C211,5)="TEMP",$BJ211="",$BO211="",ANAGRAFICA!$I208="",ANAGRAFICA!$J208="",$Y211="",AND(OR($I211="Finito ritenute non previste",$I211="Finito con sblocco ritenute",$I211="Finito senza sblocco ritenute"),ANAGRAFICA!$K208=""),OR(AND(ANAGRAFICA!$T208&lt;&gt;"",ANAGRAFICA!$J208&lt;&gt;ANAGRAFICA!$T208,OR(ANAGRAFICA!$R208="",ANAGRAFICA!$R208="Nessuna variazione")),AND(ANAGRAFICA!$J208="",ANAGRAFICA!$R208&lt;&gt;"",ANAGRAFICA!$R208&lt;&gt;"Nessuna variazione")),AND($BI211&lt;&gt;"",$BI211&lt;-PARAMETRI!$B$5),AND($BN211&lt;&gt;"",$BN211&gt;PARAMETRI!$B$7),AND($W211&gt;0,$M211&gt;$W211*PARAMETRI!$B$9),AND($O211&gt;0,OR($I211="Finito ritenute non previste",$I211="Finito con sblocco ritenute",$I211="Finito senza sblocco ritenute")),AND($BA211&gt;0,$BO211&gt;0,$BP211=0),AND(OR($I211="Finito ritenute non previste",$I211="Finito con sblocco ritenute",$I211="Finito senza sblocco ritenute"),$W211&gt;0,$N211&gt;$W211*PARAMETRI!$B$9),$V211&gt;0),"ATTENZIONE","REGOLARE"))),"ATTENZIONE")</f>
        <v/>
      </c>
      <c r="B211" s="17" t="str">
        <f>IFERROR(IF($C211="","",IF($BF211&gt;0,"FATTURATO OLTRE VALORE RECUPERABILE; ","")&amp;IF($V211&gt;$J211,"PERDITE ACCETTATE OLTRE CONTRATTO; ","")&amp;IF($V211&gt;0,"PERDITA SAL ACCETTATA (€ "&amp;TEXT($V211,"#,##0.00")&amp;"); ","")&amp;IF(AND(ISNUMBER($Q211),$Q211&gt;0),"RITARDO PRODUTTIVO ("&amp;TEXT($Q211,"0")&amp;" GG); ","")&amp;IF(AND($BI211&lt;&gt;"",$BI211&lt;-PARAMETRI!$B$5),"AVANZAMENTO PIÙ LENTO DEL TEMPO; ","")&amp;IF(AND($BM211&lt;&gt;"",$BM211&gt;1),"ORE OLTRE BUDGET; ","")&amp;IF(AND($BM211&lt;&gt;"",$BM211=1),"ORE PREVENTIVATE ESAURITE; ","")&amp;IF(AND($BN211&lt;&gt;"",$BN211&gt;PARAMETRI!$B$7),"CONSUMO ORE SUPERIORE ALL'AVANZAMENTO; ","")&amp;IF(AND(ISNUMBER($BR211),$BR211&gt;0),"COSTI DIRETTI OLTRE BUDGET; ","")&amp;IF(AND($W211&gt;0,$M211&gt;$W211*PARAMETRI!$B$9),"SAL MATURATO NON FATTURATO; ","")&amp;IF(AND($O211&gt;0,OR($I211="Finito ritenute non previste",$I211="Finito con sblocco ritenute",$I211="Finito senza sblocco ritenute")),"RITENUTE DA SBLOCCARE; ","")&amp;IF(AND($BA211&gt;0,$BO211&gt;0,$BP211=0),"COSTI DIRETTI NON REGISTRATI; ","")&amp;IF(AND(OR($I211="Finito ritenute non previste",$I211="Finito con sblocco ritenute",$I211="Finito senza sblocco ritenute"),$W211&gt;0,$N211&gt;$W211*PARAMETRI!$B$9),"CANTIERE FINITO CON RESIDUO LAVORI; ","")&amp;IF(AND(OR($I211="Finito ritenute non previste",$I211="Finito con sblocco ritenute",$I211="Finito senza sblocco ritenute"),ANAGRAFICA!$K208=""),"DATA FINE EFFETTIVA MANCANTE; ","")&amp;IF(OR(AND(ANAGRAFICA!$T208&lt;&gt;"",ANAGRAFICA!$J208&lt;&gt;ANAGRAFICA!$T208,OR(ANAGRAFICA!$R208="",ANAGRAFICA!$R208="Nessuna variazione")),AND(ANAGRAFICA!$J208="",ANAGRAFICA!$R208&lt;&gt;"",ANAGRAFICA!$R208&lt;&gt;"Nessuna variazione")),"GESTIONE DATA FINE INCOMPLETA; ","")&amp;IF($Y211="","AGGIORNATO AL MANCANTE; ","")&amp;IF(OR($AZ211="",$BJ211="",$BO211="",ANAGRAFICA!$I208="",ANAGRAFICA!$J208=""),"DATI PREVISIONALI INCOMPLETI; ","")&amp;IF(LEFT($C211,5)="TEMP","CODICE COMMESSA TEMPORANEO; ","")),"DATI INCOMPLETI; ")</f>
        <v/>
      </c>
      <c r="C211" s="17" t="str">
        <f>IF(ANAGRAFICA!$B208="","",ANAGRAFICA!$B208)</f>
        <v/>
      </c>
      <c r="D211" s="17" t="str">
        <f>IF($C211="","",ANAGRAFICA!$C208)</f>
        <v/>
      </c>
      <c r="E211" s="17" t="str">
        <f>IF($C211="","",ANAGRAFICA!$D208)</f>
        <v/>
      </c>
      <c r="F211" s="17" t="str">
        <f>IF($C211="","",ANAGRAFICA!$E208)</f>
        <v/>
      </c>
      <c r="G211" s="17" t="str">
        <f>IF($C211="","",ANAGRAFICA!$F208)</f>
        <v/>
      </c>
      <c r="H211" s="17" t="str">
        <f>IF($C211="","",ANAGRAFICA!$G208)</f>
        <v/>
      </c>
      <c r="I211" s="17" t="str">
        <f>IF($C211="","",ANAGRAFICA!$L208)</f>
        <v/>
      </c>
      <c r="J211" s="16" t="str">
        <f t="shared" si="73"/>
        <v/>
      </c>
      <c r="K211" s="16" t="str">
        <f t="shared" si="74"/>
        <v/>
      </c>
      <c r="L211" s="16" t="str">
        <f t="shared" si="75"/>
        <v/>
      </c>
      <c r="M211" s="16" t="str">
        <f t="shared" si="76"/>
        <v/>
      </c>
      <c r="N211" s="16" t="str">
        <f t="shared" si="77"/>
        <v/>
      </c>
      <c r="O211" s="16" t="str">
        <f t="shared" si="78"/>
        <v/>
      </c>
      <c r="P211" s="17" t="str">
        <f t="shared" si="79"/>
        <v/>
      </c>
      <c r="Q211" s="31" t="str">
        <f>IF(OR($C211="",'BUDGET COMMESSA'!$D208="",'BUDGET COMMESSA'!$D208&lt;=0,ANAGRAFICA!$J208=""),"",IF(OR($I211="Finito ritenute non previste",$I211="Finito con sblocco ritenute",$I211="Finito senza sblocco ritenute"),0,IF(AND($BK211&gt;=$BJ211,ANAGRAFICA!$R208="Ritardo produttivo FIDA"),IF(ANAGRAFICA!$T208&lt;&gt;"",MAX(0,ANAGRAFICA!$J208-ANAGRAFICA!$T208),MAX(0,$Y211-ANAGRAFICA!$J208)),0)))</f>
        <v/>
      </c>
      <c r="R211" s="17" t="str">
        <f t="shared" si="80"/>
        <v/>
      </c>
      <c r="S211" s="17" t="str">
        <f t="shared" si="81"/>
        <v/>
      </c>
      <c r="T211" s="17" t="str">
        <f t="shared" si="82"/>
        <v/>
      </c>
      <c r="U211" s="16" t="str">
        <f t="shared" si="83"/>
        <v/>
      </c>
      <c r="V211" s="16" t="str">
        <f t="shared" si="84"/>
        <v/>
      </c>
      <c r="W211" s="16" t="str">
        <f t="shared" si="85"/>
        <v/>
      </c>
      <c r="X211" s="40"/>
      <c r="Y211" s="14"/>
      <c r="AZ211" t="str">
        <f>IF($C211="","",ANAGRAFICA!$P208)</f>
        <v/>
      </c>
      <c r="BA211" t="str">
        <f>IF($C211="","",SUMIF('MOVIMENTI 2026'!$B$7:$B$4206,$C211,'MOVIMENTI 2026'!$I$7:$I$4206)+SUMIF('SALDI AL 31.12.2025'!$A$6:$A$505,$C211,'SALDI AL 31.12.2025'!$C$6:$C$505))</f>
        <v/>
      </c>
      <c r="BB211" t="str">
        <f>IF($C211="","",SUMIF('MOVIMENTI 2026'!$B$7:$B$4206,$C211,'MOVIMENTI 2026'!$J$7:$J$4206)+SUMIF('SALDI AL 31.12.2025'!$A$6:$A$505,$C211,'SALDI AL 31.12.2025'!$D$6:$D$505))</f>
        <v/>
      </c>
      <c r="BC211" t="str">
        <f>IF($C211="","",SUMIF('MOVIMENTI 2026'!$B$7:$B$4206,$C211,'MOVIMENTI 2026'!$K$7:$K$4206)+SUMIF('SALDI AL 31.12.2025'!$A$6:$A$505,$C211,'SALDI AL 31.12.2025'!$E$6:$E$505))</f>
        <v/>
      </c>
      <c r="BD211" t="str">
        <f>IF($C211="","",SUMIF('MOVIMENTI 2026'!$B$7:$B$4206,$C211,'MOVIMENTI 2026'!$L$7:$L$4206)+SUMIF('SALDI AL 31.12.2025'!$A$6:$A$505,$C211,'SALDI AL 31.12.2025'!$F$6:$F$505))</f>
        <v/>
      </c>
      <c r="BE211" t="str">
        <f t="shared" si="86"/>
        <v/>
      </c>
      <c r="BF211" t="str">
        <f t="shared" si="87"/>
        <v/>
      </c>
      <c r="BG211" t="str">
        <f t="shared" si="88"/>
        <v/>
      </c>
      <c r="BH211" t="str">
        <f>IFERROR(IF(OR($C211="",ANAGRAFICA!$I208="",ANAGRAFICA!$J208="",ANAGRAFICA!$J208&lt;=ANAGRAFICA!$I208,$Y211=""),"",IF(OR($I211="Finito ritenute non previste",$I211="Finito con sblocco ritenute",$I211="Finito senza sblocco ritenute"),1,MAX(0,MIN(1,($Y211-ANAGRAFICA!$I208)/(ANAGRAFICA!$J208-ANAGRAFICA!$I208))))),"")</f>
        <v/>
      </c>
      <c r="BI211" t="str">
        <f t="shared" si="89"/>
        <v/>
      </c>
      <c r="BJ211" t="str">
        <f>IFERROR(IF($C211="","",'BUDGET COMMESSA'!$D208),"")</f>
        <v/>
      </c>
      <c r="BK211" t="str">
        <f>IF($C211="","",SUMIF('MOVIMENTI 2026'!$B$7:$B$4206,$C211,'MOVIMENTI 2026'!$N$7:$N$4206)+SUMIF('SALDI AL 31.12.2025'!$A$6:$A$505,$C211,'SALDI AL 31.12.2025'!$H$6:$H$505))</f>
        <v/>
      </c>
      <c r="BL211" t="str">
        <f t="shared" si="90"/>
        <v/>
      </c>
      <c r="BM211" t="str">
        <f t="shared" si="91"/>
        <v/>
      </c>
      <c r="BN211" t="str">
        <f t="shared" si="92"/>
        <v/>
      </c>
      <c r="BO211" t="str">
        <f>IFERROR(IF($C211="","",'BUDGET COMMESSA'!$G208),"")</f>
        <v/>
      </c>
      <c r="BP211" t="str">
        <f>IF($C211="","",SUMIF('COSTI DIRETTI'!$C$6:$C$505,$C211,'COSTI DIRETTI'!$H$6:$H$505)+SUMIF('SALDI AL 31.12.2025'!$A$6:$A$505,$C211,'SALDI AL 31.12.2025'!$I$6:$I$505))</f>
        <v/>
      </c>
      <c r="BQ211" t="str">
        <f t="shared" si="93"/>
        <v/>
      </c>
      <c r="BR211" t="str">
        <f t="shared" si="94"/>
        <v/>
      </c>
      <c r="BS211" t="str">
        <f>IF($C211="","",$BK211*PARAMETRI!$B$4+$BP211)</f>
        <v/>
      </c>
      <c r="BT211">
        <f t="shared" si="95"/>
        <v>0</v>
      </c>
      <c r="BU211">
        <f t="shared" si="96"/>
        <v>0</v>
      </c>
      <c r="BV211" t="str">
        <f>IF($C211="","",SUMIF('MOVIMENTI 2026'!$B$7:$B$4206,$C211,'MOVIMENTI 2026'!$P$7:$P$4206)+SUMIF('SALDI AL 31.12.2025'!$A$6:$A$505,$C211,'SALDI AL 31.12.2025'!$G$6:$G$505))</f>
        <v/>
      </c>
    </row>
    <row r="212" spans="1:74" ht="16" x14ac:dyDescent="0.15">
      <c r="A212" s="17" t="str">
        <f>IFERROR(IF($C212="","",IF(OR($BF212&gt;0,$V212&gt;$J212,AND(ISNUMBER($Q212),$Q212&gt;0),AND($BI212&lt;&gt;"",$BI212&lt;-PARAMETRI!$B$6),AND($BM212&lt;&gt;"",$BM212&gt;=1),AND($BN212&lt;&gt;"",$BN212&gt;PARAMETRI!$B$8),AND(ISNUMBER($BR212),$BR212&gt;0)),"CRITICO",IF(OR($AZ212="",LEFT($C212,5)="TEMP",$BJ212="",$BO212="",ANAGRAFICA!$I209="",ANAGRAFICA!$J209="",$Y212="",AND(OR($I212="Finito ritenute non previste",$I212="Finito con sblocco ritenute",$I212="Finito senza sblocco ritenute"),ANAGRAFICA!$K209=""),OR(AND(ANAGRAFICA!$T209&lt;&gt;"",ANAGRAFICA!$J209&lt;&gt;ANAGRAFICA!$T209,OR(ANAGRAFICA!$R209="",ANAGRAFICA!$R209="Nessuna variazione")),AND(ANAGRAFICA!$J209="",ANAGRAFICA!$R209&lt;&gt;"",ANAGRAFICA!$R209&lt;&gt;"Nessuna variazione")),AND($BI212&lt;&gt;"",$BI212&lt;-PARAMETRI!$B$5),AND($BN212&lt;&gt;"",$BN212&gt;PARAMETRI!$B$7),AND($W212&gt;0,$M212&gt;$W212*PARAMETRI!$B$9),AND($O212&gt;0,OR($I212="Finito ritenute non previste",$I212="Finito con sblocco ritenute",$I212="Finito senza sblocco ritenute")),AND($BA212&gt;0,$BO212&gt;0,$BP212=0),AND(OR($I212="Finito ritenute non previste",$I212="Finito con sblocco ritenute",$I212="Finito senza sblocco ritenute"),$W212&gt;0,$N212&gt;$W212*PARAMETRI!$B$9),$V212&gt;0),"ATTENZIONE","REGOLARE"))),"ATTENZIONE")</f>
        <v/>
      </c>
      <c r="B212" s="17" t="str">
        <f>IFERROR(IF($C212="","",IF($BF212&gt;0,"FATTURATO OLTRE VALORE RECUPERABILE; ","")&amp;IF($V212&gt;$J212,"PERDITE ACCETTATE OLTRE CONTRATTO; ","")&amp;IF($V212&gt;0,"PERDITA SAL ACCETTATA (€ "&amp;TEXT($V212,"#,##0.00")&amp;"); ","")&amp;IF(AND(ISNUMBER($Q212),$Q212&gt;0),"RITARDO PRODUTTIVO ("&amp;TEXT($Q212,"0")&amp;" GG); ","")&amp;IF(AND($BI212&lt;&gt;"",$BI212&lt;-PARAMETRI!$B$5),"AVANZAMENTO PIÙ LENTO DEL TEMPO; ","")&amp;IF(AND($BM212&lt;&gt;"",$BM212&gt;1),"ORE OLTRE BUDGET; ","")&amp;IF(AND($BM212&lt;&gt;"",$BM212=1),"ORE PREVENTIVATE ESAURITE; ","")&amp;IF(AND($BN212&lt;&gt;"",$BN212&gt;PARAMETRI!$B$7),"CONSUMO ORE SUPERIORE ALL'AVANZAMENTO; ","")&amp;IF(AND(ISNUMBER($BR212),$BR212&gt;0),"COSTI DIRETTI OLTRE BUDGET; ","")&amp;IF(AND($W212&gt;0,$M212&gt;$W212*PARAMETRI!$B$9),"SAL MATURATO NON FATTURATO; ","")&amp;IF(AND($O212&gt;0,OR($I212="Finito ritenute non previste",$I212="Finito con sblocco ritenute",$I212="Finito senza sblocco ritenute")),"RITENUTE DA SBLOCCARE; ","")&amp;IF(AND($BA212&gt;0,$BO212&gt;0,$BP212=0),"COSTI DIRETTI NON REGISTRATI; ","")&amp;IF(AND(OR($I212="Finito ritenute non previste",$I212="Finito con sblocco ritenute",$I212="Finito senza sblocco ritenute"),$W212&gt;0,$N212&gt;$W212*PARAMETRI!$B$9),"CANTIERE FINITO CON RESIDUO LAVORI; ","")&amp;IF(AND(OR($I212="Finito ritenute non previste",$I212="Finito con sblocco ritenute",$I212="Finito senza sblocco ritenute"),ANAGRAFICA!$K209=""),"DATA FINE EFFETTIVA MANCANTE; ","")&amp;IF(OR(AND(ANAGRAFICA!$T209&lt;&gt;"",ANAGRAFICA!$J209&lt;&gt;ANAGRAFICA!$T209,OR(ANAGRAFICA!$R209="",ANAGRAFICA!$R209="Nessuna variazione")),AND(ANAGRAFICA!$J209="",ANAGRAFICA!$R209&lt;&gt;"",ANAGRAFICA!$R209&lt;&gt;"Nessuna variazione")),"GESTIONE DATA FINE INCOMPLETA; ","")&amp;IF($Y212="","AGGIORNATO AL MANCANTE; ","")&amp;IF(OR($AZ212="",$BJ212="",$BO212="",ANAGRAFICA!$I209="",ANAGRAFICA!$J209=""),"DATI PREVISIONALI INCOMPLETI; ","")&amp;IF(LEFT($C212,5)="TEMP","CODICE COMMESSA TEMPORANEO; ","")),"DATI INCOMPLETI; ")</f>
        <v/>
      </c>
      <c r="C212" s="17" t="str">
        <f>IF(ANAGRAFICA!$B209="","",ANAGRAFICA!$B209)</f>
        <v/>
      </c>
      <c r="D212" s="17" t="str">
        <f>IF($C212="","",ANAGRAFICA!$C209)</f>
        <v/>
      </c>
      <c r="E212" s="17" t="str">
        <f>IF($C212="","",ANAGRAFICA!$D209)</f>
        <v/>
      </c>
      <c r="F212" s="17" t="str">
        <f>IF($C212="","",ANAGRAFICA!$E209)</f>
        <v/>
      </c>
      <c r="G212" s="17" t="str">
        <f>IF($C212="","",ANAGRAFICA!$F209)</f>
        <v/>
      </c>
      <c r="H212" s="17" t="str">
        <f>IF($C212="","",ANAGRAFICA!$G209)</f>
        <v/>
      </c>
      <c r="I212" s="17" t="str">
        <f>IF($C212="","",ANAGRAFICA!$L209)</f>
        <v/>
      </c>
      <c r="J212" s="16" t="str">
        <f t="shared" si="73"/>
        <v/>
      </c>
      <c r="K212" s="16" t="str">
        <f t="shared" si="74"/>
        <v/>
      </c>
      <c r="L212" s="16" t="str">
        <f t="shared" si="75"/>
        <v/>
      </c>
      <c r="M212" s="16" t="str">
        <f t="shared" si="76"/>
        <v/>
      </c>
      <c r="N212" s="16" t="str">
        <f t="shared" si="77"/>
        <v/>
      </c>
      <c r="O212" s="16" t="str">
        <f t="shared" si="78"/>
        <v/>
      </c>
      <c r="P212" s="17" t="str">
        <f t="shared" si="79"/>
        <v/>
      </c>
      <c r="Q212" s="31" t="str">
        <f>IF(OR($C212="",'BUDGET COMMESSA'!$D209="",'BUDGET COMMESSA'!$D209&lt;=0,ANAGRAFICA!$J209=""),"",IF(OR($I212="Finito ritenute non previste",$I212="Finito con sblocco ritenute",$I212="Finito senza sblocco ritenute"),0,IF(AND($BK212&gt;=$BJ212,ANAGRAFICA!$R209="Ritardo produttivo FIDA"),IF(ANAGRAFICA!$T209&lt;&gt;"",MAX(0,ANAGRAFICA!$J209-ANAGRAFICA!$T209),MAX(0,$Y212-ANAGRAFICA!$J209)),0)))</f>
        <v/>
      </c>
      <c r="R212" s="17" t="str">
        <f t="shared" si="80"/>
        <v/>
      </c>
      <c r="S212" s="17" t="str">
        <f t="shared" si="81"/>
        <v/>
      </c>
      <c r="T212" s="17" t="str">
        <f t="shared" si="82"/>
        <v/>
      </c>
      <c r="U212" s="16" t="str">
        <f t="shared" si="83"/>
        <v/>
      </c>
      <c r="V212" s="16" t="str">
        <f t="shared" si="84"/>
        <v/>
      </c>
      <c r="W212" s="16" t="str">
        <f t="shared" si="85"/>
        <v/>
      </c>
      <c r="X212" s="40"/>
      <c r="Y212" s="14"/>
      <c r="AZ212" t="str">
        <f>IF($C212="","",ANAGRAFICA!$P209)</f>
        <v/>
      </c>
      <c r="BA212" t="str">
        <f>IF($C212="","",SUMIF('MOVIMENTI 2026'!$B$7:$B$4206,$C212,'MOVIMENTI 2026'!$I$7:$I$4206)+SUMIF('SALDI AL 31.12.2025'!$A$6:$A$505,$C212,'SALDI AL 31.12.2025'!$C$6:$C$505))</f>
        <v/>
      </c>
      <c r="BB212" t="str">
        <f>IF($C212="","",SUMIF('MOVIMENTI 2026'!$B$7:$B$4206,$C212,'MOVIMENTI 2026'!$J$7:$J$4206)+SUMIF('SALDI AL 31.12.2025'!$A$6:$A$505,$C212,'SALDI AL 31.12.2025'!$D$6:$D$505))</f>
        <v/>
      </c>
      <c r="BC212" t="str">
        <f>IF($C212="","",SUMIF('MOVIMENTI 2026'!$B$7:$B$4206,$C212,'MOVIMENTI 2026'!$K$7:$K$4206)+SUMIF('SALDI AL 31.12.2025'!$A$6:$A$505,$C212,'SALDI AL 31.12.2025'!$E$6:$E$505))</f>
        <v/>
      </c>
      <c r="BD212" t="str">
        <f>IF($C212="","",SUMIF('MOVIMENTI 2026'!$B$7:$B$4206,$C212,'MOVIMENTI 2026'!$L$7:$L$4206)+SUMIF('SALDI AL 31.12.2025'!$A$6:$A$505,$C212,'SALDI AL 31.12.2025'!$F$6:$F$505))</f>
        <v/>
      </c>
      <c r="BE212" t="str">
        <f t="shared" si="86"/>
        <v/>
      </c>
      <c r="BF212" t="str">
        <f t="shared" si="87"/>
        <v/>
      </c>
      <c r="BG212" t="str">
        <f t="shared" si="88"/>
        <v/>
      </c>
      <c r="BH212" t="str">
        <f>IFERROR(IF(OR($C212="",ANAGRAFICA!$I209="",ANAGRAFICA!$J209="",ANAGRAFICA!$J209&lt;=ANAGRAFICA!$I209,$Y212=""),"",IF(OR($I212="Finito ritenute non previste",$I212="Finito con sblocco ritenute",$I212="Finito senza sblocco ritenute"),1,MAX(0,MIN(1,($Y212-ANAGRAFICA!$I209)/(ANAGRAFICA!$J209-ANAGRAFICA!$I209))))),"")</f>
        <v/>
      </c>
      <c r="BI212" t="str">
        <f t="shared" si="89"/>
        <v/>
      </c>
      <c r="BJ212" t="str">
        <f>IFERROR(IF($C212="","",'BUDGET COMMESSA'!$D209),"")</f>
        <v/>
      </c>
      <c r="BK212" t="str">
        <f>IF($C212="","",SUMIF('MOVIMENTI 2026'!$B$7:$B$4206,$C212,'MOVIMENTI 2026'!$N$7:$N$4206)+SUMIF('SALDI AL 31.12.2025'!$A$6:$A$505,$C212,'SALDI AL 31.12.2025'!$H$6:$H$505))</f>
        <v/>
      </c>
      <c r="BL212" t="str">
        <f t="shared" si="90"/>
        <v/>
      </c>
      <c r="BM212" t="str">
        <f t="shared" si="91"/>
        <v/>
      </c>
      <c r="BN212" t="str">
        <f t="shared" si="92"/>
        <v/>
      </c>
      <c r="BO212" t="str">
        <f>IFERROR(IF($C212="","",'BUDGET COMMESSA'!$G209),"")</f>
        <v/>
      </c>
      <c r="BP212" t="str">
        <f>IF($C212="","",SUMIF('COSTI DIRETTI'!$C$6:$C$505,$C212,'COSTI DIRETTI'!$H$6:$H$505)+SUMIF('SALDI AL 31.12.2025'!$A$6:$A$505,$C212,'SALDI AL 31.12.2025'!$I$6:$I$505))</f>
        <v/>
      </c>
      <c r="BQ212" t="str">
        <f t="shared" si="93"/>
        <v/>
      </c>
      <c r="BR212" t="str">
        <f t="shared" si="94"/>
        <v/>
      </c>
      <c r="BS212" t="str">
        <f>IF($C212="","",$BK212*PARAMETRI!$B$4+$BP212)</f>
        <v/>
      </c>
      <c r="BT212">
        <f t="shared" si="95"/>
        <v>0</v>
      </c>
      <c r="BU212">
        <f t="shared" si="96"/>
        <v>0</v>
      </c>
      <c r="BV212" t="str">
        <f>IF($C212="","",SUMIF('MOVIMENTI 2026'!$B$7:$B$4206,$C212,'MOVIMENTI 2026'!$P$7:$P$4206)+SUMIF('SALDI AL 31.12.2025'!$A$6:$A$505,$C212,'SALDI AL 31.12.2025'!$G$6:$G$505))</f>
        <v/>
      </c>
    </row>
    <row r="213" spans="1:74" ht="16" x14ac:dyDescent="0.15">
      <c r="A213" s="17" t="str">
        <f>IFERROR(IF($C213="","",IF(OR($BF213&gt;0,$V213&gt;$J213,AND(ISNUMBER($Q213),$Q213&gt;0),AND($BI213&lt;&gt;"",$BI213&lt;-PARAMETRI!$B$6),AND($BM213&lt;&gt;"",$BM213&gt;=1),AND($BN213&lt;&gt;"",$BN213&gt;PARAMETRI!$B$8),AND(ISNUMBER($BR213),$BR213&gt;0)),"CRITICO",IF(OR($AZ213="",LEFT($C213,5)="TEMP",$BJ213="",$BO213="",ANAGRAFICA!$I210="",ANAGRAFICA!$J210="",$Y213="",AND(OR($I213="Finito ritenute non previste",$I213="Finito con sblocco ritenute",$I213="Finito senza sblocco ritenute"),ANAGRAFICA!$K210=""),OR(AND(ANAGRAFICA!$T210&lt;&gt;"",ANAGRAFICA!$J210&lt;&gt;ANAGRAFICA!$T210,OR(ANAGRAFICA!$R210="",ANAGRAFICA!$R210="Nessuna variazione")),AND(ANAGRAFICA!$J210="",ANAGRAFICA!$R210&lt;&gt;"",ANAGRAFICA!$R210&lt;&gt;"Nessuna variazione")),AND($BI213&lt;&gt;"",$BI213&lt;-PARAMETRI!$B$5),AND($BN213&lt;&gt;"",$BN213&gt;PARAMETRI!$B$7),AND($W213&gt;0,$M213&gt;$W213*PARAMETRI!$B$9),AND($O213&gt;0,OR($I213="Finito ritenute non previste",$I213="Finito con sblocco ritenute",$I213="Finito senza sblocco ritenute")),AND($BA213&gt;0,$BO213&gt;0,$BP213=0),AND(OR($I213="Finito ritenute non previste",$I213="Finito con sblocco ritenute",$I213="Finito senza sblocco ritenute"),$W213&gt;0,$N213&gt;$W213*PARAMETRI!$B$9),$V213&gt;0),"ATTENZIONE","REGOLARE"))),"ATTENZIONE")</f>
        <v/>
      </c>
      <c r="B213" s="17" t="str">
        <f>IFERROR(IF($C213="","",IF($BF213&gt;0,"FATTURATO OLTRE VALORE RECUPERABILE; ","")&amp;IF($V213&gt;$J213,"PERDITE ACCETTATE OLTRE CONTRATTO; ","")&amp;IF($V213&gt;0,"PERDITA SAL ACCETTATA (€ "&amp;TEXT($V213,"#,##0.00")&amp;"); ","")&amp;IF(AND(ISNUMBER($Q213),$Q213&gt;0),"RITARDO PRODUTTIVO ("&amp;TEXT($Q213,"0")&amp;" GG); ","")&amp;IF(AND($BI213&lt;&gt;"",$BI213&lt;-PARAMETRI!$B$5),"AVANZAMENTO PIÙ LENTO DEL TEMPO; ","")&amp;IF(AND($BM213&lt;&gt;"",$BM213&gt;1),"ORE OLTRE BUDGET; ","")&amp;IF(AND($BM213&lt;&gt;"",$BM213=1),"ORE PREVENTIVATE ESAURITE; ","")&amp;IF(AND($BN213&lt;&gt;"",$BN213&gt;PARAMETRI!$B$7),"CONSUMO ORE SUPERIORE ALL'AVANZAMENTO; ","")&amp;IF(AND(ISNUMBER($BR213),$BR213&gt;0),"COSTI DIRETTI OLTRE BUDGET; ","")&amp;IF(AND($W213&gt;0,$M213&gt;$W213*PARAMETRI!$B$9),"SAL MATURATO NON FATTURATO; ","")&amp;IF(AND($O213&gt;0,OR($I213="Finito ritenute non previste",$I213="Finito con sblocco ritenute",$I213="Finito senza sblocco ritenute")),"RITENUTE DA SBLOCCARE; ","")&amp;IF(AND($BA213&gt;0,$BO213&gt;0,$BP213=0),"COSTI DIRETTI NON REGISTRATI; ","")&amp;IF(AND(OR($I213="Finito ritenute non previste",$I213="Finito con sblocco ritenute",$I213="Finito senza sblocco ritenute"),$W213&gt;0,$N213&gt;$W213*PARAMETRI!$B$9),"CANTIERE FINITO CON RESIDUO LAVORI; ","")&amp;IF(AND(OR($I213="Finito ritenute non previste",$I213="Finito con sblocco ritenute",$I213="Finito senza sblocco ritenute"),ANAGRAFICA!$K210=""),"DATA FINE EFFETTIVA MANCANTE; ","")&amp;IF(OR(AND(ANAGRAFICA!$T210&lt;&gt;"",ANAGRAFICA!$J210&lt;&gt;ANAGRAFICA!$T210,OR(ANAGRAFICA!$R210="",ANAGRAFICA!$R210="Nessuna variazione")),AND(ANAGRAFICA!$J210="",ANAGRAFICA!$R210&lt;&gt;"",ANAGRAFICA!$R210&lt;&gt;"Nessuna variazione")),"GESTIONE DATA FINE INCOMPLETA; ","")&amp;IF($Y213="","AGGIORNATO AL MANCANTE; ","")&amp;IF(OR($AZ213="",$BJ213="",$BO213="",ANAGRAFICA!$I210="",ANAGRAFICA!$J210=""),"DATI PREVISIONALI INCOMPLETI; ","")&amp;IF(LEFT($C213,5)="TEMP","CODICE COMMESSA TEMPORANEO; ","")),"DATI INCOMPLETI; ")</f>
        <v/>
      </c>
      <c r="C213" s="17" t="str">
        <f>IF(ANAGRAFICA!$B210="","",ANAGRAFICA!$B210)</f>
        <v/>
      </c>
      <c r="D213" s="17" t="str">
        <f>IF($C213="","",ANAGRAFICA!$C210)</f>
        <v/>
      </c>
      <c r="E213" s="17" t="str">
        <f>IF($C213="","",ANAGRAFICA!$D210)</f>
        <v/>
      </c>
      <c r="F213" s="17" t="str">
        <f>IF($C213="","",ANAGRAFICA!$E210)</f>
        <v/>
      </c>
      <c r="G213" s="17" t="str">
        <f>IF($C213="","",ANAGRAFICA!$F210)</f>
        <v/>
      </c>
      <c r="H213" s="17" t="str">
        <f>IF($C213="","",ANAGRAFICA!$G210)</f>
        <v/>
      </c>
      <c r="I213" s="17" t="str">
        <f>IF($C213="","",ANAGRAFICA!$L210)</f>
        <v/>
      </c>
      <c r="J213" s="16" t="str">
        <f t="shared" si="73"/>
        <v/>
      </c>
      <c r="K213" s="16" t="str">
        <f t="shared" si="74"/>
        <v/>
      </c>
      <c r="L213" s="16" t="str">
        <f t="shared" si="75"/>
        <v/>
      </c>
      <c r="M213" s="16" t="str">
        <f t="shared" si="76"/>
        <v/>
      </c>
      <c r="N213" s="16" t="str">
        <f t="shared" si="77"/>
        <v/>
      </c>
      <c r="O213" s="16" t="str">
        <f t="shared" si="78"/>
        <v/>
      </c>
      <c r="P213" s="17" t="str">
        <f t="shared" si="79"/>
        <v/>
      </c>
      <c r="Q213" s="31" t="str">
        <f>IF(OR($C213="",'BUDGET COMMESSA'!$D210="",'BUDGET COMMESSA'!$D210&lt;=0,ANAGRAFICA!$J210=""),"",IF(OR($I213="Finito ritenute non previste",$I213="Finito con sblocco ritenute",$I213="Finito senza sblocco ritenute"),0,IF(AND($BK213&gt;=$BJ213,ANAGRAFICA!$R210="Ritardo produttivo FIDA"),IF(ANAGRAFICA!$T210&lt;&gt;"",MAX(0,ANAGRAFICA!$J210-ANAGRAFICA!$T210),MAX(0,$Y213-ANAGRAFICA!$J210)),0)))</f>
        <v/>
      </c>
      <c r="R213" s="17" t="str">
        <f t="shared" si="80"/>
        <v/>
      </c>
      <c r="S213" s="17" t="str">
        <f t="shared" si="81"/>
        <v/>
      </c>
      <c r="T213" s="17" t="str">
        <f t="shared" si="82"/>
        <v/>
      </c>
      <c r="U213" s="16" t="str">
        <f t="shared" si="83"/>
        <v/>
      </c>
      <c r="V213" s="16" t="str">
        <f t="shared" si="84"/>
        <v/>
      </c>
      <c r="W213" s="16" t="str">
        <f t="shared" si="85"/>
        <v/>
      </c>
      <c r="X213" s="40"/>
      <c r="Y213" s="14"/>
      <c r="AZ213" t="str">
        <f>IF($C213="","",ANAGRAFICA!$P210)</f>
        <v/>
      </c>
      <c r="BA213" t="str">
        <f>IF($C213="","",SUMIF('MOVIMENTI 2026'!$B$7:$B$4206,$C213,'MOVIMENTI 2026'!$I$7:$I$4206)+SUMIF('SALDI AL 31.12.2025'!$A$6:$A$505,$C213,'SALDI AL 31.12.2025'!$C$6:$C$505))</f>
        <v/>
      </c>
      <c r="BB213" t="str">
        <f>IF($C213="","",SUMIF('MOVIMENTI 2026'!$B$7:$B$4206,$C213,'MOVIMENTI 2026'!$J$7:$J$4206)+SUMIF('SALDI AL 31.12.2025'!$A$6:$A$505,$C213,'SALDI AL 31.12.2025'!$D$6:$D$505))</f>
        <v/>
      </c>
      <c r="BC213" t="str">
        <f>IF($C213="","",SUMIF('MOVIMENTI 2026'!$B$7:$B$4206,$C213,'MOVIMENTI 2026'!$K$7:$K$4206)+SUMIF('SALDI AL 31.12.2025'!$A$6:$A$505,$C213,'SALDI AL 31.12.2025'!$E$6:$E$505))</f>
        <v/>
      </c>
      <c r="BD213" t="str">
        <f>IF($C213="","",SUMIF('MOVIMENTI 2026'!$B$7:$B$4206,$C213,'MOVIMENTI 2026'!$L$7:$L$4206)+SUMIF('SALDI AL 31.12.2025'!$A$6:$A$505,$C213,'SALDI AL 31.12.2025'!$F$6:$F$505))</f>
        <v/>
      </c>
      <c r="BE213" t="str">
        <f t="shared" si="86"/>
        <v/>
      </c>
      <c r="BF213" t="str">
        <f t="shared" si="87"/>
        <v/>
      </c>
      <c r="BG213" t="str">
        <f t="shared" si="88"/>
        <v/>
      </c>
      <c r="BH213" t="str">
        <f>IFERROR(IF(OR($C213="",ANAGRAFICA!$I210="",ANAGRAFICA!$J210="",ANAGRAFICA!$J210&lt;=ANAGRAFICA!$I210,$Y213=""),"",IF(OR($I213="Finito ritenute non previste",$I213="Finito con sblocco ritenute",$I213="Finito senza sblocco ritenute"),1,MAX(0,MIN(1,($Y213-ANAGRAFICA!$I210)/(ANAGRAFICA!$J210-ANAGRAFICA!$I210))))),"")</f>
        <v/>
      </c>
      <c r="BI213" t="str">
        <f t="shared" si="89"/>
        <v/>
      </c>
      <c r="BJ213" t="str">
        <f>IFERROR(IF($C213="","",'BUDGET COMMESSA'!$D210),"")</f>
        <v/>
      </c>
      <c r="BK213" t="str">
        <f>IF($C213="","",SUMIF('MOVIMENTI 2026'!$B$7:$B$4206,$C213,'MOVIMENTI 2026'!$N$7:$N$4206)+SUMIF('SALDI AL 31.12.2025'!$A$6:$A$505,$C213,'SALDI AL 31.12.2025'!$H$6:$H$505))</f>
        <v/>
      </c>
      <c r="BL213" t="str">
        <f t="shared" si="90"/>
        <v/>
      </c>
      <c r="BM213" t="str">
        <f t="shared" si="91"/>
        <v/>
      </c>
      <c r="BN213" t="str">
        <f t="shared" si="92"/>
        <v/>
      </c>
      <c r="BO213" t="str">
        <f>IFERROR(IF($C213="","",'BUDGET COMMESSA'!$G210),"")</f>
        <v/>
      </c>
      <c r="BP213" t="str">
        <f>IF($C213="","",SUMIF('COSTI DIRETTI'!$C$6:$C$505,$C213,'COSTI DIRETTI'!$H$6:$H$505)+SUMIF('SALDI AL 31.12.2025'!$A$6:$A$505,$C213,'SALDI AL 31.12.2025'!$I$6:$I$505))</f>
        <v/>
      </c>
      <c r="BQ213" t="str">
        <f t="shared" si="93"/>
        <v/>
      </c>
      <c r="BR213" t="str">
        <f t="shared" si="94"/>
        <v/>
      </c>
      <c r="BS213" t="str">
        <f>IF($C213="","",$BK213*PARAMETRI!$B$4+$BP213)</f>
        <v/>
      </c>
      <c r="BT213">
        <f t="shared" si="95"/>
        <v>0</v>
      </c>
      <c r="BU213">
        <f t="shared" si="96"/>
        <v>0</v>
      </c>
      <c r="BV213" t="str">
        <f>IF($C213="","",SUMIF('MOVIMENTI 2026'!$B$7:$B$4206,$C213,'MOVIMENTI 2026'!$P$7:$P$4206)+SUMIF('SALDI AL 31.12.2025'!$A$6:$A$505,$C213,'SALDI AL 31.12.2025'!$G$6:$G$505))</f>
        <v/>
      </c>
    </row>
    <row r="214" spans="1:74" ht="16" x14ac:dyDescent="0.15">
      <c r="A214" s="17" t="str">
        <f>IFERROR(IF($C214="","",IF(OR($BF214&gt;0,$V214&gt;$J214,AND(ISNUMBER($Q214),$Q214&gt;0),AND($BI214&lt;&gt;"",$BI214&lt;-PARAMETRI!$B$6),AND($BM214&lt;&gt;"",$BM214&gt;=1),AND($BN214&lt;&gt;"",$BN214&gt;PARAMETRI!$B$8),AND(ISNUMBER($BR214),$BR214&gt;0)),"CRITICO",IF(OR($AZ214="",LEFT($C214,5)="TEMP",$BJ214="",$BO214="",ANAGRAFICA!$I211="",ANAGRAFICA!$J211="",$Y214="",AND(OR($I214="Finito ritenute non previste",$I214="Finito con sblocco ritenute",$I214="Finito senza sblocco ritenute"),ANAGRAFICA!$K211=""),OR(AND(ANAGRAFICA!$T211&lt;&gt;"",ANAGRAFICA!$J211&lt;&gt;ANAGRAFICA!$T211,OR(ANAGRAFICA!$R211="",ANAGRAFICA!$R211="Nessuna variazione")),AND(ANAGRAFICA!$J211="",ANAGRAFICA!$R211&lt;&gt;"",ANAGRAFICA!$R211&lt;&gt;"Nessuna variazione")),AND($BI214&lt;&gt;"",$BI214&lt;-PARAMETRI!$B$5),AND($BN214&lt;&gt;"",$BN214&gt;PARAMETRI!$B$7),AND($W214&gt;0,$M214&gt;$W214*PARAMETRI!$B$9),AND($O214&gt;0,OR($I214="Finito ritenute non previste",$I214="Finito con sblocco ritenute",$I214="Finito senza sblocco ritenute")),AND($BA214&gt;0,$BO214&gt;0,$BP214=0),AND(OR($I214="Finito ritenute non previste",$I214="Finito con sblocco ritenute",$I214="Finito senza sblocco ritenute"),$W214&gt;0,$N214&gt;$W214*PARAMETRI!$B$9),$V214&gt;0),"ATTENZIONE","REGOLARE"))),"ATTENZIONE")</f>
        <v/>
      </c>
      <c r="B214" s="17" t="str">
        <f>IFERROR(IF($C214="","",IF($BF214&gt;0,"FATTURATO OLTRE VALORE RECUPERABILE; ","")&amp;IF($V214&gt;$J214,"PERDITE ACCETTATE OLTRE CONTRATTO; ","")&amp;IF($V214&gt;0,"PERDITA SAL ACCETTATA (€ "&amp;TEXT($V214,"#,##0.00")&amp;"); ","")&amp;IF(AND(ISNUMBER($Q214),$Q214&gt;0),"RITARDO PRODUTTIVO ("&amp;TEXT($Q214,"0")&amp;" GG); ","")&amp;IF(AND($BI214&lt;&gt;"",$BI214&lt;-PARAMETRI!$B$5),"AVANZAMENTO PIÙ LENTO DEL TEMPO; ","")&amp;IF(AND($BM214&lt;&gt;"",$BM214&gt;1),"ORE OLTRE BUDGET; ","")&amp;IF(AND($BM214&lt;&gt;"",$BM214=1),"ORE PREVENTIVATE ESAURITE; ","")&amp;IF(AND($BN214&lt;&gt;"",$BN214&gt;PARAMETRI!$B$7),"CONSUMO ORE SUPERIORE ALL'AVANZAMENTO; ","")&amp;IF(AND(ISNUMBER($BR214),$BR214&gt;0),"COSTI DIRETTI OLTRE BUDGET; ","")&amp;IF(AND($W214&gt;0,$M214&gt;$W214*PARAMETRI!$B$9),"SAL MATURATO NON FATTURATO; ","")&amp;IF(AND($O214&gt;0,OR($I214="Finito ritenute non previste",$I214="Finito con sblocco ritenute",$I214="Finito senza sblocco ritenute")),"RITENUTE DA SBLOCCARE; ","")&amp;IF(AND($BA214&gt;0,$BO214&gt;0,$BP214=0),"COSTI DIRETTI NON REGISTRATI; ","")&amp;IF(AND(OR($I214="Finito ritenute non previste",$I214="Finito con sblocco ritenute",$I214="Finito senza sblocco ritenute"),$W214&gt;0,$N214&gt;$W214*PARAMETRI!$B$9),"CANTIERE FINITO CON RESIDUO LAVORI; ","")&amp;IF(AND(OR($I214="Finito ritenute non previste",$I214="Finito con sblocco ritenute",$I214="Finito senza sblocco ritenute"),ANAGRAFICA!$K211=""),"DATA FINE EFFETTIVA MANCANTE; ","")&amp;IF(OR(AND(ANAGRAFICA!$T211&lt;&gt;"",ANAGRAFICA!$J211&lt;&gt;ANAGRAFICA!$T211,OR(ANAGRAFICA!$R211="",ANAGRAFICA!$R211="Nessuna variazione")),AND(ANAGRAFICA!$J211="",ANAGRAFICA!$R211&lt;&gt;"",ANAGRAFICA!$R211&lt;&gt;"Nessuna variazione")),"GESTIONE DATA FINE INCOMPLETA; ","")&amp;IF($Y214="","AGGIORNATO AL MANCANTE; ","")&amp;IF(OR($AZ214="",$BJ214="",$BO214="",ANAGRAFICA!$I211="",ANAGRAFICA!$J211=""),"DATI PREVISIONALI INCOMPLETI; ","")&amp;IF(LEFT($C214,5)="TEMP","CODICE COMMESSA TEMPORANEO; ","")),"DATI INCOMPLETI; ")</f>
        <v/>
      </c>
      <c r="C214" s="17" t="str">
        <f>IF(ANAGRAFICA!$B211="","",ANAGRAFICA!$B211)</f>
        <v/>
      </c>
      <c r="D214" s="17" t="str">
        <f>IF($C214="","",ANAGRAFICA!$C211)</f>
        <v/>
      </c>
      <c r="E214" s="17" t="str">
        <f>IF($C214="","",ANAGRAFICA!$D211)</f>
        <v/>
      </c>
      <c r="F214" s="17" t="str">
        <f>IF($C214="","",ANAGRAFICA!$E211)</f>
        <v/>
      </c>
      <c r="G214" s="17" t="str">
        <f>IF($C214="","",ANAGRAFICA!$F211)</f>
        <v/>
      </c>
      <c r="H214" s="17" t="str">
        <f>IF($C214="","",ANAGRAFICA!$G211)</f>
        <v/>
      </c>
      <c r="I214" s="17" t="str">
        <f>IF($C214="","",ANAGRAFICA!$L211)</f>
        <v/>
      </c>
      <c r="J214" s="16" t="str">
        <f t="shared" si="73"/>
        <v/>
      </c>
      <c r="K214" s="16" t="str">
        <f t="shared" si="74"/>
        <v/>
      </c>
      <c r="L214" s="16" t="str">
        <f t="shared" si="75"/>
        <v/>
      </c>
      <c r="M214" s="16" t="str">
        <f t="shared" si="76"/>
        <v/>
      </c>
      <c r="N214" s="16" t="str">
        <f t="shared" si="77"/>
        <v/>
      </c>
      <c r="O214" s="16" t="str">
        <f t="shared" si="78"/>
        <v/>
      </c>
      <c r="P214" s="17" t="str">
        <f t="shared" si="79"/>
        <v/>
      </c>
      <c r="Q214" s="31" t="str">
        <f>IF(OR($C214="",'BUDGET COMMESSA'!$D211="",'BUDGET COMMESSA'!$D211&lt;=0,ANAGRAFICA!$J211=""),"",IF(OR($I214="Finito ritenute non previste",$I214="Finito con sblocco ritenute",$I214="Finito senza sblocco ritenute"),0,IF(AND($BK214&gt;=$BJ214,ANAGRAFICA!$R211="Ritardo produttivo FIDA"),IF(ANAGRAFICA!$T211&lt;&gt;"",MAX(0,ANAGRAFICA!$J211-ANAGRAFICA!$T211),MAX(0,$Y214-ANAGRAFICA!$J211)),0)))</f>
        <v/>
      </c>
      <c r="R214" s="17" t="str">
        <f t="shared" si="80"/>
        <v/>
      </c>
      <c r="S214" s="17" t="str">
        <f t="shared" si="81"/>
        <v/>
      </c>
      <c r="T214" s="17" t="str">
        <f t="shared" si="82"/>
        <v/>
      </c>
      <c r="U214" s="16" t="str">
        <f t="shared" si="83"/>
        <v/>
      </c>
      <c r="V214" s="16" t="str">
        <f t="shared" si="84"/>
        <v/>
      </c>
      <c r="W214" s="16" t="str">
        <f t="shared" si="85"/>
        <v/>
      </c>
      <c r="X214" s="40"/>
      <c r="Y214" s="14"/>
      <c r="AZ214" t="str">
        <f>IF($C214="","",ANAGRAFICA!$P211)</f>
        <v/>
      </c>
      <c r="BA214" t="str">
        <f>IF($C214="","",SUMIF('MOVIMENTI 2026'!$B$7:$B$4206,$C214,'MOVIMENTI 2026'!$I$7:$I$4206)+SUMIF('SALDI AL 31.12.2025'!$A$6:$A$505,$C214,'SALDI AL 31.12.2025'!$C$6:$C$505))</f>
        <v/>
      </c>
      <c r="BB214" t="str">
        <f>IF($C214="","",SUMIF('MOVIMENTI 2026'!$B$7:$B$4206,$C214,'MOVIMENTI 2026'!$J$7:$J$4206)+SUMIF('SALDI AL 31.12.2025'!$A$6:$A$505,$C214,'SALDI AL 31.12.2025'!$D$6:$D$505))</f>
        <v/>
      </c>
      <c r="BC214" t="str">
        <f>IF($C214="","",SUMIF('MOVIMENTI 2026'!$B$7:$B$4206,$C214,'MOVIMENTI 2026'!$K$7:$K$4206)+SUMIF('SALDI AL 31.12.2025'!$A$6:$A$505,$C214,'SALDI AL 31.12.2025'!$E$6:$E$505))</f>
        <v/>
      </c>
      <c r="BD214" t="str">
        <f>IF($C214="","",SUMIF('MOVIMENTI 2026'!$B$7:$B$4206,$C214,'MOVIMENTI 2026'!$L$7:$L$4206)+SUMIF('SALDI AL 31.12.2025'!$A$6:$A$505,$C214,'SALDI AL 31.12.2025'!$F$6:$F$505))</f>
        <v/>
      </c>
      <c r="BE214" t="str">
        <f t="shared" si="86"/>
        <v/>
      </c>
      <c r="BF214" t="str">
        <f t="shared" si="87"/>
        <v/>
      </c>
      <c r="BG214" t="str">
        <f t="shared" si="88"/>
        <v/>
      </c>
      <c r="BH214" t="str">
        <f>IFERROR(IF(OR($C214="",ANAGRAFICA!$I211="",ANAGRAFICA!$J211="",ANAGRAFICA!$J211&lt;=ANAGRAFICA!$I211,$Y214=""),"",IF(OR($I214="Finito ritenute non previste",$I214="Finito con sblocco ritenute",$I214="Finito senza sblocco ritenute"),1,MAX(0,MIN(1,($Y214-ANAGRAFICA!$I211)/(ANAGRAFICA!$J211-ANAGRAFICA!$I211))))),"")</f>
        <v/>
      </c>
      <c r="BI214" t="str">
        <f t="shared" si="89"/>
        <v/>
      </c>
      <c r="BJ214" t="str">
        <f>IFERROR(IF($C214="","",'BUDGET COMMESSA'!$D211),"")</f>
        <v/>
      </c>
      <c r="BK214" t="str">
        <f>IF($C214="","",SUMIF('MOVIMENTI 2026'!$B$7:$B$4206,$C214,'MOVIMENTI 2026'!$N$7:$N$4206)+SUMIF('SALDI AL 31.12.2025'!$A$6:$A$505,$C214,'SALDI AL 31.12.2025'!$H$6:$H$505))</f>
        <v/>
      </c>
      <c r="BL214" t="str">
        <f t="shared" si="90"/>
        <v/>
      </c>
      <c r="BM214" t="str">
        <f t="shared" si="91"/>
        <v/>
      </c>
      <c r="BN214" t="str">
        <f t="shared" si="92"/>
        <v/>
      </c>
      <c r="BO214" t="str">
        <f>IFERROR(IF($C214="","",'BUDGET COMMESSA'!$G211),"")</f>
        <v/>
      </c>
      <c r="BP214" t="str">
        <f>IF($C214="","",SUMIF('COSTI DIRETTI'!$C$6:$C$505,$C214,'COSTI DIRETTI'!$H$6:$H$505)+SUMIF('SALDI AL 31.12.2025'!$A$6:$A$505,$C214,'SALDI AL 31.12.2025'!$I$6:$I$505))</f>
        <v/>
      </c>
      <c r="BQ214" t="str">
        <f t="shared" si="93"/>
        <v/>
      </c>
      <c r="BR214" t="str">
        <f t="shared" si="94"/>
        <v/>
      </c>
      <c r="BS214" t="str">
        <f>IF($C214="","",$BK214*PARAMETRI!$B$4+$BP214)</f>
        <v/>
      </c>
      <c r="BT214">
        <f t="shared" si="95"/>
        <v>0</v>
      </c>
      <c r="BU214">
        <f t="shared" si="96"/>
        <v>0</v>
      </c>
      <c r="BV214" t="str">
        <f>IF($C214="","",SUMIF('MOVIMENTI 2026'!$B$7:$B$4206,$C214,'MOVIMENTI 2026'!$P$7:$P$4206)+SUMIF('SALDI AL 31.12.2025'!$A$6:$A$505,$C214,'SALDI AL 31.12.2025'!$G$6:$G$505))</f>
        <v/>
      </c>
    </row>
    <row r="215" spans="1:74" ht="16" x14ac:dyDescent="0.15">
      <c r="A215" s="17" t="str">
        <f>IFERROR(IF($C215="","",IF(OR($BF215&gt;0,$V215&gt;$J215,AND(ISNUMBER($Q215),$Q215&gt;0),AND($BI215&lt;&gt;"",$BI215&lt;-PARAMETRI!$B$6),AND($BM215&lt;&gt;"",$BM215&gt;=1),AND($BN215&lt;&gt;"",$BN215&gt;PARAMETRI!$B$8),AND(ISNUMBER($BR215),$BR215&gt;0)),"CRITICO",IF(OR($AZ215="",LEFT($C215,5)="TEMP",$BJ215="",$BO215="",ANAGRAFICA!$I212="",ANAGRAFICA!$J212="",$Y215="",AND(OR($I215="Finito ritenute non previste",$I215="Finito con sblocco ritenute",$I215="Finito senza sblocco ritenute"),ANAGRAFICA!$K212=""),OR(AND(ANAGRAFICA!$T212&lt;&gt;"",ANAGRAFICA!$J212&lt;&gt;ANAGRAFICA!$T212,OR(ANAGRAFICA!$R212="",ANAGRAFICA!$R212="Nessuna variazione")),AND(ANAGRAFICA!$J212="",ANAGRAFICA!$R212&lt;&gt;"",ANAGRAFICA!$R212&lt;&gt;"Nessuna variazione")),AND($BI215&lt;&gt;"",$BI215&lt;-PARAMETRI!$B$5),AND($BN215&lt;&gt;"",$BN215&gt;PARAMETRI!$B$7),AND($W215&gt;0,$M215&gt;$W215*PARAMETRI!$B$9),AND($O215&gt;0,OR($I215="Finito ritenute non previste",$I215="Finito con sblocco ritenute",$I215="Finito senza sblocco ritenute")),AND($BA215&gt;0,$BO215&gt;0,$BP215=0),AND(OR($I215="Finito ritenute non previste",$I215="Finito con sblocco ritenute",$I215="Finito senza sblocco ritenute"),$W215&gt;0,$N215&gt;$W215*PARAMETRI!$B$9),$V215&gt;0),"ATTENZIONE","REGOLARE"))),"ATTENZIONE")</f>
        <v/>
      </c>
      <c r="B215" s="17" t="str">
        <f>IFERROR(IF($C215="","",IF($BF215&gt;0,"FATTURATO OLTRE VALORE RECUPERABILE; ","")&amp;IF($V215&gt;$J215,"PERDITE ACCETTATE OLTRE CONTRATTO; ","")&amp;IF($V215&gt;0,"PERDITA SAL ACCETTATA (€ "&amp;TEXT($V215,"#,##0.00")&amp;"); ","")&amp;IF(AND(ISNUMBER($Q215),$Q215&gt;0),"RITARDO PRODUTTIVO ("&amp;TEXT($Q215,"0")&amp;" GG); ","")&amp;IF(AND($BI215&lt;&gt;"",$BI215&lt;-PARAMETRI!$B$5),"AVANZAMENTO PIÙ LENTO DEL TEMPO; ","")&amp;IF(AND($BM215&lt;&gt;"",$BM215&gt;1),"ORE OLTRE BUDGET; ","")&amp;IF(AND($BM215&lt;&gt;"",$BM215=1),"ORE PREVENTIVATE ESAURITE; ","")&amp;IF(AND($BN215&lt;&gt;"",$BN215&gt;PARAMETRI!$B$7),"CONSUMO ORE SUPERIORE ALL'AVANZAMENTO; ","")&amp;IF(AND(ISNUMBER($BR215),$BR215&gt;0),"COSTI DIRETTI OLTRE BUDGET; ","")&amp;IF(AND($W215&gt;0,$M215&gt;$W215*PARAMETRI!$B$9),"SAL MATURATO NON FATTURATO; ","")&amp;IF(AND($O215&gt;0,OR($I215="Finito ritenute non previste",$I215="Finito con sblocco ritenute",$I215="Finito senza sblocco ritenute")),"RITENUTE DA SBLOCCARE; ","")&amp;IF(AND($BA215&gt;0,$BO215&gt;0,$BP215=0),"COSTI DIRETTI NON REGISTRATI; ","")&amp;IF(AND(OR($I215="Finito ritenute non previste",$I215="Finito con sblocco ritenute",$I215="Finito senza sblocco ritenute"),$W215&gt;0,$N215&gt;$W215*PARAMETRI!$B$9),"CANTIERE FINITO CON RESIDUO LAVORI; ","")&amp;IF(AND(OR($I215="Finito ritenute non previste",$I215="Finito con sblocco ritenute",$I215="Finito senza sblocco ritenute"),ANAGRAFICA!$K212=""),"DATA FINE EFFETTIVA MANCANTE; ","")&amp;IF(OR(AND(ANAGRAFICA!$T212&lt;&gt;"",ANAGRAFICA!$J212&lt;&gt;ANAGRAFICA!$T212,OR(ANAGRAFICA!$R212="",ANAGRAFICA!$R212="Nessuna variazione")),AND(ANAGRAFICA!$J212="",ANAGRAFICA!$R212&lt;&gt;"",ANAGRAFICA!$R212&lt;&gt;"Nessuna variazione")),"GESTIONE DATA FINE INCOMPLETA; ","")&amp;IF($Y215="","AGGIORNATO AL MANCANTE; ","")&amp;IF(OR($AZ215="",$BJ215="",$BO215="",ANAGRAFICA!$I212="",ANAGRAFICA!$J212=""),"DATI PREVISIONALI INCOMPLETI; ","")&amp;IF(LEFT($C215,5)="TEMP","CODICE COMMESSA TEMPORANEO; ","")),"DATI INCOMPLETI; ")</f>
        <v/>
      </c>
      <c r="C215" s="17" t="str">
        <f>IF(ANAGRAFICA!$B212="","",ANAGRAFICA!$B212)</f>
        <v/>
      </c>
      <c r="D215" s="17" t="str">
        <f>IF($C215="","",ANAGRAFICA!$C212)</f>
        <v/>
      </c>
      <c r="E215" s="17" t="str">
        <f>IF($C215="","",ANAGRAFICA!$D212)</f>
        <v/>
      </c>
      <c r="F215" s="17" t="str">
        <f>IF($C215="","",ANAGRAFICA!$E212)</f>
        <v/>
      </c>
      <c r="G215" s="17" t="str">
        <f>IF($C215="","",ANAGRAFICA!$F212)</f>
        <v/>
      </c>
      <c r="H215" s="17" t="str">
        <f>IF($C215="","",ANAGRAFICA!$G212)</f>
        <v/>
      </c>
      <c r="I215" s="17" t="str">
        <f>IF($C215="","",ANAGRAFICA!$L212)</f>
        <v/>
      </c>
      <c r="J215" s="16" t="str">
        <f t="shared" si="73"/>
        <v/>
      </c>
      <c r="K215" s="16" t="str">
        <f t="shared" si="74"/>
        <v/>
      </c>
      <c r="L215" s="16" t="str">
        <f t="shared" si="75"/>
        <v/>
      </c>
      <c r="M215" s="16" t="str">
        <f t="shared" si="76"/>
        <v/>
      </c>
      <c r="N215" s="16" t="str">
        <f t="shared" si="77"/>
        <v/>
      </c>
      <c r="O215" s="16" t="str">
        <f t="shared" si="78"/>
        <v/>
      </c>
      <c r="P215" s="17" t="str">
        <f t="shared" si="79"/>
        <v/>
      </c>
      <c r="Q215" s="31" t="str">
        <f>IF(OR($C215="",'BUDGET COMMESSA'!$D212="",'BUDGET COMMESSA'!$D212&lt;=0,ANAGRAFICA!$J212=""),"",IF(OR($I215="Finito ritenute non previste",$I215="Finito con sblocco ritenute",$I215="Finito senza sblocco ritenute"),0,IF(AND($BK215&gt;=$BJ215,ANAGRAFICA!$R212="Ritardo produttivo FIDA"),IF(ANAGRAFICA!$T212&lt;&gt;"",MAX(0,ANAGRAFICA!$J212-ANAGRAFICA!$T212),MAX(0,$Y215-ANAGRAFICA!$J212)),0)))</f>
        <v/>
      </c>
      <c r="R215" s="17" t="str">
        <f t="shared" si="80"/>
        <v/>
      </c>
      <c r="S215" s="17" t="str">
        <f t="shared" si="81"/>
        <v/>
      </c>
      <c r="T215" s="17" t="str">
        <f t="shared" si="82"/>
        <v/>
      </c>
      <c r="U215" s="16" t="str">
        <f t="shared" si="83"/>
        <v/>
      </c>
      <c r="V215" s="16" t="str">
        <f t="shared" si="84"/>
        <v/>
      </c>
      <c r="W215" s="16" t="str">
        <f t="shared" si="85"/>
        <v/>
      </c>
      <c r="X215" s="40"/>
      <c r="Y215" s="14"/>
      <c r="AZ215" t="str">
        <f>IF($C215="","",ANAGRAFICA!$P212)</f>
        <v/>
      </c>
      <c r="BA215" t="str">
        <f>IF($C215="","",SUMIF('MOVIMENTI 2026'!$B$7:$B$4206,$C215,'MOVIMENTI 2026'!$I$7:$I$4206)+SUMIF('SALDI AL 31.12.2025'!$A$6:$A$505,$C215,'SALDI AL 31.12.2025'!$C$6:$C$505))</f>
        <v/>
      </c>
      <c r="BB215" t="str">
        <f>IF($C215="","",SUMIF('MOVIMENTI 2026'!$B$7:$B$4206,$C215,'MOVIMENTI 2026'!$J$7:$J$4206)+SUMIF('SALDI AL 31.12.2025'!$A$6:$A$505,$C215,'SALDI AL 31.12.2025'!$D$6:$D$505))</f>
        <v/>
      </c>
      <c r="BC215" t="str">
        <f>IF($C215="","",SUMIF('MOVIMENTI 2026'!$B$7:$B$4206,$C215,'MOVIMENTI 2026'!$K$7:$K$4206)+SUMIF('SALDI AL 31.12.2025'!$A$6:$A$505,$C215,'SALDI AL 31.12.2025'!$E$6:$E$505))</f>
        <v/>
      </c>
      <c r="BD215" t="str">
        <f>IF($C215="","",SUMIF('MOVIMENTI 2026'!$B$7:$B$4206,$C215,'MOVIMENTI 2026'!$L$7:$L$4206)+SUMIF('SALDI AL 31.12.2025'!$A$6:$A$505,$C215,'SALDI AL 31.12.2025'!$F$6:$F$505))</f>
        <v/>
      </c>
      <c r="BE215" t="str">
        <f t="shared" si="86"/>
        <v/>
      </c>
      <c r="BF215" t="str">
        <f t="shared" si="87"/>
        <v/>
      </c>
      <c r="BG215" t="str">
        <f t="shared" si="88"/>
        <v/>
      </c>
      <c r="BH215" t="str">
        <f>IFERROR(IF(OR($C215="",ANAGRAFICA!$I212="",ANAGRAFICA!$J212="",ANAGRAFICA!$J212&lt;=ANAGRAFICA!$I212,$Y215=""),"",IF(OR($I215="Finito ritenute non previste",$I215="Finito con sblocco ritenute",$I215="Finito senza sblocco ritenute"),1,MAX(0,MIN(1,($Y215-ANAGRAFICA!$I212)/(ANAGRAFICA!$J212-ANAGRAFICA!$I212))))),"")</f>
        <v/>
      </c>
      <c r="BI215" t="str">
        <f t="shared" si="89"/>
        <v/>
      </c>
      <c r="BJ215" t="str">
        <f>IFERROR(IF($C215="","",'BUDGET COMMESSA'!$D212),"")</f>
        <v/>
      </c>
      <c r="BK215" t="str">
        <f>IF($C215="","",SUMIF('MOVIMENTI 2026'!$B$7:$B$4206,$C215,'MOVIMENTI 2026'!$N$7:$N$4206)+SUMIF('SALDI AL 31.12.2025'!$A$6:$A$505,$C215,'SALDI AL 31.12.2025'!$H$6:$H$505))</f>
        <v/>
      </c>
      <c r="BL215" t="str">
        <f t="shared" si="90"/>
        <v/>
      </c>
      <c r="BM215" t="str">
        <f t="shared" si="91"/>
        <v/>
      </c>
      <c r="BN215" t="str">
        <f t="shared" si="92"/>
        <v/>
      </c>
      <c r="BO215" t="str">
        <f>IFERROR(IF($C215="","",'BUDGET COMMESSA'!$G212),"")</f>
        <v/>
      </c>
      <c r="BP215" t="str">
        <f>IF($C215="","",SUMIF('COSTI DIRETTI'!$C$6:$C$505,$C215,'COSTI DIRETTI'!$H$6:$H$505)+SUMIF('SALDI AL 31.12.2025'!$A$6:$A$505,$C215,'SALDI AL 31.12.2025'!$I$6:$I$505))</f>
        <v/>
      </c>
      <c r="BQ215" t="str">
        <f t="shared" si="93"/>
        <v/>
      </c>
      <c r="BR215" t="str">
        <f t="shared" si="94"/>
        <v/>
      </c>
      <c r="BS215" t="str">
        <f>IF($C215="","",$BK215*PARAMETRI!$B$4+$BP215)</f>
        <v/>
      </c>
      <c r="BT215">
        <f t="shared" si="95"/>
        <v>0</v>
      </c>
      <c r="BU215">
        <f t="shared" si="96"/>
        <v>0</v>
      </c>
      <c r="BV215" t="str">
        <f>IF($C215="","",SUMIF('MOVIMENTI 2026'!$B$7:$B$4206,$C215,'MOVIMENTI 2026'!$P$7:$P$4206)+SUMIF('SALDI AL 31.12.2025'!$A$6:$A$505,$C215,'SALDI AL 31.12.2025'!$G$6:$G$505))</f>
        <v/>
      </c>
    </row>
    <row r="216" spans="1:74" ht="16" x14ac:dyDescent="0.15">
      <c r="A216" s="17" t="str">
        <f>IFERROR(IF($C216="","",IF(OR($BF216&gt;0,$V216&gt;$J216,AND(ISNUMBER($Q216),$Q216&gt;0),AND($BI216&lt;&gt;"",$BI216&lt;-PARAMETRI!$B$6),AND($BM216&lt;&gt;"",$BM216&gt;=1),AND($BN216&lt;&gt;"",$BN216&gt;PARAMETRI!$B$8),AND(ISNUMBER($BR216),$BR216&gt;0)),"CRITICO",IF(OR($AZ216="",LEFT($C216,5)="TEMP",$BJ216="",$BO216="",ANAGRAFICA!$I213="",ANAGRAFICA!$J213="",$Y216="",AND(OR($I216="Finito ritenute non previste",$I216="Finito con sblocco ritenute",$I216="Finito senza sblocco ritenute"),ANAGRAFICA!$K213=""),OR(AND(ANAGRAFICA!$T213&lt;&gt;"",ANAGRAFICA!$J213&lt;&gt;ANAGRAFICA!$T213,OR(ANAGRAFICA!$R213="",ANAGRAFICA!$R213="Nessuna variazione")),AND(ANAGRAFICA!$J213="",ANAGRAFICA!$R213&lt;&gt;"",ANAGRAFICA!$R213&lt;&gt;"Nessuna variazione")),AND($BI216&lt;&gt;"",$BI216&lt;-PARAMETRI!$B$5),AND($BN216&lt;&gt;"",$BN216&gt;PARAMETRI!$B$7),AND($W216&gt;0,$M216&gt;$W216*PARAMETRI!$B$9),AND($O216&gt;0,OR($I216="Finito ritenute non previste",$I216="Finito con sblocco ritenute",$I216="Finito senza sblocco ritenute")),AND($BA216&gt;0,$BO216&gt;0,$BP216=0),AND(OR($I216="Finito ritenute non previste",$I216="Finito con sblocco ritenute",$I216="Finito senza sblocco ritenute"),$W216&gt;0,$N216&gt;$W216*PARAMETRI!$B$9),$V216&gt;0),"ATTENZIONE","REGOLARE"))),"ATTENZIONE")</f>
        <v/>
      </c>
      <c r="B216" s="17" t="str">
        <f>IFERROR(IF($C216="","",IF($BF216&gt;0,"FATTURATO OLTRE VALORE RECUPERABILE; ","")&amp;IF($V216&gt;$J216,"PERDITE ACCETTATE OLTRE CONTRATTO; ","")&amp;IF($V216&gt;0,"PERDITA SAL ACCETTATA (€ "&amp;TEXT($V216,"#,##0.00")&amp;"); ","")&amp;IF(AND(ISNUMBER($Q216),$Q216&gt;0),"RITARDO PRODUTTIVO ("&amp;TEXT($Q216,"0")&amp;" GG); ","")&amp;IF(AND($BI216&lt;&gt;"",$BI216&lt;-PARAMETRI!$B$5),"AVANZAMENTO PIÙ LENTO DEL TEMPO; ","")&amp;IF(AND($BM216&lt;&gt;"",$BM216&gt;1),"ORE OLTRE BUDGET; ","")&amp;IF(AND($BM216&lt;&gt;"",$BM216=1),"ORE PREVENTIVATE ESAURITE; ","")&amp;IF(AND($BN216&lt;&gt;"",$BN216&gt;PARAMETRI!$B$7),"CONSUMO ORE SUPERIORE ALL'AVANZAMENTO; ","")&amp;IF(AND(ISNUMBER($BR216),$BR216&gt;0),"COSTI DIRETTI OLTRE BUDGET; ","")&amp;IF(AND($W216&gt;0,$M216&gt;$W216*PARAMETRI!$B$9),"SAL MATURATO NON FATTURATO; ","")&amp;IF(AND($O216&gt;0,OR($I216="Finito ritenute non previste",$I216="Finito con sblocco ritenute",$I216="Finito senza sblocco ritenute")),"RITENUTE DA SBLOCCARE; ","")&amp;IF(AND($BA216&gt;0,$BO216&gt;0,$BP216=0),"COSTI DIRETTI NON REGISTRATI; ","")&amp;IF(AND(OR($I216="Finito ritenute non previste",$I216="Finito con sblocco ritenute",$I216="Finito senza sblocco ritenute"),$W216&gt;0,$N216&gt;$W216*PARAMETRI!$B$9),"CANTIERE FINITO CON RESIDUO LAVORI; ","")&amp;IF(AND(OR($I216="Finito ritenute non previste",$I216="Finito con sblocco ritenute",$I216="Finito senza sblocco ritenute"),ANAGRAFICA!$K213=""),"DATA FINE EFFETTIVA MANCANTE; ","")&amp;IF(OR(AND(ANAGRAFICA!$T213&lt;&gt;"",ANAGRAFICA!$J213&lt;&gt;ANAGRAFICA!$T213,OR(ANAGRAFICA!$R213="",ANAGRAFICA!$R213="Nessuna variazione")),AND(ANAGRAFICA!$J213="",ANAGRAFICA!$R213&lt;&gt;"",ANAGRAFICA!$R213&lt;&gt;"Nessuna variazione")),"GESTIONE DATA FINE INCOMPLETA; ","")&amp;IF($Y216="","AGGIORNATO AL MANCANTE; ","")&amp;IF(OR($AZ216="",$BJ216="",$BO216="",ANAGRAFICA!$I213="",ANAGRAFICA!$J213=""),"DATI PREVISIONALI INCOMPLETI; ","")&amp;IF(LEFT($C216,5)="TEMP","CODICE COMMESSA TEMPORANEO; ","")),"DATI INCOMPLETI; ")</f>
        <v/>
      </c>
      <c r="C216" s="17" t="str">
        <f>IF(ANAGRAFICA!$B213="","",ANAGRAFICA!$B213)</f>
        <v/>
      </c>
      <c r="D216" s="17" t="str">
        <f>IF($C216="","",ANAGRAFICA!$C213)</f>
        <v/>
      </c>
      <c r="E216" s="17" t="str">
        <f>IF($C216="","",ANAGRAFICA!$D213)</f>
        <v/>
      </c>
      <c r="F216" s="17" t="str">
        <f>IF($C216="","",ANAGRAFICA!$E213)</f>
        <v/>
      </c>
      <c r="G216" s="17" t="str">
        <f>IF($C216="","",ANAGRAFICA!$F213)</f>
        <v/>
      </c>
      <c r="H216" s="17" t="str">
        <f>IF($C216="","",ANAGRAFICA!$G213)</f>
        <v/>
      </c>
      <c r="I216" s="17" t="str">
        <f>IF($C216="","",ANAGRAFICA!$L213)</f>
        <v/>
      </c>
      <c r="J216" s="16" t="str">
        <f t="shared" si="73"/>
        <v/>
      </c>
      <c r="K216" s="16" t="str">
        <f t="shared" si="74"/>
        <v/>
      </c>
      <c r="L216" s="16" t="str">
        <f t="shared" si="75"/>
        <v/>
      </c>
      <c r="M216" s="16" t="str">
        <f t="shared" si="76"/>
        <v/>
      </c>
      <c r="N216" s="16" t="str">
        <f t="shared" si="77"/>
        <v/>
      </c>
      <c r="O216" s="16" t="str">
        <f t="shared" si="78"/>
        <v/>
      </c>
      <c r="P216" s="17" t="str">
        <f t="shared" si="79"/>
        <v/>
      </c>
      <c r="Q216" s="31" t="str">
        <f>IF(OR($C216="",'BUDGET COMMESSA'!$D213="",'BUDGET COMMESSA'!$D213&lt;=0,ANAGRAFICA!$J213=""),"",IF(OR($I216="Finito ritenute non previste",$I216="Finito con sblocco ritenute",$I216="Finito senza sblocco ritenute"),0,IF(AND($BK216&gt;=$BJ216,ANAGRAFICA!$R213="Ritardo produttivo FIDA"),IF(ANAGRAFICA!$T213&lt;&gt;"",MAX(0,ANAGRAFICA!$J213-ANAGRAFICA!$T213),MAX(0,$Y216-ANAGRAFICA!$J213)),0)))</f>
        <v/>
      </c>
      <c r="R216" s="17" t="str">
        <f t="shared" si="80"/>
        <v/>
      </c>
      <c r="S216" s="17" t="str">
        <f t="shared" si="81"/>
        <v/>
      </c>
      <c r="T216" s="17" t="str">
        <f t="shared" si="82"/>
        <v/>
      </c>
      <c r="U216" s="16" t="str">
        <f t="shared" si="83"/>
        <v/>
      </c>
      <c r="V216" s="16" t="str">
        <f t="shared" si="84"/>
        <v/>
      </c>
      <c r="W216" s="16" t="str">
        <f t="shared" si="85"/>
        <v/>
      </c>
      <c r="X216" s="40"/>
      <c r="Y216" s="14"/>
      <c r="AZ216" t="str">
        <f>IF($C216="","",ANAGRAFICA!$P213)</f>
        <v/>
      </c>
      <c r="BA216" t="str">
        <f>IF($C216="","",SUMIF('MOVIMENTI 2026'!$B$7:$B$4206,$C216,'MOVIMENTI 2026'!$I$7:$I$4206)+SUMIF('SALDI AL 31.12.2025'!$A$6:$A$505,$C216,'SALDI AL 31.12.2025'!$C$6:$C$505))</f>
        <v/>
      </c>
      <c r="BB216" t="str">
        <f>IF($C216="","",SUMIF('MOVIMENTI 2026'!$B$7:$B$4206,$C216,'MOVIMENTI 2026'!$J$7:$J$4206)+SUMIF('SALDI AL 31.12.2025'!$A$6:$A$505,$C216,'SALDI AL 31.12.2025'!$D$6:$D$505))</f>
        <v/>
      </c>
      <c r="BC216" t="str">
        <f>IF($C216="","",SUMIF('MOVIMENTI 2026'!$B$7:$B$4206,$C216,'MOVIMENTI 2026'!$K$7:$K$4206)+SUMIF('SALDI AL 31.12.2025'!$A$6:$A$505,$C216,'SALDI AL 31.12.2025'!$E$6:$E$505))</f>
        <v/>
      </c>
      <c r="BD216" t="str">
        <f>IF($C216="","",SUMIF('MOVIMENTI 2026'!$B$7:$B$4206,$C216,'MOVIMENTI 2026'!$L$7:$L$4206)+SUMIF('SALDI AL 31.12.2025'!$A$6:$A$505,$C216,'SALDI AL 31.12.2025'!$F$6:$F$505))</f>
        <v/>
      </c>
      <c r="BE216" t="str">
        <f t="shared" si="86"/>
        <v/>
      </c>
      <c r="BF216" t="str">
        <f t="shared" si="87"/>
        <v/>
      </c>
      <c r="BG216" t="str">
        <f t="shared" si="88"/>
        <v/>
      </c>
      <c r="BH216" t="str">
        <f>IFERROR(IF(OR($C216="",ANAGRAFICA!$I213="",ANAGRAFICA!$J213="",ANAGRAFICA!$J213&lt;=ANAGRAFICA!$I213,$Y216=""),"",IF(OR($I216="Finito ritenute non previste",$I216="Finito con sblocco ritenute",$I216="Finito senza sblocco ritenute"),1,MAX(0,MIN(1,($Y216-ANAGRAFICA!$I213)/(ANAGRAFICA!$J213-ANAGRAFICA!$I213))))),"")</f>
        <v/>
      </c>
      <c r="BI216" t="str">
        <f t="shared" si="89"/>
        <v/>
      </c>
      <c r="BJ216" t="str">
        <f>IFERROR(IF($C216="","",'BUDGET COMMESSA'!$D213),"")</f>
        <v/>
      </c>
      <c r="BK216" t="str">
        <f>IF($C216="","",SUMIF('MOVIMENTI 2026'!$B$7:$B$4206,$C216,'MOVIMENTI 2026'!$N$7:$N$4206)+SUMIF('SALDI AL 31.12.2025'!$A$6:$A$505,$C216,'SALDI AL 31.12.2025'!$H$6:$H$505))</f>
        <v/>
      </c>
      <c r="BL216" t="str">
        <f t="shared" si="90"/>
        <v/>
      </c>
      <c r="BM216" t="str">
        <f t="shared" si="91"/>
        <v/>
      </c>
      <c r="BN216" t="str">
        <f t="shared" si="92"/>
        <v/>
      </c>
      <c r="BO216" t="str">
        <f>IFERROR(IF($C216="","",'BUDGET COMMESSA'!$G213),"")</f>
        <v/>
      </c>
      <c r="BP216" t="str">
        <f>IF($C216="","",SUMIF('COSTI DIRETTI'!$C$6:$C$505,$C216,'COSTI DIRETTI'!$H$6:$H$505)+SUMIF('SALDI AL 31.12.2025'!$A$6:$A$505,$C216,'SALDI AL 31.12.2025'!$I$6:$I$505))</f>
        <v/>
      </c>
      <c r="BQ216" t="str">
        <f t="shared" si="93"/>
        <v/>
      </c>
      <c r="BR216" t="str">
        <f t="shared" si="94"/>
        <v/>
      </c>
      <c r="BS216" t="str">
        <f>IF($C216="","",$BK216*PARAMETRI!$B$4+$BP216)</f>
        <v/>
      </c>
      <c r="BT216">
        <f t="shared" si="95"/>
        <v>0</v>
      </c>
      <c r="BU216">
        <f t="shared" si="96"/>
        <v>0</v>
      </c>
      <c r="BV216" t="str">
        <f>IF($C216="","",SUMIF('MOVIMENTI 2026'!$B$7:$B$4206,$C216,'MOVIMENTI 2026'!$P$7:$P$4206)+SUMIF('SALDI AL 31.12.2025'!$A$6:$A$505,$C216,'SALDI AL 31.12.2025'!$G$6:$G$505))</f>
        <v/>
      </c>
    </row>
    <row r="217" spans="1:74" ht="16" x14ac:dyDescent="0.15">
      <c r="A217" s="17" t="str">
        <f>IFERROR(IF($C217="","",IF(OR($BF217&gt;0,$V217&gt;$J217,AND(ISNUMBER($Q217),$Q217&gt;0),AND($BI217&lt;&gt;"",$BI217&lt;-PARAMETRI!$B$6),AND($BM217&lt;&gt;"",$BM217&gt;=1),AND($BN217&lt;&gt;"",$BN217&gt;PARAMETRI!$B$8),AND(ISNUMBER($BR217),$BR217&gt;0)),"CRITICO",IF(OR($AZ217="",LEFT($C217,5)="TEMP",$BJ217="",$BO217="",ANAGRAFICA!$I214="",ANAGRAFICA!$J214="",$Y217="",AND(OR($I217="Finito ritenute non previste",$I217="Finito con sblocco ritenute",$I217="Finito senza sblocco ritenute"),ANAGRAFICA!$K214=""),OR(AND(ANAGRAFICA!$T214&lt;&gt;"",ANAGRAFICA!$J214&lt;&gt;ANAGRAFICA!$T214,OR(ANAGRAFICA!$R214="",ANAGRAFICA!$R214="Nessuna variazione")),AND(ANAGRAFICA!$J214="",ANAGRAFICA!$R214&lt;&gt;"",ANAGRAFICA!$R214&lt;&gt;"Nessuna variazione")),AND($BI217&lt;&gt;"",$BI217&lt;-PARAMETRI!$B$5),AND($BN217&lt;&gt;"",$BN217&gt;PARAMETRI!$B$7),AND($W217&gt;0,$M217&gt;$W217*PARAMETRI!$B$9),AND($O217&gt;0,OR($I217="Finito ritenute non previste",$I217="Finito con sblocco ritenute",$I217="Finito senza sblocco ritenute")),AND($BA217&gt;0,$BO217&gt;0,$BP217=0),AND(OR($I217="Finito ritenute non previste",$I217="Finito con sblocco ritenute",$I217="Finito senza sblocco ritenute"),$W217&gt;0,$N217&gt;$W217*PARAMETRI!$B$9),$V217&gt;0),"ATTENZIONE","REGOLARE"))),"ATTENZIONE")</f>
        <v/>
      </c>
      <c r="B217" s="17" t="str">
        <f>IFERROR(IF($C217="","",IF($BF217&gt;0,"FATTURATO OLTRE VALORE RECUPERABILE; ","")&amp;IF($V217&gt;$J217,"PERDITE ACCETTATE OLTRE CONTRATTO; ","")&amp;IF($V217&gt;0,"PERDITA SAL ACCETTATA (€ "&amp;TEXT($V217,"#,##0.00")&amp;"); ","")&amp;IF(AND(ISNUMBER($Q217),$Q217&gt;0),"RITARDO PRODUTTIVO ("&amp;TEXT($Q217,"0")&amp;" GG); ","")&amp;IF(AND($BI217&lt;&gt;"",$BI217&lt;-PARAMETRI!$B$5),"AVANZAMENTO PIÙ LENTO DEL TEMPO; ","")&amp;IF(AND($BM217&lt;&gt;"",$BM217&gt;1),"ORE OLTRE BUDGET; ","")&amp;IF(AND($BM217&lt;&gt;"",$BM217=1),"ORE PREVENTIVATE ESAURITE; ","")&amp;IF(AND($BN217&lt;&gt;"",$BN217&gt;PARAMETRI!$B$7),"CONSUMO ORE SUPERIORE ALL'AVANZAMENTO; ","")&amp;IF(AND(ISNUMBER($BR217),$BR217&gt;0),"COSTI DIRETTI OLTRE BUDGET; ","")&amp;IF(AND($W217&gt;0,$M217&gt;$W217*PARAMETRI!$B$9),"SAL MATURATO NON FATTURATO; ","")&amp;IF(AND($O217&gt;0,OR($I217="Finito ritenute non previste",$I217="Finito con sblocco ritenute",$I217="Finito senza sblocco ritenute")),"RITENUTE DA SBLOCCARE; ","")&amp;IF(AND($BA217&gt;0,$BO217&gt;0,$BP217=0),"COSTI DIRETTI NON REGISTRATI; ","")&amp;IF(AND(OR($I217="Finito ritenute non previste",$I217="Finito con sblocco ritenute",$I217="Finito senza sblocco ritenute"),$W217&gt;0,$N217&gt;$W217*PARAMETRI!$B$9),"CANTIERE FINITO CON RESIDUO LAVORI; ","")&amp;IF(AND(OR($I217="Finito ritenute non previste",$I217="Finito con sblocco ritenute",$I217="Finito senza sblocco ritenute"),ANAGRAFICA!$K214=""),"DATA FINE EFFETTIVA MANCANTE; ","")&amp;IF(OR(AND(ANAGRAFICA!$T214&lt;&gt;"",ANAGRAFICA!$J214&lt;&gt;ANAGRAFICA!$T214,OR(ANAGRAFICA!$R214="",ANAGRAFICA!$R214="Nessuna variazione")),AND(ANAGRAFICA!$J214="",ANAGRAFICA!$R214&lt;&gt;"",ANAGRAFICA!$R214&lt;&gt;"Nessuna variazione")),"GESTIONE DATA FINE INCOMPLETA; ","")&amp;IF($Y217="","AGGIORNATO AL MANCANTE; ","")&amp;IF(OR($AZ217="",$BJ217="",$BO217="",ANAGRAFICA!$I214="",ANAGRAFICA!$J214=""),"DATI PREVISIONALI INCOMPLETI; ","")&amp;IF(LEFT($C217,5)="TEMP","CODICE COMMESSA TEMPORANEO; ","")),"DATI INCOMPLETI; ")</f>
        <v/>
      </c>
      <c r="C217" s="17" t="str">
        <f>IF(ANAGRAFICA!$B214="","",ANAGRAFICA!$B214)</f>
        <v/>
      </c>
      <c r="D217" s="17" t="str">
        <f>IF($C217="","",ANAGRAFICA!$C214)</f>
        <v/>
      </c>
      <c r="E217" s="17" t="str">
        <f>IF($C217="","",ANAGRAFICA!$D214)</f>
        <v/>
      </c>
      <c r="F217" s="17" t="str">
        <f>IF($C217="","",ANAGRAFICA!$E214)</f>
        <v/>
      </c>
      <c r="G217" s="17" t="str">
        <f>IF($C217="","",ANAGRAFICA!$F214)</f>
        <v/>
      </c>
      <c r="H217" s="17" t="str">
        <f>IF($C217="","",ANAGRAFICA!$G214)</f>
        <v/>
      </c>
      <c r="I217" s="17" t="str">
        <f>IF($C217="","",ANAGRAFICA!$L214)</f>
        <v/>
      </c>
      <c r="J217" s="16" t="str">
        <f t="shared" si="73"/>
        <v/>
      </c>
      <c r="K217" s="16" t="str">
        <f t="shared" si="74"/>
        <v/>
      </c>
      <c r="L217" s="16" t="str">
        <f t="shared" si="75"/>
        <v/>
      </c>
      <c r="M217" s="16" t="str">
        <f t="shared" si="76"/>
        <v/>
      </c>
      <c r="N217" s="16" t="str">
        <f t="shared" si="77"/>
        <v/>
      </c>
      <c r="O217" s="16" t="str">
        <f t="shared" si="78"/>
        <v/>
      </c>
      <c r="P217" s="17" t="str">
        <f t="shared" si="79"/>
        <v/>
      </c>
      <c r="Q217" s="31" t="str">
        <f>IF(OR($C217="",'BUDGET COMMESSA'!$D214="",'BUDGET COMMESSA'!$D214&lt;=0,ANAGRAFICA!$J214=""),"",IF(OR($I217="Finito ritenute non previste",$I217="Finito con sblocco ritenute",$I217="Finito senza sblocco ritenute"),0,IF(AND($BK217&gt;=$BJ217,ANAGRAFICA!$R214="Ritardo produttivo FIDA"),IF(ANAGRAFICA!$T214&lt;&gt;"",MAX(0,ANAGRAFICA!$J214-ANAGRAFICA!$T214),MAX(0,$Y217-ANAGRAFICA!$J214)),0)))</f>
        <v/>
      </c>
      <c r="R217" s="17" t="str">
        <f t="shared" si="80"/>
        <v/>
      </c>
      <c r="S217" s="17" t="str">
        <f t="shared" si="81"/>
        <v/>
      </c>
      <c r="T217" s="17" t="str">
        <f t="shared" si="82"/>
        <v/>
      </c>
      <c r="U217" s="16" t="str">
        <f t="shared" si="83"/>
        <v/>
      </c>
      <c r="V217" s="16" t="str">
        <f t="shared" si="84"/>
        <v/>
      </c>
      <c r="W217" s="16" t="str">
        <f t="shared" si="85"/>
        <v/>
      </c>
      <c r="X217" s="40"/>
      <c r="Y217" s="14"/>
      <c r="AZ217" t="str">
        <f>IF($C217="","",ANAGRAFICA!$P214)</f>
        <v/>
      </c>
      <c r="BA217" t="str">
        <f>IF($C217="","",SUMIF('MOVIMENTI 2026'!$B$7:$B$4206,$C217,'MOVIMENTI 2026'!$I$7:$I$4206)+SUMIF('SALDI AL 31.12.2025'!$A$6:$A$505,$C217,'SALDI AL 31.12.2025'!$C$6:$C$505))</f>
        <v/>
      </c>
      <c r="BB217" t="str">
        <f>IF($C217="","",SUMIF('MOVIMENTI 2026'!$B$7:$B$4206,$C217,'MOVIMENTI 2026'!$J$7:$J$4206)+SUMIF('SALDI AL 31.12.2025'!$A$6:$A$505,$C217,'SALDI AL 31.12.2025'!$D$6:$D$505))</f>
        <v/>
      </c>
      <c r="BC217" t="str">
        <f>IF($C217="","",SUMIF('MOVIMENTI 2026'!$B$7:$B$4206,$C217,'MOVIMENTI 2026'!$K$7:$K$4206)+SUMIF('SALDI AL 31.12.2025'!$A$6:$A$505,$C217,'SALDI AL 31.12.2025'!$E$6:$E$505))</f>
        <v/>
      </c>
      <c r="BD217" t="str">
        <f>IF($C217="","",SUMIF('MOVIMENTI 2026'!$B$7:$B$4206,$C217,'MOVIMENTI 2026'!$L$7:$L$4206)+SUMIF('SALDI AL 31.12.2025'!$A$6:$A$505,$C217,'SALDI AL 31.12.2025'!$F$6:$F$505))</f>
        <v/>
      </c>
      <c r="BE217" t="str">
        <f t="shared" si="86"/>
        <v/>
      </c>
      <c r="BF217" t="str">
        <f t="shared" si="87"/>
        <v/>
      </c>
      <c r="BG217" t="str">
        <f t="shared" si="88"/>
        <v/>
      </c>
      <c r="BH217" t="str">
        <f>IFERROR(IF(OR($C217="",ANAGRAFICA!$I214="",ANAGRAFICA!$J214="",ANAGRAFICA!$J214&lt;=ANAGRAFICA!$I214,$Y217=""),"",IF(OR($I217="Finito ritenute non previste",$I217="Finito con sblocco ritenute",$I217="Finito senza sblocco ritenute"),1,MAX(0,MIN(1,($Y217-ANAGRAFICA!$I214)/(ANAGRAFICA!$J214-ANAGRAFICA!$I214))))),"")</f>
        <v/>
      </c>
      <c r="BI217" t="str">
        <f t="shared" si="89"/>
        <v/>
      </c>
      <c r="BJ217" t="str">
        <f>IFERROR(IF($C217="","",'BUDGET COMMESSA'!$D214),"")</f>
        <v/>
      </c>
      <c r="BK217" t="str">
        <f>IF($C217="","",SUMIF('MOVIMENTI 2026'!$B$7:$B$4206,$C217,'MOVIMENTI 2026'!$N$7:$N$4206)+SUMIF('SALDI AL 31.12.2025'!$A$6:$A$505,$C217,'SALDI AL 31.12.2025'!$H$6:$H$505))</f>
        <v/>
      </c>
      <c r="BL217" t="str">
        <f t="shared" si="90"/>
        <v/>
      </c>
      <c r="BM217" t="str">
        <f t="shared" si="91"/>
        <v/>
      </c>
      <c r="BN217" t="str">
        <f t="shared" si="92"/>
        <v/>
      </c>
      <c r="BO217" t="str">
        <f>IFERROR(IF($C217="","",'BUDGET COMMESSA'!$G214),"")</f>
        <v/>
      </c>
      <c r="BP217" t="str">
        <f>IF($C217="","",SUMIF('COSTI DIRETTI'!$C$6:$C$505,$C217,'COSTI DIRETTI'!$H$6:$H$505)+SUMIF('SALDI AL 31.12.2025'!$A$6:$A$505,$C217,'SALDI AL 31.12.2025'!$I$6:$I$505))</f>
        <v/>
      </c>
      <c r="BQ217" t="str">
        <f t="shared" si="93"/>
        <v/>
      </c>
      <c r="BR217" t="str">
        <f t="shared" si="94"/>
        <v/>
      </c>
      <c r="BS217" t="str">
        <f>IF($C217="","",$BK217*PARAMETRI!$B$4+$BP217)</f>
        <v/>
      </c>
      <c r="BT217">
        <f t="shared" si="95"/>
        <v>0</v>
      </c>
      <c r="BU217">
        <f t="shared" si="96"/>
        <v>0</v>
      </c>
      <c r="BV217" t="str">
        <f>IF($C217="","",SUMIF('MOVIMENTI 2026'!$B$7:$B$4206,$C217,'MOVIMENTI 2026'!$P$7:$P$4206)+SUMIF('SALDI AL 31.12.2025'!$A$6:$A$505,$C217,'SALDI AL 31.12.2025'!$G$6:$G$505))</f>
        <v/>
      </c>
    </row>
    <row r="218" spans="1:74" ht="16" x14ac:dyDescent="0.15">
      <c r="A218" s="17" t="str">
        <f>IFERROR(IF($C218="","",IF(OR($BF218&gt;0,$V218&gt;$J218,AND(ISNUMBER($Q218),$Q218&gt;0),AND($BI218&lt;&gt;"",$BI218&lt;-PARAMETRI!$B$6),AND($BM218&lt;&gt;"",$BM218&gt;=1),AND($BN218&lt;&gt;"",$BN218&gt;PARAMETRI!$B$8),AND(ISNUMBER($BR218),$BR218&gt;0)),"CRITICO",IF(OR($AZ218="",LEFT($C218,5)="TEMP",$BJ218="",$BO218="",ANAGRAFICA!$I215="",ANAGRAFICA!$J215="",$Y218="",AND(OR($I218="Finito ritenute non previste",$I218="Finito con sblocco ritenute",$I218="Finito senza sblocco ritenute"),ANAGRAFICA!$K215=""),OR(AND(ANAGRAFICA!$T215&lt;&gt;"",ANAGRAFICA!$J215&lt;&gt;ANAGRAFICA!$T215,OR(ANAGRAFICA!$R215="",ANAGRAFICA!$R215="Nessuna variazione")),AND(ANAGRAFICA!$J215="",ANAGRAFICA!$R215&lt;&gt;"",ANAGRAFICA!$R215&lt;&gt;"Nessuna variazione")),AND($BI218&lt;&gt;"",$BI218&lt;-PARAMETRI!$B$5),AND($BN218&lt;&gt;"",$BN218&gt;PARAMETRI!$B$7),AND($W218&gt;0,$M218&gt;$W218*PARAMETRI!$B$9),AND($O218&gt;0,OR($I218="Finito ritenute non previste",$I218="Finito con sblocco ritenute",$I218="Finito senza sblocco ritenute")),AND($BA218&gt;0,$BO218&gt;0,$BP218=0),AND(OR($I218="Finito ritenute non previste",$I218="Finito con sblocco ritenute",$I218="Finito senza sblocco ritenute"),$W218&gt;0,$N218&gt;$W218*PARAMETRI!$B$9),$V218&gt;0),"ATTENZIONE","REGOLARE"))),"ATTENZIONE")</f>
        <v/>
      </c>
      <c r="B218" s="17" t="str">
        <f>IFERROR(IF($C218="","",IF($BF218&gt;0,"FATTURATO OLTRE VALORE RECUPERABILE; ","")&amp;IF($V218&gt;$J218,"PERDITE ACCETTATE OLTRE CONTRATTO; ","")&amp;IF($V218&gt;0,"PERDITA SAL ACCETTATA (€ "&amp;TEXT($V218,"#,##0.00")&amp;"); ","")&amp;IF(AND(ISNUMBER($Q218),$Q218&gt;0),"RITARDO PRODUTTIVO ("&amp;TEXT($Q218,"0")&amp;" GG); ","")&amp;IF(AND($BI218&lt;&gt;"",$BI218&lt;-PARAMETRI!$B$5),"AVANZAMENTO PIÙ LENTO DEL TEMPO; ","")&amp;IF(AND($BM218&lt;&gt;"",$BM218&gt;1),"ORE OLTRE BUDGET; ","")&amp;IF(AND($BM218&lt;&gt;"",$BM218=1),"ORE PREVENTIVATE ESAURITE; ","")&amp;IF(AND($BN218&lt;&gt;"",$BN218&gt;PARAMETRI!$B$7),"CONSUMO ORE SUPERIORE ALL'AVANZAMENTO; ","")&amp;IF(AND(ISNUMBER($BR218),$BR218&gt;0),"COSTI DIRETTI OLTRE BUDGET; ","")&amp;IF(AND($W218&gt;0,$M218&gt;$W218*PARAMETRI!$B$9),"SAL MATURATO NON FATTURATO; ","")&amp;IF(AND($O218&gt;0,OR($I218="Finito ritenute non previste",$I218="Finito con sblocco ritenute",$I218="Finito senza sblocco ritenute")),"RITENUTE DA SBLOCCARE; ","")&amp;IF(AND($BA218&gt;0,$BO218&gt;0,$BP218=0),"COSTI DIRETTI NON REGISTRATI; ","")&amp;IF(AND(OR($I218="Finito ritenute non previste",$I218="Finito con sblocco ritenute",$I218="Finito senza sblocco ritenute"),$W218&gt;0,$N218&gt;$W218*PARAMETRI!$B$9),"CANTIERE FINITO CON RESIDUO LAVORI; ","")&amp;IF(AND(OR($I218="Finito ritenute non previste",$I218="Finito con sblocco ritenute",$I218="Finito senza sblocco ritenute"),ANAGRAFICA!$K215=""),"DATA FINE EFFETTIVA MANCANTE; ","")&amp;IF(OR(AND(ANAGRAFICA!$T215&lt;&gt;"",ANAGRAFICA!$J215&lt;&gt;ANAGRAFICA!$T215,OR(ANAGRAFICA!$R215="",ANAGRAFICA!$R215="Nessuna variazione")),AND(ANAGRAFICA!$J215="",ANAGRAFICA!$R215&lt;&gt;"",ANAGRAFICA!$R215&lt;&gt;"Nessuna variazione")),"GESTIONE DATA FINE INCOMPLETA; ","")&amp;IF($Y218="","AGGIORNATO AL MANCANTE; ","")&amp;IF(OR($AZ218="",$BJ218="",$BO218="",ANAGRAFICA!$I215="",ANAGRAFICA!$J215=""),"DATI PREVISIONALI INCOMPLETI; ","")&amp;IF(LEFT($C218,5)="TEMP","CODICE COMMESSA TEMPORANEO; ","")),"DATI INCOMPLETI; ")</f>
        <v/>
      </c>
      <c r="C218" s="17" t="str">
        <f>IF(ANAGRAFICA!$B215="","",ANAGRAFICA!$B215)</f>
        <v/>
      </c>
      <c r="D218" s="17" t="str">
        <f>IF($C218="","",ANAGRAFICA!$C215)</f>
        <v/>
      </c>
      <c r="E218" s="17" t="str">
        <f>IF($C218="","",ANAGRAFICA!$D215)</f>
        <v/>
      </c>
      <c r="F218" s="17" t="str">
        <f>IF($C218="","",ANAGRAFICA!$E215)</f>
        <v/>
      </c>
      <c r="G218" s="17" t="str">
        <f>IF($C218="","",ANAGRAFICA!$F215)</f>
        <v/>
      </c>
      <c r="H218" s="17" t="str">
        <f>IF($C218="","",ANAGRAFICA!$G215)</f>
        <v/>
      </c>
      <c r="I218" s="17" t="str">
        <f>IF($C218="","",ANAGRAFICA!$L215)</f>
        <v/>
      </c>
      <c r="J218" s="16" t="str">
        <f t="shared" si="73"/>
        <v/>
      </c>
      <c r="K218" s="16" t="str">
        <f t="shared" si="74"/>
        <v/>
      </c>
      <c r="L218" s="16" t="str">
        <f t="shared" si="75"/>
        <v/>
      </c>
      <c r="M218" s="16" t="str">
        <f t="shared" si="76"/>
        <v/>
      </c>
      <c r="N218" s="16" t="str">
        <f t="shared" si="77"/>
        <v/>
      </c>
      <c r="O218" s="16" t="str">
        <f t="shared" si="78"/>
        <v/>
      </c>
      <c r="P218" s="17" t="str">
        <f t="shared" si="79"/>
        <v/>
      </c>
      <c r="Q218" s="31" t="str">
        <f>IF(OR($C218="",'BUDGET COMMESSA'!$D215="",'BUDGET COMMESSA'!$D215&lt;=0,ANAGRAFICA!$J215=""),"",IF(OR($I218="Finito ritenute non previste",$I218="Finito con sblocco ritenute",$I218="Finito senza sblocco ritenute"),0,IF(AND($BK218&gt;=$BJ218,ANAGRAFICA!$R215="Ritardo produttivo FIDA"),IF(ANAGRAFICA!$T215&lt;&gt;"",MAX(0,ANAGRAFICA!$J215-ANAGRAFICA!$T215),MAX(0,$Y218-ANAGRAFICA!$J215)),0)))</f>
        <v/>
      </c>
      <c r="R218" s="17" t="str">
        <f t="shared" si="80"/>
        <v/>
      </c>
      <c r="S218" s="17" t="str">
        <f t="shared" si="81"/>
        <v/>
      </c>
      <c r="T218" s="17" t="str">
        <f t="shared" si="82"/>
        <v/>
      </c>
      <c r="U218" s="16" t="str">
        <f t="shared" si="83"/>
        <v/>
      </c>
      <c r="V218" s="16" t="str">
        <f t="shared" si="84"/>
        <v/>
      </c>
      <c r="W218" s="16" t="str">
        <f t="shared" si="85"/>
        <v/>
      </c>
      <c r="X218" s="40"/>
      <c r="Y218" s="14"/>
      <c r="AZ218" t="str">
        <f>IF($C218="","",ANAGRAFICA!$P215)</f>
        <v/>
      </c>
      <c r="BA218" t="str">
        <f>IF($C218="","",SUMIF('MOVIMENTI 2026'!$B$7:$B$4206,$C218,'MOVIMENTI 2026'!$I$7:$I$4206)+SUMIF('SALDI AL 31.12.2025'!$A$6:$A$505,$C218,'SALDI AL 31.12.2025'!$C$6:$C$505))</f>
        <v/>
      </c>
      <c r="BB218" t="str">
        <f>IF($C218="","",SUMIF('MOVIMENTI 2026'!$B$7:$B$4206,$C218,'MOVIMENTI 2026'!$J$7:$J$4206)+SUMIF('SALDI AL 31.12.2025'!$A$6:$A$505,$C218,'SALDI AL 31.12.2025'!$D$6:$D$505))</f>
        <v/>
      </c>
      <c r="BC218" t="str">
        <f>IF($C218="","",SUMIF('MOVIMENTI 2026'!$B$7:$B$4206,$C218,'MOVIMENTI 2026'!$K$7:$K$4206)+SUMIF('SALDI AL 31.12.2025'!$A$6:$A$505,$C218,'SALDI AL 31.12.2025'!$E$6:$E$505))</f>
        <v/>
      </c>
      <c r="BD218" t="str">
        <f>IF($C218="","",SUMIF('MOVIMENTI 2026'!$B$7:$B$4206,$C218,'MOVIMENTI 2026'!$L$7:$L$4206)+SUMIF('SALDI AL 31.12.2025'!$A$6:$A$505,$C218,'SALDI AL 31.12.2025'!$F$6:$F$505))</f>
        <v/>
      </c>
      <c r="BE218" t="str">
        <f t="shared" si="86"/>
        <v/>
      </c>
      <c r="BF218" t="str">
        <f t="shared" si="87"/>
        <v/>
      </c>
      <c r="BG218" t="str">
        <f t="shared" si="88"/>
        <v/>
      </c>
      <c r="BH218" t="str">
        <f>IFERROR(IF(OR($C218="",ANAGRAFICA!$I215="",ANAGRAFICA!$J215="",ANAGRAFICA!$J215&lt;=ANAGRAFICA!$I215,$Y218=""),"",IF(OR($I218="Finito ritenute non previste",$I218="Finito con sblocco ritenute",$I218="Finito senza sblocco ritenute"),1,MAX(0,MIN(1,($Y218-ANAGRAFICA!$I215)/(ANAGRAFICA!$J215-ANAGRAFICA!$I215))))),"")</f>
        <v/>
      </c>
      <c r="BI218" t="str">
        <f t="shared" si="89"/>
        <v/>
      </c>
      <c r="BJ218" t="str">
        <f>IFERROR(IF($C218="","",'BUDGET COMMESSA'!$D215),"")</f>
        <v/>
      </c>
      <c r="BK218" t="str">
        <f>IF($C218="","",SUMIF('MOVIMENTI 2026'!$B$7:$B$4206,$C218,'MOVIMENTI 2026'!$N$7:$N$4206)+SUMIF('SALDI AL 31.12.2025'!$A$6:$A$505,$C218,'SALDI AL 31.12.2025'!$H$6:$H$505))</f>
        <v/>
      </c>
      <c r="BL218" t="str">
        <f t="shared" si="90"/>
        <v/>
      </c>
      <c r="BM218" t="str">
        <f t="shared" si="91"/>
        <v/>
      </c>
      <c r="BN218" t="str">
        <f t="shared" si="92"/>
        <v/>
      </c>
      <c r="BO218" t="str">
        <f>IFERROR(IF($C218="","",'BUDGET COMMESSA'!$G215),"")</f>
        <v/>
      </c>
      <c r="BP218" t="str">
        <f>IF($C218="","",SUMIF('COSTI DIRETTI'!$C$6:$C$505,$C218,'COSTI DIRETTI'!$H$6:$H$505)+SUMIF('SALDI AL 31.12.2025'!$A$6:$A$505,$C218,'SALDI AL 31.12.2025'!$I$6:$I$505))</f>
        <v/>
      </c>
      <c r="BQ218" t="str">
        <f t="shared" si="93"/>
        <v/>
      </c>
      <c r="BR218" t="str">
        <f t="shared" si="94"/>
        <v/>
      </c>
      <c r="BS218" t="str">
        <f>IF($C218="","",$BK218*PARAMETRI!$B$4+$BP218)</f>
        <v/>
      </c>
      <c r="BT218">
        <f t="shared" si="95"/>
        <v>0</v>
      </c>
      <c r="BU218">
        <f t="shared" si="96"/>
        <v>0</v>
      </c>
      <c r="BV218" t="str">
        <f>IF($C218="","",SUMIF('MOVIMENTI 2026'!$B$7:$B$4206,$C218,'MOVIMENTI 2026'!$P$7:$P$4206)+SUMIF('SALDI AL 31.12.2025'!$A$6:$A$505,$C218,'SALDI AL 31.12.2025'!$G$6:$G$505))</f>
        <v/>
      </c>
    </row>
    <row r="219" spans="1:74" ht="16" x14ac:dyDescent="0.15">
      <c r="A219" s="17" t="str">
        <f>IFERROR(IF($C219="","",IF(OR($BF219&gt;0,$V219&gt;$J219,AND(ISNUMBER($Q219),$Q219&gt;0),AND($BI219&lt;&gt;"",$BI219&lt;-PARAMETRI!$B$6),AND($BM219&lt;&gt;"",$BM219&gt;=1),AND($BN219&lt;&gt;"",$BN219&gt;PARAMETRI!$B$8),AND(ISNUMBER($BR219),$BR219&gt;0)),"CRITICO",IF(OR($AZ219="",LEFT($C219,5)="TEMP",$BJ219="",$BO219="",ANAGRAFICA!$I216="",ANAGRAFICA!$J216="",$Y219="",AND(OR($I219="Finito ritenute non previste",$I219="Finito con sblocco ritenute",$I219="Finito senza sblocco ritenute"),ANAGRAFICA!$K216=""),OR(AND(ANAGRAFICA!$T216&lt;&gt;"",ANAGRAFICA!$J216&lt;&gt;ANAGRAFICA!$T216,OR(ANAGRAFICA!$R216="",ANAGRAFICA!$R216="Nessuna variazione")),AND(ANAGRAFICA!$J216="",ANAGRAFICA!$R216&lt;&gt;"",ANAGRAFICA!$R216&lt;&gt;"Nessuna variazione")),AND($BI219&lt;&gt;"",$BI219&lt;-PARAMETRI!$B$5),AND($BN219&lt;&gt;"",$BN219&gt;PARAMETRI!$B$7),AND($W219&gt;0,$M219&gt;$W219*PARAMETRI!$B$9),AND($O219&gt;0,OR($I219="Finito ritenute non previste",$I219="Finito con sblocco ritenute",$I219="Finito senza sblocco ritenute")),AND($BA219&gt;0,$BO219&gt;0,$BP219=0),AND(OR($I219="Finito ritenute non previste",$I219="Finito con sblocco ritenute",$I219="Finito senza sblocco ritenute"),$W219&gt;0,$N219&gt;$W219*PARAMETRI!$B$9),$V219&gt;0),"ATTENZIONE","REGOLARE"))),"ATTENZIONE")</f>
        <v/>
      </c>
      <c r="B219" s="17" t="str">
        <f>IFERROR(IF($C219="","",IF($BF219&gt;0,"FATTURATO OLTRE VALORE RECUPERABILE; ","")&amp;IF($V219&gt;$J219,"PERDITE ACCETTATE OLTRE CONTRATTO; ","")&amp;IF($V219&gt;0,"PERDITA SAL ACCETTATA (€ "&amp;TEXT($V219,"#,##0.00")&amp;"); ","")&amp;IF(AND(ISNUMBER($Q219),$Q219&gt;0),"RITARDO PRODUTTIVO ("&amp;TEXT($Q219,"0")&amp;" GG); ","")&amp;IF(AND($BI219&lt;&gt;"",$BI219&lt;-PARAMETRI!$B$5),"AVANZAMENTO PIÙ LENTO DEL TEMPO; ","")&amp;IF(AND($BM219&lt;&gt;"",$BM219&gt;1),"ORE OLTRE BUDGET; ","")&amp;IF(AND($BM219&lt;&gt;"",$BM219=1),"ORE PREVENTIVATE ESAURITE; ","")&amp;IF(AND($BN219&lt;&gt;"",$BN219&gt;PARAMETRI!$B$7),"CONSUMO ORE SUPERIORE ALL'AVANZAMENTO; ","")&amp;IF(AND(ISNUMBER($BR219),$BR219&gt;0),"COSTI DIRETTI OLTRE BUDGET; ","")&amp;IF(AND($W219&gt;0,$M219&gt;$W219*PARAMETRI!$B$9),"SAL MATURATO NON FATTURATO; ","")&amp;IF(AND($O219&gt;0,OR($I219="Finito ritenute non previste",$I219="Finito con sblocco ritenute",$I219="Finito senza sblocco ritenute")),"RITENUTE DA SBLOCCARE; ","")&amp;IF(AND($BA219&gt;0,$BO219&gt;0,$BP219=0),"COSTI DIRETTI NON REGISTRATI; ","")&amp;IF(AND(OR($I219="Finito ritenute non previste",$I219="Finito con sblocco ritenute",$I219="Finito senza sblocco ritenute"),$W219&gt;0,$N219&gt;$W219*PARAMETRI!$B$9),"CANTIERE FINITO CON RESIDUO LAVORI; ","")&amp;IF(AND(OR($I219="Finito ritenute non previste",$I219="Finito con sblocco ritenute",$I219="Finito senza sblocco ritenute"),ANAGRAFICA!$K216=""),"DATA FINE EFFETTIVA MANCANTE; ","")&amp;IF(OR(AND(ANAGRAFICA!$T216&lt;&gt;"",ANAGRAFICA!$J216&lt;&gt;ANAGRAFICA!$T216,OR(ANAGRAFICA!$R216="",ANAGRAFICA!$R216="Nessuna variazione")),AND(ANAGRAFICA!$J216="",ANAGRAFICA!$R216&lt;&gt;"",ANAGRAFICA!$R216&lt;&gt;"Nessuna variazione")),"GESTIONE DATA FINE INCOMPLETA; ","")&amp;IF($Y219="","AGGIORNATO AL MANCANTE; ","")&amp;IF(OR($AZ219="",$BJ219="",$BO219="",ANAGRAFICA!$I216="",ANAGRAFICA!$J216=""),"DATI PREVISIONALI INCOMPLETI; ","")&amp;IF(LEFT($C219,5)="TEMP","CODICE COMMESSA TEMPORANEO; ","")),"DATI INCOMPLETI; ")</f>
        <v/>
      </c>
      <c r="C219" s="17" t="str">
        <f>IF(ANAGRAFICA!$B216="","",ANAGRAFICA!$B216)</f>
        <v/>
      </c>
      <c r="D219" s="17" t="str">
        <f>IF($C219="","",ANAGRAFICA!$C216)</f>
        <v/>
      </c>
      <c r="E219" s="17" t="str">
        <f>IF($C219="","",ANAGRAFICA!$D216)</f>
        <v/>
      </c>
      <c r="F219" s="17" t="str">
        <f>IF($C219="","",ANAGRAFICA!$E216)</f>
        <v/>
      </c>
      <c r="G219" s="17" t="str">
        <f>IF($C219="","",ANAGRAFICA!$F216)</f>
        <v/>
      </c>
      <c r="H219" s="17" t="str">
        <f>IF($C219="","",ANAGRAFICA!$G216)</f>
        <v/>
      </c>
      <c r="I219" s="17" t="str">
        <f>IF($C219="","",ANAGRAFICA!$L216)</f>
        <v/>
      </c>
      <c r="J219" s="16" t="str">
        <f t="shared" si="73"/>
        <v/>
      </c>
      <c r="K219" s="16" t="str">
        <f t="shared" si="74"/>
        <v/>
      </c>
      <c r="L219" s="16" t="str">
        <f t="shared" si="75"/>
        <v/>
      </c>
      <c r="M219" s="16" t="str">
        <f t="shared" si="76"/>
        <v/>
      </c>
      <c r="N219" s="16" t="str">
        <f t="shared" si="77"/>
        <v/>
      </c>
      <c r="O219" s="16" t="str">
        <f t="shared" si="78"/>
        <v/>
      </c>
      <c r="P219" s="17" t="str">
        <f t="shared" si="79"/>
        <v/>
      </c>
      <c r="Q219" s="31" t="str">
        <f>IF(OR($C219="",'BUDGET COMMESSA'!$D216="",'BUDGET COMMESSA'!$D216&lt;=0,ANAGRAFICA!$J216=""),"",IF(OR($I219="Finito ritenute non previste",$I219="Finito con sblocco ritenute",$I219="Finito senza sblocco ritenute"),0,IF(AND($BK219&gt;=$BJ219,ANAGRAFICA!$R216="Ritardo produttivo FIDA"),IF(ANAGRAFICA!$T216&lt;&gt;"",MAX(0,ANAGRAFICA!$J216-ANAGRAFICA!$T216),MAX(0,$Y219-ANAGRAFICA!$J216)),0)))</f>
        <v/>
      </c>
      <c r="R219" s="17" t="str">
        <f t="shared" si="80"/>
        <v/>
      </c>
      <c r="S219" s="17" t="str">
        <f t="shared" si="81"/>
        <v/>
      </c>
      <c r="T219" s="17" t="str">
        <f t="shared" si="82"/>
        <v/>
      </c>
      <c r="U219" s="16" t="str">
        <f t="shared" si="83"/>
        <v/>
      </c>
      <c r="V219" s="16" t="str">
        <f t="shared" si="84"/>
        <v/>
      </c>
      <c r="W219" s="16" t="str">
        <f t="shared" si="85"/>
        <v/>
      </c>
      <c r="X219" s="40"/>
      <c r="Y219" s="14"/>
      <c r="AZ219" t="str">
        <f>IF($C219="","",ANAGRAFICA!$P216)</f>
        <v/>
      </c>
      <c r="BA219" t="str">
        <f>IF($C219="","",SUMIF('MOVIMENTI 2026'!$B$7:$B$4206,$C219,'MOVIMENTI 2026'!$I$7:$I$4206)+SUMIF('SALDI AL 31.12.2025'!$A$6:$A$505,$C219,'SALDI AL 31.12.2025'!$C$6:$C$505))</f>
        <v/>
      </c>
      <c r="BB219" t="str">
        <f>IF($C219="","",SUMIF('MOVIMENTI 2026'!$B$7:$B$4206,$C219,'MOVIMENTI 2026'!$J$7:$J$4206)+SUMIF('SALDI AL 31.12.2025'!$A$6:$A$505,$C219,'SALDI AL 31.12.2025'!$D$6:$D$505))</f>
        <v/>
      </c>
      <c r="BC219" t="str">
        <f>IF($C219="","",SUMIF('MOVIMENTI 2026'!$B$7:$B$4206,$C219,'MOVIMENTI 2026'!$K$7:$K$4206)+SUMIF('SALDI AL 31.12.2025'!$A$6:$A$505,$C219,'SALDI AL 31.12.2025'!$E$6:$E$505))</f>
        <v/>
      </c>
      <c r="BD219" t="str">
        <f>IF($C219="","",SUMIF('MOVIMENTI 2026'!$B$7:$B$4206,$C219,'MOVIMENTI 2026'!$L$7:$L$4206)+SUMIF('SALDI AL 31.12.2025'!$A$6:$A$505,$C219,'SALDI AL 31.12.2025'!$F$6:$F$505))</f>
        <v/>
      </c>
      <c r="BE219" t="str">
        <f t="shared" si="86"/>
        <v/>
      </c>
      <c r="BF219" t="str">
        <f t="shared" si="87"/>
        <v/>
      </c>
      <c r="BG219" t="str">
        <f t="shared" si="88"/>
        <v/>
      </c>
      <c r="BH219" t="str">
        <f>IFERROR(IF(OR($C219="",ANAGRAFICA!$I216="",ANAGRAFICA!$J216="",ANAGRAFICA!$J216&lt;=ANAGRAFICA!$I216,$Y219=""),"",IF(OR($I219="Finito ritenute non previste",$I219="Finito con sblocco ritenute",$I219="Finito senza sblocco ritenute"),1,MAX(0,MIN(1,($Y219-ANAGRAFICA!$I216)/(ANAGRAFICA!$J216-ANAGRAFICA!$I216))))),"")</f>
        <v/>
      </c>
      <c r="BI219" t="str">
        <f t="shared" si="89"/>
        <v/>
      </c>
      <c r="BJ219" t="str">
        <f>IFERROR(IF($C219="","",'BUDGET COMMESSA'!$D216),"")</f>
        <v/>
      </c>
      <c r="BK219" t="str">
        <f>IF($C219="","",SUMIF('MOVIMENTI 2026'!$B$7:$B$4206,$C219,'MOVIMENTI 2026'!$N$7:$N$4206)+SUMIF('SALDI AL 31.12.2025'!$A$6:$A$505,$C219,'SALDI AL 31.12.2025'!$H$6:$H$505))</f>
        <v/>
      </c>
      <c r="BL219" t="str">
        <f t="shared" si="90"/>
        <v/>
      </c>
      <c r="BM219" t="str">
        <f t="shared" si="91"/>
        <v/>
      </c>
      <c r="BN219" t="str">
        <f t="shared" si="92"/>
        <v/>
      </c>
      <c r="BO219" t="str">
        <f>IFERROR(IF($C219="","",'BUDGET COMMESSA'!$G216),"")</f>
        <v/>
      </c>
      <c r="BP219" t="str">
        <f>IF($C219="","",SUMIF('COSTI DIRETTI'!$C$6:$C$505,$C219,'COSTI DIRETTI'!$H$6:$H$505)+SUMIF('SALDI AL 31.12.2025'!$A$6:$A$505,$C219,'SALDI AL 31.12.2025'!$I$6:$I$505))</f>
        <v/>
      </c>
      <c r="BQ219" t="str">
        <f t="shared" si="93"/>
        <v/>
      </c>
      <c r="BR219" t="str">
        <f t="shared" si="94"/>
        <v/>
      </c>
      <c r="BS219" t="str">
        <f>IF($C219="","",$BK219*PARAMETRI!$B$4+$BP219)</f>
        <v/>
      </c>
      <c r="BT219">
        <f t="shared" si="95"/>
        <v>0</v>
      </c>
      <c r="BU219">
        <f t="shared" si="96"/>
        <v>0</v>
      </c>
      <c r="BV219" t="str">
        <f>IF($C219="","",SUMIF('MOVIMENTI 2026'!$B$7:$B$4206,$C219,'MOVIMENTI 2026'!$P$7:$P$4206)+SUMIF('SALDI AL 31.12.2025'!$A$6:$A$505,$C219,'SALDI AL 31.12.2025'!$G$6:$G$505))</f>
        <v/>
      </c>
    </row>
    <row r="220" spans="1:74" ht="16" x14ac:dyDescent="0.15">
      <c r="A220" s="17" t="str">
        <f>IFERROR(IF($C220="","",IF(OR($BF220&gt;0,$V220&gt;$J220,AND(ISNUMBER($Q220),$Q220&gt;0),AND($BI220&lt;&gt;"",$BI220&lt;-PARAMETRI!$B$6),AND($BM220&lt;&gt;"",$BM220&gt;=1),AND($BN220&lt;&gt;"",$BN220&gt;PARAMETRI!$B$8),AND(ISNUMBER($BR220),$BR220&gt;0)),"CRITICO",IF(OR($AZ220="",LEFT($C220,5)="TEMP",$BJ220="",$BO220="",ANAGRAFICA!$I217="",ANAGRAFICA!$J217="",$Y220="",AND(OR($I220="Finito ritenute non previste",$I220="Finito con sblocco ritenute",$I220="Finito senza sblocco ritenute"),ANAGRAFICA!$K217=""),OR(AND(ANAGRAFICA!$T217&lt;&gt;"",ANAGRAFICA!$J217&lt;&gt;ANAGRAFICA!$T217,OR(ANAGRAFICA!$R217="",ANAGRAFICA!$R217="Nessuna variazione")),AND(ANAGRAFICA!$J217="",ANAGRAFICA!$R217&lt;&gt;"",ANAGRAFICA!$R217&lt;&gt;"Nessuna variazione")),AND($BI220&lt;&gt;"",$BI220&lt;-PARAMETRI!$B$5),AND($BN220&lt;&gt;"",$BN220&gt;PARAMETRI!$B$7),AND($W220&gt;0,$M220&gt;$W220*PARAMETRI!$B$9),AND($O220&gt;0,OR($I220="Finito ritenute non previste",$I220="Finito con sblocco ritenute",$I220="Finito senza sblocco ritenute")),AND($BA220&gt;0,$BO220&gt;0,$BP220=0),AND(OR($I220="Finito ritenute non previste",$I220="Finito con sblocco ritenute",$I220="Finito senza sblocco ritenute"),$W220&gt;0,$N220&gt;$W220*PARAMETRI!$B$9),$V220&gt;0),"ATTENZIONE","REGOLARE"))),"ATTENZIONE")</f>
        <v/>
      </c>
      <c r="B220" s="17" t="str">
        <f>IFERROR(IF($C220="","",IF($BF220&gt;0,"FATTURATO OLTRE VALORE RECUPERABILE; ","")&amp;IF($V220&gt;$J220,"PERDITE ACCETTATE OLTRE CONTRATTO; ","")&amp;IF($V220&gt;0,"PERDITA SAL ACCETTATA (€ "&amp;TEXT($V220,"#,##0.00")&amp;"); ","")&amp;IF(AND(ISNUMBER($Q220),$Q220&gt;0),"RITARDO PRODUTTIVO ("&amp;TEXT($Q220,"0")&amp;" GG); ","")&amp;IF(AND($BI220&lt;&gt;"",$BI220&lt;-PARAMETRI!$B$5),"AVANZAMENTO PIÙ LENTO DEL TEMPO; ","")&amp;IF(AND($BM220&lt;&gt;"",$BM220&gt;1),"ORE OLTRE BUDGET; ","")&amp;IF(AND($BM220&lt;&gt;"",$BM220=1),"ORE PREVENTIVATE ESAURITE; ","")&amp;IF(AND($BN220&lt;&gt;"",$BN220&gt;PARAMETRI!$B$7),"CONSUMO ORE SUPERIORE ALL'AVANZAMENTO; ","")&amp;IF(AND(ISNUMBER($BR220),$BR220&gt;0),"COSTI DIRETTI OLTRE BUDGET; ","")&amp;IF(AND($W220&gt;0,$M220&gt;$W220*PARAMETRI!$B$9),"SAL MATURATO NON FATTURATO; ","")&amp;IF(AND($O220&gt;0,OR($I220="Finito ritenute non previste",$I220="Finito con sblocco ritenute",$I220="Finito senza sblocco ritenute")),"RITENUTE DA SBLOCCARE; ","")&amp;IF(AND($BA220&gt;0,$BO220&gt;0,$BP220=0),"COSTI DIRETTI NON REGISTRATI; ","")&amp;IF(AND(OR($I220="Finito ritenute non previste",$I220="Finito con sblocco ritenute",$I220="Finito senza sblocco ritenute"),$W220&gt;0,$N220&gt;$W220*PARAMETRI!$B$9),"CANTIERE FINITO CON RESIDUO LAVORI; ","")&amp;IF(AND(OR($I220="Finito ritenute non previste",$I220="Finito con sblocco ritenute",$I220="Finito senza sblocco ritenute"),ANAGRAFICA!$K217=""),"DATA FINE EFFETTIVA MANCANTE; ","")&amp;IF(OR(AND(ANAGRAFICA!$T217&lt;&gt;"",ANAGRAFICA!$J217&lt;&gt;ANAGRAFICA!$T217,OR(ANAGRAFICA!$R217="",ANAGRAFICA!$R217="Nessuna variazione")),AND(ANAGRAFICA!$J217="",ANAGRAFICA!$R217&lt;&gt;"",ANAGRAFICA!$R217&lt;&gt;"Nessuna variazione")),"GESTIONE DATA FINE INCOMPLETA; ","")&amp;IF($Y220="","AGGIORNATO AL MANCANTE; ","")&amp;IF(OR($AZ220="",$BJ220="",$BO220="",ANAGRAFICA!$I217="",ANAGRAFICA!$J217=""),"DATI PREVISIONALI INCOMPLETI; ","")&amp;IF(LEFT($C220,5)="TEMP","CODICE COMMESSA TEMPORANEO; ","")),"DATI INCOMPLETI; ")</f>
        <v/>
      </c>
      <c r="C220" s="17" t="str">
        <f>IF(ANAGRAFICA!$B217="","",ANAGRAFICA!$B217)</f>
        <v/>
      </c>
      <c r="D220" s="17" t="str">
        <f>IF($C220="","",ANAGRAFICA!$C217)</f>
        <v/>
      </c>
      <c r="E220" s="17" t="str">
        <f>IF($C220="","",ANAGRAFICA!$D217)</f>
        <v/>
      </c>
      <c r="F220" s="17" t="str">
        <f>IF($C220="","",ANAGRAFICA!$E217)</f>
        <v/>
      </c>
      <c r="G220" s="17" t="str">
        <f>IF($C220="","",ANAGRAFICA!$F217)</f>
        <v/>
      </c>
      <c r="H220" s="17" t="str">
        <f>IF($C220="","",ANAGRAFICA!$G217)</f>
        <v/>
      </c>
      <c r="I220" s="17" t="str">
        <f>IF($C220="","",ANAGRAFICA!$L217)</f>
        <v/>
      </c>
      <c r="J220" s="16" t="str">
        <f t="shared" si="73"/>
        <v/>
      </c>
      <c r="K220" s="16" t="str">
        <f t="shared" si="74"/>
        <v/>
      </c>
      <c r="L220" s="16" t="str">
        <f t="shared" si="75"/>
        <v/>
      </c>
      <c r="M220" s="16" t="str">
        <f t="shared" si="76"/>
        <v/>
      </c>
      <c r="N220" s="16" t="str">
        <f t="shared" si="77"/>
        <v/>
      </c>
      <c r="O220" s="16" t="str">
        <f t="shared" si="78"/>
        <v/>
      </c>
      <c r="P220" s="17" t="str">
        <f t="shared" si="79"/>
        <v/>
      </c>
      <c r="Q220" s="31" t="str">
        <f>IF(OR($C220="",'BUDGET COMMESSA'!$D217="",'BUDGET COMMESSA'!$D217&lt;=0,ANAGRAFICA!$J217=""),"",IF(OR($I220="Finito ritenute non previste",$I220="Finito con sblocco ritenute",$I220="Finito senza sblocco ritenute"),0,IF(AND($BK220&gt;=$BJ220,ANAGRAFICA!$R217="Ritardo produttivo FIDA"),IF(ANAGRAFICA!$T217&lt;&gt;"",MAX(0,ANAGRAFICA!$J217-ANAGRAFICA!$T217),MAX(0,$Y220-ANAGRAFICA!$J217)),0)))</f>
        <v/>
      </c>
      <c r="R220" s="17" t="str">
        <f t="shared" si="80"/>
        <v/>
      </c>
      <c r="S220" s="17" t="str">
        <f t="shared" si="81"/>
        <v/>
      </c>
      <c r="T220" s="17" t="str">
        <f t="shared" si="82"/>
        <v/>
      </c>
      <c r="U220" s="16" t="str">
        <f t="shared" si="83"/>
        <v/>
      </c>
      <c r="V220" s="16" t="str">
        <f t="shared" si="84"/>
        <v/>
      </c>
      <c r="W220" s="16" t="str">
        <f t="shared" si="85"/>
        <v/>
      </c>
      <c r="X220" s="40"/>
      <c r="Y220" s="14"/>
      <c r="AZ220" t="str">
        <f>IF($C220="","",ANAGRAFICA!$P217)</f>
        <v/>
      </c>
      <c r="BA220" t="str">
        <f>IF($C220="","",SUMIF('MOVIMENTI 2026'!$B$7:$B$4206,$C220,'MOVIMENTI 2026'!$I$7:$I$4206)+SUMIF('SALDI AL 31.12.2025'!$A$6:$A$505,$C220,'SALDI AL 31.12.2025'!$C$6:$C$505))</f>
        <v/>
      </c>
      <c r="BB220" t="str">
        <f>IF($C220="","",SUMIF('MOVIMENTI 2026'!$B$7:$B$4206,$C220,'MOVIMENTI 2026'!$J$7:$J$4206)+SUMIF('SALDI AL 31.12.2025'!$A$6:$A$505,$C220,'SALDI AL 31.12.2025'!$D$6:$D$505))</f>
        <v/>
      </c>
      <c r="BC220" t="str">
        <f>IF($C220="","",SUMIF('MOVIMENTI 2026'!$B$7:$B$4206,$C220,'MOVIMENTI 2026'!$K$7:$K$4206)+SUMIF('SALDI AL 31.12.2025'!$A$6:$A$505,$C220,'SALDI AL 31.12.2025'!$E$6:$E$505))</f>
        <v/>
      </c>
      <c r="BD220" t="str">
        <f>IF($C220="","",SUMIF('MOVIMENTI 2026'!$B$7:$B$4206,$C220,'MOVIMENTI 2026'!$L$7:$L$4206)+SUMIF('SALDI AL 31.12.2025'!$A$6:$A$505,$C220,'SALDI AL 31.12.2025'!$F$6:$F$505))</f>
        <v/>
      </c>
      <c r="BE220" t="str">
        <f t="shared" si="86"/>
        <v/>
      </c>
      <c r="BF220" t="str">
        <f t="shared" si="87"/>
        <v/>
      </c>
      <c r="BG220" t="str">
        <f t="shared" si="88"/>
        <v/>
      </c>
      <c r="BH220" t="str">
        <f>IFERROR(IF(OR($C220="",ANAGRAFICA!$I217="",ANAGRAFICA!$J217="",ANAGRAFICA!$J217&lt;=ANAGRAFICA!$I217,$Y220=""),"",IF(OR($I220="Finito ritenute non previste",$I220="Finito con sblocco ritenute",$I220="Finito senza sblocco ritenute"),1,MAX(0,MIN(1,($Y220-ANAGRAFICA!$I217)/(ANAGRAFICA!$J217-ANAGRAFICA!$I217))))),"")</f>
        <v/>
      </c>
      <c r="BI220" t="str">
        <f t="shared" si="89"/>
        <v/>
      </c>
      <c r="BJ220" t="str">
        <f>IFERROR(IF($C220="","",'BUDGET COMMESSA'!$D217),"")</f>
        <v/>
      </c>
      <c r="BK220" t="str">
        <f>IF($C220="","",SUMIF('MOVIMENTI 2026'!$B$7:$B$4206,$C220,'MOVIMENTI 2026'!$N$7:$N$4206)+SUMIF('SALDI AL 31.12.2025'!$A$6:$A$505,$C220,'SALDI AL 31.12.2025'!$H$6:$H$505))</f>
        <v/>
      </c>
      <c r="BL220" t="str">
        <f t="shared" si="90"/>
        <v/>
      </c>
      <c r="BM220" t="str">
        <f t="shared" si="91"/>
        <v/>
      </c>
      <c r="BN220" t="str">
        <f t="shared" si="92"/>
        <v/>
      </c>
      <c r="BO220" t="str">
        <f>IFERROR(IF($C220="","",'BUDGET COMMESSA'!$G217),"")</f>
        <v/>
      </c>
      <c r="BP220" t="str">
        <f>IF($C220="","",SUMIF('COSTI DIRETTI'!$C$6:$C$505,$C220,'COSTI DIRETTI'!$H$6:$H$505)+SUMIF('SALDI AL 31.12.2025'!$A$6:$A$505,$C220,'SALDI AL 31.12.2025'!$I$6:$I$505))</f>
        <v/>
      </c>
      <c r="BQ220" t="str">
        <f t="shared" si="93"/>
        <v/>
      </c>
      <c r="BR220" t="str">
        <f t="shared" si="94"/>
        <v/>
      </c>
      <c r="BS220" t="str">
        <f>IF($C220="","",$BK220*PARAMETRI!$B$4+$BP220)</f>
        <v/>
      </c>
      <c r="BT220">
        <f t="shared" si="95"/>
        <v>0</v>
      </c>
      <c r="BU220">
        <f t="shared" si="96"/>
        <v>0</v>
      </c>
      <c r="BV220" t="str">
        <f>IF($C220="","",SUMIF('MOVIMENTI 2026'!$B$7:$B$4206,$C220,'MOVIMENTI 2026'!$P$7:$P$4206)+SUMIF('SALDI AL 31.12.2025'!$A$6:$A$505,$C220,'SALDI AL 31.12.2025'!$G$6:$G$505))</f>
        <v/>
      </c>
    </row>
    <row r="221" spans="1:74" ht="16" x14ac:dyDescent="0.15">
      <c r="A221" s="17" t="str">
        <f>IFERROR(IF($C221="","",IF(OR($BF221&gt;0,$V221&gt;$J221,AND(ISNUMBER($Q221),$Q221&gt;0),AND($BI221&lt;&gt;"",$BI221&lt;-PARAMETRI!$B$6),AND($BM221&lt;&gt;"",$BM221&gt;=1),AND($BN221&lt;&gt;"",$BN221&gt;PARAMETRI!$B$8),AND(ISNUMBER($BR221),$BR221&gt;0)),"CRITICO",IF(OR($AZ221="",LEFT($C221,5)="TEMP",$BJ221="",$BO221="",ANAGRAFICA!$I218="",ANAGRAFICA!$J218="",$Y221="",AND(OR($I221="Finito ritenute non previste",$I221="Finito con sblocco ritenute",$I221="Finito senza sblocco ritenute"),ANAGRAFICA!$K218=""),OR(AND(ANAGRAFICA!$T218&lt;&gt;"",ANAGRAFICA!$J218&lt;&gt;ANAGRAFICA!$T218,OR(ANAGRAFICA!$R218="",ANAGRAFICA!$R218="Nessuna variazione")),AND(ANAGRAFICA!$J218="",ANAGRAFICA!$R218&lt;&gt;"",ANAGRAFICA!$R218&lt;&gt;"Nessuna variazione")),AND($BI221&lt;&gt;"",$BI221&lt;-PARAMETRI!$B$5),AND($BN221&lt;&gt;"",$BN221&gt;PARAMETRI!$B$7),AND($W221&gt;0,$M221&gt;$W221*PARAMETRI!$B$9),AND($O221&gt;0,OR($I221="Finito ritenute non previste",$I221="Finito con sblocco ritenute",$I221="Finito senza sblocco ritenute")),AND($BA221&gt;0,$BO221&gt;0,$BP221=0),AND(OR($I221="Finito ritenute non previste",$I221="Finito con sblocco ritenute",$I221="Finito senza sblocco ritenute"),$W221&gt;0,$N221&gt;$W221*PARAMETRI!$B$9),$V221&gt;0),"ATTENZIONE","REGOLARE"))),"ATTENZIONE")</f>
        <v/>
      </c>
      <c r="B221" s="17" t="str">
        <f>IFERROR(IF($C221="","",IF($BF221&gt;0,"FATTURATO OLTRE VALORE RECUPERABILE; ","")&amp;IF($V221&gt;$J221,"PERDITE ACCETTATE OLTRE CONTRATTO; ","")&amp;IF($V221&gt;0,"PERDITA SAL ACCETTATA (€ "&amp;TEXT($V221,"#,##0.00")&amp;"); ","")&amp;IF(AND(ISNUMBER($Q221),$Q221&gt;0),"RITARDO PRODUTTIVO ("&amp;TEXT($Q221,"0")&amp;" GG); ","")&amp;IF(AND($BI221&lt;&gt;"",$BI221&lt;-PARAMETRI!$B$5),"AVANZAMENTO PIÙ LENTO DEL TEMPO; ","")&amp;IF(AND($BM221&lt;&gt;"",$BM221&gt;1),"ORE OLTRE BUDGET; ","")&amp;IF(AND($BM221&lt;&gt;"",$BM221=1),"ORE PREVENTIVATE ESAURITE; ","")&amp;IF(AND($BN221&lt;&gt;"",$BN221&gt;PARAMETRI!$B$7),"CONSUMO ORE SUPERIORE ALL'AVANZAMENTO; ","")&amp;IF(AND(ISNUMBER($BR221),$BR221&gt;0),"COSTI DIRETTI OLTRE BUDGET; ","")&amp;IF(AND($W221&gt;0,$M221&gt;$W221*PARAMETRI!$B$9),"SAL MATURATO NON FATTURATO; ","")&amp;IF(AND($O221&gt;0,OR($I221="Finito ritenute non previste",$I221="Finito con sblocco ritenute",$I221="Finito senza sblocco ritenute")),"RITENUTE DA SBLOCCARE; ","")&amp;IF(AND($BA221&gt;0,$BO221&gt;0,$BP221=0),"COSTI DIRETTI NON REGISTRATI; ","")&amp;IF(AND(OR($I221="Finito ritenute non previste",$I221="Finito con sblocco ritenute",$I221="Finito senza sblocco ritenute"),$W221&gt;0,$N221&gt;$W221*PARAMETRI!$B$9),"CANTIERE FINITO CON RESIDUO LAVORI; ","")&amp;IF(AND(OR($I221="Finito ritenute non previste",$I221="Finito con sblocco ritenute",$I221="Finito senza sblocco ritenute"),ANAGRAFICA!$K218=""),"DATA FINE EFFETTIVA MANCANTE; ","")&amp;IF(OR(AND(ANAGRAFICA!$T218&lt;&gt;"",ANAGRAFICA!$J218&lt;&gt;ANAGRAFICA!$T218,OR(ANAGRAFICA!$R218="",ANAGRAFICA!$R218="Nessuna variazione")),AND(ANAGRAFICA!$J218="",ANAGRAFICA!$R218&lt;&gt;"",ANAGRAFICA!$R218&lt;&gt;"Nessuna variazione")),"GESTIONE DATA FINE INCOMPLETA; ","")&amp;IF($Y221="","AGGIORNATO AL MANCANTE; ","")&amp;IF(OR($AZ221="",$BJ221="",$BO221="",ANAGRAFICA!$I218="",ANAGRAFICA!$J218=""),"DATI PREVISIONALI INCOMPLETI; ","")&amp;IF(LEFT($C221,5)="TEMP","CODICE COMMESSA TEMPORANEO; ","")),"DATI INCOMPLETI; ")</f>
        <v/>
      </c>
      <c r="C221" s="17" t="str">
        <f>IF(ANAGRAFICA!$B218="","",ANAGRAFICA!$B218)</f>
        <v/>
      </c>
      <c r="D221" s="17" t="str">
        <f>IF($C221="","",ANAGRAFICA!$C218)</f>
        <v/>
      </c>
      <c r="E221" s="17" t="str">
        <f>IF($C221="","",ANAGRAFICA!$D218)</f>
        <v/>
      </c>
      <c r="F221" s="17" t="str">
        <f>IF($C221="","",ANAGRAFICA!$E218)</f>
        <v/>
      </c>
      <c r="G221" s="17" t="str">
        <f>IF($C221="","",ANAGRAFICA!$F218)</f>
        <v/>
      </c>
      <c r="H221" s="17" t="str">
        <f>IF($C221="","",ANAGRAFICA!$G218)</f>
        <v/>
      </c>
      <c r="I221" s="17" t="str">
        <f>IF($C221="","",ANAGRAFICA!$L218)</f>
        <v/>
      </c>
      <c r="J221" s="16" t="str">
        <f t="shared" si="73"/>
        <v/>
      </c>
      <c r="K221" s="16" t="str">
        <f t="shared" si="74"/>
        <v/>
      </c>
      <c r="L221" s="16" t="str">
        <f t="shared" si="75"/>
        <v/>
      </c>
      <c r="M221" s="16" t="str">
        <f t="shared" si="76"/>
        <v/>
      </c>
      <c r="N221" s="16" t="str">
        <f t="shared" si="77"/>
        <v/>
      </c>
      <c r="O221" s="16" t="str">
        <f t="shared" si="78"/>
        <v/>
      </c>
      <c r="P221" s="17" t="str">
        <f t="shared" si="79"/>
        <v/>
      </c>
      <c r="Q221" s="31" t="str">
        <f>IF(OR($C221="",'BUDGET COMMESSA'!$D218="",'BUDGET COMMESSA'!$D218&lt;=0,ANAGRAFICA!$J218=""),"",IF(OR($I221="Finito ritenute non previste",$I221="Finito con sblocco ritenute",$I221="Finito senza sblocco ritenute"),0,IF(AND($BK221&gt;=$BJ221,ANAGRAFICA!$R218="Ritardo produttivo FIDA"),IF(ANAGRAFICA!$T218&lt;&gt;"",MAX(0,ANAGRAFICA!$J218-ANAGRAFICA!$T218),MAX(0,$Y221-ANAGRAFICA!$J218)),0)))</f>
        <v/>
      </c>
      <c r="R221" s="17" t="str">
        <f t="shared" si="80"/>
        <v/>
      </c>
      <c r="S221" s="17" t="str">
        <f t="shared" si="81"/>
        <v/>
      </c>
      <c r="T221" s="17" t="str">
        <f t="shared" si="82"/>
        <v/>
      </c>
      <c r="U221" s="16" t="str">
        <f t="shared" si="83"/>
        <v/>
      </c>
      <c r="V221" s="16" t="str">
        <f t="shared" si="84"/>
        <v/>
      </c>
      <c r="W221" s="16" t="str">
        <f t="shared" si="85"/>
        <v/>
      </c>
      <c r="X221" s="40"/>
      <c r="Y221" s="14"/>
      <c r="AZ221" t="str">
        <f>IF($C221="","",ANAGRAFICA!$P218)</f>
        <v/>
      </c>
      <c r="BA221" t="str">
        <f>IF($C221="","",SUMIF('MOVIMENTI 2026'!$B$7:$B$4206,$C221,'MOVIMENTI 2026'!$I$7:$I$4206)+SUMIF('SALDI AL 31.12.2025'!$A$6:$A$505,$C221,'SALDI AL 31.12.2025'!$C$6:$C$505))</f>
        <v/>
      </c>
      <c r="BB221" t="str">
        <f>IF($C221="","",SUMIF('MOVIMENTI 2026'!$B$7:$B$4206,$C221,'MOVIMENTI 2026'!$J$7:$J$4206)+SUMIF('SALDI AL 31.12.2025'!$A$6:$A$505,$C221,'SALDI AL 31.12.2025'!$D$6:$D$505))</f>
        <v/>
      </c>
      <c r="BC221" t="str">
        <f>IF($C221="","",SUMIF('MOVIMENTI 2026'!$B$7:$B$4206,$C221,'MOVIMENTI 2026'!$K$7:$K$4206)+SUMIF('SALDI AL 31.12.2025'!$A$6:$A$505,$C221,'SALDI AL 31.12.2025'!$E$6:$E$505))</f>
        <v/>
      </c>
      <c r="BD221" t="str">
        <f>IF($C221="","",SUMIF('MOVIMENTI 2026'!$B$7:$B$4206,$C221,'MOVIMENTI 2026'!$L$7:$L$4206)+SUMIF('SALDI AL 31.12.2025'!$A$6:$A$505,$C221,'SALDI AL 31.12.2025'!$F$6:$F$505))</f>
        <v/>
      </c>
      <c r="BE221" t="str">
        <f t="shared" si="86"/>
        <v/>
      </c>
      <c r="BF221" t="str">
        <f t="shared" si="87"/>
        <v/>
      </c>
      <c r="BG221" t="str">
        <f t="shared" si="88"/>
        <v/>
      </c>
      <c r="BH221" t="str">
        <f>IFERROR(IF(OR($C221="",ANAGRAFICA!$I218="",ANAGRAFICA!$J218="",ANAGRAFICA!$J218&lt;=ANAGRAFICA!$I218,$Y221=""),"",IF(OR($I221="Finito ritenute non previste",$I221="Finito con sblocco ritenute",$I221="Finito senza sblocco ritenute"),1,MAX(0,MIN(1,($Y221-ANAGRAFICA!$I218)/(ANAGRAFICA!$J218-ANAGRAFICA!$I218))))),"")</f>
        <v/>
      </c>
      <c r="BI221" t="str">
        <f t="shared" si="89"/>
        <v/>
      </c>
      <c r="BJ221" t="str">
        <f>IFERROR(IF($C221="","",'BUDGET COMMESSA'!$D218),"")</f>
        <v/>
      </c>
      <c r="BK221" t="str">
        <f>IF($C221="","",SUMIF('MOVIMENTI 2026'!$B$7:$B$4206,$C221,'MOVIMENTI 2026'!$N$7:$N$4206)+SUMIF('SALDI AL 31.12.2025'!$A$6:$A$505,$C221,'SALDI AL 31.12.2025'!$H$6:$H$505))</f>
        <v/>
      </c>
      <c r="BL221" t="str">
        <f t="shared" si="90"/>
        <v/>
      </c>
      <c r="BM221" t="str">
        <f t="shared" si="91"/>
        <v/>
      </c>
      <c r="BN221" t="str">
        <f t="shared" si="92"/>
        <v/>
      </c>
      <c r="BO221" t="str">
        <f>IFERROR(IF($C221="","",'BUDGET COMMESSA'!$G218),"")</f>
        <v/>
      </c>
      <c r="BP221" t="str">
        <f>IF($C221="","",SUMIF('COSTI DIRETTI'!$C$6:$C$505,$C221,'COSTI DIRETTI'!$H$6:$H$505)+SUMIF('SALDI AL 31.12.2025'!$A$6:$A$505,$C221,'SALDI AL 31.12.2025'!$I$6:$I$505))</f>
        <v/>
      </c>
      <c r="BQ221" t="str">
        <f t="shared" si="93"/>
        <v/>
      </c>
      <c r="BR221" t="str">
        <f t="shared" si="94"/>
        <v/>
      </c>
      <c r="BS221" t="str">
        <f>IF($C221="","",$BK221*PARAMETRI!$B$4+$BP221)</f>
        <v/>
      </c>
      <c r="BT221">
        <f t="shared" si="95"/>
        <v>0</v>
      </c>
      <c r="BU221">
        <f t="shared" si="96"/>
        <v>0</v>
      </c>
      <c r="BV221" t="str">
        <f>IF($C221="","",SUMIF('MOVIMENTI 2026'!$B$7:$B$4206,$C221,'MOVIMENTI 2026'!$P$7:$P$4206)+SUMIF('SALDI AL 31.12.2025'!$A$6:$A$505,$C221,'SALDI AL 31.12.2025'!$G$6:$G$505))</f>
        <v/>
      </c>
    </row>
    <row r="222" spans="1:74" ht="16" x14ac:dyDescent="0.15">
      <c r="A222" s="17" t="str">
        <f>IFERROR(IF($C222="","",IF(OR($BF222&gt;0,$V222&gt;$J222,AND(ISNUMBER($Q222),$Q222&gt;0),AND($BI222&lt;&gt;"",$BI222&lt;-PARAMETRI!$B$6),AND($BM222&lt;&gt;"",$BM222&gt;=1),AND($BN222&lt;&gt;"",$BN222&gt;PARAMETRI!$B$8),AND(ISNUMBER($BR222),$BR222&gt;0)),"CRITICO",IF(OR($AZ222="",LEFT($C222,5)="TEMP",$BJ222="",$BO222="",ANAGRAFICA!$I219="",ANAGRAFICA!$J219="",$Y222="",AND(OR($I222="Finito ritenute non previste",$I222="Finito con sblocco ritenute",$I222="Finito senza sblocco ritenute"),ANAGRAFICA!$K219=""),OR(AND(ANAGRAFICA!$T219&lt;&gt;"",ANAGRAFICA!$J219&lt;&gt;ANAGRAFICA!$T219,OR(ANAGRAFICA!$R219="",ANAGRAFICA!$R219="Nessuna variazione")),AND(ANAGRAFICA!$J219="",ANAGRAFICA!$R219&lt;&gt;"",ANAGRAFICA!$R219&lt;&gt;"Nessuna variazione")),AND($BI222&lt;&gt;"",$BI222&lt;-PARAMETRI!$B$5),AND($BN222&lt;&gt;"",$BN222&gt;PARAMETRI!$B$7),AND($W222&gt;0,$M222&gt;$W222*PARAMETRI!$B$9),AND($O222&gt;0,OR($I222="Finito ritenute non previste",$I222="Finito con sblocco ritenute",$I222="Finito senza sblocco ritenute")),AND($BA222&gt;0,$BO222&gt;0,$BP222=0),AND(OR($I222="Finito ritenute non previste",$I222="Finito con sblocco ritenute",$I222="Finito senza sblocco ritenute"),$W222&gt;0,$N222&gt;$W222*PARAMETRI!$B$9),$V222&gt;0),"ATTENZIONE","REGOLARE"))),"ATTENZIONE")</f>
        <v/>
      </c>
      <c r="B222" s="17" t="str">
        <f>IFERROR(IF($C222="","",IF($BF222&gt;0,"FATTURATO OLTRE VALORE RECUPERABILE; ","")&amp;IF($V222&gt;$J222,"PERDITE ACCETTATE OLTRE CONTRATTO; ","")&amp;IF($V222&gt;0,"PERDITA SAL ACCETTATA (€ "&amp;TEXT($V222,"#,##0.00")&amp;"); ","")&amp;IF(AND(ISNUMBER($Q222),$Q222&gt;0),"RITARDO PRODUTTIVO ("&amp;TEXT($Q222,"0")&amp;" GG); ","")&amp;IF(AND($BI222&lt;&gt;"",$BI222&lt;-PARAMETRI!$B$5),"AVANZAMENTO PIÙ LENTO DEL TEMPO; ","")&amp;IF(AND($BM222&lt;&gt;"",$BM222&gt;1),"ORE OLTRE BUDGET; ","")&amp;IF(AND($BM222&lt;&gt;"",$BM222=1),"ORE PREVENTIVATE ESAURITE; ","")&amp;IF(AND($BN222&lt;&gt;"",$BN222&gt;PARAMETRI!$B$7),"CONSUMO ORE SUPERIORE ALL'AVANZAMENTO; ","")&amp;IF(AND(ISNUMBER($BR222),$BR222&gt;0),"COSTI DIRETTI OLTRE BUDGET; ","")&amp;IF(AND($W222&gt;0,$M222&gt;$W222*PARAMETRI!$B$9),"SAL MATURATO NON FATTURATO; ","")&amp;IF(AND($O222&gt;0,OR($I222="Finito ritenute non previste",$I222="Finito con sblocco ritenute",$I222="Finito senza sblocco ritenute")),"RITENUTE DA SBLOCCARE; ","")&amp;IF(AND($BA222&gt;0,$BO222&gt;0,$BP222=0),"COSTI DIRETTI NON REGISTRATI; ","")&amp;IF(AND(OR($I222="Finito ritenute non previste",$I222="Finito con sblocco ritenute",$I222="Finito senza sblocco ritenute"),$W222&gt;0,$N222&gt;$W222*PARAMETRI!$B$9),"CANTIERE FINITO CON RESIDUO LAVORI; ","")&amp;IF(AND(OR($I222="Finito ritenute non previste",$I222="Finito con sblocco ritenute",$I222="Finito senza sblocco ritenute"),ANAGRAFICA!$K219=""),"DATA FINE EFFETTIVA MANCANTE; ","")&amp;IF(OR(AND(ANAGRAFICA!$T219&lt;&gt;"",ANAGRAFICA!$J219&lt;&gt;ANAGRAFICA!$T219,OR(ANAGRAFICA!$R219="",ANAGRAFICA!$R219="Nessuna variazione")),AND(ANAGRAFICA!$J219="",ANAGRAFICA!$R219&lt;&gt;"",ANAGRAFICA!$R219&lt;&gt;"Nessuna variazione")),"GESTIONE DATA FINE INCOMPLETA; ","")&amp;IF($Y222="","AGGIORNATO AL MANCANTE; ","")&amp;IF(OR($AZ222="",$BJ222="",$BO222="",ANAGRAFICA!$I219="",ANAGRAFICA!$J219=""),"DATI PREVISIONALI INCOMPLETI; ","")&amp;IF(LEFT($C222,5)="TEMP","CODICE COMMESSA TEMPORANEO; ","")),"DATI INCOMPLETI; ")</f>
        <v/>
      </c>
      <c r="C222" s="17" t="str">
        <f>IF(ANAGRAFICA!$B219="","",ANAGRAFICA!$B219)</f>
        <v/>
      </c>
      <c r="D222" s="17" t="str">
        <f>IF($C222="","",ANAGRAFICA!$C219)</f>
        <v/>
      </c>
      <c r="E222" s="17" t="str">
        <f>IF($C222="","",ANAGRAFICA!$D219)</f>
        <v/>
      </c>
      <c r="F222" s="17" t="str">
        <f>IF($C222="","",ANAGRAFICA!$E219)</f>
        <v/>
      </c>
      <c r="G222" s="17" t="str">
        <f>IF($C222="","",ANAGRAFICA!$F219)</f>
        <v/>
      </c>
      <c r="H222" s="17" t="str">
        <f>IF($C222="","",ANAGRAFICA!$G219)</f>
        <v/>
      </c>
      <c r="I222" s="17" t="str">
        <f>IF($C222="","",ANAGRAFICA!$L219)</f>
        <v/>
      </c>
      <c r="J222" s="16" t="str">
        <f t="shared" si="73"/>
        <v/>
      </c>
      <c r="K222" s="16" t="str">
        <f t="shared" si="74"/>
        <v/>
      </c>
      <c r="L222" s="16" t="str">
        <f t="shared" si="75"/>
        <v/>
      </c>
      <c r="M222" s="16" t="str">
        <f t="shared" si="76"/>
        <v/>
      </c>
      <c r="N222" s="16" t="str">
        <f t="shared" si="77"/>
        <v/>
      </c>
      <c r="O222" s="16" t="str">
        <f t="shared" si="78"/>
        <v/>
      </c>
      <c r="P222" s="17" t="str">
        <f t="shared" si="79"/>
        <v/>
      </c>
      <c r="Q222" s="31" t="str">
        <f>IF(OR($C222="",'BUDGET COMMESSA'!$D219="",'BUDGET COMMESSA'!$D219&lt;=0,ANAGRAFICA!$J219=""),"",IF(OR($I222="Finito ritenute non previste",$I222="Finito con sblocco ritenute",$I222="Finito senza sblocco ritenute"),0,IF(AND($BK222&gt;=$BJ222,ANAGRAFICA!$R219="Ritardo produttivo FIDA"),IF(ANAGRAFICA!$T219&lt;&gt;"",MAX(0,ANAGRAFICA!$J219-ANAGRAFICA!$T219),MAX(0,$Y222-ANAGRAFICA!$J219)),0)))</f>
        <v/>
      </c>
      <c r="R222" s="17" t="str">
        <f t="shared" si="80"/>
        <v/>
      </c>
      <c r="S222" s="17" t="str">
        <f t="shared" si="81"/>
        <v/>
      </c>
      <c r="T222" s="17" t="str">
        <f t="shared" si="82"/>
        <v/>
      </c>
      <c r="U222" s="16" t="str">
        <f t="shared" si="83"/>
        <v/>
      </c>
      <c r="V222" s="16" t="str">
        <f t="shared" si="84"/>
        <v/>
      </c>
      <c r="W222" s="16" t="str">
        <f t="shared" si="85"/>
        <v/>
      </c>
      <c r="X222" s="40"/>
      <c r="Y222" s="14"/>
      <c r="AZ222" t="str">
        <f>IF($C222="","",ANAGRAFICA!$P219)</f>
        <v/>
      </c>
      <c r="BA222" t="str">
        <f>IF($C222="","",SUMIF('MOVIMENTI 2026'!$B$7:$B$4206,$C222,'MOVIMENTI 2026'!$I$7:$I$4206)+SUMIF('SALDI AL 31.12.2025'!$A$6:$A$505,$C222,'SALDI AL 31.12.2025'!$C$6:$C$505))</f>
        <v/>
      </c>
      <c r="BB222" t="str">
        <f>IF($C222="","",SUMIF('MOVIMENTI 2026'!$B$7:$B$4206,$C222,'MOVIMENTI 2026'!$J$7:$J$4206)+SUMIF('SALDI AL 31.12.2025'!$A$6:$A$505,$C222,'SALDI AL 31.12.2025'!$D$6:$D$505))</f>
        <v/>
      </c>
      <c r="BC222" t="str">
        <f>IF($C222="","",SUMIF('MOVIMENTI 2026'!$B$7:$B$4206,$C222,'MOVIMENTI 2026'!$K$7:$K$4206)+SUMIF('SALDI AL 31.12.2025'!$A$6:$A$505,$C222,'SALDI AL 31.12.2025'!$E$6:$E$505))</f>
        <v/>
      </c>
      <c r="BD222" t="str">
        <f>IF($C222="","",SUMIF('MOVIMENTI 2026'!$B$7:$B$4206,$C222,'MOVIMENTI 2026'!$L$7:$L$4206)+SUMIF('SALDI AL 31.12.2025'!$A$6:$A$505,$C222,'SALDI AL 31.12.2025'!$F$6:$F$505))</f>
        <v/>
      </c>
      <c r="BE222" t="str">
        <f t="shared" si="86"/>
        <v/>
      </c>
      <c r="BF222" t="str">
        <f t="shared" si="87"/>
        <v/>
      </c>
      <c r="BG222" t="str">
        <f t="shared" si="88"/>
        <v/>
      </c>
      <c r="BH222" t="str">
        <f>IFERROR(IF(OR($C222="",ANAGRAFICA!$I219="",ANAGRAFICA!$J219="",ANAGRAFICA!$J219&lt;=ANAGRAFICA!$I219,$Y222=""),"",IF(OR($I222="Finito ritenute non previste",$I222="Finito con sblocco ritenute",$I222="Finito senza sblocco ritenute"),1,MAX(0,MIN(1,($Y222-ANAGRAFICA!$I219)/(ANAGRAFICA!$J219-ANAGRAFICA!$I219))))),"")</f>
        <v/>
      </c>
      <c r="BI222" t="str">
        <f t="shared" si="89"/>
        <v/>
      </c>
      <c r="BJ222" t="str">
        <f>IFERROR(IF($C222="","",'BUDGET COMMESSA'!$D219),"")</f>
        <v/>
      </c>
      <c r="BK222" t="str">
        <f>IF($C222="","",SUMIF('MOVIMENTI 2026'!$B$7:$B$4206,$C222,'MOVIMENTI 2026'!$N$7:$N$4206)+SUMIF('SALDI AL 31.12.2025'!$A$6:$A$505,$C222,'SALDI AL 31.12.2025'!$H$6:$H$505))</f>
        <v/>
      </c>
      <c r="BL222" t="str">
        <f t="shared" si="90"/>
        <v/>
      </c>
      <c r="BM222" t="str">
        <f t="shared" si="91"/>
        <v/>
      </c>
      <c r="BN222" t="str">
        <f t="shared" si="92"/>
        <v/>
      </c>
      <c r="BO222" t="str">
        <f>IFERROR(IF($C222="","",'BUDGET COMMESSA'!$G219),"")</f>
        <v/>
      </c>
      <c r="BP222" t="str">
        <f>IF($C222="","",SUMIF('COSTI DIRETTI'!$C$6:$C$505,$C222,'COSTI DIRETTI'!$H$6:$H$505)+SUMIF('SALDI AL 31.12.2025'!$A$6:$A$505,$C222,'SALDI AL 31.12.2025'!$I$6:$I$505))</f>
        <v/>
      </c>
      <c r="BQ222" t="str">
        <f t="shared" si="93"/>
        <v/>
      </c>
      <c r="BR222" t="str">
        <f t="shared" si="94"/>
        <v/>
      </c>
      <c r="BS222" t="str">
        <f>IF($C222="","",$BK222*PARAMETRI!$B$4+$BP222)</f>
        <v/>
      </c>
      <c r="BT222">
        <f t="shared" si="95"/>
        <v>0</v>
      </c>
      <c r="BU222">
        <f t="shared" si="96"/>
        <v>0</v>
      </c>
      <c r="BV222" t="str">
        <f>IF($C222="","",SUMIF('MOVIMENTI 2026'!$B$7:$B$4206,$C222,'MOVIMENTI 2026'!$P$7:$P$4206)+SUMIF('SALDI AL 31.12.2025'!$A$6:$A$505,$C222,'SALDI AL 31.12.2025'!$G$6:$G$505))</f>
        <v/>
      </c>
    </row>
    <row r="223" spans="1:74" ht="16" x14ac:dyDescent="0.15">
      <c r="A223" s="17" t="str">
        <f>IFERROR(IF($C223="","",IF(OR($BF223&gt;0,$V223&gt;$J223,AND(ISNUMBER($Q223),$Q223&gt;0),AND($BI223&lt;&gt;"",$BI223&lt;-PARAMETRI!$B$6),AND($BM223&lt;&gt;"",$BM223&gt;=1),AND($BN223&lt;&gt;"",$BN223&gt;PARAMETRI!$B$8),AND(ISNUMBER($BR223),$BR223&gt;0)),"CRITICO",IF(OR($AZ223="",LEFT($C223,5)="TEMP",$BJ223="",$BO223="",ANAGRAFICA!$I220="",ANAGRAFICA!$J220="",$Y223="",AND(OR($I223="Finito ritenute non previste",$I223="Finito con sblocco ritenute",$I223="Finito senza sblocco ritenute"),ANAGRAFICA!$K220=""),OR(AND(ANAGRAFICA!$T220&lt;&gt;"",ANAGRAFICA!$J220&lt;&gt;ANAGRAFICA!$T220,OR(ANAGRAFICA!$R220="",ANAGRAFICA!$R220="Nessuna variazione")),AND(ANAGRAFICA!$J220="",ANAGRAFICA!$R220&lt;&gt;"",ANAGRAFICA!$R220&lt;&gt;"Nessuna variazione")),AND($BI223&lt;&gt;"",$BI223&lt;-PARAMETRI!$B$5),AND($BN223&lt;&gt;"",$BN223&gt;PARAMETRI!$B$7),AND($W223&gt;0,$M223&gt;$W223*PARAMETRI!$B$9),AND($O223&gt;0,OR($I223="Finito ritenute non previste",$I223="Finito con sblocco ritenute",$I223="Finito senza sblocco ritenute")),AND($BA223&gt;0,$BO223&gt;0,$BP223=0),AND(OR($I223="Finito ritenute non previste",$I223="Finito con sblocco ritenute",$I223="Finito senza sblocco ritenute"),$W223&gt;0,$N223&gt;$W223*PARAMETRI!$B$9),$V223&gt;0),"ATTENZIONE","REGOLARE"))),"ATTENZIONE")</f>
        <v/>
      </c>
      <c r="B223" s="17" t="str">
        <f>IFERROR(IF($C223="","",IF($BF223&gt;0,"FATTURATO OLTRE VALORE RECUPERABILE; ","")&amp;IF($V223&gt;$J223,"PERDITE ACCETTATE OLTRE CONTRATTO; ","")&amp;IF($V223&gt;0,"PERDITA SAL ACCETTATA (€ "&amp;TEXT($V223,"#,##0.00")&amp;"); ","")&amp;IF(AND(ISNUMBER($Q223),$Q223&gt;0),"RITARDO PRODUTTIVO ("&amp;TEXT($Q223,"0")&amp;" GG); ","")&amp;IF(AND($BI223&lt;&gt;"",$BI223&lt;-PARAMETRI!$B$5),"AVANZAMENTO PIÙ LENTO DEL TEMPO; ","")&amp;IF(AND($BM223&lt;&gt;"",$BM223&gt;1),"ORE OLTRE BUDGET; ","")&amp;IF(AND($BM223&lt;&gt;"",$BM223=1),"ORE PREVENTIVATE ESAURITE; ","")&amp;IF(AND($BN223&lt;&gt;"",$BN223&gt;PARAMETRI!$B$7),"CONSUMO ORE SUPERIORE ALL'AVANZAMENTO; ","")&amp;IF(AND(ISNUMBER($BR223),$BR223&gt;0),"COSTI DIRETTI OLTRE BUDGET; ","")&amp;IF(AND($W223&gt;0,$M223&gt;$W223*PARAMETRI!$B$9),"SAL MATURATO NON FATTURATO; ","")&amp;IF(AND($O223&gt;0,OR($I223="Finito ritenute non previste",$I223="Finito con sblocco ritenute",$I223="Finito senza sblocco ritenute")),"RITENUTE DA SBLOCCARE; ","")&amp;IF(AND($BA223&gt;0,$BO223&gt;0,$BP223=0),"COSTI DIRETTI NON REGISTRATI; ","")&amp;IF(AND(OR($I223="Finito ritenute non previste",$I223="Finito con sblocco ritenute",$I223="Finito senza sblocco ritenute"),$W223&gt;0,$N223&gt;$W223*PARAMETRI!$B$9),"CANTIERE FINITO CON RESIDUO LAVORI; ","")&amp;IF(AND(OR($I223="Finito ritenute non previste",$I223="Finito con sblocco ritenute",$I223="Finito senza sblocco ritenute"),ANAGRAFICA!$K220=""),"DATA FINE EFFETTIVA MANCANTE; ","")&amp;IF(OR(AND(ANAGRAFICA!$T220&lt;&gt;"",ANAGRAFICA!$J220&lt;&gt;ANAGRAFICA!$T220,OR(ANAGRAFICA!$R220="",ANAGRAFICA!$R220="Nessuna variazione")),AND(ANAGRAFICA!$J220="",ANAGRAFICA!$R220&lt;&gt;"",ANAGRAFICA!$R220&lt;&gt;"Nessuna variazione")),"GESTIONE DATA FINE INCOMPLETA; ","")&amp;IF($Y223="","AGGIORNATO AL MANCANTE; ","")&amp;IF(OR($AZ223="",$BJ223="",$BO223="",ANAGRAFICA!$I220="",ANAGRAFICA!$J220=""),"DATI PREVISIONALI INCOMPLETI; ","")&amp;IF(LEFT($C223,5)="TEMP","CODICE COMMESSA TEMPORANEO; ","")),"DATI INCOMPLETI; ")</f>
        <v/>
      </c>
      <c r="C223" s="17" t="str">
        <f>IF(ANAGRAFICA!$B220="","",ANAGRAFICA!$B220)</f>
        <v/>
      </c>
      <c r="D223" s="17" t="str">
        <f>IF($C223="","",ANAGRAFICA!$C220)</f>
        <v/>
      </c>
      <c r="E223" s="17" t="str">
        <f>IF($C223="","",ANAGRAFICA!$D220)</f>
        <v/>
      </c>
      <c r="F223" s="17" t="str">
        <f>IF($C223="","",ANAGRAFICA!$E220)</f>
        <v/>
      </c>
      <c r="G223" s="17" t="str">
        <f>IF($C223="","",ANAGRAFICA!$F220)</f>
        <v/>
      </c>
      <c r="H223" s="17" t="str">
        <f>IF($C223="","",ANAGRAFICA!$G220)</f>
        <v/>
      </c>
      <c r="I223" s="17" t="str">
        <f>IF($C223="","",ANAGRAFICA!$L220)</f>
        <v/>
      </c>
      <c r="J223" s="16" t="str">
        <f t="shared" si="73"/>
        <v/>
      </c>
      <c r="K223" s="16" t="str">
        <f t="shared" si="74"/>
        <v/>
      </c>
      <c r="L223" s="16" t="str">
        <f t="shared" si="75"/>
        <v/>
      </c>
      <c r="M223" s="16" t="str">
        <f t="shared" si="76"/>
        <v/>
      </c>
      <c r="N223" s="16" t="str">
        <f t="shared" si="77"/>
        <v/>
      </c>
      <c r="O223" s="16" t="str">
        <f t="shared" si="78"/>
        <v/>
      </c>
      <c r="P223" s="17" t="str">
        <f t="shared" si="79"/>
        <v/>
      </c>
      <c r="Q223" s="31" t="str">
        <f>IF(OR($C223="",'BUDGET COMMESSA'!$D220="",'BUDGET COMMESSA'!$D220&lt;=0,ANAGRAFICA!$J220=""),"",IF(OR($I223="Finito ritenute non previste",$I223="Finito con sblocco ritenute",$I223="Finito senza sblocco ritenute"),0,IF(AND($BK223&gt;=$BJ223,ANAGRAFICA!$R220="Ritardo produttivo FIDA"),IF(ANAGRAFICA!$T220&lt;&gt;"",MAX(0,ANAGRAFICA!$J220-ANAGRAFICA!$T220),MAX(0,$Y223-ANAGRAFICA!$J220)),0)))</f>
        <v/>
      </c>
      <c r="R223" s="17" t="str">
        <f t="shared" si="80"/>
        <v/>
      </c>
      <c r="S223" s="17" t="str">
        <f t="shared" si="81"/>
        <v/>
      </c>
      <c r="T223" s="17" t="str">
        <f t="shared" si="82"/>
        <v/>
      </c>
      <c r="U223" s="16" t="str">
        <f t="shared" si="83"/>
        <v/>
      </c>
      <c r="V223" s="16" t="str">
        <f t="shared" si="84"/>
        <v/>
      </c>
      <c r="W223" s="16" t="str">
        <f t="shared" si="85"/>
        <v/>
      </c>
      <c r="X223" s="40"/>
      <c r="Y223" s="14"/>
      <c r="AZ223" t="str">
        <f>IF($C223="","",ANAGRAFICA!$P220)</f>
        <v/>
      </c>
      <c r="BA223" t="str">
        <f>IF($C223="","",SUMIF('MOVIMENTI 2026'!$B$7:$B$4206,$C223,'MOVIMENTI 2026'!$I$7:$I$4206)+SUMIF('SALDI AL 31.12.2025'!$A$6:$A$505,$C223,'SALDI AL 31.12.2025'!$C$6:$C$505))</f>
        <v/>
      </c>
      <c r="BB223" t="str">
        <f>IF($C223="","",SUMIF('MOVIMENTI 2026'!$B$7:$B$4206,$C223,'MOVIMENTI 2026'!$J$7:$J$4206)+SUMIF('SALDI AL 31.12.2025'!$A$6:$A$505,$C223,'SALDI AL 31.12.2025'!$D$6:$D$505))</f>
        <v/>
      </c>
      <c r="BC223" t="str">
        <f>IF($C223="","",SUMIF('MOVIMENTI 2026'!$B$7:$B$4206,$C223,'MOVIMENTI 2026'!$K$7:$K$4206)+SUMIF('SALDI AL 31.12.2025'!$A$6:$A$505,$C223,'SALDI AL 31.12.2025'!$E$6:$E$505))</f>
        <v/>
      </c>
      <c r="BD223" t="str">
        <f>IF($C223="","",SUMIF('MOVIMENTI 2026'!$B$7:$B$4206,$C223,'MOVIMENTI 2026'!$L$7:$L$4206)+SUMIF('SALDI AL 31.12.2025'!$A$6:$A$505,$C223,'SALDI AL 31.12.2025'!$F$6:$F$505))</f>
        <v/>
      </c>
      <c r="BE223" t="str">
        <f t="shared" si="86"/>
        <v/>
      </c>
      <c r="BF223" t="str">
        <f t="shared" si="87"/>
        <v/>
      </c>
      <c r="BG223" t="str">
        <f t="shared" si="88"/>
        <v/>
      </c>
      <c r="BH223" t="str">
        <f>IFERROR(IF(OR($C223="",ANAGRAFICA!$I220="",ANAGRAFICA!$J220="",ANAGRAFICA!$J220&lt;=ANAGRAFICA!$I220,$Y223=""),"",IF(OR($I223="Finito ritenute non previste",$I223="Finito con sblocco ritenute",$I223="Finito senza sblocco ritenute"),1,MAX(0,MIN(1,($Y223-ANAGRAFICA!$I220)/(ANAGRAFICA!$J220-ANAGRAFICA!$I220))))),"")</f>
        <v/>
      </c>
      <c r="BI223" t="str">
        <f t="shared" si="89"/>
        <v/>
      </c>
      <c r="BJ223" t="str">
        <f>IFERROR(IF($C223="","",'BUDGET COMMESSA'!$D220),"")</f>
        <v/>
      </c>
      <c r="BK223" t="str">
        <f>IF($C223="","",SUMIF('MOVIMENTI 2026'!$B$7:$B$4206,$C223,'MOVIMENTI 2026'!$N$7:$N$4206)+SUMIF('SALDI AL 31.12.2025'!$A$6:$A$505,$C223,'SALDI AL 31.12.2025'!$H$6:$H$505))</f>
        <v/>
      </c>
      <c r="BL223" t="str">
        <f t="shared" si="90"/>
        <v/>
      </c>
      <c r="BM223" t="str">
        <f t="shared" si="91"/>
        <v/>
      </c>
      <c r="BN223" t="str">
        <f t="shared" si="92"/>
        <v/>
      </c>
      <c r="BO223" t="str">
        <f>IFERROR(IF($C223="","",'BUDGET COMMESSA'!$G220),"")</f>
        <v/>
      </c>
      <c r="BP223" t="str">
        <f>IF($C223="","",SUMIF('COSTI DIRETTI'!$C$6:$C$505,$C223,'COSTI DIRETTI'!$H$6:$H$505)+SUMIF('SALDI AL 31.12.2025'!$A$6:$A$505,$C223,'SALDI AL 31.12.2025'!$I$6:$I$505))</f>
        <v/>
      </c>
      <c r="BQ223" t="str">
        <f t="shared" si="93"/>
        <v/>
      </c>
      <c r="BR223" t="str">
        <f t="shared" si="94"/>
        <v/>
      </c>
      <c r="BS223" t="str">
        <f>IF($C223="","",$BK223*PARAMETRI!$B$4+$BP223)</f>
        <v/>
      </c>
      <c r="BT223">
        <f t="shared" si="95"/>
        <v>0</v>
      </c>
      <c r="BU223">
        <f t="shared" si="96"/>
        <v>0</v>
      </c>
      <c r="BV223" t="str">
        <f>IF($C223="","",SUMIF('MOVIMENTI 2026'!$B$7:$B$4206,$C223,'MOVIMENTI 2026'!$P$7:$P$4206)+SUMIF('SALDI AL 31.12.2025'!$A$6:$A$505,$C223,'SALDI AL 31.12.2025'!$G$6:$G$505))</f>
        <v/>
      </c>
    </row>
    <row r="224" spans="1:74" ht="16" x14ac:dyDescent="0.15">
      <c r="A224" s="17" t="str">
        <f>IFERROR(IF($C224="","",IF(OR($BF224&gt;0,$V224&gt;$J224,AND(ISNUMBER($Q224),$Q224&gt;0),AND($BI224&lt;&gt;"",$BI224&lt;-PARAMETRI!$B$6),AND($BM224&lt;&gt;"",$BM224&gt;=1),AND($BN224&lt;&gt;"",$BN224&gt;PARAMETRI!$B$8),AND(ISNUMBER($BR224),$BR224&gt;0)),"CRITICO",IF(OR($AZ224="",LEFT($C224,5)="TEMP",$BJ224="",$BO224="",ANAGRAFICA!$I221="",ANAGRAFICA!$J221="",$Y224="",AND(OR($I224="Finito ritenute non previste",$I224="Finito con sblocco ritenute",$I224="Finito senza sblocco ritenute"),ANAGRAFICA!$K221=""),OR(AND(ANAGRAFICA!$T221&lt;&gt;"",ANAGRAFICA!$J221&lt;&gt;ANAGRAFICA!$T221,OR(ANAGRAFICA!$R221="",ANAGRAFICA!$R221="Nessuna variazione")),AND(ANAGRAFICA!$J221="",ANAGRAFICA!$R221&lt;&gt;"",ANAGRAFICA!$R221&lt;&gt;"Nessuna variazione")),AND($BI224&lt;&gt;"",$BI224&lt;-PARAMETRI!$B$5),AND($BN224&lt;&gt;"",$BN224&gt;PARAMETRI!$B$7),AND($W224&gt;0,$M224&gt;$W224*PARAMETRI!$B$9),AND($O224&gt;0,OR($I224="Finito ritenute non previste",$I224="Finito con sblocco ritenute",$I224="Finito senza sblocco ritenute")),AND($BA224&gt;0,$BO224&gt;0,$BP224=0),AND(OR($I224="Finito ritenute non previste",$I224="Finito con sblocco ritenute",$I224="Finito senza sblocco ritenute"),$W224&gt;0,$N224&gt;$W224*PARAMETRI!$B$9),$V224&gt;0),"ATTENZIONE","REGOLARE"))),"ATTENZIONE")</f>
        <v/>
      </c>
      <c r="B224" s="17" t="str">
        <f>IFERROR(IF($C224="","",IF($BF224&gt;0,"FATTURATO OLTRE VALORE RECUPERABILE; ","")&amp;IF($V224&gt;$J224,"PERDITE ACCETTATE OLTRE CONTRATTO; ","")&amp;IF($V224&gt;0,"PERDITA SAL ACCETTATA (€ "&amp;TEXT($V224,"#,##0.00")&amp;"); ","")&amp;IF(AND(ISNUMBER($Q224),$Q224&gt;0),"RITARDO PRODUTTIVO ("&amp;TEXT($Q224,"0")&amp;" GG); ","")&amp;IF(AND($BI224&lt;&gt;"",$BI224&lt;-PARAMETRI!$B$5),"AVANZAMENTO PIÙ LENTO DEL TEMPO; ","")&amp;IF(AND($BM224&lt;&gt;"",$BM224&gt;1),"ORE OLTRE BUDGET; ","")&amp;IF(AND($BM224&lt;&gt;"",$BM224=1),"ORE PREVENTIVATE ESAURITE; ","")&amp;IF(AND($BN224&lt;&gt;"",$BN224&gt;PARAMETRI!$B$7),"CONSUMO ORE SUPERIORE ALL'AVANZAMENTO; ","")&amp;IF(AND(ISNUMBER($BR224),$BR224&gt;0),"COSTI DIRETTI OLTRE BUDGET; ","")&amp;IF(AND($W224&gt;0,$M224&gt;$W224*PARAMETRI!$B$9),"SAL MATURATO NON FATTURATO; ","")&amp;IF(AND($O224&gt;0,OR($I224="Finito ritenute non previste",$I224="Finito con sblocco ritenute",$I224="Finito senza sblocco ritenute")),"RITENUTE DA SBLOCCARE; ","")&amp;IF(AND($BA224&gt;0,$BO224&gt;0,$BP224=0),"COSTI DIRETTI NON REGISTRATI; ","")&amp;IF(AND(OR($I224="Finito ritenute non previste",$I224="Finito con sblocco ritenute",$I224="Finito senza sblocco ritenute"),$W224&gt;0,$N224&gt;$W224*PARAMETRI!$B$9),"CANTIERE FINITO CON RESIDUO LAVORI; ","")&amp;IF(AND(OR($I224="Finito ritenute non previste",$I224="Finito con sblocco ritenute",$I224="Finito senza sblocco ritenute"),ANAGRAFICA!$K221=""),"DATA FINE EFFETTIVA MANCANTE; ","")&amp;IF(OR(AND(ANAGRAFICA!$T221&lt;&gt;"",ANAGRAFICA!$J221&lt;&gt;ANAGRAFICA!$T221,OR(ANAGRAFICA!$R221="",ANAGRAFICA!$R221="Nessuna variazione")),AND(ANAGRAFICA!$J221="",ANAGRAFICA!$R221&lt;&gt;"",ANAGRAFICA!$R221&lt;&gt;"Nessuna variazione")),"GESTIONE DATA FINE INCOMPLETA; ","")&amp;IF($Y224="","AGGIORNATO AL MANCANTE; ","")&amp;IF(OR($AZ224="",$BJ224="",$BO224="",ANAGRAFICA!$I221="",ANAGRAFICA!$J221=""),"DATI PREVISIONALI INCOMPLETI; ","")&amp;IF(LEFT($C224,5)="TEMP","CODICE COMMESSA TEMPORANEO; ","")),"DATI INCOMPLETI; ")</f>
        <v/>
      </c>
      <c r="C224" s="17" t="str">
        <f>IF(ANAGRAFICA!$B221="","",ANAGRAFICA!$B221)</f>
        <v/>
      </c>
      <c r="D224" s="17" t="str">
        <f>IF($C224="","",ANAGRAFICA!$C221)</f>
        <v/>
      </c>
      <c r="E224" s="17" t="str">
        <f>IF($C224="","",ANAGRAFICA!$D221)</f>
        <v/>
      </c>
      <c r="F224" s="17" t="str">
        <f>IF($C224="","",ANAGRAFICA!$E221)</f>
        <v/>
      </c>
      <c r="G224" s="17" t="str">
        <f>IF($C224="","",ANAGRAFICA!$F221)</f>
        <v/>
      </c>
      <c r="H224" s="17" t="str">
        <f>IF($C224="","",ANAGRAFICA!$G221)</f>
        <v/>
      </c>
      <c r="I224" s="17" t="str">
        <f>IF($C224="","",ANAGRAFICA!$L221)</f>
        <v/>
      </c>
      <c r="J224" s="16" t="str">
        <f t="shared" si="73"/>
        <v/>
      </c>
      <c r="K224" s="16" t="str">
        <f t="shared" si="74"/>
        <v/>
      </c>
      <c r="L224" s="16" t="str">
        <f t="shared" si="75"/>
        <v/>
      </c>
      <c r="M224" s="16" t="str">
        <f t="shared" si="76"/>
        <v/>
      </c>
      <c r="N224" s="16" t="str">
        <f t="shared" si="77"/>
        <v/>
      </c>
      <c r="O224" s="16" t="str">
        <f t="shared" si="78"/>
        <v/>
      </c>
      <c r="P224" s="17" t="str">
        <f t="shared" si="79"/>
        <v/>
      </c>
      <c r="Q224" s="31" t="str">
        <f>IF(OR($C224="",'BUDGET COMMESSA'!$D221="",'BUDGET COMMESSA'!$D221&lt;=0,ANAGRAFICA!$J221=""),"",IF(OR($I224="Finito ritenute non previste",$I224="Finito con sblocco ritenute",$I224="Finito senza sblocco ritenute"),0,IF(AND($BK224&gt;=$BJ224,ANAGRAFICA!$R221="Ritardo produttivo FIDA"),IF(ANAGRAFICA!$T221&lt;&gt;"",MAX(0,ANAGRAFICA!$J221-ANAGRAFICA!$T221),MAX(0,$Y224-ANAGRAFICA!$J221)),0)))</f>
        <v/>
      </c>
      <c r="R224" s="17" t="str">
        <f t="shared" si="80"/>
        <v/>
      </c>
      <c r="S224" s="17" t="str">
        <f t="shared" si="81"/>
        <v/>
      </c>
      <c r="T224" s="17" t="str">
        <f t="shared" si="82"/>
        <v/>
      </c>
      <c r="U224" s="16" t="str">
        <f t="shared" si="83"/>
        <v/>
      </c>
      <c r="V224" s="16" t="str">
        <f t="shared" si="84"/>
        <v/>
      </c>
      <c r="W224" s="16" t="str">
        <f t="shared" si="85"/>
        <v/>
      </c>
      <c r="X224" s="40"/>
      <c r="Y224" s="14"/>
      <c r="AZ224" t="str">
        <f>IF($C224="","",ANAGRAFICA!$P221)</f>
        <v/>
      </c>
      <c r="BA224" t="str">
        <f>IF($C224="","",SUMIF('MOVIMENTI 2026'!$B$7:$B$4206,$C224,'MOVIMENTI 2026'!$I$7:$I$4206)+SUMIF('SALDI AL 31.12.2025'!$A$6:$A$505,$C224,'SALDI AL 31.12.2025'!$C$6:$C$505))</f>
        <v/>
      </c>
      <c r="BB224" t="str">
        <f>IF($C224="","",SUMIF('MOVIMENTI 2026'!$B$7:$B$4206,$C224,'MOVIMENTI 2026'!$J$7:$J$4206)+SUMIF('SALDI AL 31.12.2025'!$A$6:$A$505,$C224,'SALDI AL 31.12.2025'!$D$6:$D$505))</f>
        <v/>
      </c>
      <c r="BC224" t="str">
        <f>IF($C224="","",SUMIF('MOVIMENTI 2026'!$B$7:$B$4206,$C224,'MOVIMENTI 2026'!$K$7:$K$4206)+SUMIF('SALDI AL 31.12.2025'!$A$6:$A$505,$C224,'SALDI AL 31.12.2025'!$E$6:$E$505))</f>
        <v/>
      </c>
      <c r="BD224" t="str">
        <f>IF($C224="","",SUMIF('MOVIMENTI 2026'!$B$7:$B$4206,$C224,'MOVIMENTI 2026'!$L$7:$L$4206)+SUMIF('SALDI AL 31.12.2025'!$A$6:$A$505,$C224,'SALDI AL 31.12.2025'!$F$6:$F$505))</f>
        <v/>
      </c>
      <c r="BE224" t="str">
        <f t="shared" si="86"/>
        <v/>
      </c>
      <c r="BF224" t="str">
        <f t="shared" si="87"/>
        <v/>
      </c>
      <c r="BG224" t="str">
        <f t="shared" si="88"/>
        <v/>
      </c>
      <c r="BH224" t="str">
        <f>IFERROR(IF(OR($C224="",ANAGRAFICA!$I221="",ANAGRAFICA!$J221="",ANAGRAFICA!$J221&lt;=ANAGRAFICA!$I221,$Y224=""),"",IF(OR($I224="Finito ritenute non previste",$I224="Finito con sblocco ritenute",$I224="Finito senza sblocco ritenute"),1,MAX(0,MIN(1,($Y224-ANAGRAFICA!$I221)/(ANAGRAFICA!$J221-ANAGRAFICA!$I221))))),"")</f>
        <v/>
      </c>
      <c r="BI224" t="str">
        <f t="shared" si="89"/>
        <v/>
      </c>
      <c r="BJ224" t="str">
        <f>IFERROR(IF($C224="","",'BUDGET COMMESSA'!$D221),"")</f>
        <v/>
      </c>
      <c r="BK224" t="str">
        <f>IF($C224="","",SUMIF('MOVIMENTI 2026'!$B$7:$B$4206,$C224,'MOVIMENTI 2026'!$N$7:$N$4206)+SUMIF('SALDI AL 31.12.2025'!$A$6:$A$505,$C224,'SALDI AL 31.12.2025'!$H$6:$H$505))</f>
        <v/>
      </c>
      <c r="BL224" t="str">
        <f t="shared" si="90"/>
        <v/>
      </c>
      <c r="BM224" t="str">
        <f t="shared" si="91"/>
        <v/>
      </c>
      <c r="BN224" t="str">
        <f t="shared" si="92"/>
        <v/>
      </c>
      <c r="BO224" t="str">
        <f>IFERROR(IF($C224="","",'BUDGET COMMESSA'!$G221),"")</f>
        <v/>
      </c>
      <c r="BP224" t="str">
        <f>IF($C224="","",SUMIF('COSTI DIRETTI'!$C$6:$C$505,$C224,'COSTI DIRETTI'!$H$6:$H$505)+SUMIF('SALDI AL 31.12.2025'!$A$6:$A$505,$C224,'SALDI AL 31.12.2025'!$I$6:$I$505))</f>
        <v/>
      </c>
      <c r="BQ224" t="str">
        <f t="shared" si="93"/>
        <v/>
      </c>
      <c r="BR224" t="str">
        <f t="shared" si="94"/>
        <v/>
      </c>
      <c r="BS224" t="str">
        <f>IF($C224="","",$BK224*PARAMETRI!$B$4+$BP224)</f>
        <v/>
      </c>
      <c r="BT224">
        <f t="shared" si="95"/>
        <v>0</v>
      </c>
      <c r="BU224">
        <f t="shared" si="96"/>
        <v>0</v>
      </c>
      <c r="BV224" t="str">
        <f>IF($C224="","",SUMIF('MOVIMENTI 2026'!$B$7:$B$4206,$C224,'MOVIMENTI 2026'!$P$7:$P$4206)+SUMIF('SALDI AL 31.12.2025'!$A$6:$A$505,$C224,'SALDI AL 31.12.2025'!$G$6:$G$505))</f>
        <v/>
      </c>
    </row>
    <row r="225" spans="1:74" ht="16" x14ac:dyDescent="0.15">
      <c r="A225" s="17" t="str">
        <f>IFERROR(IF($C225="","",IF(OR($BF225&gt;0,$V225&gt;$J225,AND(ISNUMBER($Q225),$Q225&gt;0),AND($BI225&lt;&gt;"",$BI225&lt;-PARAMETRI!$B$6),AND($BM225&lt;&gt;"",$BM225&gt;=1),AND($BN225&lt;&gt;"",$BN225&gt;PARAMETRI!$B$8),AND(ISNUMBER($BR225),$BR225&gt;0)),"CRITICO",IF(OR($AZ225="",LEFT($C225,5)="TEMP",$BJ225="",$BO225="",ANAGRAFICA!$I222="",ANAGRAFICA!$J222="",$Y225="",AND(OR($I225="Finito ritenute non previste",$I225="Finito con sblocco ritenute",$I225="Finito senza sblocco ritenute"),ANAGRAFICA!$K222=""),OR(AND(ANAGRAFICA!$T222&lt;&gt;"",ANAGRAFICA!$J222&lt;&gt;ANAGRAFICA!$T222,OR(ANAGRAFICA!$R222="",ANAGRAFICA!$R222="Nessuna variazione")),AND(ANAGRAFICA!$J222="",ANAGRAFICA!$R222&lt;&gt;"",ANAGRAFICA!$R222&lt;&gt;"Nessuna variazione")),AND($BI225&lt;&gt;"",$BI225&lt;-PARAMETRI!$B$5),AND($BN225&lt;&gt;"",$BN225&gt;PARAMETRI!$B$7),AND($W225&gt;0,$M225&gt;$W225*PARAMETRI!$B$9),AND($O225&gt;0,OR($I225="Finito ritenute non previste",$I225="Finito con sblocco ritenute",$I225="Finito senza sblocco ritenute")),AND($BA225&gt;0,$BO225&gt;0,$BP225=0),AND(OR($I225="Finito ritenute non previste",$I225="Finito con sblocco ritenute",$I225="Finito senza sblocco ritenute"),$W225&gt;0,$N225&gt;$W225*PARAMETRI!$B$9),$V225&gt;0),"ATTENZIONE","REGOLARE"))),"ATTENZIONE")</f>
        <v/>
      </c>
      <c r="B225" s="17" t="str">
        <f>IFERROR(IF($C225="","",IF($BF225&gt;0,"FATTURATO OLTRE VALORE RECUPERABILE; ","")&amp;IF($V225&gt;$J225,"PERDITE ACCETTATE OLTRE CONTRATTO; ","")&amp;IF($V225&gt;0,"PERDITA SAL ACCETTATA (€ "&amp;TEXT($V225,"#,##0.00")&amp;"); ","")&amp;IF(AND(ISNUMBER($Q225),$Q225&gt;0),"RITARDO PRODUTTIVO ("&amp;TEXT($Q225,"0")&amp;" GG); ","")&amp;IF(AND($BI225&lt;&gt;"",$BI225&lt;-PARAMETRI!$B$5),"AVANZAMENTO PIÙ LENTO DEL TEMPO; ","")&amp;IF(AND($BM225&lt;&gt;"",$BM225&gt;1),"ORE OLTRE BUDGET; ","")&amp;IF(AND($BM225&lt;&gt;"",$BM225=1),"ORE PREVENTIVATE ESAURITE; ","")&amp;IF(AND($BN225&lt;&gt;"",$BN225&gt;PARAMETRI!$B$7),"CONSUMO ORE SUPERIORE ALL'AVANZAMENTO; ","")&amp;IF(AND(ISNUMBER($BR225),$BR225&gt;0),"COSTI DIRETTI OLTRE BUDGET; ","")&amp;IF(AND($W225&gt;0,$M225&gt;$W225*PARAMETRI!$B$9),"SAL MATURATO NON FATTURATO; ","")&amp;IF(AND($O225&gt;0,OR($I225="Finito ritenute non previste",$I225="Finito con sblocco ritenute",$I225="Finito senza sblocco ritenute")),"RITENUTE DA SBLOCCARE; ","")&amp;IF(AND($BA225&gt;0,$BO225&gt;0,$BP225=0),"COSTI DIRETTI NON REGISTRATI; ","")&amp;IF(AND(OR($I225="Finito ritenute non previste",$I225="Finito con sblocco ritenute",$I225="Finito senza sblocco ritenute"),$W225&gt;0,$N225&gt;$W225*PARAMETRI!$B$9),"CANTIERE FINITO CON RESIDUO LAVORI; ","")&amp;IF(AND(OR($I225="Finito ritenute non previste",$I225="Finito con sblocco ritenute",$I225="Finito senza sblocco ritenute"),ANAGRAFICA!$K222=""),"DATA FINE EFFETTIVA MANCANTE; ","")&amp;IF(OR(AND(ANAGRAFICA!$T222&lt;&gt;"",ANAGRAFICA!$J222&lt;&gt;ANAGRAFICA!$T222,OR(ANAGRAFICA!$R222="",ANAGRAFICA!$R222="Nessuna variazione")),AND(ANAGRAFICA!$J222="",ANAGRAFICA!$R222&lt;&gt;"",ANAGRAFICA!$R222&lt;&gt;"Nessuna variazione")),"GESTIONE DATA FINE INCOMPLETA; ","")&amp;IF($Y225="","AGGIORNATO AL MANCANTE; ","")&amp;IF(OR($AZ225="",$BJ225="",$BO225="",ANAGRAFICA!$I222="",ANAGRAFICA!$J222=""),"DATI PREVISIONALI INCOMPLETI; ","")&amp;IF(LEFT($C225,5)="TEMP","CODICE COMMESSA TEMPORANEO; ","")),"DATI INCOMPLETI; ")</f>
        <v/>
      </c>
      <c r="C225" s="17" t="str">
        <f>IF(ANAGRAFICA!$B222="","",ANAGRAFICA!$B222)</f>
        <v/>
      </c>
      <c r="D225" s="17" t="str">
        <f>IF($C225="","",ANAGRAFICA!$C222)</f>
        <v/>
      </c>
      <c r="E225" s="17" t="str">
        <f>IF($C225="","",ANAGRAFICA!$D222)</f>
        <v/>
      </c>
      <c r="F225" s="17" t="str">
        <f>IF($C225="","",ANAGRAFICA!$E222)</f>
        <v/>
      </c>
      <c r="G225" s="17" t="str">
        <f>IF($C225="","",ANAGRAFICA!$F222)</f>
        <v/>
      </c>
      <c r="H225" s="17" t="str">
        <f>IF($C225="","",ANAGRAFICA!$G222)</f>
        <v/>
      </c>
      <c r="I225" s="17" t="str">
        <f>IF($C225="","",ANAGRAFICA!$L222)</f>
        <v/>
      </c>
      <c r="J225" s="16" t="str">
        <f t="shared" si="73"/>
        <v/>
      </c>
      <c r="K225" s="16" t="str">
        <f t="shared" si="74"/>
        <v/>
      </c>
      <c r="L225" s="16" t="str">
        <f t="shared" si="75"/>
        <v/>
      </c>
      <c r="M225" s="16" t="str">
        <f t="shared" si="76"/>
        <v/>
      </c>
      <c r="N225" s="16" t="str">
        <f t="shared" si="77"/>
        <v/>
      </c>
      <c r="O225" s="16" t="str">
        <f t="shared" si="78"/>
        <v/>
      </c>
      <c r="P225" s="17" t="str">
        <f t="shared" si="79"/>
        <v/>
      </c>
      <c r="Q225" s="31" t="str">
        <f>IF(OR($C225="",'BUDGET COMMESSA'!$D222="",'BUDGET COMMESSA'!$D222&lt;=0,ANAGRAFICA!$J222=""),"",IF(OR($I225="Finito ritenute non previste",$I225="Finito con sblocco ritenute",$I225="Finito senza sblocco ritenute"),0,IF(AND($BK225&gt;=$BJ225,ANAGRAFICA!$R222="Ritardo produttivo FIDA"),IF(ANAGRAFICA!$T222&lt;&gt;"",MAX(0,ANAGRAFICA!$J222-ANAGRAFICA!$T222),MAX(0,$Y225-ANAGRAFICA!$J222)),0)))</f>
        <v/>
      </c>
      <c r="R225" s="17" t="str">
        <f t="shared" si="80"/>
        <v/>
      </c>
      <c r="S225" s="17" t="str">
        <f t="shared" si="81"/>
        <v/>
      </c>
      <c r="T225" s="17" t="str">
        <f t="shared" si="82"/>
        <v/>
      </c>
      <c r="U225" s="16" t="str">
        <f t="shared" si="83"/>
        <v/>
      </c>
      <c r="V225" s="16" t="str">
        <f t="shared" si="84"/>
        <v/>
      </c>
      <c r="W225" s="16" t="str">
        <f t="shared" si="85"/>
        <v/>
      </c>
      <c r="X225" s="40"/>
      <c r="Y225" s="14"/>
      <c r="AZ225" t="str">
        <f>IF($C225="","",ANAGRAFICA!$P222)</f>
        <v/>
      </c>
      <c r="BA225" t="str">
        <f>IF($C225="","",SUMIF('MOVIMENTI 2026'!$B$7:$B$4206,$C225,'MOVIMENTI 2026'!$I$7:$I$4206)+SUMIF('SALDI AL 31.12.2025'!$A$6:$A$505,$C225,'SALDI AL 31.12.2025'!$C$6:$C$505))</f>
        <v/>
      </c>
      <c r="BB225" t="str">
        <f>IF($C225="","",SUMIF('MOVIMENTI 2026'!$B$7:$B$4206,$C225,'MOVIMENTI 2026'!$J$7:$J$4206)+SUMIF('SALDI AL 31.12.2025'!$A$6:$A$505,$C225,'SALDI AL 31.12.2025'!$D$6:$D$505))</f>
        <v/>
      </c>
      <c r="BC225" t="str">
        <f>IF($C225="","",SUMIF('MOVIMENTI 2026'!$B$7:$B$4206,$C225,'MOVIMENTI 2026'!$K$7:$K$4206)+SUMIF('SALDI AL 31.12.2025'!$A$6:$A$505,$C225,'SALDI AL 31.12.2025'!$E$6:$E$505))</f>
        <v/>
      </c>
      <c r="BD225" t="str">
        <f>IF($C225="","",SUMIF('MOVIMENTI 2026'!$B$7:$B$4206,$C225,'MOVIMENTI 2026'!$L$7:$L$4206)+SUMIF('SALDI AL 31.12.2025'!$A$6:$A$505,$C225,'SALDI AL 31.12.2025'!$F$6:$F$505))</f>
        <v/>
      </c>
      <c r="BE225" t="str">
        <f t="shared" si="86"/>
        <v/>
      </c>
      <c r="BF225" t="str">
        <f t="shared" si="87"/>
        <v/>
      </c>
      <c r="BG225" t="str">
        <f t="shared" si="88"/>
        <v/>
      </c>
      <c r="BH225" t="str">
        <f>IFERROR(IF(OR($C225="",ANAGRAFICA!$I222="",ANAGRAFICA!$J222="",ANAGRAFICA!$J222&lt;=ANAGRAFICA!$I222,$Y225=""),"",IF(OR($I225="Finito ritenute non previste",$I225="Finito con sblocco ritenute",$I225="Finito senza sblocco ritenute"),1,MAX(0,MIN(1,($Y225-ANAGRAFICA!$I222)/(ANAGRAFICA!$J222-ANAGRAFICA!$I222))))),"")</f>
        <v/>
      </c>
      <c r="BI225" t="str">
        <f t="shared" si="89"/>
        <v/>
      </c>
      <c r="BJ225" t="str">
        <f>IFERROR(IF($C225="","",'BUDGET COMMESSA'!$D222),"")</f>
        <v/>
      </c>
      <c r="BK225" t="str">
        <f>IF($C225="","",SUMIF('MOVIMENTI 2026'!$B$7:$B$4206,$C225,'MOVIMENTI 2026'!$N$7:$N$4206)+SUMIF('SALDI AL 31.12.2025'!$A$6:$A$505,$C225,'SALDI AL 31.12.2025'!$H$6:$H$505))</f>
        <v/>
      </c>
      <c r="BL225" t="str">
        <f t="shared" si="90"/>
        <v/>
      </c>
      <c r="BM225" t="str">
        <f t="shared" si="91"/>
        <v/>
      </c>
      <c r="BN225" t="str">
        <f t="shared" si="92"/>
        <v/>
      </c>
      <c r="BO225" t="str">
        <f>IFERROR(IF($C225="","",'BUDGET COMMESSA'!$G222),"")</f>
        <v/>
      </c>
      <c r="BP225" t="str">
        <f>IF($C225="","",SUMIF('COSTI DIRETTI'!$C$6:$C$505,$C225,'COSTI DIRETTI'!$H$6:$H$505)+SUMIF('SALDI AL 31.12.2025'!$A$6:$A$505,$C225,'SALDI AL 31.12.2025'!$I$6:$I$505))</f>
        <v/>
      </c>
      <c r="BQ225" t="str">
        <f t="shared" si="93"/>
        <v/>
      </c>
      <c r="BR225" t="str">
        <f t="shared" si="94"/>
        <v/>
      </c>
      <c r="BS225" t="str">
        <f>IF($C225="","",$BK225*PARAMETRI!$B$4+$BP225)</f>
        <v/>
      </c>
      <c r="BT225">
        <f t="shared" si="95"/>
        <v>0</v>
      </c>
      <c r="BU225">
        <f t="shared" si="96"/>
        <v>0</v>
      </c>
      <c r="BV225" t="str">
        <f>IF($C225="","",SUMIF('MOVIMENTI 2026'!$B$7:$B$4206,$C225,'MOVIMENTI 2026'!$P$7:$P$4206)+SUMIF('SALDI AL 31.12.2025'!$A$6:$A$505,$C225,'SALDI AL 31.12.2025'!$G$6:$G$505))</f>
        <v/>
      </c>
    </row>
    <row r="226" spans="1:74" ht="16" x14ac:dyDescent="0.15">
      <c r="A226" s="17" t="str">
        <f>IFERROR(IF($C226="","",IF(OR($BF226&gt;0,$V226&gt;$J226,AND(ISNUMBER($Q226),$Q226&gt;0),AND($BI226&lt;&gt;"",$BI226&lt;-PARAMETRI!$B$6),AND($BM226&lt;&gt;"",$BM226&gt;=1),AND($BN226&lt;&gt;"",$BN226&gt;PARAMETRI!$B$8),AND(ISNUMBER($BR226),$BR226&gt;0)),"CRITICO",IF(OR($AZ226="",LEFT($C226,5)="TEMP",$BJ226="",$BO226="",ANAGRAFICA!$I223="",ANAGRAFICA!$J223="",$Y226="",AND(OR($I226="Finito ritenute non previste",$I226="Finito con sblocco ritenute",$I226="Finito senza sblocco ritenute"),ANAGRAFICA!$K223=""),OR(AND(ANAGRAFICA!$T223&lt;&gt;"",ANAGRAFICA!$J223&lt;&gt;ANAGRAFICA!$T223,OR(ANAGRAFICA!$R223="",ANAGRAFICA!$R223="Nessuna variazione")),AND(ANAGRAFICA!$J223="",ANAGRAFICA!$R223&lt;&gt;"",ANAGRAFICA!$R223&lt;&gt;"Nessuna variazione")),AND($BI226&lt;&gt;"",$BI226&lt;-PARAMETRI!$B$5),AND($BN226&lt;&gt;"",$BN226&gt;PARAMETRI!$B$7),AND($W226&gt;0,$M226&gt;$W226*PARAMETRI!$B$9),AND($O226&gt;0,OR($I226="Finito ritenute non previste",$I226="Finito con sblocco ritenute",$I226="Finito senza sblocco ritenute")),AND($BA226&gt;0,$BO226&gt;0,$BP226=0),AND(OR($I226="Finito ritenute non previste",$I226="Finito con sblocco ritenute",$I226="Finito senza sblocco ritenute"),$W226&gt;0,$N226&gt;$W226*PARAMETRI!$B$9),$V226&gt;0),"ATTENZIONE","REGOLARE"))),"ATTENZIONE")</f>
        <v/>
      </c>
      <c r="B226" s="17" t="str">
        <f>IFERROR(IF($C226="","",IF($BF226&gt;0,"FATTURATO OLTRE VALORE RECUPERABILE; ","")&amp;IF($V226&gt;$J226,"PERDITE ACCETTATE OLTRE CONTRATTO; ","")&amp;IF($V226&gt;0,"PERDITA SAL ACCETTATA (€ "&amp;TEXT($V226,"#,##0.00")&amp;"); ","")&amp;IF(AND(ISNUMBER($Q226),$Q226&gt;0),"RITARDO PRODUTTIVO ("&amp;TEXT($Q226,"0")&amp;" GG); ","")&amp;IF(AND($BI226&lt;&gt;"",$BI226&lt;-PARAMETRI!$B$5),"AVANZAMENTO PIÙ LENTO DEL TEMPO; ","")&amp;IF(AND($BM226&lt;&gt;"",$BM226&gt;1),"ORE OLTRE BUDGET; ","")&amp;IF(AND($BM226&lt;&gt;"",$BM226=1),"ORE PREVENTIVATE ESAURITE; ","")&amp;IF(AND($BN226&lt;&gt;"",$BN226&gt;PARAMETRI!$B$7),"CONSUMO ORE SUPERIORE ALL'AVANZAMENTO; ","")&amp;IF(AND(ISNUMBER($BR226),$BR226&gt;0),"COSTI DIRETTI OLTRE BUDGET; ","")&amp;IF(AND($W226&gt;0,$M226&gt;$W226*PARAMETRI!$B$9),"SAL MATURATO NON FATTURATO; ","")&amp;IF(AND($O226&gt;0,OR($I226="Finito ritenute non previste",$I226="Finito con sblocco ritenute",$I226="Finito senza sblocco ritenute")),"RITENUTE DA SBLOCCARE; ","")&amp;IF(AND($BA226&gt;0,$BO226&gt;0,$BP226=0),"COSTI DIRETTI NON REGISTRATI; ","")&amp;IF(AND(OR($I226="Finito ritenute non previste",$I226="Finito con sblocco ritenute",$I226="Finito senza sblocco ritenute"),$W226&gt;0,$N226&gt;$W226*PARAMETRI!$B$9),"CANTIERE FINITO CON RESIDUO LAVORI; ","")&amp;IF(AND(OR($I226="Finito ritenute non previste",$I226="Finito con sblocco ritenute",$I226="Finito senza sblocco ritenute"),ANAGRAFICA!$K223=""),"DATA FINE EFFETTIVA MANCANTE; ","")&amp;IF(OR(AND(ANAGRAFICA!$T223&lt;&gt;"",ANAGRAFICA!$J223&lt;&gt;ANAGRAFICA!$T223,OR(ANAGRAFICA!$R223="",ANAGRAFICA!$R223="Nessuna variazione")),AND(ANAGRAFICA!$J223="",ANAGRAFICA!$R223&lt;&gt;"",ANAGRAFICA!$R223&lt;&gt;"Nessuna variazione")),"GESTIONE DATA FINE INCOMPLETA; ","")&amp;IF($Y226="","AGGIORNATO AL MANCANTE; ","")&amp;IF(OR($AZ226="",$BJ226="",$BO226="",ANAGRAFICA!$I223="",ANAGRAFICA!$J223=""),"DATI PREVISIONALI INCOMPLETI; ","")&amp;IF(LEFT($C226,5)="TEMP","CODICE COMMESSA TEMPORANEO; ","")),"DATI INCOMPLETI; ")</f>
        <v/>
      </c>
      <c r="C226" s="17" t="str">
        <f>IF(ANAGRAFICA!$B223="","",ANAGRAFICA!$B223)</f>
        <v/>
      </c>
      <c r="D226" s="17" t="str">
        <f>IF($C226="","",ANAGRAFICA!$C223)</f>
        <v/>
      </c>
      <c r="E226" s="17" t="str">
        <f>IF($C226="","",ANAGRAFICA!$D223)</f>
        <v/>
      </c>
      <c r="F226" s="17" t="str">
        <f>IF($C226="","",ANAGRAFICA!$E223)</f>
        <v/>
      </c>
      <c r="G226" s="17" t="str">
        <f>IF($C226="","",ANAGRAFICA!$F223)</f>
        <v/>
      </c>
      <c r="H226" s="17" t="str">
        <f>IF($C226="","",ANAGRAFICA!$G223)</f>
        <v/>
      </c>
      <c r="I226" s="17" t="str">
        <f>IF($C226="","",ANAGRAFICA!$L223)</f>
        <v/>
      </c>
      <c r="J226" s="16" t="str">
        <f t="shared" si="73"/>
        <v/>
      </c>
      <c r="K226" s="16" t="str">
        <f t="shared" si="74"/>
        <v/>
      </c>
      <c r="L226" s="16" t="str">
        <f t="shared" si="75"/>
        <v/>
      </c>
      <c r="M226" s="16" t="str">
        <f t="shared" si="76"/>
        <v/>
      </c>
      <c r="N226" s="16" t="str">
        <f t="shared" si="77"/>
        <v/>
      </c>
      <c r="O226" s="16" t="str">
        <f t="shared" si="78"/>
        <v/>
      </c>
      <c r="P226" s="17" t="str">
        <f t="shared" si="79"/>
        <v/>
      </c>
      <c r="Q226" s="31" t="str">
        <f>IF(OR($C226="",'BUDGET COMMESSA'!$D223="",'BUDGET COMMESSA'!$D223&lt;=0,ANAGRAFICA!$J223=""),"",IF(OR($I226="Finito ritenute non previste",$I226="Finito con sblocco ritenute",$I226="Finito senza sblocco ritenute"),0,IF(AND($BK226&gt;=$BJ226,ANAGRAFICA!$R223="Ritardo produttivo FIDA"),IF(ANAGRAFICA!$T223&lt;&gt;"",MAX(0,ANAGRAFICA!$J223-ANAGRAFICA!$T223),MAX(0,$Y226-ANAGRAFICA!$J223)),0)))</f>
        <v/>
      </c>
      <c r="R226" s="17" t="str">
        <f t="shared" si="80"/>
        <v/>
      </c>
      <c r="S226" s="17" t="str">
        <f t="shared" si="81"/>
        <v/>
      </c>
      <c r="T226" s="17" t="str">
        <f t="shared" si="82"/>
        <v/>
      </c>
      <c r="U226" s="16" t="str">
        <f t="shared" si="83"/>
        <v/>
      </c>
      <c r="V226" s="16" t="str">
        <f t="shared" si="84"/>
        <v/>
      </c>
      <c r="W226" s="16" t="str">
        <f t="shared" si="85"/>
        <v/>
      </c>
      <c r="X226" s="40"/>
      <c r="Y226" s="14"/>
      <c r="AZ226" t="str">
        <f>IF($C226="","",ANAGRAFICA!$P223)</f>
        <v/>
      </c>
      <c r="BA226" t="str">
        <f>IF($C226="","",SUMIF('MOVIMENTI 2026'!$B$7:$B$4206,$C226,'MOVIMENTI 2026'!$I$7:$I$4206)+SUMIF('SALDI AL 31.12.2025'!$A$6:$A$505,$C226,'SALDI AL 31.12.2025'!$C$6:$C$505))</f>
        <v/>
      </c>
      <c r="BB226" t="str">
        <f>IF($C226="","",SUMIF('MOVIMENTI 2026'!$B$7:$B$4206,$C226,'MOVIMENTI 2026'!$J$7:$J$4206)+SUMIF('SALDI AL 31.12.2025'!$A$6:$A$505,$C226,'SALDI AL 31.12.2025'!$D$6:$D$505))</f>
        <v/>
      </c>
      <c r="BC226" t="str">
        <f>IF($C226="","",SUMIF('MOVIMENTI 2026'!$B$7:$B$4206,$C226,'MOVIMENTI 2026'!$K$7:$K$4206)+SUMIF('SALDI AL 31.12.2025'!$A$6:$A$505,$C226,'SALDI AL 31.12.2025'!$E$6:$E$505))</f>
        <v/>
      </c>
      <c r="BD226" t="str">
        <f>IF($C226="","",SUMIF('MOVIMENTI 2026'!$B$7:$B$4206,$C226,'MOVIMENTI 2026'!$L$7:$L$4206)+SUMIF('SALDI AL 31.12.2025'!$A$6:$A$505,$C226,'SALDI AL 31.12.2025'!$F$6:$F$505))</f>
        <v/>
      </c>
      <c r="BE226" t="str">
        <f t="shared" si="86"/>
        <v/>
      </c>
      <c r="BF226" t="str">
        <f t="shared" si="87"/>
        <v/>
      </c>
      <c r="BG226" t="str">
        <f t="shared" si="88"/>
        <v/>
      </c>
      <c r="BH226" t="str">
        <f>IFERROR(IF(OR($C226="",ANAGRAFICA!$I223="",ANAGRAFICA!$J223="",ANAGRAFICA!$J223&lt;=ANAGRAFICA!$I223,$Y226=""),"",IF(OR($I226="Finito ritenute non previste",$I226="Finito con sblocco ritenute",$I226="Finito senza sblocco ritenute"),1,MAX(0,MIN(1,($Y226-ANAGRAFICA!$I223)/(ANAGRAFICA!$J223-ANAGRAFICA!$I223))))),"")</f>
        <v/>
      </c>
      <c r="BI226" t="str">
        <f t="shared" si="89"/>
        <v/>
      </c>
      <c r="BJ226" t="str">
        <f>IFERROR(IF($C226="","",'BUDGET COMMESSA'!$D223),"")</f>
        <v/>
      </c>
      <c r="BK226" t="str">
        <f>IF($C226="","",SUMIF('MOVIMENTI 2026'!$B$7:$B$4206,$C226,'MOVIMENTI 2026'!$N$7:$N$4206)+SUMIF('SALDI AL 31.12.2025'!$A$6:$A$505,$C226,'SALDI AL 31.12.2025'!$H$6:$H$505))</f>
        <v/>
      </c>
      <c r="BL226" t="str">
        <f t="shared" si="90"/>
        <v/>
      </c>
      <c r="BM226" t="str">
        <f t="shared" si="91"/>
        <v/>
      </c>
      <c r="BN226" t="str">
        <f t="shared" si="92"/>
        <v/>
      </c>
      <c r="BO226" t="str">
        <f>IFERROR(IF($C226="","",'BUDGET COMMESSA'!$G223),"")</f>
        <v/>
      </c>
      <c r="BP226" t="str">
        <f>IF($C226="","",SUMIF('COSTI DIRETTI'!$C$6:$C$505,$C226,'COSTI DIRETTI'!$H$6:$H$505)+SUMIF('SALDI AL 31.12.2025'!$A$6:$A$505,$C226,'SALDI AL 31.12.2025'!$I$6:$I$505))</f>
        <v/>
      </c>
      <c r="BQ226" t="str">
        <f t="shared" si="93"/>
        <v/>
      </c>
      <c r="BR226" t="str">
        <f t="shared" si="94"/>
        <v/>
      </c>
      <c r="BS226" t="str">
        <f>IF($C226="","",$BK226*PARAMETRI!$B$4+$BP226)</f>
        <v/>
      </c>
      <c r="BT226">
        <f t="shared" si="95"/>
        <v>0</v>
      </c>
      <c r="BU226">
        <f t="shared" si="96"/>
        <v>0</v>
      </c>
      <c r="BV226" t="str">
        <f>IF($C226="","",SUMIF('MOVIMENTI 2026'!$B$7:$B$4206,$C226,'MOVIMENTI 2026'!$P$7:$P$4206)+SUMIF('SALDI AL 31.12.2025'!$A$6:$A$505,$C226,'SALDI AL 31.12.2025'!$G$6:$G$505))</f>
        <v/>
      </c>
    </row>
    <row r="227" spans="1:74" ht="16" x14ac:dyDescent="0.15">
      <c r="A227" s="17" t="str">
        <f>IFERROR(IF($C227="","",IF(OR($BF227&gt;0,$V227&gt;$J227,AND(ISNUMBER($Q227),$Q227&gt;0),AND($BI227&lt;&gt;"",$BI227&lt;-PARAMETRI!$B$6),AND($BM227&lt;&gt;"",$BM227&gt;=1),AND($BN227&lt;&gt;"",$BN227&gt;PARAMETRI!$B$8),AND(ISNUMBER($BR227),$BR227&gt;0)),"CRITICO",IF(OR($AZ227="",LEFT($C227,5)="TEMP",$BJ227="",$BO227="",ANAGRAFICA!$I224="",ANAGRAFICA!$J224="",$Y227="",AND(OR($I227="Finito ritenute non previste",$I227="Finito con sblocco ritenute",$I227="Finito senza sblocco ritenute"),ANAGRAFICA!$K224=""),OR(AND(ANAGRAFICA!$T224&lt;&gt;"",ANAGRAFICA!$J224&lt;&gt;ANAGRAFICA!$T224,OR(ANAGRAFICA!$R224="",ANAGRAFICA!$R224="Nessuna variazione")),AND(ANAGRAFICA!$J224="",ANAGRAFICA!$R224&lt;&gt;"",ANAGRAFICA!$R224&lt;&gt;"Nessuna variazione")),AND($BI227&lt;&gt;"",$BI227&lt;-PARAMETRI!$B$5),AND($BN227&lt;&gt;"",$BN227&gt;PARAMETRI!$B$7),AND($W227&gt;0,$M227&gt;$W227*PARAMETRI!$B$9),AND($O227&gt;0,OR($I227="Finito ritenute non previste",$I227="Finito con sblocco ritenute",$I227="Finito senza sblocco ritenute")),AND($BA227&gt;0,$BO227&gt;0,$BP227=0),AND(OR($I227="Finito ritenute non previste",$I227="Finito con sblocco ritenute",$I227="Finito senza sblocco ritenute"),$W227&gt;0,$N227&gt;$W227*PARAMETRI!$B$9),$V227&gt;0),"ATTENZIONE","REGOLARE"))),"ATTENZIONE")</f>
        <v/>
      </c>
      <c r="B227" s="17" t="str">
        <f>IFERROR(IF($C227="","",IF($BF227&gt;0,"FATTURATO OLTRE VALORE RECUPERABILE; ","")&amp;IF($V227&gt;$J227,"PERDITE ACCETTATE OLTRE CONTRATTO; ","")&amp;IF($V227&gt;0,"PERDITA SAL ACCETTATA (€ "&amp;TEXT($V227,"#,##0.00")&amp;"); ","")&amp;IF(AND(ISNUMBER($Q227),$Q227&gt;0),"RITARDO PRODUTTIVO ("&amp;TEXT($Q227,"0")&amp;" GG); ","")&amp;IF(AND($BI227&lt;&gt;"",$BI227&lt;-PARAMETRI!$B$5),"AVANZAMENTO PIÙ LENTO DEL TEMPO; ","")&amp;IF(AND($BM227&lt;&gt;"",$BM227&gt;1),"ORE OLTRE BUDGET; ","")&amp;IF(AND($BM227&lt;&gt;"",$BM227=1),"ORE PREVENTIVATE ESAURITE; ","")&amp;IF(AND($BN227&lt;&gt;"",$BN227&gt;PARAMETRI!$B$7),"CONSUMO ORE SUPERIORE ALL'AVANZAMENTO; ","")&amp;IF(AND(ISNUMBER($BR227),$BR227&gt;0),"COSTI DIRETTI OLTRE BUDGET; ","")&amp;IF(AND($W227&gt;0,$M227&gt;$W227*PARAMETRI!$B$9),"SAL MATURATO NON FATTURATO; ","")&amp;IF(AND($O227&gt;0,OR($I227="Finito ritenute non previste",$I227="Finito con sblocco ritenute",$I227="Finito senza sblocco ritenute")),"RITENUTE DA SBLOCCARE; ","")&amp;IF(AND($BA227&gt;0,$BO227&gt;0,$BP227=0),"COSTI DIRETTI NON REGISTRATI; ","")&amp;IF(AND(OR($I227="Finito ritenute non previste",$I227="Finito con sblocco ritenute",$I227="Finito senza sblocco ritenute"),$W227&gt;0,$N227&gt;$W227*PARAMETRI!$B$9),"CANTIERE FINITO CON RESIDUO LAVORI; ","")&amp;IF(AND(OR($I227="Finito ritenute non previste",$I227="Finito con sblocco ritenute",$I227="Finito senza sblocco ritenute"),ANAGRAFICA!$K224=""),"DATA FINE EFFETTIVA MANCANTE; ","")&amp;IF(OR(AND(ANAGRAFICA!$T224&lt;&gt;"",ANAGRAFICA!$J224&lt;&gt;ANAGRAFICA!$T224,OR(ANAGRAFICA!$R224="",ANAGRAFICA!$R224="Nessuna variazione")),AND(ANAGRAFICA!$J224="",ANAGRAFICA!$R224&lt;&gt;"",ANAGRAFICA!$R224&lt;&gt;"Nessuna variazione")),"GESTIONE DATA FINE INCOMPLETA; ","")&amp;IF($Y227="","AGGIORNATO AL MANCANTE; ","")&amp;IF(OR($AZ227="",$BJ227="",$BO227="",ANAGRAFICA!$I224="",ANAGRAFICA!$J224=""),"DATI PREVISIONALI INCOMPLETI; ","")&amp;IF(LEFT($C227,5)="TEMP","CODICE COMMESSA TEMPORANEO; ","")),"DATI INCOMPLETI; ")</f>
        <v/>
      </c>
      <c r="C227" s="17" t="str">
        <f>IF(ANAGRAFICA!$B224="","",ANAGRAFICA!$B224)</f>
        <v/>
      </c>
      <c r="D227" s="17" t="str">
        <f>IF($C227="","",ANAGRAFICA!$C224)</f>
        <v/>
      </c>
      <c r="E227" s="17" t="str">
        <f>IF($C227="","",ANAGRAFICA!$D224)</f>
        <v/>
      </c>
      <c r="F227" s="17" t="str">
        <f>IF($C227="","",ANAGRAFICA!$E224)</f>
        <v/>
      </c>
      <c r="G227" s="17" t="str">
        <f>IF($C227="","",ANAGRAFICA!$F224)</f>
        <v/>
      </c>
      <c r="H227" s="17" t="str">
        <f>IF($C227="","",ANAGRAFICA!$G224)</f>
        <v/>
      </c>
      <c r="I227" s="17" t="str">
        <f>IF($C227="","",ANAGRAFICA!$L224)</f>
        <v/>
      </c>
      <c r="J227" s="16" t="str">
        <f t="shared" si="73"/>
        <v/>
      </c>
      <c r="K227" s="16" t="str">
        <f t="shared" si="74"/>
        <v/>
      </c>
      <c r="L227" s="16" t="str">
        <f t="shared" si="75"/>
        <v/>
      </c>
      <c r="M227" s="16" t="str">
        <f t="shared" si="76"/>
        <v/>
      </c>
      <c r="N227" s="16" t="str">
        <f t="shared" si="77"/>
        <v/>
      </c>
      <c r="O227" s="16" t="str">
        <f t="shared" si="78"/>
        <v/>
      </c>
      <c r="P227" s="17" t="str">
        <f t="shared" si="79"/>
        <v/>
      </c>
      <c r="Q227" s="31" t="str">
        <f>IF(OR($C227="",'BUDGET COMMESSA'!$D224="",'BUDGET COMMESSA'!$D224&lt;=0,ANAGRAFICA!$J224=""),"",IF(OR($I227="Finito ritenute non previste",$I227="Finito con sblocco ritenute",$I227="Finito senza sblocco ritenute"),0,IF(AND($BK227&gt;=$BJ227,ANAGRAFICA!$R224="Ritardo produttivo FIDA"),IF(ANAGRAFICA!$T224&lt;&gt;"",MAX(0,ANAGRAFICA!$J224-ANAGRAFICA!$T224),MAX(0,$Y227-ANAGRAFICA!$J224)),0)))</f>
        <v/>
      </c>
      <c r="R227" s="17" t="str">
        <f t="shared" si="80"/>
        <v/>
      </c>
      <c r="S227" s="17" t="str">
        <f t="shared" si="81"/>
        <v/>
      </c>
      <c r="T227" s="17" t="str">
        <f t="shared" si="82"/>
        <v/>
      </c>
      <c r="U227" s="16" t="str">
        <f t="shared" si="83"/>
        <v/>
      </c>
      <c r="V227" s="16" t="str">
        <f t="shared" si="84"/>
        <v/>
      </c>
      <c r="W227" s="16" t="str">
        <f t="shared" si="85"/>
        <v/>
      </c>
      <c r="X227" s="40"/>
      <c r="Y227" s="14"/>
      <c r="AZ227" t="str">
        <f>IF($C227="","",ANAGRAFICA!$P224)</f>
        <v/>
      </c>
      <c r="BA227" t="str">
        <f>IF($C227="","",SUMIF('MOVIMENTI 2026'!$B$7:$B$4206,$C227,'MOVIMENTI 2026'!$I$7:$I$4206)+SUMIF('SALDI AL 31.12.2025'!$A$6:$A$505,$C227,'SALDI AL 31.12.2025'!$C$6:$C$505))</f>
        <v/>
      </c>
      <c r="BB227" t="str">
        <f>IF($C227="","",SUMIF('MOVIMENTI 2026'!$B$7:$B$4206,$C227,'MOVIMENTI 2026'!$J$7:$J$4206)+SUMIF('SALDI AL 31.12.2025'!$A$6:$A$505,$C227,'SALDI AL 31.12.2025'!$D$6:$D$505))</f>
        <v/>
      </c>
      <c r="BC227" t="str">
        <f>IF($C227="","",SUMIF('MOVIMENTI 2026'!$B$7:$B$4206,$C227,'MOVIMENTI 2026'!$K$7:$K$4206)+SUMIF('SALDI AL 31.12.2025'!$A$6:$A$505,$C227,'SALDI AL 31.12.2025'!$E$6:$E$505))</f>
        <v/>
      </c>
      <c r="BD227" t="str">
        <f>IF($C227="","",SUMIF('MOVIMENTI 2026'!$B$7:$B$4206,$C227,'MOVIMENTI 2026'!$L$7:$L$4206)+SUMIF('SALDI AL 31.12.2025'!$A$6:$A$505,$C227,'SALDI AL 31.12.2025'!$F$6:$F$505))</f>
        <v/>
      </c>
      <c r="BE227" t="str">
        <f t="shared" si="86"/>
        <v/>
      </c>
      <c r="BF227" t="str">
        <f t="shared" si="87"/>
        <v/>
      </c>
      <c r="BG227" t="str">
        <f t="shared" si="88"/>
        <v/>
      </c>
      <c r="BH227" t="str">
        <f>IFERROR(IF(OR($C227="",ANAGRAFICA!$I224="",ANAGRAFICA!$J224="",ANAGRAFICA!$J224&lt;=ANAGRAFICA!$I224,$Y227=""),"",IF(OR($I227="Finito ritenute non previste",$I227="Finito con sblocco ritenute",$I227="Finito senza sblocco ritenute"),1,MAX(0,MIN(1,($Y227-ANAGRAFICA!$I224)/(ANAGRAFICA!$J224-ANAGRAFICA!$I224))))),"")</f>
        <v/>
      </c>
      <c r="BI227" t="str">
        <f t="shared" si="89"/>
        <v/>
      </c>
      <c r="BJ227" t="str">
        <f>IFERROR(IF($C227="","",'BUDGET COMMESSA'!$D224),"")</f>
        <v/>
      </c>
      <c r="BK227" t="str">
        <f>IF($C227="","",SUMIF('MOVIMENTI 2026'!$B$7:$B$4206,$C227,'MOVIMENTI 2026'!$N$7:$N$4206)+SUMIF('SALDI AL 31.12.2025'!$A$6:$A$505,$C227,'SALDI AL 31.12.2025'!$H$6:$H$505))</f>
        <v/>
      </c>
      <c r="BL227" t="str">
        <f t="shared" si="90"/>
        <v/>
      </c>
      <c r="BM227" t="str">
        <f t="shared" si="91"/>
        <v/>
      </c>
      <c r="BN227" t="str">
        <f t="shared" si="92"/>
        <v/>
      </c>
      <c r="BO227" t="str">
        <f>IFERROR(IF($C227="","",'BUDGET COMMESSA'!$G224),"")</f>
        <v/>
      </c>
      <c r="BP227" t="str">
        <f>IF($C227="","",SUMIF('COSTI DIRETTI'!$C$6:$C$505,$C227,'COSTI DIRETTI'!$H$6:$H$505)+SUMIF('SALDI AL 31.12.2025'!$A$6:$A$505,$C227,'SALDI AL 31.12.2025'!$I$6:$I$505))</f>
        <v/>
      </c>
      <c r="BQ227" t="str">
        <f t="shared" si="93"/>
        <v/>
      </c>
      <c r="BR227" t="str">
        <f t="shared" si="94"/>
        <v/>
      </c>
      <c r="BS227" t="str">
        <f>IF($C227="","",$BK227*PARAMETRI!$B$4+$BP227)</f>
        <v/>
      </c>
      <c r="BT227">
        <f t="shared" si="95"/>
        <v>0</v>
      </c>
      <c r="BU227">
        <f t="shared" si="96"/>
        <v>0</v>
      </c>
      <c r="BV227" t="str">
        <f>IF($C227="","",SUMIF('MOVIMENTI 2026'!$B$7:$B$4206,$C227,'MOVIMENTI 2026'!$P$7:$P$4206)+SUMIF('SALDI AL 31.12.2025'!$A$6:$A$505,$C227,'SALDI AL 31.12.2025'!$G$6:$G$505))</f>
        <v/>
      </c>
    </row>
    <row r="228" spans="1:74" ht="16" x14ac:dyDescent="0.15">
      <c r="A228" s="17" t="str">
        <f>IFERROR(IF($C228="","",IF(OR($BF228&gt;0,$V228&gt;$J228,AND(ISNUMBER($Q228),$Q228&gt;0),AND($BI228&lt;&gt;"",$BI228&lt;-PARAMETRI!$B$6),AND($BM228&lt;&gt;"",$BM228&gt;=1),AND($BN228&lt;&gt;"",$BN228&gt;PARAMETRI!$B$8),AND(ISNUMBER($BR228),$BR228&gt;0)),"CRITICO",IF(OR($AZ228="",LEFT($C228,5)="TEMP",$BJ228="",$BO228="",ANAGRAFICA!$I225="",ANAGRAFICA!$J225="",$Y228="",AND(OR($I228="Finito ritenute non previste",$I228="Finito con sblocco ritenute",$I228="Finito senza sblocco ritenute"),ANAGRAFICA!$K225=""),OR(AND(ANAGRAFICA!$T225&lt;&gt;"",ANAGRAFICA!$J225&lt;&gt;ANAGRAFICA!$T225,OR(ANAGRAFICA!$R225="",ANAGRAFICA!$R225="Nessuna variazione")),AND(ANAGRAFICA!$J225="",ANAGRAFICA!$R225&lt;&gt;"",ANAGRAFICA!$R225&lt;&gt;"Nessuna variazione")),AND($BI228&lt;&gt;"",$BI228&lt;-PARAMETRI!$B$5),AND($BN228&lt;&gt;"",$BN228&gt;PARAMETRI!$B$7),AND($W228&gt;0,$M228&gt;$W228*PARAMETRI!$B$9),AND($O228&gt;0,OR($I228="Finito ritenute non previste",$I228="Finito con sblocco ritenute",$I228="Finito senza sblocco ritenute")),AND($BA228&gt;0,$BO228&gt;0,$BP228=0),AND(OR($I228="Finito ritenute non previste",$I228="Finito con sblocco ritenute",$I228="Finito senza sblocco ritenute"),$W228&gt;0,$N228&gt;$W228*PARAMETRI!$B$9),$V228&gt;0),"ATTENZIONE","REGOLARE"))),"ATTENZIONE")</f>
        <v/>
      </c>
      <c r="B228" s="17" t="str">
        <f>IFERROR(IF($C228="","",IF($BF228&gt;0,"FATTURATO OLTRE VALORE RECUPERABILE; ","")&amp;IF($V228&gt;$J228,"PERDITE ACCETTATE OLTRE CONTRATTO; ","")&amp;IF($V228&gt;0,"PERDITA SAL ACCETTATA (€ "&amp;TEXT($V228,"#,##0.00")&amp;"); ","")&amp;IF(AND(ISNUMBER($Q228),$Q228&gt;0),"RITARDO PRODUTTIVO ("&amp;TEXT($Q228,"0")&amp;" GG); ","")&amp;IF(AND($BI228&lt;&gt;"",$BI228&lt;-PARAMETRI!$B$5),"AVANZAMENTO PIÙ LENTO DEL TEMPO; ","")&amp;IF(AND($BM228&lt;&gt;"",$BM228&gt;1),"ORE OLTRE BUDGET; ","")&amp;IF(AND($BM228&lt;&gt;"",$BM228=1),"ORE PREVENTIVATE ESAURITE; ","")&amp;IF(AND($BN228&lt;&gt;"",$BN228&gt;PARAMETRI!$B$7),"CONSUMO ORE SUPERIORE ALL'AVANZAMENTO; ","")&amp;IF(AND(ISNUMBER($BR228),$BR228&gt;0),"COSTI DIRETTI OLTRE BUDGET; ","")&amp;IF(AND($W228&gt;0,$M228&gt;$W228*PARAMETRI!$B$9),"SAL MATURATO NON FATTURATO; ","")&amp;IF(AND($O228&gt;0,OR($I228="Finito ritenute non previste",$I228="Finito con sblocco ritenute",$I228="Finito senza sblocco ritenute")),"RITENUTE DA SBLOCCARE; ","")&amp;IF(AND($BA228&gt;0,$BO228&gt;0,$BP228=0),"COSTI DIRETTI NON REGISTRATI; ","")&amp;IF(AND(OR($I228="Finito ritenute non previste",$I228="Finito con sblocco ritenute",$I228="Finito senza sblocco ritenute"),$W228&gt;0,$N228&gt;$W228*PARAMETRI!$B$9),"CANTIERE FINITO CON RESIDUO LAVORI; ","")&amp;IF(AND(OR($I228="Finito ritenute non previste",$I228="Finito con sblocco ritenute",$I228="Finito senza sblocco ritenute"),ANAGRAFICA!$K225=""),"DATA FINE EFFETTIVA MANCANTE; ","")&amp;IF(OR(AND(ANAGRAFICA!$T225&lt;&gt;"",ANAGRAFICA!$J225&lt;&gt;ANAGRAFICA!$T225,OR(ANAGRAFICA!$R225="",ANAGRAFICA!$R225="Nessuna variazione")),AND(ANAGRAFICA!$J225="",ANAGRAFICA!$R225&lt;&gt;"",ANAGRAFICA!$R225&lt;&gt;"Nessuna variazione")),"GESTIONE DATA FINE INCOMPLETA; ","")&amp;IF($Y228="","AGGIORNATO AL MANCANTE; ","")&amp;IF(OR($AZ228="",$BJ228="",$BO228="",ANAGRAFICA!$I225="",ANAGRAFICA!$J225=""),"DATI PREVISIONALI INCOMPLETI; ","")&amp;IF(LEFT($C228,5)="TEMP","CODICE COMMESSA TEMPORANEO; ","")),"DATI INCOMPLETI; ")</f>
        <v/>
      </c>
      <c r="C228" s="17" t="str">
        <f>IF(ANAGRAFICA!$B225="","",ANAGRAFICA!$B225)</f>
        <v/>
      </c>
      <c r="D228" s="17" t="str">
        <f>IF($C228="","",ANAGRAFICA!$C225)</f>
        <v/>
      </c>
      <c r="E228" s="17" t="str">
        <f>IF($C228="","",ANAGRAFICA!$D225)</f>
        <v/>
      </c>
      <c r="F228" s="17" t="str">
        <f>IF($C228="","",ANAGRAFICA!$E225)</f>
        <v/>
      </c>
      <c r="G228" s="17" t="str">
        <f>IF($C228="","",ANAGRAFICA!$F225)</f>
        <v/>
      </c>
      <c r="H228" s="17" t="str">
        <f>IF($C228="","",ANAGRAFICA!$G225)</f>
        <v/>
      </c>
      <c r="I228" s="17" t="str">
        <f>IF($C228="","",ANAGRAFICA!$L225)</f>
        <v/>
      </c>
      <c r="J228" s="16" t="str">
        <f t="shared" si="73"/>
        <v/>
      </c>
      <c r="K228" s="16" t="str">
        <f t="shared" si="74"/>
        <v/>
      </c>
      <c r="L228" s="16" t="str">
        <f t="shared" si="75"/>
        <v/>
      </c>
      <c r="M228" s="16" t="str">
        <f t="shared" si="76"/>
        <v/>
      </c>
      <c r="N228" s="16" t="str">
        <f t="shared" si="77"/>
        <v/>
      </c>
      <c r="O228" s="16" t="str">
        <f t="shared" si="78"/>
        <v/>
      </c>
      <c r="P228" s="17" t="str">
        <f t="shared" si="79"/>
        <v/>
      </c>
      <c r="Q228" s="31" t="str">
        <f>IF(OR($C228="",'BUDGET COMMESSA'!$D225="",'BUDGET COMMESSA'!$D225&lt;=0,ANAGRAFICA!$J225=""),"",IF(OR($I228="Finito ritenute non previste",$I228="Finito con sblocco ritenute",$I228="Finito senza sblocco ritenute"),0,IF(AND($BK228&gt;=$BJ228,ANAGRAFICA!$R225="Ritardo produttivo FIDA"),IF(ANAGRAFICA!$T225&lt;&gt;"",MAX(0,ANAGRAFICA!$J225-ANAGRAFICA!$T225),MAX(0,$Y228-ANAGRAFICA!$J225)),0)))</f>
        <v/>
      </c>
      <c r="R228" s="17" t="str">
        <f t="shared" si="80"/>
        <v/>
      </c>
      <c r="S228" s="17" t="str">
        <f t="shared" si="81"/>
        <v/>
      </c>
      <c r="T228" s="17" t="str">
        <f t="shared" si="82"/>
        <v/>
      </c>
      <c r="U228" s="16" t="str">
        <f t="shared" si="83"/>
        <v/>
      </c>
      <c r="V228" s="16" t="str">
        <f t="shared" si="84"/>
        <v/>
      </c>
      <c r="W228" s="16" t="str">
        <f t="shared" si="85"/>
        <v/>
      </c>
      <c r="X228" s="40"/>
      <c r="Y228" s="14"/>
      <c r="AZ228" t="str">
        <f>IF($C228="","",ANAGRAFICA!$P225)</f>
        <v/>
      </c>
      <c r="BA228" t="str">
        <f>IF($C228="","",SUMIF('MOVIMENTI 2026'!$B$7:$B$4206,$C228,'MOVIMENTI 2026'!$I$7:$I$4206)+SUMIF('SALDI AL 31.12.2025'!$A$6:$A$505,$C228,'SALDI AL 31.12.2025'!$C$6:$C$505))</f>
        <v/>
      </c>
      <c r="BB228" t="str">
        <f>IF($C228="","",SUMIF('MOVIMENTI 2026'!$B$7:$B$4206,$C228,'MOVIMENTI 2026'!$J$7:$J$4206)+SUMIF('SALDI AL 31.12.2025'!$A$6:$A$505,$C228,'SALDI AL 31.12.2025'!$D$6:$D$505))</f>
        <v/>
      </c>
      <c r="BC228" t="str">
        <f>IF($C228="","",SUMIF('MOVIMENTI 2026'!$B$7:$B$4206,$C228,'MOVIMENTI 2026'!$K$7:$K$4206)+SUMIF('SALDI AL 31.12.2025'!$A$6:$A$505,$C228,'SALDI AL 31.12.2025'!$E$6:$E$505))</f>
        <v/>
      </c>
      <c r="BD228" t="str">
        <f>IF($C228="","",SUMIF('MOVIMENTI 2026'!$B$7:$B$4206,$C228,'MOVIMENTI 2026'!$L$7:$L$4206)+SUMIF('SALDI AL 31.12.2025'!$A$6:$A$505,$C228,'SALDI AL 31.12.2025'!$F$6:$F$505))</f>
        <v/>
      </c>
      <c r="BE228" t="str">
        <f t="shared" si="86"/>
        <v/>
      </c>
      <c r="BF228" t="str">
        <f t="shared" si="87"/>
        <v/>
      </c>
      <c r="BG228" t="str">
        <f t="shared" si="88"/>
        <v/>
      </c>
      <c r="BH228" t="str">
        <f>IFERROR(IF(OR($C228="",ANAGRAFICA!$I225="",ANAGRAFICA!$J225="",ANAGRAFICA!$J225&lt;=ANAGRAFICA!$I225,$Y228=""),"",IF(OR($I228="Finito ritenute non previste",$I228="Finito con sblocco ritenute",$I228="Finito senza sblocco ritenute"),1,MAX(0,MIN(1,($Y228-ANAGRAFICA!$I225)/(ANAGRAFICA!$J225-ANAGRAFICA!$I225))))),"")</f>
        <v/>
      </c>
      <c r="BI228" t="str">
        <f t="shared" si="89"/>
        <v/>
      </c>
      <c r="BJ228" t="str">
        <f>IFERROR(IF($C228="","",'BUDGET COMMESSA'!$D225),"")</f>
        <v/>
      </c>
      <c r="BK228" t="str">
        <f>IF($C228="","",SUMIF('MOVIMENTI 2026'!$B$7:$B$4206,$C228,'MOVIMENTI 2026'!$N$7:$N$4206)+SUMIF('SALDI AL 31.12.2025'!$A$6:$A$505,$C228,'SALDI AL 31.12.2025'!$H$6:$H$505))</f>
        <v/>
      </c>
      <c r="BL228" t="str">
        <f t="shared" si="90"/>
        <v/>
      </c>
      <c r="BM228" t="str">
        <f t="shared" si="91"/>
        <v/>
      </c>
      <c r="BN228" t="str">
        <f t="shared" si="92"/>
        <v/>
      </c>
      <c r="BO228" t="str">
        <f>IFERROR(IF($C228="","",'BUDGET COMMESSA'!$G225),"")</f>
        <v/>
      </c>
      <c r="BP228" t="str">
        <f>IF($C228="","",SUMIF('COSTI DIRETTI'!$C$6:$C$505,$C228,'COSTI DIRETTI'!$H$6:$H$505)+SUMIF('SALDI AL 31.12.2025'!$A$6:$A$505,$C228,'SALDI AL 31.12.2025'!$I$6:$I$505))</f>
        <v/>
      </c>
      <c r="BQ228" t="str">
        <f t="shared" si="93"/>
        <v/>
      </c>
      <c r="BR228" t="str">
        <f t="shared" si="94"/>
        <v/>
      </c>
      <c r="BS228" t="str">
        <f>IF($C228="","",$BK228*PARAMETRI!$B$4+$BP228)</f>
        <v/>
      </c>
      <c r="BT228">
        <f t="shared" si="95"/>
        <v>0</v>
      </c>
      <c r="BU228">
        <f t="shared" si="96"/>
        <v>0</v>
      </c>
      <c r="BV228" t="str">
        <f>IF($C228="","",SUMIF('MOVIMENTI 2026'!$B$7:$B$4206,$C228,'MOVIMENTI 2026'!$P$7:$P$4206)+SUMIF('SALDI AL 31.12.2025'!$A$6:$A$505,$C228,'SALDI AL 31.12.2025'!$G$6:$G$505))</f>
        <v/>
      </c>
    </row>
    <row r="229" spans="1:74" ht="16" x14ac:dyDescent="0.15">
      <c r="A229" s="17" t="str">
        <f>IFERROR(IF($C229="","",IF(OR($BF229&gt;0,$V229&gt;$J229,AND(ISNUMBER($Q229),$Q229&gt;0),AND($BI229&lt;&gt;"",$BI229&lt;-PARAMETRI!$B$6),AND($BM229&lt;&gt;"",$BM229&gt;=1),AND($BN229&lt;&gt;"",$BN229&gt;PARAMETRI!$B$8),AND(ISNUMBER($BR229),$BR229&gt;0)),"CRITICO",IF(OR($AZ229="",LEFT($C229,5)="TEMP",$BJ229="",$BO229="",ANAGRAFICA!$I226="",ANAGRAFICA!$J226="",$Y229="",AND(OR($I229="Finito ritenute non previste",$I229="Finito con sblocco ritenute",$I229="Finito senza sblocco ritenute"),ANAGRAFICA!$K226=""),OR(AND(ANAGRAFICA!$T226&lt;&gt;"",ANAGRAFICA!$J226&lt;&gt;ANAGRAFICA!$T226,OR(ANAGRAFICA!$R226="",ANAGRAFICA!$R226="Nessuna variazione")),AND(ANAGRAFICA!$J226="",ANAGRAFICA!$R226&lt;&gt;"",ANAGRAFICA!$R226&lt;&gt;"Nessuna variazione")),AND($BI229&lt;&gt;"",$BI229&lt;-PARAMETRI!$B$5),AND($BN229&lt;&gt;"",$BN229&gt;PARAMETRI!$B$7),AND($W229&gt;0,$M229&gt;$W229*PARAMETRI!$B$9),AND($O229&gt;0,OR($I229="Finito ritenute non previste",$I229="Finito con sblocco ritenute",$I229="Finito senza sblocco ritenute")),AND($BA229&gt;0,$BO229&gt;0,$BP229=0),AND(OR($I229="Finito ritenute non previste",$I229="Finito con sblocco ritenute",$I229="Finito senza sblocco ritenute"),$W229&gt;0,$N229&gt;$W229*PARAMETRI!$B$9),$V229&gt;0),"ATTENZIONE","REGOLARE"))),"ATTENZIONE")</f>
        <v/>
      </c>
      <c r="B229" s="17" t="str">
        <f>IFERROR(IF($C229="","",IF($BF229&gt;0,"FATTURATO OLTRE VALORE RECUPERABILE; ","")&amp;IF($V229&gt;$J229,"PERDITE ACCETTATE OLTRE CONTRATTO; ","")&amp;IF($V229&gt;0,"PERDITA SAL ACCETTATA (€ "&amp;TEXT($V229,"#,##0.00")&amp;"); ","")&amp;IF(AND(ISNUMBER($Q229),$Q229&gt;0),"RITARDO PRODUTTIVO ("&amp;TEXT($Q229,"0")&amp;" GG); ","")&amp;IF(AND($BI229&lt;&gt;"",$BI229&lt;-PARAMETRI!$B$5),"AVANZAMENTO PIÙ LENTO DEL TEMPO; ","")&amp;IF(AND($BM229&lt;&gt;"",$BM229&gt;1),"ORE OLTRE BUDGET; ","")&amp;IF(AND($BM229&lt;&gt;"",$BM229=1),"ORE PREVENTIVATE ESAURITE; ","")&amp;IF(AND($BN229&lt;&gt;"",$BN229&gt;PARAMETRI!$B$7),"CONSUMO ORE SUPERIORE ALL'AVANZAMENTO; ","")&amp;IF(AND(ISNUMBER($BR229),$BR229&gt;0),"COSTI DIRETTI OLTRE BUDGET; ","")&amp;IF(AND($W229&gt;0,$M229&gt;$W229*PARAMETRI!$B$9),"SAL MATURATO NON FATTURATO; ","")&amp;IF(AND($O229&gt;0,OR($I229="Finito ritenute non previste",$I229="Finito con sblocco ritenute",$I229="Finito senza sblocco ritenute")),"RITENUTE DA SBLOCCARE; ","")&amp;IF(AND($BA229&gt;0,$BO229&gt;0,$BP229=0),"COSTI DIRETTI NON REGISTRATI; ","")&amp;IF(AND(OR($I229="Finito ritenute non previste",$I229="Finito con sblocco ritenute",$I229="Finito senza sblocco ritenute"),$W229&gt;0,$N229&gt;$W229*PARAMETRI!$B$9),"CANTIERE FINITO CON RESIDUO LAVORI; ","")&amp;IF(AND(OR($I229="Finito ritenute non previste",$I229="Finito con sblocco ritenute",$I229="Finito senza sblocco ritenute"),ANAGRAFICA!$K226=""),"DATA FINE EFFETTIVA MANCANTE; ","")&amp;IF(OR(AND(ANAGRAFICA!$T226&lt;&gt;"",ANAGRAFICA!$J226&lt;&gt;ANAGRAFICA!$T226,OR(ANAGRAFICA!$R226="",ANAGRAFICA!$R226="Nessuna variazione")),AND(ANAGRAFICA!$J226="",ANAGRAFICA!$R226&lt;&gt;"",ANAGRAFICA!$R226&lt;&gt;"Nessuna variazione")),"GESTIONE DATA FINE INCOMPLETA; ","")&amp;IF($Y229="","AGGIORNATO AL MANCANTE; ","")&amp;IF(OR($AZ229="",$BJ229="",$BO229="",ANAGRAFICA!$I226="",ANAGRAFICA!$J226=""),"DATI PREVISIONALI INCOMPLETI; ","")&amp;IF(LEFT($C229,5)="TEMP","CODICE COMMESSA TEMPORANEO; ","")),"DATI INCOMPLETI; ")</f>
        <v/>
      </c>
      <c r="C229" s="17" t="str">
        <f>IF(ANAGRAFICA!$B226="","",ANAGRAFICA!$B226)</f>
        <v/>
      </c>
      <c r="D229" s="17" t="str">
        <f>IF($C229="","",ANAGRAFICA!$C226)</f>
        <v/>
      </c>
      <c r="E229" s="17" t="str">
        <f>IF($C229="","",ANAGRAFICA!$D226)</f>
        <v/>
      </c>
      <c r="F229" s="17" t="str">
        <f>IF($C229="","",ANAGRAFICA!$E226)</f>
        <v/>
      </c>
      <c r="G229" s="17" t="str">
        <f>IF($C229="","",ANAGRAFICA!$F226)</f>
        <v/>
      </c>
      <c r="H229" s="17" t="str">
        <f>IF($C229="","",ANAGRAFICA!$G226)</f>
        <v/>
      </c>
      <c r="I229" s="17" t="str">
        <f>IF($C229="","",ANAGRAFICA!$L226)</f>
        <v/>
      </c>
      <c r="J229" s="16" t="str">
        <f t="shared" si="73"/>
        <v/>
      </c>
      <c r="K229" s="16" t="str">
        <f t="shared" si="74"/>
        <v/>
      </c>
      <c r="L229" s="16" t="str">
        <f t="shared" si="75"/>
        <v/>
      </c>
      <c r="M229" s="16" t="str">
        <f t="shared" si="76"/>
        <v/>
      </c>
      <c r="N229" s="16" t="str">
        <f t="shared" si="77"/>
        <v/>
      </c>
      <c r="O229" s="16" t="str">
        <f t="shared" si="78"/>
        <v/>
      </c>
      <c r="P229" s="17" t="str">
        <f t="shared" si="79"/>
        <v/>
      </c>
      <c r="Q229" s="31" t="str">
        <f>IF(OR($C229="",'BUDGET COMMESSA'!$D226="",'BUDGET COMMESSA'!$D226&lt;=0,ANAGRAFICA!$J226=""),"",IF(OR($I229="Finito ritenute non previste",$I229="Finito con sblocco ritenute",$I229="Finito senza sblocco ritenute"),0,IF(AND($BK229&gt;=$BJ229,ANAGRAFICA!$R226="Ritardo produttivo FIDA"),IF(ANAGRAFICA!$T226&lt;&gt;"",MAX(0,ANAGRAFICA!$J226-ANAGRAFICA!$T226),MAX(0,$Y229-ANAGRAFICA!$J226)),0)))</f>
        <v/>
      </c>
      <c r="R229" s="17" t="str">
        <f t="shared" si="80"/>
        <v/>
      </c>
      <c r="S229" s="17" t="str">
        <f t="shared" si="81"/>
        <v/>
      </c>
      <c r="T229" s="17" t="str">
        <f t="shared" si="82"/>
        <v/>
      </c>
      <c r="U229" s="16" t="str">
        <f t="shared" si="83"/>
        <v/>
      </c>
      <c r="V229" s="16" t="str">
        <f t="shared" si="84"/>
        <v/>
      </c>
      <c r="W229" s="16" t="str">
        <f t="shared" si="85"/>
        <v/>
      </c>
      <c r="X229" s="40"/>
      <c r="Y229" s="14"/>
      <c r="AZ229" t="str">
        <f>IF($C229="","",ANAGRAFICA!$P226)</f>
        <v/>
      </c>
      <c r="BA229" t="str">
        <f>IF($C229="","",SUMIF('MOVIMENTI 2026'!$B$7:$B$4206,$C229,'MOVIMENTI 2026'!$I$7:$I$4206)+SUMIF('SALDI AL 31.12.2025'!$A$6:$A$505,$C229,'SALDI AL 31.12.2025'!$C$6:$C$505))</f>
        <v/>
      </c>
      <c r="BB229" t="str">
        <f>IF($C229="","",SUMIF('MOVIMENTI 2026'!$B$7:$B$4206,$C229,'MOVIMENTI 2026'!$J$7:$J$4206)+SUMIF('SALDI AL 31.12.2025'!$A$6:$A$505,$C229,'SALDI AL 31.12.2025'!$D$6:$D$505))</f>
        <v/>
      </c>
      <c r="BC229" t="str">
        <f>IF($C229="","",SUMIF('MOVIMENTI 2026'!$B$7:$B$4206,$C229,'MOVIMENTI 2026'!$K$7:$K$4206)+SUMIF('SALDI AL 31.12.2025'!$A$6:$A$505,$C229,'SALDI AL 31.12.2025'!$E$6:$E$505))</f>
        <v/>
      </c>
      <c r="BD229" t="str">
        <f>IF($C229="","",SUMIF('MOVIMENTI 2026'!$B$7:$B$4206,$C229,'MOVIMENTI 2026'!$L$7:$L$4206)+SUMIF('SALDI AL 31.12.2025'!$A$6:$A$505,$C229,'SALDI AL 31.12.2025'!$F$6:$F$505))</f>
        <v/>
      </c>
      <c r="BE229" t="str">
        <f t="shared" si="86"/>
        <v/>
      </c>
      <c r="BF229" t="str">
        <f t="shared" si="87"/>
        <v/>
      </c>
      <c r="BG229" t="str">
        <f t="shared" si="88"/>
        <v/>
      </c>
      <c r="BH229" t="str">
        <f>IFERROR(IF(OR($C229="",ANAGRAFICA!$I226="",ANAGRAFICA!$J226="",ANAGRAFICA!$J226&lt;=ANAGRAFICA!$I226,$Y229=""),"",IF(OR($I229="Finito ritenute non previste",$I229="Finito con sblocco ritenute",$I229="Finito senza sblocco ritenute"),1,MAX(0,MIN(1,($Y229-ANAGRAFICA!$I226)/(ANAGRAFICA!$J226-ANAGRAFICA!$I226))))),"")</f>
        <v/>
      </c>
      <c r="BI229" t="str">
        <f t="shared" si="89"/>
        <v/>
      </c>
      <c r="BJ229" t="str">
        <f>IFERROR(IF($C229="","",'BUDGET COMMESSA'!$D226),"")</f>
        <v/>
      </c>
      <c r="BK229" t="str">
        <f>IF($C229="","",SUMIF('MOVIMENTI 2026'!$B$7:$B$4206,$C229,'MOVIMENTI 2026'!$N$7:$N$4206)+SUMIF('SALDI AL 31.12.2025'!$A$6:$A$505,$C229,'SALDI AL 31.12.2025'!$H$6:$H$505))</f>
        <v/>
      </c>
      <c r="BL229" t="str">
        <f t="shared" si="90"/>
        <v/>
      </c>
      <c r="BM229" t="str">
        <f t="shared" si="91"/>
        <v/>
      </c>
      <c r="BN229" t="str">
        <f t="shared" si="92"/>
        <v/>
      </c>
      <c r="BO229" t="str">
        <f>IFERROR(IF($C229="","",'BUDGET COMMESSA'!$G226),"")</f>
        <v/>
      </c>
      <c r="BP229" t="str">
        <f>IF($C229="","",SUMIF('COSTI DIRETTI'!$C$6:$C$505,$C229,'COSTI DIRETTI'!$H$6:$H$505)+SUMIF('SALDI AL 31.12.2025'!$A$6:$A$505,$C229,'SALDI AL 31.12.2025'!$I$6:$I$505))</f>
        <v/>
      </c>
      <c r="BQ229" t="str">
        <f t="shared" si="93"/>
        <v/>
      </c>
      <c r="BR229" t="str">
        <f t="shared" si="94"/>
        <v/>
      </c>
      <c r="BS229" t="str">
        <f>IF($C229="","",$BK229*PARAMETRI!$B$4+$BP229)</f>
        <v/>
      </c>
      <c r="BT229">
        <f t="shared" si="95"/>
        <v>0</v>
      </c>
      <c r="BU229">
        <f t="shared" si="96"/>
        <v>0</v>
      </c>
      <c r="BV229" t="str">
        <f>IF($C229="","",SUMIF('MOVIMENTI 2026'!$B$7:$B$4206,$C229,'MOVIMENTI 2026'!$P$7:$P$4206)+SUMIF('SALDI AL 31.12.2025'!$A$6:$A$505,$C229,'SALDI AL 31.12.2025'!$G$6:$G$505))</f>
        <v/>
      </c>
    </row>
    <row r="230" spans="1:74" ht="16" x14ac:dyDescent="0.15">
      <c r="A230" s="17" t="str">
        <f>IFERROR(IF($C230="","",IF(OR($BF230&gt;0,$V230&gt;$J230,AND(ISNUMBER($Q230),$Q230&gt;0),AND($BI230&lt;&gt;"",$BI230&lt;-PARAMETRI!$B$6),AND($BM230&lt;&gt;"",$BM230&gt;=1),AND($BN230&lt;&gt;"",$BN230&gt;PARAMETRI!$B$8),AND(ISNUMBER($BR230),$BR230&gt;0)),"CRITICO",IF(OR($AZ230="",LEFT($C230,5)="TEMP",$BJ230="",$BO230="",ANAGRAFICA!$I227="",ANAGRAFICA!$J227="",$Y230="",AND(OR($I230="Finito ritenute non previste",$I230="Finito con sblocco ritenute",$I230="Finito senza sblocco ritenute"),ANAGRAFICA!$K227=""),OR(AND(ANAGRAFICA!$T227&lt;&gt;"",ANAGRAFICA!$J227&lt;&gt;ANAGRAFICA!$T227,OR(ANAGRAFICA!$R227="",ANAGRAFICA!$R227="Nessuna variazione")),AND(ANAGRAFICA!$J227="",ANAGRAFICA!$R227&lt;&gt;"",ANAGRAFICA!$R227&lt;&gt;"Nessuna variazione")),AND($BI230&lt;&gt;"",$BI230&lt;-PARAMETRI!$B$5),AND($BN230&lt;&gt;"",$BN230&gt;PARAMETRI!$B$7),AND($W230&gt;0,$M230&gt;$W230*PARAMETRI!$B$9),AND($O230&gt;0,OR($I230="Finito ritenute non previste",$I230="Finito con sblocco ritenute",$I230="Finito senza sblocco ritenute")),AND($BA230&gt;0,$BO230&gt;0,$BP230=0),AND(OR($I230="Finito ritenute non previste",$I230="Finito con sblocco ritenute",$I230="Finito senza sblocco ritenute"),$W230&gt;0,$N230&gt;$W230*PARAMETRI!$B$9),$V230&gt;0),"ATTENZIONE","REGOLARE"))),"ATTENZIONE")</f>
        <v/>
      </c>
      <c r="B230" s="17" t="str">
        <f>IFERROR(IF($C230="","",IF($BF230&gt;0,"FATTURATO OLTRE VALORE RECUPERABILE; ","")&amp;IF($V230&gt;$J230,"PERDITE ACCETTATE OLTRE CONTRATTO; ","")&amp;IF($V230&gt;0,"PERDITA SAL ACCETTATA (€ "&amp;TEXT($V230,"#,##0.00")&amp;"); ","")&amp;IF(AND(ISNUMBER($Q230),$Q230&gt;0),"RITARDO PRODUTTIVO ("&amp;TEXT($Q230,"0")&amp;" GG); ","")&amp;IF(AND($BI230&lt;&gt;"",$BI230&lt;-PARAMETRI!$B$5),"AVANZAMENTO PIÙ LENTO DEL TEMPO; ","")&amp;IF(AND($BM230&lt;&gt;"",$BM230&gt;1),"ORE OLTRE BUDGET; ","")&amp;IF(AND($BM230&lt;&gt;"",$BM230=1),"ORE PREVENTIVATE ESAURITE; ","")&amp;IF(AND($BN230&lt;&gt;"",$BN230&gt;PARAMETRI!$B$7),"CONSUMO ORE SUPERIORE ALL'AVANZAMENTO; ","")&amp;IF(AND(ISNUMBER($BR230),$BR230&gt;0),"COSTI DIRETTI OLTRE BUDGET; ","")&amp;IF(AND($W230&gt;0,$M230&gt;$W230*PARAMETRI!$B$9),"SAL MATURATO NON FATTURATO; ","")&amp;IF(AND($O230&gt;0,OR($I230="Finito ritenute non previste",$I230="Finito con sblocco ritenute",$I230="Finito senza sblocco ritenute")),"RITENUTE DA SBLOCCARE; ","")&amp;IF(AND($BA230&gt;0,$BO230&gt;0,$BP230=0),"COSTI DIRETTI NON REGISTRATI; ","")&amp;IF(AND(OR($I230="Finito ritenute non previste",$I230="Finito con sblocco ritenute",$I230="Finito senza sblocco ritenute"),$W230&gt;0,$N230&gt;$W230*PARAMETRI!$B$9),"CANTIERE FINITO CON RESIDUO LAVORI; ","")&amp;IF(AND(OR($I230="Finito ritenute non previste",$I230="Finito con sblocco ritenute",$I230="Finito senza sblocco ritenute"),ANAGRAFICA!$K227=""),"DATA FINE EFFETTIVA MANCANTE; ","")&amp;IF(OR(AND(ANAGRAFICA!$T227&lt;&gt;"",ANAGRAFICA!$J227&lt;&gt;ANAGRAFICA!$T227,OR(ANAGRAFICA!$R227="",ANAGRAFICA!$R227="Nessuna variazione")),AND(ANAGRAFICA!$J227="",ANAGRAFICA!$R227&lt;&gt;"",ANAGRAFICA!$R227&lt;&gt;"Nessuna variazione")),"GESTIONE DATA FINE INCOMPLETA; ","")&amp;IF($Y230="","AGGIORNATO AL MANCANTE; ","")&amp;IF(OR($AZ230="",$BJ230="",$BO230="",ANAGRAFICA!$I227="",ANAGRAFICA!$J227=""),"DATI PREVISIONALI INCOMPLETI; ","")&amp;IF(LEFT($C230,5)="TEMP","CODICE COMMESSA TEMPORANEO; ","")),"DATI INCOMPLETI; ")</f>
        <v/>
      </c>
      <c r="C230" s="17" t="str">
        <f>IF(ANAGRAFICA!$B227="","",ANAGRAFICA!$B227)</f>
        <v/>
      </c>
      <c r="D230" s="17" t="str">
        <f>IF($C230="","",ANAGRAFICA!$C227)</f>
        <v/>
      </c>
      <c r="E230" s="17" t="str">
        <f>IF($C230="","",ANAGRAFICA!$D227)</f>
        <v/>
      </c>
      <c r="F230" s="17" t="str">
        <f>IF($C230="","",ANAGRAFICA!$E227)</f>
        <v/>
      </c>
      <c r="G230" s="17" t="str">
        <f>IF($C230="","",ANAGRAFICA!$F227)</f>
        <v/>
      </c>
      <c r="H230" s="17" t="str">
        <f>IF($C230="","",ANAGRAFICA!$G227)</f>
        <v/>
      </c>
      <c r="I230" s="17" t="str">
        <f>IF($C230="","",ANAGRAFICA!$L227)</f>
        <v/>
      </c>
      <c r="J230" s="16" t="str">
        <f t="shared" si="73"/>
        <v/>
      </c>
      <c r="K230" s="16" t="str">
        <f t="shared" si="74"/>
        <v/>
      </c>
      <c r="L230" s="16" t="str">
        <f t="shared" si="75"/>
        <v/>
      </c>
      <c r="M230" s="16" t="str">
        <f t="shared" si="76"/>
        <v/>
      </c>
      <c r="N230" s="16" t="str">
        <f t="shared" si="77"/>
        <v/>
      </c>
      <c r="O230" s="16" t="str">
        <f t="shared" si="78"/>
        <v/>
      </c>
      <c r="P230" s="17" t="str">
        <f t="shared" si="79"/>
        <v/>
      </c>
      <c r="Q230" s="31" t="str">
        <f>IF(OR($C230="",'BUDGET COMMESSA'!$D227="",'BUDGET COMMESSA'!$D227&lt;=0,ANAGRAFICA!$J227=""),"",IF(OR($I230="Finito ritenute non previste",$I230="Finito con sblocco ritenute",$I230="Finito senza sblocco ritenute"),0,IF(AND($BK230&gt;=$BJ230,ANAGRAFICA!$R227="Ritardo produttivo FIDA"),IF(ANAGRAFICA!$T227&lt;&gt;"",MAX(0,ANAGRAFICA!$J227-ANAGRAFICA!$T227),MAX(0,$Y230-ANAGRAFICA!$J227)),0)))</f>
        <v/>
      </c>
      <c r="R230" s="17" t="str">
        <f t="shared" si="80"/>
        <v/>
      </c>
      <c r="S230" s="17" t="str">
        <f t="shared" si="81"/>
        <v/>
      </c>
      <c r="T230" s="17" t="str">
        <f t="shared" si="82"/>
        <v/>
      </c>
      <c r="U230" s="16" t="str">
        <f t="shared" si="83"/>
        <v/>
      </c>
      <c r="V230" s="16" t="str">
        <f t="shared" si="84"/>
        <v/>
      </c>
      <c r="W230" s="16" t="str">
        <f t="shared" si="85"/>
        <v/>
      </c>
      <c r="X230" s="40"/>
      <c r="Y230" s="14"/>
      <c r="AZ230" t="str">
        <f>IF($C230="","",ANAGRAFICA!$P227)</f>
        <v/>
      </c>
      <c r="BA230" t="str">
        <f>IF($C230="","",SUMIF('MOVIMENTI 2026'!$B$7:$B$4206,$C230,'MOVIMENTI 2026'!$I$7:$I$4206)+SUMIF('SALDI AL 31.12.2025'!$A$6:$A$505,$C230,'SALDI AL 31.12.2025'!$C$6:$C$505))</f>
        <v/>
      </c>
      <c r="BB230" t="str">
        <f>IF($C230="","",SUMIF('MOVIMENTI 2026'!$B$7:$B$4206,$C230,'MOVIMENTI 2026'!$J$7:$J$4206)+SUMIF('SALDI AL 31.12.2025'!$A$6:$A$505,$C230,'SALDI AL 31.12.2025'!$D$6:$D$505))</f>
        <v/>
      </c>
      <c r="BC230" t="str">
        <f>IF($C230="","",SUMIF('MOVIMENTI 2026'!$B$7:$B$4206,$C230,'MOVIMENTI 2026'!$K$7:$K$4206)+SUMIF('SALDI AL 31.12.2025'!$A$6:$A$505,$C230,'SALDI AL 31.12.2025'!$E$6:$E$505))</f>
        <v/>
      </c>
      <c r="BD230" t="str">
        <f>IF($C230="","",SUMIF('MOVIMENTI 2026'!$B$7:$B$4206,$C230,'MOVIMENTI 2026'!$L$7:$L$4206)+SUMIF('SALDI AL 31.12.2025'!$A$6:$A$505,$C230,'SALDI AL 31.12.2025'!$F$6:$F$505))</f>
        <v/>
      </c>
      <c r="BE230" t="str">
        <f t="shared" si="86"/>
        <v/>
      </c>
      <c r="BF230" t="str">
        <f t="shared" si="87"/>
        <v/>
      </c>
      <c r="BG230" t="str">
        <f t="shared" si="88"/>
        <v/>
      </c>
      <c r="BH230" t="str">
        <f>IFERROR(IF(OR($C230="",ANAGRAFICA!$I227="",ANAGRAFICA!$J227="",ANAGRAFICA!$J227&lt;=ANAGRAFICA!$I227,$Y230=""),"",IF(OR($I230="Finito ritenute non previste",$I230="Finito con sblocco ritenute",$I230="Finito senza sblocco ritenute"),1,MAX(0,MIN(1,($Y230-ANAGRAFICA!$I227)/(ANAGRAFICA!$J227-ANAGRAFICA!$I227))))),"")</f>
        <v/>
      </c>
      <c r="BI230" t="str">
        <f t="shared" si="89"/>
        <v/>
      </c>
      <c r="BJ230" t="str">
        <f>IFERROR(IF($C230="","",'BUDGET COMMESSA'!$D227),"")</f>
        <v/>
      </c>
      <c r="BK230" t="str">
        <f>IF($C230="","",SUMIF('MOVIMENTI 2026'!$B$7:$B$4206,$C230,'MOVIMENTI 2026'!$N$7:$N$4206)+SUMIF('SALDI AL 31.12.2025'!$A$6:$A$505,$C230,'SALDI AL 31.12.2025'!$H$6:$H$505))</f>
        <v/>
      </c>
      <c r="BL230" t="str">
        <f t="shared" si="90"/>
        <v/>
      </c>
      <c r="BM230" t="str">
        <f t="shared" si="91"/>
        <v/>
      </c>
      <c r="BN230" t="str">
        <f t="shared" si="92"/>
        <v/>
      </c>
      <c r="BO230" t="str">
        <f>IFERROR(IF($C230="","",'BUDGET COMMESSA'!$G227),"")</f>
        <v/>
      </c>
      <c r="BP230" t="str">
        <f>IF($C230="","",SUMIF('COSTI DIRETTI'!$C$6:$C$505,$C230,'COSTI DIRETTI'!$H$6:$H$505)+SUMIF('SALDI AL 31.12.2025'!$A$6:$A$505,$C230,'SALDI AL 31.12.2025'!$I$6:$I$505))</f>
        <v/>
      </c>
      <c r="BQ230" t="str">
        <f t="shared" si="93"/>
        <v/>
      </c>
      <c r="BR230" t="str">
        <f t="shared" si="94"/>
        <v/>
      </c>
      <c r="BS230" t="str">
        <f>IF($C230="","",$BK230*PARAMETRI!$B$4+$BP230)</f>
        <v/>
      </c>
      <c r="BT230">
        <f t="shared" si="95"/>
        <v>0</v>
      </c>
      <c r="BU230">
        <f t="shared" si="96"/>
        <v>0</v>
      </c>
      <c r="BV230" t="str">
        <f>IF($C230="","",SUMIF('MOVIMENTI 2026'!$B$7:$B$4206,$C230,'MOVIMENTI 2026'!$P$7:$P$4206)+SUMIF('SALDI AL 31.12.2025'!$A$6:$A$505,$C230,'SALDI AL 31.12.2025'!$G$6:$G$505))</f>
        <v/>
      </c>
    </row>
    <row r="231" spans="1:74" ht="16" x14ac:dyDescent="0.15">
      <c r="A231" s="17" t="str">
        <f>IFERROR(IF($C231="","",IF(OR($BF231&gt;0,$V231&gt;$J231,AND(ISNUMBER($Q231),$Q231&gt;0),AND($BI231&lt;&gt;"",$BI231&lt;-PARAMETRI!$B$6),AND($BM231&lt;&gt;"",$BM231&gt;=1),AND($BN231&lt;&gt;"",$BN231&gt;PARAMETRI!$B$8),AND(ISNUMBER($BR231),$BR231&gt;0)),"CRITICO",IF(OR($AZ231="",LEFT($C231,5)="TEMP",$BJ231="",$BO231="",ANAGRAFICA!$I228="",ANAGRAFICA!$J228="",$Y231="",AND(OR($I231="Finito ritenute non previste",$I231="Finito con sblocco ritenute",$I231="Finito senza sblocco ritenute"),ANAGRAFICA!$K228=""),OR(AND(ANAGRAFICA!$T228&lt;&gt;"",ANAGRAFICA!$J228&lt;&gt;ANAGRAFICA!$T228,OR(ANAGRAFICA!$R228="",ANAGRAFICA!$R228="Nessuna variazione")),AND(ANAGRAFICA!$J228="",ANAGRAFICA!$R228&lt;&gt;"",ANAGRAFICA!$R228&lt;&gt;"Nessuna variazione")),AND($BI231&lt;&gt;"",$BI231&lt;-PARAMETRI!$B$5),AND($BN231&lt;&gt;"",$BN231&gt;PARAMETRI!$B$7),AND($W231&gt;0,$M231&gt;$W231*PARAMETRI!$B$9),AND($O231&gt;0,OR($I231="Finito ritenute non previste",$I231="Finito con sblocco ritenute",$I231="Finito senza sblocco ritenute")),AND($BA231&gt;0,$BO231&gt;0,$BP231=0),AND(OR($I231="Finito ritenute non previste",$I231="Finito con sblocco ritenute",$I231="Finito senza sblocco ritenute"),$W231&gt;0,$N231&gt;$W231*PARAMETRI!$B$9),$V231&gt;0),"ATTENZIONE","REGOLARE"))),"ATTENZIONE")</f>
        <v/>
      </c>
      <c r="B231" s="17" t="str">
        <f>IFERROR(IF($C231="","",IF($BF231&gt;0,"FATTURATO OLTRE VALORE RECUPERABILE; ","")&amp;IF($V231&gt;$J231,"PERDITE ACCETTATE OLTRE CONTRATTO; ","")&amp;IF($V231&gt;0,"PERDITA SAL ACCETTATA (€ "&amp;TEXT($V231,"#,##0.00")&amp;"); ","")&amp;IF(AND(ISNUMBER($Q231),$Q231&gt;0),"RITARDO PRODUTTIVO ("&amp;TEXT($Q231,"0")&amp;" GG); ","")&amp;IF(AND($BI231&lt;&gt;"",$BI231&lt;-PARAMETRI!$B$5),"AVANZAMENTO PIÙ LENTO DEL TEMPO; ","")&amp;IF(AND($BM231&lt;&gt;"",$BM231&gt;1),"ORE OLTRE BUDGET; ","")&amp;IF(AND($BM231&lt;&gt;"",$BM231=1),"ORE PREVENTIVATE ESAURITE; ","")&amp;IF(AND($BN231&lt;&gt;"",$BN231&gt;PARAMETRI!$B$7),"CONSUMO ORE SUPERIORE ALL'AVANZAMENTO; ","")&amp;IF(AND(ISNUMBER($BR231),$BR231&gt;0),"COSTI DIRETTI OLTRE BUDGET; ","")&amp;IF(AND($W231&gt;0,$M231&gt;$W231*PARAMETRI!$B$9),"SAL MATURATO NON FATTURATO; ","")&amp;IF(AND($O231&gt;0,OR($I231="Finito ritenute non previste",$I231="Finito con sblocco ritenute",$I231="Finito senza sblocco ritenute")),"RITENUTE DA SBLOCCARE; ","")&amp;IF(AND($BA231&gt;0,$BO231&gt;0,$BP231=0),"COSTI DIRETTI NON REGISTRATI; ","")&amp;IF(AND(OR($I231="Finito ritenute non previste",$I231="Finito con sblocco ritenute",$I231="Finito senza sblocco ritenute"),$W231&gt;0,$N231&gt;$W231*PARAMETRI!$B$9),"CANTIERE FINITO CON RESIDUO LAVORI; ","")&amp;IF(AND(OR($I231="Finito ritenute non previste",$I231="Finito con sblocco ritenute",$I231="Finito senza sblocco ritenute"),ANAGRAFICA!$K228=""),"DATA FINE EFFETTIVA MANCANTE; ","")&amp;IF(OR(AND(ANAGRAFICA!$T228&lt;&gt;"",ANAGRAFICA!$J228&lt;&gt;ANAGRAFICA!$T228,OR(ANAGRAFICA!$R228="",ANAGRAFICA!$R228="Nessuna variazione")),AND(ANAGRAFICA!$J228="",ANAGRAFICA!$R228&lt;&gt;"",ANAGRAFICA!$R228&lt;&gt;"Nessuna variazione")),"GESTIONE DATA FINE INCOMPLETA; ","")&amp;IF($Y231="","AGGIORNATO AL MANCANTE; ","")&amp;IF(OR($AZ231="",$BJ231="",$BO231="",ANAGRAFICA!$I228="",ANAGRAFICA!$J228=""),"DATI PREVISIONALI INCOMPLETI; ","")&amp;IF(LEFT($C231,5)="TEMP","CODICE COMMESSA TEMPORANEO; ","")),"DATI INCOMPLETI; ")</f>
        <v/>
      </c>
      <c r="C231" s="17" t="str">
        <f>IF(ANAGRAFICA!$B228="","",ANAGRAFICA!$B228)</f>
        <v/>
      </c>
      <c r="D231" s="17" t="str">
        <f>IF($C231="","",ANAGRAFICA!$C228)</f>
        <v/>
      </c>
      <c r="E231" s="17" t="str">
        <f>IF($C231="","",ANAGRAFICA!$D228)</f>
        <v/>
      </c>
      <c r="F231" s="17" t="str">
        <f>IF($C231="","",ANAGRAFICA!$E228)</f>
        <v/>
      </c>
      <c r="G231" s="17" t="str">
        <f>IF($C231="","",ANAGRAFICA!$F228)</f>
        <v/>
      </c>
      <c r="H231" s="17" t="str">
        <f>IF($C231="","",ANAGRAFICA!$G228)</f>
        <v/>
      </c>
      <c r="I231" s="17" t="str">
        <f>IF($C231="","",ANAGRAFICA!$L228)</f>
        <v/>
      </c>
      <c r="J231" s="16" t="str">
        <f t="shared" si="73"/>
        <v/>
      </c>
      <c r="K231" s="16" t="str">
        <f t="shared" si="74"/>
        <v/>
      </c>
      <c r="L231" s="16" t="str">
        <f t="shared" si="75"/>
        <v/>
      </c>
      <c r="M231" s="16" t="str">
        <f t="shared" si="76"/>
        <v/>
      </c>
      <c r="N231" s="16" t="str">
        <f t="shared" si="77"/>
        <v/>
      </c>
      <c r="O231" s="16" t="str">
        <f t="shared" si="78"/>
        <v/>
      </c>
      <c r="P231" s="17" t="str">
        <f t="shared" si="79"/>
        <v/>
      </c>
      <c r="Q231" s="31" t="str">
        <f>IF(OR($C231="",'BUDGET COMMESSA'!$D228="",'BUDGET COMMESSA'!$D228&lt;=0,ANAGRAFICA!$J228=""),"",IF(OR($I231="Finito ritenute non previste",$I231="Finito con sblocco ritenute",$I231="Finito senza sblocco ritenute"),0,IF(AND($BK231&gt;=$BJ231,ANAGRAFICA!$R228="Ritardo produttivo FIDA"),IF(ANAGRAFICA!$T228&lt;&gt;"",MAX(0,ANAGRAFICA!$J228-ANAGRAFICA!$T228),MAX(0,$Y231-ANAGRAFICA!$J228)),0)))</f>
        <v/>
      </c>
      <c r="R231" s="17" t="str">
        <f t="shared" si="80"/>
        <v/>
      </c>
      <c r="S231" s="17" t="str">
        <f t="shared" si="81"/>
        <v/>
      </c>
      <c r="T231" s="17" t="str">
        <f t="shared" si="82"/>
        <v/>
      </c>
      <c r="U231" s="16" t="str">
        <f t="shared" si="83"/>
        <v/>
      </c>
      <c r="V231" s="16" t="str">
        <f t="shared" si="84"/>
        <v/>
      </c>
      <c r="W231" s="16" t="str">
        <f t="shared" si="85"/>
        <v/>
      </c>
      <c r="X231" s="40"/>
      <c r="Y231" s="14"/>
      <c r="AZ231" t="str">
        <f>IF($C231="","",ANAGRAFICA!$P228)</f>
        <v/>
      </c>
      <c r="BA231" t="str">
        <f>IF($C231="","",SUMIF('MOVIMENTI 2026'!$B$7:$B$4206,$C231,'MOVIMENTI 2026'!$I$7:$I$4206)+SUMIF('SALDI AL 31.12.2025'!$A$6:$A$505,$C231,'SALDI AL 31.12.2025'!$C$6:$C$505))</f>
        <v/>
      </c>
      <c r="BB231" t="str">
        <f>IF($C231="","",SUMIF('MOVIMENTI 2026'!$B$7:$B$4206,$C231,'MOVIMENTI 2026'!$J$7:$J$4206)+SUMIF('SALDI AL 31.12.2025'!$A$6:$A$505,$C231,'SALDI AL 31.12.2025'!$D$6:$D$505))</f>
        <v/>
      </c>
      <c r="BC231" t="str">
        <f>IF($C231="","",SUMIF('MOVIMENTI 2026'!$B$7:$B$4206,$C231,'MOVIMENTI 2026'!$K$7:$K$4206)+SUMIF('SALDI AL 31.12.2025'!$A$6:$A$505,$C231,'SALDI AL 31.12.2025'!$E$6:$E$505))</f>
        <v/>
      </c>
      <c r="BD231" t="str">
        <f>IF($C231="","",SUMIF('MOVIMENTI 2026'!$B$7:$B$4206,$C231,'MOVIMENTI 2026'!$L$7:$L$4206)+SUMIF('SALDI AL 31.12.2025'!$A$6:$A$505,$C231,'SALDI AL 31.12.2025'!$F$6:$F$505))</f>
        <v/>
      </c>
      <c r="BE231" t="str">
        <f t="shared" si="86"/>
        <v/>
      </c>
      <c r="BF231" t="str">
        <f t="shared" si="87"/>
        <v/>
      </c>
      <c r="BG231" t="str">
        <f t="shared" si="88"/>
        <v/>
      </c>
      <c r="BH231" t="str">
        <f>IFERROR(IF(OR($C231="",ANAGRAFICA!$I228="",ANAGRAFICA!$J228="",ANAGRAFICA!$J228&lt;=ANAGRAFICA!$I228,$Y231=""),"",IF(OR($I231="Finito ritenute non previste",$I231="Finito con sblocco ritenute",$I231="Finito senza sblocco ritenute"),1,MAX(0,MIN(1,($Y231-ANAGRAFICA!$I228)/(ANAGRAFICA!$J228-ANAGRAFICA!$I228))))),"")</f>
        <v/>
      </c>
      <c r="BI231" t="str">
        <f t="shared" si="89"/>
        <v/>
      </c>
      <c r="BJ231" t="str">
        <f>IFERROR(IF($C231="","",'BUDGET COMMESSA'!$D228),"")</f>
        <v/>
      </c>
      <c r="BK231" t="str">
        <f>IF($C231="","",SUMIF('MOVIMENTI 2026'!$B$7:$B$4206,$C231,'MOVIMENTI 2026'!$N$7:$N$4206)+SUMIF('SALDI AL 31.12.2025'!$A$6:$A$505,$C231,'SALDI AL 31.12.2025'!$H$6:$H$505))</f>
        <v/>
      </c>
      <c r="BL231" t="str">
        <f t="shared" si="90"/>
        <v/>
      </c>
      <c r="BM231" t="str">
        <f t="shared" si="91"/>
        <v/>
      </c>
      <c r="BN231" t="str">
        <f t="shared" si="92"/>
        <v/>
      </c>
      <c r="BO231" t="str">
        <f>IFERROR(IF($C231="","",'BUDGET COMMESSA'!$G228),"")</f>
        <v/>
      </c>
      <c r="BP231" t="str">
        <f>IF($C231="","",SUMIF('COSTI DIRETTI'!$C$6:$C$505,$C231,'COSTI DIRETTI'!$H$6:$H$505)+SUMIF('SALDI AL 31.12.2025'!$A$6:$A$505,$C231,'SALDI AL 31.12.2025'!$I$6:$I$505))</f>
        <v/>
      </c>
      <c r="BQ231" t="str">
        <f t="shared" si="93"/>
        <v/>
      </c>
      <c r="BR231" t="str">
        <f t="shared" si="94"/>
        <v/>
      </c>
      <c r="BS231" t="str">
        <f>IF($C231="","",$BK231*PARAMETRI!$B$4+$BP231)</f>
        <v/>
      </c>
      <c r="BT231">
        <f t="shared" si="95"/>
        <v>0</v>
      </c>
      <c r="BU231">
        <f t="shared" si="96"/>
        <v>0</v>
      </c>
      <c r="BV231" t="str">
        <f>IF($C231="","",SUMIF('MOVIMENTI 2026'!$B$7:$B$4206,$C231,'MOVIMENTI 2026'!$P$7:$P$4206)+SUMIF('SALDI AL 31.12.2025'!$A$6:$A$505,$C231,'SALDI AL 31.12.2025'!$G$6:$G$505))</f>
        <v/>
      </c>
    </row>
    <row r="232" spans="1:74" ht="16" x14ac:dyDescent="0.15">
      <c r="A232" s="17" t="str">
        <f>IFERROR(IF($C232="","",IF(OR($BF232&gt;0,$V232&gt;$J232,AND(ISNUMBER($Q232),$Q232&gt;0),AND($BI232&lt;&gt;"",$BI232&lt;-PARAMETRI!$B$6),AND($BM232&lt;&gt;"",$BM232&gt;=1),AND($BN232&lt;&gt;"",$BN232&gt;PARAMETRI!$B$8),AND(ISNUMBER($BR232),$BR232&gt;0)),"CRITICO",IF(OR($AZ232="",LEFT($C232,5)="TEMP",$BJ232="",$BO232="",ANAGRAFICA!$I229="",ANAGRAFICA!$J229="",$Y232="",AND(OR($I232="Finito ritenute non previste",$I232="Finito con sblocco ritenute",$I232="Finito senza sblocco ritenute"),ANAGRAFICA!$K229=""),OR(AND(ANAGRAFICA!$T229&lt;&gt;"",ANAGRAFICA!$J229&lt;&gt;ANAGRAFICA!$T229,OR(ANAGRAFICA!$R229="",ANAGRAFICA!$R229="Nessuna variazione")),AND(ANAGRAFICA!$J229="",ANAGRAFICA!$R229&lt;&gt;"",ANAGRAFICA!$R229&lt;&gt;"Nessuna variazione")),AND($BI232&lt;&gt;"",$BI232&lt;-PARAMETRI!$B$5),AND($BN232&lt;&gt;"",$BN232&gt;PARAMETRI!$B$7),AND($W232&gt;0,$M232&gt;$W232*PARAMETRI!$B$9),AND($O232&gt;0,OR($I232="Finito ritenute non previste",$I232="Finito con sblocco ritenute",$I232="Finito senza sblocco ritenute")),AND($BA232&gt;0,$BO232&gt;0,$BP232=0),AND(OR($I232="Finito ritenute non previste",$I232="Finito con sblocco ritenute",$I232="Finito senza sblocco ritenute"),$W232&gt;0,$N232&gt;$W232*PARAMETRI!$B$9),$V232&gt;0),"ATTENZIONE","REGOLARE"))),"ATTENZIONE")</f>
        <v/>
      </c>
      <c r="B232" s="17" t="str">
        <f>IFERROR(IF($C232="","",IF($BF232&gt;0,"FATTURATO OLTRE VALORE RECUPERABILE; ","")&amp;IF($V232&gt;$J232,"PERDITE ACCETTATE OLTRE CONTRATTO; ","")&amp;IF($V232&gt;0,"PERDITA SAL ACCETTATA (€ "&amp;TEXT($V232,"#,##0.00")&amp;"); ","")&amp;IF(AND(ISNUMBER($Q232),$Q232&gt;0),"RITARDO PRODUTTIVO ("&amp;TEXT($Q232,"0")&amp;" GG); ","")&amp;IF(AND($BI232&lt;&gt;"",$BI232&lt;-PARAMETRI!$B$5),"AVANZAMENTO PIÙ LENTO DEL TEMPO; ","")&amp;IF(AND($BM232&lt;&gt;"",$BM232&gt;1),"ORE OLTRE BUDGET; ","")&amp;IF(AND($BM232&lt;&gt;"",$BM232=1),"ORE PREVENTIVATE ESAURITE; ","")&amp;IF(AND($BN232&lt;&gt;"",$BN232&gt;PARAMETRI!$B$7),"CONSUMO ORE SUPERIORE ALL'AVANZAMENTO; ","")&amp;IF(AND(ISNUMBER($BR232),$BR232&gt;0),"COSTI DIRETTI OLTRE BUDGET; ","")&amp;IF(AND($W232&gt;0,$M232&gt;$W232*PARAMETRI!$B$9),"SAL MATURATO NON FATTURATO; ","")&amp;IF(AND($O232&gt;0,OR($I232="Finito ritenute non previste",$I232="Finito con sblocco ritenute",$I232="Finito senza sblocco ritenute")),"RITENUTE DA SBLOCCARE; ","")&amp;IF(AND($BA232&gt;0,$BO232&gt;0,$BP232=0),"COSTI DIRETTI NON REGISTRATI; ","")&amp;IF(AND(OR($I232="Finito ritenute non previste",$I232="Finito con sblocco ritenute",$I232="Finito senza sblocco ritenute"),$W232&gt;0,$N232&gt;$W232*PARAMETRI!$B$9),"CANTIERE FINITO CON RESIDUO LAVORI; ","")&amp;IF(AND(OR($I232="Finito ritenute non previste",$I232="Finito con sblocco ritenute",$I232="Finito senza sblocco ritenute"),ANAGRAFICA!$K229=""),"DATA FINE EFFETTIVA MANCANTE; ","")&amp;IF(OR(AND(ANAGRAFICA!$T229&lt;&gt;"",ANAGRAFICA!$J229&lt;&gt;ANAGRAFICA!$T229,OR(ANAGRAFICA!$R229="",ANAGRAFICA!$R229="Nessuna variazione")),AND(ANAGRAFICA!$J229="",ANAGRAFICA!$R229&lt;&gt;"",ANAGRAFICA!$R229&lt;&gt;"Nessuna variazione")),"GESTIONE DATA FINE INCOMPLETA; ","")&amp;IF($Y232="","AGGIORNATO AL MANCANTE; ","")&amp;IF(OR($AZ232="",$BJ232="",$BO232="",ANAGRAFICA!$I229="",ANAGRAFICA!$J229=""),"DATI PREVISIONALI INCOMPLETI; ","")&amp;IF(LEFT($C232,5)="TEMP","CODICE COMMESSA TEMPORANEO; ","")),"DATI INCOMPLETI; ")</f>
        <v/>
      </c>
      <c r="C232" s="17" t="str">
        <f>IF(ANAGRAFICA!$B229="","",ANAGRAFICA!$B229)</f>
        <v/>
      </c>
      <c r="D232" s="17" t="str">
        <f>IF($C232="","",ANAGRAFICA!$C229)</f>
        <v/>
      </c>
      <c r="E232" s="17" t="str">
        <f>IF($C232="","",ANAGRAFICA!$D229)</f>
        <v/>
      </c>
      <c r="F232" s="17" t="str">
        <f>IF($C232="","",ANAGRAFICA!$E229)</f>
        <v/>
      </c>
      <c r="G232" s="17" t="str">
        <f>IF($C232="","",ANAGRAFICA!$F229)</f>
        <v/>
      </c>
      <c r="H232" s="17" t="str">
        <f>IF($C232="","",ANAGRAFICA!$G229)</f>
        <v/>
      </c>
      <c r="I232" s="17" t="str">
        <f>IF($C232="","",ANAGRAFICA!$L229)</f>
        <v/>
      </c>
      <c r="J232" s="16" t="str">
        <f t="shared" si="73"/>
        <v/>
      </c>
      <c r="K232" s="16" t="str">
        <f t="shared" si="74"/>
        <v/>
      </c>
      <c r="L232" s="16" t="str">
        <f t="shared" si="75"/>
        <v/>
      </c>
      <c r="M232" s="16" t="str">
        <f t="shared" si="76"/>
        <v/>
      </c>
      <c r="N232" s="16" t="str">
        <f t="shared" si="77"/>
        <v/>
      </c>
      <c r="O232" s="16" t="str">
        <f t="shared" si="78"/>
        <v/>
      </c>
      <c r="P232" s="17" t="str">
        <f t="shared" si="79"/>
        <v/>
      </c>
      <c r="Q232" s="31" t="str">
        <f>IF(OR($C232="",'BUDGET COMMESSA'!$D229="",'BUDGET COMMESSA'!$D229&lt;=0,ANAGRAFICA!$J229=""),"",IF(OR($I232="Finito ritenute non previste",$I232="Finito con sblocco ritenute",$I232="Finito senza sblocco ritenute"),0,IF(AND($BK232&gt;=$BJ232,ANAGRAFICA!$R229="Ritardo produttivo FIDA"),IF(ANAGRAFICA!$T229&lt;&gt;"",MAX(0,ANAGRAFICA!$J229-ANAGRAFICA!$T229),MAX(0,$Y232-ANAGRAFICA!$J229)),0)))</f>
        <v/>
      </c>
      <c r="R232" s="17" t="str">
        <f t="shared" si="80"/>
        <v/>
      </c>
      <c r="S232" s="17" t="str">
        <f t="shared" si="81"/>
        <v/>
      </c>
      <c r="T232" s="17" t="str">
        <f t="shared" si="82"/>
        <v/>
      </c>
      <c r="U232" s="16" t="str">
        <f t="shared" si="83"/>
        <v/>
      </c>
      <c r="V232" s="16" t="str">
        <f t="shared" si="84"/>
        <v/>
      </c>
      <c r="W232" s="16" t="str">
        <f t="shared" si="85"/>
        <v/>
      </c>
      <c r="X232" s="40"/>
      <c r="Y232" s="14"/>
      <c r="AZ232" t="str">
        <f>IF($C232="","",ANAGRAFICA!$P229)</f>
        <v/>
      </c>
      <c r="BA232" t="str">
        <f>IF($C232="","",SUMIF('MOVIMENTI 2026'!$B$7:$B$4206,$C232,'MOVIMENTI 2026'!$I$7:$I$4206)+SUMIF('SALDI AL 31.12.2025'!$A$6:$A$505,$C232,'SALDI AL 31.12.2025'!$C$6:$C$505))</f>
        <v/>
      </c>
      <c r="BB232" t="str">
        <f>IF($C232="","",SUMIF('MOVIMENTI 2026'!$B$7:$B$4206,$C232,'MOVIMENTI 2026'!$J$7:$J$4206)+SUMIF('SALDI AL 31.12.2025'!$A$6:$A$505,$C232,'SALDI AL 31.12.2025'!$D$6:$D$505))</f>
        <v/>
      </c>
      <c r="BC232" t="str">
        <f>IF($C232="","",SUMIF('MOVIMENTI 2026'!$B$7:$B$4206,$C232,'MOVIMENTI 2026'!$K$7:$K$4206)+SUMIF('SALDI AL 31.12.2025'!$A$6:$A$505,$C232,'SALDI AL 31.12.2025'!$E$6:$E$505))</f>
        <v/>
      </c>
      <c r="BD232" t="str">
        <f>IF($C232="","",SUMIF('MOVIMENTI 2026'!$B$7:$B$4206,$C232,'MOVIMENTI 2026'!$L$7:$L$4206)+SUMIF('SALDI AL 31.12.2025'!$A$6:$A$505,$C232,'SALDI AL 31.12.2025'!$F$6:$F$505))</f>
        <v/>
      </c>
      <c r="BE232" t="str">
        <f t="shared" si="86"/>
        <v/>
      </c>
      <c r="BF232" t="str">
        <f t="shared" si="87"/>
        <v/>
      </c>
      <c r="BG232" t="str">
        <f t="shared" si="88"/>
        <v/>
      </c>
      <c r="BH232" t="str">
        <f>IFERROR(IF(OR($C232="",ANAGRAFICA!$I229="",ANAGRAFICA!$J229="",ANAGRAFICA!$J229&lt;=ANAGRAFICA!$I229,$Y232=""),"",IF(OR($I232="Finito ritenute non previste",$I232="Finito con sblocco ritenute",$I232="Finito senza sblocco ritenute"),1,MAX(0,MIN(1,($Y232-ANAGRAFICA!$I229)/(ANAGRAFICA!$J229-ANAGRAFICA!$I229))))),"")</f>
        <v/>
      </c>
      <c r="BI232" t="str">
        <f t="shared" si="89"/>
        <v/>
      </c>
      <c r="BJ232" t="str">
        <f>IFERROR(IF($C232="","",'BUDGET COMMESSA'!$D229),"")</f>
        <v/>
      </c>
      <c r="BK232" t="str">
        <f>IF($C232="","",SUMIF('MOVIMENTI 2026'!$B$7:$B$4206,$C232,'MOVIMENTI 2026'!$N$7:$N$4206)+SUMIF('SALDI AL 31.12.2025'!$A$6:$A$505,$C232,'SALDI AL 31.12.2025'!$H$6:$H$505))</f>
        <v/>
      </c>
      <c r="BL232" t="str">
        <f t="shared" si="90"/>
        <v/>
      </c>
      <c r="BM232" t="str">
        <f t="shared" si="91"/>
        <v/>
      </c>
      <c r="BN232" t="str">
        <f t="shared" si="92"/>
        <v/>
      </c>
      <c r="BO232" t="str">
        <f>IFERROR(IF($C232="","",'BUDGET COMMESSA'!$G229),"")</f>
        <v/>
      </c>
      <c r="BP232" t="str">
        <f>IF($C232="","",SUMIF('COSTI DIRETTI'!$C$6:$C$505,$C232,'COSTI DIRETTI'!$H$6:$H$505)+SUMIF('SALDI AL 31.12.2025'!$A$6:$A$505,$C232,'SALDI AL 31.12.2025'!$I$6:$I$505))</f>
        <v/>
      </c>
      <c r="BQ232" t="str">
        <f t="shared" si="93"/>
        <v/>
      </c>
      <c r="BR232" t="str">
        <f t="shared" si="94"/>
        <v/>
      </c>
      <c r="BS232" t="str">
        <f>IF($C232="","",$BK232*PARAMETRI!$B$4+$BP232)</f>
        <v/>
      </c>
      <c r="BT232">
        <f t="shared" si="95"/>
        <v>0</v>
      </c>
      <c r="BU232">
        <f t="shared" si="96"/>
        <v>0</v>
      </c>
      <c r="BV232" t="str">
        <f>IF($C232="","",SUMIF('MOVIMENTI 2026'!$B$7:$B$4206,$C232,'MOVIMENTI 2026'!$P$7:$P$4206)+SUMIF('SALDI AL 31.12.2025'!$A$6:$A$505,$C232,'SALDI AL 31.12.2025'!$G$6:$G$505))</f>
        <v/>
      </c>
    </row>
    <row r="233" spans="1:74" ht="16" x14ac:dyDescent="0.15">
      <c r="A233" s="17" t="str">
        <f>IFERROR(IF($C233="","",IF(OR($BF233&gt;0,$V233&gt;$J233,AND(ISNUMBER($Q233),$Q233&gt;0),AND($BI233&lt;&gt;"",$BI233&lt;-PARAMETRI!$B$6),AND($BM233&lt;&gt;"",$BM233&gt;=1),AND($BN233&lt;&gt;"",$BN233&gt;PARAMETRI!$B$8),AND(ISNUMBER($BR233),$BR233&gt;0)),"CRITICO",IF(OR($AZ233="",LEFT($C233,5)="TEMP",$BJ233="",$BO233="",ANAGRAFICA!$I230="",ANAGRAFICA!$J230="",$Y233="",AND(OR($I233="Finito ritenute non previste",$I233="Finito con sblocco ritenute",$I233="Finito senza sblocco ritenute"),ANAGRAFICA!$K230=""),OR(AND(ANAGRAFICA!$T230&lt;&gt;"",ANAGRAFICA!$J230&lt;&gt;ANAGRAFICA!$T230,OR(ANAGRAFICA!$R230="",ANAGRAFICA!$R230="Nessuna variazione")),AND(ANAGRAFICA!$J230="",ANAGRAFICA!$R230&lt;&gt;"",ANAGRAFICA!$R230&lt;&gt;"Nessuna variazione")),AND($BI233&lt;&gt;"",$BI233&lt;-PARAMETRI!$B$5),AND($BN233&lt;&gt;"",$BN233&gt;PARAMETRI!$B$7),AND($W233&gt;0,$M233&gt;$W233*PARAMETRI!$B$9),AND($O233&gt;0,OR($I233="Finito ritenute non previste",$I233="Finito con sblocco ritenute",$I233="Finito senza sblocco ritenute")),AND($BA233&gt;0,$BO233&gt;0,$BP233=0),AND(OR($I233="Finito ritenute non previste",$I233="Finito con sblocco ritenute",$I233="Finito senza sblocco ritenute"),$W233&gt;0,$N233&gt;$W233*PARAMETRI!$B$9),$V233&gt;0),"ATTENZIONE","REGOLARE"))),"ATTENZIONE")</f>
        <v/>
      </c>
      <c r="B233" s="17" t="str">
        <f>IFERROR(IF($C233="","",IF($BF233&gt;0,"FATTURATO OLTRE VALORE RECUPERABILE; ","")&amp;IF($V233&gt;$J233,"PERDITE ACCETTATE OLTRE CONTRATTO; ","")&amp;IF($V233&gt;0,"PERDITA SAL ACCETTATA (€ "&amp;TEXT($V233,"#,##0.00")&amp;"); ","")&amp;IF(AND(ISNUMBER($Q233),$Q233&gt;0),"RITARDO PRODUTTIVO ("&amp;TEXT($Q233,"0")&amp;" GG); ","")&amp;IF(AND($BI233&lt;&gt;"",$BI233&lt;-PARAMETRI!$B$5),"AVANZAMENTO PIÙ LENTO DEL TEMPO; ","")&amp;IF(AND($BM233&lt;&gt;"",$BM233&gt;1),"ORE OLTRE BUDGET; ","")&amp;IF(AND($BM233&lt;&gt;"",$BM233=1),"ORE PREVENTIVATE ESAURITE; ","")&amp;IF(AND($BN233&lt;&gt;"",$BN233&gt;PARAMETRI!$B$7),"CONSUMO ORE SUPERIORE ALL'AVANZAMENTO; ","")&amp;IF(AND(ISNUMBER($BR233),$BR233&gt;0),"COSTI DIRETTI OLTRE BUDGET; ","")&amp;IF(AND($W233&gt;0,$M233&gt;$W233*PARAMETRI!$B$9),"SAL MATURATO NON FATTURATO; ","")&amp;IF(AND($O233&gt;0,OR($I233="Finito ritenute non previste",$I233="Finito con sblocco ritenute",$I233="Finito senza sblocco ritenute")),"RITENUTE DA SBLOCCARE; ","")&amp;IF(AND($BA233&gt;0,$BO233&gt;0,$BP233=0),"COSTI DIRETTI NON REGISTRATI; ","")&amp;IF(AND(OR($I233="Finito ritenute non previste",$I233="Finito con sblocco ritenute",$I233="Finito senza sblocco ritenute"),$W233&gt;0,$N233&gt;$W233*PARAMETRI!$B$9),"CANTIERE FINITO CON RESIDUO LAVORI; ","")&amp;IF(AND(OR($I233="Finito ritenute non previste",$I233="Finito con sblocco ritenute",$I233="Finito senza sblocco ritenute"),ANAGRAFICA!$K230=""),"DATA FINE EFFETTIVA MANCANTE; ","")&amp;IF(OR(AND(ANAGRAFICA!$T230&lt;&gt;"",ANAGRAFICA!$J230&lt;&gt;ANAGRAFICA!$T230,OR(ANAGRAFICA!$R230="",ANAGRAFICA!$R230="Nessuna variazione")),AND(ANAGRAFICA!$J230="",ANAGRAFICA!$R230&lt;&gt;"",ANAGRAFICA!$R230&lt;&gt;"Nessuna variazione")),"GESTIONE DATA FINE INCOMPLETA; ","")&amp;IF($Y233="","AGGIORNATO AL MANCANTE; ","")&amp;IF(OR($AZ233="",$BJ233="",$BO233="",ANAGRAFICA!$I230="",ANAGRAFICA!$J230=""),"DATI PREVISIONALI INCOMPLETI; ","")&amp;IF(LEFT($C233,5)="TEMP","CODICE COMMESSA TEMPORANEO; ","")),"DATI INCOMPLETI; ")</f>
        <v/>
      </c>
      <c r="C233" s="17" t="str">
        <f>IF(ANAGRAFICA!$B230="","",ANAGRAFICA!$B230)</f>
        <v/>
      </c>
      <c r="D233" s="17" t="str">
        <f>IF($C233="","",ANAGRAFICA!$C230)</f>
        <v/>
      </c>
      <c r="E233" s="17" t="str">
        <f>IF($C233="","",ANAGRAFICA!$D230)</f>
        <v/>
      </c>
      <c r="F233" s="17" t="str">
        <f>IF($C233="","",ANAGRAFICA!$E230)</f>
        <v/>
      </c>
      <c r="G233" s="17" t="str">
        <f>IF($C233="","",ANAGRAFICA!$F230)</f>
        <v/>
      </c>
      <c r="H233" s="17" t="str">
        <f>IF($C233="","",ANAGRAFICA!$G230)</f>
        <v/>
      </c>
      <c r="I233" s="17" t="str">
        <f>IF($C233="","",ANAGRAFICA!$L230)</f>
        <v/>
      </c>
      <c r="J233" s="16" t="str">
        <f t="shared" si="73"/>
        <v/>
      </c>
      <c r="K233" s="16" t="str">
        <f t="shared" si="74"/>
        <v/>
      </c>
      <c r="L233" s="16" t="str">
        <f t="shared" si="75"/>
        <v/>
      </c>
      <c r="M233" s="16" t="str">
        <f t="shared" si="76"/>
        <v/>
      </c>
      <c r="N233" s="16" t="str">
        <f t="shared" si="77"/>
        <v/>
      </c>
      <c r="O233" s="16" t="str">
        <f t="shared" si="78"/>
        <v/>
      </c>
      <c r="P233" s="17" t="str">
        <f t="shared" si="79"/>
        <v/>
      </c>
      <c r="Q233" s="31" t="str">
        <f>IF(OR($C233="",'BUDGET COMMESSA'!$D230="",'BUDGET COMMESSA'!$D230&lt;=0,ANAGRAFICA!$J230=""),"",IF(OR($I233="Finito ritenute non previste",$I233="Finito con sblocco ritenute",$I233="Finito senza sblocco ritenute"),0,IF(AND($BK233&gt;=$BJ233,ANAGRAFICA!$R230="Ritardo produttivo FIDA"),IF(ANAGRAFICA!$T230&lt;&gt;"",MAX(0,ANAGRAFICA!$J230-ANAGRAFICA!$T230),MAX(0,$Y233-ANAGRAFICA!$J230)),0)))</f>
        <v/>
      </c>
      <c r="R233" s="17" t="str">
        <f t="shared" si="80"/>
        <v/>
      </c>
      <c r="S233" s="17" t="str">
        <f t="shared" si="81"/>
        <v/>
      </c>
      <c r="T233" s="17" t="str">
        <f t="shared" si="82"/>
        <v/>
      </c>
      <c r="U233" s="16" t="str">
        <f t="shared" si="83"/>
        <v/>
      </c>
      <c r="V233" s="16" t="str">
        <f t="shared" si="84"/>
        <v/>
      </c>
      <c r="W233" s="16" t="str">
        <f t="shared" si="85"/>
        <v/>
      </c>
      <c r="X233" s="40"/>
      <c r="Y233" s="14"/>
      <c r="AZ233" t="str">
        <f>IF($C233="","",ANAGRAFICA!$P230)</f>
        <v/>
      </c>
      <c r="BA233" t="str">
        <f>IF($C233="","",SUMIF('MOVIMENTI 2026'!$B$7:$B$4206,$C233,'MOVIMENTI 2026'!$I$7:$I$4206)+SUMIF('SALDI AL 31.12.2025'!$A$6:$A$505,$C233,'SALDI AL 31.12.2025'!$C$6:$C$505))</f>
        <v/>
      </c>
      <c r="BB233" t="str">
        <f>IF($C233="","",SUMIF('MOVIMENTI 2026'!$B$7:$B$4206,$C233,'MOVIMENTI 2026'!$J$7:$J$4206)+SUMIF('SALDI AL 31.12.2025'!$A$6:$A$505,$C233,'SALDI AL 31.12.2025'!$D$6:$D$505))</f>
        <v/>
      </c>
      <c r="BC233" t="str">
        <f>IF($C233="","",SUMIF('MOVIMENTI 2026'!$B$7:$B$4206,$C233,'MOVIMENTI 2026'!$K$7:$K$4206)+SUMIF('SALDI AL 31.12.2025'!$A$6:$A$505,$C233,'SALDI AL 31.12.2025'!$E$6:$E$505))</f>
        <v/>
      </c>
      <c r="BD233" t="str">
        <f>IF($C233="","",SUMIF('MOVIMENTI 2026'!$B$7:$B$4206,$C233,'MOVIMENTI 2026'!$L$7:$L$4206)+SUMIF('SALDI AL 31.12.2025'!$A$6:$A$505,$C233,'SALDI AL 31.12.2025'!$F$6:$F$505))</f>
        <v/>
      </c>
      <c r="BE233" t="str">
        <f t="shared" si="86"/>
        <v/>
      </c>
      <c r="BF233" t="str">
        <f t="shared" si="87"/>
        <v/>
      </c>
      <c r="BG233" t="str">
        <f t="shared" si="88"/>
        <v/>
      </c>
      <c r="BH233" t="str">
        <f>IFERROR(IF(OR($C233="",ANAGRAFICA!$I230="",ANAGRAFICA!$J230="",ANAGRAFICA!$J230&lt;=ANAGRAFICA!$I230,$Y233=""),"",IF(OR($I233="Finito ritenute non previste",$I233="Finito con sblocco ritenute",$I233="Finito senza sblocco ritenute"),1,MAX(0,MIN(1,($Y233-ANAGRAFICA!$I230)/(ANAGRAFICA!$J230-ANAGRAFICA!$I230))))),"")</f>
        <v/>
      </c>
      <c r="BI233" t="str">
        <f t="shared" si="89"/>
        <v/>
      </c>
      <c r="BJ233" t="str">
        <f>IFERROR(IF($C233="","",'BUDGET COMMESSA'!$D230),"")</f>
        <v/>
      </c>
      <c r="BK233" t="str">
        <f>IF($C233="","",SUMIF('MOVIMENTI 2026'!$B$7:$B$4206,$C233,'MOVIMENTI 2026'!$N$7:$N$4206)+SUMIF('SALDI AL 31.12.2025'!$A$6:$A$505,$C233,'SALDI AL 31.12.2025'!$H$6:$H$505))</f>
        <v/>
      </c>
      <c r="BL233" t="str">
        <f t="shared" si="90"/>
        <v/>
      </c>
      <c r="BM233" t="str">
        <f t="shared" si="91"/>
        <v/>
      </c>
      <c r="BN233" t="str">
        <f t="shared" si="92"/>
        <v/>
      </c>
      <c r="BO233" t="str">
        <f>IFERROR(IF($C233="","",'BUDGET COMMESSA'!$G230),"")</f>
        <v/>
      </c>
      <c r="BP233" t="str">
        <f>IF($C233="","",SUMIF('COSTI DIRETTI'!$C$6:$C$505,$C233,'COSTI DIRETTI'!$H$6:$H$505)+SUMIF('SALDI AL 31.12.2025'!$A$6:$A$505,$C233,'SALDI AL 31.12.2025'!$I$6:$I$505))</f>
        <v/>
      </c>
      <c r="BQ233" t="str">
        <f t="shared" si="93"/>
        <v/>
      </c>
      <c r="BR233" t="str">
        <f t="shared" si="94"/>
        <v/>
      </c>
      <c r="BS233" t="str">
        <f>IF($C233="","",$BK233*PARAMETRI!$B$4+$BP233)</f>
        <v/>
      </c>
      <c r="BT233">
        <f t="shared" si="95"/>
        <v>0</v>
      </c>
      <c r="BU233">
        <f t="shared" si="96"/>
        <v>0</v>
      </c>
      <c r="BV233" t="str">
        <f>IF($C233="","",SUMIF('MOVIMENTI 2026'!$B$7:$B$4206,$C233,'MOVIMENTI 2026'!$P$7:$P$4206)+SUMIF('SALDI AL 31.12.2025'!$A$6:$A$505,$C233,'SALDI AL 31.12.2025'!$G$6:$G$505))</f>
        <v/>
      </c>
    </row>
    <row r="234" spans="1:74" ht="16" x14ac:dyDescent="0.15">
      <c r="A234" s="17" t="str">
        <f>IFERROR(IF($C234="","",IF(OR($BF234&gt;0,$V234&gt;$J234,AND(ISNUMBER($Q234),$Q234&gt;0),AND($BI234&lt;&gt;"",$BI234&lt;-PARAMETRI!$B$6),AND($BM234&lt;&gt;"",$BM234&gt;=1),AND($BN234&lt;&gt;"",$BN234&gt;PARAMETRI!$B$8),AND(ISNUMBER($BR234),$BR234&gt;0)),"CRITICO",IF(OR($AZ234="",LEFT($C234,5)="TEMP",$BJ234="",$BO234="",ANAGRAFICA!$I231="",ANAGRAFICA!$J231="",$Y234="",AND(OR($I234="Finito ritenute non previste",$I234="Finito con sblocco ritenute",$I234="Finito senza sblocco ritenute"),ANAGRAFICA!$K231=""),OR(AND(ANAGRAFICA!$T231&lt;&gt;"",ANAGRAFICA!$J231&lt;&gt;ANAGRAFICA!$T231,OR(ANAGRAFICA!$R231="",ANAGRAFICA!$R231="Nessuna variazione")),AND(ANAGRAFICA!$J231="",ANAGRAFICA!$R231&lt;&gt;"",ANAGRAFICA!$R231&lt;&gt;"Nessuna variazione")),AND($BI234&lt;&gt;"",$BI234&lt;-PARAMETRI!$B$5),AND($BN234&lt;&gt;"",$BN234&gt;PARAMETRI!$B$7),AND($W234&gt;0,$M234&gt;$W234*PARAMETRI!$B$9),AND($O234&gt;0,OR($I234="Finito ritenute non previste",$I234="Finito con sblocco ritenute",$I234="Finito senza sblocco ritenute")),AND($BA234&gt;0,$BO234&gt;0,$BP234=0),AND(OR($I234="Finito ritenute non previste",$I234="Finito con sblocco ritenute",$I234="Finito senza sblocco ritenute"),$W234&gt;0,$N234&gt;$W234*PARAMETRI!$B$9),$V234&gt;0),"ATTENZIONE","REGOLARE"))),"ATTENZIONE")</f>
        <v/>
      </c>
      <c r="B234" s="17" t="str">
        <f>IFERROR(IF($C234="","",IF($BF234&gt;0,"FATTURATO OLTRE VALORE RECUPERABILE; ","")&amp;IF($V234&gt;$J234,"PERDITE ACCETTATE OLTRE CONTRATTO; ","")&amp;IF($V234&gt;0,"PERDITA SAL ACCETTATA (€ "&amp;TEXT($V234,"#,##0.00")&amp;"); ","")&amp;IF(AND(ISNUMBER($Q234),$Q234&gt;0),"RITARDO PRODUTTIVO ("&amp;TEXT($Q234,"0")&amp;" GG); ","")&amp;IF(AND($BI234&lt;&gt;"",$BI234&lt;-PARAMETRI!$B$5),"AVANZAMENTO PIÙ LENTO DEL TEMPO; ","")&amp;IF(AND($BM234&lt;&gt;"",$BM234&gt;1),"ORE OLTRE BUDGET; ","")&amp;IF(AND($BM234&lt;&gt;"",$BM234=1),"ORE PREVENTIVATE ESAURITE; ","")&amp;IF(AND($BN234&lt;&gt;"",$BN234&gt;PARAMETRI!$B$7),"CONSUMO ORE SUPERIORE ALL'AVANZAMENTO; ","")&amp;IF(AND(ISNUMBER($BR234),$BR234&gt;0),"COSTI DIRETTI OLTRE BUDGET; ","")&amp;IF(AND($W234&gt;0,$M234&gt;$W234*PARAMETRI!$B$9),"SAL MATURATO NON FATTURATO; ","")&amp;IF(AND($O234&gt;0,OR($I234="Finito ritenute non previste",$I234="Finito con sblocco ritenute",$I234="Finito senza sblocco ritenute")),"RITENUTE DA SBLOCCARE; ","")&amp;IF(AND($BA234&gt;0,$BO234&gt;0,$BP234=0),"COSTI DIRETTI NON REGISTRATI; ","")&amp;IF(AND(OR($I234="Finito ritenute non previste",$I234="Finito con sblocco ritenute",$I234="Finito senza sblocco ritenute"),$W234&gt;0,$N234&gt;$W234*PARAMETRI!$B$9),"CANTIERE FINITO CON RESIDUO LAVORI; ","")&amp;IF(AND(OR($I234="Finito ritenute non previste",$I234="Finito con sblocco ritenute",$I234="Finito senza sblocco ritenute"),ANAGRAFICA!$K231=""),"DATA FINE EFFETTIVA MANCANTE; ","")&amp;IF(OR(AND(ANAGRAFICA!$T231&lt;&gt;"",ANAGRAFICA!$J231&lt;&gt;ANAGRAFICA!$T231,OR(ANAGRAFICA!$R231="",ANAGRAFICA!$R231="Nessuna variazione")),AND(ANAGRAFICA!$J231="",ANAGRAFICA!$R231&lt;&gt;"",ANAGRAFICA!$R231&lt;&gt;"Nessuna variazione")),"GESTIONE DATA FINE INCOMPLETA; ","")&amp;IF($Y234="","AGGIORNATO AL MANCANTE; ","")&amp;IF(OR($AZ234="",$BJ234="",$BO234="",ANAGRAFICA!$I231="",ANAGRAFICA!$J231=""),"DATI PREVISIONALI INCOMPLETI; ","")&amp;IF(LEFT($C234,5)="TEMP","CODICE COMMESSA TEMPORANEO; ","")),"DATI INCOMPLETI; ")</f>
        <v/>
      </c>
      <c r="C234" s="17" t="str">
        <f>IF(ANAGRAFICA!$B231="","",ANAGRAFICA!$B231)</f>
        <v/>
      </c>
      <c r="D234" s="17" t="str">
        <f>IF($C234="","",ANAGRAFICA!$C231)</f>
        <v/>
      </c>
      <c r="E234" s="17" t="str">
        <f>IF($C234="","",ANAGRAFICA!$D231)</f>
        <v/>
      </c>
      <c r="F234" s="17" t="str">
        <f>IF($C234="","",ANAGRAFICA!$E231)</f>
        <v/>
      </c>
      <c r="G234" s="17" t="str">
        <f>IF($C234="","",ANAGRAFICA!$F231)</f>
        <v/>
      </c>
      <c r="H234" s="17" t="str">
        <f>IF($C234="","",ANAGRAFICA!$G231)</f>
        <v/>
      </c>
      <c r="I234" s="17" t="str">
        <f>IF($C234="","",ANAGRAFICA!$L231)</f>
        <v/>
      </c>
      <c r="J234" s="16" t="str">
        <f t="shared" si="73"/>
        <v/>
      </c>
      <c r="K234" s="16" t="str">
        <f t="shared" si="74"/>
        <v/>
      </c>
      <c r="L234" s="16" t="str">
        <f t="shared" si="75"/>
        <v/>
      </c>
      <c r="M234" s="16" t="str">
        <f t="shared" si="76"/>
        <v/>
      </c>
      <c r="N234" s="16" t="str">
        <f t="shared" si="77"/>
        <v/>
      </c>
      <c r="O234" s="16" t="str">
        <f t="shared" si="78"/>
        <v/>
      </c>
      <c r="P234" s="17" t="str">
        <f t="shared" si="79"/>
        <v/>
      </c>
      <c r="Q234" s="31" t="str">
        <f>IF(OR($C234="",'BUDGET COMMESSA'!$D231="",'BUDGET COMMESSA'!$D231&lt;=0,ANAGRAFICA!$J231=""),"",IF(OR($I234="Finito ritenute non previste",$I234="Finito con sblocco ritenute",$I234="Finito senza sblocco ritenute"),0,IF(AND($BK234&gt;=$BJ234,ANAGRAFICA!$R231="Ritardo produttivo FIDA"),IF(ANAGRAFICA!$T231&lt;&gt;"",MAX(0,ANAGRAFICA!$J231-ANAGRAFICA!$T231),MAX(0,$Y234-ANAGRAFICA!$J231)),0)))</f>
        <v/>
      </c>
      <c r="R234" s="17" t="str">
        <f t="shared" si="80"/>
        <v/>
      </c>
      <c r="S234" s="17" t="str">
        <f t="shared" si="81"/>
        <v/>
      </c>
      <c r="T234" s="17" t="str">
        <f t="shared" si="82"/>
        <v/>
      </c>
      <c r="U234" s="16" t="str">
        <f t="shared" si="83"/>
        <v/>
      </c>
      <c r="V234" s="16" t="str">
        <f t="shared" si="84"/>
        <v/>
      </c>
      <c r="W234" s="16" t="str">
        <f t="shared" si="85"/>
        <v/>
      </c>
      <c r="X234" s="40"/>
      <c r="Y234" s="14"/>
      <c r="AZ234" t="str">
        <f>IF($C234="","",ANAGRAFICA!$P231)</f>
        <v/>
      </c>
      <c r="BA234" t="str">
        <f>IF($C234="","",SUMIF('MOVIMENTI 2026'!$B$7:$B$4206,$C234,'MOVIMENTI 2026'!$I$7:$I$4206)+SUMIF('SALDI AL 31.12.2025'!$A$6:$A$505,$C234,'SALDI AL 31.12.2025'!$C$6:$C$505))</f>
        <v/>
      </c>
      <c r="BB234" t="str">
        <f>IF($C234="","",SUMIF('MOVIMENTI 2026'!$B$7:$B$4206,$C234,'MOVIMENTI 2026'!$J$7:$J$4206)+SUMIF('SALDI AL 31.12.2025'!$A$6:$A$505,$C234,'SALDI AL 31.12.2025'!$D$6:$D$505))</f>
        <v/>
      </c>
      <c r="BC234" t="str">
        <f>IF($C234="","",SUMIF('MOVIMENTI 2026'!$B$7:$B$4206,$C234,'MOVIMENTI 2026'!$K$7:$K$4206)+SUMIF('SALDI AL 31.12.2025'!$A$6:$A$505,$C234,'SALDI AL 31.12.2025'!$E$6:$E$505))</f>
        <v/>
      </c>
      <c r="BD234" t="str">
        <f>IF($C234="","",SUMIF('MOVIMENTI 2026'!$B$7:$B$4206,$C234,'MOVIMENTI 2026'!$L$7:$L$4206)+SUMIF('SALDI AL 31.12.2025'!$A$6:$A$505,$C234,'SALDI AL 31.12.2025'!$F$6:$F$505))</f>
        <v/>
      </c>
      <c r="BE234" t="str">
        <f t="shared" si="86"/>
        <v/>
      </c>
      <c r="BF234" t="str">
        <f t="shared" si="87"/>
        <v/>
      </c>
      <c r="BG234" t="str">
        <f t="shared" si="88"/>
        <v/>
      </c>
      <c r="BH234" t="str">
        <f>IFERROR(IF(OR($C234="",ANAGRAFICA!$I231="",ANAGRAFICA!$J231="",ANAGRAFICA!$J231&lt;=ANAGRAFICA!$I231,$Y234=""),"",IF(OR($I234="Finito ritenute non previste",$I234="Finito con sblocco ritenute",$I234="Finito senza sblocco ritenute"),1,MAX(0,MIN(1,($Y234-ANAGRAFICA!$I231)/(ANAGRAFICA!$J231-ANAGRAFICA!$I231))))),"")</f>
        <v/>
      </c>
      <c r="BI234" t="str">
        <f t="shared" si="89"/>
        <v/>
      </c>
      <c r="BJ234" t="str">
        <f>IFERROR(IF($C234="","",'BUDGET COMMESSA'!$D231),"")</f>
        <v/>
      </c>
      <c r="BK234" t="str">
        <f>IF($C234="","",SUMIF('MOVIMENTI 2026'!$B$7:$B$4206,$C234,'MOVIMENTI 2026'!$N$7:$N$4206)+SUMIF('SALDI AL 31.12.2025'!$A$6:$A$505,$C234,'SALDI AL 31.12.2025'!$H$6:$H$505))</f>
        <v/>
      </c>
      <c r="BL234" t="str">
        <f t="shared" si="90"/>
        <v/>
      </c>
      <c r="BM234" t="str">
        <f t="shared" si="91"/>
        <v/>
      </c>
      <c r="BN234" t="str">
        <f t="shared" si="92"/>
        <v/>
      </c>
      <c r="BO234" t="str">
        <f>IFERROR(IF($C234="","",'BUDGET COMMESSA'!$G231),"")</f>
        <v/>
      </c>
      <c r="BP234" t="str">
        <f>IF($C234="","",SUMIF('COSTI DIRETTI'!$C$6:$C$505,$C234,'COSTI DIRETTI'!$H$6:$H$505)+SUMIF('SALDI AL 31.12.2025'!$A$6:$A$505,$C234,'SALDI AL 31.12.2025'!$I$6:$I$505))</f>
        <v/>
      </c>
      <c r="BQ234" t="str">
        <f t="shared" si="93"/>
        <v/>
      </c>
      <c r="BR234" t="str">
        <f t="shared" si="94"/>
        <v/>
      </c>
      <c r="BS234" t="str">
        <f>IF($C234="","",$BK234*PARAMETRI!$B$4+$BP234)</f>
        <v/>
      </c>
      <c r="BT234">
        <f t="shared" si="95"/>
        <v>0</v>
      </c>
      <c r="BU234">
        <f t="shared" si="96"/>
        <v>0</v>
      </c>
      <c r="BV234" t="str">
        <f>IF($C234="","",SUMIF('MOVIMENTI 2026'!$B$7:$B$4206,$C234,'MOVIMENTI 2026'!$P$7:$P$4206)+SUMIF('SALDI AL 31.12.2025'!$A$6:$A$505,$C234,'SALDI AL 31.12.2025'!$G$6:$G$505))</f>
        <v/>
      </c>
    </row>
    <row r="235" spans="1:74" ht="16" x14ac:dyDescent="0.15">
      <c r="A235" s="17" t="str">
        <f>IFERROR(IF($C235="","",IF(OR($BF235&gt;0,$V235&gt;$J235,AND(ISNUMBER($Q235),$Q235&gt;0),AND($BI235&lt;&gt;"",$BI235&lt;-PARAMETRI!$B$6),AND($BM235&lt;&gt;"",$BM235&gt;=1),AND($BN235&lt;&gt;"",$BN235&gt;PARAMETRI!$B$8),AND(ISNUMBER($BR235),$BR235&gt;0)),"CRITICO",IF(OR($AZ235="",LEFT($C235,5)="TEMP",$BJ235="",$BO235="",ANAGRAFICA!$I232="",ANAGRAFICA!$J232="",$Y235="",AND(OR($I235="Finito ritenute non previste",$I235="Finito con sblocco ritenute",$I235="Finito senza sblocco ritenute"),ANAGRAFICA!$K232=""),OR(AND(ANAGRAFICA!$T232&lt;&gt;"",ANAGRAFICA!$J232&lt;&gt;ANAGRAFICA!$T232,OR(ANAGRAFICA!$R232="",ANAGRAFICA!$R232="Nessuna variazione")),AND(ANAGRAFICA!$J232="",ANAGRAFICA!$R232&lt;&gt;"",ANAGRAFICA!$R232&lt;&gt;"Nessuna variazione")),AND($BI235&lt;&gt;"",$BI235&lt;-PARAMETRI!$B$5),AND($BN235&lt;&gt;"",$BN235&gt;PARAMETRI!$B$7),AND($W235&gt;0,$M235&gt;$W235*PARAMETRI!$B$9),AND($O235&gt;0,OR($I235="Finito ritenute non previste",$I235="Finito con sblocco ritenute",$I235="Finito senza sblocco ritenute")),AND($BA235&gt;0,$BO235&gt;0,$BP235=0),AND(OR($I235="Finito ritenute non previste",$I235="Finito con sblocco ritenute",$I235="Finito senza sblocco ritenute"),$W235&gt;0,$N235&gt;$W235*PARAMETRI!$B$9),$V235&gt;0),"ATTENZIONE","REGOLARE"))),"ATTENZIONE")</f>
        <v/>
      </c>
      <c r="B235" s="17" t="str">
        <f>IFERROR(IF($C235="","",IF($BF235&gt;0,"FATTURATO OLTRE VALORE RECUPERABILE; ","")&amp;IF($V235&gt;$J235,"PERDITE ACCETTATE OLTRE CONTRATTO; ","")&amp;IF($V235&gt;0,"PERDITA SAL ACCETTATA (€ "&amp;TEXT($V235,"#,##0.00")&amp;"); ","")&amp;IF(AND(ISNUMBER($Q235),$Q235&gt;0),"RITARDO PRODUTTIVO ("&amp;TEXT($Q235,"0")&amp;" GG); ","")&amp;IF(AND($BI235&lt;&gt;"",$BI235&lt;-PARAMETRI!$B$5),"AVANZAMENTO PIÙ LENTO DEL TEMPO; ","")&amp;IF(AND($BM235&lt;&gt;"",$BM235&gt;1),"ORE OLTRE BUDGET; ","")&amp;IF(AND($BM235&lt;&gt;"",$BM235=1),"ORE PREVENTIVATE ESAURITE; ","")&amp;IF(AND($BN235&lt;&gt;"",$BN235&gt;PARAMETRI!$B$7),"CONSUMO ORE SUPERIORE ALL'AVANZAMENTO; ","")&amp;IF(AND(ISNUMBER($BR235),$BR235&gt;0),"COSTI DIRETTI OLTRE BUDGET; ","")&amp;IF(AND($W235&gt;0,$M235&gt;$W235*PARAMETRI!$B$9),"SAL MATURATO NON FATTURATO; ","")&amp;IF(AND($O235&gt;0,OR($I235="Finito ritenute non previste",$I235="Finito con sblocco ritenute",$I235="Finito senza sblocco ritenute")),"RITENUTE DA SBLOCCARE; ","")&amp;IF(AND($BA235&gt;0,$BO235&gt;0,$BP235=0),"COSTI DIRETTI NON REGISTRATI; ","")&amp;IF(AND(OR($I235="Finito ritenute non previste",$I235="Finito con sblocco ritenute",$I235="Finito senza sblocco ritenute"),$W235&gt;0,$N235&gt;$W235*PARAMETRI!$B$9),"CANTIERE FINITO CON RESIDUO LAVORI; ","")&amp;IF(AND(OR($I235="Finito ritenute non previste",$I235="Finito con sblocco ritenute",$I235="Finito senza sblocco ritenute"),ANAGRAFICA!$K232=""),"DATA FINE EFFETTIVA MANCANTE; ","")&amp;IF(OR(AND(ANAGRAFICA!$T232&lt;&gt;"",ANAGRAFICA!$J232&lt;&gt;ANAGRAFICA!$T232,OR(ANAGRAFICA!$R232="",ANAGRAFICA!$R232="Nessuna variazione")),AND(ANAGRAFICA!$J232="",ANAGRAFICA!$R232&lt;&gt;"",ANAGRAFICA!$R232&lt;&gt;"Nessuna variazione")),"GESTIONE DATA FINE INCOMPLETA; ","")&amp;IF($Y235="","AGGIORNATO AL MANCANTE; ","")&amp;IF(OR($AZ235="",$BJ235="",$BO235="",ANAGRAFICA!$I232="",ANAGRAFICA!$J232=""),"DATI PREVISIONALI INCOMPLETI; ","")&amp;IF(LEFT($C235,5)="TEMP","CODICE COMMESSA TEMPORANEO; ","")),"DATI INCOMPLETI; ")</f>
        <v/>
      </c>
      <c r="C235" s="17" t="str">
        <f>IF(ANAGRAFICA!$B232="","",ANAGRAFICA!$B232)</f>
        <v/>
      </c>
      <c r="D235" s="17" t="str">
        <f>IF($C235="","",ANAGRAFICA!$C232)</f>
        <v/>
      </c>
      <c r="E235" s="17" t="str">
        <f>IF($C235="","",ANAGRAFICA!$D232)</f>
        <v/>
      </c>
      <c r="F235" s="17" t="str">
        <f>IF($C235="","",ANAGRAFICA!$E232)</f>
        <v/>
      </c>
      <c r="G235" s="17" t="str">
        <f>IF($C235="","",ANAGRAFICA!$F232)</f>
        <v/>
      </c>
      <c r="H235" s="17" t="str">
        <f>IF($C235="","",ANAGRAFICA!$G232)</f>
        <v/>
      </c>
      <c r="I235" s="17" t="str">
        <f>IF($C235="","",ANAGRAFICA!$L232)</f>
        <v/>
      </c>
      <c r="J235" s="16" t="str">
        <f t="shared" si="73"/>
        <v/>
      </c>
      <c r="K235" s="16" t="str">
        <f t="shared" si="74"/>
        <v/>
      </c>
      <c r="L235" s="16" t="str">
        <f t="shared" si="75"/>
        <v/>
      </c>
      <c r="M235" s="16" t="str">
        <f t="shared" si="76"/>
        <v/>
      </c>
      <c r="N235" s="16" t="str">
        <f t="shared" si="77"/>
        <v/>
      </c>
      <c r="O235" s="16" t="str">
        <f t="shared" si="78"/>
        <v/>
      </c>
      <c r="P235" s="17" t="str">
        <f t="shared" si="79"/>
        <v/>
      </c>
      <c r="Q235" s="31" t="str">
        <f>IF(OR($C235="",'BUDGET COMMESSA'!$D232="",'BUDGET COMMESSA'!$D232&lt;=0,ANAGRAFICA!$J232=""),"",IF(OR($I235="Finito ritenute non previste",$I235="Finito con sblocco ritenute",$I235="Finito senza sblocco ritenute"),0,IF(AND($BK235&gt;=$BJ235,ANAGRAFICA!$R232="Ritardo produttivo FIDA"),IF(ANAGRAFICA!$T232&lt;&gt;"",MAX(0,ANAGRAFICA!$J232-ANAGRAFICA!$T232),MAX(0,$Y235-ANAGRAFICA!$J232)),0)))</f>
        <v/>
      </c>
      <c r="R235" s="17" t="str">
        <f t="shared" si="80"/>
        <v/>
      </c>
      <c r="S235" s="17" t="str">
        <f t="shared" si="81"/>
        <v/>
      </c>
      <c r="T235" s="17" t="str">
        <f t="shared" si="82"/>
        <v/>
      </c>
      <c r="U235" s="16" t="str">
        <f t="shared" si="83"/>
        <v/>
      </c>
      <c r="V235" s="16" t="str">
        <f t="shared" si="84"/>
        <v/>
      </c>
      <c r="W235" s="16" t="str">
        <f t="shared" si="85"/>
        <v/>
      </c>
      <c r="X235" s="40"/>
      <c r="Y235" s="14"/>
      <c r="AZ235" t="str">
        <f>IF($C235="","",ANAGRAFICA!$P232)</f>
        <v/>
      </c>
      <c r="BA235" t="str">
        <f>IF($C235="","",SUMIF('MOVIMENTI 2026'!$B$7:$B$4206,$C235,'MOVIMENTI 2026'!$I$7:$I$4206)+SUMIF('SALDI AL 31.12.2025'!$A$6:$A$505,$C235,'SALDI AL 31.12.2025'!$C$6:$C$505))</f>
        <v/>
      </c>
      <c r="BB235" t="str">
        <f>IF($C235="","",SUMIF('MOVIMENTI 2026'!$B$7:$B$4206,$C235,'MOVIMENTI 2026'!$J$7:$J$4206)+SUMIF('SALDI AL 31.12.2025'!$A$6:$A$505,$C235,'SALDI AL 31.12.2025'!$D$6:$D$505))</f>
        <v/>
      </c>
      <c r="BC235" t="str">
        <f>IF($C235="","",SUMIF('MOVIMENTI 2026'!$B$7:$B$4206,$C235,'MOVIMENTI 2026'!$K$7:$K$4206)+SUMIF('SALDI AL 31.12.2025'!$A$6:$A$505,$C235,'SALDI AL 31.12.2025'!$E$6:$E$505))</f>
        <v/>
      </c>
      <c r="BD235" t="str">
        <f>IF($C235="","",SUMIF('MOVIMENTI 2026'!$B$7:$B$4206,$C235,'MOVIMENTI 2026'!$L$7:$L$4206)+SUMIF('SALDI AL 31.12.2025'!$A$6:$A$505,$C235,'SALDI AL 31.12.2025'!$F$6:$F$505))</f>
        <v/>
      </c>
      <c r="BE235" t="str">
        <f t="shared" si="86"/>
        <v/>
      </c>
      <c r="BF235" t="str">
        <f t="shared" si="87"/>
        <v/>
      </c>
      <c r="BG235" t="str">
        <f t="shared" si="88"/>
        <v/>
      </c>
      <c r="BH235" t="str">
        <f>IFERROR(IF(OR($C235="",ANAGRAFICA!$I232="",ANAGRAFICA!$J232="",ANAGRAFICA!$J232&lt;=ANAGRAFICA!$I232,$Y235=""),"",IF(OR($I235="Finito ritenute non previste",$I235="Finito con sblocco ritenute",$I235="Finito senza sblocco ritenute"),1,MAX(0,MIN(1,($Y235-ANAGRAFICA!$I232)/(ANAGRAFICA!$J232-ANAGRAFICA!$I232))))),"")</f>
        <v/>
      </c>
      <c r="BI235" t="str">
        <f t="shared" si="89"/>
        <v/>
      </c>
      <c r="BJ235" t="str">
        <f>IFERROR(IF($C235="","",'BUDGET COMMESSA'!$D232),"")</f>
        <v/>
      </c>
      <c r="BK235" t="str">
        <f>IF($C235="","",SUMIF('MOVIMENTI 2026'!$B$7:$B$4206,$C235,'MOVIMENTI 2026'!$N$7:$N$4206)+SUMIF('SALDI AL 31.12.2025'!$A$6:$A$505,$C235,'SALDI AL 31.12.2025'!$H$6:$H$505))</f>
        <v/>
      </c>
      <c r="BL235" t="str">
        <f t="shared" si="90"/>
        <v/>
      </c>
      <c r="BM235" t="str">
        <f t="shared" si="91"/>
        <v/>
      </c>
      <c r="BN235" t="str">
        <f t="shared" si="92"/>
        <v/>
      </c>
      <c r="BO235" t="str">
        <f>IFERROR(IF($C235="","",'BUDGET COMMESSA'!$G232),"")</f>
        <v/>
      </c>
      <c r="BP235" t="str">
        <f>IF($C235="","",SUMIF('COSTI DIRETTI'!$C$6:$C$505,$C235,'COSTI DIRETTI'!$H$6:$H$505)+SUMIF('SALDI AL 31.12.2025'!$A$6:$A$505,$C235,'SALDI AL 31.12.2025'!$I$6:$I$505))</f>
        <v/>
      </c>
      <c r="BQ235" t="str">
        <f t="shared" si="93"/>
        <v/>
      </c>
      <c r="BR235" t="str">
        <f t="shared" si="94"/>
        <v/>
      </c>
      <c r="BS235" t="str">
        <f>IF($C235="","",$BK235*PARAMETRI!$B$4+$BP235)</f>
        <v/>
      </c>
      <c r="BT235">
        <f t="shared" si="95"/>
        <v>0</v>
      </c>
      <c r="BU235">
        <f t="shared" si="96"/>
        <v>0</v>
      </c>
      <c r="BV235" t="str">
        <f>IF($C235="","",SUMIF('MOVIMENTI 2026'!$B$7:$B$4206,$C235,'MOVIMENTI 2026'!$P$7:$P$4206)+SUMIF('SALDI AL 31.12.2025'!$A$6:$A$505,$C235,'SALDI AL 31.12.2025'!$G$6:$G$505))</f>
        <v/>
      </c>
    </row>
    <row r="236" spans="1:74" ht="16" x14ac:dyDescent="0.15">
      <c r="A236" s="17" t="str">
        <f>IFERROR(IF($C236="","",IF(OR($BF236&gt;0,$V236&gt;$J236,AND(ISNUMBER($Q236),$Q236&gt;0),AND($BI236&lt;&gt;"",$BI236&lt;-PARAMETRI!$B$6),AND($BM236&lt;&gt;"",$BM236&gt;=1),AND($BN236&lt;&gt;"",$BN236&gt;PARAMETRI!$B$8),AND(ISNUMBER($BR236),$BR236&gt;0)),"CRITICO",IF(OR($AZ236="",LEFT($C236,5)="TEMP",$BJ236="",$BO236="",ANAGRAFICA!$I233="",ANAGRAFICA!$J233="",$Y236="",AND(OR($I236="Finito ritenute non previste",$I236="Finito con sblocco ritenute",$I236="Finito senza sblocco ritenute"),ANAGRAFICA!$K233=""),OR(AND(ANAGRAFICA!$T233&lt;&gt;"",ANAGRAFICA!$J233&lt;&gt;ANAGRAFICA!$T233,OR(ANAGRAFICA!$R233="",ANAGRAFICA!$R233="Nessuna variazione")),AND(ANAGRAFICA!$J233="",ANAGRAFICA!$R233&lt;&gt;"",ANAGRAFICA!$R233&lt;&gt;"Nessuna variazione")),AND($BI236&lt;&gt;"",$BI236&lt;-PARAMETRI!$B$5),AND($BN236&lt;&gt;"",$BN236&gt;PARAMETRI!$B$7),AND($W236&gt;0,$M236&gt;$W236*PARAMETRI!$B$9),AND($O236&gt;0,OR($I236="Finito ritenute non previste",$I236="Finito con sblocco ritenute",$I236="Finito senza sblocco ritenute")),AND($BA236&gt;0,$BO236&gt;0,$BP236=0),AND(OR($I236="Finito ritenute non previste",$I236="Finito con sblocco ritenute",$I236="Finito senza sblocco ritenute"),$W236&gt;0,$N236&gt;$W236*PARAMETRI!$B$9),$V236&gt;0),"ATTENZIONE","REGOLARE"))),"ATTENZIONE")</f>
        <v/>
      </c>
      <c r="B236" s="17" t="str">
        <f>IFERROR(IF($C236="","",IF($BF236&gt;0,"FATTURATO OLTRE VALORE RECUPERABILE; ","")&amp;IF($V236&gt;$J236,"PERDITE ACCETTATE OLTRE CONTRATTO; ","")&amp;IF($V236&gt;0,"PERDITA SAL ACCETTATA (€ "&amp;TEXT($V236,"#,##0.00")&amp;"); ","")&amp;IF(AND(ISNUMBER($Q236),$Q236&gt;0),"RITARDO PRODUTTIVO ("&amp;TEXT($Q236,"0")&amp;" GG); ","")&amp;IF(AND($BI236&lt;&gt;"",$BI236&lt;-PARAMETRI!$B$5),"AVANZAMENTO PIÙ LENTO DEL TEMPO; ","")&amp;IF(AND($BM236&lt;&gt;"",$BM236&gt;1),"ORE OLTRE BUDGET; ","")&amp;IF(AND($BM236&lt;&gt;"",$BM236=1),"ORE PREVENTIVATE ESAURITE; ","")&amp;IF(AND($BN236&lt;&gt;"",$BN236&gt;PARAMETRI!$B$7),"CONSUMO ORE SUPERIORE ALL'AVANZAMENTO; ","")&amp;IF(AND(ISNUMBER($BR236),$BR236&gt;0),"COSTI DIRETTI OLTRE BUDGET; ","")&amp;IF(AND($W236&gt;0,$M236&gt;$W236*PARAMETRI!$B$9),"SAL MATURATO NON FATTURATO; ","")&amp;IF(AND($O236&gt;0,OR($I236="Finito ritenute non previste",$I236="Finito con sblocco ritenute",$I236="Finito senza sblocco ritenute")),"RITENUTE DA SBLOCCARE; ","")&amp;IF(AND($BA236&gt;0,$BO236&gt;0,$BP236=0),"COSTI DIRETTI NON REGISTRATI; ","")&amp;IF(AND(OR($I236="Finito ritenute non previste",$I236="Finito con sblocco ritenute",$I236="Finito senza sblocco ritenute"),$W236&gt;0,$N236&gt;$W236*PARAMETRI!$B$9),"CANTIERE FINITO CON RESIDUO LAVORI; ","")&amp;IF(AND(OR($I236="Finito ritenute non previste",$I236="Finito con sblocco ritenute",$I236="Finito senza sblocco ritenute"),ANAGRAFICA!$K233=""),"DATA FINE EFFETTIVA MANCANTE; ","")&amp;IF(OR(AND(ANAGRAFICA!$T233&lt;&gt;"",ANAGRAFICA!$J233&lt;&gt;ANAGRAFICA!$T233,OR(ANAGRAFICA!$R233="",ANAGRAFICA!$R233="Nessuna variazione")),AND(ANAGRAFICA!$J233="",ANAGRAFICA!$R233&lt;&gt;"",ANAGRAFICA!$R233&lt;&gt;"Nessuna variazione")),"GESTIONE DATA FINE INCOMPLETA; ","")&amp;IF($Y236="","AGGIORNATO AL MANCANTE; ","")&amp;IF(OR($AZ236="",$BJ236="",$BO236="",ANAGRAFICA!$I233="",ANAGRAFICA!$J233=""),"DATI PREVISIONALI INCOMPLETI; ","")&amp;IF(LEFT($C236,5)="TEMP","CODICE COMMESSA TEMPORANEO; ","")),"DATI INCOMPLETI; ")</f>
        <v/>
      </c>
      <c r="C236" s="17" t="str">
        <f>IF(ANAGRAFICA!$B233="","",ANAGRAFICA!$B233)</f>
        <v/>
      </c>
      <c r="D236" s="17" t="str">
        <f>IF($C236="","",ANAGRAFICA!$C233)</f>
        <v/>
      </c>
      <c r="E236" s="17" t="str">
        <f>IF($C236="","",ANAGRAFICA!$D233)</f>
        <v/>
      </c>
      <c r="F236" s="17" t="str">
        <f>IF($C236="","",ANAGRAFICA!$E233)</f>
        <v/>
      </c>
      <c r="G236" s="17" t="str">
        <f>IF($C236="","",ANAGRAFICA!$F233)</f>
        <v/>
      </c>
      <c r="H236" s="17" t="str">
        <f>IF($C236="","",ANAGRAFICA!$G233)</f>
        <v/>
      </c>
      <c r="I236" s="17" t="str">
        <f>IF($C236="","",ANAGRAFICA!$L233)</f>
        <v/>
      </c>
      <c r="J236" s="16" t="str">
        <f t="shared" si="73"/>
        <v/>
      </c>
      <c r="K236" s="16" t="str">
        <f t="shared" si="74"/>
        <v/>
      </c>
      <c r="L236" s="16" t="str">
        <f t="shared" si="75"/>
        <v/>
      </c>
      <c r="M236" s="16" t="str">
        <f t="shared" si="76"/>
        <v/>
      </c>
      <c r="N236" s="16" t="str">
        <f t="shared" si="77"/>
        <v/>
      </c>
      <c r="O236" s="16" t="str">
        <f t="shared" si="78"/>
        <v/>
      </c>
      <c r="P236" s="17" t="str">
        <f t="shared" si="79"/>
        <v/>
      </c>
      <c r="Q236" s="31" t="str">
        <f>IF(OR($C236="",'BUDGET COMMESSA'!$D233="",'BUDGET COMMESSA'!$D233&lt;=0,ANAGRAFICA!$J233=""),"",IF(OR($I236="Finito ritenute non previste",$I236="Finito con sblocco ritenute",$I236="Finito senza sblocco ritenute"),0,IF(AND($BK236&gt;=$BJ236,ANAGRAFICA!$R233="Ritardo produttivo FIDA"),IF(ANAGRAFICA!$T233&lt;&gt;"",MAX(0,ANAGRAFICA!$J233-ANAGRAFICA!$T233),MAX(0,$Y236-ANAGRAFICA!$J233)),0)))</f>
        <v/>
      </c>
      <c r="R236" s="17" t="str">
        <f t="shared" si="80"/>
        <v/>
      </c>
      <c r="S236" s="17" t="str">
        <f t="shared" si="81"/>
        <v/>
      </c>
      <c r="T236" s="17" t="str">
        <f t="shared" si="82"/>
        <v/>
      </c>
      <c r="U236" s="16" t="str">
        <f t="shared" si="83"/>
        <v/>
      </c>
      <c r="V236" s="16" t="str">
        <f t="shared" si="84"/>
        <v/>
      </c>
      <c r="W236" s="16" t="str">
        <f t="shared" si="85"/>
        <v/>
      </c>
      <c r="X236" s="40"/>
      <c r="Y236" s="14"/>
      <c r="AZ236" t="str">
        <f>IF($C236="","",ANAGRAFICA!$P233)</f>
        <v/>
      </c>
      <c r="BA236" t="str">
        <f>IF($C236="","",SUMIF('MOVIMENTI 2026'!$B$7:$B$4206,$C236,'MOVIMENTI 2026'!$I$7:$I$4206)+SUMIF('SALDI AL 31.12.2025'!$A$6:$A$505,$C236,'SALDI AL 31.12.2025'!$C$6:$C$505))</f>
        <v/>
      </c>
      <c r="BB236" t="str">
        <f>IF($C236="","",SUMIF('MOVIMENTI 2026'!$B$7:$B$4206,$C236,'MOVIMENTI 2026'!$J$7:$J$4206)+SUMIF('SALDI AL 31.12.2025'!$A$6:$A$505,$C236,'SALDI AL 31.12.2025'!$D$6:$D$505))</f>
        <v/>
      </c>
      <c r="BC236" t="str">
        <f>IF($C236="","",SUMIF('MOVIMENTI 2026'!$B$7:$B$4206,$C236,'MOVIMENTI 2026'!$K$7:$K$4206)+SUMIF('SALDI AL 31.12.2025'!$A$6:$A$505,$C236,'SALDI AL 31.12.2025'!$E$6:$E$505))</f>
        <v/>
      </c>
      <c r="BD236" t="str">
        <f>IF($C236="","",SUMIF('MOVIMENTI 2026'!$B$7:$B$4206,$C236,'MOVIMENTI 2026'!$L$7:$L$4206)+SUMIF('SALDI AL 31.12.2025'!$A$6:$A$505,$C236,'SALDI AL 31.12.2025'!$F$6:$F$505))</f>
        <v/>
      </c>
      <c r="BE236" t="str">
        <f t="shared" si="86"/>
        <v/>
      </c>
      <c r="BF236" t="str">
        <f t="shared" si="87"/>
        <v/>
      </c>
      <c r="BG236" t="str">
        <f t="shared" si="88"/>
        <v/>
      </c>
      <c r="BH236" t="str">
        <f>IFERROR(IF(OR($C236="",ANAGRAFICA!$I233="",ANAGRAFICA!$J233="",ANAGRAFICA!$J233&lt;=ANAGRAFICA!$I233,$Y236=""),"",IF(OR($I236="Finito ritenute non previste",$I236="Finito con sblocco ritenute",$I236="Finito senza sblocco ritenute"),1,MAX(0,MIN(1,($Y236-ANAGRAFICA!$I233)/(ANAGRAFICA!$J233-ANAGRAFICA!$I233))))),"")</f>
        <v/>
      </c>
      <c r="BI236" t="str">
        <f t="shared" si="89"/>
        <v/>
      </c>
      <c r="BJ236" t="str">
        <f>IFERROR(IF($C236="","",'BUDGET COMMESSA'!$D233),"")</f>
        <v/>
      </c>
      <c r="BK236" t="str">
        <f>IF($C236="","",SUMIF('MOVIMENTI 2026'!$B$7:$B$4206,$C236,'MOVIMENTI 2026'!$N$7:$N$4206)+SUMIF('SALDI AL 31.12.2025'!$A$6:$A$505,$C236,'SALDI AL 31.12.2025'!$H$6:$H$505))</f>
        <v/>
      </c>
      <c r="BL236" t="str">
        <f t="shared" si="90"/>
        <v/>
      </c>
      <c r="BM236" t="str">
        <f t="shared" si="91"/>
        <v/>
      </c>
      <c r="BN236" t="str">
        <f t="shared" si="92"/>
        <v/>
      </c>
      <c r="BO236" t="str">
        <f>IFERROR(IF($C236="","",'BUDGET COMMESSA'!$G233),"")</f>
        <v/>
      </c>
      <c r="BP236" t="str">
        <f>IF($C236="","",SUMIF('COSTI DIRETTI'!$C$6:$C$505,$C236,'COSTI DIRETTI'!$H$6:$H$505)+SUMIF('SALDI AL 31.12.2025'!$A$6:$A$505,$C236,'SALDI AL 31.12.2025'!$I$6:$I$505))</f>
        <v/>
      </c>
      <c r="BQ236" t="str">
        <f t="shared" si="93"/>
        <v/>
      </c>
      <c r="BR236" t="str">
        <f t="shared" si="94"/>
        <v/>
      </c>
      <c r="BS236" t="str">
        <f>IF($C236="","",$BK236*PARAMETRI!$B$4+$BP236)</f>
        <v/>
      </c>
      <c r="BT236">
        <f t="shared" si="95"/>
        <v>0</v>
      </c>
      <c r="BU236">
        <f t="shared" si="96"/>
        <v>0</v>
      </c>
      <c r="BV236" t="str">
        <f>IF($C236="","",SUMIF('MOVIMENTI 2026'!$B$7:$B$4206,$C236,'MOVIMENTI 2026'!$P$7:$P$4206)+SUMIF('SALDI AL 31.12.2025'!$A$6:$A$505,$C236,'SALDI AL 31.12.2025'!$G$6:$G$505))</f>
        <v/>
      </c>
    </row>
    <row r="237" spans="1:74" ht="16" x14ac:dyDescent="0.15">
      <c r="A237" s="17" t="str">
        <f>IFERROR(IF($C237="","",IF(OR($BF237&gt;0,$V237&gt;$J237,AND(ISNUMBER($Q237),$Q237&gt;0),AND($BI237&lt;&gt;"",$BI237&lt;-PARAMETRI!$B$6),AND($BM237&lt;&gt;"",$BM237&gt;=1),AND($BN237&lt;&gt;"",$BN237&gt;PARAMETRI!$B$8),AND(ISNUMBER($BR237),$BR237&gt;0)),"CRITICO",IF(OR($AZ237="",LEFT($C237,5)="TEMP",$BJ237="",$BO237="",ANAGRAFICA!$I234="",ANAGRAFICA!$J234="",$Y237="",AND(OR($I237="Finito ritenute non previste",$I237="Finito con sblocco ritenute",$I237="Finito senza sblocco ritenute"),ANAGRAFICA!$K234=""),OR(AND(ANAGRAFICA!$T234&lt;&gt;"",ANAGRAFICA!$J234&lt;&gt;ANAGRAFICA!$T234,OR(ANAGRAFICA!$R234="",ANAGRAFICA!$R234="Nessuna variazione")),AND(ANAGRAFICA!$J234="",ANAGRAFICA!$R234&lt;&gt;"",ANAGRAFICA!$R234&lt;&gt;"Nessuna variazione")),AND($BI237&lt;&gt;"",$BI237&lt;-PARAMETRI!$B$5),AND($BN237&lt;&gt;"",$BN237&gt;PARAMETRI!$B$7),AND($W237&gt;0,$M237&gt;$W237*PARAMETRI!$B$9),AND($O237&gt;0,OR($I237="Finito ritenute non previste",$I237="Finito con sblocco ritenute",$I237="Finito senza sblocco ritenute")),AND($BA237&gt;0,$BO237&gt;0,$BP237=0),AND(OR($I237="Finito ritenute non previste",$I237="Finito con sblocco ritenute",$I237="Finito senza sblocco ritenute"),$W237&gt;0,$N237&gt;$W237*PARAMETRI!$B$9),$V237&gt;0),"ATTENZIONE","REGOLARE"))),"ATTENZIONE")</f>
        <v/>
      </c>
      <c r="B237" s="17" t="str">
        <f>IFERROR(IF($C237="","",IF($BF237&gt;0,"FATTURATO OLTRE VALORE RECUPERABILE; ","")&amp;IF($V237&gt;$J237,"PERDITE ACCETTATE OLTRE CONTRATTO; ","")&amp;IF($V237&gt;0,"PERDITA SAL ACCETTATA (€ "&amp;TEXT($V237,"#,##0.00")&amp;"); ","")&amp;IF(AND(ISNUMBER($Q237),$Q237&gt;0),"RITARDO PRODUTTIVO ("&amp;TEXT($Q237,"0")&amp;" GG); ","")&amp;IF(AND($BI237&lt;&gt;"",$BI237&lt;-PARAMETRI!$B$5),"AVANZAMENTO PIÙ LENTO DEL TEMPO; ","")&amp;IF(AND($BM237&lt;&gt;"",$BM237&gt;1),"ORE OLTRE BUDGET; ","")&amp;IF(AND($BM237&lt;&gt;"",$BM237=1),"ORE PREVENTIVATE ESAURITE; ","")&amp;IF(AND($BN237&lt;&gt;"",$BN237&gt;PARAMETRI!$B$7),"CONSUMO ORE SUPERIORE ALL'AVANZAMENTO; ","")&amp;IF(AND(ISNUMBER($BR237),$BR237&gt;0),"COSTI DIRETTI OLTRE BUDGET; ","")&amp;IF(AND($W237&gt;0,$M237&gt;$W237*PARAMETRI!$B$9),"SAL MATURATO NON FATTURATO; ","")&amp;IF(AND($O237&gt;0,OR($I237="Finito ritenute non previste",$I237="Finito con sblocco ritenute",$I237="Finito senza sblocco ritenute")),"RITENUTE DA SBLOCCARE; ","")&amp;IF(AND($BA237&gt;0,$BO237&gt;0,$BP237=0),"COSTI DIRETTI NON REGISTRATI; ","")&amp;IF(AND(OR($I237="Finito ritenute non previste",$I237="Finito con sblocco ritenute",$I237="Finito senza sblocco ritenute"),$W237&gt;0,$N237&gt;$W237*PARAMETRI!$B$9),"CANTIERE FINITO CON RESIDUO LAVORI; ","")&amp;IF(AND(OR($I237="Finito ritenute non previste",$I237="Finito con sblocco ritenute",$I237="Finito senza sblocco ritenute"),ANAGRAFICA!$K234=""),"DATA FINE EFFETTIVA MANCANTE; ","")&amp;IF(OR(AND(ANAGRAFICA!$T234&lt;&gt;"",ANAGRAFICA!$J234&lt;&gt;ANAGRAFICA!$T234,OR(ANAGRAFICA!$R234="",ANAGRAFICA!$R234="Nessuna variazione")),AND(ANAGRAFICA!$J234="",ANAGRAFICA!$R234&lt;&gt;"",ANAGRAFICA!$R234&lt;&gt;"Nessuna variazione")),"GESTIONE DATA FINE INCOMPLETA; ","")&amp;IF($Y237="","AGGIORNATO AL MANCANTE; ","")&amp;IF(OR($AZ237="",$BJ237="",$BO237="",ANAGRAFICA!$I234="",ANAGRAFICA!$J234=""),"DATI PREVISIONALI INCOMPLETI; ","")&amp;IF(LEFT($C237,5)="TEMP","CODICE COMMESSA TEMPORANEO; ","")),"DATI INCOMPLETI; ")</f>
        <v/>
      </c>
      <c r="C237" s="17" t="str">
        <f>IF(ANAGRAFICA!$B234="","",ANAGRAFICA!$B234)</f>
        <v/>
      </c>
      <c r="D237" s="17" t="str">
        <f>IF($C237="","",ANAGRAFICA!$C234)</f>
        <v/>
      </c>
      <c r="E237" s="17" t="str">
        <f>IF($C237="","",ANAGRAFICA!$D234)</f>
        <v/>
      </c>
      <c r="F237" s="17" t="str">
        <f>IF($C237="","",ANAGRAFICA!$E234)</f>
        <v/>
      </c>
      <c r="G237" s="17" t="str">
        <f>IF($C237="","",ANAGRAFICA!$F234)</f>
        <v/>
      </c>
      <c r="H237" s="17" t="str">
        <f>IF($C237="","",ANAGRAFICA!$G234)</f>
        <v/>
      </c>
      <c r="I237" s="17" t="str">
        <f>IF($C237="","",ANAGRAFICA!$L234)</f>
        <v/>
      </c>
      <c r="J237" s="16" t="str">
        <f t="shared" si="73"/>
        <v/>
      </c>
      <c r="K237" s="16" t="str">
        <f t="shared" si="74"/>
        <v/>
      </c>
      <c r="L237" s="16" t="str">
        <f t="shared" si="75"/>
        <v/>
      </c>
      <c r="M237" s="16" t="str">
        <f t="shared" si="76"/>
        <v/>
      </c>
      <c r="N237" s="16" t="str">
        <f t="shared" si="77"/>
        <v/>
      </c>
      <c r="O237" s="16" t="str">
        <f t="shared" si="78"/>
        <v/>
      </c>
      <c r="P237" s="17" t="str">
        <f t="shared" si="79"/>
        <v/>
      </c>
      <c r="Q237" s="31" t="str">
        <f>IF(OR($C237="",'BUDGET COMMESSA'!$D234="",'BUDGET COMMESSA'!$D234&lt;=0,ANAGRAFICA!$J234=""),"",IF(OR($I237="Finito ritenute non previste",$I237="Finito con sblocco ritenute",$I237="Finito senza sblocco ritenute"),0,IF(AND($BK237&gt;=$BJ237,ANAGRAFICA!$R234="Ritardo produttivo FIDA"),IF(ANAGRAFICA!$T234&lt;&gt;"",MAX(0,ANAGRAFICA!$J234-ANAGRAFICA!$T234),MAX(0,$Y237-ANAGRAFICA!$J234)),0)))</f>
        <v/>
      </c>
      <c r="R237" s="17" t="str">
        <f t="shared" si="80"/>
        <v/>
      </c>
      <c r="S237" s="17" t="str">
        <f t="shared" si="81"/>
        <v/>
      </c>
      <c r="T237" s="17" t="str">
        <f t="shared" si="82"/>
        <v/>
      </c>
      <c r="U237" s="16" t="str">
        <f t="shared" si="83"/>
        <v/>
      </c>
      <c r="V237" s="16" t="str">
        <f t="shared" si="84"/>
        <v/>
      </c>
      <c r="W237" s="16" t="str">
        <f t="shared" si="85"/>
        <v/>
      </c>
      <c r="X237" s="40"/>
      <c r="Y237" s="14"/>
      <c r="AZ237" t="str">
        <f>IF($C237="","",ANAGRAFICA!$P234)</f>
        <v/>
      </c>
      <c r="BA237" t="str">
        <f>IF($C237="","",SUMIF('MOVIMENTI 2026'!$B$7:$B$4206,$C237,'MOVIMENTI 2026'!$I$7:$I$4206)+SUMIF('SALDI AL 31.12.2025'!$A$6:$A$505,$C237,'SALDI AL 31.12.2025'!$C$6:$C$505))</f>
        <v/>
      </c>
      <c r="BB237" t="str">
        <f>IF($C237="","",SUMIF('MOVIMENTI 2026'!$B$7:$B$4206,$C237,'MOVIMENTI 2026'!$J$7:$J$4206)+SUMIF('SALDI AL 31.12.2025'!$A$6:$A$505,$C237,'SALDI AL 31.12.2025'!$D$6:$D$505))</f>
        <v/>
      </c>
      <c r="BC237" t="str">
        <f>IF($C237="","",SUMIF('MOVIMENTI 2026'!$B$7:$B$4206,$C237,'MOVIMENTI 2026'!$K$7:$K$4206)+SUMIF('SALDI AL 31.12.2025'!$A$6:$A$505,$C237,'SALDI AL 31.12.2025'!$E$6:$E$505))</f>
        <v/>
      </c>
      <c r="BD237" t="str">
        <f>IF($C237="","",SUMIF('MOVIMENTI 2026'!$B$7:$B$4206,$C237,'MOVIMENTI 2026'!$L$7:$L$4206)+SUMIF('SALDI AL 31.12.2025'!$A$6:$A$505,$C237,'SALDI AL 31.12.2025'!$F$6:$F$505))</f>
        <v/>
      </c>
      <c r="BE237" t="str">
        <f t="shared" si="86"/>
        <v/>
      </c>
      <c r="BF237" t="str">
        <f t="shared" si="87"/>
        <v/>
      </c>
      <c r="BG237" t="str">
        <f t="shared" si="88"/>
        <v/>
      </c>
      <c r="BH237" t="str">
        <f>IFERROR(IF(OR($C237="",ANAGRAFICA!$I234="",ANAGRAFICA!$J234="",ANAGRAFICA!$J234&lt;=ANAGRAFICA!$I234,$Y237=""),"",IF(OR($I237="Finito ritenute non previste",$I237="Finito con sblocco ritenute",$I237="Finito senza sblocco ritenute"),1,MAX(0,MIN(1,($Y237-ANAGRAFICA!$I234)/(ANAGRAFICA!$J234-ANAGRAFICA!$I234))))),"")</f>
        <v/>
      </c>
      <c r="BI237" t="str">
        <f t="shared" si="89"/>
        <v/>
      </c>
      <c r="BJ237" t="str">
        <f>IFERROR(IF($C237="","",'BUDGET COMMESSA'!$D234),"")</f>
        <v/>
      </c>
      <c r="BK237" t="str">
        <f>IF($C237="","",SUMIF('MOVIMENTI 2026'!$B$7:$B$4206,$C237,'MOVIMENTI 2026'!$N$7:$N$4206)+SUMIF('SALDI AL 31.12.2025'!$A$6:$A$505,$C237,'SALDI AL 31.12.2025'!$H$6:$H$505))</f>
        <v/>
      </c>
      <c r="BL237" t="str">
        <f t="shared" si="90"/>
        <v/>
      </c>
      <c r="BM237" t="str">
        <f t="shared" si="91"/>
        <v/>
      </c>
      <c r="BN237" t="str">
        <f t="shared" si="92"/>
        <v/>
      </c>
      <c r="BO237" t="str">
        <f>IFERROR(IF($C237="","",'BUDGET COMMESSA'!$G234),"")</f>
        <v/>
      </c>
      <c r="BP237" t="str">
        <f>IF($C237="","",SUMIF('COSTI DIRETTI'!$C$6:$C$505,$C237,'COSTI DIRETTI'!$H$6:$H$505)+SUMIF('SALDI AL 31.12.2025'!$A$6:$A$505,$C237,'SALDI AL 31.12.2025'!$I$6:$I$505))</f>
        <v/>
      </c>
      <c r="BQ237" t="str">
        <f t="shared" si="93"/>
        <v/>
      </c>
      <c r="BR237" t="str">
        <f t="shared" si="94"/>
        <v/>
      </c>
      <c r="BS237" t="str">
        <f>IF($C237="","",$BK237*PARAMETRI!$B$4+$BP237)</f>
        <v/>
      </c>
      <c r="BT237">
        <f t="shared" si="95"/>
        <v>0</v>
      </c>
      <c r="BU237">
        <f t="shared" si="96"/>
        <v>0</v>
      </c>
      <c r="BV237" t="str">
        <f>IF($C237="","",SUMIF('MOVIMENTI 2026'!$B$7:$B$4206,$C237,'MOVIMENTI 2026'!$P$7:$P$4206)+SUMIF('SALDI AL 31.12.2025'!$A$6:$A$505,$C237,'SALDI AL 31.12.2025'!$G$6:$G$505))</f>
        <v/>
      </c>
    </row>
    <row r="238" spans="1:74" ht="16" x14ac:dyDescent="0.15">
      <c r="A238" s="17" t="str">
        <f>IFERROR(IF($C238="","",IF(OR($BF238&gt;0,$V238&gt;$J238,AND(ISNUMBER($Q238),$Q238&gt;0),AND($BI238&lt;&gt;"",$BI238&lt;-PARAMETRI!$B$6),AND($BM238&lt;&gt;"",$BM238&gt;=1),AND($BN238&lt;&gt;"",$BN238&gt;PARAMETRI!$B$8),AND(ISNUMBER($BR238),$BR238&gt;0)),"CRITICO",IF(OR($AZ238="",LEFT($C238,5)="TEMP",$BJ238="",$BO238="",ANAGRAFICA!$I235="",ANAGRAFICA!$J235="",$Y238="",AND(OR($I238="Finito ritenute non previste",$I238="Finito con sblocco ritenute",$I238="Finito senza sblocco ritenute"),ANAGRAFICA!$K235=""),OR(AND(ANAGRAFICA!$T235&lt;&gt;"",ANAGRAFICA!$J235&lt;&gt;ANAGRAFICA!$T235,OR(ANAGRAFICA!$R235="",ANAGRAFICA!$R235="Nessuna variazione")),AND(ANAGRAFICA!$J235="",ANAGRAFICA!$R235&lt;&gt;"",ANAGRAFICA!$R235&lt;&gt;"Nessuna variazione")),AND($BI238&lt;&gt;"",$BI238&lt;-PARAMETRI!$B$5),AND($BN238&lt;&gt;"",$BN238&gt;PARAMETRI!$B$7),AND($W238&gt;0,$M238&gt;$W238*PARAMETRI!$B$9),AND($O238&gt;0,OR($I238="Finito ritenute non previste",$I238="Finito con sblocco ritenute",$I238="Finito senza sblocco ritenute")),AND($BA238&gt;0,$BO238&gt;0,$BP238=0),AND(OR($I238="Finito ritenute non previste",$I238="Finito con sblocco ritenute",$I238="Finito senza sblocco ritenute"),$W238&gt;0,$N238&gt;$W238*PARAMETRI!$B$9),$V238&gt;0),"ATTENZIONE","REGOLARE"))),"ATTENZIONE")</f>
        <v/>
      </c>
      <c r="B238" s="17" t="str">
        <f>IFERROR(IF($C238="","",IF($BF238&gt;0,"FATTURATO OLTRE VALORE RECUPERABILE; ","")&amp;IF($V238&gt;$J238,"PERDITE ACCETTATE OLTRE CONTRATTO; ","")&amp;IF($V238&gt;0,"PERDITA SAL ACCETTATA (€ "&amp;TEXT($V238,"#,##0.00")&amp;"); ","")&amp;IF(AND(ISNUMBER($Q238),$Q238&gt;0),"RITARDO PRODUTTIVO ("&amp;TEXT($Q238,"0")&amp;" GG); ","")&amp;IF(AND($BI238&lt;&gt;"",$BI238&lt;-PARAMETRI!$B$5),"AVANZAMENTO PIÙ LENTO DEL TEMPO; ","")&amp;IF(AND($BM238&lt;&gt;"",$BM238&gt;1),"ORE OLTRE BUDGET; ","")&amp;IF(AND($BM238&lt;&gt;"",$BM238=1),"ORE PREVENTIVATE ESAURITE; ","")&amp;IF(AND($BN238&lt;&gt;"",$BN238&gt;PARAMETRI!$B$7),"CONSUMO ORE SUPERIORE ALL'AVANZAMENTO; ","")&amp;IF(AND(ISNUMBER($BR238),$BR238&gt;0),"COSTI DIRETTI OLTRE BUDGET; ","")&amp;IF(AND($W238&gt;0,$M238&gt;$W238*PARAMETRI!$B$9),"SAL MATURATO NON FATTURATO; ","")&amp;IF(AND($O238&gt;0,OR($I238="Finito ritenute non previste",$I238="Finito con sblocco ritenute",$I238="Finito senza sblocco ritenute")),"RITENUTE DA SBLOCCARE; ","")&amp;IF(AND($BA238&gt;0,$BO238&gt;0,$BP238=0),"COSTI DIRETTI NON REGISTRATI; ","")&amp;IF(AND(OR($I238="Finito ritenute non previste",$I238="Finito con sblocco ritenute",$I238="Finito senza sblocco ritenute"),$W238&gt;0,$N238&gt;$W238*PARAMETRI!$B$9),"CANTIERE FINITO CON RESIDUO LAVORI; ","")&amp;IF(AND(OR($I238="Finito ritenute non previste",$I238="Finito con sblocco ritenute",$I238="Finito senza sblocco ritenute"),ANAGRAFICA!$K235=""),"DATA FINE EFFETTIVA MANCANTE; ","")&amp;IF(OR(AND(ANAGRAFICA!$T235&lt;&gt;"",ANAGRAFICA!$J235&lt;&gt;ANAGRAFICA!$T235,OR(ANAGRAFICA!$R235="",ANAGRAFICA!$R235="Nessuna variazione")),AND(ANAGRAFICA!$J235="",ANAGRAFICA!$R235&lt;&gt;"",ANAGRAFICA!$R235&lt;&gt;"Nessuna variazione")),"GESTIONE DATA FINE INCOMPLETA; ","")&amp;IF($Y238="","AGGIORNATO AL MANCANTE; ","")&amp;IF(OR($AZ238="",$BJ238="",$BO238="",ANAGRAFICA!$I235="",ANAGRAFICA!$J235=""),"DATI PREVISIONALI INCOMPLETI; ","")&amp;IF(LEFT($C238,5)="TEMP","CODICE COMMESSA TEMPORANEO; ","")),"DATI INCOMPLETI; ")</f>
        <v/>
      </c>
      <c r="C238" s="17" t="str">
        <f>IF(ANAGRAFICA!$B235="","",ANAGRAFICA!$B235)</f>
        <v/>
      </c>
      <c r="D238" s="17" t="str">
        <f>IF($C238="","",ANAGRAFICA!$C235)</f>
        <v/>
      </c>
      <c r="E238" s="17" t="str">
        <f>IF($C238="","",ANAGRAFICA!$D235)</f>
        <v/>
      </c>
      <c r="F238" s="17" t="str">
        <f>IF($C238="","",ANAGRAFICA!$E235)</f>
        <v/>
      </c>
      <c r="G238" s="17" t="str">
        <f>IF($C238="","",ANAGRAFICA!$F235)</f>
        <v/>
      </c>
      <c r="H238" s="17" t="str">
        <f>IF($C238="","",ANAGRAFICA!$G235)</f>
        <v/>
      </c>
      <c r="I238" s="17" t="str">
        <f>IF($C238="","",ANAGRAFICA!$L235)</f>
        <v/>
      </c>
      <c r="J238" s="16" t="str">
        <f t="shared" si="73"/>
        <v/>
      </c>
      <c r="K238" s="16" t="str">
        <f t="shared" si="74"/>
        <v/>
      </c>
      <c r="L238" s="16" t="str">
        <f t="shared" si="75"/>
        <v/>
      </c>
      <c r="M238" s="16" t="str">
        <f t="shared" si="76"/>
        <v/>
      </c>
      <c r="N238" s="16" t="str">
        <f t="shared" si="77"/>
        <v/>
      </c>
      <c r="O238" s="16" t="str">
        <f t="shared" si="78"/>
        <v/>
      </c>
      <c r="P238" s="17" t="str">
        <f t="shared" si="79"/>
        <v/>
      </c>
      <c r="Q238" s="31" t="str">
        <f>IF(OR($C238="",'BUDGET COMMESSA'!$D235="",'BUDGET COMMESSA'!$D235&lt;=0,ANAGRAFICA!$J235=""),"",IF(OR($I238="Finito ritenute non previste",$I238="Finito con sblocco ritenute",$I238="Finito senza sblocco ritenute"),0,IF(AND($BK238&gt;=$BJ238,ANAGRAFICA!$R235="Ritardo produttivo FIDA"),IF(ANAGRAFICA!$T235&lt;&gt;"",MAX(0,ANAGRAFICA!$J235-ANAGRAFICA!$T235),MAX(0,$Y238-ANAGRAFICA!$J235)),0)))</f>
        <v/>
      </c>
      <c r="R238" s="17" t="str">
        <f t="shared" si="80"/>
        <v/>
      </c>
      <c r="S238" s="17" t="str">
        <f t="shared" si="81"/>
        <v/>
      </c>
      <c r="T238" s="17" t="str">
        <f t="shared" si="82"/>
        <v/>
      </c>
      <c r="U238" s="16" t="str">
        <f t="shared" si="83"/>
        <v/>
      </c>
      <c r="V238" s="16" t="str">
        <f t="shared" si="84"/>
        <v/>
      </c>
      <c r="W238" s="16" t="str">
        <f t="shared" si="85"/>
        <v/>
      </c>
      <c r="X238" s="40"/>
      <c r="Y238" s="14"/>
      <c r="AZ238" t="str">
        <f>IF($C238="","",ANAGRAFICA!$P235)</f>
        <v/>
      </c>
      <c r="BA238" t="str">
        <f>IF($C238="","",SUMIF('MOVIMENTI 2026'!$B$7:$B$4206,$C238,'MOVIMENTI 2026'!$I$7:$I$4206)+SUMIF('SALDI AL 31.12.2025'!$A$6:$A$505,$C238,'SALDI AL 31.12.2025'!$C$6:$C$505))</f>
        <v/>
      </c>
      <c r="BB238" t="str">
        <f>IF($C238="","",SUMIF('MOVIMENTI 2026'!$B$7:$B$4206,$C238,'MOVIMENTI 2026'!$J$7:$J$4206)+SUMIF('SALDI AL 31.12.2025'!$A$6:$A$505,$C238,'SALDI AL 31.12.2025'!$D$6:$D$505))</f>
        <v/>
      </c>
      <c r="BC238" t="str">
        <f>IF($C238="","",SUMIF('MOVIMENTI 2026'!$B$7:$B$4206,$C238,'MOVIMENTI 2026'!$K$7:$K$4206)+SUMIF('SALDI AL 31.12.2025'!$A$6:$A$505,$C238,'SALDI AL 31.12.2025'!$E$6:$E$505))</f>
        <v/>
      </c>
      <c r="BD238" t="str">
        <f>IF($C238="","",SUMIF('MOVIMENTI 2026'!$B$7:$B$4206,$C238,'MOVIMENTI 2026'!$L$7:$L$4206)+SUMIF('SALDI AL 31.12.2025'!$A$6:$A$505,$C238,'SALDI AL 31.12.2025'!$F$6:$F$505))</f>
        <v/>
      </c>
      <c r="BE238" t="str">
        <f t="shared" si="86"/>
        <v/>
      </c>
      <c r="BF238" t="str">
        <f t="shared" si="87"/>
        <v/>
      </c>
      <c r="BG238" t="str">
        <f t="shared" si="88"/>
        <v/>
      </c>
      <c r="BH238" t="str">
        <f>IFERROR(IF(OR($C238="",ANAGRAFICA!$I235="",ANAGRAFICA!$J235="",ANAGRAFICA!$J235&lt;=ANAGRAFICA!$I235,$Y238=""),"",IF(OR($I238="Finito ritenute non previste",$I238="Finito con sblocco ritenute",$I238="Finito senza sblocco ritenute"),1,MAX(0,MIN(1,($Y238-ANAGRAFICA!$I235)/(ANAGRAFICA!$J235-ANAGRAFICA!$I235))))),"")</f>
        <v/>
      </c>
      <c r="BI238" t="str">
        <f t="shared" si="89"/>
        <v/>
      </c>
      <c r="BJ238" t="str">
        <f>IFERROR(IF($C238="","",'BUDGET COMMESSA'!$D235),"")</f>
        <v/>
      </c>
      <c r="BK238" t="str">
        <f>IF($C238="","",SUMIF('MOVIMENTI 2026'!$B$7:$B$4206,$C238,'MOVIMENTI 2026'!$N$7:$N$4206)+SUMIF('SALDI AL 31.12.2025'!$A$6:$A$505,$C238,'SALDI AL 31.12.2025'!$H$6:$H$505))</f>
        <v/>
      </c>
      <c r="BL238" t="str">
        <f t="shared" si="90"/>
        <v/>
      </c>
      <c r="BM238" t="str">
        <f t="shared" si="91"/>
        <v/>
      </c>
      <c r="BN238" t="str">
        <f t="shared" si="92"/>
        <v/>
      </c>
      <c r="BO238" t="str">
        <f>IFERROR(IF($C238="","",'BUDGET COMMESSA'!$G235),"")</f>
        <v/>
      </c>
      <c r="BP238" t="str">
        <f>IF($C238="","",SUMIF('COSTI DIRETTI'!$C$6:$C$505,$C238,'COSTI DIRETTI'!$H$6:$H$505)+SUMIF('SALDI AL 31.12.2025'!$A$6:$A$505,$C238,'SALDI AL 31.12.2025'!$I$6:$I$505))</f>
        <v/>
      </c>
      <c r="BQ238" t="str">
        <f t="shared" si="93"/>
        <v/>
      </c>
      <c r="BR238" t="str">
        <f t="shared" si="94"/>
        <v/>
      </c>
      <c r="BS238" t="str">
        <f>IF($C238="","",$BK238*PARAMETRI!$B$4+$BP238)</f>
        <v/>
      </c>
      <c r="BT238">
        <f t="shared" si="95"/>
        <v>0</v>
      </c>
      <c r="BU238">
        <f t="shared" si="96"/>
        <v>0</v>
      </c>
      <c r="BV238" t="str">
        <f>IF($C238="","",SUMIF('MOVIMENTI 2026'!$B$7:$B$4206,$C238,'MOVIMENTI 2026'!$P$7:$P$4206)+SUMIF('SALDI AL 31.12.2025'!$A$6:$A$505,$C238,'SALDI AL 31.12.2025'!$G$6:$G$505))</f>
        <v/>
      </c>
    </row>
    <row r="239" spans="1:74" ht="16" x14ac:dyDescent="0.15">
      <c r="A239" s="17" t="str">
        <f>IFERROR(IF($C239="","",IF(OR($BF239&gt;0,$V239&gt;$J239,AND(ISNUMBER($Q239),$Q239&gt;0),AND($BI239&lt;&gt;"",$BI239&lt;-PARAMETRI!$B$6),AND($BM239&lt;&gt;"",$BM239&gt;=1),AND($BN239&lt;&gt;"",$BN239&gt;PARAMETRI!$B$8),AND(ISNUMBER($BR239),$BR239&gt;0)),"CRITICO",IF(OR($AZ239="",LEFT($C239,5)="TEMP",$BJ239="",$BO239="",ANAGRAFICA!$I236="",ANAGRAFICA!$J236="",$Y239="",AND(OR($I239="Finito ritenute non previste",$I239="Finito con sblocco ritenute",$I239="Finito senza sblocco ritenute"),ANAGRAFICA!$K236=""),OR(AND(ANAGRAFICA!$T236&lt;&gt;"",ANAGRAFICA!$J236&lt;&gt;ANAGRAFICA!$T236,OR(ANAGRAFICA!$R236="",ANAGRAFICA!$R236="Nessuna variazione")),AND(ANAGRAFICA!$J236="",ANAGRAFICA!$R236&lt;&gt;"",ANAGRAFICA!$R236&lt;&gt;"Nessuna variazione")),AND($BI239&lt;&gt;"",$BI239&lt;-PARAMETRI!$B$5),AND($BN239&lt;&gt;"",$BN239&gt;PARAMETRI!$B$7),AND($W239&gt;0,$M239&gt;$W239*PARAMETRI!$B$9),AND($O239&gt;0,OR($I239="Finito ritenute non previste",$I239="Finito con sblocco ritenute",$I239="Finito senza sblocco ritenute")),AND($BA239&gt;0,$BO239&gt;0,$BP239=0),AND(OR($I239="Finito ritenute non previste",$I239="Finito con sblocco ritenute",$I239="Finito senza sblocco ritenute"),$W239&gt;0,$N239&gt;$W239*PARAMETRI!$B$9),$V239&gt;0),"ATTENZIONE","REGOLARE"))),"ATTENZIONE")</f>
        <v/>
      </c>
      <c r="B239" s="17" t="str">
        <f>IFERROR(IF($C239="","",IF($BF239&gt;0,"FATTURATO OLTRE VALORE RECUPERABILE; ","")&amp;IF($V239&gt;$J239,"PERDITE ACCETTATE OLTRE CONTRATTO; ","")&amp;IF($V239&gt;0,"PERDITA SAL ACCETTATA (€ "&amp;TEXT($V239,"#,##0.00")&amp;"); ","")&amp;IF(AND(ISNUMBER($Q239),$Q239&gt;0),"RITARDO PRODUTTIVO ("&amp;TEXT($Q239,"0")&amp;" GG); ","")&amp;IF(AND($BI239&lt;&gt;"",$BI239&lt;-PARAMETRI!$B$5),"AVANZAMENTO PIÙ LENTO DEL TEMPO; ","")&amp;IF(AND($BM239&lt;&gt;"",$BM239&gt;1),"ORE OLTRE BUDGET; ","")&amp;IF(AND($BM239&lt;&gt;"",$BM239=1),"ORE PREVENTIVATE ESAURITE; ","")&amp;IF(AND($BN239&lt;&gt;"",$BN239&gt;PARAMETRI!$B$7),"CONSUMO ORE SUPERIORE ALL'AVANZAMENTO; ","")&amp;IF(AND(ISNUMBER($BR239),$BR239&gt;0),"COSTI DIRETTI OLTRE BUDGET; ","")&amp;IF(AND($W239&gt;0,$M239&gt;$W239*PARAMETRI!$B$9),"SAL MATURATO NON FATTURATO; ","")&amp;IF(AND($O239&gt;0,OR($I239="Finito ritenute non previste",$I239="Finito con sblocco ritenute",$I239="Finito senza sblocco ritenute")),"RITENUTE DA SBLOCCARE; ","")&amp;IF(AND($BA239&gt;0,$BO239&gt;0,$BP239=0),"COSTI DIRETTI NON REGISTRATI; ","")&amp;IF(AND(OR($I239="Finito ritenute non previste",$I239="Finito con sblocco ritenute",$I239="Finito senza sblocco ritenute"),$W239&gt;0,$N239&gt;$W239*PARAMETRI!$B$9),"CANTIERE FINITO CON RESIDUO LAVORI; ","")&amp;IF(AND(OR($I239="Finito ritenute non previste",$I239="Finito con sblocco ritenute",$I239="Finito senza sblocco ritenute"),ANAGRAFICA!$K236=""),"DATA FINE EFFETTIVA MANCANTE; ","")&amp;IF(OR(AND(ANAGRAFICA!$T236&lt;&gt;"",ANAGRAFICA!$J236&lt;&gt;ANAGRAFICA!$T236,OR(ANAGRAFICA!$R236="",ANAGRAFICA!$R236="Nessuna variazione")),AND(ANAGRAFICA!$J236="",ANAGRAFICA!$R236&lt;&gt;"",ANAGRAFICA!$R236&lt;&gt;"Nessuna variazione")),"GESTIONE DATA FINE INCOMPLETA; ","")&amp;IF($Y239="","AGGIORNATO AL MANCANTE; ","")&amp;IF(OR($AZ239="",$BJ239="",$BO239="",ANAGRAFICA!$I236="",ANAGRAFICA!$J236=""),"DATI PREVISIONALI INCOMPLETI; ","")&amp;IF(LEFT($C239,5)="TEMP","CODICE COMMESSA TEMPORANEO; ","")),"DATI INCOMPLETI; ")</f>
        <v/>
      </c>
      <c r="C239" s="17" t="str">
        <f>IF(ANAGRAFICA!$B236="","",ANAGRAFICA!$B236)</f>
        <v/>
      </c>
      <c r="D239" s="17" t="str">
        <f>IF($C239="","",ANAGRAFICA!$C236)</f>
        <v/>
      </c>
      <c r="E239" s="17" t="str">
        <f>IF($C239="","",ANAGRAFICA!$D236)</f>
        <v/>
      </c>
      <c r="F239" s="17" t="str">
        <f>IF($C239="","",ANAGRAFICA!$E236)</f>
        <v/>
      </c>
      <c r="G239" s="17" t="str">
        <f>IF($C239="","",ANAGRAFICA!$F236)</f>
        <v/>
      </c>
      <c r="H239" s="17" t="str">
        <f>IF($C239="","",ANAGRAFICA!$G236)</f>
        <v/>
      </c>
      <c r="I239" s="17" t="str">
        <f>IF($C239="","",ANAGRAFICA!$L236)</f>
        <v/>
      </c>
      <c r="J239" s="16" t="str">
        <f t="shared" si="73"/>
        <v/>
      </c>
      <c r="K239" s="16" t="str">
        <f t="shared" si="74"/>
        <v/>
      </c>
      <c r="L239" s="16" t="str">
        <f t="shared" si="75"/>
        <v/>
      </c>
      <c r="M239" s="16" t="str">
        <f t="shared" si="76"/>
        <v/>
      </c>
      <c r="N239" s="16" t="str">
        <f t="shared" si="77"/>
        <v/>
      </c>
      <c r="O239" s="16" t="str">
        <f t="shared" si="78"/>
        <v/>
      </c>
      <c r="P239" s="17" t="str">
        <f t="shared" si="79"/>
        <v/>
      </c>
      <c r="Q239" s="31" t="str">
        <f>IF(OR($C239="",'BUDGET COMMESSA'!$D236="",'BUDGET COMMESSA'!$D236&lt;=0,ANAGRAFICA!$J236=""),"",IF(OR($I239="Finito ritenute non previste",$I239="Finito con sblocco ritenute",$I239="Finito senza sblocco ritenute"),0,IF(AND($BK239&gt;=$BJ239,ANAGRAFICA!$R236="Ritardo produttivo FIDA"),IF(ANAGRAFICA!$T236&lt;&gt;"",MAX(0,ANAGRAFICA!$J236-ANAGRAFICA!$T236),MAX(0,$Y239-ANAGRAFICA!$J236)),0)))</f>
        <v/>
      </c>
      <c r="R239" s="17" t="str">
        <f t="shared" si="80"/>
        <v/>
      </c>
      <c r="S239" s="17" t="str">
        <f t="shared" si="81"/>
        <v/>
      </c>
      <c r="T239" s="17" t="str">
        <f t="shared" si="82"/>
        <v/>
      </c>
      <c r="U239" s="16" t="str">
        <f t="shared" si="83"/>
        <v/>
      </c>
      <c r="V239" s="16" t="str">
        <f t="shared" si="84"/>
        <v/>
      </c>
      <c r="W239" s="16" t="str">
        <f t="shared" si="85"/>
        <v/>
      </c>
      <c r="X239" s="40"/>
      <c r="Y239" s="14"/>
      <c r="AZ239" t="str">
        <f>IF($C239="","",ANAGRAFICA!$P236)</f>
        <v/>
      </c>
      <c r="BA239" t="str">
        <f>IF($C239="","",SUMIF('MOVIMENTI 2026'!$B$7:$B$4206,$C239,'MOVIMENTI 2026'!$I$7:$I$4206)+SUMIF('SALDI AL 31.12.2025'!$A$6:$A$505,$C239,'SALDI AL 31.12.2025'!$C$6:$C$505))</f>
        <v/>
      </c>
      <c r="BB239" t="str">
        <f>IF($C239="","",SUMIF('MOVIMENTI 2026'!$B$7:$B$4206,$C239,'MOVIMENTI 2026'!$J$7:$J$4206)+SUMIF('SALDI AL 31.12.2025'!$A$6:$A$505,$C239,'SALDI AL 31.12.2025'!$D$6:$D$505))</f>
        <v/>
      </c>
      <c r="BC239" t="str">
        <f>IF($C239="","",SUMIF('MOVIMENTI 2026'!$B$7:$B$4206,$C239,'MOVIMENTI 2026'!$K$7:$K$4206)+SUMIF('SALDI AL 31.12.2025'!$A$6:$A$505,$C239,'SALDI AL 31.12.2025'!$E$6:$E$505))</f>
        <v/>
      </c>
      <c r="BD239" t="str">
        <f>IF($C239="","",SUMIF('MOVIMENTI 2026'!$B$7:$B$4206,$C239,'MOVIMENTI 2026'!$L$7:$L$4206)+SUMIF('SALDI AL 31.12.2025'!$A$6:$A$505,$C239,'SALDI AL 31.12.2025'!$F$6:$F$505))</f>
        <v/>
      </c>
      <c r="BE239" t="str">
        <f t="shared" si="86"/>
        <v/>
      </c>
      <c r="BF239" t="str">
        <f t="shared" si="87"/>
        <v/>
      </c>
      <c r="BG239" t="str">
        <f t="shared" si="88"/>
        <v/>
      </c>
      <c r="BH239" t="str">
        <f>IFERROR(IF(OR($C239="",ANAGRAFICA!$I236="",ANAGRAFICA!$J236="",ANAGRAFICA!$J236&lt;=ANAGRAFICA!$I236,$Y239=""),"",IF(OR($I239="Finito ritenute non previste",$I239="Finito con sblocco ritenute",$I239="Finito senza sblocco ritenute"),1,MAX(0,MIN(1,($Y239-ANAGRAFICA!$I236)/(ANAGRAFICA!$J236-ANAGRAFICA!$I236))))),"")</f>
        <v/>
      </c>
      <c r="BI239" t="str">
        <f t="shared" si="89"/>
        <v/>
      </c>
      <c r="BJ239" t="str">
        <f>IFERROR(IF($C239="","",'BUDGET COMMESSA'!$D236),"")</f>
        <v/>
      </c>
      <c r="BK239" t="str">
        <f>IF($C239="","",SUMIF('MOVIMENTI 2026'!$B$7:$B$4206,$C239,'MOVIMENTI 2026'!$N$7:$N$4206)+SUMIF('SALDI AL 31.12.2025'!$A$6:$A$505,$C239,'SALDI AL 31.12.2025'!$H$6:$H$505))</f>
        <v/>
      </c>
      <c r="BL239" t="str">
        <f t="shared" si="90"/>
        <v/>
      </c>
      <c r="BM239" t="str">
        <f t="shared" si="91"/>
        <v/>
      </c>
      <c r="BN239" t="str">
        <f t="shared" si="92"/>
        <v/>
      </c>
      <c r="BO239" t="str">
        <f>IFERROR(IF($C239="","",'BUDGET COMMESSA'!$G236),"")</f>
        <v/>
      </c>
      <c r="BP239" t="str">
        <f>IF($C239="","",SUMIF('COSTI DIRETTI'!$C$6:$C$505,$C239,'COSTI DIRETTI'!$H$6:$H$505)+SUMIF('SALDI AL 31.12.2025'!$A$6:$A$505,$C239,'SALDI AL 31.12.2025'!$I$6:$I$505))</f>
        <v/>
      </c>
      <c r="BQ239" t="str">
        <f t="shared" si="93"/>
        <v/>
      </c>
      <c r="BR239" t="str">
        <f t="shared" si="94"/>
        <v/>
      </c>
      <c r="BS239" t="str">
        <f>IF($C239="","",$BK239*PARAMETRI!$B$4+$BP239)</f>
        <v/>
      </c>
      <c r="BT239">
        <f t="shared" si="95"/>
        <v>0</v>
      </c>
      <c r="BU239">
        <f t="shared" si="96"/>
        <v>0</v>
      </c>
      <c r="BV239" t="str">
        <f>IF($C239="","",SUMIF('MOVIMENTI 2026'!$B$7:$B$4206,$C239,'MOVIMENTI 2026'!$P$7:$P$4206)+SUMIF('SALDI AL 31.12.2025'!$A$6:$A$505,$C239,'SALDI AL 31.12.2025'!$G$6:$G$505))</f>
        <v/>
      </c>
    </row>
    <row r="240" spans="1:74" ht="16" x14ac:dyDescent="0.15">
      <c r="A240" s="17" t="str">
        <f>IFERROR(IF($C240="","",IF(OR($BF240&gt;0,$V240&gt;$J240,AND(ISNUMBER($Q240),$Q240&gt;0),AND($BI240&lt;&gt;"",$BI240&lt;-PARAMETRI!$B$6),AND($BM240&lt;&gt;"",$BM240&gt;=1),AND($BN240&lt;&gt;"",$BN240&gt;PARAMETRI!$B$8),AND(ISNUMBER($BR240),$BR240&gt;0)),"CRITICO",IF(OR($AZ240="",LEFT($C240,5)="TEMP",$BJ240="",$BO240="",ANAGRAFICA!$I237="",ANAGRAFICA!$J237="",$Y240="",AND(OR($I240="Finito ritenute non previste",$I240="Finito con sblocco ritenute",$I240="Finito senza sblocco ritenute"),ANAGRAFICA!$K237=""),OR(AND(ANAGRAFICA!$T237&lt;&gt;"",ANAGRAFICA!$J237&lt;&gt;ANAGRAFICA!$T237,OR(ANAGRAFICA!$R237="",ANAGRAFICA!$R237="Nessuna variazione")),AND(ANAGRAFICA!$J237="",ANAGRAFICA!$R237&lt;&gt;"",ANAGRAFICA!$R237&lt;&gt;"Nessuna variazione")),AND($BI240&lt;&gt;"",$BI240&lt;-PARAMETRI!$B$5),AND($BN240&lt;&gt;"",$BN240&gt;PARAMETRI!$B$7),AND($W240&gt;0,$M240&gt;$W240*PARAMETRI!$B$9),AND($O240&gt;0,OR($I240="Finito ritenute non previste",$I240="Finito con sblocco ritenute",$I240="Finito senza sblocco ritenute")),AND($BA240&gt;0,$BO240&gt;0,$BP240=0),AND(OR($I240="Finito ritenute non previste",$I240="Finito con sblocco ritenute",$I240="Finito senza sblocco ritenute"),$W240&gt;0,$N240&gt;$W240*PARAMETRI!$B$9),$V240&gt;0),"ATTENZIONE","REGOLARE"))),"ATTENZIONE")</f>
        <v/>
      </c>
      <c r="B240" s="17" t="str">
        <f>IFERROR(IF($C240="","",IF($BF240&gt;0,"FATTURATO OLTRE VALORE RECUPERABILE; ","")&amp;IF($V240&gt;$J240,"PERDITE ACCETTATE OLTRE CONTRATTO; ","")&amp;IF($V240&gt;0,"PERDITA SAL ACCETTATA (€ "&amp;TEXT($V240,"#,##0.00")&amp;"); ","")&amp;IF(AND(ISNUMBER($Q240),$Q240&gt;0),"RITARDO PRODUTTIVO ("&amp;TEXT($Q240,"0")&amp;" GG); ","")&amp;IF(AND($BI240&lt;&gt;"",$BI240&lt;-PARAMETRI!$B$5),"AVANZAMENTO PIÙ LENTO DEL TEMPO; ","")&amp;IF(AND($BM240&lt;&gt;"",$BM240&gt;1),"ORE OLTRE BUDGET; ","")&amp;IF(AND($BM240&lt;&gt;"",$BM240=1),"ORE PREVENTIVATE ESAURITE; ","")&amp;IF(AND($BN240&lt;&gt;"",$BN240&gt;PARAMETRI!$B$7),"CONSUMO ORE SUPERIORE ALL'AVANZAMENTO; ","")&amp;IF(AND(ISNUMBER($BR240),$BR240&gt;0),"COSTI DIRETTI OLTRE BUDGET; ","")&amp;IF(AND($W240&gt;0,$M240&gt;$W240*PARAMETRI!$B$9),"SAL MATURATO NON FATTURATO; ","")&amp;IF(AND($O240&gt;0,OR($I240="Finito ritenute non previste",$I240="Finito con sblocco ritenute",$I240="Finito senza sblocco ritenute")),"RITENUTE DA SBLOCCARE; ","")&amp;IF(AND($BA240&gt;0,$BO240&gt;0,$BP240=0),"COSTI DIRETTI NON REGISTRATI; ","")&amp;IF(AND(OR($I240="Finito ritenute non previste",$I240="Finito con sblocco ritenute",$I240="Finito senza sblocco ritenute"),$W240&gt;0,$N240&gt;$W240*PARAMETRI!$B$9),"CANTIERE FINITO CON RESIDUO LAVORI; ","")&amp;IF(AND(OR($I240="Finito ritenute non previste",$I240="Finito con sblocco ritenute",$I240="Finito senza sblocco ritenute"),ANAGRAFICA!$K237=""),"DATA FINE EFFETTIVA MANCANTE; ","")&amp;IF(OR(AND(ANAGRAFICA!$T237&lt;&gt;"",ANAGRAFICA!$J237&lt;&gt;ANAGRAFICA!$T237,OR(ANAGRAFICA!$R237="",ANAGRAFICA!$R237="Nessuna variazione")),AND(ANAGRAFICA!$J237="",ANAGRAFICA!$R237&lt;&gt;"",ANAGRAFICA!$R237&lt;&gt;"Nessuna variazione")),"GESTIONE DATA FINE INCOMPLETA; ","")&amp;IF($Y240="","AGGIORNATO AL MANCANTE; ","")&amp;IF(OR($AZ240="",$BJ240="",$BO240="",ANAGRAFICA!$I237="",ANAGRAFICA!$J237=""),"DATI PREVISIONALI INCOMPLETI; ","")&amp;IF(LEFT($C240,5)="TEMP","CODICE COMMESSA TEMPORANEO; ","")),"DATI INCOMPLETI; ")</f>
        <v/>
      </c>
      <c r="C240" s="17" t="str">
        <f>IF(ANAGRAFICA!$B237="","",ANAGRAFICA!$B237)</f>
        <v/>
      </c>
      <c r="D240" s="17" t="str">
        <f>IF($C240="","",ANAGRAFICA!$C237)</f>
        <v/>
      </c>
      <c r="E240" s="17" t="str">
        <f>IF($C240="","",ANAGRAFICA!$D237)</f>
        <v/>
      </c>
      <c r="F240" s="17" t="str">
        <f>IF($C240="","",ANAGRAFICA!$E237)</f>
        <v/>
      </c>
      <c r="G240" s="17" t="str">
        <f>IF($C240="","",ANAGRAFICA!$F237)</f>
        <v/>
      </c>
      <c r="H240" s="17" t="str">
        <f>IF($C240="","",ANAGRAFICA!$G237)</f>
        <v/>
      </c>
      <c r="I240" s="17" t="str">
        <f>IF($C240="","",ANAGRAFICA!$L237)</f>
        <v/>
      </c>
      <c r="J240" s="16" t="str">
        <f t="shared" si="73"/>
        <v/>
      </c>
      <c r="K240" s="16" t="str">
        <f t="shared" si="74"/>
        <v/>
      </c>
      <c r="L240" s="16" t="str">
        <f t="shared" si="75"/>
        <v/>
      </c>
      <c r="M240" s="16" t="str">
        <f t="shared" si="76"/>
        <v/>
      </c>
      <c r="N240" s="16" t="str">
        <f t="shared" si="77"/>
        <v/>
      </c>
      <c r="O240" s="16" t="str">
        <f t="shared" si="78"/>
        <v/>
      </c>
      <c r="P240" s="17" t="str">
        <f t="shared" si="79"/>
        <v/>
      </c>
      <c r="Q240" s="31" t="str">
        <f>IF(OR($C240="",'BUDGET COMMESSA'!$D237="",'BUDGET COMMESSA'!$D237&lt;=0,ANAGRAFICA!$J237=""),"",IF(OR($I240="Finito ritenute non previste",$I240="Finito con sblocco ritenute",$I240="Finito senza sblocco ritenute"),0,IF(AND($BK240&gt;=$BJ240,ANAGRAFICA!$R237="Ritardo produttivo FIDA"),IF(ANAGRAFICA!$T237&lt;&gt;"",MAX(0,ANAGRAFICA!$J237-ANAGRAFICA!$T237),MAX(0,$Y240-ANAGRAFICA!$J237)),0)))</f>
        <v/>
      </c>
      <c r="R240" s="17" t="str">
        <f t="shared" si="80"/>
        <v/>
      </c>
      <c r="S240" s="17" t="str">
        <f t="shared" si="81"/>
        <v/>
      </c>
      <c r="T240" s="17" t="str">
        <f t="shared" si="82"/>
        <v/>
      </c>
      <c r="U240" s="16" t="str">
        <f t="shared" si="83"/>
        <v/>
      </c>
      <c r="V240" s="16" t="str">
        <f t="shared" si="84"/>
        <v/>
      </c>
      <c r="W240" s="16" t="str">
        <f t="shared" si="85"/>
        <v/>
      </c>
      <c r="X240" s="40"/>
      <c r="Y240" s="14"/>
      <c r="AZ240" t="str">
        <f>IF($C240="","",ANAGRAFICA!$P237)</f>
        <v/>
      </c>
      <c r="BA240" t="str">
        <f>IF($C240="","",SUMIF('MOVIMENTI 2026'!$B$7:$B$4206,$C240,'MOVIMENTI 2026'!$I$7:$I$4206)+SUMIF('SALDI AL 31.12.2025'!$A$6:$A$505,$C240,'SALDI AL 31.12.2025'!$C$6:$C$505))</f>
        <v/>
      </c>
      <c r="BB240" t="str">
        <f>IF($C240="","",SUMIF('MOVIMENTI 2026'!$B$7:$B$4206,$C240,'MOVIMENTI 2026'!$J$7:$J$4206)+SUMIF('SALDI AL 31.12.2025'!$A$6:$A$505,$C240,'SALDI AL 31.12.2025'!$D$6:$D$505))</f>
        <v/>
      </c>
      <c r="BC240" t="str">
        <f>IF($C240="","",SUMIF('MOVIMENTI 2026'!$B$7:$B$4206,$C240,'MOVIMENTI 2026'!$K$7:$K$4206)+SUMIF('SALDI AL 31.12.2025'!$A$6:$A$505,$C240,'SALDI AL 31.12.2025'!$E$6:$E$505))</f>
        <v/>
      </c>
      <c r="BD240" t="str">
        <f>IF($C240="","",SUMIF('MOVIMENTI 2026'!$B$7:$B$4206,$C240,'MOVIMENTI 2026'!$L$7:$L$4206)+SUMIF('SALDI AL 31.12.2025'!$A$6:$A$505,$C240,'SALDI AL 31.12.2025'!$F$6:$F$505))</f>
        <v/>
      </c>
      <c r="BE240" t="str">
        <f t="shared" si="86"/>
        <v/>
      </c>
      <c r="BF240" t="str">
        <f t="shared" si="87"/>
        <v/>
      </c>
      <c r="BG240" t="str">
        <f t="shared" si="88"/>
        <v/>
      </c>
      <c r="BH240" t="str">
        <f>IFERROR(IF(OR($C240="",ANAGRAFICA!$I237="",ANAGRAFICA!$J237="",ANAGRAFICA!$J237&lt;=ANAGRAFICA!$I237,$Y240=""),"",IF(OR($I240="Finito ritenute non previste",$I240="Finito con sblocco ritenute",$I240="Finito senza sblocco ritenute"),1,MAX(0,MIN(1,($Y240-ANAGRAFICA!$I237)/(ANAGRAFICA!$J237-ANAGRAFICA!$I237))))),"")</f>
        <v/>
      </c>
      <c r="BI240" t="str">
        <f t="shared" si="89"/>
        <v/>
      </c>
      <c r="BJ240" t="str">
        <f>IFERROR(IF($C240="","",'BUDGET COMMESSA'!$D237),"")</f>
        <v/>
      </c>
      <c r="BK240" t="str">
        <f>IF($C240="","",SUMIF('MOVIMENTI 2026'!$B$7:$B$4206,$C240,'MOVIMENTI 2026'!$N$7:$N$4206)+SUMIF('SALDI AL 31.12.2025'!$A$6:$A$505,$C240,'SALDI AL 31.12.2025'!$H$6:$H$505))</f>
        <v/>
      </c>
      <c r="BL240" t="str">
        <f t="shared" si="90"/>
        <v/>
      </c>
      <c r="BM240" t="str">
        <f t="shared" si="91"/>
        <v/>
      </c>
      <c r="BN240" t="str">
        <f t="shared" si="92"/>
        <v/>
      </c>
      <c r="BO240" t="str">
        <f>IFERROR(IF($C240="","",'BUDGET COMMESSA'!$G237),"")</f>
        <v/>
      </c>
      <c r="BP240" t="str">
        <f>IF($C240="","",SUMIF('COSTI DIRETTI'!$C$6:$C$505,$C240,'COSTI DIRETTI'!$H$6:$H$505)+SUMIF('SALDI AL 31.12.2025'!$A$6:$A$505,$C240,'SALDI AL 31.12.2025'!$I$6:$I$505))</f>
        <v/>
      </c>
      <c r="BQ240" t="str">
        <f t="shared" si="93"/>
        <v/>
      </c>
      <c r="BR240" t="str">
        <f t="shared" si="94"/>
        <v/>
      </c>
      <c r="BS240" t="str">
        <f>IF($C240="","",$BK240*PARAMETRI!$B$4+$BP240)</f>
        <v/>
      </c>
      <c r="BT240">
        <f t="shared" si="95"/>
        <v>0</v>
      </c>
      <c r="BU240">
        <f t="shared" si="96"/>
        <v>0</v>
      </c>
      <c r="BV240" t="str">
        <f>IF($C240="","",SUMIF('MOVIMENTI 2026'!$B$7:$B$4206,$C240,'MOVIMENTI 2026'!$P$7:$P$4206)+SUMIF('SALDI AL 31.12.2025'!$A$6:$A$505,$C240,'SALDI AL 31.12.2025'!$G$6:$G$505))</f>
        <v/>
      </c>
    </row>
    <row r="241" spans="1:74" ht="16" x14ac:dyDescent="0.15">
      <c r="A241" s="17" t="str">
        <f>IFERROR(IF($C241="","",IF(OR($BF241&gt;0,$V241&gt;$J241,AND(ISNUMBER($Q241),$Q241&gt;0),AND($BI241&lt;&gt;"",$BI241&lt;-PARAMETRI!$B$6),AND($BM241&lt;&gt;"",$BM241&gt;=1),AND($BN241&lt;&gt;"",$BN241&gt;PARAMETRI!$B$8),AND(ISNUMBER($BR241),$BR241&gt;0)),"CRITICO",IF(OR($AZ241="",LEFT($C241,5)="TEMP",$BJ241="",$BO241="",ANAGRAFICA!$I238="",ANAGRAFICA!$J238="",$Y241="",AND(OR($I241="Finito ritenute non previste",$I241="Finito con sblocco ritenute",$I241="Finito senza sblocco ritenute"),ANAGRAFICA!$K238=""),OR(AND(ANAGRAFICA!$T238&lt;&gt;"",ANAGRAFICA!$J238&lt;&gt;ANAGRAFICA!$T238,OR(ANAGRAFICA!$R238="",ANAGRAFICA!$R238="Nessuna variazione")),AND(ANAGRAFICA!$J238="",ANAGRAFICA!$R238&lt;&gt;"",ANAGRAFICA!$R238&lt;&gt;"Nessuna variazione")),AND($BI241&lt;&gt;"",$BI241&lt;-PARAMETRI!$B$5),AND($BN241&lt;&gt;"",$BN241&gt;PARAMETRI!$B$7),AND($W241&gt;0,$M241&gt;$W241*PARAMETRI!$B$9),AND($O241&gt;0,OR($I241="Finito ritenute non previste",$I241="Finito con sblocco ritenute",$I241="Finito senza sblocco ritenute")),AND($BA241&gt;0,$BO241&gt;0,$BP241=0),AND(OR($I241="Finito ritenute non previste",$I241="Finito con sblocco ritenute",$I241="Finito senza sblocco ritenute"),$W241&gt;0,$N241&gt;$W241*PARAMETRI!$B$9),$V241&gt;0),"ATTENZIONE","REGOLARE"))),"ATTENZIONE")</f>
        <v/>
      </c>
      <c r="B241" s="17" t="str">
        <f>IFERROR(IF($C241="","",IF($BF241&gt;0,"FATTURATO OLTRE VALORE RECUPERABILE; ","")&amp;IF($V241&gt;$J241,"PERDITE ACCETTATE OLTRE CONTRATTO; ","")&amp;IF($V241&gt;0,"PERDITA SAL ACCETTATA (€ "&amp;TEXT($V241,"#,##0.00")&amp;"); ","")&amp;IF(AND(ISNUMBER($Q241),$Q241&gt;0),"RITARDO PRODUTTIVO ("&amp;TEXT($Q241,"0")&amp;" GG); ","")&amp;IF(AND($BI241&lt;&gt;"",$BI241&lt;-PARAMETRI!$B$5),"AVANZAMENTO PIÙ LENTO DEL TEMPO; ","")&amp;IF(AND($BM241&lt;&gt;"",$BM241&gt;1),"ORE OLTRE BUDGET; ","")&amp;IF(AND($BM241&lt;&gt;"",$BM241=1),"ORE PREVENTIVATE ESAURITE; ","")&amp;IF(AND($BN241&lt;&gt;"",$BN241&gt;PARAMETRI!$B$7),"CONSUMO ORE SUPERIORE ALL'AVANZAMENTO; ","")&amp;IF(AND(ISNUMBER($BR241),$BR241&gt;0),"COSTI DIRETTI OLTRE BUDGET; ","")&amp;IF(AND($W241&gt;0,$M241&gt;$W241*PARAMETRI!$B$9),"SAL MATURATO NON FATTURATO; ","")&amp;IF(AND($O241&gt;0,OR($I241="Finito ritenute non previste",$I241="Finito con sblocco ritenute",$I241="Finito senza sblocco ritenute")),"RITENUTE DA SBLOCCARE; ","")&amp;IF(AND($BA241&gt;0,$BO241&gt;0,$BP241=0),"COSTI DIRETTI NON REGISTRATI; ","")&amp;IF(AND(OR($I241="Finito ritenute non previste",$I241="Finito con sblocco ritenute",$I241="Finito senza sblocco ritenute"),$W241&gt;0,$N241&gt;$W241*PARAMETRI!$B$9),"CANTIERE FINITO CON RESIDUO LAVORI; ","")&amp;IF(AND(OR($I241="Finito ritenute non previste",$I241="Finito con sblocco ritenute",$I241="Finito senza sblocco ritenute"),ANAGRAFICA!$K238=""),"DATA FINE EFFETTIVA MANCANTE; ","")&amp;IF(OR(AND(ANAGRAFICA!$T238&lt;&gt;"",ANAGRAFICA!$J238&lt;&gt;ANAGRAFICA!$T238,OR(ANAGRAFICA!$R238="",ANAGRAFICA!$R238="Nessuna variazione")),AND(ANAGRAFICA!$J238="",ANAGRAFICA!$R238&lt;&gt;"",ANAGRAFICA!$R238&lt;&gt;"Nessuna variazione")),"GESTIONE DATA FINE INCOMPLETA; ","")&amp;IF($Y241="","AGGIORNATO AL MANCANTE; ","")&amp;IF(OR($AZ241="",$BJ241="",$BO241="",ANAGRAFICA!$I238="",ANAGRAFICA!$J238=""),"DATI PREVISIONALI INCOMPLETI; ","")&amp;IF(LEFT($C241,5)="TEMP","CODICE COMMESSA TEMPORANEO; ","")),"DATI INCOMPLETI; ")</f>
        <v/>
      </c>
      <c r="C241" s="17" t="str">
        <f>IF(ANAGRAFICA!$B238="","",ANAGRAFICA!$B238)</f>
        <v/>
      </c>
      <c r="D241" s="17" t="str">
        <f>IF($C241="","",ANAGRAFICA!$C238)</f>
        <v/>
      </c>
      <c r="E241" s="17" t="str">
        <f>IF($C241="","",ANAGRAFICA!$D238)</f>
        <v/>
      </c>
      <c r="F241" s="17" t="str">
        <f>IF($C241="","",ANAGRAFICA!$E238)</f>
        <v/>
      </c>
      <c r="G241" s="17" t="str">
        <f>IF($C241="","",ANAGRAFICA!$F238)</f>
        <v/>
      </c>
      <c r="H241" s="17" t="str">
        <f>IF($C241="","",ANAGRAFICA!$G238)</f>
        <v/>
      </c>
      <c r="I241" s="17" t="str">
        <f>IF($C241="","",ANAGRAFICA!$L238)</f>
        <v/>
      </c>
      <c r="J241" s="16" t="str">
        <f t="shared" si="73"/>
        <v/>
      </c>
      <c r="K241" s="16" t="str">
        <f t="shared" si="74"/>
        <v/>
      </c>
      <c r="L241" s="16" t="str">
        <f t="shared" si="75"/>
        <v/>
      </c>
      <c r="M241" s="16" t="str">
        <f t="shared" si="76"/>
        <v/>
      </c>
      <c r="N241" s="16" t="str">
        <f t="shared" si="77"/>
        <v/>
      </c>
      <c r="O241" s="16" t="str">
        <f t="shared" si="78"/>
        <v/>
      </c>
      <c r="P241" s="17" t="str">
        <f t="shared" si="79"/>
        <v/>
      </c>
      <c r="Q241" s="31" t="str">
        <f>IF(OR($C241="",'BUDGET COMMESSA'!$D238="",'BUDGET COMMESSA'!$D238&lt;=0,ANAGRAFICA!$J238=""),"",IF(OR($I241="Finito ritenute non previste",$I241="Finito con sblocco ritenute",$I241="Finito senza sblocco ritenute"),0,IF(AND($BK241&gt;=$BJ241,ANAGRAFICA!$R238="Ritardo produttivo FIDA"),IF(ANAGRAFICA!$T238&lt;&gt;"",MAX(0,ANAGRAFICA!$J238-ANAGRAFICA!$T238),MAX(0,$Y241-ANAGRAFICA!$J238)),0)))</f>
        <v/>
      </c>
      <c r="R241" s="17" t="str">
        <f t="shared" si="80"/>
        <v/>
      </c>
      <c r="S241" s="17" t="str">
        <f t="shared" si="81"/>
        <v/>
      </c>
      <c r="T241" s="17" t="str">
        <f t="shared" si="82"/>
        <v/>
      </c>
      <c r="U241" s="16" t="str">
        <f t="shared" si="83"/>
        <v/>
      </c>
      <c r="V241" s="16" t="str">
        <f t="shared" si="84"/>
        <v/>
      </c>
      <c r="W241" s="16" t="str">
        <f t="shared" si="85"/>
        <v/>
      </c>
      <c r="X241" s="40"/>
      <c r="Y241" s="14"/>
      <c r="AZ241" t="str">
        <f>IF($C241="","",ANAGRAFICA!$P238)</f>
        <v/>
      </c>
      <c r="BA241" t="str">
        <f>IF($C241="","",SUMIF('MOVIMENTI 2026'!$B$7:$B$4206,$C241,'MOVIMENTI 2026'!$I$7:$I$4206)+SUMIF('SALDI AL 31.12.2025'!$A$6:$A$505,$C241,'SALDI AL 31.12.2025'!$C$6:$C$505))</f>
        <v/>
      </c>
      <c r="BB241" t="str">
        <f>IF($C241="","",SUMIF('MOVIMENTI 2026'!$B$7:$B$4206,$C241,'MOVIMENTI 2026'!$J$7:$J$4206)+SUMIF('SALDI AL 31.12.2025'!$A$6:$A$505,$C241,'SALDI AL 31.12.2025'!$D$6:$D$505))</f>
        <v/>
      </c>
      <c r="BC241" t="str">
        <f>IF($C241="","",SUMIF('MOVIMENTI 2026'!$B$7:$B$4206,$C241,'MOVIMENTI 2026'!$K$7:$K$4206)+SUMIF('SALDI AL 31.12.2025'!$A$6:$A$505,$C241,'SALDI AL 31.12.2025'!$E$6:$E$505))</f>
        <v/>
      </c>
      <c r="BD241" t="str">
        <f>IF($C241="","",SUMIF('MOVIMENTI 2026'!$B$7:$B$4206,$C241,'MOVIMENTI 2026'!$L$7:$L$4206)+SUMIF('SALDI AL 31.12.2025'!$A$6:$A$505,$C241,'SALDI AL 31.12.2025'!$F$6:$F$505))</f>
        <v/>
      </c>
      <c r="BE241" t="str">
        <f t="shared" si="86"/>
        <v/>
      </c>
      <c r="BF241" t="str">
        <f t="shared" si="87"/>
        <v/>
      </c>
      <c r="BG241" t="str">
        <f t="shared" si="88"/>
        <v/>
      </c>
      <c r="BH241" t="str">
        <f>IFERROR(IF(OR($C241="",ANAGRAFICA!$I238="",ANAGRAFICA!$J238="",ANAGRAFICA!$J238&lt;=ANAGRAFICA!$I238,$Y241=""),"",IF(OR($I241="Finito ritenute non previste",$I241="Finito con sblocco ritenute",$I241="Finito senza sblocco ritenute"),1,MAX(0,MIN(1,($Y241-ANAGRAFICA!$I238)/(ANAGRAFICA!$J238-ANAGRAFICA!$I238))))),"")</f>
        <v/>
      </c>
      <c r="BI241" t="str">
        <f t="shared" si="89"/>
        <v/>
      </c>
      <c r="BJ241" t="str">
        <f>IFERROR(IF($C241="","",'BUDGET COMMESSA'!$D238),"")</f>
        <v/>
      </c>
      <c r="BK241" t="str">
        <f>IF($C241="","",SUMIF('MOVIMENTI 2026'!$B$7:$B$4206,$C241,'MOVIMENTI 2026'!$N$7:$N$4206)+SUMIF('SALDI AL 31.12.2025'!$A$6:$A$505,$C241,'SALDI AL 31.12.2025'!$H$6:$H$505))</f>
        <v/>
      </c>
      <c r="BL241" t="str">
        <f t="shared" si="90"/>
        <v/>
      </c>
      <c r="BM241" t="str">
        <f t="shared" si="91"/>
        <v/>
      </c>
      <c r="BN241" t="str">
        <f t="shared" si="92"/>
        <v/>
      </c>
      <c r="BO241" t="str">
        <f>IFERROR(IF($C241="","",'BUDGET COMMESSA'!$G238),"")</f>
        <v/>
      </c>
      <c r="BP241" t="str">
        <f>IF($C241="","",SUMIF('COSTI DIRETTI'!$C$6:$C$505,$C241,'COSTI DIRETTI'!$H$6:$H$505)+SUMIF('SALDI AL 31.12.2025'!$A$6:$A$505,$C241,'SALDI AL 31.12.2025'!$I$6:$I$505))</f>
        <v/>
      </c>
      <c r="BQ241" t="str">
        <f t="shared" si="93"/>
        <v/>
      </c>
      <c r="BR241" t="str">
        <f t="shared" si="94"/>
        <v/>
      </c>
      <c r="BS241" t="str">
        <f>IF($C241="","",$BK241*PARAMETRI!$B$4+$BP241)</f>
        <v/>
      </c>
      <c r="BT241">
        <f t="shared" si="95"/>
        <v>0</v>
      </c>
      <c r="BU241">
        <f t="shared" si="96"/>
        <v>0</v>
      </c>
      <c r="BV241" t="str">
        <f>IF($C241="","",SUMIF('MOVIMENTI 2026'!$B$7:$B$4206,$C241,'MOVIMENTI 2026'!$P$7:$P$4206)+SUMIF('SALDI AL 31.12.2025'!$A$6:$A$505,$C241,'SALDI AL 31.12.2025'!$G$6:$G$505))</f>
        <v/>
      </c>
    </row>
    <row r="242" spans="1:74" ht="16" x14ac:dyDescent="0.15">
      <c r="A242" s="17" t="str">
        <f>IFERROR(IF($C242="","",IF(OR($BF242&gt;0,$V242&gt;$J242,AND(ISNUMBER($Q242),$Q242&gt;0),AND($BI242&lt;&gt;"",$BI242&lt;-PARAMETRI!$B$6),AND($BM242&lt;&gt;"",$BM242&gt;=1),AND($BN242&lt;&gt;"",$BN242&gt;PARAMETRI!$B$8),AND(ISNUMBER($BR242),$BR242&gt;0)),"CRITICO",IF(OR($AZ242="",LEFT($C242,5)="TEMP",$BJ242="",$BO242="",ANAGRAFICA!$I239="",ANAGRAFICA!$J239="",$Y242="",AND(OR($I242="Finito ritenute non previste",$I242="Finito con sblocco ritenute",$I242="Finito senza sblocco ritenute"),ANAGRAFICA!$K239=""),OR(AND(ANAGRAFICA!$T239&lt;&gt;"",ANAGRAFICA!$J239&lt;&gt;ANAGRAFICA!$T239,OR(ANAGRAFICA!$R239="",ANAGRAFICA!$R239="Nessuna variazione")),AND(ANAGRAFICA!$J239="",ANAGRAFICA!$R239&lt;&gt;"",ANAGRAFICA!$R239&lt;&gt;"Nessuna variazione")),AND($BI242&lt;&gt;"",$BI242&lt;-PARAMETRI!$B$5),AND($BN242&lt;&gt;"",$BN242&gt;PARAMETRI!$B$7),AND($W242&gt;0,$M242&gt;$W242*PARAMETRI!$B$9),AND($O242&gt;0,OR($I242="Finito ritenute non previste",$I242="Finito con sblocco ritenute",$I242="Finito senza sblocco ritenute")),AND($BA242&gt;0,$BO242&gt;0,$BP242=0),AND(OR($I242="Finito ritenute non previste",$I242="Finito con sblocco ritenute",$I242="Finito senza sblocco ritenute"),$W242&gt;0,$N242&gt;$W242*PARAMETRI!$B$9),$V242&gt;0),"ATTENZIONE","REGOLARE"))),"ATTENZIONE")</f>
        <v/>
      </c>
      <c r="B242" s="17" t="str">
        <f>IFERROR(IF($C242="","",IF($BF242&gt;0,"FATTURATO OLTRE VALORE RECUPERABILE; ","")&amp;IF($V242&gt;$J242,"PERDITE ACCETTATE OLTRE CONTRATTO; ","")&amp;IF($V242&gt;0,"PERDITA SAL ACCETTATA (€ "&amp;TEXT($V242,"#,##0.00")&amp;"); ","")&amp;IF(AND(ISNUMBER($Q242),$Q242&gt;0),"RITARDO PRODUTTIVO ("&amp;TEXT($Q242,"0")&amp;" GG); ","")&amp;IF(AND($BI242&lt;&gt;"",$BI242&lt;-PARAMETRI!$B$5),"AVANZAMENTO PIÙ LENTO DEL TEMPO; ","")&amp;IF(AND($BM242&lt;&gt;"",$BM242&gt;1),"ORE OLTRE BUDGET; ","")&amp;IF(AND($BM242&lt;&gt;"",$BM242=1),"ORE PREVENTIVATE ESAURITE; ","")&amp;IF(AND($BN242&lt;&gt;"",$BN242&gt;PARAMETRI!$B$7),"CONSUMO ORE SUPERIORE ALL'AVANZAMENTO; ","")&amp;IF(AND(ISNUMBER($BR242),$BR242&gt;0),"COSTI DIRETTI OLTRE BUDGET; ","")&amp;IF(AND($W242&gt;0,$M242&gt;$W242*PARAMETRI!$B$9),"SAL MATURATO NON FATTURATO; ","")&amp;IF(AND($O242&gt;0,OR($I242="Finito ritenute non previste",$I242="Finito con sblocco ritenute",$I242="Finito senza sblocco ritenute")),"RITENUTE DA SBLOCCARE; ","")&amp;IF(AND($BA242&gt;0,$BO242&gt;0,$BP242=0),"COSTI DIRETTI NON REGISTRATI; ","")&amp;IF(AND(OR($I242="Finito ritenute non previste",$I242="Finito con sblocco ritenute",$I242="Finito senza sblocco ritenute"),$W242&gt;0,$N242&gt;$W242*PARAMETRI!$B$9),"CANTIERE FINITO CON RESIDUO LAVORI; ","")&amp;IF(AND(OR($I242="Finito ritenute non previste",$I242="Finito con sblocco ritenute",$I242="Finito senza sblocco ritenute"),ANAGRAFICA!$K239=""),"DATA FINE EFFETTIVA MANCANTE; ","")&amp;IF(OR(AND(ANAGRAFICA!$T239&lt;&gt;"",ANAGRAFICA!$J239&lt;&gt;ANAGRAFICA!$T239,OR(ANAGRAFICA!$R239="",ANAGRAFICA!$R239="Nessuna variazione")),AND(ANAGRAFICA!$J239="",ANAGRAFICA!$R239&lt;&gt;"",ANAGRAFICA!$R239&lt;&gt;"Nessuna variazione")),"GESTIONE DATA FINE INCOMPLETA; ","")&amp;IF($Y242="","AGGIORNATO AL MANCANTE; ","")&amp;IF(OR($AZ242="",$BJ242="",$BO242="",ANAGRAFICA!$I239="",ANAGRAFICA!$J239=""),"DATI PREVISIONALI INCOMPLETI; ","")&amp;IF(LEFT($C242,5)="TEMP","CODICE COMMESSA TEMPORANEO; ","")),"DATI INCOMPLETI; ")</f>
        <v/>
      </c>
      <c r="C242" s="17" t="str">
        <f>IF(ANAGRAFICA!$B239="","",ANAGRAFICA!$B239)</f>
        <v/>
      </c>
      <c r="D242" s="17" t="str">
        <f>IF($C242="","",ANAGRAFICA!$C239)</f>
        <v/>
      </c>
      <c r="E242" s="17" t="str">
        <f>IF($C242="","",ANAGRAFICA!$D239)</f>
        <v/>
      </c>
      <c r="F242" s="17" t="str">
        <f>IF($C242="","",ANAGRAFICA!$E239)</f>
        <v/>
      </c>
      <c r="G242" s="17" t="str">
        <f>IF($C242="","",ANAGRAFICA!$F239)</f>
        <v/>
      </c>
      <c r="H242" s="17" t="str">
        <f>IF($C242="","",ANAGRAFICA!$G239)</f>
        <v/>
      </c>
      <c r="I242" s="17" t="str">
        <f>IF($C242="","",ANAGRAFICA!$L239)</f>
        <v/>
      </c>
      <c r="J242" s="16" t="str">
        <f t="shared" si="73"/>
        <v/>
      </c>
      <c r="K242" s="16" t="str">
        <f t="shared" si="74"/>
        <v/>
      </c>
      <c r="L242" s="16" t="str">
        <f t="shared" si="75"/>
        <v/>
      </c>
      <c r="M242" s="16" t="str">
        <f t="shared" si="76"/>
        <v/>
      </c>
      <c r="N242" s="16" t="str">
        <f t="shared" si="77"/>
        <v/>
      </c>
      <c r="O242" s="16" t="str">
        <f t="shared" si="78"/>
        <v/>
      </c>
      <c r="P242" s="17" t="str">
        <f t="shared" si="79"/>
        <v/>
      </c>
      <c r="Q242" s="31" t="str">
        <f>IF(OR($C242="",'BUDGET COMMESSA'!$D239="",'BUDGET COMMESSA'!$D239&lt;=0,ANAGRAFICA!$J239=""),"",IF(OR($I242="Finito ritenute non previste",$I242="Finito con sblocco ritenute",$I242="Finito senza sblocco ritenute"),0,IF(AND($BK242&gt;=$BJ242,ANAGRAFICA!$R239="Ritardo produttivo FIDA"),IF(ANAGRAFICA!$T239&lt;&gt;"",MAX(0,ANAGRAFICA!$J239-ANAGRAFICA!$T239),MAX(0,$Y242-ANAGRAFICA!$J239)),0)))</f>
        <v/>
      </c>
      <c r="R242" s="17" t="str">
        <f t="shared" si="80"/>
        <v/>
      </c>
      <c r="S242" s="17" t="str">
        <f t="shared" si="81"/>
        <v/>
      </c>
      <c r="T242" s="17" t="str">
        <f t="shared" si="82"/>
        <v/>
      </c>
      <c r="U242" s="16" t="str">
        <f t="shared" si="83"/>
        <v/>
      </c>
      <c r="V242" s="16" t="str">
        <f t="shared" si="84"/>
        <v/>
      </c>
      <c r="W242" s="16" t="str">
        <f t="shared" si="85"/>
        <v/>
      </c>
      <c r="X242" s="40"/>
      <c r="Y242" s="14"/>
      <c r="AZ242" t="str">
        <f>IF($C242="","",ANAGRAFICA!$P239)</f>
        <v/>
      </c>
      <c r="BA242" t="str">
        <f>IF($C242="","",SUMIF('MOVIMENTI 2026'!$B$7:$B$4206,$C242,'MOVIMENTI 2026'!$I$7:$I$4206)+SUMIF('SALDI AL 31.12.2025'!$A$6:$A$505,$C242,'SALDI AL 31.12.2025'!$C$6:$C$505))</f>
        <v/>
      </c>
      <c r="BB242" t="str">
        <f>IF($C242="","",SUMIF('MOVIMENTI 2026'!$B$7:$B$4206,$C242,'MOVIMENTI 2026'!$J$7:$J$4206)+SUMIF('SALDI AL 31.12.2025'!$A$6:$A$505,$C242,'SALDI AL 31.12.2025'!$D$6:$D$505))</f>
        <v/>
      </c>
      <c r="BC242" t="str">
        <f>IF($C242="","",SUMIF('MOVIMENTI 2026'!$B$7:$B$4206,$C242,'MOVIMENTI 2026'!$K$7:$K$4206)+SUMIF('SALDI AL 31.12.2025'!$A$6:$A$505,$C242,'SALDI AL 31.12.2025'!$E$6:$E$505))</f>
        <v/>
      </c>
      <c r="BD242" t="str">
        <f>IF($C242="","",SUMIF('MOVIMENTI 2026'!$B$7:$B$4206,$C242,'MOVIMENTI 2026'!$L$7:$L$4206)+SUMIF('SALDI AL 31.12.2025'!$A$6:$A$505,$C242,'SALDI AL 31.12.2025'!$F$6:$F$505))</f>
        <v/>
      </c>
      <c r="BE242" t="str">
        <f t="shared" si="86"/>
        <v/>
      </c>
      <c r="BF242" t="str">
        <f t="shared" si="87"/>
        <v/>
      </c>
      <c r="BG242" t="str">
        <f t="shared" si="88"/>
        <v/>
      </c>
      <c r="BH242" t="str">
        <f>IFERROR(IF(OR($C242="",ANAGRAFICA!$I239="",ANAGRAFICA!$J239="",ANAGRAFICA!$J239&lt;=ANAGRAFICA!$I239,$Y242=""),"",IF(OR($I242="Finito ritenute non previste",$I242="Finito con sblocco ritenute",$I242="Finito senza sblocco ritenute"),1,MAX(0,MIN(1,($Y242-ANAGRAFICA!$I239)/(ANAGRAFICA!$J239-ANAGRAFICA!$I239))))),"")</f>
        <v/>
      </c>
      <c r="BI242" t="str">
        <f t="shared" si="89"/>
        <v/>
      </c>
      <c r="BJ242" t="str">
        <f>IFERROR(IF($C242="","",'BUDGET COMMESSA'!$D239),"")</f>
        <v/>
      </c>
      <c r="BK242" t="str">
        <f>IF($C242="","",SUMIF('MOVIMENTI 2026'!$B$7:$B$4206,$C242,'MOVIMENTI 2026'!$N$7:$N$4206)+SUMIF('SALDI AL 31.12.2025'!$A$6:$A$505,$C242,'SALDI AL 31.12.2025'!$H$6:$H$505))</f>
        <v/>
      </c>
      <c r="BL242" t="str">
        <f t="shared" si="90"/>
        <v/>
      </c>
      <c r="BM242" t="str">
        <f t="shared" si="91"/>
        <v/>
      </c>
      <c r="BN242" t="str">
        <f t="shared" si="92"/>
        <v/>
      </c>
      <c r="BO242" t="str">
        <f>IFERROR(IF($C242="","",'BUDGET COMMESSA'!$G239),"")</f>
        <v/>
      </c>
      <c r="BP242" t="str">
        <f>IF($C242="","",SUMIF('COSTI DIRETTI'!$C$6:$C$505,$C242,'COSTI DIRETTI'!$H$6:$H$505)+SUMIF('SALDI AL 31.12.2025'!$A$6:$A$505,$C242,'SALDI AL 31.12.2025'!$I$6:$I$505))</f>
        <v/>
      </c>
      <c r="BQ242" t="str">
        <f t="shared" si="93"/>
        <v/>
      </c>
      <c r="BR242" t="str">
        <f t="shared" si="94"/>
        <v/>
      </c>
      <c r="BS242" t="str">
        <f>IF($C242="","",$BK242*PARAMETRI!$B$4+$BP242)</f>
        <v/>
      </c>
      <c r="BT242">
        <f t="shared" si="95"/>
        <v>0</v>
      </c>
      <c r="BU242">
        <f t="shared" si="96"/>
        <v>0</v>
      </c>
      <c r="BV242" t="str">
        <f>IF($C242="","",SUMIF('MOVIMENTI 2026'!$B$7:$B$4206,$C242,'MOVIMENTI 2026'!$P$7:$P$4206)+SUMIF('SALDI AL 31.12.2025'!$A$6:$A$505,$C242,'SALDI AL 31.12.2025'!$G$6:$G$505))</f>
        <v/>
      </c>
    </row>
    <row r="243" spans="1:74" ht="16" x14ac:dyDescent="0.15">
      <c r="A243" s="17" t="str">
        <f>IFERROR(IF($C243="","",IF(OR($BF243&gt;0,$V243&gt;$J243,AND(ISNUMBER($Q243),$Q243&gt;0),AND($BI243&lt;&gt;"",$BI243&lt;-PARAMETRI!$B$6),AND($BM243&lt;&gt;"",$BM243&gt;=1),AND($BN243&lt;&gt;"",$BN243&gt;PARAMETRI!$B$8),AND(ISNUMBER($BR243),$BR243&gt;0)),"CRITICO",IF(OR($AZ243="",LEFT($C243,5)="TEMP",$BJ243="",$BO243="",ANAGRAFICA!$I240="",ANAGRAFICA!$J240="",$Y243="",AND(OR($I243="Finito ritenute non previste",$I243="Finito con sblocco ritenute",$I243="Finito senza sblocco ritenute"),ANAGRAFICA!$K240=""),OR(AND(ANAGRAFICA!$T240&lt;&gt;"",ANAGRAFICA!$J240&lt;&gt;ANAGRAFICA!$T240,OR(ANAGRAFICA!$R240="",ANAGRAFICA!$R240="Nessuna variazione")),AND(ANAGRAFICA!$J240="",ANAGRAFICA!$R240&lt;&gt;"",ANAGRAFICA!$R240&lt;&gt;"Nessuna variazione")),AND($BI243&lt;&gt;"",$BI243&lt;-PARAMETRI!$B$5),AND($BN243&lt;&gt;"",$BN243&gt;PARAMETRI!$B$7),AND($W243&gt;0,$M243&gt;$W243*PARAMETRI!$B$9),AND($O243&gt;0,OR($I243="Finito ritenute non previste",$I243="Finito con sblocco ritenute",$I243="Finito senza sblocco ritenute")),AND($BA243&gt;0,$BO243&gt;0,$BP243=0),AND(OR($I243="Finito ritenute non previste",$I243="Finito con sblocco ritenute",$I243="Finito senza sblocco ritenute"),$W243&gt;0,$N243&gt;$W243*PARAMETRI!$B$9),$V243&gt;0),"ATTENZIONE","REGOLARE"))),"ATTENZIONE")</f>
        <v/>
      </c>
      <c r="B243" s="17" t="str">
        <f>IFERROR(IF($C243="","",IF($BF243&gt;0,"FATTURATO OLTRE VALORE RECUPERABILE; ","")&amp;IF($V243&gt;$J243,"PERDITE ACCETTATE OLTRE CONTRATTO; ","")&amp;IF($V243&gt;0,"PERDITA SAL ACCETTATA (€ "&amp;TEXT($V243,"#,##0.00")&amp;"); ","")&amp;IF(AND(ISNUMBER($Q243),$Q243&gt;0),"RITARDO PRODUTTIVO ("&amp;TEXT($Q243,"0")&amp;" GG); ","")&amp;IF(AND($BI243&lt;&gt;"",$BI243&lt;-PARAMETRI!$B$5),"AVANZAMENTO PIÙ LENTO DEL TEMPO; ","")&amp;IF(AND($BM243&lt;&gt;"",$BM243&gt;1),"ORE OLTRE BUDGET; ","")&amp;IF(AND($BM243&lt;&gt;"",$BM243=1),"ORE PREVENTIVATE ESAURITE; ","")&amp;IF(AND($BN243&lt;&gt;"",$BN243&gt;PARAMETRI!$B$7),"CONSUMO ORE SUPERIORE ALL'AVANZAMENTO; ","")&amp;IF(AND(ISNUMBER($BR243),$BR243&gt;0),"COSTI DIRETTI OLTRE BUDGET; ","")&amp;IF(AND($W243&gt;0,$M243&gt;$W243*PARAMETRI!$B$9),"SAL MATURATO NON FATTURATO; ","")&amp;IF(AND($O243&gt;0,OR($I243="Finito ritenute non previste",$I243="Finito con sblocco ritenute",$I243="Finito senza sblocco ritenute")),"RITENUTE DA SBLOCCARE; ","")&amp;IF(AND($BA243&gt;0,$BO243&gt;0,$BP243=0),"COSTI DIRETTI NON REGISTRATI; ","")&amp;IF(AND(OR($I243="Finito ritenute non previste",$I243="Finito con sblocco ritenute",$I243="Finito senza sblocco ritenute"),$W243&gt;0,$N243&gt;$W243*PARAMETRI!$B$9),"CANTIERE FINITO CON RESIDUO LAVORI; ","")&amp;IF(AND(OR($I243="Finito ritenute non previste",$I243="Finito con sblocco ritenute",$I243="Finito senza sblocco ritenute"),ANAGRAFICA!$K240=""),"DATA FINE EFFETTIVA MANCANTE; ","")&amp;IF(OR(AND(ANAGRAFICA!$T240&lt;&gt;"",ANAGRAFICA!$J240&lt;&gt;ANAGRAFICA!$T240,OR(ANAGRAFICA!$R240="",ANAGRAFICA!$R240="Nessuna variazione")),AND(ANAGRAFICA!$J240="",ANAGRAFICA!$R240&lt;&gt;"",ANAGRAFICA!$R240&lt;&gt;"Nessuna variazione")),"GESTIONE DATA FINE INCOMPLETA; ","")&amp;IF($Y243="","AGGIORNATO AL MANCANTE; ","")&amp;IF(OR($AZ243="",$BJ243="",$BO243="",ANAGRAFICA!$I240="",ANAGRAFICA!$J240=""),"DATI PREVISIONALI INCOMPLETI; ","")&amp;IF(LEFT($C243,5)="TEMP","CODICE COMMESSA TEMPORANEO; ","")),"DATI INCOMPLETI; ")</f>
        <v/>
      </c>
      <c r="C243" s="17" t="str">
        <f>IF(ANAGRAFICA!$B240="","",ANAGRAFICA!$B240)</f>
        <v/>
      </c>
      <c r="D243" s="17" t="str">
        <f>IF($C243="","",ANAGRAFICA!$C240)</f>
        <v/>
      </c>
      <c r="E243" s="17" t="str">
        <f>IF($C243="","",ANAGRAFICA!$D240)</f>
        <v/>
      </c>
      <c r="F243" s="17" t="str">
        <f>IF($C243="","",ANAGRAFICA!$E240)</f>
        <v/>
      </c>
      <c r="G243" s="17" t="str">
        <f>IF($C243="","",ANAGRAFICA!$F240)</f>
        <v/>
      </c>
      <c r="H243" s="17" t="str">
        <f>IF($C243="","",ANAGRAFICA!$G240)</f>
        <v/>
      </c>
      <c r="I243" s="17" t="str">
        <f>IF($C243="","",ANAGRAFICA!$L240)</f>
        <v/>
      </c>
      <c r="J243" s="16" t="str">
        <f t="shared" si="73"/>
        <v/>
      </c>
      <c r="K243" s="16" t="str">
        <f t="shared" si="74"/>
        <v/>
      </c>
      <c r="L243" s="16" t="str">
        <f t="shared" si="75"/>
        <v/>
      </c>
      <c r="M243" s="16" t="str">
        <f t="shared" si="76"/>
        <v/>
      </c>
      <c r="N243" s="16" t="str">
        <f t="shared" si="77"/>
        <v/>
      </c>
      <c r="O243" s="16" t="str">
        <f t="shared" si="78"/>
        <v/>
      </c>
      <c r="P243" s="17" t="str">
        <f t="shared" si="79"/>
        <v/>
      </c>
      <c r="Q243" s="31" t="str">
        <f>IF(OR($C243="",'BUDGET COMMESSA'!$D240="",'BUDGET COMMESSA'!$D240&lt;=0,ANAGRAFICA!$J240=""),"",IF(OR($I243="Finito ritenute non previste",$I243="Finito con sblocco ritenute",$I243="Finito senza sblocco ritenute"),0,IF(AND($BK243&gt;=$BJ243,ANAGRAFICA!$R240="Ritardo produttivo FIDA"),IF(ANAGRAFICA!$T240&lt;&gt;"",MAX(0,ANAGRAFICA!$J240-ANAGRAFICA!$T240),MAX(0,$Y243-ANAGRAFICA!$J240)),0)))</f>
        <v/>
      </c>
      <c r="R243" s="17" t="str">
        <f t="shared" si="80"/>
        <v/>
      </c>
      <c r="S243" s="17" t="str">
        <f t="shared" si="81"/>
        <v/>
      </c>
      <c r="T243" s="17" t="str">
        <f t="shared" si="82"/>
        <v/>
      </c>
      <c r="U243" s="16" t="str">
        <f t="shared" si="83"/>
        <v/>
      </c>
      <c r="V243" s="16" t="str">
        <f t="shared" si="84"/>
        <v/>
      </c>
      <c r="W243" s="16" t="str">
        <f t="shared" si="85"/>
        <v/>
      </c>
      <c r="X243" s="40"/>
      <c r="Y243" s="14"/>
      <c r="AZ243" t="str">
        <f>IF($C243="","",ANAGRAFICA!$P240)</f>
        <v/>
      </c>
      <c r="BA243" t="str">
        <f>IF($C243="","",SUMIF('MOVIMENTI 2026'!$B$7:$B$4206,$C243,'MOVIMENTI 2026'!$I$7:$I$4206)+SUMIF('SALDI AL 31.12.2025'!$A$6:$A$505,$C243,'SALDI AL 31.12.2025'!$C$6:$C$505))</f>
        <v/>
      </c>
      <c r="BB243" t="str">
        <f>IF($C243="","",SUMIF('MOVIMENTI 2026'!$B$7:$B$4206,$C243,'MOVIMENTI 2026'!$J$7:$J$4206)+SUMIF('SALDI AL 31.12.2025'!$A$6:$A$505,$C243,'SALDI AL 31.12.2025'!$D$6:$D$505))</f>
        <v/>
      </c>
      <c r="BC243" t="str">
        <f>IF($C243="","",SUMIF('MOVIMENTI 2026'!$B$7:$B$4206,$C243,'MOVIMENTI 2026'!$K$7:$K$4206)+SUMIF('SALDI AL 31.12.2025'!$A$6:$A$505,$C243,'SALDI AL 31.12.2025'!$E$6:$E$505))</f>
        <v/>
      </c>
      <c r="BD243" t="str">
        <f>IF($C243="","",SUMIF('MOVIMENTI 2026'!$B$7:$B$4206,$C243,'MOVIMENTI 2026'!$L$7:$L$4206)+SUMIF('SALDI AL 31.12.2025'!$A$6:$A$505,$C243,'SALDI AL 31.12.2025'!$F$6:$F$505))</f>
        <v/>
      </c>
      <c r="BE243" t="str">
        <f t="shared" si="86"/>
        <v/>
      </c>
      <c r="BF243" t="str">
        <f t="shared" si="87"/>
        <v/>
      </c>
      <c r="BG243" t="str">
        <f t="shared" si="88"/>
        <v/>
      </c>
      <c r="BH243" t="str">
        <f>IFERROR(IF(OR($C243="",ANAGRAFICA!$I240="",ANAGRAFICA!$J240="",ANAGRAFICA!$J240&lt;=ANAGRAFICA!$I240,$Y243=""),"",IF(OR($I243="Finito ritenute non previste",$I243="Finito con sblocco ritenute",$I243="Finito senza sblocco ritenute"),1,MAX(0,MIN(1,($Y243-ANAGRAFICA!$I240)/(ANAGRAFICA!$J240-ANAGRAFICA!$I240))))),"")</f>
        <v/>
      </c>
      <c r="BI243" t="str">
        <f t="shared" si="89"/>
        <v/>
      </c>
      <c r="BJ243" t="str">
        <f>IFERROR(IF($C243="","",'BUDGET COMMESSA'!$D240),"")</f>
        <v/>
      </c>
      <c r="BK243" t="str">
        <f>IF($C243="","",SUMIF('MOVIMENTI 2026'!$B$7:$B$4206,$C243,'MOVIMENTI 2026'!$N$7:$N$4206)+SUMIF('SALDI AL 31.12.2025'!$A$6:$A$505,$C243,'SALDI AL 31.12.2025'!$H$6:$H$505))</f>
        <v/>
      </c>
      <c r="BL243" t="str">
        <f t="shared" si="90"/>
        <v/>
      </c>
      <c r="BM243" t="str">
        <f t="shared" si="91"/>
        <v/>
      </c>
      <c r="BN243" t="str">
        <f t="shared" si="92"/>
        <v/>
      </c>
      <c r="BO243" t="str">
        <f>IFERROR(IF($C243="","",'BUDGET COMMESSA'!$G240),"")</f>
        <v/>
      </c>
      <c r="BP243" t="str">
        <f>IF($C243="","",SUMIF('COSTI DIRETTI'!$C$6:$C$505,$C243,'COSTI DIRETTI'!$H$6:$H$505)+SUMIF('SALDI AL 31.12.2025'!$A$6:$A$505,$C243,'SALDI AL 31.12.2025'!$I$6:$I$505))</f>
        <v/>
      </c>
      <c r="BQ243" t="str">
        <f t="shared" si="93"/>
        <v/>
      </c>
      <c r="BR243" t="str">
        <f t="shared" si="94"/>
        <v/>
      </c>
      <c r="BS243" t="str">
        <f>IF($C243="","",$BK243*PARAMETRI!$B$4+$BP243)</f>
        <v/>
      </c>
      <c r="BT243">
        <f t="shared" si="95"/>
        <v>0</v>
      </c>
      <c r="BU243">
        <f t="shared" si="96"/>
        <v>0</v>
      </c>
      <c r="BV243" t="str">
        <f>IF($C243="","",SUMIF('MOVIMENTI 2026'!$B$7:$B$4206,$C243,'MOVIMENTI 2026'!$P$7:$P$4206)+SUMIF('SALDI AL 31.12.2025'!$A$6:$A$505,$C243,'SALDI AL 31.12.2025'!$G$6:$G$505))</f>
        <v/>
      </c>
    </row>
    <row r="244" spans="1:74" ht="16" x14ac:dyDescent="0.15">
      <c r="A244" s="17" t="str">
        <f>IFERROR(IF($C244="","",IF(OR($BF244&gt;0,$V244&gt;$J244,AND(ISNUMBER($Q244),$Q244&gt;0),AND($BI244&lt;&gt;"",$BI244&lt;-PARAMETRI!$B$6),AND($BM244&lt;&gt;"",$BM244&gt;=1),AND($BN244&lt;&gt;"",$BN244&gt;PARAMETRI!$B$8),AND(ISNUMBER($BR244),$BR244&gt;0)),"CRITICO",IF(OR($AZ244="",LEFT($C244,5)="TEMP",$BJ244="",$BO244="",ANAGRAFICA!$I241="",ANAGRAFICA!$J241="",$Y244="",AND(OR($I244="Finito ritenute non previste",$I244="Finito con sblocco ritenute",$I244="Finito senza sblocco ritenute"),ANAGRAFICA!$K241=""),OR(AND(ANAGRAFICA!$T241&lt;&gt;"",ANAGRAFICA!$J241&lt;&gt;ANAGRAFICA!$T241,OR(ANAGRAFICA!$R241="",ANAGRAFICA!$R241="Nessuna variazione")),AND(ANAGRAFICA!$J241="",ANAGRAFICA!$R241&lt;&gt;"",ANAGRAFICA!$R241&lt;&gt;"Nessuna variazione")),AND($BI244&lt;&gt;"",$BI244&lt;-PARAMETRI!$B$5),AND($BN244&lt;&gt;"",$BN244&gt;PARAMETRI!$B$7),AND($W244&gt;0,$M244&gt;$W244*PARAMETRI!$B$9),AND($O244&gt;0,OR($I244="Finito ritenute non previste",$I244="Finito con sblocco ritenute",$I244="Finito senza sblocco ritenute")),AND($BA244&gt;0,$BO244&gt;0,$BP244=0),AND(OR($I244="Finito ritenute non previste",$I244="Finito con sblocco ritenute",$I244="Finito senza sblocco ritenute"),$W244&gt;0,$N244&gt;$W244*PARAMETRI!$B$9),$V244&gt;0),"ATTENZIONE","REGOLARE"))),"ATTENZIONE")</f>
        <v/>
      </c>
      <c r="B244" s="17" t="str">
        <f>IFERROR(IF($C244="","",IF($BF244&gt;0,"FATTURATO OLTRE VALORE RECUPERABILE; ","")&amp;IF($V244&gt;$J244,"PERDITE ACCETTATE OLTRE CONTRATTO; ","")&amp;IF($V244&gt;0,"PERDITA SAL ACCETTATA (€ "&amp;TEXT($V244,"#,##0.00")&amp;"); ","")&amp;IF(AND(ISNUMBER($Q244),$Q244&gt;0),"RITARDO PRODUTTIVO ("&amp;TEXT($Q244,"0")&amp;" GG); ","")&amp;IF(AND($BI244&lt;&gt;"",$BI244&lt;-PARAMETRI!$B$5),"AVANZAMENTO PIÙ LENTO DEL TEMPO; ","")&amp;IF(AND($BM244&lt;&gt;"",$BM244&gt;1),"ORE OLTRE BUDGET; ","")&amp;IF(AND($BM244&lt;&gt;"",$BM244=1),"ORE PREVENTIVATE ESAURITE; ","")&amp;IF(AND($BN244&lt;&gt;"",$BN244&gt;PARAMETRI!$B$7),"CONSUMO ORE SUPERIORE ALL'AVANZAMENTO; ","")&amp;IF(AND(ISNUMBER($BR244),$BR244&gt;0),"COSTI DIRETTI OLTRE BUDGET; ","")&amp;IF(AND($W244&gt;0,$M244&gt;$W244*PARAMETRI!$B$9),"SAL MATURATO NON FATTURATO; ","")&amp;IF(AND($O244&gt;0,OR($I244="Finito ritenute non previste",$I244="Finito con sblocco ritenute",$I244="Finito senza sblocco ritenute")),"RITENUTE DA SBLOCCARE; ","")&amp;IF(AND($BA244&gt;0,$BO244&gt;0,$BP244=0),"COSTI DIRETTI NON REGISTRATI; ","")&amp;IF(AND(OR($I244="Finito ritenute non previste",$I244="Finito con sblocco ritenute",$I244="Finito senza sblocco ritenute"),$W244&gt;0,$N244&gt;$W244*PARAMETRI!$B$9),"CANTIERE FINITO CON RESIDUO LAVORI; ","")&amp;IF(AND(OR($I244="Finito ritenute non previste",$I244="Finito con sblocco ritenute",$I244="Finito senza sblocco ritenute"),ANAGRAFICA!$K241=""),"DATA FINE EFFETTIVA MANCANTE; ","")&amp;IF(OR(AND(ANAGRAFICA!$T241&lt;&gt;"",ANAGRAFICA!$J241&lt;&gt;ANAGRAFICA!$T241,OR(ANAGRAFICA!$R241="",ANAGRAFICA!$R241="Nessuna variazione")),AND(ANAGRAFICA!$J241="",ANAGRAFICA!$R241&lt;&gt;"",ANAGRAFICA!$R241&lt;&gt;"Nessuna variazione")),"GESTIONE DATA FINE INCOMPLETA; ","")&amp;IF($Y244="","AGGIORNATO AL MANCANTE; ","")&amp;IF(OR($AZ244="",$BJ244="",$BO244="",ANAGRAFICA!$I241="",ANAGRAFICA!$J241=""),"DATI PREVISIONALI INCOMPLETI; ","")&amp;IF(LEFT($C244,5)="TEMP","CODICE COMMESSA TEMPORANEO; ","")),"DATI INCOMPLETI; ")</f>
        <v/>
      </c>
      <c r="C244" s="17" t="str">
        <f>IF(ANAGRAFICA!$B241="","",ANAGRAFICA!$B241)</f>
        <v/>
      </c>
      <c r="D244" s="17" t="str">
        <f>IF($C244="","",ANAGRAFICA!$C241)</f>
        <v/>
      </c>
      <c r="E244" s="17" t="str">
        <f>IF($C244="","",ANAGRAFICA!$D241)</f>
        <v/>
      </c>
      <c r="F244" s="17" t="str">
        <f>IF($C244="","",ANAGRAFICA!$E241)</f>
        <v/>
      </c>
      <c r="G244" s="17" t="str">
        <f>IF($C244="","",ANAGRAFICA!$F241)</f>
        <v/>
      </c>
      <c r="H244" s="17" t="str">
        <f>IF($C244="","",ANAGRAFICA!$G241)</f>
        <v/>
      </c>
      <c r="I244" s="17" t="str">
        <f>IF($C244="","",ANAGRAFICA!$L241)</f>
        <v/>
      </c>
      <c r="J244" s="16" t="str">
        <f t="shared" si="73"/>
        <v/>
      </c>
      <c r="K244" s="16" t="str">
        <f t="shared" si="74"/>
        <v/>
      </c>
      <c r="L244" s="16" t="str">
        <f t="shared" si="75"/>
        <v/>
      </c>
      <c r="M244" s="16" t="str">
        <f t="shared" si="76"/>
        <v/>
      </c>
      <c r="N244" s="16" t="str">
        <f t="shared" si="77"/>
        <v/>
      </c>
      <c r="O244" s="16" t="str">
        <f t="shared" si="78"/>
        <v/>
      </c>
      <c r="P244" s="17" t="str">
        <f t="shared" si="79"/>
        <v/>
      </c>
      <c r="Q244" s="31" t="str">
        <f>IF(OR($C244="",'BUDGET COMMESSA'!$D241="",'BUDGET COMMESSA'!$D241&lt;=0,ANAGRAFICA!$J241=""),"",IF(OR($I244="Finito ritenute non previste",$I244="Finito con sblocco ritenute",$I244="Finito senza sblocco ritenute"),0,IF(AND($BK244&gt;=$BJ244,ANAGRAFICA!$R241="Ritardo produttivo FIDA"),IF(ANAGRAFICA!$T241&lt;&gt;"",MAX(0,ANAGRAFICA!$J241-ANAGRAFICA!$T241),MAX(0,$Y244-ANAGRAFICA!$J241)),0)))</f>
        <v/>
      </c>
      <c r="R244" s="17" t="str">
        <f t="shared" si="80"/>
        <v/>
      </c>
      <c r="S244" s="17" t="str">
        <f t="shared" si="81"/>
        <v/>
      </c>
      <c r="T244" s="17" t="str">
        <f t="shared" si="82"/>
        <v/>
      </c>
      <c r="U244" s="16" t="str">
        <f t="shared" si="83"/>
        <v/>
      </c>
      <c r="V244" s="16" t="str">
        <f t="shared" si="84"/>
        <v/>
      </c>
      <c r="W244" s="16" t="str">
        <f t="shared" si="85"/>
        <v/>
      </c>
      <c r="X244" s="40"/>
      <c r="Y244" s="14"/>
      <c r="AZ244" t="str">
        <f>IF($C244="","",ANAGRAFICA!$P241)</f>
        <v/>
      </c>
      <c r="BA244" t="str">
        <f>IF($C244="","",SUMIF('MOVIMENTI 2026'!$B$7:$B$4206,$C244,'MOVIMENTI 2026'!$I$7:$I$4206)+SUMIF('SALDI AL 31.12.2025'!$A$6:$A$505,$C244,'SALDI AL 31.12.2025'!$C$6:$C$505))</f>
        <v/>
      </c>
      <c r="BB244" t="str">
        <f>IF($C244="","",SUMIF('MOVIMENTI 2026'!$B$7:$B$4206,$C244,'MOVIMENTI 2026'!$J$7:$J$4206)+SUMIF('SALDI AL 31.12.2025'!$A$6:$A$505,$C244,'SALDI AL 31.12.2025'!$D$6:$D$505))</f>
        <v/>
      </c>
      <c r="BC244" t="str">
        <f>IF($C244="","",SUMIF('MOVIMENTI 2026'!$B$7:$B$4206,$C244,'MOVIMENTI 2026'!$K$7:$K$4206)+SUMIF('SALDI AL 31.12.2025'!$A$6:$A$505,$C244,'SALDI AL 31.12.2025'!$E$6:$E$505))</f>
        <v/>
      </c>
      <c r="BD244" t="str">
        <f>IF($C244="","",SUMIF('MOVIMENTI 2026'!$B$7:$B$4206,$C244,'MOVIMENTI 2026'!$L$7:$L$4206)+SUMIF('SALDI AL 31.12.2025'!$A$6:$A$505,$C244,'SALDI AL 31.12.2025'!$F$6:$F$505))</f>
        <v/>
      </c>
      <c r="BE244" t="str">
        <f t="shared" si="86"/>
        <v/>
      </c>
      <c r="BF244" t="str">
        <f t="shared" si="87"/>
        <v/>
      </c>
      <c r="BG244" t="str">
        <f t="shared" si="88"/>
        <v/>
      </c>
      <c r="BH244" t="str">
        <f>IFERROR(IF(OR($C244="",ANAGRAFICA!$I241="",ANAGRAFICA!$J241="",ANAGRAFICA!$J241&lt;=ANAGRAFICA!$I241,$Y244=""),"",IF(OR($I244="Finito ritenute non previste",$I244="Finito con sblocco ritenute",$I244="Finito senza sblocco ritenute"),1,MAX(0,MIN(1,($Y244-ANAGRAFICA!$I241)/(ANAGRAFICA!$J241-ANAGRAFICA!$I241))))),"")</f>
        <v/>
      </c>
      <c r="BI244" t="str">
        <f t="shared" si="89"/>
        <v/>
      </c>
      <c r="BJ244" t="str">
        <f>IFERROR(IF($C244="","",'BUDGET COMMESSA'!$D241),"")</f>
        <v/>
      </c>
      <c r="BK244" t="str">
        <f>IF($C244="","",SUMIF('MOVIMENTI 2026'!$B$7:$B$4206,$C244,'MOVIMENTI 2026'!$N$7:$N$4206)+SUMIF('SALDI AL 31.12.2025'!$A$6:$A$505,$C244,'SALDI AL 31.12.2025'!$H$6:$H$505))</f>
        <v/>
      </c>
      <c r="BL244" t="str">
        <f t="shared" si="90"/>
        <v/>
      </c>
      <c r="BM244" t="str">
        <f t="shared" si="91"/>
        <v/>
      </c>
      <c r="BN244" t="str">
        <f t="shared" si="92"/>
        <v/>
      </c>
      <c r="BO244" t="str">
        <f>IFERROR(IF($C244="","",'BUDGET COMMESSA'!$G241),"")</f>
        <v/>
      </c>
      <c r="BP244" t="str">
        <f>IF($C244="","",SUMIF('COSTI DIRETTI'!$C$6:$C$505,$C244,'COSTI DIRETTI'!$H$6:$H$505)+SUMIF('SALDI AL 31.12.2025'!$A$6:$A$505,$C244,'SALDI AL 31.12.2025'!$I$6:$I$505))</f>
        <v/>
      </c>
      <c r="BQ244" t="str">
        <f t="shared" si="93"/>
        <v/>
      </c>
      <c r="BR244" t="str">
        <f t="shared" si="94"/>
        <v/>
      </c>
      <c r="BS244" t="str">
        <f>IF($C244="","",$BK244*PARAMETRI!$B$4+$BP244)</f>
        <v/>
      </c>
      <c r="BT244">
        <f t="shared" si="95"/>
        <v>0</v>
      </c>
      <c r="BU244">
        <f t="shared" si="96"/>
        <v>0</v>
      </c>
      <c r="BV244" t="str">
        <f>IF($C244="","",SUMIF('MOVIMENTI 2026'!$B$7:$B$4206,$C244,'MOVIMENTI 2026'!$P$7:$P$4206)+SUMIF('SALDI AL 31.12.2025'!$A$6:$A$505,$C244,'SALDI AL 31.12.2025'!$G$6:$G$505))</f>
        <v/>
      </c>
    </row>
    <row r="245" spans="1:74" ht="16" x14ac:dyDescent="0.15">
      <c r="A245" s="17" t="str">
        <f>IFERROR(IF($C245="","",IF(OR($BF245&gt;0,$V245&gt;$J245,AND(ISNUMBER($Q245),$Q245&gt;0),AND($BI245&lt;&gt;"",$BI245&lt;-PARAMETRI!$B$6),AND($BM245&lt;&gt;"",$BM245&gt;=1),AND($BN245&lt;&gt;"",$BN245&gt;PARAMETRI!$B$8),AND(ISNUMBER($BR245),$BR245&gt;0)),"CRITICO",IF(OR($AZ245="",LEFT($C245,5)="TEMP",$BJ245="",$BO245="",ANAGRAFICA!$I242="",ANAGRAFICA!$J242="",$Y245="",AND(OR($I245="Finito ritenute non previste",$I245="Finito con sblocco ritenute",$I245="Finito senza sblocco ritenute"),ANAGRAFICA!$K242=""),OR(AND(ANAGRAFICA!$T242&lt;&gt;"",ANAGRAFICA!$J242&lt;&gt;ANAGRAFICA!$T242,OR(ANAGRAFICA!$R242="",ANAGRAFICA!$R242="Nessuna variazione")),AND(ANAGRAFICA!$J242="",ANAGRAFICA!$R242&lt;&gt;"",ANAGRAFICA!$R242&lt;&gt;"Nessuna variazione")),AND($BI245&lt;&gt;"",$BI245&lt;-PARAMETRI!$B$5),AND($BN245&lt;&gt;"",$BN245&gt;PARAMETRI!$B$7),AND($W245&gt;0,$M245&gt;$W245*PARAMETRI!$B$9),AND($O245&gt;0,OR($I245="Finito ritenute non previste",$I245="Finito con sblocco ritenute",$I245="Finito senza sblocco ritenute")),AND($BA245&gt;0,$BO245&gt;0,$BP245=0),AND(OR($I245="Finito ritenute non previste",$I245="Finito con sblocco ritenute",$I245="Finito senza sblocco ritenute"),$W245&gt;0,$N245&gt;$W245*PARAMETRI!$B$9),$V245&gt;0),"ATTENZIONE","REGOLARE"))),"ATTENZIONE")</f>
        <v/>
      </c>
      <c r="B245" s="17" t="str">
        <f>IFERROR(IF($C245="","",IF($BF245&gt;0,"FATTURATO OLTRE VALORE RECUPERABILE; ","")&amp;IF($V245&gt;$J245,"PERDITE ACCETTATE OLTRE CONTRATTO; ","")&amp;IF($V245&gt;0,"PERDITA SAL ACCETTATA (€ "&amp;TEXT($V245,"#,##0.00")&amp;"); ","")&amp;IF(AND(ISNUMBER($Q245),$Q245&gt;0),"RITARDO PRODUTTIVO ("&amp;TEXT($Q245,"0")&amp;" GG); ","")&amp;IF(AND($BI245&lt;&gt;"",$BI245&lt;-PARAMETRI!$B$5),"AVANZAMENTO PIÙ LENTO DEL TEMPO; ","")&amp;IF(AND($BM245&lt;&gt;"",$BM245&gt;1),"ORE OLTRE BUDGET; ","")&amp;IF(AND($BM245&lt;&gt;"",$BM245=1),"ORE PREVENTIVATE ESAURITE; ","")&amp;IF(AND($BN245&lt;&gt;"",$BN245&gt;PARAMETRI!$B$7),"CONSUMO ORE SUPERIORE ALL'AVANZAMENTO; ","")&amp;IF(AND(ISNUMBER($BR245),$BR245&gt;0),"COSTI DIRETTI OLTRE BUDGET; ","")&amp;IF(AND($W245&gt;0,$M245&gt;$W245*PARAMETRI!$B$9),"SAL MATURATO NON FATTURATO; ","")&amp;IF(AND($O245&gt;0,OR($I245="Finito ritenute non previste",$I245="Finito con sblocco ritenute",$I245="Finito senza sblocco ritenute")),"RITENUTE DA SBLOCCARE; ","")&amp;IF(AND($BA245&gt;0,$BO245&gt;0,$BP245=0),"COSTI DIRETTI NON REGISTRATI; ","")&amp;IF(AND(OR($I245="Finito ritenute non previste",$I245="Finito con sblocco ritenute",$I245="Finito senza sblocco ritenute"),$W245&gt;0,$N245&gt;$W245*PARAMETRI!$B$9),"CANTIERE FINITO CON RESIDUO LAVORI; ","")&amp;IF(AND(OR($I245="Finito ritenute non previste",$I245="Finito con sblocco ritenute",$I245="Finito senza sblocco ritenute"),ANAGRAFICA!$K242=""),"DATA FINE EFFETTIVA MANCANTE; ","")&amp;IF(OR(AND(ANAGRAFICA!$T242&lt;&gt;"",ANAGRAFICA!$J242&lt;&gt;ANAGRAFICA!$T242,OR(ANAGRAFICA!$R242="",ANAGRAFICA!$R242="Nessuna variazione")),AND(ANAGRAFICA!$J242="",ANAGRAFICA!$R242&lt;&gt;"",ANAGRAFICA!$R242&lt;&gt;"Nessuna variazione")),"GESTIONE DATA FINE INCOMPLETA; ","")&amp;IF($Y245="","AGGIORNATO AL MANCANTE; ","")&amp;IF(OR($AZ245="",$BJ245="",$BO245="",ANAGRAFICA!$I242="",ANAGRAFICA!$J242=""),"DATI PREVISIONALI INCOMPLETI; ","")&amp;IF(LEFT($C245,5)="TEMP","CODICE COMMESSA TEMPORANEO; ","")),"DATI INCOMPLETI; ")</f>
        <v/>
      </c>
      <c r="C245" s="17" t="str">
        <f>IF(ANAGRAFICA!$B242="","",ANAGRAFICA!$B242)</f>
        <v/>
      </c>
      <c r="D245" s="17" t="str">
        <f>IF($C245="","",ANAGRAFICA!$C242)</f>
        <v/>
      </c>
      <c r="E245" s="17" t="str">
        <f>IF($C245="","",ANAGRAFICA!$D242)</f>
        <v/>
      </c>
      <c r="F245" s="17" t="str">
        <f>IF($C245="","",ANAGRAFICA!$E242)</f>
        <v/>
      </c>
      <c r="G245" s="17" t="str">
        <f>IF($C245="","",ANAGRAFICA!$F242)</f>
        <v/>
      </c>
      <c r="H245" s="17" t="str">
        <f>IF($C245="","",ANAGRAFICA!$G242)</f>
        <v/>
      </c>
      <c r="I245" s="17" t="str">
        <f>IF($C245="","",ANAGRAFICA!$L242)</f>
        <v/>
      </c>
      <c r="J245" s="16" t="str">
        <f t="shared" si="73"/>
        <v/>
      </c>
      <c r="K245" s="16" t="str">
        <f t="shared" si="74"/>
        <v/>
      </c>
      <c r="L245" s="16" t="str">
        <f t="shared" si="75"/>
        <v/>
      </c>
      <c r="M245" s="16" t="str">
        <f t="shared" si="76"/>
        <v/>
      </c>
      <c r="N245" s="16" t="str">
        <f t="shared" si="77"/>
        <v/>
      </c>
      <c r="O245" s="16" t="str">
        <f t="shared" si="78"/>
        <v/>
      </c>
      <c r="P245" s="17" t="str">
        <f t="shared" si="79"/>
        <v/>
      </c>
      <c r="Q245" s="31" t="str">
        <f>IF(OR($C245="",'BUDGET COMMESSA'!$D242="",'BUDGET COMMESSA'!$D242&lt;=0,ANAGRAFICA!$J242=""),"",IF(OR($I245="Finito ritenute non previste",$I245="Finito con sblocco ritenute",$I245="Finito senza sblocco ritenute"),0,IF(AND($BK245&gt;=$BJ245,ANAGRAFICA!$R242="Ritardo produttivo FIDA"),IF(ANAGRAFICA!$T242&lt;&gt;"",MAX(0,ANAGRAFICA!$J242-ANAGRAFICA!$T242),MAX(0,$Y245-ANAGRAFICA!$J242)),0)))</f>
        <v/>
      </c>
      <c r="R245" s="17" t="str">
        <f t="shared" si="80"/>
        <v/>
      </c>
      <c r="S245" s="17" t="str">
        <f t="shared" si="81"/>
        <v/>
      </c>
      <c r="T245" s="17" t="str">
        <f t="shared" si="82"/>
        <v/>
      </c>
      <c r="U245" s="16" t="str">
        <f t="shared" si="83"/>
        <v/>
      </c>
      <c r="V245" s="16" t="str">
        <f t="shared" si="84"/>
        <v/>
      </c>
      <c r="W245" s="16" t="str">
        <f t="shared" si="85"/>
        <v/>
      </c>
      <c r="X245" s="40"/>
      <c r="Y245" s="14"/>
      <c r="AZ245" t="str">
        <f>IF($C245="","",ANAGRAFICA!$P242)</f>
        <v/>
      </c>
      <c r="BA245" t="str">
        <f>IF($C245="","",SUMIF('MOVIMENTI 2026'!$B$7:$B$4206,$C245,'MOVIMENTI 2026'!$I$7:$I$4206)+SUMIF('SALDI AL 31.12.2025'!$A$6:$A$505,$C245,'SALDI AL 31.12.2025'!$C$6:$C$505))</f>
        <v/>
      </c>
      <c r="BB245" t="str">
        <f>IF($C245="","",SUMIF('MOVIMENTI 2026'!$B$7:$B$4206,$C245,'MOVIMENTI 2026'!$J$7:$J$4206)+SUMIF('SALDI AL 31.12.2025'!$A$6:$A$505,$C245,'SALDI AL 31.12.2025'!$D$6:$D$505))</f>
        <v/>
      </c>
      <c r="BC245" t="str">
        <f>IF($C245="","",SUMIF('MOVIMENTI 2026'!$B$7:$B$4206,$C245,'MOVIMENTI 2026'!$K$7:$K$4206)+SUMIF('SALDI AL 31.12.2025'!$A$6:$A$505,$C245,'SALDI AL 31.12.2025'!$E$6:$E$505))</f>
        <v/>
      </c>
      <c r="BD245" t="str">
        <f>IF($C245="","",SUMIF('MOVIMENTI 2026'!$B$7:$B$4206,$C245,'MOVIMENTI 2026'!$L$7:$L$4206)+SUMIF('SALDI AL 31.12.2025'!$A$6:$A$505,$C245,'SALDI AL 31.12.2025'!$F$6:$F$505))</f>
        <v/>
      </c>
      <c r="BE245" t="str">
        <f t="shared" si="86"/>
        <v/>
      </c>
      <c r="BF245" t="str">
        <f t="shared" si="87"/>
        <v/>
      </c>
      <c r="BG245" t="str">
        <f t="shared" si="88"/>
        <v/>
      </c>
      <c r="BH245" t="str">
        <f>IFERROR(IF(OR($C245="",ANAGRAFICA!$I242="",ANAGRAFICA!$J242="",ANAGRAFICA!$J242&lt;=ANAGRAFICA!$I242,$Y245=""),"",IF(OR($I245="Finito ritenute non previste",$I245="Finito con sblocco ritenute",$I245="Finito senza sblocco ritenute"),1,MAX(0,MIN(1,($Y245-ANAGRAFICA!$I242)/(ANAGRAFICA!$J242-ANAGRAFICA!$I242))))),"")</f>
        <v/>
      </c>
      <c r="BI245" t="str">
        <f t="shared" si="89"/>
        <v/>
      </c>
      <c r="BJ245" t="str">
        <f>IFERROR(IF($C245="","",'BUDGET COMMESSA'!$D242),"")</f>
        <v/>
      </c>
      <c r="BK245" t="str">
        <f>IF($C245="","",SUMIF('MOVIMENTI 2026'!$B$7:$B$4206,$C245,'MOVIMENTI 2026'!$N$7:$N$4206)+SUMIF('SALDI AL 31.12.2025'!$A$6:$A$505,$C245,'SALDI AL 31.12.2025'!$H$6:$H$505))</f>
        <v/>
      </c>
      <c r="BL245" t="str">
        <f t="shared" si="90"/>
        <v/>
      </c>
      <c r="BM245" t="str">
        <f t="shared" si="91"/>
        <v/>
      </c>
      <c r="BN245" t="str">
        <f t="shared" si="92"/>
        <v/>
      </c>
      <c r="BO245" t="str">
        <f>IFERROR(IF($C245="","",'BUDGET COMMESSA'!$G242),"")</f>
        <v/>
      </c>
      <c r="BP245" t="str">
        <f>IF($C245="","",SUMIF('COSTI DIRETTI'!$C$6:$C$505,$C245,'COSTI DIRETTI'!$H$6:$H$505)+SUMIF('SALDI AL 31.12.2025'!$A$6:$A$505,$C245,'SALDI AL 31.12.2025'!$I$6:$I$505))</f>
        <v/>
      </c>
      <c r="BQ245" t="str">
        <f t="shared" si="93"/>
        <v/>
      </c>
      <c r="BR245" t="str">
        <f t="shared" si="94"/>
        <v/>
      </c>
      <c r="BS245" t="str">
        <f>IF($C245="","",$BK245*PARAMETRI!$B$4+$BP245)</f>
        <v/>
      </c>
      <c r="BT245">
        <f t="shared" si="95"/>
        <v>0</v>
      </c>
      <c r="BU245">
        <f t="shared" si="96"/>
        <v>0</v>
      </c>
      <c r="BV245" t="str">
        <f>IF($C245="","",SUMIF('MOVIMENTI 2026'!$B$7:$B$4206,$C245,'MOVIMENTI 2026'!$P$7:$P$4206)+SUMIF('SALDI AL 31.12.2025'!$A$6:$A$505,$C245,'SALDI AL 31.12.2025'!$G$6:$G$505))</f>
        <v/>
      </c>
    </row>
    <row r="246" spans="1:74" ht="16" x14ac:dyDescent="0.15">
      <c r="A246" s="17" t="str">
        <f>IFERROR(IF($C246="","",IF(OR($BF246&gt;0,$V246&gt;$J246,AND(ISNUMBER($Q246),$Q246&gt;0),AND($BI246&lt;&gt;"",$BI246&lt;-PARAMETRI!$B$6),AND($BM246&lt;&gt;"",$BM246&gt;=1),AND($BN246&lt;&gt;"",$BN246&gt;PARAMETRI!$B$8),AND(ISNUMBER($BR246),$BR246&gt;0)),"CRITICO",IF(OR($AZ246="",LEFT($C246,5)="TEMP",$BJ246="",$BO246="",ANAGRAFICA!$I243="",ANAGRAFICA!$J243="",$Y246="",AND(OR($I246="Finito ritenute non previste",$I246="Finito con sblocco ritenute",$I246="Finito senza sblocco ritenute"),ANAGRAFICA!$K243=""),OR(AND(ANAGRAFICA!$T243&lt;&gt;"",ANAGRAFICA!$J243&lt;&gt;ANAGRAFICA!$T243,OR(ANAGRAFICA!$R243="",ANAGRAFICA!$R243="Nessuna variazione")),AND(ANAGRAFICA!$J243="",ANAGRAFICA!$R243&lt;&gt;"",ANAGRAFICA!$R243&lt;&gt;"Nessuna variazione")),AND($BI246&lt;&gt;"",$BI246&lt;-PARAMETRI!$B$5),AND($BN246&lt;&gt;"",$BN246&gt;PARAMETRI!$B$7),AND($W246&gt;0,$M246&gt;$W246*PARAMETRI!$B$9),AND($O246&gt;0,OR($I246="Finito ritenute non previste",$I246="Finito con sblocco ritenute",$I246="Finito senza sblocco ritenute")),AND($BA246&gt;0,$BO246&gt;0,$BP246=0),AND(OR($I246="Finito ritenute non previste",$I246="Finito con sblocco ritenute",$I246="Finito senza sblocco ritenute"),$W246&gt;0,$N246&gt;$W246*PARAMETRI!$B$9),$V246&gt;0),"ATTENZIONE","REGOLARE"))),"ATTENZIONE")</f>
        <v/>
      </c>
      <c r="B246" s="17" t="str">
        <f>IFERROR(IF($C246="","",IF($BF246&gt;0,"FATTURATO OLTRE VALORE RECUPERABILE; ","")&amp;IF($V246&gt;$J246,"PERDITE ACCETTATE OLTRE CONTRATTO; ","")&amp;IF($V246&gt;0,"PERDITA SAL ACCETTATA (€ "&amp;TEXT($V246,"#,##0.00")&amp;"); ","")&amp;IF(AND(ISNUMBER($Q246),$Q246&gt;0),"RITARDO PRODUTTIVO ("&amp;TEXT($Q246,"0")&amp;" GG); ","")&amp;IF(AND($BI246&lt;&gt;"",$BI246&lt;-PARAMETRI!$B$5),"AVANZAMENTO PIÙ LENTO DEL TEMPO; ","")&amp;IF(AND($BM246&lt;&gt;"",$BM246&gt;1),"ORE OLTRE BUDGET; ","")&amp;IF(AND($BM246&lt;&gt;"",$BM246=1),"ORE PREVENTIVATE ESAURITE; ","")&amp;IF(AND($BN246&lt;&gt;"",$BN246&gt;PARAMETRI!$B$7),"CONSUMO ORE SUPERIORE ALL'AVANZAMENTO; ","")&amp;IF(AND(ISNUMBER($BR246),$BR246&gt;0),"COSTI DIRETTI OLTRE BUDGET; ","")&amp;IF(AND($W246&gt;0,$M246&gt;$W246*PARAMETRI!$B$9),"SAL MATURATO NON FATTURATO; ","")&amp;IF(AND($O246&gt;0,OR($I246="Finito ritenute non previste",$I246="Finito con sblocco ritenute",$I246="Finito senza sblocco ritenute")),"RITENUTE DA SBLOCCARE; ","")&amp;IF(AND($BA246&gt;0,$BO246&gt;0,$BP246=0),"COSTI DIRETTI NON REGISTRATI; ","")&amp;IF(AND(OR($I246="Finito ritenute non previste",$I246="Finito con sblocco ritenute",$I246="Finito senza sblocco ritenute"),$W246&gt;0,$N246&gt;$W246*PARAMETRI!$B$9),"CANTIERE FINITO CON RESIDUO LAVORI; ","")&amp;IF(AND(OR($I246="Finito ritenute non previste",$I246="Finito con sblocco ritenute",$I246="Finito senza sblocco ritenute"),ANAGRAFICA!$K243=""),"DATA FINE EFFETTIVA MANCANTE; ","")&amp;IF(OR(AND(ANAGRAFICA!$T243&lt;&gt;"",ANAGRAFICA!$J243&lt;&gt;ANAGRAFICA!$T243,OR(ANAGRAFICA!$R243="",ANAGRAFICA!$R243="Nessuna variazione")),AND(ANAGRAFICA!$J243="",ANAGRAFICA!$R243&lt;&gt;"",ANAGRAFICA!$R243&lt;&gt;"Nessuna variazione")),"GESTIONE DATA FINE INCOMPLETA; ","")&amp;IF($Y246="","AGGIORNATO AL MANCANTE; ","")&amp;IF(OR($AZ246="",$BJ246="",$BO246="",ANAGRAFICA!$I243="",ANAGRAFICA!$J243=""),"DATI PREVISIONALI INCOMPLETI; ","")&amp;IF(LEFT($C246,5)="TEMP","CODICE COMMESSA TEMPORANEO; ","")),"DATI INCOMPLETI; ")</f>
        <v/>
      </c>
      <c r="C246" s="17" t="str">
        <f>IF(ANAGRAFICA!$B243="","",ANAGRAFICA!$B243)</f>
        <v/>
      </c>
      <c r="D246" s="17" t="str">
        <f>IF($C246="","",ANAGRAFICA!$C243)</f>
        <v/>
      </c>
      <c r="E246" s="17" t="str">
        <f>IF($C246="","",ANAGRAFICA!$D243)</f>
        <v/>
      </c>
      <c r="F246" s="17" t="str">
        <f>IF($C246="","",ANAGRAFICA!$E243)</f>
        <v/>
      </c>
      <c r="G246" s="17" t="str">
        <f>IF($C246="","",ANAGRAFICA!$F243)</f>
        <v/>
      </c>
      <c r="H246" s="17" t="str">
        <f>IF($C246="","",ANAGRAFICA!$G243)</f>
        <v/>
      </c>
      <c r="I246" s="17" t="str">
        <f>IF($C246="","",ANAGRAFICA!$L243)</f>
        <v/>
      </c>
      <c r="J246" s="16" t="str">
        <f t="shared" si="73"/>
        <v/>
      </c>
      <c r="K246" s="16" t="str">
        <f t="shared" si="74"/>
        <v/>
      </c>
      <c r="L246" s="16" t="str">
        <f t="shared" si="75"/>
        <v/>
      </c>
      <c r="M246" s="16" t="str">
        <f t="shared" si="76"/>
        <v/>
      </c>
      <c r="N246" s="16" t="str">
        <f t="shared" si="77"/>
        <v/>
      </c>
      <c r="O246" s="16" t="str">
        <f t="shared" si="78"/>
        <v/>
      </c>
      <c r="P246" s="17" t="str">
        <f t="shared" si="79"/>
        <v/>
      </c>
      <c r="Q246" s="31" t="str">
        <f>IF(OR($C246="",'BUDGET COMMESSA'!$D243="",'BUDGET COMMESSA'!$D243&lt;=0,ANAGRAFICA!$J243=""),"",IF(OR($I246="Finito ritenute non previste",$I246="Finito con sblocco ritenute",$I246="Finito senza sblocco ritenute"),0,IF(AND($BK246&gt;=$BJ246,ANAGRAFICA!$R243="Ritardo produttivo FIDA"),IF(ANAGRAFICA!$T243&lt;&gt;"",MAX(0,ANAGRAFICA!$J243-ANAGRAFICA!$T243),MAX(0,$Y246-ANAGRAFICA!$J243)),0)))</f>
        <v/>
      </c>
      <c r="R246" s="17" t="str">
        <f t="shared" si="80"/>
        <v/>
      </c>
      <c r="S246" s="17" t="str">
        <f t="shared" si="81"/>
        <v/>
      </c>
      <c r="T246" s="17" t="str">
        <f t="shared" si="82"/>
        <v/>
      </c>
      <c r="U246" s="16" t="str">
        <f t="shared" si="83"/>
        <v/>
      </c>
      <c r="V246" s="16" t="str">
        <f t="shared" si="84"/>
        <v/>
      </c>
      <c r="W246" s="16" t="str">
        <f t="shared" si="85"/>
        <v/>
      </c>
      <c r="X246" s="40"/>
      <c r="Y246" s="14"/>
      <c r="AZ246" t="str">
        <f>IF($C246="","",ANAGRAFICA!$P243)</f>
        <v/>
      </c>
      <c r="BA246" t="str">
        <f>IF($C246="","",SUMIF('MOVIMENTI 2026'!$B$7:$B$4206,$C246,'MOVIMENTI 2026'!$I$7:$I$4206)+SUMIF('SALDI AL 31.12.2025'!$A$6:$A$505,$C246,'SALDI AL 31.12.2025'!$C$6:$C$505))</f>
        <v/>
      </c>
      <c r="BB246" t="str">
        <f>IF($C246="","",SUMIF('MOVIMENTI 2026'!$B$7:$B$4206,$C246,'MOVIMENTI 2026'!$J$7:$J$4206)+SUMIF('SALDI AL 31.12.2025'!$A$6:$A$505,$C246,'SALDI AL 31.12.2025'!$D$6:$D$505))</f>
        <v/>
      </c>
      <c r="BC246" t="str">
        <f>IF($C246="","",SUMIF('MOVIMENTI 2026'!$B$7:$B$4206,$C246,'MOVIMENTI 2026'!$K$7:$K$4206)+SUMIF('SALDI AL 31.12.2025'!$A$6:$A$505,$C246,'SALDI AL 31.12.2025'!$E$6:$E$505))</f>
        <v/>
      </c>
      <c r="BD246" t="str">
        <f>IF($C246="","",SUMIF('MOVIMENTI 2026'!$B$7:$B$4206,$C246,'MOVIMENTI 2026'!$L$7:$L$4206)+SUMIF('SALDI AL 31.12.2025'!$A$6:$A$505,$C246,'SALDI AL 31.12.2025'!$F$6:$F$505))</f>
        <v/>
      </c>
      <c r="BE246" t="str">
        <f t="shared" si="86"/>
        <v/>
      </c>
      <c r="BF246" t="str">
        <f t="shared" si="87"/>
        <v/>
      </c>
      <c r="BG246" t="str">
        <f t="shared" si="88"/>
        <v/>
      </c>
      <c r="BH246" t="str">
        <f>IFERROR(IF(OR($C246="",ANAGRAFICA!$I243="",ANAGRAFICA!$J243="",ANAGRAFICA!$J243&lt;=ANAGRAFICA!$I243,$Y246=""),"",IF(OR($I246="Finito ritenute non previste",$I246="Finito con sblocco ritenute",$I246="Finito senza sblocco ritenute"),1,MAX(0,MIN(1,($Y246-ANAGRAFICA!$I243)/(ANAGRAFICA!$J243-ANAGRAFICA!$I243))))),"")</f>
        <v/>
      </c>
      <c r="BI246" t="str">
        <f t="shared" si="89"/>
        <v/>
      </c>
      <c r="BJ246" t="str">
        <f>IFERROR(IF($C246="","",'BUDGET COMMESSA'!$D243),"")</f>
        <v/>
      </c>
      <c r="BK246" t="str">
        <f>IF($C246="","",SUMIF('MOVIMENTI 2026'!$B$7:$B$4206,$C246,'MOVIMENTI 2026'!$N$7:$N$4206)+SUMIF('SALDI AL 31.12.2025'!$A$6:$A$505,$C246,'SALDI AL 31.12.2025'!$H$6:$H$505))</f>
        <v/>
      </c>
      <c r="BL246" t="str">
        <f t="shared" si="90"/>
        <v/>
      </c>
      <c r="BM246" t="str">
        <f t="shared" si="91"/>
        <v/>
      </c>
      <c r="BN246" t="str">
        <f t="shared" si="92"/>
        <v/>
      </c>
      <c r="BO246" t="str">
        <f>IFERROR(IF($C246="","",'BUDGET COMMESSA'!$G243),"")</f>
        <v/>
      </c>
      <c r="BP246" t="str">
        <f>IF($C246="","",SUMIF('COSTI DIRETTI'!$C$6:$C$505,$C246,'COSTI DIRETTI'!$H$6:$H$505)+SUMIF('SALDI AL 31.12.2025'!$A$6:$A$505,$C246,'SALDI AL 31.12.2025'!$I$6:$I$505))</f>
        <v/>
      </c>
      <c r="BQ246" t="str">
        <f t="shared" si="93"/>
        <v/>
      </c>
      <c r="BR246" t="str">
        <f t="shared" si="94"/>
        <v/>
      </c>
      <c r="BS246" t="str">
        <f>IF($C246="","",$BK246*PARAMETRI!$B$4+$BP246)</f>
        <v/>
      </c>
      <c r="BT246">
        <f t="shared" si="95"/>
        <v>0</v>
      </c>
      <c r="BU246">
        <f t="shared" si="96"/>
        <v>0</v>
      </c>
      <c r="BV246" t="str">
        <f>IF($C246="","",SUMIF('MOVIMENTI 2026'!$B$7:$B$4206,$C246,'MOVIMENTI 2026'!$P$7:$P$4206)+SUMIF('SALDI AL 31.12.2025'!$A$6:$A$505,$C246,'SALDI AL 31.12.2025'!$G$6:$G$505))</f>
        <v/>
      </c>
    </row>
    <row r="247" spans="1:74" ht="16" x14ac:dyDescent="0.15">
      <c r="A247" s="17" t="str">
        <f>IFERROR(IF($C247="","",IF(OR($BF247&gt;0,$V247&gt;$J247,AND(ISNUMBER($Q247),$Q247&gt;0),AND($BI247&lt;&gt;"",$BI247&lt;-PARAMETRI!$B$6),AND($BM247&lt;&gt;"",$BM247&gt;=1),AND($BN247&lt;&gt;"",$BN247&gt;PARAMETRI!$B$8),AND(ISNUMBER($BR247),$BR247&gt;0)),"CRITICO",IF(OR($AZ247="",LEFT($C247,5)="TEMP",$BJ247="",$BO247="",ANAGRAFICA!$I244="",ANAGRAFICA!$J244="",$Y247="",AND(OR($I247="Finito ritenute non previste",$I247="Finito con sblocco ritenute",$I247="Finito senza sblocco ritenute"),ANAGRAFICA!$K244=""),OR(AND(ANAGRAFICA!$T244&lt;&gt;"",ANAGRAFICA!$J244&lt;&gt;ANAGRAFICA!$T244,OR(ANAGRAFICA!$R244="",ANAGRAFICA!$R244="Nessuna variazione")),AND(ANAGRAFICA!$J244="",ANAGRAFICA!$R244&lt;&gt;"",ANAGRAFICA!$R244&lt;&gt;"Nessuna variazione")),AND($BI247&lt;&gt;"",$BI247&lt;-PARAMETRI!$B$5),AND($BN247&lt;&gt;"",$BN247&gt;PARAMETRI!$B$7),AND($W247&gt;0,$M247&gt;$W247*PARAMETRI!$B$9),AND($O247&gt;0,OR($I247="Finito ritenute non previste",$I247="Finito con sblocco ritenute",$I247="Finito senza sblocco ritenute")),AND($BA247&gt;0,$BO247&gt;0,$BP247=0),AND(OR($I247="Finito ritenute non previste",$I247="Finito con sblocco ritenute",$I247="Finito senza sblocco ritenute"),$W247&gt;0,$N247&gt;$W247*PARAMETRI!$B$9),$V247&gt;0),"ATTENZIONE","REGOLARE"))),"ATTENZIONE")</f>
        <v/>
      </c>
      <c r="B247" s="17" t="str">
        <f>IFERROR(IF($C247="","",IF($BF247&gt;0,"FATTURATO OLTRE VALORE RECUPERABILE; ","")&amp;IF($V247&gt;$J247,"PERDITE ACCETTATE OLTRE CONTRATTO; ","")&amp;IF($V247&gt;0,"PERDITA SAL ACCETTATA (€ "&amp;TEXT($V247,"#,##0.00")&amp;"); ","")&amp;IF(AND(ISNUMBER($Q247),$Q247&gt;0),"RITARDO PRODUTTIVO ("&amp;TEXT($Q247,"0")&amp;" GG); ","")&amp;IF(AND($BI247&lt;&gt;"",$BI247&lt;-PARAMETRI!$B$5),"AVANZAMENTO PIÙ LENTO DEL TEMPO; ","")&amp;IF(AND($BM247&lt;&gt;"",$BM247&gt;1),"ORE OLTRE BUDGET; ","")&amp;IF(AND($BM247&lt;&gt;"",$BM247=1),"ORE PREVENTIVATE ESAURITE; ","")&amp;IF(AND($BN247&lt;&gt;"",$BN247&gt;PARAMETRI!$B$7),"CONSUMO ORE SUPERIORE ALL'AVANZAMENTO; ","")&amp;IF(AND(ISNUMBER($BR247),$BR247&gt;0),"COSTI DIRETTI OLTRE BUDGET; ","")&amp;IF(AND($W247&gt;0,$M247&gt;$W247*PARAMETRI!$B$9),"SAL MATURATO NON FATTURATO; ","")&amp;IF(AND($O247&gt;0,OR($I247="Finito ritenute non previste",$I247="Finito con sblocco ritenute",$I247="Finito senza sblocco ritenute")),"RITENUTE DA SBLOCCARE; ","")&amp;IF(AND($BA247&gt;0,$BO247&gt;0,$BP247=0),"COSTI DIRETTI NON REGISTRATI; ","")&amp;IF(AND(OR($I247="Finito ritenute non previste",$I247="Finito con sblocco ritenute",$I247="Finito senza sblocco ritenute"),$W247&gt;0,$N247&gt;$W247*PARAMETRI!$B$9),"CANTIERE FINITO CON RESIDUO LAVORI; ","")&amp;IF(AND(OR($I247="Finito ritenute non previste",$I247="Finito con sblocco ritenute",$I247="Finito senza sblocco ritenute"),ANAGRAFICA!$K244=""),"DATA FINE EFFETTIVA MANCANTE; ","")&amp;IF(OR(AND(ANAGRAFICA!$T244&lt;&gt;"",ANAGRAFICA!$J244&lt;&gt;ANAGRAFICA!$T244,OR(ANAGRAFICA!$R244="",ANAGRAFICA!$R244="Nessuna variazione")),AND(ANAGRAFICA!$J244="",ANAGRAFICA!$R244&lt;&gt;"",ANAGRAFICA!$R244&lt;&gt;"Nessuna variazione")),"GESTIONE DATA FINE INCOMPLETA; ","")&amp;IF($Y247="","AGGIORNATO AL MANCANTE; ","")&amp;IF(OR($AZ247="",$BJ247="",$BO247="",ANAGRAFICA!$I244="",ANAGRAFICA!$J244=""),"DATI PREVISIONALI INCOMPLETI; ","")&amp;IF(LEFT($C247,5)="TEMP","CODICE COMMESSA TEMPORANEO; ","")),"DATI INCOMPLETI; ")</f>
        <v/>
      </c>
      <c r="C247" s="17" t="str">
        <f>IF(ANAGRAFICA!$B244="","",ANAGRAFICA!$B244)</f>
        <v/>
      </c>
      <c r="D247" s="17" t="str">
        <f>IF($C247="","",ANAGRAFICA!$C244)</f>
        <v/>
      </c>
      <c r="E247" s="17" t="str">
        <f>IF($C247="","",ANAGRAFICA!$D244)</f>
        <v/>
      </c>
      <c r="F247" s="17" t="str">
        <f>IF($C247="","",ANAGRAFICA!$E244)</f>
        <v/>
      </c>
      <c r="G247" s="17" t="str">
        <f>IF($C247="","",ANAGRAFICA!$F244)</f>
        <v/>
      </c>
      <c r="H247" s="17" t="str">
        <f>IF($C247="","",ANAGRAFICA!$G244)</f>
        <v/>
      </c>
      <c r="I247" s="17" t="str">
        <f>IF($C247="","",ANAGRAFICA!$L244)</f>
        <v/>
      </c>
      <c r="J247" s="16" t="str">
        <f t="shared" si="73"/>
        <v/>
      </c>
      <c r="K247" s="16" t="str">
        <f t="shared" si="74"/>
        <v/>
      </c>
      <c r="L247" s="16" t="str">
        <f t="shared" si="75"/>
        <v/>
      </c>
      <c r="M247" s="16" t="str">
        <f t="shared" si="76"/>
        <v/>
      </c>
      <c r="N247" s="16" t="str">
        <f t="shared" si="77"/>
        <v/>
      </c>
      <c r="O247" s="16" t="str">
        <f t="shared" si="78"/>
        <v/>
      </c>
      <c r="P247" s="17" t="str">
        <f t="shared" si="79"/>
        <v/>
      </c>
      <c r="Q247" s="31" t="str">
        <f>IF(OR($C247="",'BUDGET COMMESSA'!$D244="",'BUDGET COMMESSA'!$D244&lt;=0,ANAGRAFICA!$J244=""),"",IF(OR($I247="Finito ritenute non previste",$I247="Finito con sblocco ritenute",$I247="Finito senza sblocco ritenute"),0,IF(AND($BK247&gt;=$BJ247,ANAGRAFICA!$R244="Ritardo produttivo FIDA"),IF(ANAGRAFICA!$T244&lt;&gt;"",MAX(0,ANAGRAFICA!$J244-ANAGRAFICA!$T244),MAX(0,$Y247-ANAGRAFICA!$J244)),0)))</f>
        <v/>
      </c>
      <c r="R247" s="17" t="str">
        <f t="shared" si="80"/>
        <v/>
      </c>
      <c r="S247" s="17" t="str">
        <f t="shared" si="81"/>
        <v/>
      </c>
      <c r="T247" s="17" t="str">
        <f t="shared" si="82"/>
        <v/>
      </c>
      <c r="U247" s="16" t="str">
        <f t="shared" si="83"/>
        <v/>
      </c>
      <c r="V247" s="16" t="str">
        <f t="shared" si="84"/>
        <v/>
      </c>
      <c r="W247" s="16" t="str">
        <f t="shared" si="85"/>
        <v/>
      </c>
      <c r="X247" s="40"/>
      <c r="Y247" s="14"/>
      <c r="AZ247" t="str">
        <f>IF($C247="","",ANAGRAFICA!$P244)</f>
        <v/>
      </c>
      <c r="BA247" t="str">
        <f>IF($C247="","",SUMIF('MOVIMENTI 2026'!$B$7:$B$4206,$C247,'MOVIMENTI 2026'!$I$7:$I$4206)+SUMIF('SALDI AL 31.12.2025'!$A$6:$A$505,$C247,'SALDI AL 31.12.2025'!$C$6:$C$505))</f>
        <v/>
      </c>
      <c r="BB247" t="str">
        <f>IF($C247="","",SUMIF('MOVIMENTI 2026'!$B$7:$B$4206,$C247,'MOVIMENTI 2026'!$J$7:$J$4206)+SUMIF('SALDI AL 31.12.2025'!$A$6:$A$505,$C247,'SALDI AL 31.12.2025'!$D$6:$D$505))</f>
        <v/>
      </c>
      <c r="BC247" t="str">
        <f>IF($C247="","",SUMIF('MOVIMENTI 2026'!$B$7:$B$4206,$C247,'MOVIMENTI 2026'!$K$7:$K$4206)+SUMIF('SALDI AL 31.12.2025'!$A$6:$A$505,$C247,'SALDI AL 31.12.2025'!$E$6:$E$505))</f>
        <v/>
      </c>
      <c r="BD247" t="str">
        <f>IF($C247="","",SUMIF('MOVIMENTI 2026'!$B$7:$B$4206,$C247,'MOVIMENTI 2026'!$L$7:$L$4206)+SUMIF('SALDI AL 31.12.2025'!$A$6:$A$505,$C247,'SALDI AL 31.12.2025'!$F$6:$F$505))</f>
        <v/>
      </c>
      <c r="BE247" t="str">
        <f t="shared" si="86"/>
        <v/>
      </c>
      <c r="BF247" t="str">
        <f t="shared" si="87"/>
        <v/>
      </c>
      <c r="BG247" t="str">
        <f t="shared" si="88"/>
        <v/>
      </c>
      <c r="BH247" t="str">
        <f>IFERROR(IF(OR($C247="",ANAGRAFICA!$I244="",ANAGRAFICA!$J244="",ANAGRAFICA!$J244&lt;=ANAGRAFICA!$I244,$Y247=""),"",IF(OR($I247="Finito ritenute non previste",$I247="Finito con sblocco ritenute",$I247="Finito senza sblocco ritenute"),1,MAX(0,MIN(1,($Y247-ANAGRAFICA!$I244)/(ANAGRAFICA!$J244-ANAGRAFICA!$I244))))),"")</f>
        <v/>
      </c>
      <c r="BI247" t="str">
        <f t="shared" si="89"/>
        <v/>
      </c>
      <c r="BJ247" t="str">
        <f>IFERROR(IF($C247="","",'BUDGET COMMESSA'!$D244),"")</f>
        <v/>
      </c>
      <c r="BK247" t="str">
        <f>IF($C247="","",SUMIF('MOVIMENTI 2026'!$B$7:$B$4206,$C247,'MOVIMENTI 2026'!$N$7:$N$4206)+SUMIF('SALDI AL 31.12.2025'!$A$6:$A$505,$C247,'SALDI AL 31.12.2025'!$H$6:$H$505))</f>
        <v/>
      </c>
      <c r="BL247" t="str">
        <f t="shared" si="90"/>
        <v/>
      </c>
      <c r="BM247" t="str">
        <f t="shared" si="91"/>
        <v/>
      </c>
      <c r="BN247" t="str">
        <f t="shared" si="92"/>
        <v/>
      </c>
      <c r="BO247" t="str">
        <f>IFERROR(IF($C247="","",'BUDGET COMMESSA'!$G244),"")</f>
        <v/>
      </c>
      <c r="BP247" t="str">
        <f>IF($C247="","",SUMIF('COSTI DIRETTI'!$C$6:$C$505,$C247,'COSTI DIRETTI'!$H$6:$H$505)+SUMIF('SALDI AL 31.12.2025'!$A$6:$A$505,$C247,'SALDI AL 31.12.2025'!$I$6:$I$505))</f>
        <v/>
      </c>
      <c r="BQ247" t="str">
        <f t="shared" si="93"/>
        <v/>
      </c>
      <c r="BR247" t="str">
        <f t="shared" si="94"/>
        <v/>
      </c>
      <c r="BS247" t="str">
        <f>IF($C247="","",$BK247*PARAMETRI!$B$4+$BP247)</f>
        <v/>
      </c>
      <c r="BT247">
        <f t="shared" si="95"/>
        <v>0</v>
      </c>
      <c r="BU247">
        <f t="shared" si="96"/>
        <v>0</v>
      </c>
      <c r="BV247" t="str">
        <f>IF($C247="","",SUMIF('MOVIMENTI 2026'!$B$7:$B$4206,$C247,'MOVIMENTI 2026'!$P$7:$P$4206)+SUMIF('SALDI AL 31.12.2025'!$A$6:$A$505,$C247,'SALDI AL 31.12.2025'!$G$6:$G$505))</f>
        <v/>
      </c>
    </row>
    <row r="248" spans="1:74" ht="16" x14ac:dyDescent="0.15">
      <c r="A248" s="17" t="str">
        <f>IFERROR(IF($C248="","",IF(OR($BF248&gt;0,$V248&gt;$J248,AND(ISNUMBER($Q248),$Q248&gt;0),AND($BI248&lt;&gt;"",$BI248&lt;-PARAMETRI!$B$6),AND($BM248&lt;&gt;"",$BM248&gt;=1),AND($BN248&lt;&gt;"",$BN248&gt;PARAMETRI!$B$8),AND(ISNUMBER($BR248),$BR248&gt;0)),"CRITICO",IF(OR($AZ248="",LEFT($C248,5)="TEMP",$BJ248="",$BO248="",ANAGRAFICA!$I245="",ANAGRAFICA!$J245="",$Y248="",AND(OR($I248="Finito ritenute non previste",$I248="Finito con sblocco ritenute",$I248="Finito senza sblocco ritenute"),ANAGRAFICA!$K245=""),OR(AND(ANAGRAFICA!$T245&lt;&gt;"",ANAGRAFICA!$J245&lt;&gt;ANAGRAFICA!$T245,OR(ANAGRAFICA!$R245="",ANAGRAFICA!$R245="Nessuna variazione")),AND(ANAGRAFICA!$J245="",ANAGRAFICA!$R245&lt;&gt;"",ANAGRAFICA!$R245&lt;&gt;"Nessuna variazione")),AND($BI248&lt;&gt;"",$BI248&lt;-PARAMETRI!$B$5),AND($BN248&lt;&gt;"",$BN248&gt;PARAMETRI!$B$7),AND($W248&gt;0,$M248&gt;$W248*PARAMETRI!$B$9),AND($O248&gt;0,OR($I248="Finito ritenute non previste",$I248="Finito con sblocco ritenute",$I248="Finito senza sblocco ritenute")),AND($BA248&gt;0,$BO248&gt;0,$BP248=0),AND(OR($I248="Finito ritenute non previste",$I248="Finito con sblocco ritenute",$I248="Finito senza sblocco ritenute"),$W248&gt;0,$N248&gt;$W248*PARAMETRI!$B$9),$V248&gt;0),"ATTENZIONE","REGOLARE"))),"ATTENZIONE")</f>
        <v/>
      </c>
      <c r="B248" s="17" t="str">
        <f>IFERROR(IF($C248="","",IF($BF248&gt;0,"FATTURATO OLTRE VALORE RECUPERABILE; ","")&amp;IF($V248&gt;$J248,"PERDITE ACCETTATE OLTRE CONTRATTO; ","")&amp;IF($V248&gt;0,"PERDITA SAL ACCETTATA (€ "&amp;TEXT($V248,"#,##0.00")&amp;"); ","")&amp;IF(AND(ISNUMBER($Q248),$Q248&gt;0),"RITARDO PRODUTTIVO ("&amp;TEXT($Q248,"0")&amp;" GG); ","")&amp;IF(AND($BI248&lt;&gt;"",$BI248&lt;-PARAMETRI!$B$5),"AVANZAMENTO PIÙ LENTO DEL TEMPO; ","")&amp;IF(AND($BM248&lt;&gt;"",$BM248&gt;1),"ORE OLTRE BUDGET; ","")&amp;IF(AND($BM248&lt;&gt;"",$BM248=1),"ORE PREVENTIVATE ESAURITE; ","")&amp;IF(AND($BN248&lt;&gt;"",$BN248&gt;PARAMETRI!$B$7),"CONSUMO ORE SUPERIORE ALL'AVANZAMENTO; ","")&amp;IF(AND(ISNUMBER($BR248),$BR248&gt;0),"COSTI DIRETTI OLTRE BUDGET; ","")&amp;IF(AND($W248&gt;0,$M248&gt;$W248*PARAMETRI!$B$9),"SAL MATURATO NON FATTURATO; ","")&amp;IF(AND($O248&gt;0,OR($I248="Finito ritenute non previste",$I248="Finito con sblocco ritenute",$I248="Finito senza sblocco ritenute")),"RITENUTE DA SBLOCCARE; ","")&amp;IF(AND($BA248&gt;0,$BO248&gt;0,$BP248=0),"COSTI DIRETTI NON REGISTRATI; ","")&amp;IF(AND(OR($I248="Finito ritenute non previste",$I248="Finito con sblocco ritenute",$I248="Finito senza sblocco ritenute"),$W248&gt;0,$N248&gt;$W248*PARAMETRI!$B$9),"CANTIERE FINITO CON RESIDUO LAVORI; ","")&amp;IF(AND(OR($I248="Finito ritenute non previste",$I248="Finito con sblocco ritenute",$I248="Finito senza sblocco ritenute"),ANAGRAFICA!$K245=""),"DATA FINE EFFETTIVA MANCANTE; ","")&amp;IF(OR(AND(ANAGRAFICA!$T245&lt;&gt;"",ANAGRAFICA!$J245&lt;&gt;ANAGRAFICA!$T245,OR(ANAGRAFICA!$R245="",ANAGRAFICA!$R245="Nessuna variazione")),AND(ANAGRAFICA!$J245="",ANAGRAFICA!$R245&lt;&gt;"",ANAGRAFICA!$R245&lt;&gt;"Nessuna variazione")),"GESTIONE DATA FINE INCOMPLETA; ","")&amp;IF($Y248="","AGGIORNATO AL MANCANTE; ","")&amp;IF(OR($AZ248="",$BJ248="",$BO248="",ANAGRAFICA!$I245="",ANAGRAFICA!$J245=""),"DATI PREVISIONALI INCOMPLETI; ","")&amp;IF(LEFT($C248,5)="TEMP","CODICE COMMESSA TEMPORANEO; ","")),"DATI INCOMPLETI; ")</f>
        <v/>
      </c>
      <c r="C248" s="17" t="str">
        <f>IF(ANAGRAFICA!$B245="","",ANAGRAFICA!$B245)</f>
        <v/>
      </c>
      <c r="D248" s="17" t="str">
        <f>IF($C248="","",ANAGRAFICA!$C245)</f>
        <v/>
      </c>
      <c r="E248" s="17" t="str">
        <f>IF($C248="","",ANAGRAFICA!$D245)</f>
        <v/>
      </c>
      <c r="F248" s="17" t="str">
        <f>IF($C248="","",ANAGRAFICA!$E245)</f>
        <v/>
      </c>
      <c r="G248" s="17" t="str">
        <f>IF($C248="","",ANAGRAFICA!$F245)</f>
        <v/>
      </c>
      <c r="H248" s="17" t="str">
        <f>IF($C248="","",ANAGRAFICA!$G245)</f>
        <v/>
      </c>
      <c r="I248" s="17" t="str">
        <f>IF($C248="","",ANAGRAFICA!$L245)</f>
        <v/>
      </c>
      <c r="J248" s="16" t="str">
        <f t="shared" si="73"/>
        <v/>
      </c>
      <c r="K248" s="16" t="str">
        <f t="shared" si="74"/>
        <v/>
      </c>
      <c r="L248" s="16" t="str">
        <f t="shared" si="75"/>
        <v/>
      </c>
      <c r="M248" s="16" t="str">
        <f t="shared" si="76"/>
        <v/>
      </c>
      <c r="N248" s="16" t="str">
        <f t="shared" si="77"/>
        <v/>
      </c>
      <c r="O248" s="16" t="str">
        <f t="shared" si="78"/>
        <v/>
      </c>
      <c r="P248" s="17" t="str">
        <f t="shared" si="79"/>
        <v/>
      </c>
      <c r="Q248" s="31" t="str">
        <f>IF(OR($C248="",'BUDGET COMMESSA'!$D245="",'BUDGET COMMESSA'!$D245&lt;=0,ANAGRAFICA!$J245=""),"",IF(OR($I248="Finito ritenute non previste",$I248="Finito con sblocco ritenute",$I248="Finito senza sblocco ritenute"),0,IF(AND($BK248&gt;=$BJ248,ANAGRAFICA!$R245="Ritardo produttivo FIDA"),IF(ANAGRAFICA!$T245&lt;&gt;"",MAX(0,ANAGRAFICA!$J245-ANAGRAFICA!$T245),MAX(0,$Y248-ANAGRAFICA!$J245)),0)))</f>
        <v/>
      </c>
      <c r="R248" s="17" t="str">
        <f t="shared" si="80"/>
        <v/>
      </c>
      <c r="S248" s="17" t="str">
        <f t="shared" si="81"/>
        <v/>
      </c>
      <c r="T248" s="17" t="str">
        <f t="shared" si="82"/>
        <v/>
      </c>
      <c r="U248" s="16" t="str">
        <f t="shared" si="83"/>
        <v/>
      </c>
      <c r="V248" s="16" t="str">
        <f t="shared" si="84"/>
        <v/>
      </c>
      <c r="W248" s="16" t="str">
        <f t="shared" si="85"/>
        <v/>
      </c>
      <c r="X248" s="40"/>
      <c r="Y248" s="14"/>
      <c r="AZ248" t="str">
        <f>IF($C248="","",ANAGRAFICA!$P245)</f>
        <v/>
      </c>
      <c r="BA248" t="str">
        <f>IF($C248="","",SUMIF('MOVIMENTI 2026'!$B$7:$B$4206,$C248,'MOVIMENTI 2026'!$I$7:$I$4206)+SUMIF('SALDI AL 31.12.2025'!$A$6:$A$505,$C248,'SALDI AL 31.12.2025'!$C$6:$C$505))</f>
        <v/>
      </c>
      <c r="BB248" t="str">
        <f>IF($C248="","",SUMIF('MOVIMENTI 2026'!$B$7:$B$4206,$C248,'MOVIMENTI 2026'!$J$7:$J$4206)+SUMIF('SALDI AL 31.12.2025'!$A$6:$A$505,$C248,'SALDI AL 31.12.2025'!$D$6:$D$505))</f>
        <v/>
      </c>
      <c r="BC248" t="str">
        <f>IF($C248="","",SUMIF('MOVIMENTI 2026'!$B$7:$B$4206,$C248,'MOVIMENTI 2026'!$K$7:$K$4206)+SUMIF('SALDI AL 31.12.2025'!$A$6:$A$505,$C248,'SALDI AL 31.12.2025'!$E$6:$E$505))</f>
        <v/>
      </c>
      <c r="BD248" t="str">
        <f>IF($C248="","",SUMIF('MOVIMENTI 2026'!$B$7:$B$4206,$C248,'MOVIMENTI 2026'!$L$7:$L$4206)+SUMIF('SALDI AL 31.12.2025'!$A$6:$A$505,$C248,'SALDI AL 31.12.2025'!$F$6:$F$505))</f>
        <v/>
      </c>
      <c r="BE248" t="str">
        <f t="shared" si="86"/>
        <v/>
      </c>
      <c r="BF248" t="str">
        <f t="shared" si="87"/>
        <v/>
      </c>
      <c r="BG248" t="str">
        <f t="shared" si="88"/>
        <v/>
      </c>
      <c r="BH248" t="str">
        <f>IFERROR(IF(OR($C248="",ANAGRAFICA!$I245="",ANAGRAFICA!$J245="",ANAGRAFICA!$J245&lt;=ANAGRAFICA!$I245,$Y248=""),"",IF(OR($I248="Finito ritenute non previste",$I248="Finito con sblocco ritenute",$I248="Finito senza sblocco ritenute"),1,MAX(0,MIN(1,($Y248-ANAGRAFICA!$I245)/(ANAGRAFICA!$J245-ANAGRAFICA!$I245))))),"")</f>
        <v/>
      </c>
      <c r="BI248" t="str">
        <f t="shared" si="89"/>
        <v/>
      </c>
      <c r="BJ248" t="str">
        <f>IFERROR(IF($C248="","",'BUDGET COMMESSA'!$D245),"")</f>
        <v/>
      </c>
      <c r="BK248" t="str">
        <f>IF($C248="","",SUMIF('MOVIMENTI 2026'!$B$7:$B$4206,$C248,'MOVIMENTI 2026'!$N$7:$N$4206)+SUMIF('SALDI AL 31.12.2025'!$A$6:$A$505,$C248,'SALDI AL 31.12.2025'!$H$6:$H$505))</f>
        <v/>
      </c>
      <c r="BL248" t="str">
        <f t="shared" si="90"/>
        <v/>
      </c>
      <c r="BM248" t="str">
        <f t="shared" si="91"/>
        <v/>
      </c>
      <c r="BN248" t="str">
        <f t="shared" si="92"/>
        <v/>
      </c>
      <c r="BO248" t="str">
        <f>IFERROR(IF($C248="","",'BUDGET COMMESSA'!$G245),"")</f>
        <v/>
      </c>
      <c r="BP248" t="str">
        <f>IF($C248="","",SUMIF('COSTI DIRETTI'!$C$6:$C$505,$C248,'COSTI DIRETTI'!$H$6:$H$505)+SUMIF('SALDI AL 31.12.2025'!$A$6:$A$505,$C248,'SALDI AL 31.12.2025'!$I$6:$I$505))</f>
        <v/>
      </c>
      <c r="BQ248" t="str">
        <f t="shared" si="93"/>
        <v/>
      </c>
      <c r="BR248" t="str">
        <f t="shared" si="94"/>
        <v/>
      </c>
      <c r="BS248" t="str">
        <f>IF($C248="","",$BK248*PARAMETRI!$B$4+$BP248)</f>
        <v/>
      </c>
      <c r="BT248">
        <f t="shared" si="95"/>
        <v>0</v>
      </c>
      <c r="BU248">
        <f t="shared" si="96"/>
        <v>0</v>
      </c>
      <c r="BV248" t="str">
        <f>IF($C248="","",SUMIF('MOVIMENTI 2026'!$B$7:$B$4206,$C248,'MOVIMENTI 2026'!$P$7:$P$4206)+SUMIF('SALDI AL 31.12.2025'!$A$6:$A$505,$C248,'SALDI AL 31.12.2025'!$G$6:$G$505))</f>
        <v/>
      </c>
    </row>
    <row r="249" spans="1:74" ht="16" x14ac:dyDescent="0.15">
      <c r="A249" s="17" t="str">
        <f>IFERROR(IF($C249="","",IF(OR($BF249&gt;0,$V249&gt;$J249,AND(ISNUMBER($Q249),$Q249&gt;0),AND($BI249&lt;&gt;"",$BI249&lt;-PARAMETRI!$B$6),AND($BM249&lt;&gt;"",$BM249&gt;=1),AND($BN249&lt;&gt;"",$BN249&gt;PARAMETRI!$B$8),AND(ISNUMBER($BR249),$BR249&gt;0)),"CRITICO",IF(OR($AZ249="",LEFT($C249,5)="TEMP",$BJ249="",$BO249="",ANAGRAFICA!$I246="",ANAGRAFICA!$J246="",$Y249="",AND(OR($I249="Finito ritenute non previste",$I249="Finito con sblocco ritenute",$I249="Finito senza sblocco ritenute"),ANAGRAFICA!$K246=""),OR(AND(ANAGRAFICA!$T246&lt;&gt;"",ANAGRAFICA!$J246&lt;&gt;ANAGRAFICA!$T246,OR(ANAGRAFICA!$R246="",ANAGRAFICA!$R246="Nessuna variazione")),AND(ANAGRAFICA!$J246="",ANAGRAFICA!$R246&lt;&gt;"",ANAGRAFICA!$R246&lt;&gt;"Nessuna variazione")),AND($BI249&lt;&gt;"",$BI249&lt;-PARAMETRI!$B$5),AND($BN249&lt;&gt;"",$BN249&gt;PARAMETRI!$B$7),AND($W249&gt;0,$M249&gt;$W249*PARAMETRI!$B$9),AND($O249&gt;0,OR($I249="Finito ritenute non previste",$I249="Finito con sblocco ritenute",$I249="Finito senza sblocco ritenute")),AND($BA249&gt;0,$BO249&gt;0,$BP249=0),AND(OR($I249="Finito ritenute non previste",$I249="Finito con sblocco ritenute",$I249="Finito senza sblocco ritenute"),$W249&gt;0,$N249&gt;$W249*PARAMETRI!$B$9),$V249&gt;0),"ATTENZIONE","REGOLARE"))),"ATTENZIONE")</f>
        <v/>
      </c>
      <c r="B249" s="17" t="str">
        <f>IFERROR(IF($C249="","",IF($BF249&gt;0,"FATTURATO OLTRE VALORE RECUPERABILE; ","")&amp;IF($V249&gt;$J249,"PERDITE ACCETTATE OLTRE CONTRATTO; ","")&amp;IF($V249&gt;0,"PERDITA SAL ACCETTATA (€ "&amp;TEXT($V249,"#,##0.00")&amp;"); ","")&amp;IF(AND(ISNUMBER($Q249),$Q249&gt;0),"RITARDO PRODUTTIVO ("&amp;TEXT($Q249,"0")&amp;" GG); ","")&amp;IF(AND($BI249&lt;&gt;"",$BI249&lt;-PARAMETRI!$B$5),"AVANZAMENTO PIÙ LENTO DEL TEMPO; ","")&amp;IF(AND($BM249&lt;&gt;"",$BM249&gt;1),"ORE OLTRE BUDGET; ","")&amp;IF(AND($BM249&lt;&gt;"",$BM249=1),"ORE PREVENTIVATE ESAURITE; ","")&amp;IF(AND($BN249&lt;&gt;"",$BN249&gt;PARAMETRI!$B$7),"CONSUMO ORE SUPERIORE ALL'AVANZAMENTO; ","")&amp;IF(AND(ISNUMBER($BR249),$BR249&gt;0),"COSTI DIRETTI OLTRE BUDGET; ","")&amp;IF(AND($W249&gt;0,$M249&gt;$W249*PARAMETRI!$B$9),"SAL MATURATO NON FATTURATO; ","")&amp;IF(AND($O249&gt;0,OR($I249="Finito ritenute non previste",$I249="Finito con sblocco ritenute",$I249="Finito senza sblocco ritenute")),"RITENUTE DA SBLOCCARE; ","")&amp;IF(AND($BA249&gt;0,$BO249&gt;0,$BP249=0),"COSTI DIRETTI NON REGISTRATI; ","")&amp;IF(AND(OR($I249="Finito ritenute non previste",$I249="Finito con sblocco ritenute",$I249="Finito senza sblocco ritenute"),$W249&gt;0,$N249&gt;$W249*PARAMETRI!$B$9),"CANTIERE FINITO CON RESIDUO LAVORI; ","")&amp;IF(AND(OR($I249="Finito ritenute non previste",$I249="Finito con sblocco ritenute",$I249="Finito senza sblocco ritenute"),ANAGRAFICA!$K246=""),"DATA FINE EFFETTIVA MANCANTE; ","")&amp;IF(OR(AND(ANAGRAFICA!$T246&lt;&gt;"",ANAGRAFICA!$J246&lt;&gt;ANAGRAFICA!$T246,OR(ANAGRAFICA!$R246="",ANAGRAFICA!$R246="Nessuna variazione")),AND(ANAGRAFICA!$J246="",ANAGRAFICA!$R246&lt;&gt;"",ANAGRAFICA!$R246&lt;&gt;"Nessuna variazione")),"GESTIONE DATA FINE INCOMPLETA; ","")&amp;IF($Y249="","AGGIORNATO AL MANCANTE; ","")&amp;IF(OR($AZ249="",$BJ249="",$BO249="",ANAGRAFICA!$I246="",ANAGRAFICA!$J246=""),"DATI PREVISIONALI INCOMPLETI; ","")&amp;IF(LEFT($C249,5)="TEMP","CODICE COMMESSA TEMPORANEO; ","")),"DATI INCOMPLETI; ")</f>
        <v/>
      </c>
      <c r="C249" s="17" t="str">
        <f>IF(ANAGRAFICA!$B246="","",ANAGRAFICA!$B246)</f>
        <v/>
      </c>
      <c r="D249" s="17" t="str">
        <f>IF($C249="","",ANAGRAFICA!$C246)</f>
        <v/>
      </c>
      <c r="E249" s="17" t="str">
        <f>IF($C249="","",ANAGRAFICA!$D246)</f>
        <v/>
      </c>
      <c r="F249" s="17" t="str">
        <f>IF($C249="","",ANAGRAFICA!$E246)</f>
        <v/>
      </c>
      <c r="G249" s="17" t="str">
        <f>IF($C249="","",ANAGRAFICA!$F246)</f>
        <v/>
      </c>
      <c r="H249" s="17" t="str">
        <f>IF($C249="","",ANAGRAFICA!$G246)</f>
        <v/>
      </c>
      <c r="I249" s="17" t="str">
        <f>IF($C249="","",ANAGRAFICA!$L246)</f>
        <v/>
      </c>
      <c r="J249" s="16" t="str">
        <f t="shared" si="73"/>
        <v/>
      </c>
      <c r="K249" s="16" t="str">
        <f t="shared" si="74"/>
        <v/>
      </c>
      <c r="L249" s="16" t="str">
        <f t="shared" si="75"/>
        <v/>
      </c>
      <c r="M249" s="16" t="str">
        <f t="shared" si="76"/>
        <v/>
      </c>
      <c r="N249" s="16" t="str">
        <f t="shared" si="77"/>
        <v/>
      </c>
      <c r="O249" s="16" t="str">
        <f t="shared" si="78"/>
        <v/>
      </c>
      <c r="P249" s="17" t="str">
        <f t="shared" si="79"/>
        <v/>
      </c>
      <c r="Q249" s="31" t="str">
        <f>IF(OR($C249="",'BUDGET COMMESSA'!$D246="",'BUDGET COMMESSA'!$D246&lt;=0,ANAGRAFICA!$J246=""),"",IF(OR($I249="Finito ritenute non previste",$I249="Finito con sblocco ritenute",$I249="Finito senza sblocco ritenute"),0,IF(AND($BK249&gt;=$BJ249,ANAGRAFICA!$R246="Ritardo produttivo FIDA"),IF(ANAGRAFICA!$T246&lt;&gt;"",MAX(0,ANAGRAFICA!$J246-ANAGRAFICA!$T246),MAX(0,$Y249-ANAGRAFICA!$J246)),0)))</f>
        <v/>
      </c>
      <c r="R249" s="17" t="str">
        <f t="shared" si="80"/>
        <v/>
      </c>
      <c r="S249" s="17" t="str">
        <f t="shared" si="81"/>
        <v/>
      </c>
      <c r="T249" s="17" t="str">
        <f t="shared" si="82"/>
        <v/>
      </c>
      <c r="U249" s="16" t="str">
        <f t="shared" si="83"/>
        <v/>
      </c>
      <c r="V249" s="16" t="str">
        <f t="shared" si="84"/>
        <v/>
      </c>
      <c r="W249" s="16" t="str">
        <f t="shared" si="85"/>
        <v/>
      </c>
      <c r="X249" s="40"/>
      <c r="Y249" s="14"/>
      <c r="AZ249" t="str">
        <f>IF($C249="","",ANAGRAFICA!$P246)</f>
        <v/>
      </c>
      <c r="BA249" t="str">
        <f>IF($C249="","",SUMIF('MOVIMENTI 2026'!$B$7:$B$4206,$C249,'MOVIMENTI 2026'!$I$7:$I$4206)+SUMIF('SALDI AL 31.12.2025'!$A$6:$A$505,$C249,'SALDI AL 31.12.2025'!$C$6:$C$505))</f>
        <v/>
      </c>
      <c r="BB249" t="str">
        <f>IF($C249="","",SUMIF('MOVIMENTI 2026'!$B$7:$B$4206,$C249,'MOVIMENTI 2026'!$J$7:$J$4206)+SUMIF('SALDI AL 31.12.2025'!$A$6:$A$505,$C249,'SALDI AL 31.12.2025'!$D$6:$D$505))</f>
        <v/>
      </c>
      <c r="BC249" t="str">
        <f>IF($C249="","",SUMIF('MOVIMENTI 2026'!$B$7:$B$4206,$C249,'MOVIMENTI 2026'!$K$7:$K$4206)+SUMIF('SALDI AL 31.12.2025'!$A$6:$A$505,$C249,'SALDI AL 31.12.2025'!$E$6:$E$505))</f>
        <v/>
      </c>
      <c r="BD249" t="str">
        <f>IF($C249="","",SUMIF('MOVIMENTI 2026'!$B$7:$B$4206,$C249,'MOVIMENTI 2026'!$L$7:$L$4206)+SUMIF('SALDI AL 31.12.2025'!$A$6:$A$505,$C249,'SALDI AL 31.12.2025'!$F$6:$F$505))</f>
        <v/>
      </c>
      <c r="BE249" t="str">
        <f t="shared" si="86"/>
        <v/>
      </c>
      <c r="BF249" t="str">
        <f t="shared" si="87"/>
        <v/>
      </c>
      <c r="BG249" t="str">
        <f t="shared" si="88"/>
        <v/>
      </c>
      <c r="BH249" t="str">
        <f>IFERROR(IF(OR($C249="",ANAGRAFICA!$I246="",ANAGRAFICA!$J246="",ANAGRAFICA!$J246&lt;=ANAGRAFICA!$I246,$Y249=""),"",IF(OR($I249="Finito ritenute non previste",$I249="Finito con sblocco ritenute",$I249="Finito senza sblocco ritenute"),1,MAX(0,MIN(1,($Y249-ANAGRAFICA!$I246)/(ANAGRAFICA!$J246-ANAGRAFICA!$I246))))),"")</f>
        <v/>
      </c>
      <c r="BI249" t="str">
        <f t="shared" si="89"/>
        <v/>
      </c>
      <c r="BJ249" t="str">
        <f>IFERROR(IF($C249="","",'BUDGET COMMESSA'!$D246),"")</f>
        <v/>
      </c>
      <c r="BK249" t="str">
        <f>IF($C249="","",SUMIF('MOVIMENTI 2026'!$B$7:$B$4206,$C249,'MOVIMENTI 2026'!$N$7:$N$4206)+SUMIF('SALDI AL 31.12.2025'!$A$6:$A$505,$C249,'SALDI AL 31.12.2025'!$H$6:$H$505))</f>
        <v/>
      </c>
      <c r="BL249" t="str">
        <f t="shared" si="90"/>
        <v/>
      </c>
      <c r="BM249" t="str">
        <f t="shared" si="91"/>
        <v/>
      </c>
      <c r="BN249" t="str">
        <f t="shared" si="92"/>
        <v/>
      </c>
      <c r="BO249" t="str">
        <f>IFERROR(IF($C249="","",'BUDGET COMMESSA'!$G246),"")</f>
        <v/>
      </c>
      <c r="BP249" t="str">
        <f>IF($C249="","",SUMIF('COSTI DIRETTI'!$C$6:$C$505,$C249,'COSTI DIRETTI'!$H$6:$H$505)+SUMIF('SALDI AL 31.12.2025'!$A$6:$A$505,$C249,'SALDI AL 31.12.2025'!$I$6:$I$505))</f>
        <v/>
      </c>
      <c r="BQ249" t="str">
        <f t="shared" si="93"/>
        <v/>
      </c>
      <c r="BR249" t="str">
        <f t="shared" si="94"/>
        <v/>
      </c>
      <c r="BS249" t="str">
        <f>IF($C249="","",$BK249*PARAMETRI!$B$4+$BP249)</f>
        <v/>
      </c>
      <c r="BT249">
        <f t="shared" si="95"/>
        <v>0</v>
      </c>
      <c r="BU249">
        <f t="shared" si="96"/>
        <v>0</v>
      </c>
      <c r="BV249" t="str">
        <f>IF($C249="","",SUMIF('MOVIMENTI 2026'!$B$7:$B$4206,$C249,'MOVIMENTI 2026'!$P$7:$P$4206)+SUMIF('SALDI AL 31.12.2025'!$A$6:$A$505,$C249,'SALDI AL 31.12.2025'!$G$6:$G$505))</f>
        <v/>
      </c>
    </row>
    <row r="250" spans="1:74" ht="16" x14ac:dyDescent="0.15">
      <c r="A250" s="17" t="str">
        <f>IFERROR(IF($C250="","",IF(OR($BF250&gt;0,$V250&gt;$J250,AND(ISNUMBER($Q250),$Q250&gt;0),AND($BI250&lt;&gt;"",$BI250&lt;-PARAMETRI!$B$6),AND($BM250&lt;&gt;"",$BM250&gt;=1),AND($BN250&lt;&gt;"",$BN250&gt;PARAMETRI!$B$8),AND(ISNUMBER($BR250),$BR250&gt;0)),"CRITICO",IF(OR($AZ250="",LEFT($C250,5)="TEMP",$BJ250="",$BO250="",ANAGRAFICA!$I247="",ANAGRAFICA!$J247="",$Y250="",AND(OR($I250="Finito ritenute non previste",$I250="Finito con sblocco ritenute",$I250="Finito senza sblocco ritenute"),ANAGRAFICA!$K247=""),OR(AND(ANAGRAFICA!$T247&lt;&gt;"",ANAGRAFICA!$J247&lt;&gt;ANAGRAFICA!$T247,OR(ANAGRAFICA!$R247="",ANAGRAFICA!$R247="Nessuna variazione")),AND(ANAGRAFICA!$J247="",ANAGRAFICA!$R247&lt;&gt;"",ANAGRAFICA!$R247&lt;&gt;"Nessuna variazione")),AND($BI250&lt;&gt;"",$BI250&lt;-PARAMETRI!$B$5),AND($BN250&lt;&gt;"",$BN250&gt;PARAMETRI!$B$7),AND($W250&gt;0,$M250&gt;$W250*PARAMETRI!$B$9),AND($O250&gt;0,OR($I250="Finito ritenute non previste",$I250="Finito con sblocco ritenute",$I250="Finito senza sblocco ritenute")),AND($BA250&gt;0,$BO250&gt;0,$BP250=0),AND(OR($I250="Finito ritenute non previste",$I250="Finito con sblocco ritenute",$I250="Finito senza sblocco ritenute"),$W250&gt;0,$N250&gt;$W250*PARAMETRI!$B$9),$V250&gt;0),"ATTENZIONE","REGOLARE"))),"ATTENZIONE")</f>
        <v/>
      </c>
      <c r="B250" s="17" t="str">
        <f>IFERROR(IF($C250="","",IF($BF250&gt;0,"FATTURATO OLTRE VALORE RECUPERABILE; ","")&amp;IF($V250&gt;$J250,"PERDITE ACCETTATE OLTRE CONTRATTO; ","")&amp;IF($V250&gt;0,"PERDITA SAL ACCETTATA (€ "&amp;TEXT($V250,"#,##0.00")&amp;"); ","")&amp;IF(AND(ISNUMBER($Q250),$Q250&gt;0),"RITARDO PRODUTTIVO ("&amp;TEXT($Q250,"0")&amp;" GG); ","")&amp;IF(AND($BI250&lt;&gt;"",$BI250&lt;-PARAMETRI!$B$5),"AVANZAMENTO PIÙ LENTO DEL TEMPO; ","")&amp;IF(AND($BM250&lt;&gt;"",$BM250&gt;1),"ORE OLTRE BUDGET; ","")&amp;IF(AND($BM250&lt;&gt;"",$BM250=1),"ORE PREVENTIVATE ESAURITE; ","")&amp;IF(AND($BN250&lt;&gt;"",$BN250&gt;PARAMETRI!$B$7),"CONSUMO ORE SUPERIORE ALL'AVANZAMENTO; ","")&amp;IF(AND(ISNUMBER($BR250),$BR250&gt;0),"COSTI DIRETTI OLTRE BUDGET; ","")&amp;IF(AND($W250&gt;0,$M250&gt;$W250*PARAMETRI!$B$9),"SAL MATURATO NON FATTURATO; ","")&amp;IF(AND($O250&gt;0,OR($I250="Finito ritenute non previste",$I250="Finito con sblocco ritenute",$I250="Finito senza sblocco ritenute")),"RITENUTE DA SBLOCCARE; ","")&amp;IF(AND($BA250&gt;0,$BO250&gt;0,$BP250=0),"COSTI DIRETTI NON REGISTRATI; ","")&amp;IF(AND(OR($I250="Finito ritenute non previste",$I250="Finito con sblocco ritenute",$I250="Finito senza sblocco ritenute"),$W250&gt;0,$N250&gt;$W250*PARAMETRI!$B$9),"CANTIERE FINITO CON RESIDUO LAVORI; ","")&amp;IF(AND(OR($I250="Finito ritenute non previste",$I250="Finito con sblocco ritenute",$I250="Finito senza sblocco ritenute"),ANAGRAFICA!$K247=""),"DATA FINE EFFETTIVA MANCANTE; ","")&amp;IF(OR(AND(ANAGRAFICA!$T247&lt;&gt;"",ANAGRAFICA!$J247&lt;&gt;ANAGRAFICA!$T247,OR(ANAGRAFICA!$R247="",ANAGRAFICA!$R247="Nessuna variazione")),AND(ANAGRAFICA!$J247="",ANAGRAFICA!$R247&lt;&gt;"",ANAGRAFICA!$R247&lt;&gt;"Nessuna variazione")),"GESTIONE DATA FINE INCOMPLETA; ","")&amp;IF($Y250="","AGGIORNATO AL MANCANTE; ","")&amp;IF(OR($AZ250="",$BJ250="",$BO250="",ANAGRAFICA!$I247="",ANAGRAFICA!$J247=""),"DATI PREVISIONALI INCOMPLETI; ","")&amp;IF(LEFT($C250,5)="TEMP","CODICE COMMESSA TEMPORANEO; ","")),"DATI INCOMPLETI; ")</f>
        <v/>
      </c>
      <c r="C250" s="17" t="str">
        <f>IF(ANAGRAFICA!$B247="","",ANAGRAFICA!$B247)</f>
        <v/>
      </c>
      <c r="D250" s="17" t="str">
        <f>IF($C250="","",ANAGRAFICA!$C247)</f>
        <v/>
      </c>
      <c r="E250" s="17" t="str">
        <f>IF($C250="","",ANAGRAFICA!$D247)</f>
        <v/>
      </c>
      <c r="F250" s="17" t="str">
        <f>IF($C250="","",ANAGRAFICA!$E247)</f>
        <v/>
      </c>
      <c r="G250" s="17" t="str">
        <f>IF($C250="","",ANAGRAFICA!$F247)</f>
        <v/>
      </c>
      <c r="H250" s="17" t="str">
        <f>IF($C250="","",ANAGRAFICA!$G247)</f>
        <v/>
      </c>
      <c r="I250" s="17" t="str">
        <f>IF($C250="","",ANAGRAFICA!$L247)</f>
        <v/>
      </c>
      <c r="J250" s="16" t="str">
        <f t="shared" si="73"/>
        <v/>
      </c>
      <c r="K250" s="16" t="str">
        <f t="shared" si="74"/>
        <v/>
      </c>
      <c r="L250" s="16" t="str">
        <f t="shared" si="75"/>
        <v/>
      </c>
      <c r="M250" s="16" t="str">
        <f t="shared" si="76"/>
        <v/>
      </c>
      <c r="N250" s="16" t="str">
        <f t="shared" si="77"/>
        <v/>
      </c>
      <c r="O250" s="16" t="str">
        <f t="shared" si="78"/>
        <v/>
      </c>
      <c r="P250" s="17" t="str">
        <f t="shared" si="79"/>
        <v/>
      </c>
      <c r="Q250" s="31" t="str">
        <f>IF(OR($C250="",'BUDGET COMMESSA'!$D247="",'BUDGET COMMESSA'!$D247&lt;=0,ANAGRAFICA!$J247=""),"",IF(OR($I250="Finito ritenute non previste",$I250="Finito con sblocco ritenute",$I250="Finito senza sblocco ritenute"),0,IF(AND($BK250&gt;=$BJ250,ANAGRAFICA!$R247="Ritardo produttivo FIDA"),IF(ANAGRAFICA!$T247&lt;&gt;"",MAX(0,ANAGRAFICA!$J247-ANAGRAFICA!$T247),MAX(0,$Y250-ANAGRAFICA!$J247)),0)))</f>
        <v/>
      </c>
      <c r="R250" s="17" t="str">
        <f t="shared" si="80"/>
        <v/>
      </c>
      <c r="S250" s="17" t="str">
        <f t="shared" si="81"/>
        <v/>
      </c>
      <c r="T250" s="17" t="str">
        <f t="shared" si="82"/>
        <v/>
      </c>
      <c r="U250" s="16" t="str">
        <f t="shared" si="83"/>
        <v/>
      </c>
      <c r="V250" s="16" t="str">
        <f t="shared" si="84"/>
        <v/>
      </c>
      <c r="W250" s="16" t="str">
        <f t="shared" si="85"/>
        <v/>
      </c>
      <c r="X250" s="40"/>
      <c r="Y250" s="14"/>
      <c r="AZ250" t="str">
        <f>IF($C250="","",ANAGRAFICA!$P247)</f>
        <v/>
      </c>
      <c r="BA250" t="str">
        <f>IF($C250="","",SUMIF('MOVIMENTI 2026'!$B$7:$B$4206,$C250,'MOVIMENTI 2026'!$I$7:$I$4206)+SUMIF('SALDI AL 31.12.2025'!$A$6:$A$505,$C250,'SALDI AL 31.12.2025'!$C$6:$C$505))</f>
        <v/>
      </c>
      <c r="BB250" t="str">
        <f>IF($C250="","",SUMIF('MOVIMENTI 2026'!$B$7:$B$4206,$C250,'MOVIMENTI 2026'!$J$7:$J$4206)+SUMIF('SALDI AL 31.12.2025'!$A$6:$A$505,$C250,'SALDI AL 31.12.2025'!$D$6:$D$505))</f>
        <v/>
      </c>
      <c r="BC250" t="str">
        <f>IF($C250="","",SUMIF('MOVIMENTI 2026'!$B$7:$B$4206,$C250,'MOVIMENTI 2026'!$K$7:$K$4206)+SUMIF('SALDI AL 31.12.2025'!$A$6:$A$505,$C250,'SALDI AL 31.12.2025'!$E$6:$E$505))</f>
        <v/>
      </c>
      <c r="BD250" t="str">
        <f>IF($C250="","",SUMIF('MOVIMENTI 2026'!$B$7:$B$4206,$C250,'MOVIMENTI 2026'!$L$7:$L$4206)+SUMIF('SALDI AL 31.12.2025'!$A$6:$A$505,$C250,'SALDI AL 31.12.2025'!$F$6:$F$505))</f>
        <v/>
      </c>
      <c r="BE250" t="str">
        <f t="shared" si="86"/>
        <v/>
      </c>
      <c r="BF250" t="str">
        <f t="shared" si="87"/>
        <v/>
      </c>
      <c r="BG250" t="str">
        <f t="shared" si="88"/>
        <v/>
      </c>
      <c r="BH250" t="str">
        <f>IFERROR(IF(OR($C250="",ANAGRAFICA!$I247="",ANAGRAFICA!$J247="",ANAGRAFICA!$J247&lt;=ANAGRAFICA!$I247,$Y250=""),"",IF(OR($I250="Finito ritenute non previste",$I250="Finito con sblocco ritenute",$I250="Finito senza sblocco ritenute"),1,MAX(0,MIN(1,($Y250-ANAGRAFICA!$I247)/(ANAGRAFICA!$J247-ANAGRAFICA!$I247))))),"")</f>
        <v/>
      </c>
      <c r="BI250" t="str">
        <f t="shared" si="89"/>
        <v/>
      </c>
      <c r="BJ250" t="str">
        <f>IFERROR(IF($C250="","",'BUDGET COMMESSA'!$D247),"")</f>
        <v/>
      </c>
      <c r="BK250" t="str">
        <f>IF($C250="","",SUMIF('MOVIMENTI 2026'!$B$7:$B$4206,$C250,'MOVIMENTI 2026'!$N$7:$N$4206)+SUMIF('SALDI AL 31.12.2025'!$A$6:$A$505,$C250,'SALDI AL 31.12.2025'!$H$6:$H$505))</f>
        <v/>
      </c>
      <c r="BL250" t="str">
        <f t="shared" si="90"/>
        <v/>
      </c>
      <c r="BM250" t="str">
        <f t="shared" si="91"/>
        <v/>
      </c>
      <c r="BN250" t="str">
        <f t="shared" si="92"/>
        <v/>
      </c>
      <c r="BO250" t="str">
        <f>IFERROR(IF($C250="","",'BUDGET COMMESSA'!$G247),"")</f>
        <v/>
      </c>
      <c r="BP250" t="str">
        <f>IF($C250="","",SUMIF('COSTI DIRETTI'!$C$6:$C$505,$C250,'COSTI DIRETTI'!$H$6:$H$505)+SUMIF('SALDI AL 31.12.2025'!$A$6:$A$505,$C250,'SALDI AL 31.12.2025'!$I$6:$I$505))</f>
        <v/>
      </c>
      <c r="BQ250" t="str">
        <f t="shared" si="93"/>
        <v/>
      </c>
      <c r="BR250" t="str">
        <f t="shared" si="94"/>
        <v/>
      </c>
      <c r="BS250" t="str">
        <f>IF($C250="","",$BK250*PARAMETRI!$B$4+$BP250)</f>
        <v/>
      </c>
      <c r="BT250">
        <f t="shared" si="95"/>
        <v>0</v>
      </c>
      <c r="BU250">
        <f t="shared" si="96"/>
        <v>0</v>
      </c>
      <c r="BV250" t="str">
        <f>IF($C250="","",SUMIF('MOVIMENTI 2026'!$B$7:$B$4206,$C250,'MOVIMENTI 2026'!$P$7:$P$4206)+SUMIF('SALDI AL 31.12.2025'!$A$6:$A$505,$C250,'SALDI AL 31.12.2025'!$G$6:$G$505))</f>
        <v/>
      </c>
    </row>
    <row r="251" spans="1:74" ht="16" x14ac:dyDescent="0.15">
      <c r="A251" s="17" t="str">
        <f>IFERROR(IF($C251="","",IF(OR($BF251&gt;0,$V251&gt;$J251,AND(ISNUMBER($Q251),$Q251&gt;0),AND($BI251&lt;&gt;"",$BI251&lt;-PARAMETRI!$B$6),AND($BM251&lt;&gt;"",$BM251&gt;=1),AND($BN251&lt;&gt;"",$BN251&gt;PARAMETRI!$B$8),AND(ISNUMBER($BR251),$BR251&gt;0)),"CRITICO",IF(OR($AZ251="",LEFT($C251,5)="TEMP",$BJ251="",$BO251="",ANAGRAFICA!$I248="",ANAGRAFICA!$J248="",$Y251="",AND(OR($I251="Finito ritenute non previste",$I251="Finito con sblocco ritenute",$I251="Finito senza sblocco ritenute"),ANAGRAFICA!$K248=""),OR(AND(ANAGRAFICA!$T248&lt;&gt;"",ANAGRAFICA!$J248&lt;&gt;ANAGRAFICA!$T248,OR(ANAGRAFICA!$R248="",ANAGRAFICA!$R248="Nessuna variazione")),AND(ANAGRAFICA!$J248="",ANAGRAFICA!$R248&lt;&gt;"",ANAGRAFICA!$R248&lt;&gt;"Nessuna variazione")),AND($BI251&lt;&gt;"",$BI251&lt;-PARAMETRI!$B$5),AND($BN251&lt;&gt;"",$BN251&gt;PARAMETRI!$B$7),AND($W251&gt;0,$M251&gt;$W251*PARAMETRI!$B$9),AND($O251&gt;0,OR($I251="Finito ritenute non previste",$I251="Finito con sblocco ritenute",$I251="Finito senza sblocco ritenute")),AND($BA251&gt;0,$BO251&gt;0,$BP251=0),AND(OR($I251="Finito ritenute non previste",$I251="Finito con sblocco ritenute",$I251="Finito senza sblocco ritenute"),$W251&gt;0,$N251&gt;$W251*PARAMETRI!$B$9),$V251&gt;0),"ATTENZIONE","REGOLARE"))),"ATTENZIONE")</f>
        <v/>
      </c>
      <c r="B251" s="17" t="str">
        <f>IFERROR(IF($C251="","",IF($BF251&gt;0,"FATTURATO OLTRE VALORE RECUPERABILE; ","")&amp;IF($V251&gt;$J251,"PERDITE ACCETTATE OLTRE CONTRATTO; ","")&amp;IF($V251&gt;0,"PERDITA SAL ACCETTATA (€ "&amp;TEXT($V251,"#,##0.00")&amp;"); ","")&amp;IF(AND(ISNUMBER($Q251),$Q251&gt;0),"RITARDO PRODUTTIVO ("&amp;TEXT($Q251,"0")&amp;" GG); ","")&amp;IF(AND($BI251&lt;&gt;"",$BI251&lt;-PARAMETRI!$B$5),"AVANZAMENTO PIÙ LENTO DEL TEMPO; ","")&amp;IF(AND($BM251&lt;&gt;"",$BM251&gt;1),"ORE OLTRE BUDGET; ","")&amp;IF(AND($BM251&lt;&gt;"",$BM251=1),"ORE PREVENTIVATE ESAURITE; ","")&amp;IF(AND($BN251&lt;&gt;"",$BN251&gt;PARAMETRI!$B$7),"CONSUMO ORE SUPERIORE ALL'AVANZAMENTO; ","")&amp;IF(AND(ISNUMBER($BR251),$BR251&gt;0),"COSTI DIRETTI OLTRE BUDGET; ","")&amp;IF(AND($W251&gt;0,$M251&gt;$W251*PARAMETRI!$B$9),"SAL MATURATO NON FATTURATO; ","")&amp;IF(AND($O251&gt;0,OR($I251="Finito ritenute non previste",$I251="Finito con sblocco ritenute",$I251="Finito senza sblocco ritenute")),"RITENUTE DA SBLOCCARE; ","")&amp;IF(AND($BA251&gt;0,$BO251&gt;0,$BP251=0),"COSTI DIRETTI NON REGISTRATI; ","")&amp;IF(AND(OR($I251="Finito ritenute non previste",$I251="Finito con sblocco ritenute",$I251="Finito senza sblocco ritenute"),$W251&gt;0,$N251&gt;$W251*PARAMETRI!$B$9),"CANTIERE FINITO CON RESIDUO LAVORI; ","")&amp;IF(AND(OR($I251="Finito ritenute non previste",$I251="Finito con sblocco ritenute",$I251="Finito senza sblocco ritenute"),ANAGRAFICA!$K248=""),"DATA FINE EFFETTIVA MANCANTE; ","")&amp;IF(OR(AND(ANAGRAFICA!$T248&lt;&gt;"",ANAGRAFICA!$J248&lt;&gt;ANAGRAFICA!$T248,OR(ANAGRAFICA!$R248="",ANAGRAFICA!$R248="Nessuna variazione")),AND(ANAGRAFICA!$J248="",ANAGRAFICA!$R248&lt;&gt;"",ANAGRAFICA!$R248&lt;&gt;"Nessuna variazione")),"GESTIONE DATA FINE INCOMPLETA; ","")&amp;IF($Y251="","AGGIORNATO AL MANCANTE; ","")&amp;IF(OR($AZ251="",$BJ251="",$BO251="",ANAGRAFICA!$I248="",ANAGRAFICA!$J248=""),"DATI PREVISIONALI INCOMPLETI; ","")&amp;IF(LEFT($C251,5)="TEMP","CODICE COMMESSA TEMPORANEO; ","")),"DATI INCOMPLETI; ")</f>
        <v/>
      </c>
      <c r="C251" s="17" t="str">
        <f>IF(ANAGRAFICA!$B248="","",ANAGRAFICA!$B248)</f>
        <v/>
      </c>
      <c r="D251" s="17" t="str">
        <f>IF($C251="","",ANAGRAFICA!$C248)</f>
        <v/>
      </c>
      <c r="E251" s="17" t="str">
        <f>IF($C251="","",ANAGRAFICA!$D248)</f>
        <v/>
      </c>
      <c r="F251" s="17" t="str">
        <f>IF($C251="","",ANAGRAFICA!$E248)</f>
        <v/>
      </c>
      <c r="G251" s="17" t="str">
        <f>IF($C251="","",ANAGRAFICA!$F248)</f>
        <v/>
      </c>
      <c r="H251" s="17" t="str">
        <f>IF($C251="","",ANAGRAFICA!$G248)</f>
        <v/>
      </c>
      <c r="I251" s="17" t="str">
        <f>IF($C251="","",ANAGRAFICA!$L248)</f>
        <v/>
      </c>
      <c r="J251" s="16" t="str">
        <f t="shared" si="73"/>
        <v/>
      </c>
      <c r="K251" s="16" t="str">
        <f t="shared" si="74"/>
        <v/>
      </c>
      <c r="L251" s="16" t="str">
        <f t="shared" si="75"/>
        <v/>
      </c>
      <c r="M251" s="16" t="str">
        <f t="shared" si="76"/>
        <v/>
      </c>
      <c r="N251" s="16" t="str">
        <f t="shared" si="77"/>
        <v/>
      </c>
      <c r="O251" s="16" t="str">
        <f t="shared" si="78"/>
        <v/>
      </c>
      <c r="P251" s="17" t="str">
        <f t="shared" si="79"/>
        <v/>
      </c>
      <c r="Q251" s="31" t="str">
        <f>IF(OR($C251="",'BUDGET COMMESSA'!$D248="",'BUDGET COMMESSA'!$D248&lt;=0,ANAGRAFICA!$J248=""),"",IF(OR($I251="Finito ritenute non previste",$I251="Finito con sblocco ritenute",$I251="Finito senza sblocco ritenute"),0,IF(AND($BK251&gt;=$BJ251,ANAGRAFICA!$R248="Ritardo produttivo FIDA"),IF(ANAGRAFICA!$T248&lt;&gt;"",MAX(0,ANAGRAFICA!$J248-ANAGRAFICA!$T248),MAX(0,$Y251-ANAGRAFICA!$J248)),0)))</f>
        <v/>
      </c>
      <c r="R251" s="17" t="str">
        <f t="shared" si="80"/>
        <v/>
      </c>
      <c r="S251" s="17" t="str">
        <f t="shared" si="81"/>
        <v/>
      </c>
      <c r="T251" s="17" t="str">
        <f t="shared" si="82"/>
        <v/>
      </c>
      <c r="U251" s="16" t="str">
        <f t="shared" si="83"/>
        <v/>
      </c>
      <c r="V251" s="16" t="str">
        <f t="shared" si="84"/>
        <v/>
      </c>
      <c r="W251" s="16" t="str">
        <f t="shared" si="85"/>
        <v/>
      </c>
      <c r="X251" s="40"/>
      <c r="Y251" s="14"/>
      <c r="AZ251" t="str">
        <f>IF($C251="","",ANAGRAFICA!$P248)</f>
        <v/>
      </c>
      <c r="BA251" t="str">
        <f>IF($C251="","",SUMIF('MOVIMENTI 2026'!$B$7:$B$4206,$C251,'MOVIMENTI 2026'!$I$7:$I$4206)+SUMIF('SALDI AL 31.12.2025'!$A$6:$A$505,$C251,'SALDI AL 31.12.2025'!$C$6:$C$505))</f>
        <v/>
      </c>
      <c r="BB251" t="str">
        <f>IF($C251="","",SUMIF('MOVIMENTI 2026'!$B$7:$B$4206,$C251,'MOVIMENTI 2026'!$J$7:$J$4206)+SUMIF('SALDI AL 31.12.2025'!$A$6:$A$505,$C251,'SALDI AL 31.12.2025'!$D$6:$D$505))</f>
        <v/>
      </c>
      <c r="BC251" t="str">
        <f>IF($C251="","",SUMIF('MOVIMENTI 2026'!$B$7:$B$4206,$C251,'MOVIMENTI 2026'!$K$7:$K$4206)+SUMIF('SALDI AL 31.12.2025'!$A$6:$A$505,$C251,'SALDI AL 31.12.2025'!$E$6:$E$505))</f>
        <v/>
      </c>
      <c r="BD251" t="str">
        <f>IF($C251="","",SUMIF('MOVIMENTI 2026'!$B$7:$B$4206,$C251,'MOVIMENTI 2026'!$L$7:$L$4206)+SUMIF('SALDI AL 31.12.2025'!$A$6:$A$505,$C251,'SALDI AL 31.12.2025'!$F$6:$F$505))</f>
        <v/>
      </c>
      <c r="BE251" t="str">
        <f t="shared" si="86"/>
        <v/>
      </c>
      <c r="BF251" t="str">
        <f t="shared" si="87"/>
        <v/>
      </c>
      <c r="BG251" t="str">
        <f t="shared" si="88"/>
        <v/>
      </c>
      <c r="BH251" t="str">
        <f>IFERROR(IF(OR($C251="",ANAGRAFICA!$I248="",ANAGRAFICA!$J248="",ANAGRAFICA!$J248&lt;=ANAGRAFICA!$I248,$Y251=""),"",IF(OR($I251="Finito ritenute non previste",$I251="Finito con sblocco ritenute",$I251="Finito senza sblocco ritenute"),1,MAX(0,MIN(1,($Y251-ANAGRAFICA!$I248)/(ANAGRAFICA!$J248-ANAGRAFICA!$I248))))),"")</f>
        <v/>
      </c>
      <c r="BI251" t="str">
        <f t="shared" si="89"/>
        <v/>
      </c>
      <c r="BJ251" t="str">
        <f>IFERROR(IF($C251="","",'BUDGET COMMESSA'!$D248),"")</f>
        <v/>
      </c>
      <c r="BK251" t="str">
        <f>IF($C251="","",SUMIF('MOVIMENTI 2026'!$B$7:$B$4206,$C251,'MOVIMENTI 2026'!$N$7:$N$4206)+SUMIF('SALDI AL 31.12.2025'!$A$6:$A$505,$C251,'SALDI AL 31.12.2025'!$H$6:$H$505))</f>
        <v/>
      </c>
      <c r="BL251" t="str">
        <f t="shared" si="90"/>
        <v/>
      </c>
      <c r="BM251" t="str">
        <f t="shared" si="91"/>
        <v/>
      </c>
      <c r="BN251" t="str">
        <f t="shared" si="92"/>
        <v/>
      </c>
      <c r="BO251" t="str">
        <f>IFERROR(IF($C251="","",'BUDGET COMMESSA'!$G248),"")</f>
        <v/>
      </c>
      <c r="BP251" t="str">
        <f>IF($C251="","",SUMIF('COSTI DIRETTI'!$C$6:$C$505,$C251,'COSTI DIRETTI'!$H$6:$H$505)+SUMIF('SALDI AL 31.12.2025'!$A$6:$A$505,$C251,'SALDI AL 31.12.2025'!$I$6:$I$505))</f>
        <v/>
      </c>
      <c r="BQ251" t="str">
        <f t="shared" si="93"/>
        <v/>
      </c>
      <c r="BR251" t="str">
        <f t="shared" si="94"/>
        <v/>
      </c>
      <c r="BS251" t="str">
        <f>IF($C251="","",$BK251*PARAMETRI!$B$4+$BP251)</f>
        <v/>
      </c>
      <c r="BT251">
        <f t="shared" si="95"/>
        <v>0</v>
      </c>
      <c r="BU251">
        <f t="shared" si="96"/>
        <v>0</v>
      </c>
      <c r="BV251" t="str">
        <f>IF($C251="","",SUMIF('MOVIMENTI 2026'!$B$7:$B$4206,$C251,'MOVIMENTI 2026'!$P$7:$P$4206)+SUMIF('SALDI AL 31.12.2025'!$A$6:$A$505,$C251,'SALDI AL 31.12.2025'!$G$6:$G$505))</f>
        <v/>
      </c>
    </row>
    <row r="252" spans="1:74" ht="16" x14ac:dyDescent="0.15">
      <c r="A252" s="17" t="str">
        <f>IFERROR(IF($C252="","",IF(OR($BF252&gt;0,$V252&gt;$J252,AND(ISNUMBER($Q252),$Q252&gt;0),AND($BI252&lt;&gt;"",$BI252&lt;-PARAMETRI!$B$6),AND($BM252&lt;&gt;"",$BM252&gt;=1),AND($BN252&lt;&gt;"",$BN252&gt;PARAMETRI!$B$8),AND(ISNUMBER($BR252),$BR252&gt;0)),"CRITICO",IF(OR($AZ252="",LEFT($C252,5)="TEMP",$BJ252="",$BO252="",ANAGRAFICA!$I249="",ANAGRAFICA!$J249="",$Y252="",AND(OR($I252="Finito ritenute non previste",$I252="Finito con sblocco ritenute",$I252="Finito senza sblocco ritenute"),ANAGRAFICA!$K249=""),OR(AND(ANAGRAFICA!$T249&lt;&gt;"",ANAGRAFICA!$J249&lt;&gt;ANAGRAFICA!$T249,OR(ANAGRAFICA!$R249="",ANAGRAFICA!$R249="Nessuna variazione")),AND(ANAGRAFICA!$J249="",ANAGRAFICA!$R249&lt;&gt;"",ANAGRAFICA!$R249&lt;&gt;"Nessuna variazione")),AND($BI252&lt;&gt;"",$BI252&lt;-PARAMETRI!$B$5),AND($BN252&lt;&gt;"",$BN252&gt;PARAMETRI!$B$7),AND($W252&gt;0,$M252&gt;$W252*PARAMETRI!$B$9),AND($O252&gt;0,OR($I252="Finito ritenute non previste",$I252="Finito con sblocco ritenute",$I252="Finito senza sblocco ritenute")),AND($BA252&gt;0,$BO252&gt;0,$BP252=0),AND(OR($I252="Finito ritenute non previste",$I252="Finito con sblocco ritenute",$I252="Finito senza sblocco ritenute"),$W252&gt;0,$N252&gt;$W252*PARAMETRI!$B$9),$V252&gt;0),"ATTENZIONE","REGOLARE"))),"ATTENZIONE")</f>
        <v/>
      </c>
      <c r="B252" s="17" t="str">
        <f>IFERROR(IF($C252="","",IF($BF252&gt;0,"FATTURATO OLTRE VALORE RECUPERABILE; ","")&amp;IF($V252&gt;$J252,"PERDITE ACCETTATE OLTRE CONTRATTO; ","")&amp;IF($V252&gt;0,"PERDITA SAL ACCETTATA (€ "&amp;TEXT($V252,"#,##0.00")&amp;"); ","")&amp;IF(AND(ISNUMBER($Q252),$Q252&gt;0),"RITARDO PRODUTTIVO ("&amp;TEXT($Q252,"0")&amp;" GG); ","")&amp;IF(AND($BI252&lt;&gt;"",$BI252&lt;-PARAMETRI!$B$5),"AVANZAMENTO PIÙ LENTO DEL TEMPO; ","")&amp;IF(AND($BM252&lt;&gt;"",$BM252&gt;1),"ORE OLTRE BUDGET; ","")&amp;IF(AND($BM252&lt;&gt;"",$BM252=1),"ORE PREVENTIVATE ESAURITE; ","")&amp;IF(AND($BN252&lt;&gt;"",$BN252&gt;PARAMETRI!$B$7),"CONSUMO ORE SUPERIORE ALL'AVANZAMENTO; ","")&amp;IF(AND(ISNUMBER($BR252),$BR252&gt;0),"COSTI DIRETTI OLTRE BUDGET; ","")&amp;IF(AND($W252&gt;0,$M252&gt;$W252*PARAMETRI!$B$9),"SAL MATURATO NON FATTURATO; ","")&amp;IF(AND($O252&gt;0,OR($I252="Finito ritenute non previste",$I252="Finito con sblocco ritenute",$I252="Finito senza sblocco ritenute")),"RITENUTE DA SBLOCCARE; ","")&amp;IF(AND($BA252&gt;0,$BO252&gt;0,$BP252=0),"COSTI DIRETTI NON REGISTRATI; ","")&amp;IF(AND(OR($I252="Finito ritenute non previste",$I252="Finito con sblocco ritenute",$I252="Finito senza sblocco ritenute"),$W252&gt;0,$N252&gt;$W252*PARAMETRI!$B$9),"CANTIERE FINITO CON RESIDUO LAVORI; ","")&amp;IF(AND(OR($I252="Finito ritenute non previste",$I252="Finito con sblocco ritenute",$I252="Finito senza sblocco ritenute"),ANAGRAFICA!$K249=""),"DATA FINE EFFETTIVA MANCANTE; ","")&amp;IF(OR(AND(ANAGRAFICA!$T249&lt;&gt;"",ANAGRAFICA!$J249&lt;&gt;ANAGRAFICA!$T249,OR(ANAGRAFICA!$R249="",ANAGRAFICA!$R249="Nessuna variazione")),AND(ANAGRAFICA!$J249="",ANAGRAFICA!$R249&lt;&gt;"",ANAGRAFICA!$R249&lt;&gt;"Nessuna variazione")),"GESTIONE DATA FINE INCOMPLETA; ","")&amp;IF($Y252="","AGGIORNATO AL MANCANTE; ","")&amp;IF(OR($AZ252="",$BJ252="",$BO252="",ANAGRAFICA!$I249="",ANAGRAFICA!$J249=""),"DATI PREVISIONALI INCOMPLETI; ","")&amp;IF(LEFT($C252,5)="TEMP","CODICE COMMESSA TEMPORANEO; ","")),"DATI INCOMPLETI; ")</f>
        <v/>
      </c>
      <c r="C252" s="17" t="str">
        <f>IF(ANAGRAFICA!$B249="","",ANAGRAFICA!$B249)</f>
        <v/>
      </c>
      <c r="D252" s="17" t="str">
        <f>IF($C252="","",ANAGRAFICA!$C249)</f>
        <v/>
      </c>
      <c r="E252" s="17" t="str">
        <f>IF($C252="","",ANAGRAFICA!$D249)</f>
        <v/>
      </c>
      <c r="F252" s="17" t="str">
        <f>IF($C252="","",ANAGRAFICA!$E249)</f>
        <v/>
      </c>
      <c r="G252" s="17" t="str">
        <f>IF($C252="","",ANAGRAFICA!$F249)</f>
        <v/>
      </c>
      <c r="H252" s="17" t="str">
        <f>IF($C252="","",ANAGRAFICA!$G249)</f>
        <v/>
      </c>
      <c r="I252" s="17" t="str">
        <f>IF($C252="","",ANAGRAFICA!$L249)</f>
        <v/>
      </c>
      <c r="J252" s="16" t="str">
        <f t="shared" si="73"/>
        <v/>
      </c>
      <c r="K252" s="16" t="str">
        <f t="shared" si="74"/>
        <v/>
      </c>
      <c r="L252" s="16" t="str">
        <f t="shared" si="75"/>
        <v/>
      </c>
      <c r="M252" s="16" t="str">
        <f t="shared" si="76"/>
        <v/>
      </c>
      <c r="N252" s="16" t="str">
        <f t="shared" si="77"/>
        <v/>
      </c>
      <c r="O252" s="16" t="str">
        <f t="shared" si="78"/>
        <v/>
      </c>
      <c r="P252" s="17" t="str">
        <f t="shared" si="79"/>
        <v/>
      </c>
      <c r="Q252" s="31" t="str">
        <f>IF(OR($C252="",'BUDGET COMMESSA'!$D249="",'BUDGET COMMESSA'!$D249&lt;=0,ANAGRAFICA!$J249=""),"",IF(OR($I252="Finito ritenute non previste",$I252="Finito con sblocco ritenute",$I252="Finito senza sblocco ritenute"),0,IF(AND($BK252&gt;=$BJ252,ANAGRAFICA!$R249="Ritardo produttivo FIDA"),IF(ANAGRAFICA!$T249&lt;&gt;"",MAX(0,ANAGRAFICA!$J249-ANAGRAFICA!$T249),MAX(0,$Y252-ANAGRAFICA!$J249)),0)))</f>
        <v/>
      </c>
      <c r="R252" s="17" t="str">
        <f t="shared" si="80"/>
        <v/>
      </c>
      <c r="S252" s="17" t="str">
        <f t="shared" si="81"/>
        <v/>
      </c>
      <c r="T252" s="17" t="str">
        <f t="shared" si="82"/>
        <v/>
      </c>
      <c r="U252" s="16" t="str">
        <f t="shared" si="83"/>
        <v/>
      </c>
      <c r="V252" s="16" t="str">
        <f t="shared" si="84"/>
        <v/>
      </c>
      <c r="W252" s="16" t="str">
        <f t="shared" si="85"/>
        <v/>
      </c>
      <c r="X252" s="40"/>
      <c r="Y252" s="14"/>
      <c r="AZ252" t="str">
        <f>IF($C252="","",ANAGRAFICA!$P249)</f>
        <v/>
      </c>
      <c r="BA252" t="str">
        <f>IF($C252="","",SUMIF('MOVIMENTI 2026'!$B$7:$B$4206,$C252,'MOVIMENTI 2026'!$I$7:$I$4206)+SUMIF('SALDI AL 31.12.2025'!$A$6:$A$505,$C252,'SALDI AL 31.12.2025'!$C$6:$C$505))</f>
        <v/>
      </c>
      <c r="BB252" t="str">
        <f>IF($C252="","",SUMIF('MOVIMENTI 2026'!$B$7:$B$4206,$C252,'MOVIMENTI 2026'!$J$7:$J$4206)+SUMIF('SALDI AL 31.12.2025'!$A$6:$A$505,$C252,'SALDI AL 31.12.2025'!$D$6:$D$505))</f>
        <v/>
      </c>
      <c r="BC252" t="str">
        <f>IF($C252="","",SUMIF('MOVIMENTI 2026'!$B$7:$B$4206,$C252,'MOVIMENTI 2026'!$K$7:$K$4206)+SUMIF('SALDI AL 31.12.2025'!$A$6:$A$505,$C252,'SALDI AL 31.12.2025'!$E$6:$E$505))</f>
        <v/>
      </c>
      <c r="BD252" t="str">
        <f>IF($C252="","",SUMIF('MOVIMENTI 2026'!$B$7:$B$4206,$C252,'MOVIMENTI 2026'!$L$7:$L$4206)+SUMIF('SALDI AL 31.12.2025'!$A$6:$A$505,$C252,'SALDI AL 31.12.2025'!$F$6:$F$505))</f>
        <v/>
      </c>
      <c r="BE252" t="str">
        <f t="shared" si="86"/>
        <v/>
      </c>
      <c r="BF252" t="str">
        <f t="shared" si="87"/>
        <v/>
      </c>
      <c r="BG252" t="str">
        <f t="shared" si="88"/>
        <v/>
      </c>
      <c r="BH252" t="str">
        <f>IFERROR(IF(OR($C252="",ANAGRAFICA!$I249="",ANAGRAFICA!$J249="",ANAGRAFICA!$J249&lt;=ANAGRAFICA!$I249,$Y252=""),"",IF(OR($I252="Finito ritenute non previste",$I252="Finito con sblocco ritenute",$I252="Finito senza sblocco ritenute"),1,MAX(0,MIN(1,($Y252-ANAGRAFICA!$I249)/(ANAGRAFICA!$J249-ANAGRAFICA!$I249))))),"")</f>
        <v/>
      </c>
      <c r="BI252" t="str">
        <f t="shared" si="89"/>
        <v/>
      </c>
      <c r="BJ252" t="str">
        <f>IFERROR(IF($C252="","",'BUDGET COMMESSA'!$D249),"")</f>
        <v/>
      </c>
      <c r="BK252" t="str">
        <f>IF($C252="","",SUMIF('MOVIMENTI 2026'!$B$7:$B$4206,$C252,'MOVIMENTI 2026'!$N$7:$N$4206)+SUMIF('SALDI AL 31.12.2025'!$A$6:$A$505,$C252,'SALDI AL 31.12.2025'!$H$6:$H$505))</f>
        <v/>
      </c>
      <c r="BL252" t="str">
        <f t="shared" si="90"/>
        <v/>
      </c>
      <c r="BM252" t="str">
        <f t="shared" si="91"/>
        <v/>
      </c>
      <c r="BN252" t="str">
        <f t="shared" si="92"/>
        <v/>
      </c>
      <c r="BO252" t="str">
        <f>IFERROR(IF($C252="","",'BUDGET COMMESSA'!$G249),"")</f>
        <v/>
      </c>
      <c r="BP252" t="str">
        <f>IF($C252="","",SUMIF('COSTI DIRETTI'!$C$6:$C$505,$C252,'COSTI DIRETTI'!$H$6:$H$505)+SUMIF('SALDI AL 31.12.2025'!$A$6:$A$505,$C252,'SALDI AL 31.12.2025'!$I$6:$I$505))</f>
        <v/>
      </c>
      <c r="BQ252" t="str">
        <f t="shared" si="93"/>
        <v/>
      </c>
      <c r="BR252" t="str">
        <f t="shared" si="94"/>
        <v/>
      </c>
      <c r="BS252" t="str">
        <f>IF($C252="","",$BK252*PARAMETRI!$B$4+$BP252)</f>
        <v/>
      </c>
      <c r="BT252">
        <f t="shared" si="95"/>
        <v>0</v>
      </c>
      <c r="BU252">
        <f t="shared" si="96"/>
        <v>0</v>
      </c>
      <c r="BV252" t="str">
        <f>IF($C252="","",SUMIF('MOVIMENTI 2026'!$B$7:$B$4206,$C252,'MOVIMENTI 2026'!$P$7:$P$4206)+SUMIF('SALDI AL 31.12.2025'!$A$6:$A$505,$C252,'SALDI AL 31.12.2025'!$G$6:$G$505))</f>
        <v/>
      </c>
    </row>
    <row r="253" spans="1:74" ht="16" x14ac:dyDescent="0.15">
      <c r="A253" s="17" t="str">
        <f>IFERROR(IF($C253="","",IF(OR($BF253&gt;0,$V253&gt;$J253,AND(ISNUMBER($Q253),$Q253&gt;0),AND($BI253&lt;&gt;"",$BI253&lt;-PARAMETRI!$B$6),AND($BM253&lt;&gt;"",$BM253&gt;=1),AND($BN253&lt;&gt;"",$BN253&gt;PARAMETRI!$B$8),AND(ISNUMBER($BR253),$BR253&gt;0)),"CRITICO",IF(OR($AZ253="",LEFT($C253,5)="TEMP",$BJ253="",$BO253="",ANAGRAFICA!$I250="",ANAGRAFICA!$J250="",$Y253="",AND(OR($I253="Finito ritenute non previste",$I253="Finito con sblocco ritenute",$I253="Finito senza sblocco ritenute"),ANAGRAFICA!$K250=""),OR(AND(ANAGRAFICA!$T250&lt;&gt;"",ANAGRAFICA!$J250&lt;&gt;ANAGRAFICA!$T250,OR(ANAGRAFICA!$R250="",ANAGRAFICA!$R250="Nessuna variazione")),AND(ANAGRAFICA!$J250="",ANAGRAFICA!$R250&lt;&gt;"",ANAGRAFICA!$R250&lt;&gt;"Nessuna variazione")),AND($BI253&lt;&gt;"",$BI253&lt;-PARAMETRI!$B$5),AND($BN253&lt;&gt;"",$BN253&gt;PARAMETRI!$B$7),AND($W253&gt;0,$M253&gt;$W253*PARAMETRI!$B$9),AND($O253&gt;0,OR($I253="Finito ritenute non previste",$I253="Finito con sblocco ritenute",$I253="Finito senza sblocco ritenute")),AND($BA253&gt;0,$BO253&gt;0,$BP253=0),AND(OR($I253="Finito ritenute non previste",$I253="Finito con sblocco ritenute",$I253="Finito senza sblocco ritenute"),$W253&gt;0,$N253&gt;$W253*PARAMETRI!$B$9),$V253&gt;0),"ATTENZIONE","REGOLARE"))),"ATTENZIONE")</f>
        <v/>
      </c>
      <c r="B253" s="17" t="str">
        <f>IFERROR(IF($C253="","",IF($BF253&gt;0,"FATTURATO OLTRE VALORE RECUPERABILE; ","")&amp;IF($V253&gt;$J253,"PERDITE ACCETTATE OLTRE CONTRATTO; ","")&amp;IF($V253&gt;0,"PERDITA SAL ACCETTATA (€ "&amp;TEXT($V253,"#,##0.00")&amp;"); ","")&amp;IF(AND(ISNUMBER($Q253),$Q253&gt;0),"RITARDO PRODUTTIVO ("&amp;TEXT($Q253,"0")&amp;" GG); ","")&amp;IF(AND($BI253&lt;&gt;"",$BI253&lt;-PARAMETRI!$B$5),"AVANZAMENTO PIÙ LENTO DEL TEMPO; ","")&amp;IF(AND($BM253&lt;&gt;"",$BM253&gt;1),"ORE OLTRE BUDGET; ","")&amp;IF(AND($BM253&lt;&gt;"",$BM253=1),"ORE PREVENTIVATE ESAURITE; ","")&amp;IF(AND($BN253&lt;&gt;"",$BN253&gt;PARAMETRI!$B$7),"CONSUMO ORE SUPERIORE ALL'AVANZAMENTO; ","")&amp;IF(AND(ISNUMBER($BR253),$BR253&gt;0),"COSTI DIRETTI OLTRE BUDGET; ","")&amp;IF(AND($W253&gt;0,$M253&gt;$W253*PARAMETRI!$B$9),"SAL MATURATO NON FATTURATO; ","")&amp;IF(AND($O253&gt;0,OR($I253="Finito ritenute non previste",$I253="Finito con sblocco ritenute",$I253="Finito senza sblocco ritenute")),"RITENUTE DA SBLOCCARE; ","")&amp;IF(AND($BA253&gt;0,$BO253&gt;0,$BP253=0),"COSTI DIRETTI NON REGISTRATI; ","")&amp;IF(AND(OR($I253="Finito ritenute non previste",$I253="Finito con sblocco ritenute",$I253="Finito senza sblocco ritenute"),$W253&gt;0,$N253&gt;$W253*PARAMETRI!$B$9),"CANTIERE FINITO CON RESIDUO LAVORI; ","")&amp;IF(AND(OR($I253="Finito ritenute non previste",$I253="Finito con sblocco ritenute",$I253="Finito senza sblocco ritenute"),ANAGRAFICA!$K250=""),"DATA FINE EFFETTIVA MANCANTE; ","")&amp;IF(OR(AND(ANAGRAFICA!$T250&lt;&gt;"",ANAGRAFICA!$J250&lt;&gt;ANAGRAFICA!$T250,OR(ANAGRAFICA!$R250="",ANAGRAFICA!$R250="Nessuna variazione")),AND(ANAGRAFICA!$J250="",ANAGRAFICA!$R250&lt;&gt;"",ANAGRAFICA!$R250&lt;&gt;"Nessuna variazione")),"GESTIONE DATA FINE INCOMPLETA; ","")&amp;IF($Y253="","AGGIORNATO AL MANCANTE; ","")&amp;IF(OR($AZ253="",$BJ253="",$BO253="",ANAGRAFICA!$I250="",ANAGRAFICA!$J250=""),"DATI PREVISIONALI INCOMPLETI; ","")&amp;IF(LEFT($C253,5)="TEMP","CODICE COMMESSA TEMPORANEO; ","")),"DATI INCOMPLETI; ")</f>
        <v/>
      </c>
      <c r="C253" s="17" t="str">
        <f>IF(ANAGRAFICA!$B250="","",ANAGRAFICA!$B250)</f>
        <v/>
      </c>
      <c r="D253" s="17" t="str">
        <f>IF($C253="","",ANAGRAFICA!$C250)</f>
        <v/>
      </c>
      <c r="E253" s="17" t="str">
        <f>IF($C253="","",ANAGRAFICA!$D250)</f>
        <v/>
      </c>
      <c r="F253" s="17" t="str">
        <f>IF($C253="","",ANAGRAFICA!$E250)</f>
        <v/>
      </c>
      <c r="G253" s="17" t="str">
        <f>IF($C253="","",ANAGRAFICA!$F250)</f>
        <v/>
      </c>
      <c r="H253" s="17" t="str">
        <f>IF($C253="","",ANAGRAFICA!$G250)</f>
        <v/>
      </c>
      <c r="I253" s="17" t="str">
        <f>IF($C253="","",ANAGRAFICA!$L250)</f>
        <v/>
      </c>
      <c r="J253" s="16" t="str">
        <f t="shared" si="73"/>
        <v/>
      </c>
      <c r="K253" s="16" t="str">
        <f t="shared" si="74"/>
        <v/>
      </c>
      <c r="L253" s="16" t="str">
        <f t="shared" si="75"/>
        <v/>
      </c>
      <c r="M253" s="16" t="str">
        <f t="shared" si="76"/>
        <v/>
      </c>
      <c r="N253" s="16" t="str">
        <f t="shared" si="77"/>
        <v/>
      </c>
      <c r="O253" s="16" t="str">
        <f t="shared" si="78"/>
        <v/>
      </c>
      <c r="P253" s="17" t="str">
        <f t="shared" si="79"/>
        <v/>
      </c>
      <c r="Q253" s="31" t="str">
        <f>IF(OR($C253="",'BUDGET COMMESSA'!$D250="",'BUDGET COMMESSA'!$D250&lt;=0,ANAGRAFICA!$J250=""),"",IF(OR($I253="Finito ritenute non previste",$I253="Finito con sblocco ritenute",$I253="Finito senza sblocco ritenute"),0,IF(AND($BK253&gt;=$BJ253,ANAGRAFICA!$R250="Ritardo produttivo FIDA"),IF(ANAGRAFICA!$T250&lt;&gt;"",MAX(0,ANAGRAFICA!$J250-ANAGRAFICA!$T250),MAX(0,$Y253-ANAGRAFICA!$J250)),0)))</f>
        <v/>
      </c>
      <c r="R253" s="17" t="str">
        <f t="shared" si="80"/>
        <v/>
      </c>
      <c r="S253" s="17" t="str">
        <f t="shared" si="81"/>
        <v/>
      </c>
      <c r="T253" s="17" t="str">
        <f t="shared" si="82"/>
        <v/>
      </c>
      <c r="U253" s="16" t="str">
        <f t="shared" si="83"/>
        <v/>
      </c>
      <c r="V253" s="16" t="str">
        <f t="shared" si="84"/>
        <v/>
      </c>
      <c r="W253" s="16" t="str">
        <f t="shared" si="85"/>
        <v/>
      </c>
      <c r="X253" s="40"/>
      <c r="Y253" s="14"/>
      <c r="AZ253" t="str">
        <f>IF($C253="","",ANAGRAFICA!$P250)</f>
        <v/>
      </c>
      <c r="BA253" t="str">
        <f>IF($C253="","",SUMIF('MOVIMENTI 2026'!$B$7:$B$4206,$C253,'MOVIMENTI 2026'!$I$7:$I$4206)+SUMIF('SALDI AL 31.12.2025'!$A$6:$A$505,$C253,'SALDI AL 31.12.2025'!$C$6:$C$505))</f>
        <v/>
      </c>
      <c r="BB253" t="str">
        <f>IF($C253="","",SUMIF('MOVIMENTI 2026'!$B$7:$B$4206,$C253,'MOVIMENTI 2026'!$J$7:$J$4206)+SUMIF('SALDI AL 31.12.2025'!$A$6:$A$505,$C253,'SALDI AL 31.12.2025'!$D$6:$D$505))</f>
        <v/>
      </c>
      <c r="BC253" t="str">
        <f>IF($C253="","",SUMIF('MOVIMENTI 2026'!$B$7:$B$4206,$C253,'MOVIMENTI 2026'!$K$7:$K$4206)+SUMIF('SALDI AL 31.12.2025'!$A$6:$A$505,$C253,'SALDI AL 31.12.2025'!$E$6:$E$505))</f>
        <v/>
      </c>
      <c r="BD253" t="str">
        <f>IF($C253="","",SUMIF('MOVIMENTI 2026'!$B$7:$B$4206,$C253,'MOVIMENTI 2026'!$L$7:$L$4206)+SUMIF('SALDI AL 31.12.2025'!$A$6:$A$505,$C253,'SALDI AL 31.12.2025'!$F$6:$F$505))</f>
        <v/>
      </c>
      <c r="BE253" t="str">
        <f t="shared" si="86"/>
        <v/>
      </c>
      <c r="BF253" t="str">
        <f t="shared" si="87"/>
        <v/>
      </c>
      <c r="BG253" t="str">
        <f t="shared" si="88"/>
        <v/>
      </c>
      <c r="BH253" t="str">
        <f>IFERROR(IF(OR($C253="",ANAGRAFICA!$I250="",ANAGRAFICA!$J250="",ANAGRAFICA!$J250&lt;=ANAGRAFICA!$I250,$Y253=""),"",IF(OR($I253="Finito ritenute non previste",$I253="Finito con sblocco ritenute",$I253="Finito senza sblocco ritenute"),1,MAX(0,MIN(1,($Y253-ANAGRAFICA!$I250)/(ANAGRAFICA!$J250-ANAGRAFICA!$I250))))),"")</f>
        <v/>
      </c>
      <c r="BI253" t="str">
        <f t="shared" si="89"/>
        <v/>
      </c>
      <c r="BJ253" t="str">
        <f>IFERROR(IF($C253="","",'BUDGET COMMESSA'!$D250),"")</f>
        <v/>
      </c>
      <c r="BK253" t="str">
        <f>IF($C253="","",SUMIF('MOVIMENTI 2026'!$B$7:$B$4206,$C253,'MOVIMENTI 2026'!$N$7:$N$4206)+SUMIF('SALDI AL 31.12.2025'!$A$6:$A$505,$C253,'SALDI AL 31.12.2025'!$H$6:$H$505))</f>
        <v/>
      </c>
      <c r="BL253" t="str">
        <f t="shared" si="90"/>
        <v/>
      </c>
      <c r="BM253" t="str">
        <f t="shared" si="91"/>
        <v/>
      </c>
      <c r="BN253" t="str">
        <f t="shared" si="92"/>
        <v/>
      </c>
      <c r="BO253" t="str">
        <f>IFERROR(IF($C253="","",'BUDGET COMMESSA'!$G250),"")</f>
        <v/>
      </c>
      <c r="BP253" t="str">
        <f>IF($C253="","",SUMIF('COSTI DIRETTI'!$C$6:$C$505,$C253,'COSTI DIRETTI'!$H$6:$H$505)+SUMIF('SALDI AL 31.12.2025'!$A$6:$A$505,$C253,'SALDI AL 31.12.2025'!$I$6:$I$505))</f>
        <v/>
      </c>
      <c r="BQ253" t="str">
        <f t="shared" si="93"/>
        <v/>
      </c>
      <c r="BR253" t="str">
        <f t="shared" si="94"/>
        <v/>
      </c>
      <c r="BS253" t="str">
        <f>IF($C253="","",$BK253*PARAMETRI!$B$4+$BP253)</f>
        <v/>
      </c>
      <c r="BT253">
        <f t="shared" si="95"/>
        <v>0</v>
      </c>
      <c r="BU253">
        <f t="shared" si="96"/>
        <v>0</v>
      </c>
      <c r="BV253" t="str">
        <f>IF($C253="","",SUMIF('MOVIMENTI 2026'!$B$7:$B$4206,$C253,'MOVIMENTI 2026'!$P$7:$P$4206)+SUMIF('SALDI AL 31.12.2025'!$A$6:$A$505,$C253,'SALDI AL 31.12.2025'!$G$6:$G$505))</f>
        <v/>
      </c>
    </row>
    <row r="254" spans="1:74" ht="16" x14ac:dyDescent="0.15">
      <c r="A254" s="17" t="str">
        <f>IFERROR(IF($C254="","",IF(OR($BF254&gt;0,$V254&gt;$J254,AND(ISNUMBER($Q254),$Q254&gt;0),AND($BI254&lt;&gt;"",$BI254&lt;-PARAMETRI!$B$6),AND($BM254&lt;&gt;"",$BM254&gt;=1),AND($BN254&lt;&gt;"",$BN254&gt;PARAMETRI!$B$8),AND(ISNUMBER($BR254),$BR254&gt;0)),"CRITICO",IF(OR($AZ254="",LEFT($C254,5)="TEMP",$BJ254="",$BO254="",ANAGRAFICA!$I251="",ANAGRAFICA!$J251="",$Y254="",AND(OR($I254="Finito ritenute non previste",$I254="Finito con sblocco ritenute",$I254="Finito senza sblocco ritenute"),ANAGRAFICA!$K251=""),OR(AND(ANAGRAFICA!$T251&lt;&gt;"",ANAGRAFICA!$J251&lt;&gt;ANAGRAFICA!$T251,OR(ANAGRAFICA!$R251="",ANAGRAFICA!$R251="Nessuna variazione")),AND(ANAGRAFICA!$J251="",ANAGRAFICA!$R251&lt;&gt;"",ANAGRAFICA!$R251&lt;&gt;"Nessuna variazione")),AND($BI254&lt;&gt;"",$BI254&lt;-PARAMETRI!$B$5),AND($BN254&lt;&gt;"",$BN254&gt;PARAMETRI!$B$7),AND($W254&gt;0,$M254&gt;$W254*PARAMETRI!$B$9),AND($O254&gt;0,OR($I254="Finito ritenute non previste",$I254="Finito con sblocco ritenute",$I254="Finito senza sblocco ritenute")),AND($BA254&gt;0,$BO254&gt;0,$BP254=0),AND(OR($I254="Finito ritenute non previste",$I254="Finito con sblocco ritenute",$I254="Finito senza sblocco ritenute"),$W254&gt;0,$N254&gt;$W254*PARAMETRI!$B$9),$V254&gt;0),"ATTENZIONE","REGOLARE"))),"ATTENZIONE")</f>
        <v/>
      </c>
      <c r="B254" s="17" t="str">
        <f>IFERROR(IF($C254="","",IF($BF254&gt;0,"FATTURATO OLTRE VALORE RECUPERABILE; ","")&amp;IF($V254&gt;$J254,"PERDITE ACCETTATE OLTRE CONTRATTO; ","")&amp;IF($V254&gt;0,"PERDITA SAL ACCETTATA (€ "&amp;TEXT($V254,"#,##0.00")&amp;"); ","")&amp;IF(AND(ISNUMBER($Q254),$Q254&gt;0),"RITARDO PRODUTTIVO ("&amp;TEXT($Q254,"0")&amp;" GG); ","")&amp;IF(AND($BI254&lt;&gt;"",$BI254&lt;-PARAMETRI!$B$5),"AVANZAMENTO PIÙ LENTO DEL TEMPO; ","")&amp;IF(AND($BM254&lt;&gt;"",$BM254&gt;1),"ORE OLTRE BUDGET; ","")&amp;IF(AND($BM254&lt;&gt;"",$BM254=1),"ORE PREVENTIVATE ESAURITE; ","")&amp;IF(AND($BN254&lt;&gt;"",$BN254&gt;PARAMETRI!$B$7),"CONSUMO ORE SUPERIORE ALL'AVANZAMENTO; ","")&amp;IF(AND(ISNUMBER($BR254),$BR254&gt;0),"COSTI DIRETTI OLTRE BUDGET; ","")&amp;IF(AND($W254&gt;0,$M254&gt;$W254*PARAMETRI!$B$9),"SAL MATURATO NON FATTURATO; ","")&amp;IF(AND($O254&gt;0,OR($I254="Finito ritenute non previste",$I254="Finito con sblocco ritenute",$I254="Finito senza sblocco ritenute")),"RITENUTE DA SBLOCCARE; ","")&amp;IF(AND($BA254&gt;0,$BO254&gt;0,$BP254=0),"COSTI DIRETTI NON REGISTRATI; ","")&amp;IF(AND(OR($I254="Finito ritenute non previste",$I254="Finito con sblocco ritenute",$I254="Finito senza sblocco ritenute"),$W254&gt;0,$N254&gt;$W254*PARAMETRI!$B$9),"CANTIERE FINITO CON RESIDUO LAVORI; ","")&amp;IF(AND(OR($I254="Finito ritenute non previste",$I254="Finito con sblocco ritenute",$I254="Finito senza sblocco ritenute"),ANAGRAFICA!$K251=""),"DATA FINE EFFETTIVA MANCANTE; ","")&amp;IF(OR(AND(ANAGRAFICA!$T251&lt;&gt;"",ANAGRAFICA!$J251&lt;&gt;ANAGRAFICA!$T251,OR(ANAGRAFICA!$R251="",ANAGRAFICA!$R251="Nessuna variazione")),AND(ANAGRAFICA!$J251="",ANAGRAFICA!$R251&lt;&gt;"",ANAGRAFICA!$R251&lt;&gt;"Nessuna variazione")),"GESTIONE DATA FINE INCOMPLETA; ","")&amp;IF($Y254="","AGGIORNATO AL MANCANTE; ","")&amp;IF(OR($AZ254="",$BJ254="",$BO254="",ANAGRAFICA!$I251="",ANAGRAFICA!$J251=""),"DATI PREVISIONALI INCOMPLETI; ","")&amp;IF(LEFT($C254,5)="TEMP","CODICE COMMESSA TEMPORANEO; ","")),"DATI INCOMPLETI; ")</f>
        <v/>
      </c>
      <c r="C254" s="17" t="str">
        <f>IF(ANAGRAFICA!$B251="","",ANAGRAFICA!$B251)</f>
        <v/>
      </c>
      <c r="D254" s="17" t="str">
        <f>IF($C254="","",ANAGRAFICA!$C251)</f>
        <v/>
      </c>
      <c r="E254" s="17" t="str">
        <f>IF($C254="","",ANAGRAFICA!$D251)</f>
        <v/>
      </c>
      <c r="F254" s="17" t="str">
        <f>IF($C254="","",ANAGRAFICA!$E251)</f>
        <v/>
      </c>
      <c r="G254" s="17" t="str">
        <f>IF($C254="","",ANAGRAFICA!$F251)</f>
        <v/>
      </c>
      <c r="H254" s="17" t="str">
        <f>IF($C254="","",ANAGRAFICA!$G251)</f>
        <v/>
      </c>
      <c r="I254" s="17" t="str">
        <f>IF($C254="","",ANAGRAFICA!$L251)</f>
        <v/>
      </c>
      <c r="J254" s="16" t="str">
        <f t="shared" si="73"/>
        <v/>
      </c>
      <c r="K254" s="16" t="str">
        <f t="shared" si="74"/>
        <v/>
      </c>
      <c r="L254" s="16" t="str">
        <f t="shared" si="75"/>
        <v/>
      </c>
      <c r="M254" s="16" t="str">
        <f t="shared" si="76"/>
        <v/>
      </c>
      <c r="N254" s="16" t="str">
        <f t="shared" si="77"/>
        <v/>
      </c>
      <c r="O254" s="16" t="str">
        <f t="shared" si="78"/>
        <v/>
      </c>
      <c r="P254" s="17" t="str">
        <f t="shared" si="79"/>
        <v/>
      </c>
      <c r="Q254" s="31" t="str">
        <f>IF(OR($C254="",'BUDGET COMMESSA'!$D251="",'BUDGET COMMESSA'!$D251&lt;=0,ANAGRAFICA!$J251=""),"",IF(OR($I254="Finito ritenute non previste",$I254="Finito con sblocco ritenute",$I254="Finito senza sblocco ritenute"),0,IF(AND($BK254&gt;=$BJ254,ANAGRAFICA!$R251="Ritardo produttivo FIDA"),IF(ANAGRAFICA!$T251&lt;&gt;"",MAX(0,ANAGRAFICA!$J251-ANAGRAFICA!$T251),MAX(0,$Y254-ANAGRAFICA!$J251)),0)))</f>
        <v/>
      </c>
      <c r="R254" s="17" t="str">
        <f t="shared" si="80"/>
        <v/>
      </c>
      <c r="S254" s="17" t="str">
        <f t="shared" si="81"/>
        <v/>
      </c>
      <c r="T254" s="17" t="str">
        <f t="shared" si="82"/>
        <v/>
      </c>
      <c r="U254" s="16" t="str">
        <f t="shared" si="83"/>
        <v/>
      </c>
      <c r="V254" s="16" t="str">
        <f t="shared" si="84"/>
        <v/>
      </c>
      <c r="W254" s="16" t="str">
        <f t="shared" si="85"/>
        <v/>
      </c>
      <c r="X254" s="40"/>
      <c r="Y254" s="14"/>
      <c r="AZ254" t="str">
        <f>IF($C254="","",ANAGRAFICA!$P251)</f>
        <v/>
      </c>
      <c r="BA254" t="str">
        <f>IF($C254="","",SUMIF('MOVIMENTI 2026'!$B$7:$B$4206,$C254,'MOVIMENTI 2026'!$I$7:$I$4206)+SUMIF('SALDI AL 31.12.2025'!$A$6:$A$505,$C254,'SALDI AL 31.12.2025'!$C$6:$C$505))</f>
        <v/>
      </c>
      <c r="BB254" t="str">
        <f>IF($C254="","",SUMIF('MOVIMENTI 2026'!$B$7:$B$4206,$C254,'MOVIMENTI 2026'!$J$7:$J$4206)+SUMIF('SALDI AL 31.12.2025'!$A$6:$A$505,$C254,'SALDI AL 31.12.2025'!$D$6:$D$505))</f>
        <v/>
      </c>
      <c r="BC254" t="str">
        <f>IF($C254="","",SUMIF('MOVIMENTI 2026'!$B$7:$B$4206,$C254,'MOVIMENTI 2026'!$K$7:$K$4206)+SUMIF('SALDI AL 31.12.2025'!$A$6:$A$505,$C254,'SALDI AL 31.12.2025'!$E$6:$E$505))</f>
        <v/>
      </c>
      <c r="BD254" t="str">
        <f>IF($C254="","",SUMIF('MOVIMENTI 2026'!$B$7:$B$4206,$C254,'MOVIMENTI 2026'!$L$7:$L$4206)+SUMIF('SALDI AL 31.12.2025'!$A$6:$A$505,$C254,'SALDI AL 31.12.2025'!$F$6:$F$505))</f>
        <v/>
      </c>
      <c r="BE254" t="str">
        <f t="shared" si="86"/>
        <v/>
      </c>
      <c r="BF254" t="str">
        <f t="shared" si="87"/>
        <v/>
      </c>
      <c r="BG254" t="str">
        <f t="shared" si="88"/>
        <v/>
      </c>
      <c r="BH254" t="str">
        <f>IFERROR(IF(OR($C254="",ANAGRAFICA!$I251="",ANAGRAFICA!$J251="",ANAGRAFICA!$J251&lt;=ANAGRAFICA!$I251,$Y254=""),"",IF(OR($I254="Finito ritenute non previste",$I254="Finito con sblocco ritenute",$I254="Finito senza sblocco ritenute"),1,MAX(0,MIN(1,($Y254-ANAGRAFICA!$I251)/(ANAGRAFICA!$J251-ANAGRAFICA!$I251))))),"")</f>
        <v/>
      </c>
      <c r="BI254" t="str">
        <f t="shared" si="89"/>
        <v/>
      </c>
      <c r="BJ254" t="str">
        <f>IFERROR(IF($C254="","",'BUDGET COMMESSA'!$D251),"")</f>
        <v/>
      </c>
      <c r="BK254" t="str">
        <f>IF($C254="","",SUMIF('MOVIMENTI 2026'!$B$7:$B$4206,$C254,'MOVIMENTI 2026'!$N$7:$N$4206)+SUMIF('SALDI AL 31.12.2025'!$A$6:$A$505,$C254,'SALDI AL 31.12.2025'!$H$6:$H$505))</f>
        <v/>
      </c>
      <c r="BL254" t="str">
        <f t="shared" si="90"/>
        <v/>
      </c>
      <c r="BM254" t="str">
        <f t="shared" si="91"/>
        <v/>
      </c>
      <c r="BN254" t="str">
        <f t="shared" si="92"/>
        <v/>
      </c>
      <c r="BO254" t="str">
        <f>IFERROR(IF($C254="","",'BUDGET COMMESSA'!$G251),"")</f>
        <v/>
      </c>
      <c r="BP254" t="str">
        <f>IF($C254="","",SUMIF('COSTI DIRETTI'!$C$6:$C$505,$C254,'COSTI DIRETTI'!$H$6:$H$505)+SUMIF('SALDI AL 31.12.2025'!$A$6:$A$505,$C254,'SALDI AL 31.12.2025'!$I$6:$I$505))</f>
        <v/>
      </c>
      <c r="BQ254" t="str">
        <f t="shared" si="93"/>
        <v/>
      </c>
      <c r="BR254" t="str">
        <f t="shared" si="94"/>
        <v/>
      </c>
      <c r="BS254" t="str">
        <f>IF($C254="","",$BK254*PARAMETRI!$B$4+$BP254)</f>
        <v/>
      </c>
      <c r="BT254">
        <f t="shared" si="95"/>
        <v>0</v>
      </c>
      <c r="BU254">
        <f t="shared" si="96"/>
        <v>0</v>
      </c>
      <c r="BV254" t="str">
        <f>IF($C254="","",SUMIF('MOVIMENTI 2026'!$B$7:$B$4206,$C254,'MOVIMENTI 2026'!$P$7:$P$4206)+SUMIF('SALDI AL 31.12.2025'!$A$6:$A$505,$C254,'SALDI AL 31.12.2025'!$G$6:$G$505))</f>
        <v/>
      </c>
    </row>
    <row r="255" spans="1:74" ht="16" x14ac:dyDescent="0.15">
      <c r="A255" s="17" t="str">
        <f>IFERROR(IF($C255="","",IF(OR($BF255&gt;0,$V255&gt;$J255,AND(ISNUMBER($Q255),$Q255&gt;0),AND($BI255&lt;&gt;"",$BI255&lt;-PARAMETRI!$B$6),AND($BM255&lt;&gt;"",$BM255&gt;=1),AND($BN255&lt;&gt;"",$BN255&gt;PARAMETRI!$B$8),AND(ISNUMBER($BR255),$BR255&gt;0)),"CRITICO",IF(OR($AZ255="",LEFT($C255,5)="TEMP",$BJ255="",$BO255="",ANAGRAFICA!$I252="",ANAGRAFICA!$J252="",$Y255="",AND(OR($I255="Finito ritenute non previste",$I255="Finito con sblocco ritenute",$I255="Finito senza sblocco ritenute"),ANAGRAFICA!$K252=""),OR(AND(ANAGRAFICA!$T252&lt;&gt;"",ANAGRAFICA!$J252&lt;&gt;ANAGRAFICA!$T252,OR(ANAGRAFICA!$R252="",ANAGRAFICA!$R252="Nessuna variazione")),AND(ANAGRAFICA!$J252="",ANAGRAFICA!$R252&lt;&gt;"",ANAGRAFICA!$R252&lt;&gt;"Nessuna variazione")),AND($BI255&lt;&gt;"",$BI255&lt;-PARAMETRI!$B$5),AND($BN255&lt;&gt;"",$BN255&gt;PARAMETRI!$B$7),AND($W255&gt;0,$M255&gt;$W255*PARAMETRI!$B$9),AND($O255&gt;0,OR($I255="Finito ritenute non previste",$I255="Finito con sblocco ritenute",$I255="Finito senza sblocco ritenute")),AND($BA255&gt;0,$BO255&gt;0,$BP255=0),AND(OR($I255="Finito ritenute non previste",$I255="Finito con sblocco ritenute",$I255="Finito senza sblocco ritenute"),$W255&gt;0,$N255&gt;$W255*PARAMETRI!$B$9),$V255&gt;0),"ATTENZIONE","REGOLARE"))),"ATTENZIONE")</f>
        <v/>
      </c>
      <c r="B255" s="17" t="str">
        <f>IFERROR(IF($C255="","",IF($BF255&gt;0,"FATTURATO OLTRE VALORE RECUPERABILE; ","")&amp;IF($V255&gt;$J255,"PERDITE ACCETTATE OLTRE CONTRATTO; ","")&amp;IF($V255&gt;0,"PERDITA SAL ACCETTATA (€ "&amp;TEXT($V255,"#,##0.00")&amp;"); ","")&amp;IF(AND(ISNUMBER($Q255),$Q255&gt;0),"RITARDO PRODUTTIVO ("&amp;TEXT($Q255,"0")&amp;" GG); ","")&amp;IF(AND($BI255&lt;&gt;"",$BI255&lt;-PARAMETRI!$B$5),"AVANZAMENTO PIÙ LENTO DEL TEMPO; ","")&amp;IF(AND($BM255&lt;&gt;"",$BM255&gt;1),"ORE OLTRE BUDGET; ","")&amp;IF(AND($BM255&lt;&gt;"",$BM255=1),"ORE PREVENTIVATE ESAURITE; ","")&amp;IF(AND($BN255&lt;&gt;"",$BN255&gt;PARAMETRI!$B$7),"CONSUMO ORE SUPERIORE ALL'AVANZAMENTO; ","")&amp;IF(AND(ISNUMBER($BR255),$BR255&gt;0),"COSTI DIRETTI OLTRE BUDGET; ","")&amp;IF(AND($W255&gt;0,$M255&gt;$W255*PARAMETRI!$B$9),"SAL MATURATO NON FATTURATO; ","")&amp;IF(AND($O255&gt;0,OR($I255="Finito ritenute non previste",$I255="Finito con sblocco ritenute",$I255="Finito senza sblocco ritenute")),"RITENUTE DA SBLOCCARE; ","")&amp;IF(AND($BA255&gt;0,$BO255&gt;0,$BP255=0),"COSTI DIRETTI NON REGISTRATI; ","")&amp;IF(AND(OR($I255="Finito ritenute non previste",$I255="Finito con sblocco ritenute",$I255="Finito senza sblocco ritenute"),$W255&gt;0,$N255&gt;$W255*PARAMETRI!$B$9),"CANTIERE FINITO CON RESIDUO LAVORI; ","")&amp;IF(AND(OR($I255="Finito ritenute non previste",$I255="Finito con sblocco ritenute",$I255="Finito senza sblocco ritenute"),ANAGRAFICA!$K252=""),"DATA FINE EFFETTIVA MANCANTE; ","")&amp;IF(OR(AND(ANAGRAFICA!$T252&lt;&gt;"",ANAGRAFICA!$J252&lt;&gt;ANAGRAFICA!$T252,OR(ANAGRAFICA!$R252="",ANAGRAFICA!$R252="Nessuna variazione")),AND(ANAGRAFICA!$J252="",ANAGRAFICA!$R252&lt;&gt;"",ANAGRAFICA!$R252&lt;&gt;"Nessuna variazione")),"GESTIONE DATA FINE INCOMPLETA; ","")&amp;IF($Y255="","AGGIORNATO AL MANCANTE; ","")&amp;IF(OR($AZ255="",$BJ255="",$BO255="",ANAGRAFICA!$I252="",ANAGRAFICA!$J252=""),"DATI PREVISIONALI INCOMPLETI; ","")&amp;IF(LEFT($C255,5)="TEMP","CODICE COMMESSA TEMPORANEO; ","")),"DATI INCOMPLETI; ")</f>
        <v/>
      </c>
      <c r="C255" s="17" t="str">
        <f>IF(ANAGRAFICA!$B252="","",ANAGRAFICA!$B252)</f>
        <v/>
      </c>
      <c r="D255" s="17" t="str">
        <f>IF($C255="","",ANAGRAFICA!$C252)</f>
        <v/>
      </c>
      <c r="E255" s="17" t="str">
        <f>IF($C255="","",ANAGRAFICA!$D252)</f>
        <v/>
      </c>
      <c r="F255" s="17" t="str">
        <f>IF($C255="","",ANAGRAFICA!$E252)</f>
        <v/>
      </c>
      <c r="G255" s="17" t="str">
        <f>IF($C255="","",ANAGRAFICA!$F252)</f>
        <v/>
      </c>
      <c r="H255" s="17" t="str">
        <f>IF($C255="","",ANAGRAFICA!$G252)</f>
        <v/>
      </c>
      <c r="I255" s="17" t="str">
        <f>IF($C255="","",ANAGRAFICA!$L252)</f>
        <v/>
      </c>
      <c r="J255" s="16" t="str">
        <f t="shared" si="73"/>
        <v/>
      </c>
      <c r="K255" s="16" t="str">
        <f t="shared" si="74"/>
        <v/>
      </c>
      <c r="L255" s="16" t="str">
        <f t="shared" si="75"/>
        <v/>
      </c>
      <c r="M255" s="16" t="str">
        <f t="shared" si="76"/>
        <v/>
      </c>
      <c r="N255" s="16" t="str">
        <f t="shared" si="77"/>
        <v/>
      </c>
      <c r="O255" s="16" t="str">
        <f t="shared" si="78"/>
        <v/>
      </c>
      <c r="P255" s="17" t="str">
        <f t="shared" si="79"/>
        <v/>
      </c>
      <c r="Q255" s="31" t="str">
        <f>IF(OR($C255="",'BUDGET COMMESSA'!$D252="",'BUDGET COMMESSA'!$D252&lt;=0,ANAGRAFICA!$J252=""),"",IF(OR($I255="Finito ritenute non previste",$I255="Finito con sblocco ritenute",$I255="Finito senza sblocco ritenute"),0,IF(AND($BK255&gt;=$BJ255,ANAGRAFICA!$R252="Ritardo produttivo FIDA"),IF(ANAGRAFICA!$T252&lt;&gt;"",MAX(0,ANAGRAFICA!$J252-ANAGRAFICA!$T252),MAX(0,$Y255-ANAGRAFICA!$J252)),0)))</f>
        <v/>
      </c>
      <c r="R255" s="17" t="str">
        <f t="shared" si="80"/>
        <v/>
      </c>
      <c r="S255" s="17" t="str">
        <f t="shared" si="81"/>
        <v/>
      </c>
      <c r="T255" s="17" t="str">
        <f t="shared" si="82"/>
        <v/>
      </c>
      <c r="U255" s="16" t="str">
        <f t="shared" si="83"/>
        <v/>
      </c>
      <c r="V255" s="16" t="str">
        <f t="shared" si="84"/>
        <v/>
      </c>
      <c r="W255" s="16" t="str">
        <f t="shared" si="85"/>
        <v/>
      </c>
      <c r="X255" s="40"/>
      <c r="Y255" s="14"/>
      <c r="AZ255" t="str">
        <f>IF($C255="","",ANAGRAFICA!$P252)</f>
        <v/>
      </c>
      <c r="BA255" t="str">
        <f>IF($C255="","",SUMIF('MOVIMENTI 2026'!$B$7:$B$4206,$C255,'MOVIMENTI 2026'!$I$7:$I$4206)+SUMIF('SALDI AL 31.12.2025'!$A$6:$A$505,$C255,'SALDI AL 31.12.2025'!$C$6:$C$505))</f>
        <v/>
      </c>
      <c r="BB255" t="str">
        <f>IF($C255="","",SUMIF('MOVIMENTI 2026'!$B$7:$B$4206,$C255,'MOVIMENTI 2026'!$J$7:$J$4206)+SUMIF('SALDI AL 31.12.2025'!$A$6:$A$505,$C255,'SALDI AL 31.12.2025'!$D$6:$D$505))</f>
        <v/>
      </c>
      <c r="BC255" t="str">
        <f>IF($C255="","",SUMIF('MOVIMENTI 2026'!$B$7:$B$4206,$C255,'MOVIMENTI 2026'!$K$7:$K$4206)+SUMIF('SALDI AL 31.12.2025'!$A$6:$A$505,$C255,'SALDI AL 31.12.2025'!$E$6:$E$505))</f>
        <v/>
      </c>
      <c r="BD255" t="str">
        <f>IF($C255="","",SUMIF('MOVIMENTI 2026'!$B$7:$B$4206,$C255,'MOVIMENTI 2026'!$L$7:$L$4206)+SUMIF('SALDI AL 31.12.2025'!$A$6:$A$505,$C255,'SALDI AL 31.12.2025'!$F$6:$F$505))</f>
        <v/>
      </c>
      <c r="BE255" t="str">
        <f t="shared" si="86"/>
        <v/>
      </c>
      <c r="BF255" t="str">
        <f t="shared" si="87"/>
        <v/>
      </c>
      <c r="BG255" t="str">
        <f t="shared" si="88"/>
        <v/>
      </c>
      <c r="BH255" t="str">
        <f>IFERROR(IF(OR($C255="",ANAGRAFICA!$I252="",ANAGRAFICA!$J252="",ANAGRAFICA!$J252&lt;=ANAGRAFICA!$I252,$Y255=""),"",IF(OR($I255="Finito ritenute non previste",$I255="Finito con sblocco ritenute",$I255="Finito senza sblocco ritenute"),1,MAX(0,MIN(1,($Y255-ANAGRAFICA!$I252)/(ANAGRAFICA!$J252-ANAGRAFICA!$I252))))),"")</f>
        <v/>
      </c>
      <c r="BI255" t="str">
        <f t="shared" si="89"/>
        <v/>
      </c>
      <c r="BJ255" t="str">
        <f>IFERROR(IF($C255="","",'BUDGET COMMESSA'!$D252),"")</f>
        <v/>
      </c>
      <c r="BK255" t="str">
        <f>IF($C255="","",SUMIF('MOVIMENTI 2026'!$B$7:$B$4206,$C255,'MOVIMENTI 2026'!$N$7:$N$4206)+SUMIF('SALDI AL 31.12.2025'!$A$6:$A$505,$C255,'SALDI AL 31.12.2025'!$H$6:$H$505))</f>
        <v/>
      </c>
      <c r="BL255" t="str">
        <f t="shared" si="90"/>
        <v/>
      </c>
      <c r="BM255" t="str">
        <f t="shared" si="91"/>
        <v/>
      </c>
      <c r="BN255" t="str">
        <f t="shared" si="92"/>
        <v/>
      </c>
      <c r="BO255" t="str">
        <f>IFERROR(IF($C255="","",'BUDGET COMMESSA'!$G252),"")</f>
        <v/>
      </c>
      <c r="BP255" t="str">
        <f>IF($C255="","",SUMIF('COSTI DIRETTI'!$C$6:$C$505,$C255,'COSTI DIRETTI'!$H$6:$H$505)+SUMIF('SALDI AL 31.12.2025'!$A$6:$A$505,$C255,'SALDI AL 31.12.2025'!$I$6:$I$505))</f>
        <v/>
      </c>
      <c r="BQ255" t="str">
        <f t="shared" si="93"/>
        <v/>
      </c>
      <c r="BR255" t="str">
        <f t="shared" si="94"/>
        <v/>
      </c>
      <c r="BS255" t="str">
        <f>IF($C255="","",$BK255*PARAMETRI!$B$4+$BP255)</f>
        <v/>
      </c>
      <c r="BT255">
        <f t="shared" si="95"/>
        <v>0</v>
      </c>
      <c r="BU255">
        <f t="shared" si="96"/>
        <v>0</v>
      </c>
      <c r="BV255" t="str">
        <f>IF($C255="","",SUMIF('MOVIMENTI 2026'!$B$7:$B$4206,$C255,'MOVIMENTI 2026'!$P$7:$P$4206)+SUMIF('SALDI AL 31.12.2025'!$A$6:$A$505,$C255,'SALDI AL 31.12.2025'!$G$6:$G$505))</f>
        <v/>
      </c>
    </row>
    <row r="256" spans="1:74" ht="16" x14ac:dyDescent="0.15">
      <c r="A256" s="17" t="str">
        <f>IFERROR(IF($C256="","",IF(OR($BF256&gt;0,$V256&gt;$J256,AND(ISNUMBER($Q256),$Q256&gt;0),AND($BI256&lt;&gt;"",$BI256&lt;-PARAMETRI!$B$6),AND($BM256&lt;&gt;"",$BM256&gt;=1),AND($BN256&lt;&gt;"",$BN256&gt;PARAMETRI!$B$8),AND(ISNUMBER($BR256),$BR256&gt;0)),"CRITICO",IF(OR($AZ256="",LEFT($C256,5)="TEMP",$BJ256="",$BO256="",ANAGRAFICA!$I253="",ANAGRAFICA!$J253="",$Y256="",AND(OR($I256="Finito ritenute non previste",$I256="Finito con sblocco ritenute",$I256="Finito senza sblocco ritenute"),ANAGRAFICA!$K253=""),OR(AND(ANAGRAFICA!$T253&lt;&gt;"",ANAGRAFICA!$J253&lt;&gt;ANAGRAFICA!$T253,OR(ANAGRAFICA!$R253="",ANAGRAFICA!$R253="Nessuna variazione")),AND(ANAGRAFICA!$J253="",ANAGRAFICA!$R253&lt;&gt;"",ANAGRAFICA!$R253&lt;&gt;"Nessuna variazione")),AND($BI256&lt;&gt;"",$BI256&lt;-PARAMETRI!$B$5),AND($BN256&lt;&gt;"",$BN256&gt;PARAMETRI!$B$7),AND($W256&gt;0,$M256&gt;$W256*PARAMETRI!$B$9),AND($O256&gt;0,OR($I256="Finito ritenute non previste",$I256="Finito con sblocco ritenute",$I256="Finito senza sblocco ritenute")),AND($BA256&gt;0,$BO256&gt;0,$BP256=0),AND(OR($I256="Finito ritenute non previste",$I256="Finito con sblocco ritenute",$I256="Finito senza sblocco ritenute"),$W256&gt;0,$N256&gt;$W256*PARAMETRI!$B$9),$V256&gt;0),"ATTENZIONE","REGOLARE"))),"ATTENZIONE")</f>
        <v/>
      </c>
      <c r="B256" s="17" t="str">
        <f>IFERROR(IF($C256="","",IF($BF256&gt;0,"FATTURATO OLTRE VALORE RECUPERABILE; ","")&amp;IF($V256&gt;$J256,"PERDITE ACCETTATE OLTRE CONTRATTO; ","")&amp;IF($V256&gt;0,"PERDITA SAL ACCETTATA (€ "&amp;TEXT($V256,"#,##0.00")&amp;"); ","")&amp;IF(AND(ISNUMBER($Q256),$Q256&gt;0),"RITARDO PRODUTTIVO ("&amp;TEXT($Q256,"0")&amp;" GG); ","")&amp;IF(AND($BI256&lt;&gt;"",$BI256&lt;-PARAMETRI!$B$5),"AVANZAMENTO PIÙ LENTO DEL TEMPO; ","")&amp;IF(AND($BM256&lt;&gt;"",$BM256&gt;1),"ORE OLTRE BUDGET; ","")&amp;IF(AND($BM256&lt;&gt;"",$BM256=1),"ORE PREVENTIVATE ESAURITE; ","")&amp;IF(AND($BN256&lt;&gt;"",$BN256&gt;PARAMETRI!$B$7),"CONSUMO ORE SUPERIORE ALL'AVANZAMENTO; ","")&amp;IF(AND(ISNUMBER($BR256),$BR256&gt;0),"COSTI DIRETTI OLTRE BUDGET; ","")&amp;IF(AND($W256&gt;0,$M256&gt;$W256*PARAMETRI!$B$9),"SAL MATURATO NON FATTURATO; ","")&amp;IF(AND($O256&gt;0,OR($I256="Finito ritenute non previste",$I256="Finito con sblocco ritenute",$I256="Finito senza sblocco ritenute")),"RITENUTE DA SBLOCCARE; ","")&amp;IF(AND($BA256&gt;0,$BO256&gt;0,$BP256=0),"COSTI DIRETTI NON REGISTRATI; ","")&amp;IF(AND(OR($I256="Finito ritenute non previste",$I256="Finito con sblocco ritenute",$I256="Finito senza sblocco ritenute"),$W256&gt;0,$N256&gt;$W256*PARAMETRI!$B$9),"CANTIERE FINITO CON RESIDUO LAVORI; ","")&amp;IF(AND(OR($I256="Finito ritenute non previste",$I256="Finito con sblocco ritenute",$I256="Finito senza sblocco ritenute"),ANAGRAFICA!$K253=""),"DATA FINE EFFETTIVA MANCANTE; ","")&amp;IF(OR(AND(ANAGRAFICA!$T253&lt;&gt;"",ANAGRAFICA!$J253&lt;&gt;ANAGRAFICA!$T253,OR(ANAGRAFICA!$R253="",ANAGRAFICA!$R253="Nessuna variazione")),AND(ANAGRAFICA!$J253="",ANAGRAFICA!$R253&lt;&gt;"",ANAGRAFICA!$R253&lt;&gt;"Nessuna variazione")),"GESTIONE DATA FINE INCOMPLETA; ","")&amp;IF($Y256="","AGGIORNATO AL MANCANTE; ","")&amp;IF(OR($AZ256="",$BJ256="",$BO256="",ANAGRAFICA!$I253="",ANAGRAFICA!$J253=""),"DATI PREVISIONALI INCOMPLETI; ","")&amp;IF(LEFT($C256,5)="TEMP","CODICE COMMESSA TEMPORANEO; ","")),"DATI INCOMPLETI; ")</f>
        <v/>
      </c>
      <c r="C256" s="17" t="str">
        <f>IF(ANAGRAFICA!$B253="","",ANAGRAFICA!$B253)</f>
        <v/>
      </c>
      <c r="D256" s="17" t="str">
        <f>IF($C256="","",ANAGRAFICA!$C253)</f>
        <v/>
      </c>
      <c r="E256" s="17" t="str">
        <f>IF($C256="","",ANAGRAFICA!$D253)</f>
        <v/>
      </c>
      <c r="F256" s="17" t="str">
        <f>IF($C256="","",ANAGRAFICA!$E253)</f>
        <v/>
      </c>
      <c r="G256" s="17" t="str">
        <f>IF($C256="","",ANAGRAFICA!$F253)</f>
        <v/>
      </c>
      <c r="H256" s="17" t="str">
        <f>IF($C256="","",ANAGRAFICA!$G253)</f>
        <v/>
      </c>
      <c r="I256" s="17" t="str">
        <f>IF($C256="","",ANAGRAFICA!$L253)</f>
        <v/>
      </c>
      <c r="J256" s="16" t="str">
        <f t="shared" si="73"/>
        <v/>
      </c>
      <c r="K256" s="16" t="str">
        <f t="shared" si="74"/>
        <v/>
      </c>
      <c r="L256" s="16" t="str">
        <f t="shared" si="75"/>
        <v/>
      </c>
      <c r="M256" s="16" t="str">
        <f t="shared" si="76"/>
        <v/>
      </c>
      <c r="N256" s="16" t="str">
        <f t="shared" si="77"/>
        <v/>
      </c>
      <c r="O256" s="16" t="str">
        <f t="shared" si="78"/>
        <v/>
      </c>
      <c r="P256" s="17" t="str">
        <f t="shared" si="79"/>
        <v/>
      </c>
      <c r="Q256" s="31" t="str">
        <f>IF(OR($C256="",'BUDGET COMMESSA'!$D253="",'BUDGET COMMESSA'!$D253&lt;=0,ANAGRAFICA!$J253=""),"",IF(OR($I256="Finito ritenute non previste",$I256="Finito con sblocco ritenute",$I256="Finito senza sblocco ritenute"),0,IF(AND($BK256&gt;=$BJ256,ANAGRAFICA!$R253="Ritardo produttivo FIDA"),IF(ANAGRAFICA!$T253&lt;&gt;"",MAX(0,ANAGRAFICA!$J253-ANAGRAFICA!$T253),MAX(0,$Y256-ANAGRAFICA!$J253)),0)))</f>
        <v/>
      </c>
      <c r="R256" s="17" t="str">
        <f t="shared" si="80"/>
        <v/>
      </c>
      <c r="S256" s="17" t="str">
        <f t="shared" si="81"/>
        <v/>
      </c>
      <c r="T256" s="17" t="str">
        <f t="shared" si="82"/>
        <v/>
      </c>
      <c r="U256" s="16" t="str">
        <f t="shared" si="83"/>
        <v/>
      </c>
      <c r="V256" s="16" t="str">
        <f t="shared" si="84"/>
        <v/>
      </c>
      <c r="W256" s="16" t="str">
        <f t="shared" si="85"/>
        <v/>
      </c>
      <c r="X256" s="40"/>
      <c r="Y256" s="14"/>
      <c r="AZ256" t="str">
        <f>IF($C256="","",ANAGRAFICA!$P253)</f>
        <v/>
      </c>
      <c r="BA256" t="str">
        <f>IF($C256="","",SUMIF('MOVIMENTI 2026'!$B$7:$B$4206,$C256,'MOVIMENTI 2026'!$I$7:$I$4206)+SUMIF('SALDI AL 31.12.2025'!$A$6:$A$505,$C256,'SALDI AL 31.12.2025'!$C$6:$C$505))</f>
        <v/>
      </c>
      <c r="BB256" t="str">
        <f>IF($C256="","",SUMIF('MOVIMENTI 2026'!$B$7:$B$4206,$C256,'MOVIMENTI 2026'!$J$7:$J$4206)+SUMIF('SALDI AL 31.12.2025'!$A$6:$A$505,$C256,'SALDI AL 31.12.2025'!$D$6:$D$505))</f>
        <v/>
      </c>
      <c r="BC256" t="str">
        <f>IF($C256="","",SUMIF('MOVIMENTI 2026'!$B$7:$B$4206,$C256,'MOVIMENTI 2026'!$K$7:$K$4206)+SUMIF('SALDI AL 31.12.2025'!$A$6:$A$505,$C256,'SALDI AL 31.12.2025'!$E$6:$E$505))</f>
        <v/>
      </c>
      <c r="BD256" t="str">
        <f>IF($C256="","",SUMIF('MOVIMENTI 2026'!$B$7:$B$4206,$C256,'MOVIMENTI 2026'!$L$7:$L$4206)+SUMIF('SALDI AL 31.12.2025'!$A$6:$A$505,$C256,'SALDI AL 31.12.2025'!$F$6:$F$505))</f>
        <v/>
      </c>
      <c r="BE256" t="str">
        <f t="shared" si="86"/>
        <v/>
      </c>
      <c r="BF256" t="str">
        <f t="shared" si="87"/>
        <v/>
      </c>
      <c r="BG256" t="str">
        <f t="shared" si="88"/>
        <v/>
      </c>
      <c r="BH256" t="str">
        <f>IFERROR(IF(OR($C256="",ANAGRAFICA!$I253="",ANAGRAFICA!$J253="",ANAGRAFICA!$J253&lt;=ANAGRAFICA!$I253,$Y256=""),"",IF(OR($I256="Finito ritenute non previste",$I256="Finito con sblocco ritenute",$I256="Finito senza sblocco ritenute"),1,MAX(0,MIN(1,($Y256-ANAGRAFICA!$I253)/(ANAGRAFICA!$J253-ANAGRAFICA!$I253))))),"")</f>
        <v/>
      </c>
      <c r="BI256" t="str">
        <f t="shared" si="89"/>
        <v/>
      </c>
      <c r="BJ256" t="str">
        <f>IFERROR(IF($C256="","",'BUDGET COMMESSA'!$D253),"")</f>
        <v/>
      </c>
      <c r="BK256" t="str">
        <f>IF($C256="","",SUMIF('MOVIMENTI 2026'!$B$7:$B$4206,$C256,'MOVIMENTI 2026'!$N$7:$N$4206)+SUMIF('SALDI AL 31.12.2025'!$A$6:$A$505,$C256,'SALDI AL 31.12.2025'!$H$6:$H$505))</f>
        <v/>
      </c>
      <c r="BL256" t="str">
        <f t="shared" si="90"/>
        <v/>
      </c>
      <c r="BM256" t="str">
        <f t="shared" si="91"/>
        <v/>
      </c>
      <c r="BN256" t="str">
        <f t="shared" si="92"/>
        <v/>
      </c>
      <c r="BO256" t="str">
        <f>IFERROR(IF($C256="","",'BUDGET COMMESSA'!$G253),"")</f>
        <v/>
      </c>
      <c r="BP256" t="str">
        <f>IF($C256="","",SUMIF('COSTI DIRETTI'!$C$6:$C$505,$C256,'COSTI DIRETTI'!$H$6:$H$505)+SUMIF('SALDI AL 31.12.2025'!$A$6:$A$505,$C256,'SALDI AL 31.12.2025'!$I$6:$I$505))</f>
        <v/>
      </c>
      <c r="BQ256" t="str">
        <f t="shared" si="93"/>
        <v/>
      </c>
      <c r="BR256" t="str">
        <f t="shared" si="94"/>
        <v/>
      </c>
      <c r="BS256" t="str">
        <f>IF($C256="","",$BK256*PARAMETRI!$B$4+$BP256)</f>
        <v/>
      </c>
      <c r="BT256">
        <f t="shared" si="95"/>
        <v>0</v>
      </c>
      <c r="BU256">
        <f t="shared" si="96"/>
        <v>0</v>
      </c>
      <c r="BV256" t="str">
        <f>IF($C256="","",SUMIF('MOVIMENTI 2026'!$B$7:$B$4206,$C256,'MOVIMENTI 2026'!$P$7:$P$4206)+SUMIF('SALDI AL 31.12.2025'!$A$6:$A$505,$C256,'SALDI AL 31.12.2025'!$G$6:$G$505))</f>
        <v/>
      </c>
    </row>
    <row r="257" spans="1:74" ht="16" x14ac:dyDescent="0.15">
      <c r="A257" s="17" t="str">
        <f>IFERROR(IF($C257="","",IF(OR($BF257&gt;0,$V257&gt;$J257,AND(ISNUMBER($Q257),$Q257&gt;0),AND($BI257&lt;&gt;"",$BI257&lt;-PARAMETRI!$B$6),AND($BM257&lt;&gt;"",$BM257&gt;=1),AND($BN257&lt;&gt;"",$BN257&gt;PARAMETRI!$B$8),AND(ISNUMBER($BR257),$BR257&gt;0)),"CRITICO",IF(OR($AZ257="",LEFT($C257,5)="TEMP",$BJ257="",$BO257="",ANAGRAFICA!$I254="",ANAGRAFICA!$J254="",$Y257="",AND(OR($I257="Finito ritenute non previste",$I257="Finito con sblocco ritenute",$I257="Finito senza sblocco ritenute"),ANAGRAFICA!$K254=""),OR(AND(ANAGRAFICA!$T254&lt;&gt;"",ANAGRAFICA!$J254&lt;&gt;ANAGRAFICA!$T254,OR(ANAGRAFICA!$R254="",ANAGRAFICA!$R254="Nessuna variazione")),AND(ANAGRAFICA!$J254="",ANAGRAFICA!$R254&lt;&gt;"",ANAGRAFICA!$R254&lt;&gt;"Nessuna variazione")),AND($BI257&lt;&gt;"",$BI257&lt;-PARAMETRI!$B$5),AND($BN257&lt;&gt;"",$BN257&gt;PARAMETRI!$B$7),AND($W257&gt;0,$M257&gt;$W257*PARAMETRI!$B$9),AND($O257&gt;0,OR($I257="Finito ritenute non previste",$I257="Finito con sblocco ritenute",$I257="Finito senza sblocco ritenute")),AND($BA257&gt;0,$BO257&gt;0,$BP257=0),AND(OR($I257="Finito ritenute non previste",$I257="Finito con sblocco ritenute",$I257="Finito senza sblocco ritenute"),$W257&gt;0,$N257&gt;$W257*PARAMETRI!$B$9),$V257&gt;0),"ATTENZIONE","REGOLARE"))),"ATTENZIONE")</f>
        <v/>
      </c>
      <c r="B257" s="17" t="str">
        <f>IFERROR(IF($C257="","",IF($BF257&gt;0,"FATTURATO OLTRE VALORE RECUPERABILE; ","")&amp;IF($V257&gt;$J257,"PERDITE ACCETTATE OLTRE CONTRATTO; ","")&amp;IF($V257&gt;0,"PERDITA SAL ACCETTATA (€ "&amp;TEXT($V257,"#,##0.00")&amp;"); ","")&amp;IF(AND(ISNUMBER($Q257),$Q257&gt;0),"RITARDO PRODUTTIVO ("&amp;TEXT($Q257,"0")&amp;" GG); ","")&amp;IF(AND($BI257&lt;&gt;"",$BI257&lt;-PARAMETRI!$B$5),"AVANZAMENTO PIÙ LENTO DEL TEMPO; ","")&amp;IF(AND($BM257&lt;&gt;"",$BM257&gt;1),"ORE OLTRE BUDGET; ","")&amp;IF(AND($BM257&lt;&gt;"",$BM257=1),"ORE PREVENTIVATE ESAURITE; ","")&amp;IF(AND($BN257&lt;&gt;"",$BN257&gt;PARAMETRI!$B$7),"CONSUMO ORE SUPERIORE ALL'AVANZAMENTO; ","")&amp;IF(AND(ISNUMBER($BR257),$BR257&gt;0),"COSTI DIRETTI OLTRE BUDGET; ","")&amp;IF(AND($W257&gt;0,$M257&gt;$W257*PARAMETRI!$B$9),"SAL MATURATO NON FATTURATO; ","")&amp;IF(AND($O257&gt;0,OR($I257="Finito ritenute non previste",$I257="Finito con sblocco ritenute",$I257="Finito senza sblocco ritenute")),"RITENUTE DA SBLOCCARE; ","")&amp;IF(AND($BA257&gt;0,$BO257&gt;0,$BP257=0),"COSTI DIRETTI NON REGISTRATI; ","")&amp;IF(AND(OR($I257="Finito ritenute non previste",$I257="Finito con sblocco ritenute",$I257="Finito senza sblocco ritenute"),$W257&gt;0,$N257&gt;$W257*PARAMETRI!$B$9),"CANTIERE FINITO CON RESIDUO LAVORI; ","")&amp;IF(AND(OR($I257="Finito ritenute non previste",$I257="Finito con sblocco ritenute",$I257="Finito senza sblocco ritenute"),ANAGRAFICA!$K254=""),"DATA FINE EFFETTIVA MANCANTE; ","")&amp;IF(OR(AND(ANAGRAFICA!$T254&lt;&gt;"",ANAGRAFICA!$J254&lt;&gt;ANAGRAFICA!$T254,OR(ANAGRAFICA!$R254="",ANAGRAFICA!$R254="Nessuna variazione")),AND(ANAGRAFICA!$J254="",ANAGRAFICA!$R254&lt;&gt;"",ANAGRAFICA!$R254&lt;&gt;"Nessuna variazione")),"GESTIONE DATA FINE INCOMPLETA; ","")&amp;IF($Y257="","AGGIORNATO AL MANCANTE; ","")&amp;IF(OR($AZ257="",$BJ257="",$BO257="",ANAGRAFICA!$I254="",ANAGRAFICA!$J254=""),"DATI PREVISIONALI INCOMPLETI; ","")&amp;IF(LEFT($C257,5)="TEMP","CODICE COMMESSA TEMPORANEO; ","")),"DATI INCOMPLETI; ")</f>
        <v/>
      </c>
      <c r="C257" s="17" t="str">
        <f>IF(ANAGRAFICA!$B254="","",ANAGRAFICA!$B254)</f>
        <v/>
      </c>
      <c r="D257" s="17" t="str">
        <f>IF($C257="","",ANAGRAFICA!$C254)</f>
        <v/>
      </c>
      <c r="E257" s="17" t="str">
        <f>IF($C257="","",ANAGRAFICA!$D254)</f>
        <v/>
      </c>
      <c r="F257" s="17" t="str">
        <f>IF($C257="","",ANAGRAFICA!$E254)</f>
        <v/>
      </c>
      <c r="G257" s="17" t="str">
        <f>IF($C257="","",ANAGRAFICA!$F254)</f>
        <v/>
      </c>
      <c r="H257" s="17" t="str">
        <f>IF($C257="","",ANAGRAFICA!$G254)</f>
        <v/>
      </c>
      <c r="I257" s="17" t="str">
        <f>IF($C257="","",ANAGRAFICA!$L254)</f>
        <v/>
      </c>
      <c r="J257" s="16" t="str">
        <f t="shared" si="73"/>
        <v/>
      </c>
      <c r="K257" s="16" t="str">
        <f t="shared" si="74"/>
        <v/>
      </c>
      <c r="L257" s="16" t="str">
        <f t="shared" si="75"/>
        <v/>
      </c>
      <c r="M257" s="16" t="str">
        <f t="shared" si="76"/>
        <v/>
      </c>
      <c r="N257" s="16" t="str">
        <f t="shared" si="77"/>
        <v/>
      </c>
      <c r="O257" s="16" t="str">
        <f t="shared" si="78"/>
        <v/>
      </c>
      <c r="P257" s="17" t="str">
        <f t="shared" si="79"/>
        <v/>
      </c>
      <c r="Q257" s="31" t="str">
        <f>IF(OR($C257="",'BUDGET COMMESSA'!$D254="",'BUDGET COMMESSA'!$D254&lt;=0,ANAGRAFICA!$J254=""),"",IF(OR($I257="Finito ritenute non previste",$I257="Finito con sblocco ritenute",$I257="Finito senza sblocco ritenute"),0,IF(AND($BK257&gt;=$BJ257,ANAGRAFICA!$R254="Ritardo produttivo FIDA"),IF(ANAGRAFICA!$T254&lt;&gt;"",MAX(0,ANAGRAFICA!$J254-ANAGRAFICA!$T254),MAX(0,$Y257-ANAGRAFICA!$J254)),0)))</f>
        <v/>
      </c>
      <c r="R257" s="17" t="str">
        <f t="shared" si="80"/>
        <v/>
      </c>
      <c r="S257" s="17" t="str">
        <f t="shared" si="81"/>
        <v/>
      </c>
      <c r="T257" s="17" t="str">
        <f t="shared" si="82"/>
        <v/>
      </c>
      <c r="U257" s="16" t="str">
        <f t="shared" si="83"/>
        <v/>
      </c>
      <c r="V257" s="16" t="str">
        <f t="shared" si="84"/>
        <v/>
      </c>
      <c r="W257" s="16" t="str">
        <f t="shared" si="85"/>
        <v/>
      </c>
      <c r="X257" s="40"/>
      <c r="Y257" s="14"/>
      <c r="AZ257" t="str">
        <f>IF($C257="","",ANAGRAFICA!$P254)</f>
        <v/>
      </c>
      <c r="BA257" t="str">
        <f>IF($C257="","",SUMIF('MOVIMENTI 2026'!$B$7:$B$4206,$C257,'MOVIMENTI 2026'!$I$7:$I$4206)+SUMIF('SALDI AL 31.12.2025'!$A$6:$A$505,$C257,'SALDI AL 31.12.2025'!$C$6:$C$505))</f>
        <v/>
      </c>
      <c r="BB257" t="str">
        <f>IF($C257="","",SUMIF('MOVIMENTI 2026'!$B$7:$B$4206,$C257,'MOVIMENTI 2026'!$J$7:$J$4206)+SUMIF('SALDI AL 31.12.2025'!$A$6:$A$505,$C257,'SALDI AL 31.12.2025'!$D$6:$D$505))</f>
        <v/>
      </c>
      <c r="BC257" t="str">
        <f>IF($C257="","",SUMIF('MOVIMENTI 2026'!$B$7:$B$4206,$C257,'MOVIMENTI 2026'!$K$7:$K$4206)+SUMIF('SALDI AL 31.12.2025'!$A$6:$A$505,$C257,'SALDI AL 31.12.2025'!$E$6:$E$505))</f>
        <v/>
      </c>
      <c r="BD257" t="str">
        <f>IF($C257="","",SUMIF('MOVIMENTI 2026'!$B$7:$B$4206,$C257,'MOVIMENTI 2026'!$L$7:$L$4206)+SUMIF('SALDI AL 31.12.2025'!$A$6:$A$505,$C257,'SALDI AL 31.12.2025'!$F$6:$F$505))</f>
        <v/>
      </c>
      <c r="BE257" t="str">
        <f t="shared" si="86"/>
        <v/>
      </c>
      <c r="BF257" t="str">
        <f t="shared" si="87"/>
        <v/>
      </c>
      <c r="BG257" t="str">
        <f t="shared" si="88"/>
        <v/>
      </c>
      <c r="BH257" t="str">
        <f>IFERROR(IF(OR($C257="",ANAGRAFICA!$I254="",ANAGRAFICA!$J254="",ANAGRAFICA!$J254&lt;=ANAGRAFICA!$I254,$Y257=""),"",IF(OR($I257="Finito ritenute non previste",$I257="Finito con sblocco ritenute",$I257="Finito senza sblocco ritenute"),1,MAX(0,MIN(1,($Y257-ANAGRAFICA!$I254)/(ANAGRAFICA!$J254-ANAGRAFICA!$I254))))),"")</f>
        <v/>
      </c>
      <c r="BI257" t="str">
        <f t="shared" si="89"/>
        <v/>
      </c>
      <c r="BJ257" t="str">
        <f>IFERROR(IF($C257="","",'BUDGET COMMESSA'!$D254),"")</f>
        <v/>
      </c>
      <c r="BK257" t="str">
        <f>IF($C257="","",SUMIF('MOVIMENTI 2026'!$B$7:$B$4206,$C257,'MOVIMENTI 2026'!$N$7:$N$4206)+SUMIF('SALDI AL 31.12.2025'!$A$6:$A$505,$C257,'SALDI AL 31.12.2025'!$H$6:$H$505))</f>
        <v/>
      </c>
      <c r="BL257" t="str">
        <f t="shared" si="90"/>
        <v/>
      </c>
      <c r="BM257" t="str">
        <f t="shared" si="91"/>
        <v/>
      </c>
      <c r="BN257" t="str">
        <f t="shared" si="92"/>
        <v/>
      </c>
      <c r="BO257" t="str">
        <f>IFERROR(IF($C257="","",'BUDGET COMMESSA'!$G254),"")</f>
        <v/>
      </c>
      <c r="BP257" t="str">
        <f>IF($C257="","",SUMIF('COSTI DIRETTI'!$C$6:$C$505,$C257,'COSTI DIRETTI'!$H$6:$H$505)+SUMIF('SALDI AL 31.12.2025'!$A$6:$A$505,$C257,'SALDI AL 31.12.2025'!$I$6:$I$505))</f>
        <v/>
      </c>
      <c r="BQ257" t="str">
        <f t="shared" si="93"/>
        <v/>
      </c>
      <c r="BR257" t="str">
        <f t="shared" si="94"/>
        <v/>
      </c>
      <c r="BS257" t="str">
        <f>IF($C257="","",$BK257*PARAMETRI!$B$4+$BP257)</f>
        <v/>
      </c>
      <c r="BT257">
        <f t="shared" si="95"/>
        <v>0</v>
      </c>
      <c r="BU257">
        <f t="shared" si="96"/>
        <v>0</v>
      </c>
      <c r="BV257" t="str">
        <f>IF($C257="","",SUMIF('MOVIMENTI 2026'!$B$7:$B$4206,$C257,'MOVIMENTI 2026'!$P$7:$P$4206)+SUMIF('SALDI AL 31.12.2025'!$A$6:$A$505,$C257,'SALDI AL 31.12.2025'!$G$6:$G$505))</f>
        <v/>
      </c>
    </row>
    <row r="258" spans="1:74" ht="16" x14ac:dyDescent="0.15">
      <c r="A258" s="17" t="str">
        <f>IFERROR(IF($C258="","",IF(OR($BF258&gt;0,$V258&gt;$J258,AND(ISNUMBER($Q258),$Q258&gt;0),AND($BI258&lt;&gt;"",$BI258&lt;-PARAMETRI!$B$6),AND($BM258&lt;&gt;"",$BM258&gt;=1),AND($BN258&lt;&gt;"",$BN258&gt;PARAMETRI!$B$8),AND(ISNUMBER($BR258),$BR258&gt;0)),"CRITICO",IF(OR($AZ258="",LEFT($C258,5)="TEMP",$BJ258="",$BO258="",ANAGRAFICA!$I255="",ANAGRAFICA!$J255="",$Y258="",AND(OR($I258="Finito ritenute non previste",$I258="Finito con sblocco ritenute",$I258="Finito senza sblocco ritenute"),ANAGRAFICA!$K255=""),OR(AND(ANAGRAFICA!$T255&lt;&gt;"",ANAGRAFICA!$J255&lt;&gt;ANAGRAFICA!$T255,OR(ANAGRAFICA!$R255="",ANAGRAFICA!$R255="Nessuna variazione")),AND(ANAGRAFICA!$J255="",ANAGRAFICA!$R255&lt;&gt;"",ANAGRAFICA!$R255&lt;&gt;"Nessuna variazione")),AND($BI258&lt;&gt;"",$BI258&lt;-PARAMETRI!$B$5),AND($BN258&lt;&gt;"",$BN258&gt;PARAMETRI!$B$7),AND($W258&gt;0,$M258&gt;$W258*PARAMETRI!$B$9),AND($O258&gt;0,OR($I258="Finito ritenute non previste",$I258="Finito con sblocco ritenute",$I258="Finito senza sblocco ritenute")),AND($BA258&gt;0,$BO258&gt;0,$BP258=0),AND(OR($I258="Finito ritenute non previste",$I258="Finito con sblocco ritenute",$I258="Finito senza sblocco ritenute"),$W258&gt;0,$N258&gt;$W258*PARAMETRI!$B$9),$V258&gt;0),"ATTENZIONE","REGOLARE"))),"ATTENZIONE")</f>
        <v/>
      </c>
      <c r="B258" s="17" t="str">
        <f>IFERROR(IF($C258="","",IF($BF258&gt;0,"FATTURATO OLTRE VALORE RECUPERABILE; ","")&amp;IF($V258&gt;$J258,"PERDITE ACCETTATE OLTRE CONTRATTO; ","")&amp;IF($V258&gt;0,"PERDITA SAL ACCETTATA (€ "&amp;TEXT($V258,"#,##0.00")&amp;"); ","")&amp;IF(AND(ISNUMBER($Q258),$Q258&gt;0),"RITARDO PRODUTTIVO ("&amp;TEXT($Q258,"0")&amp;" GG); ","")&amp;IF(AND($BI258&lt;&gt;"",$BI258&lt;-PARAMETRI!$B$5),"AVANZAMENTO PIÙ LENTO DEL TEMPO; ","")&amp;IF(AND($BM258&lt;&gt;"",$BM258&gt;1),"ORE OLTRE BUDGET; ","")&amp;IF(AND($BM258&lt;&gt;"",$BM258=1),"ORE PREVENTIVATE ESAURITE; ","")&amp;IF(AND($BN258&lt;&gt;"",$BN258&gt;PARAMETRI!$B$7),"CONSUMO ORE SUPERIORE ALL'AVANZAMENTO; ","")&amp;IF(AND(ISNUMBER($BR258),$BR258&gt;0),"COSTI DIRETTI OLTRE BUDGET; ","")&amp;IF(AND($W258&gt;0,$M258&gt;$W258*PARAMETRI!$B$9),"SAL MATURATO NON FATTURATO; ","")&amp;IF(AND($O258&gt;0,OR($I258="Finito ritenute non previste",$I258="Finito con sblocco ritenute",$I258="Finito senza sblocco ritenute")),"RITENUTE DA SBLOCCARE; ","")&amp;IF(AND($BA258&gt;0,$BO258&gt;0,$BP258=0),"COSTI DIRETTI NON REGISTRATI; ","")&amp;IF(AND(OR($I258="Finito ritenute non previste",$I258="Finito con sblocco ritenute",$I258="Finito senza sblocco ritenute"),$W258&gt;0,$N258&gt;$W258*PARAMETRI!$B$9),"CANTIERE FINITO CON RESIDUO LAVORI; ","")&amp;IF(AND(OR($I258="Finito ritenute non previste",$I258="Finito con sblocco ritenute",$I258="Finito senza sblocco ritenute"),ANAGRAFICA!$K255=""),"DATA FINE EFFETTIVA MANCANTE; ","")&amp;IF(OR(AND(ANAGRAFICA!$T255&lt;&gt;"",ANAGRAFICA!$J255&lt;&gt;ANAGRAFICA!$T255,OR(ANAGRAFICA!$R255="",ANAGRAFICA!$R255="Nessuna variazione")),AND(ANAGRAFICA!$J255="",ANAGRAFICA!$R255&lt;&gt;"",ANAGRAFICA!$R255&lt;&gt;"Nessuna variazione")),"GESTIONE DATA FINE INCOMPLETA; ","")&amp;IF($Y258="","AGGIORNATO AL MANCANTE; ","")&amp;IF(OR($AZ258="",$BJ258="",$BO258="",ANAGRAFICA!$I255="",ANAGRAFICA!$J255=""),"DATI PREVISIONALI INCOMPLETI; ","")&amp;IF(LEFT($C258,5)="TEMP","CODICE COMMESSA TEMPORANEO; ","")),"DATI INCOMPLETI; ")</f>
        <v/>
      </c>
      <c r="C258" s="17" t="str">
        <f>IF(ANAGRAFICA!$B255="","",ANAGRAFICA!$B255)</f>
        <v/>
      </c>
      <c r="D258" s="17" t="str">
        <f>IF($C258="","",ANAGRAFICA!$C255)</f>
        <v/>
      </c>
      <c r="E258" s="17" t="str">
        <f>IF($C258="","",ANAGRAFICA!$D255)</f>
        <v/>
      </c>
      <c r="F258" s="17" t="str">
        <f>IF($C258="","",ANAGRAFICA!$E255)</f>
        <v/>
      </c>
      <c r="G258" s="17" t="str">
        <f>IF($C258="","",ANAGRAFICA!$F255)</f>
        <v/>
      </c>
      <c r="H258" s="17" t="str">
        <f>IF($C258="","",ANAGRAFICA!$G255)</f>
        <v/>
      </c>
      <c r="I258" s="17" t="str">
        <f>IF($C258="","",ANAGRAFICA!$L255)</f>
        <v/>
      </c>
      <c r="J258" s="16" t="str">
        <f t="shared" si="73"/>
        <v/>
      </c>
      <c r="K258" s="16" t="str">
        <f t="shared" si="74"/>
        <v/>
      </c>
      <c r="L258" s="16" t="str">
        <f t="shared" si="75"/>
        <v/>
      </c>
      <c r="M258" s="16" t="str">
        <f t="shared" si="76"/>
        <v/>
      </c>
      <c r="N258" s="16" t="str">
        <f t="shared" si="77"/>
        <v/>
      </c>
      <c r="O258" s="16" t="str">
        <f t="shared" si="78"/>
        <v/>
      </c>
      <c r="P258" s="17" t="str">
        <f t="shared" si="79"/>
        <v/>
      </c>
      <c r="Q258" s="31" t="str">
        <f>IF(OR($C258="",'BUDGET COMMESSA'!$D255="",'BUDGET COMMESSA'!$D255&lt;=0,ANAGRAFICA!$J255=""),"",IF(OR($I258="Finito ritenute non previste",$I258="Finito con sblocco ritenute",$I258="Finito senza sblocco ritenute"),0,IF(AND($BK258&gt;=$BJ258,ANAGRAFICA!$R255="Ritardo produttivo FIDA"),IF(ANAGRAFICA!$T255&lt;&gt;"",MAX(0,ANAGRAFICA!$J255-ANAGRAFICA!$T255),MAX(0,$Y258-ANAGRAFICA!$J255)),0)))</f>
        <v/>
      </c>
      <c r="R258" s="17" t="str">
        <f t="shared" si="80"/>
        <v/>
      </c>
      <c r="S258" s="17" t="str">
        <f t="shared" si="81"/>
        <v/>
      </c>
      <c r="T258" s="17" t="str">
        <f t="shared" si="82"/>
        <v/>
      </c>
      <c r="U258" s="16" t="str">
        <f t="shared" si="83"/>
        <v/>
      </c>
      <c r="V258" s="16" t="str">
        <f t="shared" si="84"/>
        <v/>
      </c>
      <c r="W258" s="16" t="str">
        <f t="shared" si="85"/>
        <v/>
      </c>
      <c r="X258" s="40"/>
      <c r="Y258" s="14"/>
      <c r="AZ258" t="str">
        <f>IF($C258="","",ANAGRAFICA!$P255)</f>
        <v/>
      </c>
      <c r="BA258" t="str">
        <f>IF($C258="","",SUMIF('MOVIMENTI 2026'!$B$7:$B$4206,$C258,'MOVIMENTI 2026'!$I$7:$I$4206)+SUMIF('SALDI AL 31.12.2025'!$A$6:$A$505,$C258,'SALDI AL 31.12.2025'!$C$6:$C$505))</f>
        <v/>
      </c>
      <c r="BB258" t="str">
        <f>IF($C258="","",SUMIF('MOVIMENTI 2026'!$B$7:$B$4206,$C258,'MOVIMENTI 2026'!$J$7:$J$4206)+SUMIF('SALDI AL 31.12.2025'!$A$6:$A$505,$C258,'SALDI AL 31.12.2025'!$D$6:$D$505))</f>
        <v/>
      </c>
      <c r="BC258" t="str">
        <f>IF($C258="","",SUMIF('MOVIMENTI 2026'!$B$7:$B$4206,$C258,'MOVIMENTI 2026'!$K$7:$K$4206)+SUMIF('SALDI AL 31.12.2025'!$A$6:$A$505,$C258,'SALDI AL 31.12.2025'!$E$6:$E$505))</f>
        <v/>
      </c>
      <c r="BD258" t="str">
        <f>IF($C258="","",SUMIF('MOVIMENTI 2026'!$B$7:$B$4206,$C258,'MOVIMENTI 2026'!$L$7:$L$4206)+SUMIF('SALDI AL 31.12.2025'!$A$6:$A$505,$C258,'SALDI AL 31.12.2025'!$F$6:$F$505))</f>
        <v/>
      </c>
      <c r="BE258" t="str">
        <f t="shared" si="86"/>
        <v/>
      </c>
      <c r="BF258" t="str">
        <f t="shared" si="87"/>
        <v/>
      </c>
      <c r="BG258" t="str">
        <f t="shared" si="88"/>
        <v/>
      </c>
      <c r="BH258" t="str">
        <f>IFERROR(IF(OR($C258="",ANAGRAFICA!$I255="",ANAGRAFICA!$J255="",ANAGRAFICA!$J255&lt;=ANAGRAFICA!$I255,$Y258=""),"",IF(OR($I258="Finito ritenute non previste",$I258="Finito con sblocco ritenute",$I258="Finito senza sblocco ritenute"),1,MAX(0,MIN(1,($Y258-ANAGRAFICA!$I255)/(ANAGRAFICA!$J255-ANAGRAFICA!$I255))))),"")</f>
        <v/>
      </c>
      <c r="BI258" t="str">
        <f t="shared" si="89"/>
        <v/>
      </c>
      <c r="BJ258" t="str">
        <f>IFERROR(IF($C258="","",'BUDGET COMMESSA'!$D255),"")</f>
        <v/>
      </c>
      <c r="BK258" t="str">
        <f>IF($C258="","",SUMIF('MOVIMENTI 2026'!$B$7:$B$4206,$C258,'MOVIMENTI 2026'!$N$7:$N$4206)+SUMIF('SALDI AL 31.12.2025'!$A$6:$A$505,$C258,'SALDI AL 31.12.2025'!$H$6:$H$505))</f>
        <v/>
      </c>
      <c r="BL258" t="str">
        <f t="shared" si="90"/>
        <v/>
      </c>
      <c r="BM258" t="str">
        <f t="shared" si="91"/>
        <v/>
      </c>
      <c r="BN258" t="str">
        <f t="shared" si="92"/>
        <v/>
      </c>
      <c r="BO258" t="str">
        <f>IFERROR(IF($C258="","",'BUDGET COMMESSA'!$G255),"")</f>
        <v/>
      </c>
      <c r="BP258" t="str">
        <f>IF($C258="","",SUMIF('COSTI DIRETTI'!$C$6:$C$505,$C258,'COSTI DIRETTI'!$H$6:$H$505)+SUMIF('SALDI AL 31.12.2025'!$A$6:$A$505,$C258,'SALDI AL 31.12.2025'!$I$6:$I$505))</f>
        <v/>
      </c>
      <c r="BQ258" t="str">
        <f t="shared" si="93"/>
        <v/>
      </c>
      <c r="BR258" t="str">
        <f t="shared" si="94"/>
        <v/>
      </c>
      <c r="BS258" t="str">
        <f>IF($C258="","",$BK258*PARAMETRI!$B$4+$BP258)</f>
        <v/>
      </c>
      <c r="BT258">
        <f t="shared" si="95"/>
        <v>0</v>
      </c>
      <c r="BU258">
        <f t="shared" si="96"/>
        <v>0</v>
      </c>
      <c r="BV258" t="str">
        <f>IF($C258="","",SUMIF('MOVIMENTI 2026'!$B$7:$B$4206,$C258,'MOVIMENTI 2026'!$P$7:$P$4206)+SUMIF('SALDI AL 31.12.2025'!$A$6:$A$505,$C258,'SALDI AL 31.12.2025'!$G$6:$G$505))</f>
        <v/>
      </c>
    </row>
    <row r="259" spans="1:74" ht="16" x14ac:dyDescent="0.15">
      <c r="A259" s="17" t="str">
        <f>IFERROR(IF($C259="","",IF(OR($BF259&gt;0,$V259&gt;$J259,AND(ISNUMBER($Q259),$Q259&gt;0),AND($BI259&lt;&gt;"",$BI259&lt;-PARAMETRI!$B$6),AND($BM259&lt;&gt;"",$BM259&gt;=1),AND($BN259&lt;&gt;"",$BN259&gt;PARAMETRI!$B$8),AND(ISNUMBER($BR259),$BR259&gt;0)),"CRITICO",IF(OR($AZ259="",LEFT($C259,5)="TEMP",$BJ259="",$BO259="",ANAGRAFICA!$I256="",ANAGRAFICA!$J256="",$Y259="",AND(OR($I259="Finito ritenute non previste",$I259="Finito con sblocco ritenute",$I259="Finito senza sblocco ritenute"),ANAGRAFICA!$K256=""),OR(AND(ANAGRAFICA!$T256&lt;&gt;"",ANAGRAFICA!$J256&lt;&gt;ANAGRAFICA!$T256,OR(ANAGRAFICA!$R256="",ANAGRAFICA!$R256="Nessuna variazione")),AND(ANAGRAFICA!$J256="",ANAGRAFICA!$R256&lt;&gt;"",ANAGRAFICA!$R256&lt;&gt;"Nessuna variazione")),AND($BI259&lt;&gt;"",$BI259&lt;-PARAMETRI!$B$5),AND($BN259&lt;&gt;"",$BN259&gt;PARAMETRI!$B$7),AND($W259&gt;0,$M259&gt;$W259*PARAMETRI!$B$9),AND($O259&gt;0,OR($I259="Finito ritenute non previste",$I259="Finito con sblocco ritenute",$I259="Finito senza sblocco ritenute")),AND($BA259&gt;0,$BO259&gt;0,$BP259=0),AND(OR($I259="Finito ritenute non previste",$I259="Finito con sblocco ritenute",$I259="Finito senza sblocco ritenute"),$W259&gt;0,$N259&gt;$W259*PARAMETRI!$B$9),$V259&gt;0),"ATTENZIONE","REGOLARE"))),"ATTENZIONE")</f>
        <v/>
      </c>
      <c r="B259" s="17" t="str">
        <f>IFERROR(IF($C259="","",IF($BF259&gt;0,"FATTURATO OLTRE VALORE RECUPERABILE; ","")&amp;IF($V259&gt;$J259,"PERDITE ACCETTATE OLTRE CONTRATTO; ","")&amp;IF($V259&gt;0,"PERDITA SAL ACCETTATA (€ "&amp;TEXT($V259,"#,##0.00")&amp;"); ","")&amp;IF(AND(ISNUMBER($Q259),$Q259&gt;0),"RITARDO PRODUTTIVO ("&amp;TEXT($Q259,"0")&amp;" GG); ","")&amp;IF(AND($BI259&lt;&gt;"",$BI259&lt;-PARAMETRI!$B$5),"AVANZAMENTO PIÙ LENTO DEL TEMPO; ","")&amp;IF(AND($BM259&lt;&gt;"",$BM259&gt;1),"ORE OLTRE BUDGET; ","")&amp;IF(AND($BM259&lt;&gt;"",$BM259=1),"ORE PREVENTIVATE ESAURITE; ","")&amp;IF(AND($BN259&lt;&gt;"",$BN259&gt;PARAMETRI!$B$7),"CONSUMO ORE SUPERIORE ALL'AVANZAMENTO; ","")&amp;IF(AND(ISNUMBER($BR259),$BR259&gt;0),"COSTI DIRETTI OLTRE BUDGET; ","")&amp;IF(AND($W259&gt;0,$M259&gt;$W259*PARAMETRI!$B$9),"SAL MATURATO NON FATTURATO; ","")&amp;IF(AND($O259&gt;0,OR($I259="Finito ritenute non previste",$I259="Finito con sblocco ritenute",$I259="Finito senza sblocco ritenute")),"RITENUTE DA SBLOCCARE; ","")&amp;IF(AND($BA259&gt;0,$BO259&gt;0,$BP259=0),"COSTI DIRETTI NON REGISTRATI; ","")&amp;IF(AND(OR($I259="Finito ritenute non previste",$I259="Finito con sblocco ritenute",$I259="Finito senza sblocco ritenute"),$W259&gt;0,$N259&gt;$W259*PARAMETRI!$B$9),"CANTIERE FINITO CON RESIDUO LAVORI; ","")&amp;IF(AND(OR($I259="Finito ritenute non previste",$I259="Finito con sblocco ritenute",$I259="Finito senza sblocco ritenute"),ANAGRAFICA!$K256=""),"DATA FINE EFFETTIVA MANCANTE; ","")&amp;IF(OR(AND(ANAGRAFICA!$T256&lt;&gt;"",ANAGRAFICA!$J256&lt;&gt;ANAGRAFICA!$T256,OR(ANAGRAFICA!$R256="",ANAGRAFICA!$R256="Nessuna variazione")),AND(ANAGRAFICA!$J256="",ANAGRAFICA!$R256&lt;&gt;"",ANAGRAFICA!$R256&lt;&gt;"Nessuna variazione")),"GESTIONE DATA FINE INCOMPLETA; ","")&amp;IF($Y259="","AGGIORNATO AL MANCANTE; ","")&amp;IF(OR($AZ259="",$BJ259="",$BO259="",ANAGRAFICA!$I256="",ANAGRAFICA!$J256=""),"DATI PREVISIONALI INCOMPLETI; ","")&amp;IF(LEFT($C259,5)="TEMP","CODICE COMMESSA TEMPORANEO; ","")),"DATI INCOMPLETI; ")</f>
        <v/>
      </c>
      <c r="C259" s="17" t="str">
        <f>IF(ANAGRAFICA!$B256="","",ANAGRAFICA!$B256)</f>
        <v/>
      </c>
      <c r="D259" s="17" t="str">
        <f>IF($C259="","",ANAGRAFICA!$C256)</f>
        <v/>
      </c>
      <c r="E259" s="17" t="str">
        <f>IF($C259="","",ANAGRAFICA!$D256)</f>
        <v/>
      </c>
      <c r="F259" s="17" t="str">
        <f>IF($C259="","",ANAGRAFICA!$E256)</f>
        <v/>
      </c>
      <c r="G259" s="17" t="str">
        <f>IF($C259="","",ANAGRAFICA!$F256)</f>
        <v/>
      </c>
      <c r="H259" s="17" t="str">
        <f>IF($C259="","",ANAGRAFICA!$G256)</f>
        <v/>
      </c>
      <c r="I259" s="17" t="str">
        <f>IF($C259="","",ANAGRAFICA!$L256)</f>
        <v/>
      </c>
      <c r="J259" s="16" t="str">
        <f t="shared" si="73"/>
        <v/>
      </c>
      <c r="K259" s="16" t="str">
        <f t="shared" si="74"/>
        <v/>
      </c>
      <c r="L259" s="16" t="str">
        <f t="shared" si="75"/>
        <v/>
      </c>
      <c r="M259" s="16" t="str">
        <f t="shared" si="76"/>
        <v/>
      </c>
      <c r="N259" s="16" t="str">
        <f t="shared" si="77"/>
        <v/>
      </c>
      <c r="O259" s="16" t="str">
        <f t="shared" si="78"/>
        <v/>
      </c>
      <c r="P259" s="17" t="str">
        <f t="shared" si="79"/>
        <v/>
      </c>
      <c r="Q259" s="31" t="str">
        <f>IF(OR($C259="",'BUDGET COMMESSA'!$D256="",'BUDGET COMMESSA'!$D256&lt;=0,ANAGRAFICA!$J256=""),"",IF(OR($I259="Finito ritenute non previste",$I259="Finito con sblocco ritenute",$I259="Finito senza sblocco ritenute"),0,IF(AND($BK259&gt;=$BJ259,ANAGRAFICA!$R256="Ritardo produttivo FIDA"),IF(ANAGRAFICA!$T256&lt;&gt;"",MAX(0,ANAGRAFICA!$J256-ANAGRAFICA!$T256),MAX(0,$Y259-ANAGRAFICA!$J256)),0)))</f>
        <v/>
      </c>
      <c r="R259" s="17" t="str">
        <f t="shared" si="80"/>
        <v/>
      </c>
      <c r="S259" s="17" t="str">
        <f t="shared" si="81"/>
        <v/>
      </c>
      <c r="T259" s="17" t="str">
        <f t="shared" si="82"/>
        <v/>
      </c>
      <c r="U259" s="16" t="str">
        <f t="shared" si="83"/>
        <v/>
      </c>
      <c r="V259" s="16" t="str">
        <f t="shared" si="84"/>
        <v/>
      </c>
      <c r="W259" s="16" t="str">
        <f t="shared" si="85"/>
        <v/>
      </c>
      <c r="X259" s="40"/>
      <c r="Y259" s="14"/>
      <c r="AZ259" t="str">
        <f>IF($C259="","",ANAGRAFICA!$P256)</f>
        <v/>
      </c>
      <c r="BA259" t="str">
        <f>IF($C259="","",SUMIF('MOVIMENTI 2026'!$B$7:$B$4206,$C259,'MOVIMENTI 2026'!$I$7:$I$4206)+SUMIF('SALDI AL 31.12.2025'!$A$6:$A$505,$C259,'SALDI AL 31.12.2025'!$C$6:$C$505))</f>
        <v/>
      </c>
      <c r="BB259" t="str">
        <f>IF($C259="","",SUMIF('MOVIMENTI 2026'!$B$7:$B$4206,$C259,'MOVIMENTI 2026'!$J$7:$J$4206)+SUMIF('SALDI AL 31.12.2025'!$A$6:$A$505,$C259,'SALDI AL 31.12.2025'!$D$6:$D$505))</f>
        <v/>
      </c>
      <c r="BC259" t="str">
        <f>IF($C259="","",SUMIF('MOVIMENTI 2026'!$B$7:$B$4206,$C259,'MOVIMENTI 2026'!$K$7:$K$4206)+SUMIF('SALDI AL 31.12.2025'!$A$6:$A$505,$C259,'SALDI AL 31.12.2025'!$E$6:$E$505))</f>
        <v/>
      </c>
      <c r="BD259" t="str">
        <f>IF($C259="","",SUMIF('MOVIMENTI 2026'!$B$7:$B$4206,$C259,'MOVIMENTI 2026'!$L$7:$L$4206)+SUMIF('SALDI AL 31.12.2025'!$A$6:$A$505,$C259,'SALDI AL 31.12.2025'!$F$6:$F$505))</f>
        <v/>
      </c>
      <c r="BE259" t="str">
        <f t="shared" si="86"/>
        <v/>
      </c>
      <c r="BF259" t="str">
        <f t="shared" si="87"/>
        <v/>
      </c>
      <c r="BG259" t="str">
        <f t="shared" si="88"/>
        <v/>
      </c>
      <c r="BH259" t="str">
        <f>IFERROR(IF(OR($C259="",ANAGRAFICA!$I256="",ANAGRAFICA!$J256="",ANAGRAFICA!$J256&lt;=ANAGRAFICA!$I256,$Y259=""),"",IF(OR($I259="Finito ritenute non previste",$I259="Finito con sblocco ritenute",$I259="Finito senza sblocco ritenute"),1,MAX(0,MIN(1,($Y259-ANAGRAFICA!$I256)/(ANAGRAFICA!$J256-ANAGRAFICA!$I256))))),"")</f>
        <v/>
      </c>
      <c r="BI259" t="str">
        <f t="shared" si="89"/>
        <v/>
      </c>
      <c r="BJ259" t="str">
        <f>IFERROR(IF($C259="","",'BUDGET COMMESSA'!$D256),"")</f>
        <v/>
      </c>
      <c r="BK259" t="str">
        <f>IF($C259="","",SUMIF('MOVIMENTI 2026'!$B$7:$B$4206,$C259,'MOVIMENTI 2026'!$N$7:$N$4206)+SUMIF('SALDI AL 31.12.2025'!$A$6:$A$505,$C259,'SALDI AL 31.12.2025'!$H$6:$H$505))</f>
        <v/>
      </c>
      <c r="BL259" t="str">
        <f t="shared" si="90"/>
        <v/>
      </c>
      <c r="BM259" t="str">
        <f t="shared" si="91"/>
        <v/>
      </c>
      <c r="BN259" t="str">
        <f t="shared" si="92"/>
        <v/>
      </c>
      <c r="BO259" t="str">
        <f>IFERROR(IF($C259="","",'BUDGET COMMESSA'!$G256),"")</f>
        <v/>
      </c>
      <c r="BP259" t="str">
        <f>IF($C259="","",SUMIF('COSTI DIRETTI'!$C$6:$C$505,$C259,'COSTI DIRETTI'!$H$6:$H$505)+SUMIF('SALDI AL 31.12.2025'!$A$6:$A$505,$C259,'SALDI AL 31.12.2025'!$I$6:$I$505))</f>
        <v/>
      </c>
      <c r="BQ259" t="str">
        <f t="shared" si="93"/>
        <v/>
      </c>
      <c r="BR259" t="str">
        <f t="shared" si="94"/>
        <v/>
      </c>
      <c r="BS259" t="str">
        <f>IF($C259="","",$BK259*PARAMETRI!$B$4+$BP259)</f>
        <v/>
      </c>
      <c r="BT259">
        <f t="shared" si="95"/>
        <v>0</v>
      </c>
      <c r="BU259">
        <f t="shared" si="96"/>
        <v>0</v>
      </c>
      <c r="BV259" t="str">
        <f>IF($C259="","",SUMIF('MOVIMENTI 2026'!$B$7:$B$4206,$C259,'MOVIMENTI 2026'!$P$7:$P$4206)+SUMIF('SALDI AL 31.12.2025'!$A$6:$A$505,$C259,'SALDI AL 31.12.2025'!$G$6:$G$505))</f>
        <v/>
      </c>
    </row>
    <row r="260" spans="1:74" ht="16" x14ac:dyDescent="0.15">
      <c r="A260" s="17" t="str">
        <f>IFERROR(IF($C260="","",IF(OR($BF260&gt;0,$V260&gt;$J260,AND(ISNUMBER($Q260),$Q260&gt;0),AND($BI260&lt;&gt;"",$BI260&lt;-PARAMETRI!$B$6),AND($BM260&lt;&gt;"",$BM260&gt;=1),AND($BN260&lt;&gt;"",$BN260&gt;PARAMETRI!$B$8),AND(ISNUMBER($BR260),$BR260&gt;0)),"CRITICO",IF(OR($AZ260="",LEFT($C260,5)="TEMP",$BJ260="",$BO260="",ANAGRAFICA!$I257="",ANAGRAFICA!$J257="",$Y260="",AND(OR($I260="Finito ritenute non previste",$I260="Finito con sblocco ritenute",$I260="Finito senza sblocco ritenute"),ANAGRAFICA!$K257=""),OR(AND(ANAGRAFICA!$T257&lt;&gt;"",ANAGRAFICA!$J257&lt;&gt;ANAGRAFICA!$T257,OR(ANAGRAFICA!$R257="",ANAGRAFICA!$R257="Nessuna variazione")),AND(ANAGRAFICA!$J257="",ANAGRAFICA!$R257&lt;&gt;"",ANAGRAFICA!$R257&lt;&gt;"Nessuna variazione")),AND($BI260&lt;&gt;"",$BI260&lt;-PARAMETRI!$B$5),AND($BN260&lt;&gt;"",$BN260&gt;PARAMETRI!$B$7),AND($W260&gt;0,$M260&gt;$W260*PARAMETRI!$B$9),AND($O260&gt;0,OR($I260="Finito ritenute non previste",$I260="Finito con sblocco ritenute",$I260="Finito senza sblocco ritenute")),AND($BA260&gt;0,$BO260&gt;0,$BP260=0),AND(OR($I260="Finito ritenute non previste",$I260="Finito con sblocco ritenute",$I260="Finito senza sblocco ritenute"),$W260&gt;0,$N260&gt;$W260*PARAMETRI!$B$9),$V260&gt;0),"ATTENZIONE","REGOLARE"))),"ATTENZIONE")</f>
        <v/>
      </c>
      <c r="B260" s="17" t="str">
        <f>IFERROR(IF($C260="","",IF($BF260&gt;0,"FATTURATO OLTRE VALORE RECUPERABILE; ","")&amp;IF($V260&gt;$J260,"PERDITE ACCETTATE OLTRE CONTRATTO; ","")&amp;IF($V260&gt;0,"PERDITA SAL ACCETTATA (€ "&amp;TEXT($V260,"#,##0.00")&amp;"); ","")&amp;IF(AND(ISNUMBER($Q260),$Q260&gt;0),"RITARDO PRODUTTIVO ("&amp;TEXT($Q260,"0")&amp;" GG); ","")&amp;IF(AND($BI260&lt;&gt;"",$BI260&lt;-PARAMETRI!$B$5),"AVANZAMENTO PIÙ LENTO DEL TEMPO; ","")&amp;IF(AND($BM260&lt;&gt;"",$BM260&gt;1),"ORE OLTRE BUDGET; ","")&amp;IF(AND($BM260&lt;&gt;"",$BM260=1),"ORE PREVENTIVATE ESAURITE; ","")&amp;IF(AND($BN260&lt;&gt;"",$BN260&gt;PARAMETRI!$B$7),"CONSUMO ORE SUPERIORE ALL'AVANZAMENTO; ","")&amp;IF(AND(ISNUMBER($BR260),$BR260&gt;0),"COSTI DIRETTI OLTRE BUDGET; ","")&amp;IF(AND($W260&gt;0,$M260&gt;$W260*PARAMETRI!$B$9),"SAL MATURATO NON FATTURATO; ","")&amp;IF(AND($O260&gt;0,OR($I260="Finito ritenute non previste",$I260="Finito con sblocco ritenute",$I260="Finito senza sblocco ritenute")),"RITENUTE DA SBLOCCARE; ","")&amp;IF(AND($BA260&gt;0,$BO260&gt;0,$BP260=0),"COSTI DIRETTI NON REGISTRATI; ","")&amp;IF(AND(OR($I260="Finito ritenute non previste",$I260="Finito con sblocco ritenute",$I260="Finito senza sblocco ritenute"),$W260&gt;0,$N260&gt;$W260*PARAMETRI!$B$9),"CANTIERE FINITO CON RESIDUO LAVORI; ","")&amp;IF(AND(OR($I260="Finito ritenute non previste",$I260="Finito con sblocco ritenute",$I260="Finito senza sblocco ritenute"),ANAGRAFICA!$K257=""),"DATA FINE EFFETTIVA MANCANTE; ","")&amp;IF(OR(AND(ANAGRAFICA!$T257&lt;&gt;"",ANAGRAFICA!$J257&lt;&gt;ANAGRAFICA!$T257,OR(ANAGRAFICA!$R257="",ANAGRAFICA!$R257="Nessuna variazione")),AND(ANAGRAFICA!$J257="",ANAGRAFICA!$R257&lt;&gt;"",ANAGRAFICA!$R257&lt;&gt;"Nessuna variazione")),"GESTIONE DATA FINE INCOMPLETA; ","")&amp;IF($Y260="","AGGIORNATO AL MANCANTE; ","")&amp;IF(OR($AZ260="",$BJ260="",$BO260="",ANAGRAFICA!$I257="",ANAGRAFICA!$J257=""),"DATI PREVISIONALI INCOMPLETI; ","")&amp;IF(LEFT($C260,5)="TEMP","CODICE COMMESSA TEMPORANEO; ","")),"DATI INCOMPLETI; ")</f>
        <v/>
      </c>
      <c r="C260" s="17" t="str">
        <f>IF(ANAGRAFICA!$B257="","",ANAGRAFICA!$B257)</f>
        <v/>
      </c>
      <c r="D260" s="17" t="str">
        <f>IF($C260="","",ANAGRAFICA!$C257)</f>
        <v/>
      </c>
      <c r="E260" s="17" t="str">
        <f>IF($C260="","",ANAGRAFICA!$D257)</f>
        <v/>
      </c>
      <c r="F260" s="17" t="str">
        <f>IF($C260="","",ANAGRAFICA!$E257)</f>
        <v/>
      </c>
      <c r="G260" s="17" t="str">
        <f>IF($C260="","",ANAGRAFICA!$F257)</f>
        <v/>
      </c>
      <c r="H260" s="17" t="str">
        <f>IF($C260="","",ANAGRAFICA!$G257)</f>
        <v/>
      </c>
      <c r="I260" s="17" t="str">
        <f>IF($C260="","",ANAGRAFICA!$L257)</f>
        <v/>
      </c>
      <c r="J260" s="16" t="str">
        <f t="shared" si="73"/>
        <v/>
      </c>
      <c r="K260" s="16" t="str">
        <f t="shared" si="74"/>
        <v/>
      </c>
      <c r="L260" s="16" t="str">
        <f t="shared" si="75"/>
        <v/>
      </c>
      <c r="M260" s="16" t="str">
        <f t="shared" si="76"/>
        <v/>
      </c>
      <c r="N260" s="16" t="str">
        <f t="shared" si="77"/>
        <v/>
      </c>
      <c r="O260" s="16" t="str">
        <f t="shared" si="78"/>
        <v/>
      </c>
      <c r="P260" s="17" t="str">
        <f t="shared" si="79"/>
        <v/>
      </c>
      <c r="Q260" s="31" t="str">
        <f>IF(OR($C260="",'BUDGET COMMESSA'!$D257="",'BUDGET COMMESSA'!$D257&lt;=0,ANAGRAFICA!$J257=""),"",IF(OR($I260="Finito ritenute non previste",$I260="Finito con sblocco ritenute",$I260="Finito senza sblocco ritenute"),0,IF(AND($BK260&gt;=$BJ260,ANAGRAFICA!$R257="Ritardo produttivo FIDA"),IF(ANAGRAFICA!$T257&lt;&gt;"",MAX(0,ANAGRAFICA!$J257-ANAGRAFICA!$T257),MAX(0,$Y260-ANAGRAFICA!$J257)),0)))</f>
        <v/>
      </c>
      <c r="R260" s="17" t="str">
        <f t="shared" si="80"/>
        <v/>
      </c>
      <c r="S260" s="17" t="str">
        <f t="shared" si="81"/>
        <v/>
      </c>
      <c r="T260" s="17" t="str">
        <f t="shared" si="82"/>
        <v/>
      </c>
      <c r="U260" s="16" t="str">
        <f t="shared" si="83"/>
        <v/>
      </c>
      <c r="V260" s="16" t="str">
        <f t="shared" si="84"/>
        <v/>
      </c>
      <c r="W260" s="16" t="str">
        <f t="shared" si="85"/>
        <v/>
      </c>
      <c r="X260" s="40"/>
      <c r="Y260" s="14"/>
      <c r="AZ260" t="str">
        <f>IF($C260="","",ANAGRAFICA!$P257)</f>
        <v/>
      </c>
      <c r="BA260" t="str">
        <f>IF($C260="","",SUMIF('MOVIMENTI 2026'!$B$7:$B$4206,$C260,'MOVIMENTI 2026'!$I$7:$I$4206)+SUMIF('SALDI AL 31.12.2025'!$A$6:$A$505,$C260,'SALDI AL 31.12.2025'!$C$6:$C$505))</f>
        <v/>
      </c>
      <c r="BB260" t="str">
        <f>IF($C260="","",SUMIF('MOVIMENTI 2026'!$B$7:$B$4206,$C260,'MOVIMENTI 2026'!$J$7:$J$4206)+SUMIF('SALDI AL 31.12.2025'!$A$6:$A$505,$C260,'SALDI AL 31.12.2025'!$D$6:$D$505))</f>
        <v/>
      </c>
      <c r="BC260" t="str">
        <f>IF($C260="","",SUMIF('MOVIMENTI 2026'!$B$7:$B$4206,$C260,'MOVIMENTI 2026'!$K$7:$K$4206)+SUMIF('SALDI AL 31.12.2025'!$A$6:$A$505,$C260,'SALDI AL 31.12.2025'!$E$6:$E$505))</f>
        <v/>
      </c>
      <c r="BD260" t="str">
        <f>IF($C260="","",SUMIF('MOVIMENTI 2026'!$B$7:$B$4206,$C260,'MOVIMENTI 2026'!$L$7:$L$4206)+SUMIF('SALDI AL 31.12.2025'!$A$6:$A$505,$C260,'SALDI AL 31.12.2025'!$F$6:$F$505))</f>
        <v/>
      </c>
      <c r="BE260" t="str">
        <f t="shared" si="86"/>
        <v/>
      </c>
      <c r="BF260" t="str">
        <f t="shared" si="87"/>
        <v/>
      </c>
      <c r="BG260" t="str">
        <f t="shared" si="88"/>
        <v/>
      </c>
      <c r="BH260" t="str">
        <f>IFERROR(IF(OR($C260="",ANAGRAFICA!$I257="",ANAGRAFICA!$J257="",ANAGRAFICA!$J257&lt;=ANAGRAFICA!$I257,$Y260=""),"",IF(OR($I260="Finito ritenute non previste",$I260="Finito con sblocco ritenute",$I260="Finito senza sblocco ritenute"),1,MAX(0,MIN(1,($Y260-ANAGRAFICA!$I257)/(ANAGRAFICA!$J257-ANAGRAFICA!$I257))))),"")</f>
        <v/>
      </c>
      <c r="BI260" t="str">
        <f t="shared" si="89"/>
        <v/>
      </c>
      <c r="BJ260" t="str">
        <f>IFERROR(IF($C260="","",'BUDGET COMMESSA'!$D257),"")</f>
        <v/>
      </c>
      <c r="BK260" t="str">
        <f>IF($C260="","",SUMIF('MOVIMENTI 2026'!$B$7:$B$4206,$C260,'MOVIMENTI 2026'!$N$7:$N$4206)+SUMIF('SALDI AL 31.12.2025'!$A$6:$A$505,$C260,'SALDI AL 31.12.2025'!$H$6:$H$505))</f>
        <v/>
      </c>
      <c r="BL260" t="str">
        <f t="shared" si="90"/>
        <v/>
      </c>
      <c r="BM260" t="str">
        <f t="shared" si="91"/>
        <v/>
      </c>
      <c r="BN260" t="str">
        <f t="shared" si="92"/>
        <v/>
      </c>
      <c r="BO260" t="str">
        <f>IFERROR(IF($C260="","",'BUDGET COMMESSA'!$G257),"")</f>
        <v/>
      </c>
      <c r="BP260" t="str">
        <f>IF($C260="","",SUMIF('COSTI DIRETTI'!$C$6:$C$505,$C260,'COSTI DIRETTI'!$H$6:$H$505)+SUMIF('SALDI AL 31.12.2025'!$A$6:$A$505,$C260,'SALDI AL 31.12.2025'!$I$6:$I$505))</f>
        <v/>
      </c>
      <c r="BQ260" t="str">
        <f t="shared" si="93"/>
        <v/>
      </c>
      <c r="BR260" t="str">
        <f t="shared" si="94"/>
        <v/>
      </c>
      <c r="BS260" t="str">
        <f>IF($C260="","",$BK260*PARAMETRI!$B$4+$BP260)</f>
        <v/>
      </c>
      <c r="BT260">
        <f t="shared" si="95"/>
        <v>0</v>
      </c>
      <c r="BU260">
        <f t="shared" si="96"/>
        <v>0</v>
      </c>
      <c r="BV260" t="str">
        <f>IF($C260="","",SUMIF('MOVIMENTI 2026'!$B$7:$B$4206,$C260,'MOVIMENTI 2026'!$P$7:$P$4206)+SUMIF('SALDI AL 31.12.2025'!$A$6:$A$505,$C260,'SALDI AL 31.12.2025'!$G$6:$G$505))</f>
        <v/>
      </c>
    </row>
    <row r="261" spans="1:74" ht="16" x14ac:dyDescent="0.15">
      <c r="A261" s="17" t="str">
        <f>IFERROR(IF($C261="","",IF(OR($BF261&gt;0,$V261&gt;$J261,AND(ISNUMBER($Q261),$Q261&gt;0),AND($BI261&lt;&gt;"",$BI261&lt;-PARAMETRI!$B$6),AND($BM261&lt;&gt;"",$BM261&gt;=1),AND($BN261&lt;&gt;"",$BN261&gt;PARAMETRI!$B$8),AND(ISNUMBER($BR261),$BR261&gt;0)),"CRITICO",IF(OR($AZ261="",LEFT($C261,5)="TEMP",$BJ261="",$BO261="",ANAGRAFICA!$I258="",ANAGRAFICA!$J258="",$Y261="",AND(OR($I261="Finito ritenute non previste",$I261="Finito con sblocco ritenute",$I261="Finito senza sblocco ritenute"),ANAGRAFICA!$K258=""),OR(AND(ANAGRAFICA!$T258&lt;&gt;"",ANAGRAFICA!$J258&lt;&gt;ANAGRAFICA!$T258,OR(ANAGRAFICA!$R258="",ANAGRAFICA!$R258="Nessuna variazione")),AND(ANAGRAFICA!$J258="",ANAGRAFICA!$R258&lt;&gt;"",ANAGRAFICA!$R258&lt;&gt;"Nessuna variazione")),AND($BI261&lt;&gt;"",$BI261&lt;-PARAMETRI!$B$5),AND($BN261&lt;&gt;"",$BN261&gt;PARAMETRI!$B$7),AND($W261&gt;0,$M261&gt;$W261*PARAMETRI!$B$9),AND($O261&gt;0,OR($I261="Finito ritenute non previste",$I261="Finito con sblocco ritenute",$I261="Finito senza sblocco ritenute")),AND($BA261&gt;0,$BO261&gt;0,$BP261=0),AND(OR($I261="Finito ritenute non previste",$I261="Finito con sblocco ritenute",$I261="Finito senza sblocco ritenute"),$W261&gt;0,$N261&gt;$W261*PARAMETRI!$B$9),$V261&gt;0),"ATTENZIONE","REGOLARE"))),"ATTENZIONE")</f>
        <v/>
      </c>
      <c r="B261" s="17" t="str">
        <f>IFERROR(IF($C261="","",IF($BF261&gt;0,"FATTURATO OLTRE VALORE RECUPERABILE; ","")&amp;IF($V261&gt;$J261,"PERDITE ACCETTATE OLTRE CONTRATTO; ","")&amp;IF($V261&gt;0,"PERDITA SAL ACCETTATA (€ "&amp;TEXT($V261,"#,##0.00")&amp;"); ","")&amp;IF(AND(ISNUMBER($Q261),$Q261&gt;0),"RITARDO PRODUTTIVO ("&amp;TEXT($Q261,"0")&amp;" GG); ","")&amp;IF(AND($BI261&lt;&gt;"",$BI261&lt;-PARAMETRI!$B$5),"AVANZAMENTO PIÙ LENTO DEL TEMPO; ","")&amp;IF(AND($BM261&lt;&gt;"",$BM261&gt;1),"ORE OLTRE BUDGET; ","")&amp;IF(AND($BM261&lt;&gt;"",$BM261=1),"ORE PREVENTIVATE ESAURITE; ","")&amp;IF(AND($BN261&lt;&gt;"",$BN261&gt;PARAMETRI!$B$7),"CONSUMO ORE SUPERIORE ALL'AVANZAMENTO; ","")&amp;IF(AND(ISNUMBER($BR261),$BR261&gt;0),"COSTI DIRETTI OLTRE BUDGET; ","")&amp;IF(AND($W261&gt;0,$M261&gt;$W261*PARAMETRI!$B$9),"SAL MATURATO NON FATTURATO; ","")&amp;IF(AND($O261&gt;0,OR($I261="Finito ritenute non previste",$I261="Finito con sblocco ritenute",$I261="Finito senza sblocco ritenute")),"RITENUTE DA SBLOCCARE; ","")&amp;IF(AND($BA261&gt;0,$BO261&gt;0,$BP261=0),"COSTI DIRETTI NON REGISTRATI; ","")&amp;IF(AND(OR($I261="Finito ritenute non previste",$I261="Finito con sblocco ritenute",$I261="Finito senza sblocco ritenute"),$W261&gt;0,$N261&gt;$W261*PARAMETRI!$B$9),"CANTIERE FINITO CON RESIDUO LAVORI; ","")&amp;IF(AND(OR($I261="Finito ritenute non previste",$I261="Finito con sblocco ritenute",$I261="Finito senza sblocco ritenute"),ANAGRAFICA!$K258=""),"DATA FINE EFFETTIVA MANCANTE; ","")&amp;IF(OR(AND(ANAGRAFICA!$T258&lt;&gt;"",ANAGRAFICA!$J258&lt;&gt;ANAGRAFICA!$T258,OR(ANAGRAFICA!$R258="",ANAGRAFICA!$R258="Nessuna variazione")),AND(ANAGRAFICA!$J258="",ANAGRAFICA!$R258&lt;&gt;"",ANAGRAFICA!$R258&lt;&gt;"Nessuna variazione")),"GESTIONE DATA FINE INCOMPLETA; ","")&amp;IF($Y261="","AGGIORNATO AL MANCANTE; ","")&amp;IF(OR($AZ261="",$BJ261="",$BO261="",ANAGRAFICA!$I258="",ANAGRAFICA!$J258=""),"DATI PREVISIONALI INCOMPLETI; ","")&amp;IF(LEFT($C261,5)="TEMP","CODICE COMMESSA TEMPORANEO; ","")),"DATI INCOMPLETI; ")</f>
        <v/>
      </c>
      <c r="C261" s="17" t="str">
        <f>IF(ANAGRAFICA!$B258="","",ANAGRAFICA!$B258)</f>
        <v/>
      </c>
      <c r="D261" s="17" t="str">
        <f>IF($C261="","",ANAGRAFICA!$C258)</f>
        <v/>
      </c>
      <c r="E261" s="17" t="str">
        <f>IF($C261="","",ANAGRAFICA!$D258)</f>
        <v/>
      </c>
      <c r="F261" s="17" t="str">
        <f>IF($C261="","",ANAGRAFICA!$E258)</f>
        <v/>
      </c>
      <c r="G261" s="17" t="str">
        <f>IF($C261="","",ANAGRAFICA!$F258)</f>
        <v/>
      </c>
      <c r="H261" s="17" t="str">
        <f>IF($C261="","",ANAGRAFICA!$G258)</f>
        <v/>
      </c>
      <c r="I261" s="17" t="str">
        <f>IF($C261="","",ANAGRAFICA!$L258)</f>
        <v/>
      </c>
      <c r="J261" s="16" t="str">
        <f t="shared" si="73"/>
        <v/>
      </c>
      <c r="K261" s="16" t="str">
        <f t="shared" si="74"/>
        <v/>
      </c>
      <c r="L261" s="16" t="str">
        <f t="shared" si="75"/>
        <v/>
      </c>
      <c r="M261" s="16" t="str">
        <f t="shared" si="76"/>
        <v/>
      </c>
      <c r="N261" s="16" t="str">
        <f t="shared" si="77"/>
        <v/>
      </c>
      <c r="O261" s="16" t="str">
        <f t="shared" si="78"/>
        <v/>
      </c>
      <c r="P261" s="17" t="str">
        <f t="shared" si="79"/>
        <v/>
      </c>
      <c r="Q261" s="31" t="str">
        <f>IF(OR($C261="",'BUDGET COMMESSA'!$D258="",'BUDGET COMMESSA'!$D258&lt;=0,ANAGRAFICA!$J258=""),"",IF(OR($I261="Finito ritenute non previste",$I261="Finito con sblocco ritenute",$I261="Finito senza sblocco ritenute"),0,IF(AND($BK261&gt;=$BJ261,ANAGRAFICA!$R258="Ritardo produttivo FIDA"),IF(ANAGRAFICA!$T258&lt;&gt;"",MAX(0,ANAGRAFICA!$J258-ANAGRAFICA!$T258),MAX(0,$Y261-ANAGRAFICA!$J258)),0)))</f>
        <v/>
      </c>
      <c r="R261" s="17" t="str">
        <f t="shared" si="80"/>
        <v/>
      </c>
      <c r="S261" s="17" t="str">
        <f t="shared" si="81"/>
        <v/>
      </c>
      <c r="T261" s="17" t="str">
        <f t="shared" si="82"/>
        <v/>
      </c>
      <c r="U261" s="16" t="str">
        <f t="shared" si="83"/>
        <v/>
      </c>
      <c r="V261" s="16" t="str">
        <f t="shared" si="84"/>
        <v/>
      </c>
      <c r="W261" s="16" t="str">
        <f t="shared" si="85"/>
        <v/>
      </c>
      <c r="X261" s="40"/>
      <c r="Y261" s="14"/>
      <c r="AZ261" t="str">
        <f>IF($C261="","",ANAGRAFICA!$P258)</f>
        <v/>
      </c>
      <c r="BA261" t="str">
        <f>IF($C261="","",SUMIF('MOVIMENTI 2026'!$B$7:$B$4206,$C261,'MOVIMENTI 2026'!$I$7:$I$4206)+SUMIF('SALDI AL 31.12.2025'!$A$6:$A$505,$C261,'SALDI AL 31.12.2025'!$C$6:$C$505))</f>
        <v/>
      </c>
      <c r="BB261" t="str">
        <f>IF($C261="","",SUMIF('MOVIMENTI 2026'!$B$7:$B$4206,$C261,'MOVIMENTI 2026'!$J$7:$J$4206)+SUMIF('SALDI AL 31.12.2025'!$A$6:$A$505,$C261,'SALDI AL 31.12.2025'!$D$6:$D$505))</f>
        <v/>
      </c>
      <c r="BC261" t="str">
        <f>IF($C261="","",SUMIF('MOVIMENTI 2026'!$B$7:$B$4206,$C261,'MOVIMENTI 2026'!$K$7:$K$4206)+SUMIF('SALDI AL 31.12.2025'!$A$6:$A$505,$C261,'SALDI AL 31.12.2025'!$E$6:$E$505))</f>
        <v/>
      </c>
      <c r="BD261" t="str">
        <f>IF($C261="","",SUMIF('MOVIMENTI 2026'!$B$7:$B$4206,$C261,'MOVIMENTI 2026'!$L$7:$L$4206)+SUMIF('SALDI AL 31.12.2025'!$A$6:$A$505,$C261,'SALDI AL 31.12.2025'!$F$6:$F$505))</f>
        <v/>
      </c>
      <c r="BE261" t="str">
        <f t="shared" si="86"/>
        <v/>
      </c>
      <c r="BF261" t="str">
        <f t="shared" si="87"/>
        <v/>
      </c>
      <c r="BG261" t="str">
        <f t="shared" si="88"/>
        <v/>
      </c>
      <c r="BH261" t="str">
        <f>IFERROR(IF(OR($C261="",ANAGRAFICA!$I258="",ANAGRAFICA!$J258="",ANAGRAFICA!$J258&lt;=ANAGRAFICA!$I258,$Y261=""),"",IF(OR($I261="Finito ritenute non previste",$I261="Finito con sblocco ritenute",$I261="Finito senza sblocco ritenute"),1,MAX(0,MIN(1,($Y261-ANAGRAFICA!$I258)/(ANAGRAFICA!$J258-ANAGRAFICA!$I258))))),"")</f>
        <v/>
      </c>
      <c r="BI261" t="str">
        <f t="shared" si="89"/>
        <v/>
      </c>
      <c r="BJ261" t="str">
        <f>IFERROR(IF($C261="","",'BUDGET COMMESSA'!$D258),"")</f>
        <v/>
      </c>
      <c r="BK261" t="str">
        <f>IF($C261="","",SUMIF('MOVIMENTI 2026'!$B$7:$B$4206,$C261,'MOVIMENTI 2026'!$N$7:$N$4206)+SUMIF('SALDI AL 31.12.2025'!$A$6:$A$505,$C261,'SALDI AL 31.12.2025'!$H$6:$H$505))</f>
        <v/>
      </c>
      <c r="BL261" t="str">
        <f t="shared" si="90"/>
        <v/>
      </c>
      <c r="BM261" t="str">
        <f t="shared" si="91"/>
        <v/>
      </c>
      <c r="BN261" t="str">
        <f t="shared" si="92"/>
        <v/>
      </c>
      <c r="BO261" t="str">
        <f>IFERROR(IF($C261="","",'BUDGET COMMESSA'!$G258),"")</f>
        <v/>
      </c>
      <c r="BP261" t="str">
        <f>IF($C261="","",SUMIF('COSTI DIRETTI'!$C$6:$C$505,$C261,'COSTI DIRETTI'!$H$6:$H$505)+SUMIF('SALDI AL 31.12.2025'!$A$6:$A$505,$C261,'SALDI AL 31.12.2025'!$I$6:$I$505))</f>
        <v/>
      </c>
      <c r="BQ261" t="str">
        <f t="shared" si="93"/>
        <v/>
      </c>
      <c r="BR261" t="str">
        <f t="shared" si="94"/>
        <v/>
      </c>
      <c r="BS261" t="str">
        <f>IF($C261="","",$BK261*PARAMETRI!$B$4+$BP261)</f>
        <v/>
      </c>
      <c r="BT261">
        <f t="shared" si="95"/>
        <v>0</v>
      </c>
      <c r="BU261">
        <f t="shared" si="96"/>
        <v>0</v>
      </c>
      <c r="BV261" t="str">
        <f>IF($C261="","",SUMIF('MOVIMENTI 2026'!$B$7:$B$4206,$C261,'MOVIMENTI 2026'!$P$7:$P$4206)+SUMIF('SALDI AL 31.12.2025'!$A$6:$A$505,$C261,'SALDI AL 31.12.2025'!$G$6:$G$505))</f>
        <v/>
      </c>
    </row>
    <row r="262" spans="1:74" ht="16" x14ac:dyDescent="0.15">
      <c r="A262" s="17" t="str">
        <f>IFERROR(IF($C262="","",IF(OR($BF262&gt;0,$V262&gt;$J262,AND(ISNUMBER($Q262),$Q262&gt;0),AND($BI262&lt;&gt;"",$BI262&lt;-PARAMETRI!$B$6),AND($BM262&lt;&gt;"",$BM262&gt;=1),AND($BN262&lt;&gt;"",$BN262&gt;PARAMETRI!$B$8),AND(ISNUMBER($BR262),$BR262&gt;0)),"CRITICO",IF(OR($AZ262="",LEFT($C262,5)="TEMP",$BJ262="",$BO262="",ANAGRAFICA!$I259="",ANAGRAFICA!$J259="",$Y262="",AND(OR($I262="Finito ritenute non previste",$I262="Finito con sblocco ritenute",$I262="Finito senza sblocco ritenute"),ANAGRAFICA!$K259=""),OR(AND(ANAGRAFICA!$T259&lt;&gt;"",ANAGRAFICA!$J259&lt;&gt;ANAGRAFICA!$T259,OR(ANAGRAFICA!$R259="",ANAGRAFICA!$R259="Nessuna variazione")),AND(ANAGRAFICA!$J259="",ANAGRAFICA!$R259&lt;&gt;"",ANAGRAFICA!$R259&lt;&gt;"Nessuna variazione")),AND($BI262&lt;&gt;"",$BI262&lt;-PARAMETRI!$B$5),AND($BN262&lt;&gt;"",$BN262&gt;PARAMETRI!$B$7),AND($W262&gt;0,$M262&gt;$W262*PARAMETRI!$B$9),AND($O262&gt;0,OR($I262="Finito ritenute non previste",$I262="Finito con sblocco ritenute",$I262="Finito senza sblocco ritenute")),AND($BA262&gt;0,$BO262&gt;0,$BP262=0),AND(OR($I262="Finito ritenute non previste",$I262="Finito con sblocco ritenute",$I262="Finito senza sblocco ritenute"),$W262&gt;0,$N262&gt;$W262*PARAMETRI!$B$9),$V262&gt;0),"ATTENZIONE","REGOLARE"))),"ATTENZIONE")</f>
        <v/>
      </c>
      <c r="B262" s="17" t="str">
        <f>IFERROR(IF($C262="","",IF($BF262&gt;0,"FATTURATO OLTRE VALORE RECUPERABILE; ","")&amp;IF($V262&gt;$J262,"PERDITE ACCETTATE OLTRE CONTRATTO; ","")&amp;IF($V262&gt;0,"PERDITA SAL ACCETTATA (€ "&amp;TEXT($V262,"#,##0.00")&amp;"); ","")&amp;IF(AND(ISNUMBER($Q262),$Q262&gt;0),"RITARDO PRODUTTIVO ("&amp;TEXT($Q262,"0")&amp;" GG); ","")&amp;IF(AND($BI262&lt;&gt;"",$BI262&lt;-PARAMETRI!$B$5),"AVANZAMENTO PIÙ LENTO DEL TEMPO; ","")&amp;IF(AND($BM262&lt;&gt;"",$BM262&gt;1),"ORE OLTRE BUDGET; ","")&amp;IF(AND($BM262&lt;&gt;"",$BM262=1),"ORE PREVENTIVATE ESAURITE; ","")&amp;IF(AND($BN262&lt;&gt;"",$BN262&gt;PARAMETRI!$B$7),"CONSUMO ORE SUPERIORE ALL'AVANZAMENTO; ","")&amp;IF(AND(ISNUMBER($BR262),$BR262&gt;0),"COSTI DIRETTI OLTRE BUDGET; ","")&amp;IF(AND($W262&gt;0,$M262&gt;$W262*PARAMETRI!$B$9),"SAL MATURATO NON FATTURATO; ","")&amp;IF(AND($O262&gt;0,OR($I262="Finito ritenute non previste",$I262="Finito con sblocco ritenute",$I262="Finito senza sblocco ritenute")),"RITENUTE DA SBLOCCARE; ","")&amp;IF(AND($BA262&gt;0,$BO262&gt;0,$BP262=0),"COSTI DIRETTI NON REGISTRATI; ","")&amp;IF(AND(OR($I262="Finito ritenute non previste",$I262="Finito con sblocco ritenute",$I262="Finito senza sblocco ritenute"),$W262&gt;0,$N262&gt;$W262*PARAMETRI!$B$9),"CANTIERE FINITO CON RESIDUO LAVORI; ","")&amp;IF(AND(OR($I262="Finito ritenute non previste",$I262="Finito con sblocco ritenute",$I262="Finito senza sblocco ritenute"),ANAGRAFICA!$K259=""),"DATA FINE EFFETTIVA MANCANTE; ","")&amp;IF(OR(AND(ANAGRAFICA!$T259&lt;&gt;"",ANAGRAFICA!$J259&lt;&gt;ANAGRAFICA!$T259,OR(ANAGRAFICA!$R259="",ANAGRAFICA!$R259="Nessuna variazione")),AND(ANAGRAFICA!$J259="",ANAGRAFICA!$R259&lt;&gt;"",ANAGRAFICA!$R259&lt;&gt;"Nessuna variazione")),"GESTIONE DATA FINE INCOMPLETA; ","")&amp;IF($Y262="","AGGIORNATO AL MANCANTE; ","")&amp;IF(OR($AZ262="",$BJ262="",$BO262="",ANAGRAFICA!$I259="",ANAGRAFICA!$J259=""),"DATI PREVISIONALI INCOMPLETI; ","")&amp;IF(LEFT($C262,5)="TEMP","CODICE COMMESSA TEMPORANEO; ","")),"DATI INCOMPLETI; ")</f>
        <v/>
      </c>
      <c r="C262" s="17" t="str">
        <f>IF(ANAGRAFICA!$B259="","",ANAGRAFICA!$B259)</f>
        <v/>
      </c>
      <c r="D262" s="17" t="str">
        <f>IF($C262="","",ANAGRAFICA!$C259)</f>
        <v/>
      </c>
      <c r="E262" s="17" t="str">
        <f>IF($C262="","",ANAGRAFICA!$D259)</f>
        <v/>
      </c>
      <c r="F262" s="17" t="str">
        <f>IF($C262="","",ANAGRAFICA!$E259)</f>
        <v/>
      </c>
      <c r="G262" s="17" t="str">
        <f>IF($C262="","",ANAGRAFICA!$F259)</f>
        <v/>
      </c>
      <c r="H262" s="17" t="str">
        <f>IF($C262="","",ANAGRAFICA!$G259)</f>
        <v/>
      </c>
      <c r="I262" s="17" t="str">
        <f>IF($C262="","",ANAGRAFICA!$L259)</f>
        <v/>
      </c>
      <c r="J262" s="16" t="str">
        <f t="shared" si="73"/>
        <v/>
      </c>
      <c r="K262" s="16" t="str">
        <f t="shared" si="74"/>
        <v/>
      </c>
      <c r="L262" s="16" t="str">
        <f t="shared" si="75"/>
        <v/>
      </c>
      <c r="M262" s="16" t="str">
        <f t="shared" si="76"/>
        <v/>
      </c>
      <c r="N262" s="16" t="str">
        <f t="shared" si="77"/>
        <v/>
      </c>
      <c r="O262" s="16" t="str">
        <f t="shared" si="78"/>
        <v/>
      </c>
      <c r="P262" s="17" t="str">
        <f t="shared" si="79"/>
        <v/>
      </c>
      <c r="Q262" s="31" t="str">
        <f>IF(OR($C262="",'BUDGET COMMESSA'!$D259="",'BUDGET COMMESSA'!$D259&lt;=0,ANAGRAFICA!$J259=""),"",IF(OR($I262="Finito ritenute non previste",$I262="Finito con sblocco ritenute",$I262="Finito senza sblocco ritenute"),0,IF(AND($BK262&gt;=$BJ262,ANAGRAFICA!$R259="Ritardo produttivo FIDA"),IF(ANAGRAFICA!$T259&lt;&gt;"",MAX(0,ANAGRAFICA!$J259-ANAGRAFICA!$T259),MAX(0,$Y262-ANAGRAFICA!$J259)),0)))</f>
        <v/>
      </c>
      <c r="R262" s="17" t="str">
        <f t="shared" si="80"/>
        <v/>
      </c>
      <c r="S262" s="17" t="str">
        <f t="shared" si="81"/>
        <v/>
      </c>
      <c r="T262" s="17" t="str">
        <f t="shared" si="82"/>
        <v/>
      </c>
      <c r="U262" s="16" t="str">
        <f t="shared" si="83"/>
        <v/>
      </c>
      <c r="V262" s="16" t="str">
        <f t="shared" si="84"/>
        <v/>
      </c>
      <c r="W262" s="16" t="str">
        <f t="shared" si="85"/>
        <v/>
      </c>
      <c r="X262" s="40"/>
      <c r="Y262" s="14"/>
      <c r="AZ262" t="str">
        <f>IF($C262="","",ANAGRAFICA!$P259)</f>
        <v/>
      </c>
      <c r="BA262" t="str">
        <f>IF($C262="","",SUMIF('MOVIMENTI 2026'!$B$7:$B$4206,$C262,'MOVIMENTI 2026'!$I$7:$I$4206)+SUMIF('SALDI AL 31.12.2025'!$A$6:$A$505,$C262,'SALDI AL 31.12.2025'!$C$6:$C$505))</f>
        <v/>
      </c>
      <c r="BB262" t="str">
        <f>IF($C262="","",SUMIF('MOVIMENTI 2026'!$B$7:$B$4206,$C262,'MOVIMENTI 2026'!$J$7:$J$4206)+SUMIF('SALDI AL 31.12.2025'!$A$6:$A$505,$C262,'SALDI AL 31.12.2025'!$D$6:$D$505))</f>
        <v/>
      </c>
      <c r="BC262" t="str">
        <f>IF($C262="","",SUMIF('MOVIMENTI 2026'!$B$7:$B$4206,$C262,'MOVIMENTI 2026'!$K$7:$K$4206)+SUMIF('SALDI AL 31.12.2025'!$A$6:$A$505,$C262,'SALDI AL 31.12.2025'!$E$6:$E$505))</f>
        <v/>
      </c>
      <c r="BD262" t="str">
        <f>IF($C262="","",SUMIF('MOVIMENTI 2026'!$B$7:$B$4206,$C262,'MOVIMENTI 2026'!$L$7:$L$4206)+SUMIF('SALDI AL 31.12.2025'!$A$6:$A$505,$C262,'SALDI AL 31.12.2025'!$F$6:$F$505))</f>
        <v/>
      </c>
      <c r="BE262" t="str">
        <f t="shared" si="86"/>
        <v/>
      </c>
      <c r="BF262" t="str">
        <f t="shared" si="87"/>
        <v/>
      </c>
      <c r="BG262" t="str">
        <f t="shared" si="88"/>
        <v/>
      </c>
      <c r="BH262" t="str">
        <f>IFERROR(IF(OR($C262="",ANAGRAFICA!$I259="",ANAGRAFICA!$J259="",ANAGRAFICA!$J259&lt;=ANAGRAFICA!$I259,$Y262=""),"",IF(OR($I262="Finito ritenute non previste",$I262="Finito con sblocco ritenute",$I262="Finito senza sblocco ritenute"),1,MAX(0,MIN(1,($Y262-ANAGRAFICA!$I259)/(ANAGRAFICA!$J259-ANAGRAFICA!$I259))))),"")</f>
        <v/>
      </c>
      <c r="BI262" t="str">
        <f t="shared" si="89"/>
        <v/>
      </c>
      <c r="BJ262" t="str">
        <f>IFERROR(IF($C262="","",'BUDGET COMMESSA'!$D259),"")</f>
        <v/>
      </c>
      <c r="BK262" t="str">
        <f>IF($C262="","",SUMIF('MOVIMENTI 2026'!$B$7:$B$4206,$C262,'MOVIMENTI 2026'!$N$7:$N$4206)+SUMIF('SALDI AL 31.12.2025'!$A$6:$A$505,$C262,'SALDI AL 31.12.2025'!$H$6:$H$505))</f>
        <v/>
      </c>
      <c r="BL262" t="str">
        <f t="shared" si="90"/>
        <v/>
      </c>
      <c r="BM262" t="str">
        <f t="shared" si="91"/>
        <v/>
      </c>
      <c r="BN262" t="str">
        <f t="shared" si="92"/>
        <v/>
      </c>
      <c r="BO262" t="str">
        <f>IFERROR(IF($C262="","",'BUDGET COMMESSA'!$G259),"")</f>
        <v/>
      </c>
      <c r="BP262" t="str">
        <f>IF($C262="","",SUMIF('COSTI DIRETTI'!$C$6:$C$505,$C262,'COSTI DIRETTI'!$H$6:$H$505)+SUMIF('SALDI AL 31.12.2025'!$A$6:$A$505,$C262,'SALDI AL 31.12.2025'!$I$6:$I$505))</f>
        <v/>
      </c>
      <c r="BQ262" t="str">
        <f t="shared" si="93"/>
        <v/>
      </c>
      <c r="BR262" t="str">
        <f t="shared" si="94"/>
        <v/>
      </c>
      <c r="BS262" t="str">
        <f>IF($C262="","",$BK262*PARAMETRI!$B$4+$BP262)</f>
        <v/>
      </c>
      <c r="BT262">
        <f t="shared" si="95"/>
        <v>0</v>
      </c>
      <c r="BU262">
        <f t="shared" si="96"/>
        <v>0</v>
      </c>
      <c r="BV262" t="str">
        <f>IF($C262="","",SUMIF('MOVIMENTI 2026'!$B$7:$B$4206,$C262,'MOVIMENTI 2026'!$P$7:$P$4206)+SUMIF('SALDI AL 31.12.2025'!$A$6:$A$505,$C262,'SALDI AL 31.12.2025'!$G$6:$G$505))</f>
        <v/>
      </c>
    </row>
    <row r="263" spans="1:74" ht="16" x14ac:dyDescent="0.15">
      <c r="A263" s="17" t="str">
        <f>IFERROR(IF($C263="","",IF(OR($BF263&gt;0,$V263&gt;$J263,AND(ISNUMBER($Q263),$Q263&gt;0),AND($BI263&lt;&gt;"",$BI263&lt;-PARAMETRI!$B$6),AND($BM263&lt;&gt;"",$BM263&gt;=1),AND($BN263&lt;&gt;"",$BN263&gt;PARAMETRI!$B$8),AND(ISNUMBER($BR263),$BR263&gt;0)),"CRITICO",IF(OR($AZ263="",LEFT($C263,5)="TEMP",$BJ263="",$BO263="",ANAGRAFICA!$I260="",ANAGRAFICA!$J260="",$Y263="",AND(OR($I263="Finito ritenute non previste",$I263="Finito con sblocco ritenute",$I263="Finito senza sblocco ritenute"),ANAGRAFICA!$K260=""),OR(AND(ANAGRAFICA!$T260&lt;&gt;"",ANAGRAFICA!$J260&lt;&gt;ANAGRAFICA!$T260,OR(ANAGRAFICA!$R260="",ANAGRAFICA!$R260="Nessuna variazione")),AND(ANAGRAFICA!$J260="",ANAGRAFICA!$R260&lt;&gt;"",ANAGRAFICA!$R260&lt;&gt;"Nessuna variazione")),AND($BI263&lt;&gt;"",$BI263&lt;-PARAMETRI!$B$5),AND($BN263&lt;&gt;"",$BN263&gt;PARAMETRI!$B$7),AND($W263&gt;0,$M263&gt;$W263*PARAMETRI!$B$9),AND($O263&gt;0,OR($I263="Finito ritenute non previste",$I263="Finito con sblocco ritenute",$I263="Finito senza sblocco ritenute")),AND($BA263&gt;0,$BO263&gt;0,$BP263=0),AND(OR($I263="Finito ritenute non previste",$I263="Finito con sblocco ritenute",$I263="Finito senza sblocco ritenute"),$W263&gt;0,$N263&gt;$W263*PARAMETRI!$B$9),$V263&gt;0),"ATTENZIONE","REGOLARE"))),"ATTENZIONE")</f>
        <v/>
      </c>
      <c r="B263" s="17" t="str">
        <f>IFERROR(IF($C263="","",IF($BF263&gt;0,"FATTURATO OLTRE VALORE RECUPERABILE; ","")&amp;IF($V263&gt;$J263,"PERDITE ACCETTATE OLTRE CONTRATTO; ","")&amp;IF($V263&gt;0,"PERDITA SAL ACCETTATA (€ "&amp;TEXT($V263,"#,##0.00")&amp;"); ","")&amp;IF(AND(ISNUMBER($Q263),$Q263&gt;0),"RITARDO PRODUTTIVO ("&amp;TEXT($Q263,"0")&amp;" GG); ","")&amp;IF(AND($BI263&lt;&gt;"",$BI263&lt;-PARAMETRI!$B$5),"AVANZAMENTO PIÙ LENTO DEL TEMPO; ","")&amp;IF(AND($BM263&lt;&gt;"",$BM263&gt;1),"ORE OLTRE BUDGET; ","")&amp;IF(AND($BM263&lt;&gt;"",$BM263=1),"ORE PREVENTIVATE ESAURITE; ","")&amp;IF(AND($BN263&lt;&gt;"",$BN263&gt;PARAMETRI!$B$7),"CONSUMO ORE SUPERIORE ALL'AVANZAMENTO; ","")&amp;IF(AND(ISNUMBER($BR263),$BR263&gt;0),"COSTI DIRETTI OLTRE BUDGET; ","")&amp;IF(AND($W263&gt;0,$M263&gt;$W263*PARAMETRI!$B$9),"SAL MATURATO NON FATTURATO; ","")&amp;IF(AND($O263&gt;0,OR($I263="Finito ritenute non previste",$I263="Finito con sblocco ritenute",$I263="Finito senza sblocco ritenute")),"RITENUTE DA SBLOCCARE; ","")&amp;IF(AND($BA263&gt;0,$BO263&gt;0,$BP263=0),"COSTI DIRETTI NON REGISTRATI; ","")&amp;IF(AND(OR($I263="Finito ritenute non previste",$I263="Finito con sblocco ritenute",$I263="Finito senza sblocco ritenute"),$W263&gt;0,$N263&gt;$W263*PARAMETRI!$B$9),"CANTIERE FINITO CON RESIDUO LAVORI; ","")&amp;IF(AND(OR($I263="Finito ritenute non previste",$I263="Finito con sblocco ritenute",$I263="Finito senza sblocco ritenute"),ANAGRAFICA!$K260=""),"DATA FINE EFFETTIVA MANCANTE; ","")&amp;IF(OR(AND(ANAGRAFICA!$T260&lt;&gt;"",ANAGRAFICA!$J260&lt;&gt;ANAGRAFICA!$T260,OR(ANAGRAFICA!$R260="",ANAGRAFICA!$R260="Nessuna variazione")),AND(ANAGRAFICA!$J260="",ANAGRAFICA!$R260&lt;&gt;"",ANAGRAFICA!$R260&lt;&gt;"Nessuna variazione")),"GESTIONE DATA FINE INCOMPLETA; ","")&amp;IF($Y263="","AGGIORNATO AL MANCANTE; ","")&amp;IF(OR($AZ263="",$BJ263="",$BO263="",ANAGRAFICA!$I260="",ANAGRAFICA!$J260=""),"DATI PREVISIONALI INCOMPLETI; ","")&amp;IF(LEFT($C263,5)="TEMP","CODICE COMMESSA TEMPORANEO; ","")),"DATI INCOMPLETI; ")</f>
        <v/>
      </c>
      <c r="C263" s="17" t="str">
        <f>IF(ANAGRAFICA!$B260="","",ANAGRAFICA!$B260)</f>
        <v/>
      </c>
      <c r="D263" s="17" t="str">
        <f>IF($C263="","",ANAGRAFICA!$C260)</f>
        <v/>
      </c>
      <c r="E263" s="17" t="str">
        <f>IF($C263="","",ANAGRAFICA!$D260)</f>
        <v/>
      </c>
      <c r="F263" s="17" t="str">
        <f>IF($C263="","",ANAGRAFICA!$E260)</f>
        <v/>
      </c>
      <c r="G263" s="17" t="str">
        <f>IF($C263="","",ANAGRAFICA!$F260)</f>
        <v/>
      </c>
      <c r="H263" s="17" t="str">
        <f>IF($C263="","",ANAGRAFICA!$G260)</f>
        <v/>
      </c>
      <c r="I263" s="17" t="str">
        <f>IF($C263="","",ANAGRAFICA!$L260)</f>
        <v/>
      </c>
      <c r="J263" s="16" t="str">
        <f t="shared" si="73"/>
        <v/>
      </c>
      <c r="K263" s="16" t="str">
        <f t="shared" si="74"/>
        <v/>
      </c>
      <c r="L263" s="16" t="str">
        <f t="shared" si="75"/>
        <v/>
      </c>
      <c r="M263" s="16" t="str">
        <f t="shared" si="76"/>
        <v/>
      </c>
      <c r="N263" s="16" t="str">
        <f t="shared" si="77"/>
        <v/>
      </c>
      <c r="O263" s="16" t="str">
        <f t="shared" si="78"/>
        <v/>
      </c>
      <c r="P263" s="17" t="str">
        <f t="shared" si="79"/>
        <v/>
      </c>
      <c r="Q263" s="31" t="str">
        <f>IF(OR($C263="",'BUDGET COMMESSA'!$D260="",'BUDGET COMMESSA'!$D260&lt;=0,ANAGRAFICA!$J260=""),"",IF(OR($I263="Finito ritenute non previste",$I263="Finito con sblocco ritenute",$I263="Finito senza sblocco ritenute"),0,IF(AND($BK263&gt;=$BJ263,ANAGRAFICA!$R260="Ritardo produttivo FIDA"),IF(ANAGRAFICA!$T260&lt;&gt;"",MAX(0,ANAGRAFICA!$J260-ANAGRAFICA!$T260),MAX(0,$Y263-ANAGRAFICA!$J260)),0)))</f>
        <v/>
      </c>
      <c r="R263" s="17" t="str">
        <f t="shared" si="80"/>
        <v/>
      </c>
      <c r="S263" s="17" t="str">
        <f t="shared" si="81"/>
        <v/>
      </c>
      <c r="T263" s="17" t="str">
        <f t="shared" si="82"/>
        <v/>
      </c>
      <c r="U263" s="16" t="str">
        <f t="shared" si="83"/>
        <v/>
      </c>
      <c r="V263" s="16" t="str">
        <f t="shared" si="84"/>
        <v/>
      </c>
      <c r="W263" s="16" t="str">
        <f t="shared" si="85"/>
        <v/>
      </c>
      <c r="X263" s="40"/>
      <c r="Y263" s="14"/>
      <c r="AZ263" t="str">
        <f>IF($C263="","",ANAGRAFICA!$P260)</f>
        <v/>
      </c>
      <c r="BA263" t="str">
        <f>IF($C263="","",SUMIF('MOVIMENTI 2026'!$B$7:$B$4206,$C263,'MOVIMENTI 2026'!$I$7:$I$4206)+SUMIF('SALDI AL 31.12.2025'!$A$6:$A$505,$C263,'SALDI AL 31.12.2025'!$C$6:$C$505))</f>
        <v/>
      </c>
      <c r="BB263" t="str">
        <f>IF($C263="","",SUMIF('MOVIMENTI 2026'!$B$7:$B$4206,$C263,'MOVIMENTI 2026'!$J$7:$J$4206)+SUMIF('SALDI AL 31.12.2025'!$A$6:$A$505,$C263,'SALDI AL 31.12.2025'!$D$6:$D$505))</f>
        <v/>
      </c>
      <c r="BC263" t="str">
        <f>IF($C263="","",SUMIF('MOVIMENTI 2026'!$B$7:$B$4206,$C263,'MOVIMENTI 2026'!$K$7:$K$4206)+SUMIF('SALDI AL 31.12.2025'!$A$6:$A$505,$C263,'SALDI AL 31.12.2025'!$E$6:$E$505))</f>
        <v/>
      </c>
      <c r="BD263" t="str">
        <f>IF($C263="","",SUMIF('MOVIMENTI 2026'!$B$7:$B$4206,$C263,'MOVIMENTI 2026'!$L$7:$L$4206)+SUMIF('SALDI AL 31.12.2025'!$A$6:$A$505,$C263,'SALDI AL 31.12.2025'!$F$6:$F$505))</f>
        <v/>
      </c>
      <c r="BE263" t="str">
        <f t="shared" si="86"/>
        <v/>
      </c>
      <c r="BF263" t="str">
        <f t="shared" si="87"/>
        <v/>
      </c>
      <c r="BG263" t="str">
        <f t="shared" si="88"/>
        <v/>
      </c>
      <c r="BH263" t="str">
        <f>IFERROR(IF(OR($C263="",ANAGRAFICA!$I260="",ANAGRAFICA!$J260="",ANAGRAFICA!$J260&lt;=ANAGRAFICA!$I260,$Y263=""),"",IF(OR($I263="Finito ritenute non previste",$I263="Finito con sblocco ritenute",$I263="Finito senza sblocco ritenute"),1,MAX(0,MIN(1,($Y263-ANAGRAFICA!$I260)/(ANAGRAFICA!$J260-ANAGRAFICA!$I260))))),"")</f>
        <v/>
      </c>
      <c r="BI263" t="str">
        <f t="shared" si="89"/>
        <v/>
      </c>
      <c r="BJ263" t="str">
        <f>IFERROR(IF($C263="","",'BUDGET COMMESSA'!$D260),"")</f>
        <v/>
      </c>
      <c r="BK263" t="str">
        <f>IF($C263="","",SUMIF('MOVIMENTI 2026'!$B$7:$B$4206,$C263,'MOVIMENTI 2026'!$N$7:$N$4206)+SUMIF('SALDI AL 31.12.2025'!$A$6:$A$505,$C263,'SALDI AL 31.12.2025'!$H$6:$H$505))</f>
        <v/>
      </c>
      <c r="BL263" t="str">
        <f t="shared" si="90"/>
        <v/>
      </c>
      <c r="BM263" t="str">
        <f t="shared" si="91"/>
        <v/>
      </c>
      <c r="BN263" t="str">
        <f t="shared" si="92"/>
        <v/>
      </c>
      <c r="BO263" t="str">
        <f>IFERROR(IF($C263="","",'BUDGET COMMESSA'!$G260),"")</f>
        <v/>
      </c>
      <c r="BP263" t="str">
        <f>IF($C263="","",SUMIF('COSTI DIRETTI'!$C$6:$C$505,$C263,'COSTI DIRETTI'!$H$6:$H$505)+SUMIF('SALDI AL 31.12.2025'!$A$6:$A$505,$C263,'SALDI AL 31.12.2025'!$I$6:$I$505))</f>
        <v/>
      </c>
      <c r="BQ263" t="str">
        <f t="shared" si="93"/>
        <v/>
      </c>
      <c r="BR263" t="str">
        <f t="shared" si="94"/>
        <v/>
      </c>
      <c r="BS263" t="str">
        <f>IF($C263="","",$BK263*PARAMETRI!$B$4+$BP263)</f>
        <v/>
      </c>
      <c r="BT263">
        <f t="shared" si="95"/>
        <v>0</v>
      </c>
      <c r="BU263">
        <f t="shared" si="96"/>
        <v>0</v>
      </c>
      <c r="BV263" t="str">
        <f>IF($C263="","",SUMIF('MOVIMENTI 2026'!$B$7:$B$4206,$C263,'MOVIMENTI 2026'!$P$7:$P$4206)+SUMIF('SALDI AL 31.12.2025'!$A$6:$A$505,$C263,'SALDI AL 31.12.2025'!$G$6:$G$505))</f>
        <v/>
      </c>
    </row>
    <row r="264" spans="1:74" ht="16" x14ac:dyDescent="0.15">
      <c r="A264" s="17" t="str">
        <f>IFERROR(IF($C264="","",IF(OR($BF264&gt;0,$V264&gt;$J264,AND(ISNUMBER($Q264),$Q264&gt;0),AND($BI264&lt;&gt;"",$BI264&lt;-PARAMETRI!$B$6),AND($BM264&lt;&gt;"",$BM264&gt;=1),AND($BN264&lt;&gt;"",$BN264&gt;PARAMETRI!$B$8),AND(ISNUMBER($BR264),$BR264&gt;0)),"CRITICO",IF(OR($AZ264="",LEFT($C264,5)="TEMP",$BJ264="",$BO264="",ANAGRAFICA!$I261="",ANAGRAFICA!$J261="",$Y264="",AND(OR($I264="Finito ritenute non previste",$I264="Finito con sblocco ritenute",$I264="Finito senza sblocco ritenute"),ANAGRAFICA!$K261=""),OR(AND(ANAGRAFICA!$T261&lt;&gt;"",ANAGRAFICA!$J261&lt;&gt;ANAGRAFICA!$T261,OR(ANAGRAFICA!$R261="",ANAGRAFICA!$R261="Nessuna variazione")),AND(ANAGRAFICA!$J261="",ANAGRAFICA!$R261&lt;&gt;"",ANAGRAFICA!$R261&lt;&gt;"Nessuna variazione")),AND($BI264&lt;&gt;"",$BI264&lt;-PARAMETRI!$B$5),AND($BN264&lt;&gt;"",$BN264&gt;PARAMETRI!$B$7),AND($W264&gt;0,$M264&gt;$W264*PARAMETRI!$B$9),AND($O264&gt;0,OR($I264="Finito ritenute non previste",$I264="Finito con sblocco ritenute",$I264="Finito senza sblocco ritenute")),AND($BA264&gt;0,$BO264&gt;0,$BP264=0),AND(OR($I264="Finito ritenute non previste",$I264="Finito con sblocco ritenute",$I264="Finito senza sblocco ritenute"),$W264&gt;0,$N264&gt;$W264*PARAMETRI!$B$9),$V264&gt;0),"ATTENZIONE","REGOLARE"))),"ATTENZIONE")</f>
        <v/>
      </c>
      <c r="B264" s="17" t="str">
        <f>IFERROR(IF($C264="","",IF($BF264&gt;0,"FATTURATO OLTRE VALORE RECUPERABILE; ","")&amp;IF($V264&gt;$J264,"PERDITE ACCETTATE OLTRE CONTRATTO; ","")&amp;IF($V264&gt;0,"PERDITA SAL ACCETTATA (€ "&amp;TEXT($V264,"#,##0.00")&amp;"); ","")&amp;IF(AND(ISNUMBER($Q264),$Q264&gt;0),"RITARDO PRODUTTIVO ("&amp;TEXT($Q264,"0")&amp;" GG); ","")&amp;IF(AND($BI264&lt;&gt;"",$BI264&lt;-PARAMETRI!$B$5),"AVANZAMENTO PIÙ LENTO DEL TEMPO; ","")&amp;IF(AND($BM264&lt;&gt;"",$BM264&gt;1),"ORE OLTRE BUDGET; ","")&amp;IF(AND($BM264&lt;&gt;"",$BM264=1),"ORE PREVENTIVATE ESAURITE; ","")&amp;IF(AND($BN264&lt;&gt;"",$BN264&gt;PARAMETRI!$B$7),"CONSUMO ORE SUPERIORE ALL'AVANZAMENTO; ","")&amp;IF(AND(ISNUMBER($BR264),$BR264&gt;0),"COSTI DIRETTI OLTRE BUDGET; ","")&amp;IF(AND($W264&gt;0,$M264&gt;$W264*PARAMETRI!$B$9),"SAL MATURATO NON FATTURATO; ","")&amp;IF(AND($O264&gt;0,OR($I264="Finito ritenute non previste",$I264="Finito con sblocco ritenute",$I264="Finito senza sblocco ritenute")),"RITENUTE DA SBLOCCARE; ","")&amp;IF(AND($BA264&gt;0,$BO264&gt;0,$BP264=0),"COSTI DIRETTI NON REGISTRATI; ","")&amp;IF(AND(OR($I264="Finito ritenute non previste",$I264="Finito con sblocco ritenute",$I264="Finito senza sblocco ritenute"),$W264&gt;0,$N264&gt;$W264*PARAMETRI!$B$9),"CANTIERE FINITO CON RESIDUO LAVORI; ","")&amp;IF(AND(OR($I264="Finito ritenute non previste",$I264="Finito con sblocco ritenute",$I264="Finito senza sblocco ritenute"),ANAGRAFICA!$K261=""),"DATA FINE EFFETTIVA MANCANTE; ","")&amp;IF(OR(AND(ANAGRAFICA!$T261&lt;&gt;"",ANAGRAFICA!$J261&lt;&gt;ANAGRAFICA!$T261,OR(ANAGRAFICA!$R261="",ANAGRAFICA!$R261="Nessuna variazione")),AND(ANAGRAFICA!$J261="",ANAGRAFICA!$R261&lt;&gt;"",ANAGRAFICA!$R261&lt;&gt;"Nessuna variazione")),"GESTIONE DATA FINE INCOMPLETA; ","")&amp;IF($Y264="","AGGIORNATO AL MANCANTE; ","")&amp;IF(OR($AZ264="",$BJ264="",$BO264="",ANAGRAFICA!$I261="",ANAGRAFICA!$J261=""),"DATI PREVISIONALI INCOMPLETI; ","")&amp;IF(LEFT($C264,5)="TEMP","CODICE COMMESSA TEMPORANEO; ","")),"DATI INCOMPLETI; ")</f>
        <v/>
      </c>
      <c r="C264" s="17" t="str">
        <f>IF(ANAGRAFICA!$B261="","",ANAGRAFICA!$B261)</f>
        <v/>
      </c>
      <c r="D264" s="17" t="str">
        <f>IF($C264="","",ANAGRAFICA!$C261)</f>
        <v/>
      </c>
      <c r="E264" s="17" t="str">
        <f>IF($C264="","",ANAGRAFICA!$D261)</f>
        <v/>
      </c>
      <c r="F264" s="17" t="str">
        <f>IF($C264="","",ANAGRAFICA!$E261)</f>
        <v/>
      </c>
      <c r="G264" s="17" t="str">
        <f>IF($C264="","",ANAGRAFICA!$F261)</f>
        <v/>
      </c>
      <c r="H264" s="17" t="str">
        <f>IF($C264="","",ANAGRAFICA!$G261)</f>
        <v/>
      </c>
      <c r="I264" s="17" t="str">
        <f>IF($C264="","",ANAGRAFICA!$L261)</f>
        <v/>
      </c>
      <c r="J264" s="16" t="str">
        <f t="shared" si="73"/>
        <v/>
      </c>
      <c r="K264" s="16" t="str">
        <f t="shared" si="74"/>
        <v/>
      </c>
      <c r="L264" s="16" t="str">
        <f t="shared" si="75"/>
        <v/>
      </c>
      <c r="M264" s="16" t="str">
        <f t="shared" si="76"/>
        <v/>
      </c>
      <c r="N264" s="16" t="str">
        <f t="shared" si="77"/>
        <v/>
      </c>
      <c r="O264" s="16" t="str">
        <f t="shared" si="78"/>
        <v/>
      </c>
      <c r="P264" s="17" t="str">
        <f t="shared" si="79"/>
        <v/>
      </c>
      <c r="Q264" s="31" t="str">
        <f>IF(OR($C264="",'BUDGET COMMESSA'!$D261="",'BUDGET COMMESSA'!$D261&lt;=0,ANAGRAFICA!$J261=""),"",IF(OR($I264="Finito ritenute non previste",$I264="Finito con sblocco ritenute",$I264="Finito senza sblocco ritenute"),0,IF(AND($BK264&gt;=$BJ264,ANAGRAFICA!$R261="Ritardo produttivo FIDA"),IF(ANAGRAFICA!$T261&lt;&gt;"",MAX(0,ANAGRAFICA!$J261-ANAGRAFICA!$T261),MAX(0,$Y264-ANAGRAFICA!$J261)),0)))</f>
        <v/>
      </c>
      <c r="R264" s="17" t="str">
        <f t="shared" si="80"/>
        <v/>
      </c>
      <c r="S264" s="17" t="str">
        <f t="shared" si="81"/>
        <v/>
      </c>
      <c r="T264" s="17" t="str">
        <f t="shared" si="82"/>
        <v/>
      </c>
      <c r="U264" s="16" t="str">
        <f t="shared" si="83"/>
        <v/>
      </c>
      <c r="V264" s="16" t="str">
        <f t="shared" si="84"/>
        <v/>
      </c>
      <c r="W264" s="16" t="str">
        <f t="shared" si="85"/>
        <v/>
      </c>
      <c r="X264" s="40"/>
      <c r="Y264" s="14"/>
      <c r="AZ264" t="str">
        <f>IF($C264="","",ANAGRAFICA!$P261)</f>
        <v/>
      </c>
      <c r="BA264" t="str">
        <f>IF($C264="","",SUMIF('MOVIMENTI 2026'!$B$7:$B$4206,$C264,'MOVIMENTI 2026'!$I$7:$I$4206)+SUMIF('SALDI AL 31.12.2025'!$A$6:$A$505,$C264,'SALDI AL 31.12.2025'!$C$6:$C$505))</f>
        <v/>
      </c>
      <c r="BB264" t="str">
        <f>IF($C264="","",SUMIF('MOVIMENTI 2026'!$B$7:$B$4206,$C264,'MOVIMENTI 2026'!$J$7:$J$4206)+SUMIF('SALDI AL 31.12.2025'!$A$6:$A$505,$C264,'SALDI AL 31.12.2025'!$D$6:$D$505))</f>
        <v/>
      </c>
      <c r="BC264" t="str">
        <f>IF($C264="","",SUMIF('MOVIMENTI 2026'!$B$7:$B$4206,$C264,'MOVIMENTI 2026'!$K$7:$K$4206)+SUMIF('SALDI AL 31.12.2025'!$A$6:$A$505,$C264,'SALDI AL 31.12.2025'!$E$6:$E$505))</f>
        <v/>
      </c>
      <c r="BD264" t="str">
        <f>IF($C264="","",SUMIF('MOVIMENTI 2026'!$B$7:$B$4206,$C264,'MOVIMENTI 2026'!$L$7:$L$4206)+SUMIF('SALDI AL 31.12.2025'!$A$6:$A$505,$C264,'SALDI AL 31.12.2025'!$F$6:$F$505))</f>
        <v/>
      </c>
      <c r="BE264" t="str">
        <f t="shared" si="86"/>
        <v/>
      </c>
      <c r="BF264" t="str">
        <f t="shared" si="87"/>
        <v/>
      </c>
      <c r="BG264" t="str">
        <f t="shared" si="88"/>
        <v/>
      </c>
      <c r="BH264" t="str">
        <f>IFERROR(IF(OR($C264="",ANAGRAFICA!$I261="",ANAGRAFICA!$J261="",ANAGRAFICA!$J261&lt;=ANAGRAFICA!$I261,$Y264=""),"",IF(OR($I264="Finito ritenute non previste",$I264="Finito con sblocco ritenute",$I264="Finito senza sblocco ritenute"),1,MAX(0,MIN(1,($Y264-ANAGRAFICA!$I261)/(ANAGRAFICA!$J261-ANAGRAFICA!$I261))))),"")</f>
        <v/>
      </c>
      <c r="BI264" t="str">
        <f t="shared" si="89"/>
        <v/>
      </c>
      <c r="BJ264" t="str">
        <f>IFERROR(IF($C264="","",'BUDGET COMMESSA'!$D261),"")</f>
        <v/>
      </c>
      <c r="BK264" t="str">
        <f>IF($C264="","",SUMIF('MOVIMENTI 2026'!$B$7:$B$4206,$C264,'MOVIMENTI 2026'!$N$7:$N$4206)+SUMIF('SALDI AL 31.12.2025'!$A$6:$A$505,$C264,'SALDI AL 31.12.2025'!$H$6:$H$505))</f>
        <v/>
      </c>
      <c r="BL264" t="str">
        <f t="shared" si="90"/>
        <v/>
      </c>
      <c r="BM264" t="str">
        <f t="shared" si="91"/>
        <v/>
      </c>
      <c r="BN264" t="str">
        <f t="shared" si="92"/>
        <v/>
      </c>
      <c r="BO264" t="str">
        <f>IFERROR(IF($C264="","",'BUDGET COMMESSA'!$G261),"")</f>
        <v/>
      </c>
      <c r="BP264" t="str">
        <f>IF($C264="","",SUMIF('COSTI DIRETTI'!$C$6:$C$505,$C264,'COSTI DIRETTI'!$H$6:$H$505)+SUMIF('SALDI AL 31.12.2025'!$A$6:$A$505,$C264,'SALDI AL 31.12.2025'!$I$6:$I$505))</f>
        <v/>
      </c>
      <c r="BQ264" t="str">
        <f t="shared" si="93"/>
        <v/>
      </c>
      <c r="BR264" t="str">
        <f t="shared" si="94"/>
        <v/>
      </c>
      <c r="BS264" t="str">
        <f>IF($C264="","",$BK264*PARAMETRI!$B$4+$BP264)</f>
        <v/>
      </c>
      <c r="BT264">
        <f t="shared" si="95"/>
        <v>0</v>
      </c>
      <c r="BU264">
        <f t="shared" si="96"/>
        <v>0</v>
      </c>
      <c r="BV264" t="str">
        <f>IF($C264="","",SUMIF('MOVIMENTI 2026'!$B$7:$B$4206,$C264,'MOVIMENTI 2026'!$P$7:$P$4206)+SUMIF('SALDI AL 31.12.2025'!$A$6:$A$505,$C264,'SALDI AL 31.12.2025'!$G$6:$G$505))</f>
        <v/>
      </c>
    </row>
    <row r="265" spans="1:74" ht="16" x14ac:dyDescent="0.15">
      <c r="A265" s="17" t="str">
        <f>IFERROR(IF($C265="","",IF(OR($BF265&gt;0,$V265&gt;$J265,AND(ISNUMBER($Q265),$Q265&gt;0),AND($BI265&lt;&gt;"",$BI265&lt;-PARAMETRI!$B$6),AND($BM265&lt;&gt;"",$BM265&gt;=1),AND($BN265&lt;&gt;"",$BN265&gt;PARAMETRI!$B$8),AND(ISNUMBER($BR265),$BR265&gt;0)),"CRITICO",IF(OR($AZ265="",LEFT($C265,5)="TEMP",$BJ265="",$BO265="",ANAGRAFICA!$I262="",ANAGRAFICA!$J262="",$Y265="",AND(OR($I265="Finito ritenute non previste",$I265="Finito con sblocco ritenute",$I265="Finito senza sblocco ritenute"),ANAGRAFICA!$K262=""),OR(AND(ANAGRAFICA!$T262&lt;&gt;"",ANAGRAFICA!$J262&lt;&gt;ANAGRAFICA!$T262,OR(ANAGRAFICA!$R262="",ANAGRAFICA!$R262="Nessuna variazione")),AND(ANAGRAFICA!$J262="",ANAGRAFICA!$R262&lt;&gt;"",ANAGRAFICA!$R262&lt;&gt;"Nessuna variazione")),AND($BI265&lt;&gt;"",$BI265&lt;-PARAMETRI!$B$5),AND($BN265&lt;&gt;"",$BN265&gt;PARAMETRI!$B$7),AND($W265&gt;0,$M265&gt;$W265*PARAMETRI!$B$9),AND($O265&gt;0,OR($I265="Finito ritenute non previste",$I265="Finito con sblocco ritenute",$I265="Finito senza sblocco ritenute")),AND($BA265&gt;0,$BO265&gt;0,$BP265=0),AND(OR($I265="Finito ritenute non previste",$I265="Finito con sblocco ritenute",$I265="Finito senza sblocco ritenute"),$W265&gt;0,$N265&gt;$W265*PARAMETRI!$B$9),$V265&gt;0),"ATTENZIONE","REGOLARE"))),"ATTENZIONE")</f>
        <v/>
      </c>
      <c r="B265" s="17" t="str">
        <f>IFERROR(IF($C265="","",IF($BF265&gt;0,"FATTURATO OLTRE VALORE RECUPERABILE; ","")&amp;IF($V265&gt;$J265,"PERDITE ACCETTATE OLTRE CONTRATTO; ","")&amp;IF($V265&gt;0,"PERDITA SAL ACCETTATA (€ "&amp;TEXT($V265,"#,##0.00")&amp;"); ","")&amp;IF(AND(ISNUMBER($Q265),$Q265&gt;0),"RITARDO PRODUTTIVO ("&amp;TEXT($Q265,"0")&amp;" GG); ","")&amp;IF(AND($BI265&lt;&gt;"",$BI265&lt;-PARAMETRI!$B$5),"AVANZAMENTO PIÙ LENTO DEL TEMPO; ","")&amp;IF(AND($BM265&lt;&gt;"",$BM265&gt;1),"ORE OLTRE BUDGET; ","")&amp;IF(AND($BM265&lt;&gt;"",$BM265=1),"ORE PREVENTIVATE ESAURITE; ","")&amp;IF(AND($BN265&lt;&gt;"",$BN265&gt;PARAMETRI!$B$7),"CONSUMO ORE SUPERIORE ALL'AVANZAMENTO; ","")&amp;IF(AND(ISNUMBER($BR265),$BR265&gt;0),"COSTI DIRETTI OLTRE BUDGET; ","")&amp;IF(AND($W265&gt;0,$M265&gt;$W265*PARAMETRI!$B$9),"SAL MATURATO NON FATTURATO; ","")&amp;IF(AND($O265&gt;0,OR($I265="Finito ritenute non previste",$I265="Finito con sblocco ritenute",$I265="Finito senza sblocco ritenute")),"RITENUTE DA SBLOCCARE; ","")&amp;IF(AND($BA265&gt;0,$BO265&gt;0,$BP265=0),"COSTI DIRETTI NON REGISTRATI; ","")&amp;IF(AND(OR($I265="Finito ritenute non previste",$I265="Finito con sblocco ritenute",$I265="Finito senza sblocco ritenute"),$W265&gt;0,$N265&gt;$W265*PARAMETRI!$B$9),"CANTIERE FINITO CON RESIDUO LAVORI; ","")&amp;IF(AND(OR($I265="Finito ritenute non previste",$I265="Finito con sblocco ritenute",$I265="Finito senza sblocco ritenute"),ANAGRAFICA!$K262=""),"DATA FINE EFFETTIVA MANCANTE; ","")&amp;IF(OR(AND(ANAGRAFICA!$T262&lt;&gt;"",ANAGRAFICA!$J262&lt;&gt;ANAGRAFICA!$T262,OR(ANAGRAFICA!$R262="",ANAGRAFICA!$R262="Nessuna variazione")),AND(ANAGRAFICA!$J262="",ANAGRAFICA!$R262&lt;&gt;"",ANAGRAFICA!$R262&lt;&gt;"Nessuna variazione")),"GESTIONE DATA FINE INCOMPLETA; ","")&amp;IF($Y265="","AGGIORNATO AL MANCANTE; ","")&amp;IF(OR($AZ265="",$BJ265="",$BO265="",ANAGRAFICA!$I262="",ANAGRAFICA!$J262=""),"DATI PREVISIONALI INCOMPLETI; ","")&amp;IF(LEFT($C265,5)="TEMP","CODICE COMMESSA TEMPORANEO; ","")),"DATI INCOMPLETI; ")</f>
        <v/>
      </c>
      <c r="C265" s="17" t="str">
        <f>IF(ANAGRAFICA!$B262="","",ANAGRAFICA!$B262)</f>
        <v/>
      </c>
      <c r="D265" s="17" t="str">
        <f>IF($C265="","",ANAGRAFICA!$C262)</f>
        <v/>
      </c>
      <c r="E265" s="17" t="str">
        <f>IF($C265="","",ANAGRAFICA!$D262)</f>
        <v/>
      </c>
      <c r="F265" s="17" t="str">
        <f>IF($C265="","",ANAGRAFICA!$E262)</f>
        <v/>
      </c>
      <c r="G265" s="17" t="str">
        <f>IF($C265="","",ANAGRAFICA!$F262)</f>
        <v/>
      </c>
      <c r="H265" s="17" t="str">
        <f>IF($C265="","",ANAGRAFICA!$G262)</f>
        <v/>
      </c>
      <c r="I265" s="17" t="str">
        <f>IF($C265="","",ANAGRAFICA!$L262)</f>
        <v/>
      </c>
      <c r="J265" s="16" t="str">
        <f t="shared" ref="J265:J308" si="97">IF($C265="","",$AZ265)</f>
        <v/>
      </c>
      <c r="K265" s="16" t="str">
        <f t="shared" ref="K265:K308" si="98">IF($C265="","",$BA265)</f>
        <v/>
      </c>
      <c r="L265" s="16" t="str">
        <f t="shared" ref="L265:L308" si="99">IF($C265="","",$BB265)</f>
        <v/>
      </c>
      <c r="M265" s="16" t="str">
        <f t="shared" ref="M265:M308" si="100">IF($C265="","",MAX($BA265-$BB265,0))</f>
        <v/>
      </c>
      <c r="N265" s="16" t="str">
        <f t="shared" ref="N265:N308" si="101">IF(OR($C265="",$W265=""),"",MAX($W265-$BA265,0))</f>
        <v/>
      </c>
      <c r="O265" s="16" t="str">
        <f t="shared" ref="O265:O308" si="102">IF($C265="","",MAX($BC265-$BD265,0))</f>
        <v/>
      </c>
      <c r="P265" s="17" t="str">
        <f t="shared" ref="P265:P308" si="103">IF(OR($C265="",$BG265="",$BH265="",$BI265=""),"",TEXT($BG265,"0.0%")&amp;" / "&amp;TEXT($BH265,"0.0%")&amp;" / "&amp;TEXT($BI265,"0.0%"))</f>
        <v/>
      </c>
      <c r="Q265" s="31" t="str">
        <f>IF(OR($C265="",'BUDGET COMMESSA'!$D262="",'BUDGET COMMESSA'!$D262&lt;=0,ANAGRAFICA!$J262=""),"",IF(OR($I265="Finito ritenute non previste",$I265="Finito con sblocco ritenute",$I265="Finito senza sblocco ritenute"),0,IF(AND($BK265&gt;=$BJ265,ANAGRAFICA!$R262="Ritardo produttivo FIDA"),IF(ANAGRAFICA!$T262&lt;&gt;"",MAX(0,ANAGRAFICA!$J262-ANAGRAFICA!$T262),MAX(0,$Y265-ANAGRAFICA!$J262)),0)))</f>
        <v/>
      </c>
      <c r="R265" s="17" t="str">
        <f t="shared" ref="R265:R308" si="104">IF(OR($C265="",$BJ265=""),"",TEXT($BJ265,"#,##0.00")&amp;" / "&amp;TEXT($BK265,"#,##0.00")&amp;" / "&amp;TEXT($BL265,"#,##0.00"))</f>
        <v/>
      </c>
      <c r="S265" s="17" t="str">
        <f t="shared" ref="S265:S308" si="105">IF(OR($C265="",$BM265="",$BG265="",$BN265=""),"",TEXT($BM265,"0.0%")&amp;" / "&amp;TEXT($BG265,"0.0%")&amp;" / "&amp;TEXT($BN265,"0.0%"))</f>
        <v/>
      </c>
      <c r="T265" s="17" t="str">
        <f t="shared" ref="T265:T308" si="106">IF(OR($C265="",$BO265=""),"",IF($BR265&gt;0,"BUDGET € "&amp;TEXT($BO265,"#,##0.00")&amp;" | SOSTENUTI € "&amp;TEXT($BP265,"#,##0.00")&amp;" | SFORAMENTO € "&amp;TEXT($BR265,"#,##0.00"),"BUDGET € "&amp;TEXT($BO265,"#,##0.00")&amp;" | SOSTENUTI € "&amp;TEXT($BP265,"#,##0.00")&amp;" | RESIDUO € "&amp;TEXT($BQ265,"#,##0.00")))</f>
        <v/>
      </c>
      <c r="U265" s="16" t="str">
        <f t="shared" ref="U265:U308" si="107">IF($C265="","",$BS265)</f>
        <v/>
      </c>
      <c r="V265" s="16" t="str">
        <f t="shared" ref="V265:V308" si="108">IF($C265="","",$BV265)</f>
        <v/>
      </c>
      <c r="W265" s="16" t="str">
        <f t="shared" ref="W265:W308" si="109">IF(OR($C265="",$AZ265=""),"",MAX($AZ265-$BV265,0))</f>
        <v/>
      </c>
      <c r="X265" s="40"/>
      <c r="Y265" s="14"/>
      <c r="AZ265" t="str">
        <f>IF($C265="","",ANAGRAFICA!$P262)</f>
        <v/>
      </c>
      <c r="BA265" t="str">
        <f>IF($C265="","",SUMIF('MOVIMENTI 2026'!$B$7:$B$4206,$C265,'MOVIMENTI 2026'!$I$7:$I$4206)+SUMIF('SALDI AL 31.12.2025'!$A$6:$A$505,$C265,'SALDI AL 31.12.2025'!$C$6:$C$505))</f>
        <v/>
      </c>
      <c r="BB265" t="str">
        <f>IF($C265="","",SUMIF('MOVIMENTI 2026'!$B$7:$B$4206,$C265,'MOVIMENTI 2026'!$J$7:$J$4206)+SUMIF('SALDI AL 31.12.2025'!$A$6:$A$505,$C265,'SALDI AL 31.12.2025'!$D$6:$D$505))</f>
        <v/>
      </c>
      <c r="BC265" t="str">
        <f>IF($C265="","",SUMIF('MOVIMENTI 2026'!$B$7:$B$4206,$C265,'MOVIMENTI 2026'!$K$7:$K$4206)+SUMIF('SALDI AL 31.12.2025'!$A$6:$A$505,$C265,'SALDI AL 31.12.2025'!$E$6:$E$505))</f>
        <v/>
      </c>
      <c r="BD265" t="str">
        <f>IF($C265="","",SUMIF('MOVIMENTI 2026'!$B$7:$B$4206,$C265,'MOVIMENTI 2026'!$L$7:$L$4206)+SUMIF('SALDI AL 31.12.2025'!$A$6:$A$505,$C265,'SALDI AL 31.12.2025'!$F$6:$F$505))</f>
        <v/>
      </c>
      <c r="BE265" t="str">
        <f t="shared" ref="BE265:BE308" si="110">IF(OR($C265="",$W265=""),"",MAX($W265-$BB265,0))</f>
        <v/>
      </c>
      <c r="BF265" t="str">
        <f t="shared" ref="BF265:BF308" si="111">IF(OR($C265="",$W265=""),"",MAX($BB265-$W265,0))</f>
        <v/>
      </c>
      <c r="BG265" t="str">
        <f t="shared" ref="BG265:BG308" si="112">IF(OR($C265="",$W265&lt;=0),"",$BA265/$W265)</f>
        <v/>
      </c>
      <c r="BH265" t="str">
        <f>IFERROR(IF(OR($C265="",ANAGRAFICA!$I262="",ANAGRAFICA!$J262="",ANAGRAFICA!$J262&lt;=ANAGRAFICA!$I262,$Y265=""),"",IF(OR($I265="Finito ritenute non previste",$I265="Finito con sblocco ritenute",$I265="Finito senza sblocco ritenute"),1,MAX(0,MIN(1,($Y265-ANAGRAFICA!$I262)/(ANAGRAFICA!$J262-ANAGRAFICA!$I262))))),"")</f>
        <v/>
      </c>
      <c r="BI265" t="str">
        <f t="shared" ref="BI265:BI308" si="113">IF(OR($C265="",$BG265="",$BH265=""),"",$BG265-$BH265)</f>
        <v/>
      </c>
      <c r="BJ265" t="str">
        <f>IFERROR(IF($C265="","",'BUDGET COMMESSA'!$D262),"")</f>
        <v/>
      </c>
      <c r="BK265" t="str">
        <f>IF($C265="","",SUMIF('MOVIMENTI 2026'!$B$7:$B$4206,$C265,'MOVIMENTI 2026'!$N$7:$N$4206)+SUMIF('SALDI AL 31.12.2025'!$A$6:$A$505,$C265,'SALDI AL 31.12.2025'!$H$6:$H$505))</f>
        <v/>
      </c>
      <c r="BL265" t="str">
        <f t="shared" ref="BL265:BL308" si="114">IF(OR($C265="",$BJ265=""),"",MAX($BJ265-$BK265,0))</f>
        <v/>
      </c>
      <c r="BM265" t="str">
        <f t="shared" ref="BM265:BM308" si="115">IF(OR($C265="",$BJ265&lt;=0),"",$BK265/$BJ265)</f>
        <v/>
      </c>
      <c r="BN265" t="str">
        <f t="shared" ref="BN265:BN308" si="116">IF(OR($C265="",$BM265="",$BG265=""),"",$BM265-$BG265)</f>
        <v/>
      </c>
      <c r="BO265" t="str">
        <f>IFERROR(IF($C265="","",'BUDGET COMMESSA'!$G262),"")</f>
        <v/>
      </c>
      <c r="BP265" t="str">
        <f>IF($C265="","",SUMIF('COSTI DIRETTI'!$C$6:$C$505,$C265,'COSTI DIRETTI'!$H$6:$H$505)+SUMIF('SALDI AL 31.12.2025'!$A$6:$A$505,$C265,'SALDI AL 31.12.2025'!$I$6:$I$505))</f>
        <v/>
      </c>
      <c r="BQ265" t="str">
        <f t="shared" ref="BQ265:BQ308" si="117">IF(OR($C265="",$BO265=""),"",MAX($BO265-$BP265,0))</f>
        <v/>
      </c>
      <c r="BR265" t="str">
        <f t="shared" ref="BR265:BR308" si="118">IF(OR($C265="",$BO265=""),"",MAX($BP265-$BO265,0))</f>
        <v/>
      </c>
      <c r="BS265" t="str">
        <f>IF($C265="","",$BK265*PARAMETRI!$B$4+$BP265)</f>
        <v/>
      </c>
      <c r="BT265">
        <f t="shared" ref="BT265:BT308" si="119">IF($A265="CRITICO",1,0)</f>
        <v>0</v>
      </c>
      <c r="BU265">
        <f t="shared" ref="BU265:BU308" si="120">IF($A265="ATTENZIONE",1,0)</f>
        <v>0</v>
      </c>
      <c r="BV265" t="str">
        <f>IF($C265="","",SUMIF('MOVIMENTI 2026'!$B$7:$B$4206,$C265,'MOVIMENTI 2026'!$P$7:$P$4206)+SUMIF('SALDI AL 31.12.2025'!$A$6:$A$505,$C265,'SALDI AL 31.12.2025'!$G$6:$G$505))</f>
        <v/>
      </c>
    </row>
    <row r="266" spans="1:74" ht="16" x14ac:dyDescent="0.15">
      <c r="A266" s="17" t="str">
        <f>IFERROR(IF($C266="","",IF(OR($BF266&gt;0,$V266&gt;$J266,AND(ISNUMBER($Q266),$Q266&gt;0),AND($BI266&lt;&gt;"",$BI266&lt;-PARAMETRI!$B$6),AND($BM266&lt;&gt;"",$BM266&gt;=1),AND($BN266&lt;&gt;"",$BN266&gt;PARAMETRI!$B$8),AND(ISNUMBER($BR266),$BR266&gt;0)),"CRITICO",IF(OR($AZ266="",LEFT($C266,5)="TEMP",$BJ266="",$BO266="",ANAGRAFICA!$I263="",ANAGRAFICA!$J263="",$Y266="",AND(OR($I266="Finito ritenute non previste",$I266="Finito con sblocco ritenute",$I266="Finito senza sblocco ritenute"),ANAGRAFICA!$K263=""),OR(AND(ANAGRAFICA!$T263&lt;&gt;"",ANAGRAFICA!$J263&lt;&gt;ANAGRAFICA!$T263,OR(ANAGRAFICA!$R263="",ANAGRAFICA!$R263="Nessuna variazione")),AND(ANAGRAFICA!$J263="",ANAGRAFICA!$R263&lt;&gt;"",ANAGRAFICA!$R263&lt;&gt;"Nessuna variazione")),AND($BI266&lt;&gt;"",$BI266&lt;-PARAMETRI!$B$5),AND($BN266&lt;&gt;"",$BN266&gt;PARAMETRI!$B$7),AND($W266&gt;0,$M266&gt;$W266*PARAMETRI!$B$9),AND($O266&gt;0,OR($I266="Finito ritenute non previste",$I266="Finito con sblocco ritenute",$I266="Finito senza sblocco ritenute")),AND($BA266&gt;0,$BO266&gt;0,$BP266=0),AND(OR($I266="Finito ritenute non previste",$I266="Finito con sblocco ritenute",$I266="Finito senza sblocco ritenute"),$W266&gt;0,$N266&gt;$W266*PARAMETRI!$B$9),$V266&gt;0),"ATTENZIONE","REGOLARE"))),"ATTENZIONE")</f>
        <v/>
      </c>
      <c r="B266" s="17" t="str">
        <f>IFERROR(IF($C266="","",IF($BF266&gt;0,"FATTURATO OLTRE VALORE RECUPERABILE; ","")&amp;IF($V266&gt;$J266,"PERDITE ACCETTATE OLTRE CONTRATTO; ","")&amp;IF($V266&gt;0,"PERDITA SAL ACCETTATA (€ "&amp;TEXT($V266,"#,##0.00")&amp;"); ","")&amp;IF(AND(ISNUMBER($Q266),$Q266&gt;0),"RITARDO PRODUTTIVO ("&amp;TEXT($Q266,"0")&amp;" GG); ","")&amp;IF(AND($BI266&lt;&gt;"",$BI266&lt;-PARAMETRI!$B$5),"AVANZAMENTO PIÙ LENTO DEL TEMPO; ","")&amp;IF(AND($BM266&lt;&gt;"",$BM266&gt;1),"ORE OLTRE BUDGET; ","")&amp;IF(AND($BM266&lt;&gt;"",$BM266=1),"ORE PREVENTIVATE ESAURITE; ","")&amp;IF(AND($BN266&lt;&gt;"",$BN266&gt;PARAMETRI!$B$7),"CONSUMO ORE SUPERIORE ALL'AVANZAMENTO; ","")&amp;IF(AND(ISNUMBER($BR266),$BR266&gt;0),"COSTI DIRETTI OLTRE BUDGET; ","")&amp;IF(AND($W266&gt;0,$M266&gt;$W266*PARAMETRI!$B$9),"SAL MATURATO NON FATTURATO; ","")&amp;IF(AND($O266&gt;0,OR($I266="Finito ritenute non previste",$I266="Finito con sblocco ritenute",$I266="Finito senza sblocco ritenute")),"RITENUTE DA SBLOCCARE; ","")&amp;IF(AND($BA266&gt;0,$BO266&gt;0,$BP266=0),"COSTI DIRETTI NON REGISTRATI; ","")&amp;IF(AND(OR($I266="Finito ritenute non previste",$I266="Finito con sblocco ritenute",$I266="Finito senza sblocco ritenute"),$W266&gt;0,$N266&gt;$W266*PARAMETRI!$B$9),"CANTIERE FINITO CON RESIDUO LAVORI; ","")&amp;IF(AND(OR($I266="Finito ritenute non previste",$I266="Finito con sblocco ritenute",$I266="Finito senza sblocco ritenute"),ANAGRAFICA!$K263=""),"DATA FINE EFFETTIVA MANCANTE; ","")&amp;IF(OR(AND(ANAGRAFICA!$T263&lt;&gt;"",ANAGRAFICA!$J263&lt;&gt;ANAGRAFICA!$T263,OR(ANAGRAFICA!$R263="",ANAGRAFICA!$R263="Nessuna variazione")),AND(ANAGRAFICA!$J263="",ANAGRAFICA!$R263&lt;&gt;"",ANAGRAFICA!$R263&lt;&gt;"Nessuna variazione")),"GESTIONE DATA FINE INCOMPLETA; ","")&amp;IF($Y266="","AGGIORNATO AL MANCANTE; ","")&amp;IF(OR($AZ266="",$BJ266="",$BO266="",ANAGRAFICA!$I263="",ANAGRAFICA!$J263=""),"DATI PREVISIONALI INCOMPLETI; ","")&amp;IF(LEFT($C266,5)="TEMP","CODICE COMMESSA TEMPORANEO; ","")),"DATI INCOMPLETI; ")</f>
        <v/>
      </c>
      <c r="C266" s="17" t="str">
        <f>IF(ANAGRAFICA!$B263="","",ANAGRAFICA!$B263)</f>
        <v/>
      </c>
      <c r="D266" s="17" t="str">
        <f>IF($C266="","",ANAGRAFICA!$C263)</f>
        <v/>
      </c>
      <c r="E266" s="17" t="str">
        <f>IF($C266="","",ANAGRAFICA!$D263)</f>
        <v/>
      </c>
      <c r="F266" s="17" t="str">
        <f>IF($C266="","",ANAGRAFICA!$E263)</f>
        <v/>
      </c>
      <c r="G266" s="17" t="str">
        <f>IF($C266="","",ANAGRAFICA!$F263)</f>
        <v/>
      </c>
      <c r="H266" s="17" t="str">
        <f>IF($C266="","",ANAGRAFICA!$G263)</f>
        <v/>
      </c>
      <c r="I266" s="17" t="str">
        <f>IF($C266="","",ANAGRAFICA!$L263)</f>
        <v/>
      </c>
      <c r="J266" s="16" t="str">
        <f t="shared" si="97"/>
        <v/>
      </c>
      <c r="K266" s="16" t="str">
        <f t="shared" si="98"/>
        <v/>
      </c>
      <c r="L266" s="16" t="str">
        <f t="shared" si="99"/>
        <v/>
      </c>
      <c r="M266" s="16" t="str">
        <f t="shared" si="100"/>
        <v/>
      </c>
      <c r="N266" s="16" t="str">
        <f t="shared" si="101"/>
        <v/>
      </c>
      <c r="O266" s="16" t="str">
        <f t="shared" si="102"/>
        <v/>
      </c>
      <c r="P266" s="17" t="str">
        <f t="shared" si="103"/>
        <v/>
      </c>
      <c r="Q266" s="31" t="str">
        <f>IF(OR($C266="",'BUDGET COMMESSA'!$D263="",'BUDGET COMMESSA'!$D263&lt;=0,ANAGRAFICA!$J263=""),"",IF(OR($I266="Finito ritenute non previste",$I266="Finito con sblocco ritenute",$I266="Finito senza sblocco ritenute"),0,IF(AND($BK266&gt;=$BJ266,ANAGRAFICA!$R263="Ritardo produttivo FIDA"),IF(ANAGRAFICA!$T263&lt;&gt;"",MAX(0,ANAGRAFICA!$J263-ANAGRAFICA!$T263),MAX(0,$Y266-ANAGRAFICA!$J263)),0)))</f>
        <v/>
      </c>
      <c r="R266" s="17" t="str">
        <f t="shared" si="104"/>
        <v/>
      </c>
      <c r="S266" s="17" t="str">
        <f t="shared" si="105"/>
        <v/>
      </c>
      <c r="T266" s="17" t="str">
        <f t="shared" si="106"/>
        <v/>
      </c>
      <c r="U266" s="16" t="str">
        <f t="shared" si="107"/>
        <v/>
      </c>
      <c r="V266" s="16" t="str">
        <f t="shared" si="108"/>
        <v/>
      </c>
      <c r="W266" s="16" t="str">
        <f t="shared" si="109"/>
        <v/>
      </c>
      <c r="X266" s="40"/>
      <c r="Y266" s="14"/>
      <c r="AZ266" t="str">
        <f>IF($C266="","",ANAGRAFICA!$P263)</f>
        <v/>
      </c>
      <c r="BA266" t="str">
        <f>IF($C266="","",SUMIF('MOVIMENTI 2026'!$B$7:$B$4206,$C266,'MOVIMENTI 2026'!$I$7:$I$4206)+SUMIF('SALDI AL 31.12.2025'!$A$6:$A$505,$C266,'SALDI AL 31.12.2025'!$C$6:$C$505))</f>
        <v/>
      </c>
      <c r="BB266" t="str">
        <f>IF($C266="","",SUMIF('MOVIMENTI 2026'!$B$7:$B$4206,$C266,'MOVIMENTI 2026'!$J$7:$J$4206)+SUMIF('SALDI AL 31.12.2025'!$A$6:$A$505,$C266,'SALDI AL 31.12.2025'!$D$6:$D$505))</f>
        <v/>
      </c>
      <c r="BC266" t="str">
        <f>IF($C266="","",SUMIF('MOVIMENTI 2026'!$B$7:$B$4206,$C266,'MOVIMENTI 2026'!$K$7:$K$4206)+SUMIF('SALDI AL 31.12.2025'!$A$6:$A$505,$C266,'SALDI AL 31.12.2025'!$E$6:$E$505))</f>
        <v/>
      </c>
      <c r="BD266" t="str">
        <f>IF($C266="","",SUMIF('MOVIMENTI 2026'!$B$7:$B$4206,$C266,'MOVIMENTI 2026'!$L$7:$L$4206)+SUMIF('SALDI AL 31.12.2025'!$A$6:$A$505,$C266,'SALDI AL 31.12.2025'!$F$6:$F$505))</f>
        <v/>
      </c>
      <c r="BE266" t="str">
        <f t="shared" si="110"/>
        <v/>
      </c>
      <c r="BF266" t="str">
        <f t="shared" si="111"/>
        <v/>
      </c>
      <c r="BG266" t="str">
        <f t="shared" si="112"/>
        <v/>
      </c>
      <c r="BH266" t="str">
        <f>IFERROR(IF(OR($C266="",ANAGRAFICA!$I263="",ANAGRAFICA!$J263="",ANAGRAFICA!$J263&lt;=ANAGRAFICA!$I263,$Y266=""),"",IF(OR($I266="Finito ritenute non previste",$I266="Finito con sblocco ritenute",$I266="Finito senza sblocco ritenute"),1,MAX(0,MIN(1,($Y266-ANAGRAFICA!$I263)/(ANAGRAFICA!$J263-ANAGRAFICA!$I263))))),"")</f>
        <v/>
      </c>
      <c r="BI266" t="str">
        <f t="shared" si="113"/>
        <v/>
      </c>
      <c r="BJ266" t="str">
        <f>IFERROR(IF($C266="","",'BUDGET COMMESSA'!$D263),"")</f>
        <v/>
      </c>
      <c r="BK266" t="str">
        <f>IF($C266="","",SUMIF('MOVIMENTI 2026'!$B$7:$B$4206,$C266,'MOVIMENTI 2026'!$N$7:$N$4206)+SUMIF('SALDI AL 31.12.2025'!$A$6:$A$505,$C266,'SALDI AL 31.12.2025'!$H$6:$H$505))</f>
        <v/>
      </c>
      <c r="BL266" t="str">
        <f t="shared" si="114"/>
        <v/>
      </c>
      <c r="BM266" t="str">
        <f t="shared" si="115"/>
        <v/>
      </c>
      <c r="BN266" t="str">
        <f t="shared" si="116"/>
        <v/>
      </c>
      <c r="BO266" t="str">
        <f>IFERROR(IF($C266="","",'BUDGET COMMESSA'!$G263),"")</f>
        <v/>
      </c>
      <c r="BP266" t="str">
        <f>IF($C266="","",SUMIF('COSTI DIRETTI'!$C$6:$C$505,$C266,'COSTI DIRETTI'!$H$6:$H$505)+SUMIF('SALDI AL 31.12.2025'!$A$6:$A$505,$C266,'SALDI AL 31.12.2025'!$I$6:$I$505))</f>
        <v/>
      </c>
      <c r="BQ266" t="str">
        <f t="shared" si="117"/>
        <v/>
      </c>
      <c r="BR266" t="str">
        <f t="shared" si="118"/>
        <v/>
      </c>
      <c r="BS266" t="str">
        <f>IF($C266="","",$BK266*PARAMETRI!$B$4+$BP266)</f>
        <v/>
      </c>
      <c r="BT266">
        <f t="shared" si="119"/>
        <v>0</v>
      </c>
      <c r="BU266">
        <f t="shared" si="120"/>
        <v>0</v>
      </c>
      <c r="BV266" t="str">
        <f>IF($C266="","",SUMIF('MOVIMENTI 2026'!$B$7:$B$4206,$C266,'MOVIMENTI 2026'!$P$7:$P$4206)+SUMIF('SALDI AL 31.12.2025'!$A$6:$A$505,$C266,'SALDI AL 31.12.2025'!$G$6:$G$505))</f>
        <v/>
      </c>
    </row>
    <row r="267" spans="1:74" ht="16" x14ac:dyDescent="0.15">
      <c r="A267" s="17" t="str">
        <f>IFERROR(IF($C267="","",IF(OR($BF267&gt;0,$V267&gt;$J267,AND(ISNUMBER($Q267),$Q267&gt;0),AND($BI267&lt;&gt;"",$BI267&lt;-PARAMETRI!$B$6),AND($BM267&lt;&gt;"",$BM267&gt;=1),AND($BN267&lt;&gt;"",$BN267&gt;PARAMETRI!$B$8),AND(ISNUMBER($BR267),$BR267&gt;0)),"CRITICO",IF(OR($AZ267="",LEFT($C267,5)="TEMP",$BJ267="",$BO267="",ANAGRAFICA!$I264="",ANAGRAFICA!$J264="",$Y267="",AND(OR($I267="Finito ritenute non previste",$I267="Finito con sblocco ritenute",$I267="Finito senza sblocco ritenute"),ANAGRAFICA!$K264=""),OR(AND(ANAGRAFICA!$T264&lt;&gt;"",ANAGRAFICA!$J264&lt;&gt;ANAGRAFICA!$T264,OR(ANAGRAFICA!$R264="",ANAGRAFICA!$R264="Nessuna variazione")),AND(ANAGRAFICA!$J264="",ANAGRAFICA!$R264&lt;&gt;"",ANAGRAFICA!$R264&lt;&gt;"Nessuna variazione")),AND($BI267&lt;&gt;"",$BI267&lt;-PARAMETRI!$B$5),AND($BN267&lt;&gt;"",$BN267&gt;PARAMETRI!$B$7),AND($W267&gt;0,$M267&gt;$W267*PARAMETRI!$B$9),AND($O267&gt;0,OR($I267="Finito ritenute non previste",$I267="Finito con sblocco ritenute",$I267="Finito senza sblocco ritenute")),AND($BA267&gt;0,$BO267&gt;0,$BP267=0),AND(OR($I267="Finito ritenute non previste",$I267="Finito con sblocco ritenute",$I267="Finito senza sblocco ritenute"),$W267&gt;0,$N267&gt;$W267*PARAMETRI!$B$9),$V267&gt;0),"ATTENZIONE","REGOLARE"))),"ATTENZIONE")</f>
        <v/>
      </c>
      <c r="B267" s="17" t="str">
        <f>IFERROR(IF($C267="","",IF($BF267&gt;0,"FATTURATO OLTRE VALORE RECUPERABILE; ","")&amp;IF($V267&gt;$J267,"PERDITE ACCETTATE OLTRE CONTRATTO; ","")&amp;IF($V267&gt;0,"PERDITA SAL ACCETTATA (€ "&amp;TEXT($V267,"#,##0.00")&amp;"); ","")&amp;IF(AND(ISNUMBER($Q267),$Q267&gt;0),"RITARDO PRODUTTIVO ("&amp;TEXT($Q267,"0")&amp;" GG); ","")&amp;IF(AND($BI267&lt;&gt;"",$BI267&lt;-PARAMETRI!$B$5),"AVANZAMENTO PIÙ LENTO DEL TEMPO; ","")&amp;IF(AND($BM267&lt;&gt;"",$BM267&gt;1),"ORE OLTRE BUDGET; ","")&amp;IF(AND($BM267&lt;&gt;"",$BM267=1),"ORE PREVENTIVATE ESAURITE; ","")&amp;IF(AND($BN267&lt;&gt;"",$BN267&gt;PARAMETRI!$B$7),"CONSUMO ORE SUPERIORE ALL'AVANZAMENTO; ","")&amp;IF(AND(ISNUMBER($BR267),$BR267&gt;0),"COSTI DIRETTI OLTRE BUDGET; ","")&amp;IF(AND($W267&gt;0,$M267&gt;$W267*PARAMETRI!$B$9),"SAL MATURATO NON FATTURATO; ","")&amp;IF(AND($O267&gt;0,OR($I267="Finito ritenute non previste",$I267="Finito con sblocco ritenute",$I267="Finito senza sblocco ritenute")),"RITENUTE DA SBLOCCARE; ","")&amp;IF(AND($BA267&gt;0,$BO267&gt;0,$BP267=0),"COSTI DIRETTI NON REGISTRATI; ","")&amp;IF(AND(OR($I267="Finito ritenute non previste",$I267="Finito con sblocco ritenute",$I267="Finito senza sblocco ritenute"),$W267&gt;0,$N267&gt;$W267*PARAMETRI!$B$9),"CANTIERE FINITO CON RESIDUO LAVORI; ","")&amp;IF(AND(OR($I267="Finito ritenute non previste",$I267="Finito con sblocco ritenute",$I267="Finito senza sblocco ritenute"),ANAGRAFICA!$K264=""),"DATA FINE EFFETTIVA MANCANTE; ","")&amp;IF(OR(AND(ANAGRAFICA!$T264&lt;&gt;"",ANAGRAFICA!$J264&lt;&gt;ANAGRAFICA!$T264,OR(ANAGRAFICA!$R264="",ANAGRAFICA!$R264="Nessuna variazione")),AND(ANAGRAFICA!$J264="",ANAGRAFICA!$R264&lt;&gt;"",ANAGRAFICA!$R264&lt;&gt;"Nessuna variazione")),"GESTIONE DATA FINE INCOMPLETA; ","")&amp;IF($Y267="","AGGIORNATO AL MANCANTE; ","")&amp;IF(OR($AZ267="",$BJ267="",$BO267="",ANAGRAFICA!$I264="",ANAGRAFICA!$J264=""),"DATI PREVISIONALI INCOMPLETI; ","")&amp;IF(LEFT($C267,5)="TEMP","CODICE COMMESSA TEMPORANEO; ","")),"DATI INCOMPLETI; ")</f>
        <v/>
      </c>
      <c r="C267" s="17" t="str">
        <f>IF(ANAGRAFICA!$B264="","",ANAGRAFICA!$B264)</f>
        <v/>
      </c>
      <c r="D267" s="17" t="str">
        <f>IF($C267="","",ANAGRAFICA!$C264)</f>
        <v/>
      </c>
      <c r="E267" s="17" t="str">
        <f>IF($C267="","",ANAGRAFICA!$D264)</f>
        <v/>
      </c>
      <c r="F267" s="17" t="str">
        <f>IF($C267="","",ANAGRAFICA!$E264)</f>
        <v/>
      </c>
      <c r="G267" s="17" t="str">
        <f>IF($C267="","",ANAGRAFICA!$F264)</f>
        <v/>
      </c>
      <c r="H267" s="17" t="str">
        <f>IF($C267="","",ANAGRAFICA!$G264)</f>
        <v/>
      </c>
      <c r="I267" s="17" t="str">
        <f>IF($C267="","",ANAGRAFICA!$L264)</f>
        <v/>
      </c>
      <c r="J267" s="16" t="str">
        <f t="shared" si="97"/>
        <v/>
      </c>
      <c r="K267" s="16" t="str">
        <f t="shared" si="98"/>
        <v/>
      </c>
      <c r="L267" s="16" t="str">
        <f t="shared" si="99"/>
        <v/>
      </c>
      <c r="M267" s="16" t="str">
        <f t="shared" si="100"/>
        <v/>
      </c>
      <c r="N267" s="16" t="str">
        <f t="shared" si="101"/>
        <v/>
      </c>
      <c r="O267" s="16" t="str">
        <f t="shared" si="102"/>
        <v/>
      </c>
      <c r="P267" s="17" t="str">
        <f t="shared" si="103"/>
        <v/>
      </c>
      <c r="Q267" s="31" t="str">
        <f>IF(OR($C267="",'BUDGET COMMESSA'!$D264="",'BUDGET COMMESSA'!$D264&lt;=0,ANAGRAFICA!$J264=""),"",IF(OR($I267="Finito ritenute non previste",$I267="Finito con sblocco ritenute",$I267="Finito senza sblocco ritenute"),0,IF(AND($BK267&gt;=$BJ267,ANAGRAFICA!$R264="Ritardo produttivo FIDA"),IF(ANAGRAFICA!$T264&lt;&gt;"",MAX(0,ANAGRAFICA!$J264-ANAGRAFICA!$T264),MAX(0,$Y267-ANAGRAFICA!$J264)),0)))</f>
        <v/>
      </c>
      <c r="R267" s="17" t="str">
        <f t="shared" si="104"/>
        <v/>
      </c>
      <c r="S267" s="17" t="str">
        <f t="shared" si="105"/>
        <v/>
      </c>
      <c r="T267" s="17" t="str">
        <f t="shared" si="106"/>
        <v/>
      </c>
      <c r="U267" s="16" t="str">
        <f t="shared" si="107"/>
        <v/>
      </c>
      <c r="V267" s="16" t="str">
        <f t="shared" si="108"/>
        <v/>
      </c>
      <c r="W267" s="16" t="str">
        <f t="shared" si="109"/>
        <v/>
      </c>
      <c r="X267" s="40"/>
      <c r="Y267" s="14"/>
      <c r="AZ267" t="str">
        <f>IF($C267="","",ANAGRAFICA!$P264)</f>
        <v/>
      </c>
      <c r="BA267" t="str">
        <f>IF($C267="","",SUMIF('MOVIMENTI 2026'!$B$7:$B$4206,$C267,'MOVIMENTI 2026'!$I$7:$I$4206)+SUMIF('SALDI AL 31.12.2025'!$A$6:$A$505,$C267,'SALDI AL 31.12.2025'!$C$6:$C$505))</f>
        <v/>
      </c>
      <c r="BB267" t="str">
        <f>IF($C267="","",SUMIF('MOVIMENTI 2026'!$B$7:$B$4206,$C267,'MOVIMENTI 2026'!$J$7:$J$4206)+SUMIF('SALDI AL 31.12.2025'!$A$6:$A$505,$C267,'SALDI AL 31.12.2025'!$D$6:$D$505))</f>
        <v/>
      </c>
      <c r="BC267" t="str">
        <f>IF($C267="","",SUMIF('MOVIMENTI 2026'!$B$7:$B$4206,$C267,'MOVIMENTI 2026'!$K$7:$K$4206)+SUMIF('SALDI AL 31.12.2025'!$A$6:$A$505,$C267,'SALDI AL 31.12.2025'!$E$6:$E$505))</f>
        <v/>
      </c>
      <c r="BD267" t="str">
        <f>IF($C267="","",SUMIF('MOVIMENTI 2026'!$B$7:$B$4206,$C267,'MOVIMENTI 2026'!$L$7:$L$4206)+SUMIF('SALDI AL 31.12.2025'!$A$6:$A$505,$C267,'SALDI AL 31.12.2025'!$F$6:$F$505))</f>
        <v/>
      </c>
      <c r="BE267" t="str">
        <f t="shared" si="110"/>
        <v/>
      </c>
      <c r="BF267" t="str">
        <f t="shared" si="111"/>
        <v/>
      </c>
      <c r="BG267" t="str">
        <f t="shared" si="112"/>
        <v/>
      </c>
      <c r="BH267" t="str">
        <f>IFERROR(IF(OR($C267="",ANAGRAFICA!$I264="",ANAGRAFICA!$J264="",ANAGRAFICA!$J264&lt;=ANAGRAFICA!$I264,$Y267=""),"",IF(OR($I267="Finito ritenute non previste",$I267="Finito con sblocco ritenute",$I267="Finito senza sblocco ritenute"),1,MAX(0,MIN(1,($Y267-ANAGRAFICA!$I264)/(ANAGRAFICA!$J264-ANAGRAFICA!$I264))))),"")</f>
        <v/>
      </c>
      <c r="BI267" t="str">
        <f t="shared" si="113"/>
        <v/>
      </c>
      <c r="BJ267" t="str">
        <f>IFERROR(IF($C267="","",'BUDGET COMMESSA'!$D264),"")</f>
        <v/>
      </c>
      <c r="BK267" t="str">
        <f>IF($C267="","",SUMIF('MOVIMENTI 2026'!$B$7:$B$4206,$C267,'MOVIMENTI 2026'!$N$7:$N$4206)+SUMIF('SALDI AL 31.12.2025'!$A$6:$A$505,$C267,'SALDI AL 31.12.2025'!$H$6:$H$505))</f>
        <v/>
      </c>
      <c r="BL267" t="str">
        <f t="shared" si="114"/>
        <v/>
      </c>
      <c r="BM267" t="str">
        <f t="shared" si="115"/>
        <v/>
      </c>
      <c r="BN267" t="str">
        <f t="shared" si="116"/>
        <v/>
      </c>
      <c r="BO267" t="str">
        <f>IFERROR(IF($C267="","",'BUDGET COMMESSA'!$G264),"")</f>
        <v/>
      </c>
      <c r="BP267" t="str">
        <f>IF($C267="","",SUMIF('COSTI DIRETTI'!$C$6:$C$505,$C267,'COSTI DIRETTI'!$H$6:$H$505)+SUMIF('SALDI AL 31.12.2025'!$A$6:$A$505,$C267,'SALDI AL 31.12.2025'!$I$6:$I$505))</f>
        <v/>
      </c>
      <c r="BQ267" t="str">
        <f t="shared" si="117"/>
        <v/>
      </c>
      <c r="BR267" t="str">
        <f t="shared" si="118"/>
        <v/>
      </c>
      <c r="BS267" t="str">
        <f>IF($C267="","",$BK267*PARAMETRI!$B$4+$BP267)</f>
        <v/>
      </c>
      <c r="BT267">
        <f t="shared" si="119"/>
        <v>0</v>
      </c>
      <c r="BU267">
        <f t="shared" si="120"/>
        <v>0</v>
      </c>
      <c r="BV267" t="str">
        <f>IF($C267="","",SUMIF('MOVIMENTI 2026'!$B$7:$B$4206,$C267,'MOVIMENTI 2026'!$P$7:$P$4206)+SUMIF('SALDI AL 31.12.2025'!$A$6:$A$505,$C267,'SALDI AL 31.12.2025'!$G$6:$G$505))</f>
        <v/>
      </c>
    </row>
    <row r="268" spans="1:74" ht="16" x14ac:dyDescent="0.15">
      <c r="A268" s="17" t="str">
        <f>IFERROR(IF($C268="","",IF(OR($BF268&gt;0,$V268&gt;$J268,AND(ISNUMBER($Q268),$Q268&gt;0),AND($BI268&lt;&gt;"",$BI268&lt;-PARAMETRI!$B$6),AND($BM268&lt;&gt;"",$BM268&gt;=1),AND($BN268&lt;&gt;"",$BN268&gt;PARAMETRI!$B$8),AND(ISNUMBER($BR268),$BR268&gt;0)),"CRITICO",IF(OR($AZ268="",LEFT($C268,5)="TEMP",$BJ268="",$BO268="",ANAGRAFICA!$I265="",ANAGRAFICA!$J265="",$Y268="",AND(OR($I268="Finito ritenute non previste",$I268="Finito con sblocco ritenute",$I268="Finito senza sblocco ritenute"),ANAGRAFICA!$K265=""),OR(AND(ANAGRAFICA!$T265&lt;&gt;"",ANAGRAFICA!$J265&lt;&gt;ANAGRAFICA!$T265,OR(ANAGRAFICA!$R265="",ANAGRAFICA!$R265="Nessuna variazione")),AND(ANAGRAFICA!$J265="",ANAGRAFICA!$R265&lt;&gt;"",ANAGRAFICA!$R265&lt;&gt;"Nessuna variazione")),AND($BI268&lt;&gt;"",$BI268&lt;-PARAMETRI!$B$5),AND($BN268&lt;&gt;"",$BN268&gt;PARAMETRI!$B$7),AND($W268&gt;0,$M268&gt;$W268*PARAMETRI!$B$9),AND($O268&gt;0,OR($I268="Finito ritenute non previste",$I268="Finito con sblocco ritenute",$I268="Finito senza sblocco ritenute")),AND($BA268&gt;0,$BO268&gt;0,$BP268=0),AND(OR($I268="Finito ritenute non previste",$I268="Finito con sblocco ritenute",$I268="Finito senza sblocco ritenute"),$W268&gt;0,$N268&gt;$W268*PARAMETRI!$B$9),$V268&gt;0),"ATTENZIONE","REGOLARE"))),"ATTENZIONE")</f>
        <v/>
      </c>
      <c r="B268" s="17" t="str">
        <f>IFERROR(IF($C268="","",IF($BF268&gt;0,"FATTURATO OLTRE VALORE RECUPERABILE; ","")&amp;IF($V268&gt;$J268,"PERDITE ACCETTATE OLTRE CONTRATTO; ","")&amp;IF($V268&gt;0,"PERDITA SAL ACCETTATA (€ "&amp;TEXT($V268,"#,##0.00")&amp;"); ","")&amp;IF(AND(ISNUMBER($Q268),$Q268&gt;0),"RITARDO PRODUTTIVO ("&amp;TEXT($Q268,"0")&amp;" GG); ","")&amp;IF(AND($BI268&lt;&gt;"",$BI268&lt;-PARAMETRI!$B$5),"AVANZAMENTO PIÙ LENTO DEL TEMPO; ","")&amp;IF(AND($BM268&lt;&gt;"",$BM268&gt;1),"ORE OLTRE BUDGET; ","")&amp;IF(AND($BM268&lt;&gt;"",$BM268=1),"ORE PREVENTIVATE ESAURITE; ","")&amp;IF(AND($BN268&lt;&gt;"",$BN268&gt;PARAMETRI!$B$7),"CONSUMO ORE SUPERIORE ALL'AVANZAMENTO; ","")&amp;IF(AND(ISNUMBER($BR268),$BR268&gt;0),"COSTI DIRETTI OLTRE BUDGET; ","")&amp;IF(AND($W268&gt;0,$M268&gt;$W268*PARAMETRI!$B$9),"SAL MATURATO NON FATTURATO; ","")&amp;IF(AND($O268&gt;0,OR($I268="Finito ritenute non previste",$I268="Finito con sblocco ritenute",$I268="Finito senza sblocco ritenute")),"RITENUTE DA SBLOCCARE; ","")&amp;IF(AND($BA268&gt;0,$BO268&gt;0,$BP268=0),"COSTI DIRETTI NON REGISTRATI; ","")&amp;IF(AND(OR($I268="Finito ritenute non previste",$I268="Finito con sblocco ritenute",$I268="Finito senza sblocco ritenute"),$W268&gt;0,$N268&gt;$W268*PARAMETRI!$B$9),"CANTIERE FINITO CON RESIDUO LAVORI; ","")&amp;IF(AND(OR($I268="Finito ritenute non previste",$I268="Finito con sblocco ritenute",$I268="Finito senza sblocco ritenute"),ANAGRAFICA!$K265=""),"DATA FINE EFFETTIVA MANCANTE; ","")&amp;IF(OR(AND(ANAGRAFICA!$T265&lt;&gt;"",ANAGRAFICA!$J265&lt;&gt;ANAGRAFICA!$T265,OR(ANAGRAFICA!$R265="",ANAGRAFICA!$R265="Nessuna variazione")),AND(ANAGRAFICA!$J265="",ANAGRAFICA!$R265&lt;&gt;"",ANAGRAFICA!$R265&lt;&gt;"Nessuna variazione")),"GESTIONE DATA FINE INCOMPLETA; ","")&amp;IF($Y268="","AGGIORNATO AL MANCANTE; ","")&amp;IF(OR($AZ268="",$BJ268="",$BO268="",ANAGRAFICA!$I265="",ANAGRAFICA!$J265=""),"DATI PREVISIONALI INCOMPLETI; ","")&amp;IF(LEFT($C268,5)="TEMP","CODICE COMMESSA TEMPORANEO; ","")),"DATI INCOMPLETI; ")</f>
        <v/>
      </c>
      <c r="C268" s="17" t="str">
        <f>IF(ANAGRAFICA!$B265="","",ANAGRAFICA!$B265)</f>
        <v/>
      </c>
      <c r="D268" s="17" t="str">
        <f>IF($C268="","",ANAGRAFICA!$C265)</f>
        <v/>
      </c>
      <c r="E268" s="17" t="str">
        <f>IF($C268="","",ANAGRAFICA!$D265)</f>
        <v/>
      </c>
      <c r="F268" s="17" t="str">
        <f>IF($C268="","",ANAGRAFICA!$E265)</f>
        <v/>
      </c>
      <c r="G268" s="17" t="str">
        <f>IF($C268="","",ANAGRAFICA!$F265)</f>
        <v/>
      </c>
      <c r="H268" s="17" t="str">
        <f>IF($C268="","",ANAGRAFICA!$G265)</f>
        <v/>
      </c>
      <c r="I268" s="17" t="str">
        <f>IF($C268="","",ANAGRAFICA!$L265)</f>
        <v/>
      </c>
      <c r="J268" s="16" t="str">
        <f t="shared" si="97"/>
        <v/>
      </c>
      <c r="K268" s="16" t="str">
        <f t="shared" si="98"/>
        <v/>
      </c>
      <c r="L268" s="16" t="str">
        <f t="shared" si="99"/>
        <v/>
      </c>
      <c r="M268" s="16" t="str">
        <f t="shared" si="100"/>
        <v/>
      </c>
      <c r="N268" s="16" t="str">
        <f t="shared" si="101"/>
        <v/>
      </c>
      <c r="O268" s="16" t="str">
        <f t="shared" si="102"/>
        <v/>
      </c>
      <c r="P268" s="17" t="str">
        <f t="shared" si="103"/>
        <v/>
      </c>
      <c r="Q268" s="31" t="str">
        <f>IF(OR($C268="",'BUDGET COMMESSA'!$D265="",'BUDGET COMMESSA'!$D265&lt;=0,ANAGRAFICA!$J265=""),"",IF(OR($I268="Finito ritenute non previste",$I268="Finito con sblocco ritenute",$I268="Finito senza sblocco ritenute"),0,IF(AND($BK268&gt;=$BJ268,ANAGRAFICA!$R265="Ritardo produttivo FIDA"),IF(ANAGRAFICA!$T265&lt;&gt;"",MAX(0,ANAGRAFICA!$J265-ANAGRAFICA!$T265),MAX(0,$Y268-ANAGRAFICA!$J265)),0)))</f>
        <v/>
      </c>
      <c r="R268" s="17" t="str">
        <f t="shared" si="104"/>
        <v/>
      </c>
      <c r="S268" s="17" t="str">
        <f t="shared" si="105"/>
        <v/>
      </c>
      <c r="T268" s="17" t="str">
        <f t="shared" si="106"/>
        <v/>
      </c>
      <c r="U268" s="16" t="str">
        <f t="shared" si="107"/>
        <v/>
      </c>
      <c r="V268" s="16" t="str">
        <f t="shared" si="108"/>
        <v/>
      </c>
      <c r="W268" s="16" t="str">
        <f t="shared" si="109"/>
        <v/>
      </c>
      <c r="X268" s="40"/>
      <c r="Y268" s="14"/>
      <c r="AZ268" t="str">
        <f>IF($C268="","",ANAGRAFICA!$P265)</f>
        <v/>
      </c>
      <c r="BA268" t="str">
        <f>IF($C268="","",SUMIF('MOVIMENTI 2026'!$B$7:$B$4206,$C268,'MOVIMENTI 2026'!$I$7:$I$4206)+SUMIF('SALDI AL 31.12.2025'!$A$6:$A$505,$C268,'SALDI AL 31.12.2025'!$C$6:$C$505))</f>
        <v/>
      </c>
      <c r="BB268" t="str">
        <f>IF($C268="","",SUMIF('MOVIMENTI 2026'!$B$7:$B$4206,$C268,'MOVIMENTI 2026'!$J$7:$J$4206)+SUMIF('SALDI AL 31.12.2025'!$A$6:$A$505,$C268,'SALDI AL 31.12.2025'!$D$6:$D$505))</f>
        <v/>
      </c>
      <c r="BC268" t="str">
        <f>IF($C268="","",SUMIF('MOVIMENTI 2026'!$B$7:$B$4206,$C268,'MOVIMENTI 2026'!$K$7:$K$4206)+SUMIF('SALDI AL 31.12.2025'!$A$6:$A$505,$C268,'SALDI AL 31.12.2025'!$E$6:$E$505))</f>
        <v/>
      </c>
      <c r="BD268" t="str">
        <f>IF($C268="","",SUMIF('MOVIMENTI 2026'!$B$7:$B$4206,$C268,'MOVIMENTI 2026'!$L$7:$L$4206)+SUMIF('SALDI AL 31.12.2025'!$A$6:$A$505,$C268,'SALDI AL 31.12.2025'!$F$6:$F$505))</f>
        <v/>
      </c>
      <c r="BE268" t="str">
        <f t="shared" si="110"/>
        <v/>
      </c>
      <c r="BF268" t="str">
        <f t="shared" si="111"/>
        <v/>
      </c>
      <c r="BG268" t="str">
        <f t="shared" si="112"/>
        <v/>
      </c>
      <c r="BH268" t="str">
        <f>IFERROR(IF(OR($C268="",ANAGRAFICA!$I265="",ANAGRAFICA!$J265="",ANAGRAFICA!$J265&lt;=ANAGRAFICA!$I265,$Y268=""),"",IF(OR($I268="Finito ritenute non previste",$I268="Finito con sblocco ritenute",$I268="Finito senza sblocco ritenute"),1,MAX(0,MIN(1,($Y268-ANAGRAFICA!$I265)/(ANAGRAFICA!$J265-ANAGRAFICA!$I265))))),"")</f>
        <v/>
      </c>
      <c r="BI268" t="str">
        <f t="shared" si="113"/>
        <v/>
      </c>
      <c r="BJ268" t="str">
        <f>IFERROR(IF($C268="","",'BUDGET COMMESSA'!$D265),"")</f>
        <v/>
      </c>
      <c r="BK268" t="str">
        <f>IF($C268="","",SUMIF('MOVIMENTI 2026'!$B$7:$B$4206,$C268,'MOVIMENTI 2026'!$N$7:$N$4206)+SUMIF('SALDI AL 31.12.2025'!$A$6:$A$505,$C268,'SALDI AL 31.12.2025'!$H$6:$H$505))</f>
        <v/>
      </c>
      <c r="BL268" t="str">
        <f t="shared" si="114"/>
        <v/>
      </c>
      <c r="BM268" t="str">
        <f t="shared" si="115"/>
        <v/>
      </c>
      <c r="BN268" t="str">
        <f t="shared" si="116"/>
        <v/>
      </c>
      <c r="BO268" t="str">
        <f>IFERROR(IF($C268="","",'BUDGET COMMESSA'!$G265),"")</f>
        <v/>
      </c>
      <c r="BP268" t="str">
        <f>IF($C268="","",SUMIF('COSTI DIRETTI'!$C$6:$C$505,$C268,'COSTI DIRETTI'!$H$6:$H$505)+SUMIF('SALDI AL 31.12.2025'!$A$6:$A$505,$C268,'SALDI AL 31.12.2025'!$I$6:$I$505))</f>
        <v/>
      </c>
      <c r="BQ268" t="str">
        <f t="shared" si="117"/>
        <v/>
      </c>
      <c r="BR268" t="str">
        <f t="shared" si="118"/>
        <v/>
      </c>
      <c r="BS268" t="str">
        <f>IF($C268="","",$BK268*PARAMETRI!$B$4+$BP268)</f>
        <v/>
      </c>
      <c r="BT268">
        <f t="shared" si="119"/>
        <v>0</v>
      </c>
      <c r="BU268">
        <f t="shared" si="120"/>
        <v>0</v>
      </c>
      <c r="BV268" t="str">
        <f>IF($C268="","",SUMIF('MOVIMENTI 2026'!$B$7:$B$4206,$C268,'MOVIMENTI 2026'!$P$7:$P$4206)+SUMIF('SALDI AL 31.12.2025'!$A$6:$A$505,$C268,'SALDI AL 31.12.2025'!$G$6:$G$505))</f>
        <v/>
      </c>
    </row>
    <row r="269" spans="1:74" ht="16" x14ac:dyDescent="0.15">
      <c r="A269" s="17" t="str">
        <f>IFERROR(IF($C269="","",IF(OR($BF269&gt;0,$V269&gt;$J269,AND(ISNUMBER($Q269),$Q269&gt;0),AND($BI269&lt;&gt;"",$BI269&lt;-PARAMETRI!$B$6),AND($BM269&lt;&gt;"",$BM269&gt;=1),AND($BN269&lt;&gt;"",$BN269&gt;PARAMETRI!$B$8),AND(ISNUMBER($BR269),$BR269&gt;0)),"CRITICO",IF(OR($AZ269="",LEFT($C269,5)="TEMP",$BJ269="",$BO269="",ANAGRAFICA!$I266="",ANAGRAFICA!$J266="",$Y269="",AND(OR($I269="Finito ritenute non previste",$I269="Finito con sblocco ritenute",$I269="Finito senza sblocco ritenute"),ANAGRAFICA!$K266=""),OR(AND(ANAGRAFICA!$T266&lt;&gt;"",ANAGRAFICA!$J266&lt;&gt;ANAGRAFICA!$T266,OR(ANAGRAFICA!$R266="",ANAGRAFICA!$R266="Nessuna variazione")),AND(ANAGRAFICA!$J266="",ANAGRAFICA!$R266&lt;&gt;"",ANAGRAFICA!$R266&lt;&gt;"Nessuna variazione")),AND($BI269&lt;&gt;"",$BI269&lt;-PARAMETRI!$B$5),AND($BN269&lt;&gt;"",$BN269&gt;PARAMETRI!$B$7),AND($W269&gt;0,$M269&gt;$W269*PARAMETRI!$B$9),AND($O269&gt;0,OR($I269="Finito ritenute non previste",$I269="Finito con sblocco ritenute",$I269="Finito senza sblocco ritenute")),AND($BA269&gt;0,$BO269&gt;0,$BP269=0),AND(OR($I269="Finito ritenute non previste",$I269="Finito con sblocco ritenute",$I269="Finito senza sblocco ritenute"),$W269&gt;0,$N269&gt;$W269*PARAMETRI!$B$9),$V269&gt;0),"ATTENZIONE","REGOLARE"))),"ATTENZIONE")</f>
        <v/>
      </c>
      <c r="B269" s="17" t="str">
        <f>IFERROR(IF($C269="","",IF($BF269&gt;0,"FATTURATO OLTRE VALORE RECUPERABILE; ","")&amp;IF($V269&gt;$J269,"PERDITE ACCETTATE OLTRE CONTRATTO; ","")&amp;IF($V269&gt;0,"PERDITA SAL ACCETTATA (€ "&amp;TEXT($V269,"#,##0.00")&amp;"); ","")&amp;IF(AND(ISNUMBER($Q269),$Q269&gt;0),"RITARDO PRODUTTIVO ("&amp;TEXT($Q269,"0")&amp;" GG); ","")&amp;IF(AND($BI269&lt;&gt;"",$BI269&lt;-PARAMETRI!$B$5),"AVANZAMENTO PIÙ LENTO DEL TEMPO; ","")&amp;IF(AND($BM269&lt;&gt;"",$BM269&gt;1),"ORE OLTRE BUDGET; ","")&amp;IF(AND($BM269&lt;&gt;"",$BM269=1),"ORE PREVENTIVATE ESAURITE; ","")&amp;IF(AND($BN269&lt;&gt;"",$BN269&gt;PARAMETRI!$B$7),"CONSUMO ORE SUPERIORE ALL'AVANZAMENTO; ","")&amp;IF(AND(ISNUMBER($BR269),$BR269&gt;0),"COSTI DIRETTI OLTRE BUDGET; ","")&amp;IF(AND($W269&gt;0,$M269&gt;$W269*PARAMETRI!$B$9),"SAL MATURATO NON FATTURATO; ","")&amp;IF(AND($O269&gt;0,OR($I269="Finito ritenute non previste",$I269="Finito con sblocco ritenute",$I269="Finito senza sblocco ritenute")),"RITENUTE DA SBLOCCARE; ","")&amp;IF(AND($BA269&gt;0,$BO269&gt;0,$BP269=0),"COSTI DIRETTI NON REGISTRATI; ","")&amp;IF(AND(OR($I269="Finito ritenute non previste",$I269="Finito con sblocco ritenute",$I269="Finito senza sblocco ritenute"),$W269&gt;0,$N269&gt;$W269*PARAMETRI!$B$9),"CANTIERE FINITO CON RESIDUO LAVORI; ","")&amp;IF(AND(OR($I269="Finito ritenute non previste",$I269="Finito con sblocco ritenute",$I269="Finito senza sblocco ritenute"),ANAGRAFICA!$K266=""),"DATA FINE EFFETTIVA MANCANTE; ","")&amp;IF(OR(AND(ANAGRAFICA!$T266&lt;&gt;"",ANAGRAFICA!$J266&lt;&gt;ANAGRAFICA!$T266,OR(ANAGRAFICA!$R266="",ANAGRAFICA!$R266="Nessuna variazione")),AND(ANAGRAFICA!$J266="",ANAGRAFICA!$R266&lt;&gt;"",ANAGRAFICA!$R266&lt;&gt;"Nessuna variazione")),"GESTIONE DATA FINE INCOMPLETA; ","")&amp;IF($Y269="","AGGIORNATO AL MANCANTE; ","")&amp;IF(OR($AZ269="",$BJ269="",$BO269="",ANAGRAFICA!$I266="",ANAGRAFICA!$J266=""),"DATI PREVISIONALI INCOMPLETI; ","")&amp;IF(LEFT($C269,5)="TEMP","CODICE COMMESSA TEMPORANEO; ","")),"DATI INCOMPLETI; ")</f>
        <v/>
      </c>
      <c r="C269" s="17" t="str">
        <f>IF(ANAGRAFICA!$B266="","",ANAGRAFICA!$B266)</f>
        <v/>
      </c>
      <c r="D269" s="17" t="str">
        <f>IF($C269="","",ANAGRAFICA!$C266)</f>
        <v/>
      </c>
      <c r="E269" s="17" t="str">
        <f>IF($C269="","",ANAGRAFICA!$D266)</f>
        <v/>
      </c>
      <c r="F269" s="17" t="str">
        <f>IF($C269="","",ANAGRAFICA!$E266)</f>
        <v/>
      </c>
      <c r="G269" s="17" t="str">
        <f>IF($C269="","",ANAGRAFICA!$F266)</f>
        <v/>
      </c>
      <c r="H269" s="17" t="str">
        <f>IF($C269="","",ANAGRAFICA!$G266)</f>
        <v/>
      </c>
      <c r="I269" s="17" t="str">
        <f>IF($C269="","",ANAGRAFICA!$L266)</f>
        <v/>
      </c>
      <c r="J269" s="16" t="str">
        <f t="shared" si="97"/>
        <v/>
      </c>
      <c r="K269" s="16" t="str">
        <f t="shared" si="98"/>
        <v/>
      </c>
      <c r="L269" s="16" t="str">
        <f t="shared" si="99"/>
        <v/>
      </c>
      <c r="M269" s="16" t="str">
        <f t="shared" si="100"/>
        <v/>
      </c>
      <c r="N269" s="16" t="str">
        <f t="shared" si="101"/>
        <v/>
      </c>
      <c r="O269" s="16" t="str">
        <f t="shared" si="102"/>
        <v/>
      </c>
      <c r="P269" s="17" t="str">
        <f t="shared" si="103"/>
        <v/>
      </c>
      <c r="Q269" s="31" t="str">
        <f>IF(OR($C269="",'BUDGET COMMESSA'!$D266="",'BUDGET COMMESSA'!$D266&lt;=0,ANAGRAFICA!$J266=""),"",IF(OR($I269="Finito ritenute non previste",$I269="Finito con sblocco ritenute",$I269="Finito senza sblocco ritenute"),0,IF(AND($BK269&gt;=$BJ269,ANAGRAFICA!$R266="Ritardo produttivo FIDA"),IF(ANAGRAFICA!$T266&lt;&gt;"",MAX(0,ANAGRAFICA!$J266-ANAGRAFICA!$T266),MAX(0,$Y269-ANAGRAFICA!$J266)),0)))</f>
        <v/>
      </c>
      <c r="R269" s="17" t="str">
        <f t="shared" si="104"/>
        <v/>
      </c>
      <c r="S269" s="17" t="str">
        <f t="shared" si="105"/>
        <v/>
      </c>
      <c r="T269" s="17" t="str">
        <f t="shared" si="106"/>
        <v/>
      </c>
      <c r="U269" s="16" t="str">
        <f t="shared" si="107"/>
        <v/>
      </c>
      <c r="V269" s="16" t="str">
        <f t="shared" si="108"/>
        <v/>
      </c>
      <c r="W269" s="16" t="str">
        <f t="shared" si="109"/>
        <v/>
      </c>
      <c r="X269" s="40"/>
      <c r="Y269" s="14"/>
      <c r="AZ269" t="str">
        <f>IF($C269="","",ANAGRAFICA!$P266)</f>
        <v/>
      </c>
      <c r="BA269" t="str">
        <f>IF($C269="","",SUMIF('MOVIMENTI 2026'!$B$7:$B$4206,$C269,'MOVIMENTI 2026'!$I$7:$I$4206)+SUMIF('SALDI AL 31.12.2025'!$A$6:$A$505,$C269,'SALDI AL 31.12.2025'!$C$6:$C$505))</f>
        <v/>
      </c>
      <c r="BB269" t="str">
        <f>IF($C269="","",SUMIF('MOVIMENTI 2026'!$B$7:$B$4206,$C269,'MOVIMENTI 2026'!$J$7:$J$4206)+SUMIF('SALDI AL 31.12.2025'!$A$6:$A$505,$C269,'SALDI AL 31.12.2025'!$D$6:$D$505))</f>
        <v/>
      </c>
      <c r="BC269" t="str">
        <f>IF($C269="","",SUMIF('MOVIMENTI 2026'!$B$7:$B$4206,$C269,'MOVIMENTI 2026'!$K$7:$K$4206)+SUMIF('SALDI AL 31.12.2025'!$A$6:$A$505,$C269,'SALDI AL 31.12.2025'!$E$6:$E$505))</f>
        <v/>
      </c>
      <c r="BD269" t="str">
        <f>IF($C269="","",SUMIF('MOVIMENTI 2026'!$B$7:$B$4206,$C269,'MOVIMENTI 2026'!$L$7:$L$4206)+SUMIF('SALDI AL 31.12.2025'!$A$6:$A$505,$C269,'SALDI AL 31.12.2025'!$F$6:$F$505))</f>
        <v/>
      </c>
      <c r="BE269" t="str">
        <f t="shared" si="110"/>
        <v/>
      </c>
      <c r="BF269" t="str">
        <f t="shared" si="111"/>
        <v/>
      </c>
      <c r="BG269" t="str">
        <f t="shared" si="112"/>
        <v/>
      </c>
      <c r="BH269" t="str">
        <f>IFERROR(IF(OR($C269="",ANAGRAFICA!$I266="",ANAGRAFICA!$J266="",ANAGRAFICA!$J266&lt;=ANAGRAFICA!$I266,$Y269=""),"",IF(OR($I269="Finito ritenute non previste",$I269="Finito con sblocco ritenute",$I269="Finito senza sblocco ritenute"),1,MAX(0,MIN(1,($Y269-ANAGRAFICA!$I266)/(ANAGRAFICA!$J266-ANAGRAFICA!$I266))))),"")</f>
        <v/>
      </c>
      <c r="BI269" t="str">
        <f t="shared" si="113"/>
        <v/>
      </c>
      <c r="BJ269" t="str">
        <f>IFERROR(IF($C269="","",'BUDGET COMMESSA'!$D266),"")</f>
        <v/>
      </c>
      <c r="BK269" t="str">
        <f>IF($C269="","",SUMIF('MOVIMENTI 2026'!$B$7:$B$4206,$C269,'MOVIMENTI 2026'!$N$7:$N$4206)+SUMIF('SALDI AL 31.12.2025'!$A$6:$A$505,$C269,'SALDI AL 31.12.2025'!$H$6:$H$505))</f>
        <v/>
      </c>
      <c r="BL269" t="str">
        <f t="shared" si="114"/>
        <v/>
      </c>
      <c r="BM269" t="str">
        <f t="shared" si="115"/>
        <v/>
      </c>
      <c r="BN269" t="str">
        <f t="shared" si="116"/>
        <v/>
      </c>
      <c r="BO269" t="str">
        <f>IFERROR(IF($C269="","",'BUDGET COMMESSA'!$G266),"")</f>
        <v/>
      </c>
      <c r="BP269" t="str">
        <f>IF($C269="","",SUMIF('COSTI DIRETTI'!$C$6:$C$505,$C269,'COSTI DIRETTI'!$H$6:$H$505)+SUMIF('SALDI AL 31.12.2025'!$A$6:$A$505,$C269,'SALDI AL 31.12.2025'!$I$6:$I$505))</f>
        <v/>
      </c>
      <c r="BQ269" t="str">
        <f t="shared" si="117"/>
        <v/>
      </c>
      <c r="BR269" t="str">
        <f t="shared" si="118"/>
        <v/>
      </c>
      <c r="BS269" t="str">
        <f>IF($C269="","",$BK269*PARAMETRI!$B$4+$BP269)</f>
        <v/>
      </c>
      <c r="BT269">
        <f t="shared" si="119"/>
        <v>0</v>
      </c>
      <c r="BU269">
        <f t="shared" si="120"/>
        <v>0</v>
      </c>
      <c r="BV269" t="str">
        <f>IF($C269="","",SUMIF('MOVIMENTI 2026'!$B$7:$B$4206,$C269,'MOVIMENTI 2026'!$P$7:$P$4206)+SUMIF('SALDI AL 31.12.2025'!$A$6:$A$505,$C269,'SALDI AL 31.12.2025'!$G$6:$G$505))</f>
        <v/>
      </c>
    </row>
    <row r="270" spans="1:74" ht="16" x14ac:dyDescent="0.15">
      <c r="A270" s="17" t="str">
        <f>IFERROR(IF($C270="","",IF(OR($BF270&gt;0,$V270&gt;$J270,AND(ISNUMBER($Q270),$Q270&gt;0),AND($BI270&lt;&gt;"",$BI270&lt;-PARAMETRI!$B$6),AND($BM270&lt;&gt;"",$BM270&gt;=1),AND($BN270&lt;&gt;"",$BN270&gt;PARAMETRI!$B$8),AND(ISNUMBER($BR270),$BR270&gt;0)),"CRITICO",IF(OR($AZ270="",LEFT($C270,5)="TEMP",$BJ270="",$BO270="",ANAGRAFICA!$I267="",ANAGRAFICA!$J267="",$Y270="",AND(OR($I270="Finito ritenute non previste",$I270="Finito con sblocco ritenute",$I270="Finito senza sblocco ritenute"),ANAGRAFICA!$K267=""),OR(AND(ANAGRAFICA!$T267&lt;&gt;"",ANAGRAFICA!$J267&lt;&gt;ANAGRAFICA!$T267,OR(ANAGRAFICA!$R267="",ANAGRAFICA!$R267="Nessuna variazione")),AND(ANAGRAFICA!$J267="",ANAGRAFICA!$R267&lt;&gt;"",ANAGRAFICA!$R267&lt;&gt;"Nessuna variazione")),AND($BI270&lt;&gt;"",$BI270&lt;-PARAMETRI!$B$5),AND($BN270&lt;&gt;"",$BN270&gt;PARAMETRI!$B$7),AND($W270&gt;0,$M270&gt;$W270*PARAMETRI!$B$9),AND($O270&gt;0,OR($I270="Finito ritenute non previste",$I270="Finito con sblocco ritenute",$I270="Finito senza sblocco ritenute")),AND($BA270&gt;0,$BO270&gt;0,$BP270=0),AND(OR($I270="Finito ritenute non previste",$I270="Finito con sblocco ritenute",$I270="Finito senza sblocco ritenute"),$W270&gt;0,$N270&gt;$W270*PARAMETRI!$B$9),$V270&gt;0),"ATTENZIONE","REGOLARE"))),"ATTENZIONE")</f>
        <v/>
      </c>
      <c r="B270" s="17" t="str">
        <f>IFERROR(IF($C270="","",IF($BF270&gt;0,"FATTURATO OLTRE VALORE RECUPERABILE; ","")&amp;IF($V270&gt;$J270,"PERDITE ACCETTATE OLTRE CONTRATTO; ","")&amp;IF($V270&gt;0,"PERDITA SAL ACCETTATA (€ "&amp;TEXT($V270,"#,##0.00")&amp;"); ","")&amp;IF(AND(ISNUMBER($Q270),$Q270&gt;0),"RITARDO PRODUTTIVO ("&amp;TEXT($Q270,"0")&amp;" GG); ","")&amp;IF(AND($BI270&lt;&gt;"",$BI270&lt;-PARAMETRI!$B$5),"AVANZAMENTO PIÙ LENTO DEL TEMPO; ","")&amp;IF(AND($BM270&lt;&gt;"",$BM270&gt;1),"ORE OLTRE BUDGET; ","")&amp;IF(AND($BM270&lt;&gt;"",$BM270=1),"ORE PREVENTIVATE ESAURITE; ","")&amp;IF(AND($BN270&lt;&gt;"",$BN270&gt;PARAMETRI!$B$7),"CONSUMO ORE SUPERIORE ALL'AVANZAMENTO; ","")&amp;IF(AND(ISNUMBER($BR270),$BR270&gt;0),"COSTI DIRETTI OLTRE BUDGET; ","")&amp;IF(AND($W270&gt;0,$M270&gt;$W270*PARAMETRI!$B$9),"SAL MATURATO NON FATTURATO; ","")&amp;IF(AND($O270&gt;0,OR($I270="Finito ritenute non previste",$I270="Finito con sblocco ritenute",$I270="Finito senza sblocco ritenute")),"RITENUTE DA SBLOCCARE; ","")&amp;IF(AND($BA270&gt;0,$BO270&gt;0,$BP270=0),"COSTI DIRETTI NON REGISTRATI; ","")&amp;IF(AND(OR($I270="Finito ritenute non previste",$I270="Finito con sblocco ritenute",$I270="Finito senza sblocco ritenute"),$W270&gt;0,$N270&gt;$W270*PARAMETRI!$B$9),"CANTIERE FINITO CON RESIDUO LAVORI; ","")&amp;IF(AND(OR($I270="Finito ritenute non previste",$I270="Finito con sblocco ritenute",$I270="Finito senza sblocco ritenute"),ANAGRAFICA!$K267=""),"DATA FINE EFFETTIVA MANCANTE; ","")&amp;IF(OR(AND(ANAGRAFICA!$T267&lt;&gt;"",ANAGRAFICA!$J267&lt;&gt;ANAGRAFICA!$T267,OR(ANAGRAFICA!$R267="",ANAGRAFICA!$R267="Nessuna variazione")),AND(ANAGRAFICA!$J267="",ANAGRAFICA!$R267&lt;&gt;"",ANAGRAFICA!$R267&lt;&gt;"Nessuna variazione")),"GESTIONE DATA FINE INCOMPLETA; ","")&amp;IF($Y270="","AGGIORNATO AL MANCANTE; ","")&amp;IF(OR($AZ270="",$BJ270="",$BO270="",ANAGRAFICA!$I267="",ANAGRAFICA!$J267=""),"DATI PREVISIONALI INCOMPLETI; ","")&amp;IF(LEFT($C270,5)="TEMP","CODICE COMMESSA TEMPORANEO; ","")),"DATI INCOMPLETI; ")</f>
        <v/>
      </c>
      <c r="C270" s="17" t="str">
        <f>IF(ANAGRAFICA!$B267="","",ANAGRAFICA!$B267)</f>
        <v/>
      </c>
      <c r="D270" s="17" t="str">
        <f>IF($C270="","",ANAGRAFICA!$C267)</f>
        <v/>
      </c>
      <c r="E270" s="17" t="str">
        <f>IF($C270="","",ANAGRAFICA!$D267)</f>
        <v/>
      </c>
      <c r="F270" s="17" t="str">
        <f>IF($C270="","",ANAGRAFICA!$E267)</f>
        <v/>
      </c>
      <c r="G270" s="17" t="str">
        <f>IF($C270="","",ANAGRAFICA!$F267)</f>
        <v/>
      </c>
      <c r="H270" s="17" t="str">
        <f>IF($C270="","",ANAGRAFICA!$G267)</f>
        <v/>
      </c>
      <c r="I270" s="17" t="str">
        <f>IF($C270="","",ANAGRAFICA!$L267)</f>
        <v/>
      </c>
      <c r="J270" s="16" t="str">
        <f t="shared" si="97"/>
        <v/>
      </c>
      <c r="K270" s="16" t="str">
        <f t="shared" si="98"/>
        <v/>
      </c>
      <c r="L270" s="16" t="str">
        <f t="shared" si="99"/>
        <v/>
      </c>
      <c r="M270" s="16" t="str">
        <f t="shared" si="100"/>
        <v/>
      </c>
      <c r="N270" s="16" t="str">
        <f t="shared" si="101"/>
        <v/>
      </c>
      <c r="O270" s="16" t="str">
        <f t="shared" si="102"/>
        <v/>
      </c>
      <c r="P270" s="17" t="str">
        <f t="shared" si="103"/>
        <v/>
      </c>
      <c r="Q270" s="31" t="str">
        <f>IF(OR($C270="",'BUDGET COMMESSA'!$D267="",'BUDGET COMMESSA'!$D267&lt;=0,ANAGRAFICA!$J267=""),"",IF(OR($I270="Finito ritenute non previste",$I270="Finito con sblocco ritenute",$I270="Finito senza sblocco ritenute"),0,IF(AND($BK270&gt;=$BJ270,ANAGRAFICA!$R267="Ritardo produttivo FIDA"),IF(ANAGRAFICA!$T267&lt;&gt;"",MAX(0,ANAGRAFICA!$J267-ANAGRAFICA!$T267),MAX(0,$Y270-ANAGRAFICA!$J267)),0)))</f>
        <v/>
      </c>
      <c r="R270" s="17" t="str">
        <f t="shared" si="104"/>
        <v/>
      </c>
      <c r="S270" s="17" t="str">
        <f t="shared" si="105"/>
        <v/>
      </c>
      <c r="T270" s="17" t="str">
        <f t="shared" si="106"/>
        <v/>
      </c>
      <c r="U270" s="16" t="str">
        <f t="shared" si="107"/>
        <v/>
      </c>
      <c r="V270" s="16" t="str">
        <f t="shared" si="108"/>
        <v/>
      </c>
      <c r="W270" s="16" t="str">
        <f t="shared" si="109"/>
        <v/>
      </c>
      <c r="X270" s="40"/>
      <c r="Y270" s="14"/>
      <c r="AZ270" t="str">
        <f>IF($C270="","",ANAGRAFICA!$P267)</f>
        <v/>
      </c>
      <c r="BA270" t="str">
        <f>IF($C270="","",SUMIF('MOVIMENTI 2026'!$B$7:$B$4206,$C270,'MOVIMENTI 2026'!$I$7:$I$4206)+SUMIF('SALDI AL 31.12.2025'!$A$6:$A$505,$C270,'SALDI AL 31.12.2025'!$C$6:$C$505))</f>
        <v/>
      </c>
      <c r="BB270" t="str">
        <f>IF($C270="","",SUMIF('MOVIMENTI 2026'!$B$7:$B$4206,$C270,'MOVIMENTI 2026'!$J$7:$J$4206)+SUMIF('SALDI AL 31.12.2025'!$A$6:$A$505,$C270,'SALDI AL 31.12.2025'!$D$6:$D$505))</f>
        <v/>
      </c>
      <c r="BC270" t="str">
        <f>IF($C270="","",SUMIF('MOVIMENTI 2026'!$B$7:$B$4206,$C270,'MOVIMENTI 2026'!$K$7:$K$4206)+SUMIF('SALDI AL 31.12.2025'!$A$6:$A$505,$C270,'SALDI AL 31.12.2025'!$E$6:$E$505))</f>
        <v/>
      </c>
      <c r="BD270" t="str">
        <f>IF($C270="","",SUMIF('MOVIMENTI 2026'!$B$7:$B$4206,$C270,'MOVIMENTI 2026'!$L$7:$L$4206)+SUMIF('SALDI AL 31.12.2025'!$A$6:$A$505,$C270,'SALDI AL 31.12.2025'!$F$6:$F$505))</f>
        <v/>
      </c>
      <c r="BE270" t="str">
        <f t="shared" si="110"/>
        <v/>
      </c>
      <c r="BF270" t="str">
        <f t="shared" si="111"/>
        <v/>
      </c>
      <c r="BG270" t="str">
        <f t="shared" si="112"/>
        <v/>
      </c>
      <c r="BH270" t="str">
        <f>IFERROR(IF(OR($C270="",ANAGRAFICA!$I267="",ANAGRAFICA!$J267="",ANAGRAFICA!$J267&lt;=ANAGRAFICA!$I267,$Y270=""),"",IF(OR($I270="Finito ritenute non previste",$I270="Finito con sblocco ritenute",$I270="Finito senza sblocco ritenute"),1,MAX(0,MIN(1,($Y270-ANAGRAFICA!$I267)/(ANAGRAFICA!$J267-ANAGRAFICA!$I267))))),"")</f>
        <v/>
      </c>
      <c r="BI270" t="str">
        <f t="shared" si="113"/>
        <v/>
      </c>
      <c r="BJ270" t="str">
        <f>IFERROR(IF($C270="","",'BUDGET COMMESSA'!$D267),"")</f>
        <v/>
      </c>
      <c r="BK270" t="str">
        <f>IF($C270="","",SUMIF('MOVIMENTI 2026'!$B$7:$B$4206,$C270,'MOVIMENTI 2026'!$N$7:$N$4206)+SUMIF('SALDI AL 31.12.2025'!$A$6:$A$505,$C270,'SALDI AL 31.12.2025'!$H$6:$H$505))</f>
        <v/>
      </c>
      <c r="BL270" t="str">
        <f t="shared" si="114"/>
        <v/>
      </c>
      <c r="BM270" t="str">
        <f t="shared" si="115"/>
        <v/>
      </c>
      <c r="BN270" t="str">
        <f t="shared" si="116"/>
        <v/>
      </c>
      <c r="BO270" t="str">
        <f>IFERROR(IF($C270="","",'BUDGET COMMESSA'!$G267),"")</f>
        <v/>
      </c>
      <c r="BP270" t="str">
        <f>IF($C270="","",SUMIF('COSTI DIRETTI'!$C$6:$C$505,$C270,'COSTI DIRETTI'!$H$6:$H$505)+SUMIF('SALDI AL 31.12.2025'!$A$6:$A$505,$C270,'SALDI AL 31.12.2025'!$I$6:$I$505))</f>
        <v/>
      </c>
      <c r="BQ270" t="str">
        <f t="shared" si="117"/>
        <v/>
      </c>
      <c r="BR270" t="str">
        <f t="shared" si="118"/>
        <v/>
      </c>
      <c r="BS270" t="str">
        <f>IF($C270="","",$BK270*PARAMETRI!$B$4+$BP270)</f>
        <v/>
      </c>
      <c r="BT270">
        <f t="shared" si="119"/>
        <v>0</v>
      </c>
      <c r="BU270">
        <f t="shared" si="120"/>
        <v>0</v>
      </c>
      <c r="BV270" t="str">
        <f>IF($C270="","",SUMIF('MOVIMENTI 2026'!$B$7:$B$4206,$C270,'MOVIMENTI 2026'!$P$7:$P$4206)+SUMIF('SALDI AL 31.12.2025'!$A$6:$A$505,$C270,'SALDI AL 31.12.2025'!$G$6:$G$505))</f>
        <v/>
      </c>
    </row>
    <row r="271" spans="1:74" ht="16" x14ac:dyDescent="0.15">
      <c r="A271" s="17" t="str">
        <f>IFERROR(IF($C271="","",IF(OR($BF271&gt;0,$V271&gt;$J271,AND(ISNUMBER($Q271),$Q271&gt;0),AND($BI271&lt;&gt;"",$BI271&lt;-PARAMETRI!$B$6),AND($BM271&lt;&gt;"",$BM271&gt;=1),AND($BN271&lt;&gt;"",$BN271&gt;PARAMETRI!$B$8),AND(ISNUMBER($BR271),$BR271&gt;0)),"CRITICO",IF(OR($AZ271="",LEFT($C271,5)="TEMP",$BJ271="",$BO271="",ANAGRAFICA!$I268="",ANAGRAFICA!$J268="",$Y271="",AND(OR($I271="Finito ritenute non previste",$I271="Finito con sblocco ritenute",$I271="Finito senza sblocco ritenute"),ANAGRAFICA!$K268=""),OR(AND(ANAGRAFICA!$T268&lt;&gt;"",ANAGRAFICA!$J268&lt;&gt;ANAGRAFICA!$T268,OR(ANAGRAFICA!$R268="",ANAGRAFICA!$R268="Nessuna variazione")),AND(ANAGRAFICA!$J268="",ANAGRAFICA!$R268&lt;&gt;"",ANAGRAFICA!$R268&lt;&gt;"Nessuna variazione")),AND($BI271&lt;&gt;"",$BI271&lt;-PARAMETRI!$B$5),AND($BN271&lt;&gt;"",$BN271&gt;PARAMETRI!$B$7),AND($W271&gt;0,$M271&gt;$W271*PARAMETRI!$B$9),AND($O271&gt;0,OR($I271="Finito ritenute non previste",$I271="Finito con sblocco ritenute",$I271="Finito senza sblocco ritenute")),AND($BA271&gt;0,$BO271&gt;0,$BP271=0),AND(OR($I271="Finito ritenute non previste",$I271="Finito con sblocco ritenute",$I271="Finito senza sblocco ritenute"),$W271&gt;0,$N271&gt;$W271*PARAMETRI!$B$9),$V271&gt;0),"ATTENZIONE","REGOLARE"))),"ATTENZIONE")</f>
        <v/>
      </c>
      <c r="B271" s="17" t="str">
        <f>IFERROR(IF($C271="","",IF($BF271&gt;0,"FATTURATO OLTRE VALORE RECUPERABILE; ","")&amp;IF($V271&gt;$J271,"PERDITE ACCETTATE OLTRE CONTRATTO; ","")&amp;IF($V271&gt;0,"PERDITA SAL ACCETTATA (€ "&amp;TEXT($V271,"#,##0.00")&amp;"); ","")&amp;IF(AND(ISNUMBER($Q271),$Q271&gt;0),"RITARDO PRODUTTIVO ("&amp;TEXT($Q271,"0")&amp;" GG); ","")&amp;IF(AND($BI271&lt;&gt;"",$BI271&lt;-PARAMETRI!$B$5),"AVANZAMENTO PIÙ LENTO DEL TEMPO; ","")&amp;IF(AND($BM271&lt;&gt;"",$BM271&gt;1),"ORE OLTRE BUDGET; ","")&amp;IF(AND($BM271&lt;&gt;"",$BM271=1),"ORE PREVENTIVATE ESAURITE; ","")&amp;IF(AND($BN271&lt;&gt;"",$BN271&gt;PARAMETRI!$B$7),"CONSUMO ORE SUPERIORE ALL'AVANZAMENTO; ","")&amp;IF(AND(ISNUMBER($BR271),$BR271&gt;0),"COSTI DIRETTI OLTRE BUDGET; ","")&amp;IF(AND($W271&gt;0,$M271&gt;$W271*PARAMETRI!$B$9),"SAL MATURATO NON FATTURATO; ","")&amp;IF(AND($O271&gt;0,OR($I271="Finito ritenute non previste",$I271="Finito con sblocco ritenute",$I271="Finito senza sblocco ritenute")),"RITENUTE DA SBLOCCARE; ","")&amp;IF(AND($BA271&gt;0,$BO271&gt;0,$BP271=0),"COSTI DIRETTI NON REGISTRATI; ","")&amp;IF(AND(OR($I271="Finito ritenute non previste",$I271="Finito con sblocco ritenute",$I271="Finito senza sblocco ritenute"),$W271&gt;0,$N271&gt;$W271*PARAMETRI!$B$9),"CANTIERE FINITO CON RESIDUO LAVORI; ","")&amp;IF(AND(OR($I271="Finito ritenute non previste",$I271="Finito con sblocco ritenute",$I271="Finito senza sblocco ritenute"),ANAGRAFICA!$K268=""),"DATA FINE EFFETTIVA MANCANTE; ","")&amp;IF(OR(AND(ANAGRAFICA!$T268&lt;&gt;"",ANAGRAFICA!$J268&lt;&gt;ANAGRAFICA!$T268,OR(ANAGRAFICA!$R268="",ANAGRAFICA!$R268="Nessuna variazione")),AND(ANAGRAFICA!$J268="",ANAGRAFICA!$R268&lt;&gt;"",ANAGRAFICA!$R268&lt;&gt;"Nessuna variazione")),"GESTIONE DATA FINE INCOMPLETA; ","")&amp;IF($Y271="","AGGIORNATO AL MANCANTE; ","")&amp;IF(OR($AZ271="",$BJ271="",$BO271="",ANAGRAFICA!$I268="",ANAGRAFICA!$J268=""),"DATI PREVISIONALI INCOMPLETI; ","")&amp;IF(LEFT($C271,5)="TEMP","CODICE COMMESSA TEMPORANEO; ","")),"DATI INCOMPLETI; ")</f>
        <v/>
      </c>
      <c r="C271" s="17" t="str">
        <f>IF(ANAGRAFICA!$B268="","",ANAGRAFICA!$B268)</f>
        <v/>
      </c>
      <c r="D271" s="17" t="str">
        <f>IF($C271="","",ANAGRAFICA!$C268)</f>
        <v/>
      </c>
      <c r="E271" s="17" t="str">
        <f>IF($C271="","",ANAGRAFICA!$D268)</f>
        <v/>
      </c>
      <c r="F271" s="17" t="str">
        <f>IF($C271="","",ANAGRAFICA!$E268)</f>
        <v/>
      </c>
      <c r="G271" s="17" t="str">
        <f>IF($C271="","",ANAGRAFICA!$F268)</f>
        <v/>
      </c>
      <c r="H271" s="17" t="str">
        <f>IF($C271="","",ANAGRAFICA!$G268)</f>
        <v/>
      </c>
      <c r="I271" s="17" t="str">
        <f>IF($C271="","",ANAGRAFICA!$L268)</f>
        <v/>
      </c>
      <c r="J271" s="16" t="str">
        <f t="shared" si="97"/>
        <v/>
      </c>
      <c r="K271" s="16" t="str">
        <f t="shared" si="98"/>
        <v/>
      </c>
      <c r="L271" s="16" t="str">
        <f t="shared" si="99"/>
        <v/>
      </c>
      <c r="M271" s="16" t="str">
        <f t="shared" si="100"/>
        <v/>
      </c>
      <c r="N271" s="16" t="str">
        <f t="shared" si="101"/>
        <v/>
      </c>
      <c r="O271" s="16" t="str">
        <f t="shared" si="102"/>
        <v/>
      </c>
      <c r="P271" s="17" t="str">
        <f t="shared" si="103"/>
        <v/>
      </c>
      <c r="Q271" s="31" t="str">
        <f>IF(OR($C271="",'BUDGET COMMESSA'!$D268="",'BUDGET COMMESSA'!$D268&lt;=0,ANAGRAFICA!$J268=""),"",IF(OR($I271="Finito ritenute non previste",$I271="Finito con sblocco ritenute",$I271="Finito senza sblocco ritenute"),0,IF(AND($BK271&gt;=$BJ271,ANAGRAFICA!$R268="Ritardo produttivo FIDA"),IF(ANAGRAFICA!$T268&lt;&gt;"",MAX(0,ANAGRAFICA!$J268-ANAGRAFICA!$T268),MAX(0,$Y271-ANAGRAFICA!$J268)),0)))</f>
        <v/>
      </c>
      <c r="R271" s="17" t="str">
        <f t="shared" si="104"/>
        <v/>
      </c>
      <c r="S271" s="17" t="str">
        <f t="shared" si="105"/>
        <v/>
      </c>
      <c r="T271" s="17" t="str">
        <f t="shared" si="106"/>
        <v/>
      </c>
      <c r="U271" s="16" t="str">
        <f t="shared" si="107"/>
        <v/>
      </c>
      <c r="V271" s="16" t="str">
        <f t="shared" si="108"/>
        <v/>
      </c>
      <c r="W271" s="16" t="str">
        <f t="shared" si="109"/>
        <v/>
      </c>
      <c r="X271" s="40"/>
      <c r="Y271" s="14"/>
      <c r="AZ271" t="str">
        <f>IF($C271="","",ANAGRAFICA!$P268)</f>
        <v/>
      </c>
      <c r="BA271" t="str">
        <f>IF($C271="","",SUMIF('MOVIMENTI 2026'!$B$7:$B$4206,$C271,'MOVIMENTI 2026'!$I$7:$I$4206)+SUMIF('SALDI AL 31.12.2025'!$A$6:$A$505,$C271,'SALDI AL 31.12.2025'!$C$6:$C$505))</f>
        <v/>
      </c>
      <c r="BB271" t="str">
        <f>IF($C271="","",SUMIF('MOVIMENTI 2026'!$B$7:$B$4206,$C271,'MOVIMENTI 2026'!$J$7:$J$4206)+SUMIF('SALDI AL 31.12.2025'!$A$6:$A$505,$C271,'SALDI AL 31.12.2025'!$D$6:$D$505))</f>
        <v/>
      </c>
      <c r="BC271" t="str">
        <f>IF($C271="","",SUMIF('MOVIMENTI 2026'!$B$7:$B$4206,$C271,'MOVIMENTI 2026'!$K$7:$K$4206)+SUMIF('SALDI AL 31.12.2025'!$A$6:$A$505,$C271,'SALDI AL 31.12.2025'!$E$6:$E$505))</f>
        <v/>
      </c>
      <c r="BD271" t="str">
        <f>IF($C271="","",SUMIF('MOVIMENTI 2026'!$B$7:$B$4206,$C271,'MOVIMENTI 2026'!$L$7:$L$4206)+SUMIF('SALDI AL 31.12.2025'!$A$6:$A$505,$C271,'SALDI AL 31.12.2025'!$F$6:$F$505))</f>
        <v/>
      </c>
      <c r="BE271" t="str">
        <f t="shared" si="110"/>
        <v/>
      </c>
      <c r="BF271" t="str">
        <f t="shared" si="111"/>
        <v/>
      </c>
      <c r="BG271" t="str">
        <f t="shared" si="112"/>
        <v/>
      </c>
      <c r="BH271" t="str">
        <f>IFERROR(IF(OR($C271="",ANAGRAFICA!$I268="",ANAGRAFICA!$J268="",ANAGRAFICA!$J268&lt;=ANAGRAFICA!$I268,$Y271=""),"",IF(OR($I271="Finito ritenute non previste",$I271="Finito con sblocco ritenute",$I271="Finito senza sblocco ritenute"),1,MAX(0,MIN(1,($Y271-ANAGRAFICA!$I268)/(ANAGRAFICA!$J268-ANAGRAFICA!$I268))))),"")</f>
        <v/>
      </c>
      <c r="BI271" t="str">
        <f t="shared" si="113"/>
        <v/>
      </c>
      <c r="BJ271" t="str">
        <f>IFERROR(IF($C271="","",'BUDGET COMMESSA'!$D268),"")</f>
        <v/>
      </c>
      <c r="BK271" t="str">
        <f>IF($C271="","",SUMIF('MOVIMENTI 2026'!$B$7:$B$4206,$C271,'MOVIMENTI 2026'!$N$7:$N$4206)+SUMIF('SALDI AL 31.12.2025'!$A$6:$A$505,$C271,'SALDI AL 31.12.2025'!$H$6:$H$505))</f>
        <v/>
      </c>
      <c r="BL271" t="str">
        <f t="shared" si="114"/>
        <v/>
      </c>
      <c r="BM271" t="str">
        <f t="shared" si="115"/>
        <v/>
      </c>
      <c r="BN271" t="str">
        <f t="shared" si="116"/>
        <v/>
      </c>
      <c r="BO271" t="str">
        <f>IFERROR(IF($C271="","",'BUDGET COMMESSA'!$G268),"")</f>
        <v/>
      </c>
      <c r="BP271" t="str">
        <f>IF($C271="","",SUMIF('COSTI DIRETTI'!$C$6:$C$505,$C271,'COSTI DIRETTI'!$H$6:$H$505)+SUMIF('SALDI AL 31.12.2025'!$A$6:$A$505,$C271,'SALDI AL 31.12.2025'!$I$6:$I$505))</f>
        <v/>
      </c>
      <c r="BQ271" t="str">
        <f t="shared" si="117"/>
        <v/>
      </c>
      <c r="BR271" t="str">
        <f t="shared" si="118"/>
        <v/>
      </c>
      <c r="BS271" t="str">
        <f>IF($C271="","",$BK271*PARAMETRI!$B$4+$BP271)</f>
        <v/>
      </c>
      <c r="BT271">
        <f t="shared" si="119"/>
        <v>0</v>
      </c>
      <c r="BU271">
        <f t="shared" si="120"/>
        <v>0</v>
      </c>
      <c r="BV271" t="str">
        <f>IF($C271="","",SUMIF('MOVIMENTI 2026'!$B$7:$B$4206,$C271,'MOVIMENTI 2026'!$P$7:$P$4206)+SUMIF('SALDI AL 31.12.2025'!$A$6:$A$505,$C271,'SALDI AL 31.12.2025'!$G$6:$G$505))</f>
        <v/>
      </c>
    </row>
    <row r="272" spans="1:74" ht="16" x14ac:dyDescent="0.15">
      <c r="A272" s="17" t="str">
        <f>IFERROR(IF($C272="","",IF(OR($BF272&gt;0,$V272&gt;$J272,AND(ISNUMBER($Q272),$Q272&gt;0),AND($BI272&lt;&gt;"",$BI272&lt;-PARAMETRI!$B$6),AND($BM272&lt;&gt;"",$BM272&gt;=1),AND($BN272&lt;&gt;"",$BN272&gt;PARAMETRI!$B$8),AND(ISNUMBER($BR272),$BR272&gt;0)),"CRITICO",IF(OR($AZ272="",LEFT($C272,5)="TEMP",$BJ272="",$BO272="",ANAGRAFICA!$I269="",ANAGRAFICA!$J269="",$Y272="",AND(OR($I272="Finito ritenute non previste",$I272="Finito con sblocco ritenute",$I272="Finito senza sblocco ritenute"),ANAGRAFICA!$K269=""),OR(AND(ANAGRAFICA!$T269&lt;&gt;"",ANAGRAFICA!$J269&lt;&gt;ANAGRAFICA!$T269,OR(ANAGRAFICA!$R269="",ANAGRAFICA!$R269="Nessuna variazione")),AND(ANAGRAFICA!$J269="",ANAGRAFICA!$R269&lt;&gt;"",ANAGRAFICA!$R269&lt;&gt;"Nessuna variazione")),AND($BI272&lt;&gt;"",$BI272&lt;-PARAMETRI!$B$5),AND($BN272&lt;&gt;"",$BN272&gt;PARAMETRI!$B$7),AND($W272&gt;0,$M272&gt;$W272*PARAMETRI!$B$9),AND($O272&gt;0,OR($I272="Finito ritenute non previste",$I272="Finito con sblocco ritenute",$I272="Finito senza sblocco ritenute")),AND($BA272&gt;0,$BO272&gt;0,$BP272=0),AND(OR($I272="Finito ritenute non previste",$I272="Finito con sblocco ritenute",$I272="Finito senza sblocco ritenute"),$W272&gt;0,$N272&gt;$W272*PARAMETRI!$B$9),$V272&gt;0),"ATTENZIONE","REGOLARE"))),"ATTENZIONE")</f>
        <v/>
      </c>
      <c r="B272" s="17" t="str">
        <f>IFERROR(IF($C272="","",IF($BF272&gt;0,"FATTURATO OLTRE VALORE RECUPERABILE; ","")&amp;IF($V272&gt;$J272,"PERDITE ACCETTATE OLTRE CONTRATTO; ","")&amp;IF($V272&gt;0,"PERDITA SAL ACCETTATA (€ "&amp;TEXT($V272,"#,##0.00")&amp;"); ","")&amp;IF(AND(ISNUMBER($Q272),$Q272&gt;0),"RITARDO PRODUTTIVO ("&amp;TEXT($Q272,"0")&amp;" GG); ","")&amp;IF(AND($BI272&lt;&gt;"",$BI272&lt;-PARAMETRI!$B$5),"AVANZAMENTO PIÙ LENTO DEL TEMPO; ","")&amp;IF(AND($BM272&lt;&gt;"",$BM272&gt;1),"ORE OLTRE BUDGET; ","")&amp;IF(AND($BM272&lt;&gt;"",$BM272=1),"ORE PREVENTIVATE ESAURITE; ","")&amp;IF(AND($BN272&lt;&gt;"",$BN272&gt;PARAMETRI!$B$7),"CONSUMO ORE SUPERIORE ALL'AVANZAMENTO; ","")&amp;IF(AND(ISNUMBER($BR272),$BR272&gt;0),"COSTI DIRETTI OLTRE BUDGET; ","")&amp;IF(AND($W272&gt;0,$M272&gt;$W272*PARAMETRI!$B$9),"SAL MATURATO NON FATTURATO; ","")&amp;IF(AND($O272&gt;0,OR($I272="Finito ritenute non previste",$I272="Finito con sblocco ritenute",$I272="Finito senza sblocco ritenute")),"RITENUTE DA SBLOCCARE; ","")&amp;IF(AND($BA272&gt;0,$BO272&gt;0,$BP272=0),"COSTI DIRETTI NON REGISTRATI; ","")&amp;IF(AND(OR($I272="Finito ritenute non previste",$I272="Finito con sblocco ritenute",$I272="Finito senza sblocco ritenute"),$W272&gt;0,$N272&gt;$W272*PARAMETRI!$B$9),"CANTIERE FINITO CON RESIDUO LAVORI; ","")&amp;IF(AND(OR($I272="Finito ritenute non previste",$I272="Finito con sblocco ritenute",$I272="Finito senza sblocco ritenute"),ANAGRAFICA!$K269=""),"DATA FINE EFFETTIVA MANCANTE; ","")&amp;IF(OR(AND(ANAGRAFICA!$T269&lt;&gt;"",ANAGRAFICA!$J269&lt;&gt;ANAGRAFICA!$T269,OR(ANAGRAFICA!$R269="",ANAGRAFICA!$R269="Nessuna variazione")),AND(ANAGRAFICA!$J269="",ANAGRAFICA!$R269&lt;&gt;"",ANAGRAFICA!$R269&lt;&gt;"Nessuna variazione")),"GESTIONE DATA FINE INCOMPLETA; ","")&amp;IF($Y272="","AGGIORNATO AL MANCANTE; ","")&amp;IF(OR($AZ272="",$BJ272="",$BO272="",ANAGRAFICA!$I269="",ANAGRAFICA!$J269=""),"DATI PREVISIONALI INCOMPLETI; ","")&amp;IF(LEFT($C272,5)="TEMP","CODICE COMMESSA TEMPORANEO; ","")),"DATI INCOMPLETI; ")</f>
        <v/>
      </c>
      <c r="C272" s="17" t="str">
        <f>IF(ANAGRAFICA!$B269="","",ANAGRAFICA!$B269)</f>
        <v/>
      </c>
      <c r="D272" s="17" t="str">
        <f>IF($C272="","",ANAGRAFICA!$C269)</f>
        <v/>
      </c>
      <c r="E272" s="17" t="str">
        <f>IF($C272="","",ANAGRAFICA!$D269)</f>
        <v/>
      </c>
      <c r="F272" s="17" t="str">
        <f>IF($C272="","",ANAGRAFICA!$E269)</f>
        <v/>
      </c>
      <c r="G272" s="17" t="str">
        <f>IF($C272="","",ANAGRAFICA!$F269)</f>
        <v/>
      </c>
      <c r="H272" s="17" t="str">
        <f>IF($C272="","",ANAGRAFICA!$G269)</f>
        <v/>
      </c>
      <c r="I272" s="17" t="str">
        <f>IF($C272="","",ANAGRAFICA!$L269)</f>
        <v/>
      </c>
      <c r="J272" s="16" t="str">
        <f t="shared" si="97"/>
        <v/>
      </c>
      <c r="K272" s="16" t="str">
        <f t="shared" si="98"/>
        <v/>
      </c>
      <c r="L272" s="16" t="str">
        <f t="shared" si="99"/>
        <v/>
      </c>
      <c r="M272" s="16" t="str">
        <f t="shared" si="100"/>
        <v/>
      </c>
      <c r="N272" s="16" t="str">
        <f t="shared" si="101"/>
        <v/>
      </c>
      <c r="O272" s="16" t="str">
        <f t="shared" si="102"/>
        <v/>
      </c>
      <c r="P272" s="17" t="str">
        <f t="shared" si="103"/>
        <v/>
      </c>
      <c r="Q272" s="31" t="str">
        <f>IF(OR($C272="",'BUDGET COMMESSA'!$D269="",'BUDGET COMMESSA'!$D269&lt;=0,ANAGRAFICA!$J269=""),"",IF(OR($I272="Finito ritenute non previste",$I272="Finito con sblocco ritenute",$I272="Finito senza sblocco ritenute"),0,IF(AND($BK272&gt;=$BJ272,ANAGRAFICA!$R269="Ritardo produttivo FIDA"),IF(ANAGRAFICA!$T269&lt;&gt;"",MAX(0,ANAGRAFICA!$J269-ANAGRAFICA!$T269),MAX(0,$Y272-ANAGRAFICA!$J269)),0)))</f>
        <v/>
      </c>
      <c r="R272" s="17" t="str">
        <f t="shared" si="104"/>
        <v/>
      </c>
      <c r="S272" s="17" t="str">
        <f t="shared" si="105"/>
        <v/>
      </c>
      <c r="T272" s="17" t="str">
        <f t="shared" si="106"/>
        <v/>
      </c>
      <c r="U272" s="16" t="str">
        <f t="shared" si="107"/>
        <v/>
      </c>
      <c r="V272" s="16" t="str">
        <f t="shared" si="108"/>
        <v/>
      </c>
      <c r="W272" s="16" t="str">
        <f t="shared" si="109"/>
        <v/>
      </c>
      <c r="X272" s="40"/>
      <c r="Y272" s="14"/>
      <c r="AZ272" t="str">
        <f>IF($C272="","",ANAGRAFICA!$P269)</f>
        <v/>
      </c>
      <c r="BA272" t="str">
        <f>IF($C272="","",SUMIF('MOVIMENTI 2026'!$B$7:$B$4206,$C272,'MOVIMENTI 2026'!$I$7:$I$4206)+SUMIF('SALDI AL 31.12.2025'!$A$6:$A$505,$C272,'SALDI AL 31.12.2025'!$C$6:$C$505))</f>
        <v/>
      </c>
      <c r="BB272" t="str">
        <f>IF($C272="","",SUMIF('MOVIMENTI 2026'!$B$7:$B$4206,$C272,'MOVIMENTI 2026'!$J$7:$J$4206)+SUMIF('SALDI AL 31.12.2025'!$A$6:$A$505,$C272,'SALDI AL 31.12.2025'!$D$6:$D$505))</f>
        <v/>
      </c>
      <c r="BC272" t="str">
        <f>IF($C272="","",SUMIF('MOVIMENTI 2026'!$B$7:$B$4206,$C272,'MOVIMENTI 2026'!$K$7:$K$4206)+SUMIF('SALDI AL 31.12.2025'!$A$6:$A$505,$C272,'SALDI AL 31.12.2025'!$E$6:$E$505))</f>
        <v/>
      </c>
      <c r="BD272" t="str">
        <f>IF($C272="","",SUMIF('MOVIMENTI 2026'!$B$7:$B$4206,$C272,'MOVIMENTI 2026'!$L$7:$L$4206)+SUMIF('SALDI AL 31.12.2025'!$A$6:$A$505,$C272,'SALDI AL 31.12.2025'!$F$6:$F$505))</f>
        <v/>
      </c>
      <c r="BE272" t="str">
        <f t="shared" si="110"/>
        <v/>
      </c>
      <c r="BF272" t="str">
        <f t="shared" si="111"/>
        <v/>
      </c>
      <c r="BG272" t="str">
        <f t="shared" si="112"/>
        <v/>
      </c>
      <c r="BH272" t="str">
        <f>IFERROR(IF(OR($C272="",ANAGRAFICA!$I269="",ANAGRAFICA!$J269="",ANAGRAFICA!$J269&lt;=ANAGRAFICA!$I269,$Y272=""),"",IF(OR($I272="Finito ritenute non previste",$I272="Finito con sblocco ritenute",$I272="Finito senza sblocco ritenute"),1,MAX(0,MIN(1,($Y272-ANAGRAFICA!$I269)/(ANAGRAFICA!$J269-ANAGRAFICA!$I269))))),"")</f>
        <v/>
      </c>
      <c r="BI272" t="str">
        <f t="shared" si="113"/>
        <v/>
      </c>
      <c r="BJ272" t="str">
        <f>IFERROR(IF($C272="","",'BUDGET COMMESSA'!$D269),"")</f>
        <v/>
      </c>
      <c r="BK272" t="str">
        <f>IF($C272="","",SUMIF('MOVIMENTI 2026'!$B$7:$B$4206,$C272,'MOVIMENTI 2026'!$N$7:$N$4206)+SUMIF('SALDI AL 31.12.2025'!$A$6:$A$505,$C272,'SALDI AL 31.12.2025'!$H$6:$H$505))</f>
        <v/>
      </c>
      <c r="BL272" t="str">
        <f t="shared" si="114"/>
        <v/>
      </c>
      <c r="BM272" t="str">
        <f t="shared" si="115"/>
        <v/>
      </c>
      <c r="BN272" t="str">
        <f t="shared" si="116"/>
        <v/>
      </c>
      <c r="BO272" t="str">
        <f>IFERROR(IF($C272="","",'BUDGET COMMESSA'!$G269),"")</f>
        <v/>
      </c>
      <c r="BP272" t="str">
        <f>IF($C272="","",SUMIF('COSTI DIRETTI'!$C$6:$C$505,$C272,'COSTI DIRETTI'!$H$6:$H$505)+SUMIF('SALDI AL 31.12.2025'!$A$6:$A$505,$C272,'SALDI AL 31.12.2025'!$I$6:$I$505))</f>
        <v/>
      </c>
      <c r="BQ272" t="str">
        <f t="shared" si="117"/>
        <v/>
      </c>
      <c r="BR272" t="str">
        <f t="shared" si="118"/>
        <v/>
      </c>
      <c r="BS272" t="str">
        <f>IF($C272="","",$BK272*PARAMETRI!$B$4+$BP272)</f>
        <v/>
      </c>
      <c r="BT272">
        <f t="shared" si="119"/>
        <v>0</v>
      </c>
      <c r="BU272">
        <f t="shared" si="120"/>
        <v>0</v>
      </c>
      <c r="BV272" t="str">
        <f>IF($C272="","",SUMIF('MOVIMENTI 2026'!$B$7:$B$4206,$C272,'MOVIMENTI 2026'!$P$7:$P$4206)+SUMIF('SALDI AL 31.12.2025'!$A$6:$A$505,$C272,'SALDI AL 31.12.2025'!$G$6:$G$505))</f>
        <v/>
      </c>
    </row>
    <row r="273" spans="1:74" ht="16" x14ac:dyDescent="0.15">
      <c r="A273" s="17" t="str">
        <f>IFERROR(IF($C273="","",IF(OR($BF273&gt;0,$V273&gt;$J273,AND(ISNUMBER($Q273),$Q273&gt;0),AND($BI273&lt;&gt;"",$BI273&lt;-PARAMETRI!$B$6),AND($BM273&lt;&gt;"",$BM273&gt;=1),AND($BN273&lt;&gt;"",$BN273&gt;PARAMETRI!$B$8),AND(ISNUMBER($BR273),$BR273&gt;0)),"CRITICO",IF(OR($AZ273="",LEFT($C273,5)="TEMP",$BJ273="",$BO273="",ANAGRAFICA!$I270="",ANAGRAFICA!$J270="",$Y273="",AND(OR($I273="Finito ritenute non previste",$I273="Finito con sblocco ritenute",$I273="Finito senza sblocco ritenute"),ANAGRAFICA!$K270=""),OR(AND(ANAGRAFICA!$T270&lt;&gt;"",ANAGRAFICA!$J270&lt;&gt;ANAGRAFICA!$T270,OR(ANAGRAFICA!$R270="",ANAGRAFICA!$R270="Nessuna variazione")),AND(ANAGRAFICA!$J270="",ANAGRAFICA!$R270&lt;&gt;"",ANAGRAFICA!$R270&lt;&gt;"Nessuna variazione")),AND($BI273&lt;&gt;"",$BI273&lt;-PARAMETRI!$B$5),AND($BN273&lt;&gt;"",$BN273&gt;PARAMETRI!$B$7),AND($W273&gt;0,$M273&gt;$W273*PARAMETRI!$B$9),AND($O273&gt;0,OR($I273="Finito ritenute non previste",$I273="Finito con sblocco ritenute",$I273="Finito senza sblocco ritenute")),AND($BA273&gt;0,$BO273&gt;0,$BP273=0),AND(OR($I273="Finito ritenute non previste",$I273="Finito con sblocco ritenute",$I273="Finito senza sblocco ritenute"),$W273&gt;0,$N273&gt;$W273*PARAMETRI!$B$9),$V273&gt;0),"ATTENZIONE","REGOLARE"))),"ATTENZIONE")</f>
        <v/>
      </c>
      <c r="B273" s="17" t="str">
        <f>IFERROR(IF($C273="","",IF($BF273&gt;0,"FATTURATO OLTRE VALORE RECUPERABILE; ","")&amp;IF($V273&gt;$J273,"PERDITE ACCETTATE OLTRE CONTRATTO; ","")&amp;IF($V273&gt;0,"PERDITA SAL ACCETTATA (€ "&amp;TEXT($V273,"#,##0.00")&amp;"); ","")&amp;IF(AND(ISNUMBER($Q273),$Q273&gt;0),"RITARDO PRODUTTIVO ("&amp;TEXT($Q273,"0")&amp;" GG); ","")&amp;IF(AND($BI273&lt;&gt;"",$BI273&lt;-PARAMETRI!$B$5),"AVANZAMENTO PIÙ LENTO DEL TEMPO; ","")&amp;IF(AND($BM273&lt;&gt;"",$BM273&gt;1),"ORE OLTRE BUDGET; ","")&amp;IF(AND($BM273&lt;&gt;"",$BM273=1),"ORE PREVENTIVATE ESAURITE; ","")&amp;IF(AND($BN273&lt;&gt;"",$BN273&gt;PARAMETRI!$B$7),"CONSUMO ORE SUPERIORE ALL'AVANZAMENTO; ","")&amp;IF(AND(ISNUMBER($BR273),$BR273&gt;0),"COSTI DIRETTI OLTRE BUDGET; ","")&amp;IF(AND($W273&gt;0,$M273&gt;$W273*PARAMETRI!$B$9),"SAL MATURATO NON FATTURATO; ","")&amp;IF(AND($O273&gt;0,OR($I273="Finito ritenute non previste",$I273="Finito con sblocco ritenute",$I273="Finito senza sblocco ritenute")),"RITENUTE DA SBLOCCARE; ","")&amp;IF(AND($BA273&gt;0,$BO273&gt;0,$BP273=0),"COSTI DIRETTI NON REGISTRATI; ","")&amp;IF(AND(OR($I273="Finito ritenute non previste",$I273="Finito con sblocco ritenute",$I273="Finito senza sblocco ritenute"),$W273&gt;0,$N273&gt;$W273*PARAMETRI!$B$9),"CANTIERE FINITO CON RESIDUO LAVORI; ","")&amp;IF(AND(OR($I273="Finito ritenute non previste",$I273="Finito con sblocco ritenute",$I273="Finito senza sblocco ritenute"),ANAGRAFICA!$K270=""),"DATA FINE EFFETTIVA MANCANTE; ","")&amp;IF(OR(AND(ANAGRAFICA!$T270&lt;&gt;"",ANAGRAFICA!$J270&lt;&gt;ANAGRAFICA!$T270,OR(ANAGRAFICA!$R270="",ANAGRAFICA!$R270="Nessuna variazione")),AND(ANAGRAFICA!$J270="",ANAGRAFICA!$R270&lt;&gt;"",ANAGRAFICA!$R270&lt;&gt;"Nessuna variazione")),"GESTIONE DATA FINE INCOMPLETA; ","")&amp;IF($Y273="","AGGIORNATO AL MANCANTE; ","")&amp;IF(OR($AZ273="",$BJ273="",$BO273="",ANAGRAFICA!$I270="",ANAGRAFICA!$J270=""),"DATI PREVISIONALI INCOMPLETI; ","")&amp;IF(LEFT($C273,5)="TEMP","CODICE COMMESSA TEMPORANEO; ","")),"DATI INCOMPLETI; ")</f>
        <v/>
      </c>
      <c r="C273" s="17" t="str">
        <f>IF(ANAGRAFICA!$B270="","",ANAGRAFICA!$B270)</f>
        <v/>
      </c>
      <c r="D273" s="17" t="str">
        <f>IF($C273="","",ANAGRAFICA!$C270)</f>
        <v/>
      </c>
      <c r="E273" s="17" t="str">
        <f>IF($C273="","",ANAGRAFICA!$D270)</f>
        <v/>
      </c>
      <c r="F273" s="17" t="str">
        <f>IF($C273="","",ANAGRAFICA!$E270)</f>
        <v/>
      </c>
      <c r="G273" s="17" t="str">
        <f>IF($C273="","",ANAGRAFICA!$F270)</f>
        <v/>
      </c>
      <c r="H273" s="17" t="str">
        <f>IF($C273="","",ANAGRAFICA!$G270)</f>
        <v/>
      </c>
      <c r="I273" s="17" t="str">
        <f>IF($C273="","",ANAGRAFICA!$L270)</f>
        <v/>
      </c>
      <c r="J273" s="16" t="str">
        <f t="shared" si="97"/>
        <v/>
      </c>
      <c r="K273" s="16" t="str">
        <f t="shared" si="98"/>
        <v/>
      </c>
      <c r="L273" s="16" t="str">
        <f t="shared" si="99"/>
        <v/>
      </c>
      <c r="M273" s="16" t="str">
        <f t="shared" si="100"/>
        <v/>
      </c>
      <c r="N273" s="16" t="str">
        <f t="shared" si="101"/>
        <v/>
      </c>
      <c r="O273" s="16" t="str">
        <f t="shared" si="102"/>
        <v/>
      </c>
      <c r="P273" s="17" t="str">
        <f t="shared" si="103"/>
        <v/>
      </c>
      <c r="Q273" s="31" t="str">
        <f>IF(OR($C273="",'BUDGET COMMESSA'!$D270="",'BUDGET COMMESSA'!$D270&lt;=0,ANAGRAFICA!$J270=""),"",IF(OR($I273="Finito ritenute non previste",$I273="Finito con sblocco ritenute",$I273="Finito senza sblocco ritenute"),0,IF(AND($BK273&gt;=$BJ273,ANAGRAFICA!$R270="Ritardo produttivo FIDA"),IF(ANAGRAFICA!$T270&lt;&gt;"",MAX(0,ANAGRAFICA!$J270-ANAGRAFICA!$T270),MAX(0,$Y273-ANAGRAFICA!$J270)),0)))</f>
        <v/>
      </c>
      <c r="R273" s="17" t="str">
        <f t="shared" si="104"/>
        <v/>
      </c>
      <c r="S273" s="17" t="str">
        <f t="shared" si="105"/>
        <v/>
      </c>
      <c r="T273" s="17" t="str">
        <f t="shared" si="106"/>
        <v/>
      </c>
      <c r="U273" s="16" t="str">
        <f t="shared" si="107"/>
        <v/>
      </c>
      <c r="V273" s="16" t="str">
        <f t="shared" si="108"/>
        <v/>
      </c>
      <c r="W273" s="16" t="str">
        <f t="shared" si="109"/>
        <v/>
      </c>
      <c r="X273" s="40"/>
      <c r="Y273" s="14"/>
      <c r="AZ273" t="str">
        <f>IF($C273="","",ANAGRAFICA!$P270)</f>
        <v/>
      </c>
      <c r="BA273" t="str">
        <f>IF($C273="","",SUMIF('MOVIMENTI 2026'!$B$7:$B$4206,$C273,'MOVIMENTI 2026'!$I$7:$I$4206)+SUMIF('SALDI AL 31.12.2025'!$A$6:$A$505,$C273,'SALDI AL 31.12.2025'!$C$6:$C$505))</f>
        <v/>
      </c>
      <c r="BB273" t="str">
        <f>IF($C273="","",SUMIF('MOVIMENTI 2026'!$B$7:$B$4206,$C273,'MOVIMENTI 2026'!$J$7:$J$4206)+SUMIF('SALDI AL 31.12.2025'!$A$6:$A$505,$C273,'SALDI AL 31.12.2025'!$D$6:$D$505))</f>
        <v/>
      </c>
      <c r="BC273" t="str">
        <f>IF($C273="","",SUMIF('MOVIMENTI 2026'!$B$7:$B$4206,$C273,'MOVIMENTI 2026'!$K$7:$K$4206)+SUMIF('SALDI AL 31.12.2025'!$A$6:$A$505,$C273,'SALDI AL 31.12.2025'!$E$6:$E$505))</f>
        <v/>
      </c>
      <c r="BD273" t="str">
        <f>IF($C273="","",SUMIF('MOVIMENTI 2026'!$B$7:$B$4206,$C273,'MOVIMENTI 2026'!$L$7:$L$4206)+SUMIF('SALDI AL 31.12.2025'!$A$6:$A$505,$C273,'SALDI AL 31.12.2025'!$F$6:$F$505))</f>
        <v/>
      </c>
      <c r="BE273" t="str">
        <f t="shared" si="110"/>
        <v/>
      </c>
      <c r="BF273" t="str">
        <f t="shared" si="111"/>
        <v/>
      </c>
      <c r="BG273" t="str">
        <f t="shared" si="112"/>
        <v/>
      </c>
      <c r="BH273" t="str">
        <f>IFERROR(IF(OR($C273="",ANAGRAFICA!$I270="",ANAGRAFICA!$J270="",ANAGRAFICA!$J270&lt;=ANAGRAFICA!$I270,$Y273=""),"",IF(OR($I273="Finito ritenute non previste",$I273="Finito con sblocco ritenute",$I273="Finito senza sblocco ritenute"),1,MAX(0,MIN(1,($Y273-ANAGRAFICA!$I270)/(ANAGRAFICA!$J270-ANAGRAFICA!$I270))))),"")</f>
        <v/>
      </c>
      <c r="BI273" t="str">
        <f t="shared" si="113"/>
        <v/>
      </c>
      <c r="BJ273" t="str">
        <f>IFERROR(IF($C273="","",'BUDGET COMMESSA'!$D270),"")</f>
        <v/>
      </c>
      <c r="BK273" t="str">
        <f>IF($C273="","",SUMIF('MOVIMENTI 2026'!$B$7:$B$4206,$C273,'MOVIMENTI 2026'!$N$7:$N$4206)+SUMIF('SALDI AL 31.12.2025'!$A$6:$A$505,$C273,'SALDI AL 31.12.2025'!$H$6:$H$505))</f>
        <v/>
      </c>
      <c r="BL273" t="str">
        <f t="shared" si="114"/>
        <v/>
      </c>
      <c r="BM273" t="str">
        <f t="shared" si="115"/>
        <v/>
      </c>
      <c r="BN273" t="str">
        <f t="shared" si="116"/>
        <v/>
      </c>
      <c r="BO273" t="str">
        <f>IFERROR(IF($C273="","",'BUDGET COMMESSA'!$G270),"")</f>
        <v/>
      </c>
      <c r="BP273" t="str">
        <f>IF($C273="","",SUMIF('COSTI DIRETTI'!$C$6:$C$505,$C273,'COSTI DIRETTI'!$H$6:$H$505)+SUMIF('SALDI AL 31.12.2025'!$A$6:$A$505,$C273,'SALDI AL 31.12.2025'!$I$6:$I$505))</f>
        <v/>
      </c>
      <c r="BQ273" t="str">
        <f t="shared" si="117"/>
        <v/>
      </c>
      <c r="BR273" t="str">
        <f t="shared" si="118"/>
        <v/>
      </c>
      <c r="BS273" t="str">
        <f>IF($C273="","",$BK273*PARAMETRI!$B$4+$BP273)</f>
        <v/>
      </c>
      <c r="BT273">
        <f t="shared" si="119"/>
        <v>0</v>
      </c>
      <c r="BU273">
        <f t="shared" si="120"/>
        <v>0</v>
      </c>
      <c r="BV273" t="str">
        <f>IF($C273="","",SUMIF('MOVIMENTI 2026'!$B$7:$B$4206,$C273,'MOVIMENTI 2026'!$P$7:$P$4206)+SUMIF('SALDI AL 31.12.2025'!$A$6:$A$505,$C273,'SALDI AL 31.12.2025'!$G$6:$G$505))</f>
        <v/>
      </c>
    </row>
    <row r="274" spans="1:74" ht="16" x14ac:dyDescent="0.15">
      <c r="A274" s="17" t="str">
        <f>IFERROR(IF($C274="","",IF(OR($BF274&gt;0,$V274&gt;$J274,AND(ISNUMBER($Q274),$Q274&gt;0),AND($BI274&lt;&gt;"",$BI274&lt;-PARAMETRI!$B$6),AND($BM274&lt;&gt;"",$BM274&gt;=1),AND($BN274&lt;&gt;"",$BN274&gt;PARAMETRI!$B$8),AND(ISNUMBER($BR274),$BR274&gt;0)),"CRITICO",IF(OR($AZ274="",LEFT($C274,5)="TEMP",$BJ274="",$BO274="",ANAGRAFICA!$I271="",ANAGRAFICA!$J271="",$Y274="",AND(OR($I274="Finito ritenute non previste",$I274="Finito con sblocco ritenute",$I274="Finito senza sblocco ritenute"),ANAGRAFICA!$K271=""),OR(AND(ANAGRAFICA!$T271&lt;&gt;"",ANAGRAFICA!$J271&lt;&gt;ANAGRAFICA!$T271,OR(ANAGRAFICA!$R271="",ANAGRAFICA!$R271="Nessuna variazione")),AND(ANAGRAFICA!$J271="",ANAGRAFICA!$R271&lt;&gt;"",ANAGRAFICA!$R271&lt;&gt;"Nessuna variazione")),AND($BI274&lt;&gt;"",$BI274&lt;-PARAMETRI!$B$5),AND($BN274&lt;&gt;"",$BN274&gt;PARAMETRI!$B$7),AND($W274&gt;0,$M274&gt;$W274*PARAMETRI!$B$9),AND($O274&gt;0,OR($I274="Finito ritenute non previste",$I274="Finito con sblocco ritenute",$I274="Finito senza sblocco ritenute")),AND($BA274&gt;0,$BO274&gt;0,$BP274=0),AND(OR($I274="Finito ritenute non previste",$I274="Finito con sblocco ritenute",$I274="Finito senza sblocco ritenute"),$W274&gt;0,$N274&gt;$W274*PARAMETRI!$B$9),$V274&gt;0),"ATTENZIONE","REGOLARE"))),"ATTENZIONE")</f>
        <v/>
      </c>
      <c r="B274" s="17" t="str">
        <f>IFERROR(IF($C274="","",IF($BF274&gt;0,"FATTURATO OLTRE VALORE RECUPERABILE; ","")&amp;IF($V274&gt;$J274,"PERDITE ACCETTATE OLTRE CONTRATTO; ","")&amp;IF($V274&gt;0,"PERDITA SAL ACCETTATA (€ "&amp;TEXT($V274,"#,##0.00")&amp;"); ","")&amp;IF(AND(ISNUMBER($Q274),$Q274&gt;0),"RITARDO PRODUTTIVO ("&amp;TEXT($Q274,"0")&amp;" GG); ","")&amp;IF(AND($BI274&lt;&gt;"",$BI274&lt;-PARAMETRI!$B$5),"AVANZAMENTO PIÙ LENTO DEL TEMPO; ","")&amp;IF(AND($BM274&lt;&gt;"",$BM274&gt;1),"ORE OLTRE BUDGET; ","")&amp;IF(AND($BM274&lt;&gt;"",$BM274=1),"ORE PREVENTIVATE ESAURITE; ","")&amp;IF(AND($BN274&lt;&gt;"",$BN274&gt;PARAMETRI!$B$7),"CONSUMO ORE SUPERIORE ALL'AVANZAMENTO; ","")&amp;IF(AND(ISNUMBER($BR274),$BR274&gt;0),"COSTI DIRETTI OLTRE BUDGET; ","")&amp;IF(AND($W274&gt;0,$M274&gt;$W274*PARAMETRI!$B$9),"SAL MATURATO NON FATTURATO; ","")&amp;IF(AND($O274&gt;0,OR($I274="Finito ritenute non previste",$I274="Finito con sblocco ritenute",$I274="Finito senza sblocco ritenute")),"RITENUTE DA SBLOCCARE; ","")&amp;IF(AND($BA274&gt;0,$BO274&gt;0,$BP274=0),"COSTI DIRETTI NON REGISTRATI; ","")&amp;IF(AND(OR($I274="Finito ritenute non previste",$I274="Finito con sblocco ritenute",$I274="Finito senza sblocco ritenute"),$W274&gt;0,$N274&gt;$W274*PARAMETRI!$B$9),"CANTIERE FINITO CON RESIDUO LAVORI; ","")&amp;IF(AND(OR($I274="Finito ritenute non previste",$I274="Finito con sblocco ritenute",$I274="Finito senza sblocco ritenute"),ANAGRAFICA!$K271=""),"DATA FINE EFFETTIVA MANCANTE; ","")&amp;IF(OR(AND(ANAGRAFICA!$T271&lt;&gt;"",ANAGRAFICA!$J271&lt;&gt;ANAGRAFICA!$T271,OR(ANAGRAFICA!$R271="",ANAGRAFICA!$R271="Nessuna variazione")),AND(ANAGRAFICA!$J271="",ANAGRAFICA!$R271&lt;&gt;"",ANAGRAFICA!$R271&lt;&gt;"Nessuna variazione")),"GESTIONE DATA FINE INCOMPLETA; ","")&amp;IF($Y274="","AGGIORNATO AL MANCANTE; ","")&amp;IF(OR($AZ274="",$BJ274="",$BO274="",ANAGRAFICA!$I271="",ANAGRAFICA!$J271=""),"DATI PREVISIONALI INCOMPLETI; ","")&amp;IF(LEFT($C274,5)="TEMP","CODICE COMMESSA TEMPORANEO; ","")),"DATI INCOMPLETI; ")</f>
        <v/>
      </c>
      <c r="C274" s="17" t="str">
        <f>IF(ANAGRAFICA!$B271="","",ANAGRAFICA!$B271)</f>
        <v/>
      </c>
      <c r="D274" s="17" t="str">
        <f>IF($C274="","",ANAGRAFICA!$C271)</f>
        <v/>
      </c>
      <c r="E274" s="17" t="str">
        <f>IF($C274="","",ANAGRAFICA!$D271)</f>
        <v/>
      </c>
      <c r="F274" s="17" t="str">
        <f>IF($C274="","",ANAGRAFICA!$E271)</f>
        <v/>
      </c>
      <c r="G274" s="17" t="str">
        <f>IF($C274="","",ANAGRAFICA!$F271)</f>
        <v/>
      </c>
      <c r="H274" s="17" t="str">
        <f>IF($C274="","",ANAGRAFICA!$G271)</f>
        <v/>
      </c>
      <c r="I274" s="17" t="str">
        <f>IF($C274="","",ANAGRAFICA!$L271)</f>
        <v/>
      </c>
      <c r="J274" s="16" t="str">
        <f t="shared" si="97"/>
        <v/>
      </c>
      <c r="K274" s="16" t="str">
        <f t="shared" si="98"/>
        <v/>
      </c>
      <c r="L274" s="16" t="str">
        <f t="shared" si="99"/>
        <v/>
      </c>
      <c r="M274" s="16" t="str">
        <f t="shared" si="100"/>
        <v/>
      </c>
      <c r="N274" s="16" t="str">
        <f t="shared" si="101"/>
        <v/>
      </c>
      <c r="O274" s="16" t="str">
        <f t="shared" si="102"/>
        <v/>
      </c>
      <c r="P274" s="17" t="str">
        <f t="shared" si="103"/>
        <v/>
      </c>
      <c r="Q274" s="31" t="str">
        <f>IF(OR($C274="",'BUDGET COMMESSA'!$D271="",'BUDGET COMMESSA'!$D271&lt;=0,ANAGRAFICA!$J271=""),"",IF(OR($I274="Finito ritenute non previste",$I274="Finito con sblocco ritenute",$I274="Finito senza sblocco ritenute"),0,IF(AND($BK274&gt;=$BJ274,ANAGRAFICA!$R271="Ritardo produttivo FIDA"),IF(ANAGRAFICA!$T271&lt;&gt;"",MAX(0,ANAGRAFICA!$J271-ANAGRAFICA!$T271),MAX(0,$Y274-ANAGRAFICA!$J271)),0)))</f>
        <v/>
      </c>
      <c r="R274" s="17" t="str">
        <f t="shared" si="104"/>
        <v/>
      </c>
      <c r="S274" s="17" t="str">
        <f t="shared" si="105"/>
        <v/>
      </c>
      <c r="T274" s="17" t="str">
        <f t="shared" si="106"/>
        <v/>
      </c>
      <c r="U274" s="16" t="str">
        <f t="shared" si="107"/>
        <v/>
      </c>
      <c r="V274" s="16" t="str">
        <f t="shared" si="108"/>
        <v/>
      </c>
      <c r="W274" s="16" t="str">
        <f t="shared" si="109"/>
        <v/>
      </c>
      <c r="X274" s="40"/>
      <c r="Y274" s="14"/>
      <c r="AZ274" t="str">
        <f>IF($C274="","",ANAGRAFICA!$P271)</f>
        <v/>
      </c>
      <c r="BA274" t="str">
        <f>IF($C274="","",SUMIF('MOVIMENTI 2026'!$B$7:$B$4206,$C274,'MOVIMENTI 2026'!$I$7:$I$4206)+SUMIF('SALDI AL 31.12.2025'!$A$6:$A$505,$C274,'SALDI AL 31.12.2025'!$C$6:$C$505))</f>
        <v/>
      </c>
      <c r="BB274" t="str">
        <f>IF($C274="","",SUMIF('MOVIMENTI 2026'!$B$7:$B$4206,$C274,'MOVIMENTI 2026'!$J$7:$J$4206)+SUMIF('SALDI AL 31.12.2025'!$A$6:$A$505,$C274,'SALDI AL 31.12.2025'!$D$6:$D$505))</f>
        <v/>
      </c>
      <c r="BC274" t="str">
        <f>IF($C274="","",SUMIF('MOVIMENTI 2026'!$B$7:$B$4206,$C274,'MOVIMENTI 2026'!$K$7:$K$4206)+SUMIF('SALDI AL 31.12.2025'!$A$6:$A$505,$C274,'SALDI AL 31.12.2025'!$E$6:$E$505))</f>
        <v/>
      </c>
      <c r="BD274" t="str">
        <f>IF($C274="","",SUMIF('MOVIMENTI 2026'!$B$7:$B$4206,$C274,'MOVIMENTI 2026'!$L$7:$L$4206)+SUMIF('SALDI AL 31.12.2025'!$A$6:$A$505,$C274,'SALDI AL 31.12.2025'!$F$6:$F$505))</f>
        <v/>
      </c>
      <c r="BE274" t="str">
        <f t="shared" si="110"/>
        <v/>
      </c>
      <c r="BF274" t="str">
        <f t="shared" si="111"/>
        <v/>
      </c>
      <c r="BG274" t="str">
        <f t="shared" si="112"/>
        <v/>
      </c>
      <c r="BH274" t="str">
        <f>IFERROR(IF(OR($C274="",ANAGRAFICA!$I271="",ANAGRAFICA!$J271="",ANAGRAFICA!$J271&lt;=ANAGRAFICA!$I271,$Y274=""),"",IF(OR($I274="Finito ritenute non previste",$I274="Finito con sblocco ritenute",$I274="Finito senza sblocco ritenute"),1,MAX(0,MIN(1,($Y274-ANAGRAFICA!$I271)/(ANAGRAFICA!$J271-ANAGRAFICA!$I271))))),"")</f>
        <v/>
      </c>
      <c r="BI274" t="str">
        <f t="shared" si="113"/>
        <v/>
      </c>
      <c r="BJ274" t="str">
        <f>IFERROR(IF($C274="","",'BUDGET COMMESSA'!$D271),"")</f>
        <v/>
      </c>
      <c r="BK274" t="str">
        <f>IF($C274="","",SUMIF('MOVIMENTI 2026'!$B$7:$B$4206,$C274,'MOVIMENTI 2026'!$N$7:$N$4206)+SUMIF('SALDI AL 31.12.2025'!$A$6:$A$505,$C274,'SALDI AL 31.12.2025'!$H$6:$H$505))</f>
        <v/>
      </c>
      <c r="BL274" t="str">
        <f t="shared" si="114"/>
        <v/>
      </c>
      <c r="BM274" t="str">
        <f t="shared" si="115"/>
        <v/>
      </c>
      <c r="BN274" t="str">
        <f t="shared" si="116"/>
        <v/>
      </c>
      <c r="BO274" t="str">
        <f>IFERROR(IF($C274="","",'BUDGET COMMESSA'!$G271),"")</f>
        <v/>
      </c>
      <c r="BP274" t="str">
        <f>IF($C274="","",SUMIF('COSTI DIRETTI'!$C$6:$C$505,$C274,'COSTI DIRETTI'!$H$6:$H$505)+SUMIF('SALDI AL 31.12.2025'!$A$6:$A$505,$C274,'SALDI AL 31.12.2025'!$I$6:$I$505))</f>
        <v/>
      </c>
      <c r="BQ274" t="str">
        <f t="shared" si="117"/>
        <v/>
      </c>
      <c r="BR274" t="str">
        <f t="shared" si="118"/>
        <v/>
      </c>
      <c r="BS274" t="str">
        <f>IF($C274="","",$BK274*PARAMETRI!$B$4+$BP274)</f>
        <v/>
      </c>
      <c r="BT274">
        <f t="shared" si="119"/>
        <v>0</v>
      </c>
      <c r="BU274">
        <f t="shared" si="120"/>
        <v>0</v>
      </c>
      <c r="BV274" t="str">
        <f>IF($C274="","",SUMIF('MOVIMENTI 2026'!$B$7:$B$4206,$C274,'MOVIMENTI 2026'!$P$7:$P$4206)+SUMIF('SALDI AL 31.12.2025'!$A$6:$A$505,$C274,'SALDI AL 31.12.2025'!$G$6:$G$505))</f>
        <v/>
      </c>
    </row>
    <row r="275" spans="1:74" ht="16" x14ac:dyDescent="0.15">
      <c r="A275" s="17" t="str">
        <f>IFERROR(IF($C275="","",IF(OR($BF275&gt;0,$V275&gt;$J275,AND(ISNUMBER($Q275),$Q275&gt;0),AND($BI275&lt;&gt;"",$BI275&lt;-PARAMETRI!$B$6),AND($BM275&lt;&gt;"",$BM275&gt;=1),AND($BN275&lt;&gt;"",$BN275&gt;PARAMETRI!$B$8),AND(ISNUMBER($BR275),$BR275&gt;0)),"CRITICO",IF(OR($AZ275="",LEFT($C275,5)="TEMP",$BJ275="",$BO275="",ANAGRAFICA!$I272="",ANAGRAFICA!$J272="",$Y275="",AND(OR($I275="Finito ritenute non previste",$I275="Finito con sblocco ritenute",$I275="Finito senza sblocco ritenute"),ANAGRAFICA!$K272=""),OR(AND(ANAGRAFICA!$T272&lt;&gt;"",ANAGRAFICA!$J272&lt;&gt;ANAGRAFICA!$T272,OR(ANAGRAFICA!$R272="",ANAGRAFICA!$R272="Nessuna variazione")),AND(ANAGRAFICA!$J272="",ANAGRAFICA!$R272&lt;&gt;"",ANAGRAFICA!$R272&lt;&gt;"Nessuna variazione")),AND($BI275&lt;&gt;"",$BI275&lt;-PARAMETRI!$B$5),AND($BN275&lt;&gt;"",$BN275&gt;PARAMETRI!$B$7),AND($W275&gt;0,$M275&gt;$W275*PARAMETRI!$B$9),AND($O275&gt;0,OR($I275="Finito ritenute non previste",$I275="Finito con sblocco ritenute",$I275="Finito senza sblocco ritenute")),AND($BA275&gt;0,$BO275&gt;0,$BP275=0),AND(OR($I275="Finito ritenute non previste",$I275="Finito con sblocco ritenute",$I275="Finito senza sblocco ritenute"),$W275&gt;0,$N275&gt;$W275*PARAMETRI!$B$9),$V275&gt;0),"ATTENZIONE","REGOLARE"))),"ATTENZIONE")</f>
        <v/>
      </c>
      <c r="B275" s="17" t="str">
        <f>IFERROR(IF($C275="","",IF($BF275&gt;0,"FATTURATO OLTRE VALORE RECUPERABILE; ","")&amp;IF($V275&gt;$J275,"PERDITE ACCETTATE OLTRE CONTRATTO; ","")&amp;IF($V275&gt;0,"PERDITA SAL ACCETTATA (€ "&amp;TEXT($V275,"#,##0.00")&amp;"); ","")&amp;IF(AND(ISNUMBER($Q275),$Q275&gt;0),"RITARDO PRODUTTIVO ("&amp;TEXT($Q275,"0")&amp;" GG); ","")&amp;IF(AND($BI275&lt;&gt;"",$BI275&lt;-PARAMETRI!$B$5),"AVANZAMENTO PIÙ LENTO DEL TEMPO; ","")&amp;IF(AND($BM275&lt;&gt;"",$BM275&gt;1),"ORE OLTRE BUDGET; ","")&amp;IF(AND($BM275&lt;&gt;"",$BM275=1),"ORE PREVENTIVATE ESAURITE; ","")&amp;IF(AND($BN275&lt;&gt;"",$BN275&gt;PARAMETRI!$B$7),"CONSUMO ORE SUPERIORE ALL'AVANZAMENTO; ","")&amp;IF(AND(ISNUMBER($BR275),$BR275&gt;0),"COSTI DIRETTI OLTRE BUDGET; ","")&amp;IF(AND($W275&gt;0,$M275&gt;$W275*PARAMETRI!$B$9),"SAL MATURATO NON FATTURATO; ","")&amp;IF(AND($O275&gt;0,OR($I275="Finito ritenute non previste",$I275="Finito con sblocco ritenute",$I275="Finito senza sblocco ritenute")),"RITENUTE DA SBLOCCARE; ","")&amp;IF(AND($BA275&gt;0,$BO275&gt;0,$BP275=0),"COSTI DIRETTI NON REGISTRATI; ","")&amp;IF(AND(OR($I275="Finito ritenute non previste",$I275="Finito con sblocco ritenute",$I275="Finito senza sblocco ritenute"),$W275&gt;0,$N275&gt;$W275*PARAMETRI!$B$9),"CANTIERE FINITO CON RESIDUO LAVORI; ","")&amp;IF(AND(OR($I275="Finito ritenute non previste",$I275="Finito con sblocco ritenute",$I275="Finito senza sblocco ritenute"),ANAGRAFICA!$K272=""),"DATA FINE EFFETTIVA MANCANTE; ","")&amp;IF(OR(AND(ANAGRAFICA!$T272&lt;&gt;"",ANAGRAFICA!$J272&lt;&gt;ANAGRAFICA!$T272,OR(ANAGRAFICA!$R272="",ANAGRAFICA!$R272="Nessuna variazione")),AND(ANAGRAFICA!$J272="",ANAGRAFICA!$R272&lt;&gt;"",ANAGRAFICA!$R272&lt;&gt;"Nessuna variazione")),"GESTIONE DATA FINE INCOMPLETA; ","")&amp;IF($Y275="","AGGIORNATO AL MANCANTE; ","")&amp;IF(OR($AZ275="",$BJ275="",$BO275="",ANAGRAFICA!$I272="",ANAGRAFICA!$J272=""),"DATI PREVISIONALI INCOMPLETI; ","")&amp;IF(LEFT($C275,5)="TEMP","CODICE COMMESSA TEMPORANEO; ","")),"DATI INCOMPLETI; ")</f>
        <v/>
      </c>
      <c r="C275" s="17" t="str">
        <f>IF(ANAGRAFICA!$B272="","",ANAGRAFICA!$B272)</f>
        <v/>
      </c>
      <c r="D275" s="17" t="str">
        <f>IF($C275="","",ANAGRAFICA!$C272)</f>
        <v/>
      </c>
      <c r="E275" s="17" t="str">
        <f>IF($C275="","",ANAGRAFICA!$D272)</f>
        <v/>
      </c>
      <c r="F275" s="17" t="str">
        <f>IF($C275="","",ANAGRAFICA!$E272)</f>
        <v/>
      </c>
      <c r="G275" s="17" t="str">
        <f>IF($C275="","",ANAGRAFICA!$F272)</f>
        <v/>
      </c>
      <c r="H275" s="17" t="str">
        <f>IF($C275="","",ANAGRAFICA!$G272)</f>
        <v/>
      </c>
      <c r="I275" s="17" t="str">
        <f>IF($C275="","",ANAGRAFICA!$L272)</f>
        <v/>
      </c>
      <c r="J275" s="16" t="str">
        <f t="shared" si="97"/>
        <v/>
      </c>
      <c r="K275" s="16" t="str">
        <f t="shared" si="98"/>
        <v/>
      </c>
      <c r="L275" s="16" t="str">
        <f t="shared" si="99"/>
        <v/>
      </c>
      <c r="M275" s="16" t="str">
        <f t="shared" si="100"/>
        <v/>
      </c>
      <c r="N275" s="16" t="str">
        <f t="shared" si="101"/>
        <v/>
      </c>
      <c r="O275" s="16" t="str">
        <f t="shared" si="102"/>
        <v/>
      </c>
      <c r="P275" s="17" t="str">
        <f t="shared" si="103"/>
        <v/>
      </c>
      <c r="Q275" s="31" t="str">
        <f>IF(OR($C275="",'BUDGET COMMESSA'!$D272="",'BUDGET COMMESSA'!$D272&lt;=0,ANAGRAFICA!$J272=""),"",IF(OR($I275="Finito ritenute non previste",$I275="Finito con sblocco ritenute",$I275="Finito senza sblocco ritenute"),0,IF(AND($BK275&gt;=$BJ275,ANAGRAFICA!$R272="Ritardo produttivo FIDA"),IF(ANAGRAFICA!$T272&lt;&gt;"",MAX(0,ANAGRAFICA!$J272-ANAGRAFICA!$T272),MAX(0,$Y275-ANAGRAFICA!$J272)),0)))</f>
        <v/>
      </c>
      <c r="R275" s="17" t="str">
        <f t="shared" si="104"/>
        <v/>
      </c>
      <c r="S275" s="17" t="str">
        <f t="shared" si="105"/>
        <v/>
      </c>
      <c r="T275" s="17" t="str">
        <f t="shared" si="106"/>
        <v/>
      </c>
      <c r="U275" s="16" t="str">
        <f t="shared" si="107"/>
        <v/>
      </c>
      <c r="V275" s="16" t="str">
        <f t="shared" si="108"/>
        <v/>
      </c>
      <c r="W275" s="16" t="str">
        <f t="shared" si="109"/>
        <v/>
      </c>
      <c r="X275" s="40"/>
      <c r="Y275" s="14"/>
      <c r="AZ275" t="str">
        <f>IF($C275="","",ANAGRAFICA!$P272)</f>
        <v/>
      </c>
      <c r="BA275" t="str">
        <f>IF($C275="","",SUMIF('MOVIMENTI 2026'!$B$7:$B$4206,$C275,'MOVIMENTI 2026'!$I$7:$I$4206)+SUMIF('SALDI AL 31.12.2025'!$A$6:$A$505,$C275,'SALDI AL 31.12.2025'!$C$6:$C$505))</f>
        <v/>
      </c>
      <c r="BB275" t="str">
        <f>IF($C275="","",SUMIF('MOVIMENTI 2026'!$B$7:$B$4206,$C275,'MOVIMENTI 2026'!$J$7:$J$4206)+SUMIF('SALDI AL 31.12.2025'!$A$6:$A$505,$C275,'SALDI AL 31.12.2025'!$D$6:$D$505))</f>
        <v/>
      </c>
      <c r="BC275" t="str">
        <f>IF($C275="","",SUMIF('MOVIMENTI 2026'!$B$7:$B$4206,$C275,'MOVIMENTI 2026'!$K$7:$K$4206)+SUMIF('SALDI AL 31.12.2025'!$A$6:$A$505,$C275,'SALDI AL 31.12.2025'!$E$6:$E$505))</f>
        <v/>
      </c>
      <c r="BD275" t="str">
        <f>IF($C275="","",SUMIF('MOVIMENTI 2026'!$B$7:$B$4206,$C275,'MOVIMENTI 2026'!$L$7:$L$4206)+SUMIF('SALDI AL 31.12.2025'!$A$6:$A$505,$C275,'SALDI AL 31.12.2025'!$F$6:$F$505))</f>
        <v/>
      </c>
      <c r="BE275" t="str">
        <f t="shared" si="110"/>
        <v/>
      </c>
      <c r="BF275" t="str">
        <f t="shared" si="111"/>
        <v/>
      </c>
      <c r="BG275" t="str">
        <f t="shared" si="112"/>
        <v/>
      </c>
      <c r="BH275" t="str">
        <f>IFERROR(IF(OR($C275="",ANAGRAFICA!$I272="",ANAGRAFICA!$J272="",ANAGRAFICA!$J272&lt;=ANAGRAFICA!$I272,$Y275=""),"",IF(OR($I275="Finito ritenute non previste",$I275="Finito con sblocco ritenute",$I275="Finito senza sblocco ritenute"),1,MAX(0,MIN(1,($Y275-ANAGRAFICA!$I272)/(ANAGRAFICA!$J272-ANAGRAFICA!$I272))))),"")</f>
        <v/>
      </c>
      <c r="BI275" t="str">
        <f t="shared" si="113"/>
        <v/>
      </c>
      <c r="BJ275" t="str">
        <f>IFERROR(IF($C275="","",'BUDGET COMMESSA'!$D272),"")</f>
        <v/>
      </c>
      <c r="BK275" t="str">
        <f>IF($C275="","",SUMIF('MOVIMENTI 2026'!$B$7:$B$4206,$C275,'MOVIMENTI 2026'!$N$7:$N$4206)+SUMIF('SALDI AL 31.12.2025'!$A$6:$A$505,$C275,'SALDI AL 31.12.2025'!$H$6:$H$505))</f>
        <v/>
      </c>
      <c r="BL275" t="str">
        <f t="shared" si="114"/>
        <v/>
      </c>
      <c r="BM275" t="str">
        <f t="shared" si="115"/>
        <v/>
      </c>
      <c r="BN275" t="str">
        <f t="shared" si="116"/>
        <v/>
      </c>
      <c r="BO275" t="str">
        <f>IFERROR(IF($C275="","",'BUDGET COMMESSA'!$G272),"")</f>
        <v/>
      </c>
      <c r="BP275" t="str">
        <f>IF($C275="","",SUMIF('COSTI DIRETTI'!$C$6:$C$505,$C275,'COSTI DIRETTI'!$H$6:$H$505)+SUMIF('SALDI AL 31.12.2025'!$A$6:$A$505,$C275,'SALDI AL 31.12.2025'!$I$6:$I$505))</f>
        <v/>
      </c>
      <c r="BQ275" t="str">
        <f t="shared" si="117"/>
        <v/>
      </c>
      <c r="BR275" t="str">
        <f t="shared" si="118"/>
        <v/>
      </c>
      <c r="BS275" t="str">
        <f>IF($C275="","",$BK275*PARAMETRI!$B$4+$BP275)</f>
        <v/>
      </c>
      <c r="BT275">
        <f t="shared" si="119"/>
        <v>0</v>
      </c>
      <c r="BU275">
        <f t="shared" si="120"/>
        <v>0</v>
      </c>
      <c r="BV275" t="str">
        <f>IF($C275="","",SUMIF('MOVIMENTI 2026'!$B$7:$B$4206,$C275,'MOVIMENTI 2026'!$P$7:$P$4206)+SUMIF('SALDI AL 31.12.2025'!$A$6:$A$505,$C275,'SALDI AL 31.12.2025'!$G$6:$G$505))</f>
        <v/>
      </c>
    </row>
    <row r="276" spans="1:74" ht="16" x14ac:dyDescent="0.15">
      <c r="A276" s="17" t="str">
        <f>IFERROR(IF($C276="","",IF(OR($BF276&gt;0,$V276&gt;$J276,AND(ISNUMBER($Q276),$Q276&gt;0),AND($BI276&lt;&gt;"",$BI276&lt;-PARAMETRI!$B$6),AND($BM276&lt;&gt;"",$BM276&gt;=1),AND($BN276&lt;&gt;"",$BN276&gt;PARAMETRI!$B$8),AND(ISNUMBER($BR276),$BR276&gt;0)),"CRITICO",IF(OR($AZ276="",LEFT($C276,5)="TEMP",$BJ276="",$BO276="",ANAGRAFICA!$I273="",ANAGRAFICA!$J273="",$Y276="",AND(OR($I276="Finito ritenute non previste",$I276="Finito con sblocco ritenute",$I276="Finito senza sblocco ritenute"),ANAGRAFICA!$K273=""),OR(AND(ANAGRAFICA!$T273&lt;&gt;"",ANAGRAFICA!$J273&lt;&gt;ANAGRAFICA!$T273,OR(ANAGRAFICA!$R273="",ANAGRAFICA!$R273="Nessuna variazione")),AND(ANAGRAFICA!$J273="",ANAGRAFICA!$R273&lt;&gt;"",ANAGRAFICA!$R273&lt;&gt;"Nessuna variazione")),AND($BI276&lt;&gt;"",$BI276&lt;-PARAMETRI!$B$5),AND($BN276&lt;&gt;"",$BN276&gt;PARAMETRI!$B$7),AND($W276&gt;0,$M276&gt;$W276*PARAMETRI!$B$9),AND($O276&gt;0,OR($I276="Finito ritenute non previste",$I276="Finito con sblocco ritenute",$I276="Finito senza sblocco ritenute")),AND($BA276&gt;0,$BO276&gt;0,$BP276=0),AND(OR($I276="Finito ritenute non previste",$I276="Finito con sblocco ritenute",$I276="Finito senza sblocco ritenute"),$W276&gt;0,$N276&gt;$W276*PARAMETRI!$B$9),$V276&gt;0),"ATTENZIONE","REGOLARE"))),"ATTENZIONE")</f>
        <v/>
      </c>
      <c r="B276" s="17" t="str">
        <f>IFERROR(IF($C276="","",IF($BF276&gt;0,"FATTURATO OLTRE VALORE RECUPERABILE; ","")&amp;IF($V276&gt;$J276,"PERDITE ACCETTATE OLTRE CONTRATTO; ","")&amp;IF($V276&gt;0,"PERDITA SAL ACCETTATA (€ "&amp;TEXT($V276,"#,##0.00")&amp;"); ","")&amp;IF(AND(ISNUMBER($Q276),$Q276&gt;0),"RITARDO PRODUTTIVO ("&amp;TEXT($Q276,"0")&amp;" GG); ","")&amp;IF(AND($BI276&lt;&gt;"",$BI276&lt;-PARAMETRI!$B$5),"AVANZAMENTO PIÙ LENTO DEL TEMPO; ","")&amp;IF(AND($BM276&lt;&gt;"",$BM276&gt;1),"ORE OLTRE BUDGET; ","")&amp;IF(AND($BM276&lt;&gt;"",$BM276=1),"ORE PREVENTIVATE ESAURITE; ","")&amp;IF(AND($BN276&lt;&gt;"",$BN276&gt;PARAMETRI!$B$7),"CONSUMO ORE SUPERIORE ALL'AVANZAMENTO; ","")&amp;IF(AND(ISNUMBER($BR276),$BR276&gt;0),"COSTI DIRETTI OLTRE BUDGET; ","")&amp;IF(AND($W276&gt;0,$M276&gt;$W276*PARAMETRI!$B$9),"SAL MATURATO NON FATTURATO; ","")&amp;IF(AND($O276&gt;0,OR($I276="Finito ritenute non previste",$I276="Finito con sblocco ritenute",$I276="Finito senza sblocco ritenute")),"RITENUTE DA SBLOCCARE; ","")&amp;IF(AND($BA276&gt;0,$BO276&gt;0,$BP276=0),"COSTI DIRETTI NON REGISTRATI; ","")&amp;IF(AND(OR($I276="Finito ritenute non previste",$I276="Finito con sblocco ritenute",$I276="Finito senza sblocco ritenute"),$W276&gt;0,$N276&gt;$W276*PARAMETRI!$B$9),"CANTIERE FINITO CON RESIDUO LAVORI; ","")&amp;IF(AND(OR($I276="Finito ritenute non previste",$I276="Finito con sblocco ritenute",$I276="Finito senza sblocco ritenute"),ANAGRAFICA!$K273=""),"DATA FINE EFFETTIVA MANCANTE; ","")&amp;IF(OR(AND(ANAGRAFICA!$T273&lt;&gt;"",ANAGRAFICA!$J273&lt;&gt;ANAGRAFICA!$T273,OR(ANAGRAFICA!$R273="",ANAGRAFICA!$R273="Nessuna variazione")),AND(ANAGRAFICA!$J273="",ANAGRAFICA!$R273&lt;&gt;"",ANAGRAFICA!$R273&lt;&gt;"Nessuna variazione")),"GESTIONE DATA FINE INCOMPLETA; ","")&amp;IF($Y276="","AGGIORNATO AL MANCANTE; ","")&amp;IF(OR($AZ276="",$BJ276="",$BO276="",ANAGRAFICA!$I273="",ANAGRAFICA!$J273=""),"DATI PREVISIONALI INCOMPLETI; ","")&amp;IF(LEFT($C276,5)="TEMP","CODICE COMMESSA TEMPORANEO; ","")),"DATI INCOMPLETI; ")</f>
        <v/>
      </c>
      <c r="C276" s="17" t="str">
        <f>IF(ANAGRAFICA!$B273="","",ANAGRAFICA!$B273)</f>
        <v/>
      </c>
      <c r="D276" s="17" t="str">
        <f>IF($C276="","",ANAGRAFICA!$C273)</f>
        <v/>
      </c>
      <c r="E276" s="17" t="str">
        <f>IF($C276="","",ANAGRAFICA!$D273)</f>
        <v/>
      </c>
      <c r="F276" s="17" t="str">
        <f>IF($C276="","",ANAGRAFICA!$E273)</f>
        <v/>
      </c>
      <c r="G276" s="17" t="str">
        <f>IF($C276="","",ANAGRAFICA!$F273)</f>
        <v/>
      </c>
      <c r="H276" s="17" t="str">
        <f>IF($C276="","",ANAGRAFICA!$G273)</f>
        <v/>
      </c>
      <c r="I276" s="17" t="str">
        <f>IF($C276="","",ANAGRAFICA!$L273)</f>
        <v/>
      </c>
      <c r="J276" s="16" t="str">
        <f t="shared" si="97"/>
        <v/>
      </c>
      <c r="K276" s="16" t="str">
        <f t="shared" si="98"/>
        <v/>
      </c>
      <c r="L276" s="16" t="str">
        <f t="shared" si="99"/>
        <v/>
      </c>
      <c r="M276" s="16" t="str">
        <f t="shared" si="100"/>
        <v/>
      </c>
      <c r="N276" s="16" t="str">
        <f t="shared" si="101"/>
        <v/>
      </c>
      <c r="O276" s="16" t="str">
        <f t="shared" si="102"/>
        <v/>
      </c>
      <c r="P276" s="17" t="str">
        <f t="shared" si="103"/>
        <v/>
      </c>
      <c r="Q276" s="31" t="str">
        <f>IF(OR($C276="",'BUDGET COMMESSA'!$D273="",'BUDGET COMMESSA'!$D273&lt;=0,ANAGRAFICA!$J273=""),"",IF(OR($I276="Finito ritenute non previste",$I276="Finito con sblocco ritenute",$I276="Finito senza sblocco ritenute"),0,IF(AND($BK276&gt;=$BJ276,ANAGRAFICA!$R273="Ritardo produttivo FIDA"),IF(ANAGRAFICA!$T273&lt;&gt;"",MAX(0,ANAGRAFICA!$J273-ANAGRAFICA!$T273),MAX(0,$Y276-ANAGRAFICA!$J273)),0)))</f>
        <v/>
      </c>
      <c r="R276" s="17" t="str">
        <f t="shared" si="104"/>
        <v/>
      </c>
      <c r="S276" s="17" t="str">
        <f t="shared" si="105"/>
        <v/>
      </c>
      <c r="T276" s="17" t="str">
        <f t="shared" si="106"/>
        <v/>
      </c>
      <c r="U276" s="16" t="str">
        <f t="shared" si="107"/>
        <v/>
      </c>
      <c r="V276" s="16" t="str">
        <f t="shared" si="108"/>
        <v/>
      </c>
      <c r="W276" s="16" t="str">
        <f t="shared" si="109"/>
        <v/>
      </c>
      <c r="X276" s="40"/>
      <c r="Y276" s="14"/>
      <c r="AZ276" t="str">
        <f>IF($C276="","",ANAGRAFICA!$P273)</f>
        <v/>
      </c>
      <c r="BA276" t="str">
        <f>IF($C276="","",SUMIF('MOVIMENTI 2026'!$B$7:$B$4206,$C276,'MOVIMENTI 2026'!$I$7:$I$4206)+SUMIF('SALDI AL 31.12.2025'!$A$6:$A$505,$C276,'SALDI AL 31.12.2025'!$C$6:$C$505))</f>
        <v/>
      </c>
      <c r="BB276" t="str">
        <f>IF($C276="","",SUMIF('MOVIMENTI 2026'!$B$7:$B$4206,$C276,'MOVIMENTI 2026'!$J$7:$J$4206)+SUMIF('SALDI AL 31.12.2025'!$A$6:$A$505,$C276,'SALDI AL 31.12.2025'!$D$6:$D$505))</f>
        <v/>
      </c>
      <c r="BC276" t="str">
        <f>IF($C276="","",SUMIF('MOVIMENTI 2026'!$B$7:$B$4206,$C276,'MOVIMENTI 2026'!$K$7:$K$4206)+SUMIF('SALDI AL 31.12.2025'!$A$6:$A$505,$C276,'SALDI AL 31.12.2025'!$E$6:$E$505))</f>
        <v/>
      </c>
      <c r="BD276" t="str">
        <f>IF($C276="","",SUMIF('MOVIMENTI 2026'!$B$7:$B$4206,$C276,'MOVIMENTI 2026'!$L$7:$L$4206)+SUMIF('SALDI AL 31.12.2025'!$A$6:$A$505,$C276,'SALDI AL 31.12.2025'!$F$6:$F$505))</f>
        <v/>
      </c>
      <c r="BE276" t="str">
        <f t="shared" si="110"/>
        <v/>
      </c>
      <c r="BF276" t="str">
        <f t="shared" si="111"/>
        <v/>
      </c>
      <c r="BG276" t="str">
        <f t="shared" si="112"/>
        <v/>
      </c>
      <c r="BH276" t="str">
        <f>IFERROR(IF(OR($C276="",ANAGRAFICA!$I273="",ANAGRAFICA!$J273="",ANAGRAFICA!$J273&lt;=ANAGRAFICA!$I273,$Y276=""),"",IF(OR($I276="Finito ritenute non previste",$I276="Finito con sblocco ritenute",$I276="Finito senza sblocco ritenute"),1,MAX(0,MIN(1,($Y276-ANAGRAFICA!$I273)/(ANAGRAFICA!$J273-ANAGRAFICA!$I273))))),"")</f>
        <v/>
      </c>
      <c r="BI276" t="str">
        <f t="shared" si="113"/>
        <v/>
      </c>
      <c r="BJ276" t="str">
        <f>IFERROR(IF($C276="","",'BUDGET COMMESSA'!$D273),"")</f>
        <v/>
      </c>
      <c r="BK276" t="str">
        <f>IF($C276="","",SUMIF('MOVIMENTI 2026'!$B$7:$B$4206,$C276,'MOVIMENTI 2026'!$N$7:$N$4206)+SUMIF('SALDI AL 31.12.2025'!$A$6:$A$505,$C276,'SALDI AL 31.12.2025'!$H$6:$H$505))</f>
        <v/>
      </c>
      <c r="BL276" t="str">
        <f t="shared" si="114"/>
        <v/>
      </c>
      <c r="BM276" t="str">
        <f t="shared" si="115"/>
        <v/>
      </c>
      <c r="BN276" t="str">
        <f t="shared" si="116"/>
        <v/>
      </c>
      <c r="BO276" t="str">
        <f>IFERROR(IF($C276="","",'BUDGET COMMESSA'!$G273),"")</f>
        <v/>
      </c>
      <c r="BP276" t="str">
        <f>IF($C276="","",SUMIF('COSTI DIRETTI'!$C$6:$C$505,$C276,'COSTI DIRETTI'!$H$6:$H$505)+SUMIF('SALDI AL 31.12.2025'!$A$6:$A$505,$C276,'SALDI AL 31.12.2025'!$I$6:$I$505))</f>
        <v/>
      </c>
      <c r="BQ276" t="str">
        <f t="shared" si="117"/>
        <v/>
      </c>
      <c r="BR276" t="str">
        <f t="shared" si="118"/>
        <v/>
      </c>
      <c r="BS276" t="str">
        <f>IF($C276="","",$BK276*PARAMETRI!$B$4+$BP276)</f>
        <v/>
      </c>
      <c r="BT276">
        <f t="shared" si="119"/>
        <v>0</v>
      </c>
      <c r="BU276">
        <f t="shared" si="120"/>
        <v>0</v>
      </c>
      <c r="BV276" t="str">
        <f>IF($C276="","",SUMIF('MOVIMENTI 2026'!$B$7:$B$4206,$C276,'MOVIMENTI 2026'!$P$7:$P$4206)+SUMIF('SALDI AL 31.12.2025'!$A$6:$A$505,$C276,'SALDI AL 31.12.2025'!$G$6:$G$505))</f>
        <v/>
      </c>
    </row>
    <row r="277" spans="1:74" ht="16" x14ac:dyDescent="0.15">
      <c r="A277" s="17" t="str">
        <f>IFERROR(IF($C277="","",IF(OR($BF277&gt;0,$V277&gt;$J277,AND(ISNUMBER($Q277),$Q277&gt;0),AND($BI277&lt;&gt;"",$BI277&lt;-PARAMETRI!$B$6),AND($BM277&lt;&gt;"",$BM277&gt;=1),AND($BN277&lt;&gt;"",$BN277&gt;PARAMETRI!$B$8),AND(ISNUMBER($BR277),$BR277&gt;0)),"CRITICO",IF(OR($AZ277="",LEFT($C277,5)="TEMP",$BJ277="",$BO277="",ANAGRAFICA!$I274="",ANAGRAFICA!$J274="",$Y277="",AND(OR($I277="Finito ritenute non previste",$I277="Finito con sblocco ritenute",$I277="Finito senza sblocco ritenute"),ANAGRAFICA!$K274=""),OR(AND(ANAGRAFICA!$T274&lt;&gt;"",ANAGRAFICA!$J274&lt;&gt;ANAGRAFICA!$T274,OR(ANAGRAFICA!$R274="",ANAGRAFICA!$R274="Nessuna variazione")),AND(ANAGRAFICA!$J274="",ANAGRAFICA!$R274&lt;&gt;"",ANAGRAFICA!$R274&lt;&gt;"Nessuna variazione")),AND($BI277&lt;&gt;"",$BI277&lt;-PARAMETRI!$B$5),AND($BN277&lt;&gt;"",$BN277&gt;PARAMETRI!$B$7),AND($W277&gt;0,$M277&gt;$W277*PARAMETRI!$B$9),AND($O277&gt;0,OR($I277="Finito ritenute non previste",$I277="Finito con sblocco ritenute",$I277="Finito senza sblocco ritenute")),AND($BA277&gt;0,$BO277&gt;0,$BP277=0),AND(OR($I277="Finito ritenute non previste",$I277="Finito con sblocco ritenute",$I277="Finito senza sblocco ritenute"),$W277&gt;0,$N277&gt;$W277*PARAMETRI!$B$9),$V277&gt;0),"ATTENZIONE","REGOLARE"))),"ATTENZIONE")</f>
        <v/>
      </c>
      <c r="B277" s="17" t="str">
        <f>IFERROR(IF($C277="","",IF($BF277&gt;0,"FATTURATO OLTRE VALORE RECUPERABILE; ","")&amp;IF($V277&gt;$J277,"PERDITE ACCETTATE OLTRE CONTRATTO; ","")&amp;IF($V277&gt;0,"PERDITA SAL ACCETTATA (€ "&amp;TEXT($V277,"#,##0.00")&amp;"); ","")&amp;IF(AND(ISNUMBER($Q277),$Q277&gt;0),"RITARDO PRODUTTIVO ("&amp;TEXT($Q277,"0")&amp;" GG); ","")&amp;IF(AND($BI277&lt;&gt;"",$BI277&lt;-PARAMETRI!$B$5),"AVANZAMENTO PIÙ LENTO DEL TEMPO; ","")&amp;IF(AND($BM277&lt;&gt;"",$BM277&gt;1),"ORE OLTRE BUDGET; ","")&amp;IF(AND($BM277&lt;&gt;"",$BM277=1),"ORE PREVENTIVATE ESAURITE; ","")&amp;IF(AND($BN277&lt;&gt;"",$BN277&gt;PARAMETRI!$B$7),"CONSUMO ORE SUPERIORE ALL'AVANZAMENTO; ","")&amp;IF(AND(ISNUMBER($BR277),$BR277&gt;0),"COSTI DIRETTI OLTRE BUDGET; ","")&amp;IF(AND($W277&gt;0,$M277&gt;$W277*PARAMETRI!$B$9),"SAL MATURATO NON FATTURATO; ","")&amp;IF(AND($O277&gt;0,OR($I277="Finito ritenute non previste",$I277="Finito con sblocco ritenute",$I277="Finito senza sblocco ritenute")),"RITENUTE DA SBLOCCARE; ","")&amp;IF(AND($BA277&gt;0,$BO277&gt;0,$BP277=0),"COSTI DIRETTI NON REGISTRATI; ","")&amp;IF(AND(OR($I277="Finito ritenute non previste",$I277="Finito con sblocco ritenute",$I277="Finito senza sblocco ritenute"),$W277&gt;0,$N277&gt;$W277*PARAMETRI!$B$9),"CANTIERE FINITO CON RESIDUO LAVORI; ","")&amp;IF(AND(OR($I277="Finito ritenute non previste",$I277="Finito con sblocco ritenute",$I277="Finito senza sblocco ritenute"),ANAGRAFICA!$K274=""),"DATA FINE EFFETTIVA MANCANTE; ","")&amp;IF(OR(AND(ANAGRAFICA!$T274&lt;&gt;"",ANAGRAFICA!$J274&lt;&gt;ANAGRAFICA!$T274,OR(ANAGRAFICA!$R274="",ANAGRAFICA!$R274="Nessuna variazione")),AND(ANAGRAFICA!$J274="",ANAGRAFICA!$R274&lt;&gt;"",ANAGRAFICA!$R274&lt;&gt;"Nessuna variazione")),"GESTIONE DATA FINE INCOMPLETA; ","")&amp;IF($Y277="","AGGIORNATO AL MANCANTE; ","")&amp;IF(OR($AZ277="",$BJ277="",$BO277="",ANAGRAFICA!$I274="",ANAGRAFICA!$J274=""),"DATI PREVISIONALI INCOMPLETI; ","")&amp;IF(LEFT($C277,5)="TEMP","CODICE COMMESSA TEMPORANEO; ","")),"DATI INCOMPLETI; ")</f>
        <v/>
      </c>
      <c r="C277" s="17" t="str">
        <f>IF(ANAGRAFICA!$B274="","",ANAGRAFICA!$B274)</f>
        <v/>
      </c>
      <c r="D277" s="17" t="str">
        <f>IF($C277="","",ANAGRAFICA!$C274)</f>
        <v/>
      </c>
      <c r="E277" s="17" t="str">
        <f>IF($C277="","",ANAGRAFICA!$D274)</f>
        <v/>
      </c>
      <c r="F277" s="17" t="str">
        <f>IF($C277="","",ANAGRAFICA!$E274)</f>
        <v/>
      </c>
      <c r="G277" s="17" t="str">
        <f>IF($C277="","",ANAGRAFICA!$F274)</f>
        <v/>
      </c>
      <c r="H277" s="17" t="str">
        <f>IF($C277="","",ANAGRAFICA!$G274)</f>
        <v/>
      </c>
      <c r="I277" s="17" t="str">
        <f>IF($C277="","",ANAGRAFICA!$L274)</f>
        <v/>
      </c>
      <c r="J277" s="16" t="str">
        <f t="shared" si="97"/>
        <v/>
      </c>
      <c r="K277" s="16" t="str">
        <f t="shared" si="98"/>
        <v/>
      </c>
      <c r="L277" s="16" t="str">
        <f t="shared" si="99"/>
        <v/>
      </c>
      <c r="M277" s="16" t="str">
        <f t="shared" si="100"/>
        <v/>
      </c>
      <c r="N277" s="16" t="str">
        <f t="shared" si="101"/>
        <v/>
      </c>
      <c r="O277" s="16" t="str">
        <f t="shared" si="102"/>
        <v/>
      </c>
      <c r="P277" s="17" t="str">
        <f t="shared" si="103"/>
        <v/>
      </c>
      <c r="Q277" s="31" t="str">
        <f>IF(OR($C277="",'BUDGET COMMESSA'!$D274="",'BUDGET COMMESSA'!$D274&lt;=0,ANAGRAFICA!$J274=""),"",IF(OR($I277="Finito ritenute non previste",$I277="Finito con sblocco ritenute",$I277="Finito senza sblocco ritenute"),0,IF(AND($BK277&gt;=$BJ277,ANAGRAFICA!$R274="Ritardo produttivo FIDA"),IF(ANAGRAFICA!$T274&lt;&gt;"",MAX(0,ANAGRAFICA!$J274-ANAGRAFICA!$T274),MAX(0,$Y277-ANAGRAFICA!$J274)),0)))</f>
        <v/>
      </c>
      <c r="R277" s="17" t="str">
        <f t="shared" si="104"/>
        <v/>
      </c>
      <c r="S277" s="17" t="str">
        <f t="shared" si="105"/>
        <v/>
      </c>
      <c r="T277" s="17" t="str">
        <f t="shared" si="106"/>
        <v/>
      </c>
      <c r="U277" s="16" t="str">
        <f t="shared" si="107"/>
        <v/>
      </c>
      <c r="V277" s="16" t="str">
        <f t="shared" si="108"/>
        <v/>
      </c>
      <c r="W277" s="16" t="str">
        <f t="shared" si="109"/>
        <v/>
      </c>
      <c r="X277" s="40"/>
      <c r="Y277" s="14"/>
      <c r="AZ277" t="str">
        <f>IF($C277="","",ANAGRAFICA!$P274)</f>
        <v/>
      </c>
      <c r="BA277" t="str">
        <f>IF($C277="","",SUMIF('MOVIMENTI 2026'!$B$7:$B$4206,$C277,'MOVIMENTI 2026'!$I$7:$I$4206)+SUMIF('SALDI AL 31.12.2025'!$A$6:$A$505,$C277,'SALDI AL 31.12.2025'!$C$6:$C$505))</f>
        <v/>
      </c>
      <c r="BB277" t="str">
        <f>IF($C277="","",SUMIF('MOVIMENTI 2026'!$B$7:$B$4206,$C277,'MOVIMENTI 2026'!$J$7:$J$4206)+SUMIF('SALDI AL 31.12.2025'!$A$6:$A$505,$C277,'SALDI AL 31.12.2025'!$D$6:$D$505))</f>
        <v/>
      </c>
      <c r="BC277" t="str">
        <f>IF($C277="","",SUMIF('MOVIMENTI 2026'!$B$7:$B$4206,$C277,'MOVIMENTI 2026'!$K$7:$K$4206)+SUMIF('SALDI AL 31.12.2025'!$A$6:$A$505,$C277,'SALDI AL 31.12.2025'!$E$6:$E$505))</f>
        <v/>
      </c>
      <c r="BD277" t="str">
        <f>IF($C277="","",SUMIF('MOVIMENTI 2026'!$B$7:$B$4206,$C277,'MOVIMENTI 2026'!$L$7:$L$4206)+SUMIF('SALDI AL 31.12.2025'!$A$6:$A$505,$C277,'SALDI AL 31.12.2025'!$F$6:$F$505))</f>
        <v/>
      </c>
      <c r="BE277" t="str">
        <f t="shared" si="110"/>
        <v/>
      </c>
      <c r="BF277" t="str">
        <f t="shared" si="111"/>
        <v/>
      </c>
      <c r="BG277" t="str">
        <f t="shared" si="112"/>
        <v/>
      </c>
      <c r="BH277" t="str">
        <f>IFERROR(IF(OR($C277="",ANAGRAFICA!$I274="",ANAGRAFICA!$J274="",ANAGRAFICA!$J274&lt;=ANAGRAFICA!$I274,$Y277=""),"",IF(OR($I277="Finito ritenute non previste",$I277="Finito con sblocco ritenute",$I277="Finito senza sblocco ritenute"),1,MAX(0,MIN(1,($Y277-ANAGRAFICA!$I274)/(ANAGRAFICA!$J274-ANAGRAFICA!$I274))))),"")</f>
        <v/>
      </c>
      <c r="BI277" t="str">
        <f t="shared" si="113"/>
        <v/>
      </c>
      <c r="BJ277" t="str">
        <f>IFERROR(IF($C277="","",'BUDGET COMMESSA'!$D274),"")</f>
        <v/>
      </c>
      <c r="BK277" t="str">
        <f>IF($C277="","",SUMIF('MOVIMENTI 2026'!$B$7:$B$4206,$C277,'MOVIMENTI 2026'!$N$7:$N$4206)+SUMIF('SALDI AL 31.12.2025'!$A$6:$A$505,$C277,'SALDI AL 31.12.2025'!$H$6:$H$505))</f>
        <v/>
      </c>
      <c r="BL277" t="str">
        <f t="shared" si="114"/>
        <v/>
      </c>
      <c r="BM277" t="str">
        <f t="shared" si="115"/>
        <v/>
      </c>
      <c r="BN277" t="str">
        <f t="shared" si="116"/>
        <v/>
      </c>
      <c r="BO277" t="str">
        <f>IFERROR(IF($C277="","",'BUDGET COMMESSA'!$G274),"")</f>
        <v/>
      </c>
      <c r="BP277" t="str">
        <f>IF($C277="","",SUMIF('COSTI DIRETTI'!$C$6:$C$505,$C277,'COSTI DIRETTI'!$H$6:$H$505)+SUMIF('SALDI AL 31.12.2025'!$A$6:$A$505,$C277,'SALDI AL 31.12.2025'!$I$6:$I$505))</f>
        <v/>
      </c>
      <c r="BQ277" t="str">
        <f t="shared" si="117"/>
        <v/>
      </c>
      <c r="BR277" t="str">
        <f t="shared" si="118"/>
        <v/>
      </c>
      <c r="BS277" t="str">
        <f>IF($C277="","",$BK277*PARAMETRI!$B$4+$BP277)</f>
        <v/>
      </c>
      <c r="BT277">
        <f t="shared" si="119"/>
        <v>0</v>
      </c>
      <c r="BU277">
        <f t="shared" si="120"/>
        <v>0</v>
      </c>
      <c r="BV277" t="str">
        <f>IF($C277="","",SUMIF('MOVIMENTI 2026'!$B$7:$B$4206,$C277,'MOVIMENTI 2026'!$P$7:$P$4206)+SUMIF('SALDI AL 31.12.2025'!$A$6:$A$505,$C277,'SALDI AL 31.12.2025'!$G$6:$G$505))</f>
        <v/>
      </c>
    </row>
    <row r="278" spans="1:74" ht="16" x14ac:dyDescent="0.15">
      <c r="A278" s="17" t="str">
        <f>IFERROR(IF($C278="","",IF(OR($BF278&gt;0,$V278&gt;$J278,AND(ISNUMBER($Q278),$Q278&gt;0),AND($BI278&lt;&gt;"",$BI278&lt;-PARAMETRI!$B$6),AND($BM278&lt;&gt;"",$BM278&gt;=1),AND($BN278&lt;&gt;"",$BN278&gt;PARAMETRI!$B$8),AND(ISNUMBER($BR278),$BR278&gt;0)),"CRITICO",IF(OR($AZ278="",LEFT($C278,5)="TEMP",$BJ278="",$BO278="",ANAGRAFICA!$I275="",ANAGRAFICA!$J275="",$Y278="",AND(OR($I278="Finito ritenute non previste",$I278="Finito con sblocco ritenute",$I278="Finito senza sblocco ritenute"),ANAGRAFICA!$K275=""),OR(AND(ANAGRAFICA!$T275&lt;&gt;"",ANAGRAFICA!$J275&lt;&gt;ANAGRAFICA!$T275,OR(ANAGRAFICA!$R275="",ANAGRAFICA!$R275="Nessuna variazione")),AND(ANAGRAFICA!$J275="",ANAGRAFICA!$R275&lt;&gt;"",ANAGRAFICA!$R275&lt;&gt;"Nessuna variazione")),AND($BI278&lt;&gt;"",$BI278&lt;-PARAMETRI!$B$5),AND($BN278&lt;&gt;"",$BN278&gt;PARAMETRI!$B$7),AND($W278&gt;0,$M278&gt;$W278*PARAMETRI!$B$9),AND($O278&gt;0,OR($I278="Finito ritenute non previste",$I278="Finito con sblocco ritenute",$I278="Finito senza sblocco ritenute")),AND($BA278&gt;0,$BO278&gt;0,$BP278=0),AND(OR($I278="Finito ritenute non previste",$I278="Finito con sblocco ritenute",$I278="Finito senza sblocco ritenute"),$W278&gt;0,$N278&gt;$W278*PARAMETRI!$B$9),$V278&gt;0),"ATTENZIONE","REGOLARE"))),"ATTENZIONE")</f>
        <v/>
      </c>
      <c r="B278" s="17" t="str">
        <f>IFERROR(IF($C278="","",IF($BF278&gt;0,"FATTURATO OLTRE VALORE RECUPERABILE; ","")&amp;IF($V278&gt;$J278,"PERDITE ACCETTATE OLTRE CONTRATTO; ","")&amp;IF($V278&gt;0,"PERDITA SAL ACCETTATA (€ "&amp;TEXT($V278,"#,##0.00")&amp;"); ","")&amp;IF(AND(ISNUMBER($Q278),$Q278&gt;0),"RITARDO PRODUTTIVO ("&amp;TEXT($Q278,"0")&amp;" GG); ","")&amp;IF(AND($BI278&lt;&gt;"",$BI278&lt;-PARAMETRI!$B$5),"AVANZAMENTO PIÙ LENTO DEL TEMPO; ","")&amp;IF(AND($BM278&lt;&gt;"",$BM278&gt;1),"ORE OLTRE BUDGET; ","")&amp;IF(AND($BM278&lt;&gt;"",$BM278=1),"ORE PREVENTIVATE ESAURITE; ","")&amp;IF(AND($BN278&lt;&gt;"",$BN278&gt;PARAMETRI!$B$7),"CONSUMO ORE SUPERIORE ALL'AVANZAMENTO; ","")&amp;IF(AND(ISNUMBER($BR278),$BR278&gt;0),"COSTI DIRETTI OLTRE BUDGET; ","")&amp;IF(AND($W278&gt;0,$M278&gt;$W278*PARAMETRI!$B$9),"SAL MATURATO NON FATTURATO; ","")&amp;IF(AND($O278&gt;0,OR($I278="Finito ritenute non previste",$I278="Finito con sblocco ritenute",$I278="Finito senza sblocco ritenute")),"RITENUTE DA SBLOCCARE; ","")&amp;IF(AND($BA278&gt;0,$BO278&gt;0,$BP278=0),"COSTI DIRETTI NON REGISTRATI; ","")&amp;IF(AND(OR($I278="Finito ritenute non previste",$I278="Finito con sblocco ritenute",$I278="Finito senza sblocco ritenute"),$W278&gt;0,$N278&gt;$W278*PARAMETRI!$B$9),"CANTIERE FINITO CON RESIDUO LAVORI; ","")&amp;IF(AND(OR($I278="Finito ritenute non previste",$I278="Finito con sblocco ritenute",$I278="Finito senza sblocco ritenute"),ANAGRAFICA!$K275=""),"DATA FINE EFFETTIVA MANCANTE; ","")&amp;IF(OR(AND(ANAGRAFICA!$T275&lt;&gt;"",ANAGRAFICA!$J275&lt;&gt;ANAGRAFICA!$T275,OR(ANAGRAFICA!$R275="",ANAGRAFICA!$R275="Nessuna variazione")),AND(ANAGRAFICA!$J275="",ANAGRAFICA!$R275&lt;&gt;"",ANAGRAFICA!$R275&lt;&gt;"Nessuna variazione")),"GESTIONE DATA FINE INCOMPLETA; ","")&amp;IF($Y278="","AGGIORNATO AL MANCANTE; ","")&amp;IF(OR($AZ278="",$BJ278="",$BO278="",ANAGRAFICA!$I275="",ANAGRAFICA!$J275=""),"DATI PREVISIONALI INCOMPLETI; ","")&amp;IF(LEFT($C278,5)="TEMP","CODICE COMMESSA TEMPORANEO; ","")),"DATI INCOMPLETI; ")</f>
        <v/>
      </c>
      <c r="C278" s="17" t="str">
        <f>IF(ANAGRAFICA!$B275="","",ANAGRAFICA!$B275)</f>
        <v/>
      </c>
      <c r="D278" s="17" t="str">
        <f>IF($C278="","",ANAGRAFICA!$C275)</f>
        <v/>
      </c>
      <c r="E278" s="17" t="str">
        <f>IF($C278="","",ANAGRAFICA!$D275)</f>
        <v/>
      </c>
      <c r="F278" s="17" t="str">
        <f>IF($C278="","",ANAGRAFICA!$E275)</f>
        <v/>
      </c>
      <c r="G278" s="17" t="str">
        <f>IF($C278="","",ANAGRAFICA!$F275)</f>
        <v/>
      </c>
      <c r="H278" s="17" t="str">
        <f>IF($C278="","",ANAGRAFICA!$G275)</f>
        <v/>
      </c>
      <c r="I278" s="17" t="str">
        <f>IF($C278="","",ANAGRAFICA!$L275)</f>
        <v/>
      </c>
      <c r="J278" s="16" t="str">
        <f t="shared" si="97"/>
        <v/>
      </c>
      <c r="K278" s="16" t="str">
        <f t="shared" si="98"/>
        <v/>
      </c>
      <c r="L278" s="16" t="str">
        <f t="shared" si="99"/>
        <v/>
      </c>
      <c r="M278" s="16" t="str">
        <f t="shared" si="100"/>
        <v/>
      </c>
      <c r="N278" s="16" t="str">
        <f t="shared" si="101"/>
        <v/>
      </c>
      <c r="O278" s="16" t="str">
        <f t="shared" si="102"/>
        <v/>
      </c>
      <c r="P278" s="17" t="str">
        <f t="shared" si="103"/>
        <v/>
      </c>
      <c r="Q278" s="31" t="str">
        <f>IF(OR($C278="",'BUDGET COMMESSA'!$D275="",'BUDGET COMMESSA'!$D275&lt;=0,ANAGRAFICA!$J275=""),"",IF(OR($I278="Finito ritenute non previste",$I278="Finito con sblocco ritenute",$I278="Finito senza sblocco ritenute"),0,IF(AND($BK278&gt;=$BJ278,ANAGRAFICA!$R275="Ritardo produttivo FIDA"),IF(ANAGRAFICA!$T275&lt;&gt;"",MAX(0,ANAGRAFICA!$J275-ANAGRAFICA!$T275),MAX(0,$Y278-ANAGRAFICA!$J275)),0)))</f>
        <v/>
      </c>
      <c r="R278" s="17" t="str">
        <f t="shared" si="104"/>
        <v/>
      </c>
      <c r="S278" s="17" t="str">
        <f t="shared" si="105"/>
        <v/>
      </c>
      <c r="T278" s="17" t="str">
        <f t="shared" si="106"/>
        <v/>
      </c>
      <c r="U278" s="16" t="str">
        <f t="shared" si="107"/>
        <v/>
      </c>
      <c r="V278" s="16" t="str">
        <f t="shared" si="108"/>
        <v/>
      </c>
      <c r="W278" s="16" t="str">
        <f t="shared" si="109"/>
        <v/>
      </c>
      <c r="X278" s="40"/>
      <c r="Y278" s="14"/>
      <c r="AZ278" t="str">
        <f>IF($C278="","",ANAGRAFICA!$P275)</f>
        <v/>
      </c>
      <c r="BA278" t="str">
        <f>IF($C278="","",SUMIF('MOVIMENTI 2026'!$B$7:$B$4206,$C278,'MOVIMENTI 2026'!$I$7:$I$4206)+SUMIF('SALDI AL 31.12.2025'!$A$6:$A$505,$C278,'SALDI AL 31.12.2025'!$C$6:$C$505))</f>
        <v/>
      </c>
      <c r="BB278" t="str">
        <f>IF($C278="","",SUMIF('MOVIMENTI 2026'!$B$7:$B$4206,$C278,'MOVIMENTI 2026'!$J$7:$J$4206)+SUMIF('SALDI AL 31.12.2025'!$A$6:$A$505,$C278,'SALDI AL 31.12.2025'!$D$6:$D$505))</f>
        <v/>
      </c>
      <c r="BC278" t="str">
        <f>IF($C278="","",SUMIF('MOVIMENTI 2026'!$B$7:$B$4206,$C278,'MOVIMENTI 2026'!$K$7:$K$4206)+SUMIF('SALDI AL 31.12.2025'!$A$6:$A$505,$C278,'SALDI AL 31.12.2025'!$E$6:$E$505))</f>
        <v/>
      </c>
      <c r="BD278" t="str">
        <f>IF($C278="","",SUMIF('MOVIMENTI 2026'!$B$7:$B$4206,$C278,'MOVIMENTI 2026'!$L$7:$L$4206)+SUMIF('SALDI AL 31.12.2025'!$A$6:$A$505,$C278,'SALDI AL 31.12.2025'!$F$6:$F$505))</f>
        <v/>
      </c>
      <c r="BE278" t="str">
        <f t="shared" si="110"/>
        <v/>
      </c>
      <c r="BF278" t="str">
        <f t="shared" si="111"/>
        <v/>
      </c>
      <c r="BG278" t="str">
        <f t="shared" si="112"/>
        <v/>
      </c>
      <c r="BH278" t="str">
        <f>IFERROR(IF(OR($C278="",ANAGRAFICA!$I275="",ANAGRAFICA!$J275="",ANAGRAFICA!$J275&lt;=ANAGRAFICA!$I275,$Y278=""),"",IF(OR($I278="Finito ritenute non previste",$I278="Finito con sblocco ritenute",$I278="Finito senza sblocco ritenute"),1,MAX(0,MIN(1,($Y278-ANAGRAFICA!$I275)/(ANAGRAFICA!$J275-ANAGRAFICA!$I275))))),"")</f>
        <v/>
      </c>
      <c r="BI278" t="str">
        <f t="shared" si="113"/>
        <v/>
      </c>
      <c r="BJ278" t="str">
        <f>IFERROR(IF($C278="","",'BUDGET COMMESSA'!$D275),"")</f>
        <v/>
      </c>
      <c r="BK278" t="str">
        <f>IF($C278="","",SUMIF('MOVIMENTI 2026'!$B$7:$B$4206,$C278,'MOVIMENTI 2026'!$N$7:$N$4206)+SUMIF('SALDI AL 31.12.2025'!$A$6:$A$505,$C278,'SALDI AL 31.12.2025'!$H$6:$H$505))</f>
        <v/>
      </c>
      <c r="BL278" t="str">
        <f t="shared" si="114"/>
        <v/>
      </c>
      <c r="BM278" t="str">
        <f t="shared" si="115"/>
        <v/>
      </c>
      <c r="BN278" t="str">
        <f t="shared" si="116"/>
        <v/>
      </c>
      <c r="BO278" t="str">
        <f>IFERROR(IF($C278="","",'BUDGET COMMESSA'!$G275),"")</f>
        <v/>
      </c>
      <c r="BP278" t="str">
        <f>IF($C278="","",SUMIF('COSTI DIRETTI'!$C$6:$C$505,$C278,'COSTI DIRETTI'!$H$6:$H$505)+SUMIF('SALDI AL 31.12.2025'!$A$6:$A$505,$C278,'SALDI AL 31.12.2025'!$I$6:$I$505))</f>
        <v/>
      </c>
      <c r="BQ278" t="str">
        <f t="shared" si="117"/>
        <v/>
      </c>
      <c r="BR278" t="str">
        <f t="shared" si="118"/>
        <v/>
      </c>
      <c r="BS278" t="str">
        <f>IF($C278="","",$BK278*PARAMETRI!$B$4+$BP278)</f>
        <v/>
      </c>
      <c r="BT278">
        <f t="shared" si="119"/>
        <v>0</v>
      </c>
      <c r="BU278">
        <f t="shared" si="120"/>
        <v>0</v>
      </c>
      <c r="BV278" t="str">
        <f>IF($C278="","",SUMIF('MOVIMENTI 2026'!$B$7:$B$4206,$C278,'MOVIMENTI 2026'!$P$7:$P$4206)+SUMIF('SALDI AL 31.12.2025'!$A$6:$A$505,$C278,'SALDI AL 31.12.2025'!$G$6:$G$505))</f>
        <v/>
      </c>
    </row>
    <row r="279" spans="1:74" ht="16" x14ac:dyDescent="0.15">
      <c r="A279" s="17" t="str">
        <f>IFERROR(IF($C279="","",IF(OR($BF279&gt;0,$V279&gt;$J279,AND(ISNUMBER($Q279),$Q279&gt;0),AND($BI279&lt;&gt;"",$BI279&lt;-PARAMETRI!$B$6),AND($BM279&lt;&gt;"",$BM279&gt;=1),AND($BN279&lt;&gt;"",$BN279&gt;PARAMETRI!$B$8),AND(ISNUMBER($BR279),$BR279&gt;0)),"CRITICO",IF(OR($AZ279="",LEFT($C279,5)="TEMP",$BJ279="",$BO279="",ANAGRAFICA!$I276="",ANAGRAFICA!$J276="",$Y279="",AND(OR($I279="Finito ritenute non previste",$I279="Finito con sblocco ritenute",$I279="Finito senza sblocco ritenute"),ANAGRAFICA!$K276=""),OR(AND(ANAGRAFICA!$T276&lt;&gt;"",ANAGRAFICA!$J276&lt;&gt;ANAGRAFICA!$T276,OR(ANAGRAFICA!$R276="",ANAGRAFICA!$R276="Nessuna variazione")),AND(ANAGRAFICA!$J276="",ANAGRAFICA!$R276&lt;&gt;"",ANAGRAFICA!$R276&lt;&gt;"Nessuna variazione")),AND($BI279&lt;&gt;"",$BI279&lt;-PARAMETRI!$B$5),AND($BN279&lt;&gt;"",$BN279&gt;PARAMETRI!$B$7),AND($W279&gt;0,$M279&gt;$W279*PARAMETRI!$B$9),AND($O279&gt;0,OR($I279="Finito ritenute non previste",$I279="Finito con sblocco ritenute",$I279="Finito senza sblocco ritenute")),AND($BA279&gt;0,$BO279&gt;0,$BP279=0),AND(OR($I279="Finito ritenute non previste",$I279="Finito con sblocco ritenute",$I279="Finito senza sblocco ritenute"),$W279&gt;0,$N279&gt;$W279*PARAMETRI!$B$9),$V279&gt;0),"ATTENZIONE","REGOLARE"))),"ATTENZIONE")</f>
        <v/>
      </c>
      <c r="B279" s="17" t="str">
        <f>IFERROR(IF($C279="","",IF($BF279&gt;0,"FATTURATO OLTRE VALORE RECUPERABILE; ","")&amp;IF($V279&gt;$J279,"PERDITE ACCETTATE OLTRE CONTRATTO; ","")&amp;IF($V279&gt;0,"PERDITA SAL ACCETTATA (€ "&amp;TEXT($V279,"#,##0.00")&amp;"); ","")&amp;IF(AND(ISNUMBER($Q279),$Q279&gt;0),"RITARDO PRODUTTIVO ("&amp;TEXT($Q279,"0")&amp;" GG); ","")&amp;IF(AND($BI279&lt;&gt;"",$BI279&lt;-PARAMETRI!$B$5),"AVANZAMENTO PIÙ LENTO DEL TEMPO; ","")&amp;IF(AND($BM279&lt;&gt;"",$BM279&gt;1),"ORE OLTRE BUDGET; ","")&amp;IF(AND($BM279&lt;&gt;"",$BM279=1),"ORE PREVENTIVATE ESAURITE; ","")&amp;IF(AND($BN279&lt;&gt;"",$BN279&gt;PARAMETRI!$B$7),"CONSUMO ORE SUPERIORE ALL'AVANZAMENTO; ","")&amp;IF(AND(ISNUMBER($BR279),$BR279&gt;0),"COSTI DIRETTI OLTRE BUDGET; ","")&amp;IF(AND($W279&gt;0,$M279&gt;$W279*PARAMETRI!$B$9),"SAL MATURATO NON FATTURATO; ","")&amp;IF(AND($O279&gt;0,OR($I279="Finito ritenute non previste",$I279="Finito con sblocco ritenute",$I279="Finito senza sblocco ritenute")),"RITENUTE DA SBLOCCARE; ","")&amp;IF(AND($BA279&gt;0,$BO279&gt;0,$BP279=0),"COSTI DIRETTI NON REGISTRATI; ","")&amp;IF(AND(OR($I279="Finito ritenute non previste",$I279="Finito con sblocco ritenute",$I279="Finito senza sblocco ritenute"),$W279&gt;0,$N279&gt;$W279*PARAMETRI!$B$9),"CANTIERE FINITO CON RESIDUO LAVORI; ","")&amp;IF(AND(OR($I279="Finito ritenute non previste",$I279="Finito con sblocco ritenute",$I279="Finito senza sblocco ritenute"),ANAGRAFICA!$K276=""),"DATA FINE EFFETTIVA MANCANTE; ","")&amp;IF(OR(AND(ANAGRAFICA!$T276&lt;&gt;"",ANAGRAFICA!$J276&lt;&gt;ANAGRAFICA!$T276,OR(ANAGRAFICA!$R276="",ANAGRAFICA!$R276="Nessuna variazione")),AND(ANAGRAFICA!$J276="",ANAGRAFICA!$R276&lt;&gt;"",ANAGRAFICA!$R276&lt;&gt;"Nessuna variazione")),"GESTIONE DATA FINE INCOMPLETA; ","")&amp;IF($Y279="","AGGIORNATO AL MANCANTE; ","")&amp;IF(OR($AZ279="",$BJ279="",$BO279="",ANAGRAFICA!$I276="",ANAGRAFICA!$J276=""),"DATI PREVISIONALI INCOMPLETI; ","")&amp;IF(LEFT($C279,5)="TEMP","CODICE COMMESSA TEMPORANEO; ","")),"DATI INCOMPLETI; ")</f>
        <v/>
      </c>
      <c r="C279" s="17" t="str">
        <f>IF(ANAGRAFICA!$B276="","",ANAGRAFICA!$B276)</f>
        <v/>
      </c>
      <c r="D279" s="17" t="str">
        <f>IF($C279="","",ANAGRAFICA!$C276)</f>
        <v/>
      </c>
      <c r="E279" s="17" t="str">
        <f>IF($C279="","",ANAGRAFICA!$D276)</f>
        <v/>
      </c>
      <c r="F279" s="17" t="str">
        <f>IF($C279="","",ANAGRAFICA!$E276)</f>
        <v/>
      </c>
      <c r="G279" s="17" t="str">
        <f>IF($C279="","",ANAGRAFICA!$F276)</f>
        <v/>
      </c>
      <c r="H279" s="17" t="str">
        <f>IF($C279="","",ANAGRAFICA!$G276)</f>
        <v/>
      </c>
      <c r="I279" s="17" t="str">
        <f>IF($C279="","",ANAGRAFICA!$L276)</f>
        <v/>
      </c>
      <c r="J279" s="16" t="str">
        <f t="shared" si="97"/>
        <v/>
      </c>
      <c r="K279" s="16" t="str">
        <f t="shared" si="98"/>
        <v/>
      </c>
      <c r="L279" s="16" t="str">
        <f t="shared" si="99"/>
        <v/>
      </c>
      <c r="M279" s="16" t="str">
        <f t="shared" si="100"/>
        <v/>
      </c>
      <c r="N279" s="16" t="str">
        <f t="shared" si="101"/>
        <v/>
      </c>
      <c r="O279" s="16" t="str">
        <f t="shared" si="102"/>
        <v/>
      </c>
      <c r="P279" s="17" t="str">
        <f t="shared" si="103"/>
        <v/>
      </c>
      <c r="Q279" s="31" t="str">
        <f>IF(OR($C279="",'BUDGET COMMESSA'!$D276="",'BUDGET COMMESSA'!$D276&lt;=0,ANAGRAFICA!$J276=""),"",IF(OR($I279="Finito ritenute non previste",$I279="Finito con sblocco ritenute",$I279="Finito senza sblocco ritenute"),0,IF(AND($BK279&gt;=$BJ279,ANAGRAFICA!$R276="Ritardo produttivo FIDA"),IF(ANAGRAFICA!$T276&lt;&gt;"",MAX(0,ANAGRAFICA!$J276-ANAGRAFICA!$T276),MAX(0,$Y279-ANAGRAFICA!$J276)),0)))</f>
        <v/>
      </c>
      <c r="R279" s="17" t="str">
        <f t="shared" si="104"/>
        <v/>
      </c>
      <c r="S279" s="17" t="str">
        <f t="shared" si="105"/>
        <v/>
      </c>
      <c r="T279" s="17" t="str">
        <f t="shared" si="106"/>
        <v/>
      </c>
      <c r="U279" s="16" t="str">
        <f t="shared" si="107"/>
        <v/>
      </c>
      <c r="V279" s="16" t="str">
        <f t="shared" si="108"/>
        <v/>
      </c>
      <c r="W279" s="16" t="str">
        <f t="shared" si="109"/>
        <v/>
      </c>
      <c r="X279" s="40"/>
      <c r="Y279" s="14"/>
      <c r="AZ279" t="str">
        <f>IF($C279="","",ANAGRAFICA!$P276)</f>
        <v/>
      </c>
      <c r="BA279" t="str">
        <f>IF($C279="","",SUMIF('MOVIMENTI 2026'!$B$7:$B$4206,$C279,'MOVIMENTI 2026'!$I$7:$I$4206)+SUMIF('SALDI AL 31.12.2025'!$A$6:$A$505,$C279,'SALDI AL 31.12.2025'!$C$6:$C$505))</f>
        <v/>
      </c>
      <c r="BB279" t="str">
        <f>IF($C279="","",SUMIF('MOVIMENTI 2026'!$B$7:$B$4206,$C279,'MOVIMENTI 2026'!$J$7:$J$4206)+SUMIF('SALDI AL 31.12.2025'!$A$6:$A$505,$C279,'SALDI AL 31.12.2025'!$D$6:$D$505))</f>
        <v/>
      </c>
      <c r="BC279" t="str">
        <f>IF($C279="","",SUMIF('MOVIMENTI 2026'!$B$7:$B$4206,$C279,'MOVIMENTI 2026'!$K$7:$K$4206)+SUMIF('SALDI AL 31.12.2025'!$A$6:$A$505,$C279,'SALDI AL 31.12.2025'!$E$6:$E$505))</f>
        <v/>
      </c>
      <c r="BD279" t="str">
        <f>IF($C279="","",SUMIF('MOVIMENTI 2026'!$B$7:$B$4206,$C279,'MOVIMENTI 2026'!$L$7:$L$4206)+SUMIF('SALDI AL 31.12.2025'!$A$6:$A$505,$C279,'SALDI AL 31.12.2025'!$F$6:$F$505))</f>
        <v/>
      </c>
      <c r="BE279" t="str">
        <f t="shared" si="110"/>
        <v/>
      </c>
      <c r="BF279" t="str">
        <f t="shared" si="111"/>
        <v/>
      </c>
      <c r="BG279" t="str">
        <f t="shared" si="112"/>
        <v/>
      </c>
      <c r="BH279" t="str">
        <f>IFERROR(IF(OR($C279="",ANAGRAFICA!$I276="",ANAGRAFICA!$J276="",ANAGRAFICA!$J276&lt;=ANAGRAFICA!$I276,$Y279=""),"",IF(OR($I279="Finito ritenute non previste",$I279="Finito con sblocco ritenute",$I279="Finito senza sblocco ritenute"),1,MAX(0,MIN(1,($Y279-ANAGRAFICA!$I276)/(ANAGRAFICA!$J276-ANAGRAFICA!$I276))))),"")</f>
        <v/>
      </c>
      <c r="BI279" t="str">
        <f t="shared" si="113"/>
        <v/>
      </c>
      <c r="BJ279" t="str">
        <f>IFERROR(IF($C279="","",'BUDGET COMMESSA'!$D276),"")</f>
        <v/>
      </c>
      <c r="BK279" t="str">
        <f>IF($C279="","",SUMIF('MOVIMENTI 2026'!$B$7:$B$4206,$C279,'MOVIMENTI 2026'!$N$7:$N$4206)+SUMIF('SALDI AL 31.12.2025'!$A$6:$A$505,$C279,'SALDI AL 31.12.2025'!$H$6:$H$505))</f>
        <v/>
      </c>
      <c r="BL279" t="str">
        <f t="shared" si="114"/>
        <v/>
      </c>
      <c r="BM279" t="str">
        <f t="shared" si="115"/>
        <v/>
      </c>
      <c r="BN279" t="str">
        <f t="shared" si="116"/>
        <v/>
      </c>
      <c r="BO279" t="str">
        <f>IFERROR(IF($C279="","",'BUDGET COMMESSA'!$G276),"")</f>
        <v/>
      </c>
      <c r="BP279" t="str">
        <f>IF($C279="","",SUMIF('COSTI DIRETTI'!$C$6:$C$505,$C279,'COSTI DIRETTI'!$H$6:$H$505)+SUMIF('SALDI AL 31.12.2025'!$A$6:$A$505,$C279,'SALDI AL 31.12.2025'!$I$6:$I$505))</f>
        <v/>
      </c>
      <c r="BQ279" t="str">
        <f t="shared" si="117"/>
        <v/>
      </c>
      <c r="BR279" t="str">
        <f t="shared" si="118"/>
        <v/>
      </c>
      <c r="BS279" t="str">
        <f>IF($C279="","",$BK279*PARAMETRI!$B$4+$BP279)</f>
        <v/>
      </c>
      <c r="BT279">
        <f t="shared" si="119"/>
        <v>0</v>
      </c>
      <c r="BU279">
        <f t="shared" si="120"/>
        <v>0</v>
      </c>
      <c r="BV279" t="str">
        <f>IF($C279="","",SUMIF('MOVIMENTI 2026'!$B$7:$B$4206,$C279,'MOVIMENTI 2026'!$P$7:$P$4206)+SUMIF('SALDI AL 31.12.2025'!$A$6:$A$505,$C279,'SALDI AL 31.12.2025'!$G$6:$G$505))</f>
        <v/>
      </c>
    </row>
    <row r="280" spans="1:74" ht="16" x14ac:dyDescent="0.15">
      <c r="A280" s="17" t="str">
        <f>IFERROR(IF($C280="","",IF(OR($BF280&gt;0,$V280&gt;$J280,AND(ISNUMBER($Q280),$Q280&gt;0),AND($BI280&lt;&gt;"",$BI280&lt;-PARAMETRI!$B$6),AND($BM280&lt;&gt;"",$BM280&gt;=1),AND($BN280&lt;&gt;"",$BN280&gt;PARAMETRI!$B$8),AND(ISNUMBER($BR280),$BR280&gt;0)),"CRITICO",IF(OR($AZ280="",LEFT($C280,5)="TEMP",$BJ280="",$BO280="",ANAGRAFICA!$I277="",ANAGRAFICA!$J277="",$Y280="",AND(OR($I280="Finito ritenute non previste",$I280="Finito con sblocco ritenute",$I280="Finito senza sblocco ritenute"),ANAGRAFICA!$K277=""),OR(AND(ANAGRAFICA!$T277&lt;&gt;"",ANAGRAFICA!$J277&lt;&gt;ANAGRAFICA!$T277,OR(ANAGRAFICA!$R277="",ANAGRAFICA!$R277="Nessuna variazione")),AND(ANAGRAFICA!$J277="",ANAGRAFICA!$R277&lt;&gt;"",ANAGRAFICA!$R277&lt;&gt;"Nessuna variazione")),AND($BI280&lt;&gt;"",$BI280&lt;-PARAMETRI!$B$5),AND($BN280&lt;&gt;"",$BN280&gt;PARAMETRI!$B$7),AND($W280&gt;0,$M280&gt;$W280*PARAMETRI!$B$9),AND($O280&gt;0,OR($I280="Finito ritenute non previste",$I280="Finito con sblocco ritenute",$I280="Finito senza sblocco ritenute")),AND($BA280&gt;0,$BO280&gt;0,$BP280=0),AND(OR($I280="Finito ritenute non previste",$I280="Finito con sblocco ritenute",$I280="Finito senza sblocco ritenute"),$W280&gt;0,$N280&gt;$W280*PARAMETRI!$B$9),$V280&gt;0),"ATTENZIONE","REGOLARE"))),"ATTENZIONE")</f>
        <v/>
      </c>
      <c r="B280" s="17" t="str">
        <f>IFERROR(IF($C280="","",IF($BF280&gt;0,"FATTURATO OLTRE VALORE RECUPERABILE; ","")&amp;IF($V280&gt;$J280,"PERDITE ACCETTATE OLTRE CONTRATTO; ","")&amp;IF($V280&gt;0,"PERDITA SAL ACCETTATA (€ "&amp;TEXT($V280,"#,##0.00")&amp;"); ","")&amp;IF(AND(ISNUMBER($Q280),$Q280&gt;0),"RITARDO PRODUTTIVO ("&amp;TEXT($Q280,"0")&amp;" GG); ","")&amp;IF(AND($BI280&lt;&gt;"",$BI280&lt;-PARAMETRI!$B$5),"AVANZAMENTO PIÙ LENTO DEL TEMPO; ","")&amp;IF(AND($BM280&lt;&gt;"",$BM280&gt;1),"ORE OLTRE BUDGET; ","")&amp;IF(AND($BM280&lt;&gt;"",$BM280=1),"ORE PREVENTIVATE ESAURITE; ","")&amp;IF(AND($BN280&lt;&gt;"",$BN280&gt;PARAMETRI!$B$7),"CONSUMO ORE SUPERIORE ALL'AVANZAMENTO; ","")&amp;IF(AND(ISNUMBER($BR280),$BR280&gt;0),"COSTI DIRETTI OLTRE BUDGET; ","")&amp;IF(AND($W280&gt;0,$M280&gt;$W280*PARAMETRI!$B$9),"SAL MATURATO NON FATTURATO; ","")&amp;IF(AND($O280&gt;0,OR($I280="Finito ritenute non previste",$I280="Finito con sblocco ritenute",$I280="Finito senza sblocco ritenute")),"RITENUTE DA SBLOCCARE; ","")&amp;IF(AND($BA280&gt;0,$BO280&gt;0,$BP280=0),"COSTI DIRETTI NON REGISTRATI; ","")&amp;IF(AND(OR($I280="Finito ritenute non previste",$I280="Finito con sblocco ritenute",$I280="Finito senza sblocco ritenute"),$W280&gt;0,$N280&gt;$W280*PARAMETRI!$B$9),"CANTIERE FINITO CON RESIDUO LAVORI; ","")&amp;IF(AND(OR($I280="Finito ritenute non previste",$I280="Finito con sblocco ritenute",$I280="Finito senza sblocco ritenute"),ANAGRAFICA!$K277=""),"DATA FINE EFFETTIVA MANCANTE; ","")&amp;IF(OR(AND(ANAGRAFICA!$T277&lt;&gt;"",ANAGRAFICA!$J277&lt;&gt;ANAGRAFICA!$T277,OR(ANAGRAFICA!$R277="",ANAGRAFICA!$R277="Nessuna variazione")),AND(ANAGRAFICA!$J277="",ANAGRAFICA!$R277&lt;&gt;"",ANAGRAFICA!$R277&lt;&gt;"Nessuna variazione")),"GESTIONE DATA FINE INCOMPLETA; ","")&amp;IF($Y280="","AGGIORNATO AL MANCANTE; ","")&amp;IF(OR($AZ280="",$BJ280="",$BO280="",ANAGRAFICA!$I277="",ANAGRAFICA!$J277=""),"DATI PREVISIONALI INCOMPLETI; ","")&amp;IF(LEFT($C280,5)="TEMP","CODICE COMMESSA TEMPORANEO; ","")),"DATI INCOMPLETI; ")</f>
        <v/>
      </c>
      <c r="C280" s="17" t="str">
        <f>IF(ANAGRAFICA!$B277="","",ANAGRAFICA!$B277)</f>
        <v/>
      </c>
      <c r="D280" s="17" t="str">
        <f>IF($C280="","",ANAGRAFICA!$C277)</f>
        <v/>
      </c>
      <c r="E280" s="17" t="str">
        <f>IF($C280="","",ANAGRAFICA!$D277)</f>
        <v/>
      </c>
      <c r="F280" s="17" t="str">
        <f>IF($C280="","",ANAGRAFICA!$E277)</f>
        <v/>
      </c>
      <c r="G280" s="17" t="str">
        <f>IF($C280="","",ANAGRAFICA!$F277)</f>
        <v/>
      </c>
      <c r="H280" s="17" t="str">
        <f>IF($C280="","",ANAGRAFICA!$G277)</f>
        <v/>
      </c>
      <c r="I280" s="17" t="str">
        <f>IF($C280="","",ANAGRAFICA!$L277)</f>
        <v/>
      </c>
      <c r="J280" s="16" t="str">
        <f t="shared" si="97"/>
        <v/>
      </c>
      <c r="K280" s="16" t="str">
        <f t="shared" si="98"/>
        <v/>
      </c>
      <c r="L280" s="16" t="str">
        <f t="shared" si="99"/>
        <v/>
      </c>
      <c r="M280" s="16" t="str">
        <f t="shared" si="100"/>
        <v/>
      </c>
      <c r="N280" s="16" t="str">
        <f t="shared" si="101"/>
        <v/>
      </c>
      <c r="O280" s="16" t="str">
        <f t="shared" si="102"/>
        <v/>
      </c>
      <c r="P280" s="17" t="str">
        <f t="shared" si="103"/>
        <v/>
      </c>
      <c r="Q280" s="31" t="str">
        <f>IF(OR($C280="",'BUDGET COMMESSA'!$D277="",'BUDGET COMMESSA'!$D277&lt;=0,ANAGRAFICA!$J277=""),"",IF(OR($I280="Finito ritenute non previste",$I280="Finito con sblocco ritenute",$I280="Finito senza sblocco ritenute"),0,IF(AND($BK280&gt;=$BJ280,ANAGRAFICA!$R277="Ritardo produttivo FIDA"),IF(ANAGRAFICA!$T277&lt;&gt;"",MAX(0,ANAGRAFICA!$J277-ANAGRAFICA!$T277),MAX(0,$Y280-ANAGRAFICA!$J277)),0)))</f>
        <v/>
      </c>
      <c r="R280" s="17" t="str">
        <f t="shared" si="104"/>
        <v/>
      </c>
      <c r="S280" s="17" t="str">
        <f t="shared" si="105"/>
        <v/>
      </c>
      <c r="T280" s="17" t="str">
        <f t="shared" si="106"/>
        <v/>
      </c>
      <c r="U280" s="16" t="str">
        <f t="shared" si="107"/>
        <v/>
      </c>
      <c r="V280" s="16" t="str">
        <f t="shared" si="108"/>
        <v/>
      </c>
      <c r="W280" s="16" t="str">
        <f t="shared" si="109"/>
        <v/>
      </c>
      <c r="X280" s="40"/>
      <c r="Y280" s="14"/>
      <c r="AZ280" t="str">
        <f>IF($C280="","",ANAGRAFICA!$P277)</f>
        <v/>
      </c>
      <c r="BA280" t="str">
        <f>IF($C280="","",SUMIF('MOVIMENTI 2026'!$B$7:$B$4206,$C280,'MOVIMENTI 2026'!$I$7:$I$4206)+SUMIF('SALDI AL 31.12.2025'!$A$6:$A$505,$C280,'SALDI AL 31.12.2025'!$C$6:$C$505))</f>
        <v/>
      </c>
      <c r="BB280" t="str">
        <f>IF($C280="","",SUMIF('MOVIMENTI 2026'!$B$7:$B$4206,$C280,'MOVIMENTI 2026'!$J$7:$J$4206)+SUMIF('SALDI AL 31.12.2025'!$A$6:$A$505,$C280,'SALDI AL 31.12.2025'!$D$6:$D$505))</f>
        <v/>
      </c>
      <c r="BC280" t="str">
        <f>IF($C280="","",SUMIF('MOVIMENTI 2026'!$B$7:$B$4206,$C280,'MOVIMENTI 2026'!$K$7:$K$4206)+SUMIF('SALDI AL 31.12.2025'!$A$6:$A$505,$C280,'SALDI AL 31.12.2025'!$E$6:$E$505))</f>
        <v/>
      </c>
      <c r="BD280" t="str">
        <f>IF($C280="","",SUMIF('MOVIMENTI 2026'!$B$7:$B$4206,$C280,'MOVIMENTI 2026'!$L$7:$L$4206)+SUMIF('SALDI AL 31.12.2025'!$A$6:$A$505,$C280,'SALDI AL 31.12.2025'!$F$6:$F$505))</f>
        <v/>
      </c>
      <c r="BE280" t="str">
        <f t="shared" si="110"/>
        <v/>
      </c>
      <c r="BF280" t="str">
        <f t="shared" si="111"/>
        <v/>
      </c>
      <c r="BG280" t="str">
        <f t="shared" si="112"/>
        <v/>
      </c>
      <c r="BH280" t="str">
        <f>IFERROR(IF(OR($C280="",ANAGRAFICA!$I277="",ANAGRAFICA!$J277="",ANAGRAFICA!$J277&lt;=ANAGRAFICA!$I277,$Y280=""),"",IF(OR($I280="Finito ritenute non previste",$I280="Finito con sblocco ritenute",$I280="Finito senza sblocco ritenute"),1,MAX(0,MIN(1,($Y280-ANAGRAFICA!$I277)/(ANAGRAFICA!$J277-ANAGRAFICA!$I277))))),"")</f>
        <v/>
      </c>
      <c r="BI280" t="str">
        <f t="shared" si="113"/>
        <v/>
      </c>
      <c r="BJ280" t="str">
        <f>IFERROR(IF($C280="","",'BUDGET COMMESSA'!$D277),"")</f>
        <v/>
      </c>
      <c r="BK280" t="str">
        <f>IF($C280="","",SUMIF('MOVIMENTI 2026'!$B$7:$B$4206,$C280,'MOVIMENTI 2026'!$N$7:$N$4206)+SUMIF('SALDI AL 31.12.2025'!$A$6:$A$505,$C280,'SALDI AL 31.12.2025'!$H$6:$H$505))</f>
        <v/>
      </c>
      <c r="BL280" t="str">
        <f t="shared" si="114"/>
        <v/>
      </c>
      <c r="BM280" t="str">
        <f t="shared" si="115"/>
        <v/>
      </c>
      <c r="BN280" t="str">
        <f t="shared" si="116"/>
        <v/>
      </c>
      <c r="BO280" t="str">
        <f>IFERROR(IF($C280="","",'BUDGET COMMESSA'!$G277),"")</f>
        <v/>
      </c>
      <c r="BP280" t="str">
        <f>IF($C280="","",SUMIF('COSTI DIRETTI'!$C$6:$C$505,$C280,'COSTI DIRETTI'!$H$6:$H$505)+SUMIF('SALDI AL 31.12.2025'!$A$6:$A$505,$C280,'SALDI AL 31.12.2025'!$I$6:$I$505))</f>
        <v/>
      </c>
      <c r="BQ280" t="str">
        <f t="shared" si="117"/>
        <v/>
      </c>
      <c r="BR280" t="str">
        <f t="shared" si="118"/>
        <v/>
      </c>
      <c r="BS280" t="str">
        <f>IF($C280="","",$BK280*PARAMETRI!$B$4+$BP280)</f>
        <v/>
      </c>
      <c r="BT280">
        <f t="shared" si="119"/>
        <v>0</v>
      </c>
      <c r="BU280">
        <f t="shared" si="120"/>
        <v>0</v>
      </c>
      <c r="BV280" t="str">
        <f>IF($C280="","",SUMIF('MOVIMENTI 2026'!$B$7:$B$4206,$C280,'MOVIMENTI 2026'!$P$7:$P$4206)+SUMIF('SALDI AL 31.12.2025'!$A$6:$A$505,$C280,'SALDI AL 31.12.2025'!$G$6:$G$505))</f>
        <v/>
      </c>
    </row>
    <row r="281" spans="1:74" ht="16" x14ac:dyDescent="0.15">
      <c r="A281" s="17" t="str">
        <f>IFERROR(IF($C281="","",IF(OR($BF281&gt;0,$V281&gt;$J281,AND(ISNUMBER($Q281),$Q281&gt;0),AND($BI281&lt;&gt;"",$BI281&lt;-PARAMETRI!$B$6),AND($BM281&lt;&gt;"",$BM281&gt;=1),AND($BN281&lt;&gt;"",$BN281&gt;PARAMETRI!$B$8),AND(ISNUMBER($BR281),$BR281&gt;0)),"CRITICO",IF(OR($AZ281="",LEFT($C281,5)="TEMP",$BJ281="",$BO281="",ANAGRAFICA!$I278="",ANAGRAFICA!$J278="",$Y281="",AND(OR($I281="Finito ritenute non previste",$I281="Finito con sblocco ritenute",$I281="Finito senza sblocco ritenute"),ANAGRAFICA!$K278=""),OR(AND(ANAGRAFICA!$T278&lt;&gt;"",ANAGRAFICA!$J278&lt;&gt;ANAGRAFICA!$T278,OR(ANAGRAFICA!$R278="",ANAGRAFICA!$R278="Nessuna variazione")),AND(ANAGRAFICA!$J278="",ANAGRAFICA!$R278&lt;&gt;"",ANAGRAFICA!$R278&lt;&gt;"Nessuna variazione")),AND($BI281&lt;&gt;"",$BI281&lt;-PARAMETRI!$B$5),AND($BN281&lt;&gt;"",$BN281&gt;PARAMETRI!$B$7),AND($W281&gt;0,$M281&gt;$W281*PARAMETRI!$B$9),AND($O281&gt;0,OR($I281="Finito ritenute non previste",$I281="Finito con sblocco ritenute",$I281="Finito senza sblocco ritenute")),AND($BA281&gt;0,$BO281&gt;0,$BP281=0),AND(OR($I281="Finito ritenute non previste",$I281="Finito con sblocco ritenute",$I281="Finito senza sblocco ritenute"),$W281&gt;0,$N281&gt;$W281*PARAMETRI!$B$9),$V281&gt;0),"ATTENZIONE","REGOLARE"))),"ATTENZIONE")</f>
        <v/>
      </c>
      <c r="B281" s="17" t="str">
        <f>IFERROR(IF($C281="","",IF($BF281&gt;0,"FATTURATO OLTRE VALORE RECUPERABILE; ","")&amp;IF($V281&gt;$J281,"PERDITE ACCETTATE OLTRE CONTRATTO; ","")&amp;IF($V281&gt;0,"PERDITA SAL ACCETTATA (€ "&amp;TEXT($V281,"#,##0.00")&amp;"); ","")&amp;IF(AND(ISNUMBER($Q281),$Q281&gt;0),"RITARDO PRODUTTIVO ("&amp;TEXT($Q281,"0")&amp;" GG); ","")&amp;IF(AND($BI281&lt;&gt;"",$BI281&lt;-PARAMETRI!$B$5),"AVANZAMENTO PIÙ LENTO DEL TEMPO; ","")&amp;IF(AND($BM281&lt;&gt;"",$BM281&gt;1),"ORE OLTRE BUDGET; ","")&amp;IF(AND($BM281&lt;&gt;"",$BM281=1),"ORE PREVENTIVATE ESAURITE; ","")&amp;IF(AND($BN281&lt;&gt;"",$BN281&gt;PARAMETRI!$B$7),"CONSUMO ORE SUPERIORE ALL'AVANZAMENTO; ","")&amp;IF(AND(ISNUMBER($BR281),$BR281&gt;0),"COSTI DIRETTI OLTRE BUDGET; ","")&amp;IF(AND($W281&gt;0,$M281&gt;$W281*PARAMETRI!$B$9),"SAL MATURATO NON FATTURATO; ","")&amp;IF(AND($O281&gt;0,OR($I281="Finito ritenute non previste",$I281="Finito con sblocco ritenute",$I281="Finito senza sblocco ritenute")),"RITENUTE DA SBLOCCARE; ","")&amp;IF(AND($BA281&gt;0,$BO281&gt;0,$BP281=0),"COSTI DIRETTI NON REGISTRATI; ","")&amp;IF(AND(OR($I281="Finito ritenute non previste",$I281="Finito con sblocco ritenute",$I281="Finito senza sblocco ritenute"),$W281&gt;0,$N281&gt;$W281*PARAMETRI!$B$9),"CANTIERE FINITO CON RESIDUO LAVORI; ","")&amp;IF(AND(OR($I281="Finito ritenute non previste",$I281="Finito con sblocco ritenute",$I281="Finito senza sblocco ritenute"),ANAGRAFICA!$K278=""),"DATA FINE EFFETTIVA MANCANTE; ","")&amp;IF(OR(AND(ANAGRAFICA!$T278&lt;&gt;"",ANAGRAFICA!$J278&lt;&gt;ANAGRAFICA!$T278,OR(ANAGRAFICA!$R278="",ANAGRAFICA!$R278="Nessuna variazione")),AND(ANAGRAFICA!$J278="",ANAGRAFICA!$R278&lt;&gt;"",ANAGRAFICA!$R278&lt;&gt;"Nessuna variazione")),"GESTIONE DATA FINE INCOMPLETA; ","")&amp;IF($Y281="","AGGIORNATO AL MANCANTE; ","")&amp;IF(OR($AZ281="",$BJ281="",$BO281="",ANAGRAFICA!$I278="",ANAGRAFICA!$J278=""),"DATI PREVISIONALI INCOMPLETI; ","")&amp;IF(LEFT($C281,5)="TEMP","CODICE COMMESSA TEMPORANEO; ","")),"DATI INCOMPLETI; ")</f>
        <v/>
      </c>
      <c r="C281" s="17" t="str">
        <f>IF(ANAGRAFICA!$B278="","",ANAGRAFICA!$B278)</f>
        <v/>
      </c>
      <c r="D281" s="17" t="str">
        <f>IF($C281="","",ANAGRAFICA!$C278)</f>
        <v/>
      </c>
      <c r="E281" s="17" t="str">
        <f>IF($C281="","",ANAGRAFICA!$D278)</f>
        <v/>
      </c>
      <c r="F281" s="17" t="str">
        <f>IF($C281="","",ANAGRAFICA!$E278)</f>
        <v/>
      </c>
      <c r="G281" s="17" t="str">
        <f>IF($C281="","",ANAGRAFICA!$F278)</f>
        <v/>
      </c>
      <c r="H281" s="17" t="str">
        <f>IF($C281="","",ANAGRAFICA!$G278)</f>
        <v/>
      </c>
      <c r="I281" s="17" t="str">
        <f>IF($C281="","",ANAGRAFICA!$L278)</f>
        <v/>
      </c>
      <c r="J281" s="16" t="str">
        <f t="shared" si="97"/>
        <v/>
      </c>
      <c r="K281" s="16" t="str">
        <f t="shared" si="98"/>
        <v/>
      </c>
      <c r="L281" s="16" t="str">
        <f t="shared" si="99"/>
        <v/>
      </c>
      <c r="M281" s="16" t="str">
        <f t="shared" si="100"/>
        <v/>
      </c>
      <c r="N281" s="16" t="str">
        <f t="shared" si="101"/>
        <v/>
      </c>
      <c r="O281" s="16" t="str">
        <f t="shared" si="102"/>
        <v/>
      </c>
      <c r="P281" s="17" t="str">
        <f t="shared" si="103"/>
        <v/>
      </c>
      <c r="Q281" s="31" t="str">
        <f>IF(OR($C281="",'BUDGET COMMESSA'!$D278="",'BUDGET COMMESSA'!$D278&lt;=0,ANAGRAFICA!$J278=""),"",IF(OR($I281="Finito ritenute non previste",$I281="Finito con sblocco ritenute",$I281="Finito senza sblocco ritenute"),0,IF(AND($BK281&gt;=$BJ281,ANAGRAFICA!$R278="Ritardo produttivo FIDA"),IF(ANAGRAFICA!$T278&lt;&gt;"",MAX(0,ANAGRAFICA!$J278-ANAGRAFICA!$T278),MAX(0,$Y281-ANAGRAFICA!$J278)),0)))</f>
        <v/>
      </c>
      <c r="R281" s="17" t="str">
        <f t="shared" si="104"/>
        <v/>
      </c>
      <c r="S281" s="17" t="str">
        <f t="shared" si="105"/>
        <v/>
      </c>
      <c r="T281" s="17" t="str">
        <f t="shared" si="106"/>
        <v/>
      </c>
      <c r="U281" s="16" t="str">
        <f t="shared" si="107"/>
        <v/>
      </c>
      <c r="V281" s="16" t="str">
        <f t="shared" si="108"/>
        <v/>
      </c>
      <c r="W281" s="16" t="str">
        <f t="shared" si="109"/>
        <v/>
      </c>
      <c r="X281" s="40"/>
      <c r="Y281" s="14"/>
      <c r="AZ281" t="str">
        <f>IF($C281="","",ANAGRAFICA!$P278)</f>
        <v/>
      </c>
      <c r="BA281" t="str">
        <f>IF($C281="","",SUMIF('MOVIMENTI 2026'!$B$7:$B$4206,$C281,'MOVIMENTI 2026'!$I$7:$I$4206)+SUMIF('SALDI AL 31.12.2025'!$A$6:$A$505,$C281,'SALDI AL 31.12.2025'!$C$6:$C$505))</f>
        <v/>
      </c>
      <c r="BB281" t="str">
        <f>IF($C281="","",SUMIF('MOVIMENTI 2026'!$B$7:$B$4206,$C281,'MOVIMENTI 2026'!$J$7:$J$4206)+SUMIF('SALDI AL 31.12.2025'!$A$6:$A$505,$C281,'SALDI AL 31.12.2025'!$D$6:$D$505))</f>
        <v/>
      </c>
      <c r="BC281" t="str">
        <f>IF($C281="","",SUMIF('MOVIMENTI 2026'!$B$7:$B$4206,$C281,'MOVIMENTI 2026'!$K$7:$K$4206)+SUMIF('SALDI AL 31.12.2025'!$A$6:$A$505,$C281,'SALDI AL 31.12.2025'!$E$6:$E$505))</f>
        <v/>
      </c>
      <c r="BD281" t="str">
        <f>IF($C281="","",SUMIF('MOVIMENTI 2026'!$B$7:$B$4206,$C281,'MOVIMENTI 2026'!$L$7:$L$4206)+SUMIF('SALDI AL 31.12.2025'!$A$6:$A$505,$C281,'SALDI AL 31.12.2025'!$F$6:$F$505))</f>
        <v/>
      </c>
      <c r="BE281" t="str">
        <f t="shared" si="110"/>
        <v/>
      </c>
      <c r="BF281" t="str">
        <f t="shared" si="111"/>
        <v/>
      </c>
      <c r="BG281" t="str">
        <f t="shared" si="112"/>
        <v/>
      </c>
      <c r="BH281" t="str">
        <f>IFERROR(IF(OR($C281="",ANAGRAFICA!$I278="",ANAGRAFICA!$J278="",ANAGRAFICA!$J278&lt;=ANAGRAFICA!$I278,$Y281=""),"",IF(OR($I281="Finito ritenute non previste",$I281="Finito con sblocco ritenute",$I281="Finito senza sblocco ritenute"),1,MAX(0,MIN(1,($Y281-ANAGRAFICA!$I278)/(ANAGRAFICA!$J278-ANAGRAFICA!$I278))))),"")</f>
        <v/>
      </c>
      <c r="BI281" t="str">
        <f t="shared" si="113"/>
        <v/>
      </c>
      <c r="BJ281" t="str">
        <f>IFERROR(IF($C281="","",'BUDGET COMMESSA'!$D278),"")</f>
        <v/>
      </c>
      <c r="BK281" t="str">
        <f>IF($C281="","",SUMIF('MOVIMENTI 2026'!$B$7:$B$4206,$C281,'MOVIMENTI 2026'!$N$7:$N$4206)+SUMIF('SALDI AL 31.12.2025'!$A$6:$A$505,$C281,'SALDI AL 31.12.2025'!$H$6:$H$505))</f>
        <v/>
      </c>
      <c r="BL281" t="str">
        <f t="shared" si="114"/>
        <v/>
      </c>
      <c r="BM281" t="str">
        <f t="shared" si="115"/>
        <v/>
      </c>
      <c r="BN281" t="str">
        <f t="shared" si="116"/>
        <v/>
      </c>
      <c r="BO281" t="str">
        <f>IFERROR(IF($C281="","",'BUDGET COMMESSA'!$G278),"")</f>
        <v/>
      </c>
      <c r="BP281" t="str">
        <f>IF($C281="","",SUMIF('COSTI DIRETTI'!$C$6:$C$505,$C281,'COSTI DIRETTI'!$H$6:$H$505)+SUMIF('SALDI AL 31.12.2025'!$A$6:$A$505,$C281,'SALDI AL 31.12.2025'!$I$6:$I$505))</f>
        <v/>
      </c>
      <c r="BQ281" t="str">
        <f t="shared" si="117"/>
        <v/>
      </c>
      <c r="BR281" t="str">
        <f t="shared" si="118"/>
        <v/>
      </c>
      <c r="BS281" t="str">
        <f>IF($C281="","",$BK281*PARAMETRI!$B$4+$BP281)</f>
        <v/>
      </c>
      <c r="BT281">
        <f t="shared" si="119"/>
        <v>0</v>
      </c>
      <c r="BU281">
        <f t="shared" si="120"/>
        <v>0</v>
      </c>
      <c r="BV281" t="str">
        <f>IF($C281="","",SUMIF('MOVIMENTI 2026'!$B$7:$B$4206,$C281,'MOVIMENTI 2026'!$P$7:$P$4206)+SUMIF('SALDI AL 31.12.2025'!$A$6:$A$505,$C281,'SALDI AL 31.12.2025'!$G$6:$G$505))</f>
        <v/>
      </c>
    </row>
    <row r="282" spans="1:74" ht="16" x14ac:dyDescent="0.15">
      <c r="A282" s="17" t="str">
        <f>IFERROR(IF($C282="","",IF(OR($BF282&gt;0,$V282&gt;$J282,AND(ISNUMBER($Q282),$Q282&gt;0),AND($BI282&lt;&gt;"",$BI282&lt;-PARAMETRI!$B$6),AND($BM282&lt;&gt;"",$BM282&gt;=1),AND($BN282&lt;&gt;"",$BN282&gt;PARAMETRI!$B$8),AND(ISNUMBER($BR282),$BR282&gt;0)),"CRITICO",IF(OR($AZ282="",LEFT($C282,5)="TEMP",$BJ282="",$BO282="",ANAGRAFICA!$I279="",ANAGRAFICA!$J279="",$Y282="",AND(OR($I282="Finito ritenute non previste",$I282="Finito con sblocco ritenute",$I282="Finito senza sblocco ritenute"),ANAGRAFICA!$K279=""),OR(AND(ANAGRAFICA!$T279&lt;&gt;"",ANAGRAFICA!$J279&lt;&gt;ANAGRAFICA!$T279,OR(ANAGRAFICA!$R279="",ANAGRAFICA!$R279="Nessuna variazione")),AND(ANAGRAFICA!$J279="",ANAGRAFICA!$R279&lt;&gt;"",ANAGRAFICA!$R279&lt;&gt;"Nessuna variazione")),AND($BI282&lt;&gt;"",$BI282&lt;-PARAMETRI!$B$5),AND($BN282&lt;&gt;"",$BN282&gt;PARAMETRI!$B$7),AND($W282&gt;0,$M282&gt;$W282*PARAMETRI!$B$9),AND($O282&gt;0,OR($I282="Finito ritenute non previste",$I282="Finito con sblocco ritenute",$I282="Finito senza sblocco ritenute")),AND($BA282&gt;0,$BO282&gt;0,$BP282=0),AND(OR($I282="Finito ritenute non previste",$I282="Finito con sblocco ritenute",$I282="Finito senza sblocco ritenute"),$W282&gt;0,$N282&gt;$W282*PARAMETRI!$B$9),$V282&gt;0),"ATTENZIONE","REGOLARE"))),"ATTENZIONE")</f>
        <v/>
      </c>
      <c r="B282" s="17" t="str">
        <f>IFERROR(IF($C282="","",IF($BF282&gt;0,"FATTURATO OLTRE VALORE RECUPERABILE; ","")&amp;IF($V282&gt;$J282,"PERDITE ACCETTATE OLTRE CONTRATTO; ","")&amp;IF($V282&gt;0,"PERDITA SAL ACCETTATA (€ "&amp;TEXT($V282,"#,##0.00")&amp;"); ","")&amp;IF(AND(ISNUMBER($Q282),$Q282&gt;0),"RITARDO PRODUTTIVO ("&amp;TEXT($Q282,"0")&amp;" GG); ","")&amp;IF(AND($BI282&lt;&gt;"",$BI282&lt;-PARAMETRI!$B$5),"AVANZAMENTO PIÙ LENTO DEL TEMPO; ","")&amp;IF(AND($BM282&lt;&gt;"",$BM282&gt;1),"ORE OLTRE BUDGET; ","")&amp;IF(AND($BM282&lt;&gt;"",$BM282=1),"ORE PREVENTIVATE ESAURITE; ","")&amp;IF(AND($BN282&lt;&gt;"",$BN282&gt;PARAMETRI!$B$7),"CONSUMO ORE SUPERIORE ALL'AVANZAMENTO; ","")&amp;IF(AND(ISNUMBER($BR282),$BR282&gt;0),"COSTI DIRETTI OLTRE BUDGET; ","")&amp;IF(AND($W282&gt;0,$M282&gt;$W282*PARAMETRI!$B$9),"SAL MATURATO NON FATTURATO; ","")&amp;IF(AND($O282&gt;0,OR($I282="Finito ritenute non previste",$I282="Finito con sblocco ritenute",$I282="Finito senza sblocco ritenute")),"RITENUTE DA SBLOCCARE; ","")&amp;IF(AND($BA282&gt;0,$BO282&gt;0,$BP282=0),"COSTI DIRETTI NON REGISTRATI; ","")&amp;IF(AND(OR($I282="Finito ritenute non previste",$I282="Finito con sblocco ritenute",$I282="Finito senza sblocco ritenute"),$W282&gt;0,$N282&gt;$W282*PARAMETRI!$B$9),"CANTIERE FINITO CON RESIDUO LAVORI; ","")&amp;IF(AND(OR($I282="Finito ritenute non previste",$I282="Finito con sblocco ritenute",$I282="Finito senza sblocco ritenute"),ANAGRAFICA!$K279=""),"DATA FINE EFFETTIVA MANCANTE; ","")&amp;IF(OR(AND(ANAGRAFICA!$T279&lt;&gt;"",ANAGRAFICA!$J279&lt;&gt;ANAGRAFICA!$T279,OR(ANAGRAFICA!$R279="",ANAGRAFICA!$R279="Nessuna variazione")),AND(ANAGRAFICA!$J279="",ANAGRAFICA!$R279&lt;&gt;"",ANAGRAFICA!$R279&lt;&gt;"Nessuna variazione")),"GESTIONE DATA FINE INCOMPLETA; ","")&amp;IF($Y282="","AGGIORNATO AL MANCANTE; ","")&amp;IF(OR($AZ282="",$BJ282="",$BO282="",ANAGRAFICA!$I279="",ANAGRAFICA!$J279=""),"DATI PREVISIONALI INCOMPLETI; ","")&amp;IF(LEFT($C282,5)="TEMP","CODICE COMMESSA TEMPORANEO; ","")),"DATI INCOMPLETI; ")</f>
        <v/>
      </c>
      <c r="C282" s="17" t="str">
        <f>IF(ANAGRAFICA!$B279="","",ANAGRAFICA!$B279)</f>
        <v/>
      </c>
      <c r="D282" s="17" t="str">
        <f>IF($C282="","",ANAGRAFICA!$C279)</f>
        <v/>
      </c>
      <c r="E282" s="17" t="str">
        <f>IF($C282="","",ANAGRAFICA!$D279)</f>
        <v/>
      </c>
      <c r="F282" s="17" t="str">
        <f>IF($C282="","",ANAGRAFICA!$E279)</f>
        <v/>
      </c>
      <c r="G282" s="17" t="str">
        <f>IF($C282="","",ANAGRAFICA!$F279)</f>
        <v/>
      </c>
      <c r="H282" s="17" t="str">
        <f>IF($C282="","",ANAGRAFICA!$G279)</f>
        <v/>
      </c>
      <c r="I282" s="17" t="str">
        <f>IF($C282="","",ANAGRAFICA!$L279)</f>
        <v/>
      </c>
      <c r="J282" s="16" t="str">
        <f t="shared" si="97"/>
        <v/>
      </c>
      <c r="K282" s="16" t="str">
        <f t="shared" si="98"/>
        <v/>
      </c>
      <c r="L282" s="16" t="str">
        <f t="shared" si="99"/>
        <v/>
      </c>
      <c r="M282" s="16" t="str">
        <f t="shared" si="100"/>
        <v/>
      </c>
      <c r="N282" s="16" t="str">
        <f t="shared" si="101"/>
        <v/>
      </c>
      <c r="O282" s="16" t="str">
        <f t="shared" si="102"/>
        <v/>
      </c>
      <c r="P282" s="17" t="str">
        <f t="shared" si="103"/>
        <v/>
      </c>
      <c r="Q282" s="31" t="str">
        <f>IF(OR($C282="",'BUDGET COMMESSA'!$D279="",'BUDGET COMMESSA'!$D279&lt;=0,ANAGRAFICA!$J279=""),"",IF(OR($I282="Finito ritenute non previste",$I282="Finito con sblocco ritenute",$I282="Finito senza sblocco ritenute"),0,IF(AND($BK282&gt;=$BJ282,ANAGRAFICA!$R279="Ritardo produttivo FIDA"),IF(ANAGRAFICA!$T279&lt;&gt;"",MAX(0,ANAGRAFICA!$J279-ANAGRAFICA!$T279),MAX(0,$Y282-ANAGRAFICA!$J279)),0)))</f>
        <v/>
      </c>
      <c r="R282" s="17" t="str">
        <f t="shared" si="104"/>
        <v/>
      </c>
      <c r="S282" s="17" t="str">
        <f t="shared" si="105"/>
        <v/>
      </c>
      <c r="T282" s="17" t="str">
        <f t="shared" si="106"/>
        <v/>
      </c>
      <c r="U282" s="16" t="str">
        <f t="shared" si="107"/>
        <v/>
      </c>
      <c r="V282" s="16" t="str">
        <f t="shared" si="108"/>
        <v/>
      </c>
      <c r="W282" s="16" t="str">
        <f t="shared" si="109"/>
        <v/>
      </c>
      <c r="X282" s="40"/>
      <c r="Y282" s="14"/>
      <c r="AZ282" t="str">
        <f>IF($C282="","",ANAGRAFICA!$P279)</f>
        <v/>
      </c>
      <c r="BA282" t="str">
        <f>IF($C282="","",SUMIF('MOVIMENTI 2026'!$B$7:$B$4206,$C282,'MOVIMENTI 2026'!$I$7:$I$4206)+SUMIF('SALDI AL 31.12.2025'!$A$6:$A$505,$C282,'SALDI AL 31.12.2025'!$C$6:$C$505))</f>
        <v/>
      </c>
      <c r="BB282" t="str">
        <f>IF($C282="","",SUMIF('MOVIMENTI 2026'!$B$7:$B$4206,$C282,'MOVIMENTI 2026'!$J$7:$J$4206)+SUMIF('SALDI AL 31.12.2025'!$A$6:$A$505,$C282,'SALDI AL 31.12.2025'!$D$6:$D$505))</f>
        <v/>
      </c>
      <c r="BC282" t="str">
        <f>IF($C282="","",SUMIF('MOVIMENTI 2026'!$B$7:$B$4206,$C282,'MOVIMENTI 2026'!$K$7:$K$4206)+SUMIF('SALDI AL 31.12.2025'!$A$6:$A$505,$C282,'SALDI AL 31.12.2025'!$E$6:$E$505))</f>
        <v/>
      </c>
      <c r="BD282" t="str">
        <f>IF($C282="","",SUMIF('MOVIMENTI 2026'!$B$7:$B$4206,$C282,'MOVIMENTI 2026'!$L$7:$L$4206)+SUMIF('SALDI AL 31.12.2025'!$A$6:$A$505,$C282,'SALDI AL 31.12.2025'!$F$6:$F$505))</f>
        <v/>
      </c>
      <c r="BE282" t="str">
        <f t="shared" si="110"/>
        <v/>
      </c>
      <c r="BF282" t="str">
        <f t="shared" si="111"/>
        <v/>
      </c>
      <c r="BG282" t="str">
        <f t="shared" si="112"/>
        <v/>
      </c>
      <c r="BH282" t="str">
        <f>IFERROR(IF(OR($C282="",ANAGRAFICA!$I279="",ANAGRAFICA!$J279="",ANAGRAFICA!$J279&lt;=ANAGRAFICA!$I279,$Y282=""),"",IF(OR($I282="Finito ritenute non previste",$I282="Finito con sblocco ritenute",$I282="Finito senza sblocco ritenute"),1,MAX(0,MIN(1,($Y282-ANAGRAFICA!$I279)/(ANAGRAFICA!$J279-ANAGRAFICA!$I279))))),"")</f>
        <v/>
      </c>
      <c r="BI282" t="str">
        <f t="shared" si="113"/>
        <v/>
      </c>
      <c r="BJ282" t="str">
        <f>IFERROR(IF($C282="","",'BUDGET COMMESSA'!$D279),"")</f>
        <v/>
      </c>
      <c r="BK282" t="str">
        <f>IF($C282="","",SUMIF('MOVIMENTI 2026'!$B$7:$B$4206,$C282,'MOVIMENTI 2026'!$N$7:$N$4206)+SUMIF('SALDI AL 31.12.2025'!$A$6:$A$505,$C282,'SALDI AL 31.12.2025'!$H$6:$H$505))</f>
        <v/>
      </c>
      <c r="BL282" t="str">
        <f t="shared" si="114"/>
        <v/>
      </c>
      <c r="BM282" t="str">
        <f t="shared" si="115"/>
        <v/>
      </c>
      <c r="BN282" t="str">
        <f t="shared" si="116"/>
        <v/>
      </c>
      <c r="BO282" t="str">
        <f>IFERROR(IF($C282="","",'BUDGET COMMESSA'!$G279),"")</f>
        <v/>
      </c>
      <c r="BP282" t="str">
        <f>IF($C282="","",SUMIF('COSTI DIRETTI'!$C$6:$C$505,$C282,'COSTI DIRETTI'!$H$6:$H$505)+SUMIF('SALDI AL 31.12.2025'!$A$6:$A$505,$C282,'SALDI AL 31.12.2025'!$I$6:$I$505))</f>
        <v/>
      </c>
      <c r="BQ282" t="str">
        <f t="shared" si="117"/>
        <v/>
      </c>
      <c r="BR282" t="str">
        <f t="shared" si="118"/>
        <v/>
      </c>
      <c r="BS282" t="str">
        <f>IF($C282="","",$BK282*PARAMETRI!$B$4+$BP282)</f>
        <v/>
      </c>
      <c r="BT282">
        <f t="shared" si="119"/>
        <v>0</v>
      </c>
      <c r="BU282">
        <f t="shared" si="120"/>
        <v>0</v>
      </c>
      <c r="BV282" t="str">
        <f>IF($C282="","",SUMIF('MOVIMENTI 2026'!$B$7:$B$4206,$C282,'MOVIMENTI 2026'!$P$7:$P$4206)+SUMIF('SALDI AL 31.12.2025'!$A$6:$A$505,$C282,'SALDI AL 31.12.2025'!$G$6:$G$505))</f>
        <v/>
      </c>
    </row>
    <row r="283" spans="1:74" ht="16" x14ac:dyDescent="0.15">
      <c r="A283" s="17" t="str">
        <f>IFERROR(IF($C283="","",IF(OR($BF283&gt;0,$V283&gt;$J283,AND(ISNUMBER($Q283),$Q283&gt;0),AND($BI283&lt;&gt;"",$BI283&lt;-PARAMETRI!$B$6),AND($BM283&lt;&gt;"",$BM283&gt;=1),AND($BN283&lt;&gt;"",$BN283&gt;PARAMETRI!$B$8),AND(ISNUMBER($BR283),$BR283&gt;0)),"CRITICO",IF(OR($AZ283="",LEFT($C283,5)="TEMP",$BJ283="",$BO283="",ANAGRAFICA!$I280="",ANAGRAFICA!$J280="",$Y283="",AND(OR($I283="Finito ritenute non previste",$I283="Finito con sblocco ritenute",$I283="Finito senza sblocco ritenute"),ANAGRAFICA!$K280=""),OR(AND(ANAGRAFICA!$T280&lt;&gt;"",ANAGRAFICA!$J280&lt;&gt;ANAGRAFICA!$T280,OR(ANAGRAFICA!$R280="",ANAGRAFICA!$R280="Nessuna variazione")),AND(ANAGRAFICA!$J280="",ANAGRAFICA!$R280&lt;&gt;"",ANAGRAFICA!$R280&lt;&gt;"Nessuna variazione")),AND($BI283&lt;&gt;"",$BI283&lt;-PARAMETRI!$B$5),AND($BN283&lt;&gt;"",$BN283&gt;PARAMETRI!$B$7),AND($W283&gt;0,$M283&gt;$W283*PARAMETRI!$B$9),AND($O283&gt;0,OR($I283="Finito ritenute non previste",$I283="Finito con sblocco ritenute",$I283="Finito senza sblocco ritenute")),AND($BA283&gt;0,$BO283&gt;0,$BP283=0),AND(OR($I283="Finito ritenute non previste",$I283="Finito con sblocco ritenute",$I283="Finito senza sblocco ritenute"),$W283&gt;0,$N283&gt;$W283*PARAMETRI!$B$9),$V283&gt;0),"ATTENZIONE","REGOLARE"))),"ATTENZIONE")</f>
        <v/>
      </c>
      <c r="B283" s="17" t="str">
        <f>IFERROR(IF($C283="","",IF($BF283&gt;0,"FATTURATO OLTRE VALORE RECUPERABILE; ","")&amp;IF($V283&gt;$J283,"PERDITE ACCETTATE OLTRE CONTRATTO; ","")&amp;IF($V283&gt;0,"PERDITA SAL ACCETTATA (€ "&amp;TEXT($V283,"#,##0.00")&amp;"); ","")&amp;IF(AND(ISNUMBER($Q283),$Q283&gt;0),"RITARDO PRODUTTIVO ("&amp;TEXT($Q283,"0")&amp;" GG); ","")&amp;IF(AND($BI283&lt;&gt;"",$BI283&lt;-PARAMETRI!$B$5),"AVANZAMENTO PIÙ LENTO DEL TEMPO; ","")&amp;IF(AND($BM283&lt;&gt;"",$BM283&gt;1),"ORE OLTRE BUDGET; ","")&amp;IF(AND($BM283&lt;&gt;"",$BM283=1),"ORE PREVENTIVATE ESAURITE; ","")&amp;IF(AND($BN283&lt;&gt;"",$BN283&gt;PARAMETRI!$B$7),"CONSUMO ORE SUPERIORE ALL'AVANZAMENTO; ","")&amp;IF(AND(ISNUMBER($BR283),$BR283&gt;0),"COSTI DIRETTI OLTRE BUDGET; ","")&amp;IF(AND($W283&gt;0,$M283&gt;$W283*PARAMETRI!$B$9),"SAL MATURATO NON FATTURATO; ","")&amp;IF(AND($O283&gt;0,OR($I283="Finito ritenute non previste",$I283="Finito con sblocco ritenute",$I283="Finito senza sblocco ritenute")),"RITENUTE DA SBLOCCARE; ","")&amp;IF(AND($BA283&gt;0,$BO283&gt;0,$BP283=0),"COSTI DIRETTI NON REGISTRATI; ","")&amp;IF(AND(OR($I283="Finito ritenute non previste",$I283="Finito con sblocco ritenute",$I283="Finito senza sblocco ritenute"),$W283&gt;0,$N283&gt;$W283*PARAMETRI!$B$9),"CANTIERE FINITO CON RESIDUO LAVORI; ","")&amp;IF(AND(OR($I283="Finito ritenute non previste",$I283="Finito con sblocco ritenute",$I283="Finito senza sblocco ritenute"),ANAGRAFICA!$K280=""),"DATA FINE EFFETTIVA MANCANTE; ","")&amp;IF(OR(AND(ANAGRAFICA!$T280&lt;&gt;"",ANAGRAFICA!$J280&lt;&gt;ANAGRAFICA!$T280,OR(ANAGRAFICA!$R280="",ANAGRAFICA!$R280="Nessuna variazione")),AND(ANAGRAFICA!$J280="",ANAGRAFICA!$R280&lt;&gt;"",ANAGRAFICA!$R280&lt;&gt;"Nessuna variazione")),"GESTIONE DATA FINE INCOMPLETA; ","")&amp;IF($Y283="","AGGIORNATO AL MANCANTE; ","")&amp;IF(OR($AZ283="",$BJ283="",$BO283="",ANAGRAFICA!$I280="",ANAGRAFICA!$J280=""),"DATI PREVISIONALI INCOMPLETI; ","")&amp;IF(LEFT($C283,5)="TEMP","CODICE COMMESSA TEMPORANEO; ","")),"DATI INCOMPLETI; ")</f>
        <v/>
      </c>
      <c r="C283" s="17" t="str">
        <f>IF(ANAGRAFICA!$B280="","",ANAGRAFICA!$B280)</f>
        <v/>
      </c>
      <c r="D283" s="17" t="str">
        <f>IF($C283="","",ANAGRAFICA!$C280)</f>
        <v/>
      </c>
      <c r="E283" s="17" t="str">
        <f>IF($C283="","",ANAGRAFICA!$D280)</f>
        <v/>
      </c>
      <c r="F283" s="17" t="str">
        <f>IF($C283="","",ANAGRAFICA!$E280)</f>
        <v/>
      </c>
      <c r="G283" s="17" t="str">
        <f>IF($C283="","",ANAGRAFICA!$F280)</f>
        <v/>
      </c>
      <c r="H283" s="17" t="str">
        <f>IF($C283="","",ANAGRAFICA!$G280)</f>
        <v/>
      </c>
      <c r="I283" s="17" t="str">
        <f>IF($C283="","",ANAGRAFICA!$L280)</f>
        <v/>
      </c>
      <c r="J283" s="16" t="str">
        <f t="shared" si="97"/>
        <v/>
      </c>
      <c r="K283" s="16" t="str">
        <f t="shared" si="98"/>
        <v/>
      </c>
      <c r="L283" s="16" t="str">
        <f t="shared" si="99"/>
        <v/>
      </c>
      <c r="M283" s="16" t="str">
        <f t="shared" si="100"/>
        <v/>
      </c>
      <c r="N283" s="16" t="str">
        <f t="shared" si="101"/>
        <v/>
      </c>
      <c r="O283" s="16" t="str">
        <f t="shared" si="102"/>
        <v/>
      </c>
      <c r="P283" s="17" t="str">
        <f t="shared" si="103"/>
        <v/>
      </c>
      <c r="Q283" s="31" t="str">
        <f>IF(OR($C283="",'BUDGET COMMESSA'!$D280="",'BUDGET COMMESSA'!$D280&lt;=0,ANAGRAFICA!$J280=""),"",IF(OR($I283="Finito ritenute non previste",$I283="Finito con sblocco ritenute",$I283="Finito senza sblocco ritenute"),0,IF(AND($BK283&gt;=$BJ283,ANAGRAFICA!$R280="Ritardo produttivo FIDA"),IF(ANAGRAFICA!$T280&lt;&gt;"",MAX(0,ANAGRAFICA!$J280-ANAGRAFICA!$T280),MAX(0,$Y283-ANAGRAFICA!$J280)),0)))</f>
        <v/>
      </c>
      <c r="R283" s="17" t="str">
        <f t="shared" si="104"/>
        <v/>
      </c>
      <c r="S283" s="17" t="str">
        <f t="shared" si="105"/>
        <v/>
      </c>
      <c r="T283" s="17" t="str">
        <f t="shared" si="106"/>
        <v/>
      </c>
      <c r="U283" s="16" t="str">
        <f t="shared" si="107"/>
        <v/>
      </c>
      <c r="V283" s="16" t="str">
        <f t="shared" si="108"/>
        <v/>
      </c>
      <c r="W283" s="16" t="str">
        <f t="shared" si="109"/>
        <v/>
      </c>
      <c r="X283" s="40"/>
      <c r="Y283" s="14"/>
      <c r="AZ283" t="str">
        <f>IF($C283="","",ANAGRAFICA!$P280)</f>
        <v/>
      </c>
      <c r="BA283" t="str">
        <f>IF($C283="","",SUMIF('MOVIMENTI 2026'!$B$7:$B$4206,$C283,'MOVIMENTI 2026'!$I$7:$I$4206)+SUMIF('SALDI AL 31.12.2025'!$A$6:$A$505,$C283,'SALDI AL 31.12.2025'!$C$6:$C$505))</f>
        <v/>
      </c>
      <c r="BB283" t="str">
        <f>IF($C283="","",SUMIF('MOVIMENTI 2026'!$B$7:$B$4206,$C283,'MOVIMENTI 2026'!$J$7:$J$4206)+SUMIF('SALDI AL 31.12.2025'!$A$6:$A$505,$C283,'SALDI AL 31.12.2025'!$D$6:$D$505))</f>
        <v/>
      </c>
      <c r="BC283" t="str">
        <f>IF($C283="","",SUMIF('MOVIMENTI 2026'!$B$7:$B$4206,$C283,'MOVIMENTI 2026'!$K$7:$K$4206)+SUMIF('SALDI AL 31.12.2025'!$A$6:$A$505,$C283,'SALDI AL 31.12.2025'!$E$6:$E$505))</f>
        <v/>
      </c>
      <c r="BD283" t="str">
        <f>IF($C283="","",SUMIF('MOVIMENTI 2026'!$B$7:$B$4206,$C283,'MOVIMENTI 2026'!$L$7:$L$4206)+SUMIF('SALDI AL 31.12.2025'!$A$6:$A$505,$C283,'SALDI AL 31.12.2025'!$F$6:$F$505))</f>
        <v/>
      </c>
      <c r="BE283" t="str">
        <f t="shared" si="110"/>
        <v/>
      </c>
      <c r="BF283" t="str">
        <f t="shared" si="111"/>
        <v/>
      </c>
      <c r="BG283" t="str">
        <f t="shared" si="112"/>
        <v/>
      </c>
      <c r="BH283" t="str">
        <f>IFERROR(IF(OR($C283="",ANAGRAFICA!$I280="",ANAGRAFICA!$J280="",ANAGRAFICA!$J280&lt;=ANAGRAFICA!$I280,$Y283=""),"",IF(OR($I283="Finito ritenute non previste",$I283="Finito con sblocco ritenute",$I283="Finito senza sblocco ritenute"),1,MAX(0,MIN(1,($Y283-ANAGRAFICA!$I280)/(ANAGRAFICA!$J280-ANAGRAFICA!$I280))))),"")</f>
        <v/>
      </c>
      <c r="BI283" t="str">
        <f t="shared" si="113"/>
        <v/>
      </c>
      <c r="BJ283" t="str">
        <f>IFERROR(IF($C283="","",'BUDGET COMMESSA'!$D280),"")</f>
        <v/>
      </c>
      <c r="BK283" t="str">
        <f>IF($C283="","",SUMIF('MOVIMENTI 2026'!$B$7:$B$4206,$C283,'MOVIMENTI 2026'!$N$7:$N$4206)+SUMIF('SALDI AL 31.12.2025'!$A$6:$A$505,$C283,'SALDI AL 31.12.2025'!$H$6:$H$505))</f>
        <v/>
      </c>
      <c r="BL283" t="str">
        <f t="shared" si="114"/>
        <v/>
      </c>
      <c r="BM283" t="str">
        <f t="shared" si="115"/>
        <v/>
      </c>
      <c r="BN283" t="str">
        <f t="shared" si="116"/>
        <v/>
      </c>
      <c r="BO283" t="str">
        <f>IFERROR(IF($C283="","",'BUDGET COMMESSA'!$G280),"")</f>
        <v/>
      </c>
      <c r="BP283" t="str">
        <f>IF($C283="","",SUMIF('COSTI DIRETTI'!$C$6:$C$505,$C283,'COSTI DIRETTI'!$H$6:$H$505)+SUMIF('SALDI AL 31.12.2025'!$A$6:$A$505,$C283,'SALDI AL 31.12.2025'!$I$6:$I$505))</f>
        <v/>
      </c>
      <c r="BQ283" t="str">
        <f t="shared" si="117"/>
        <v/>
      </c>
      <c r="BR283" t="str">
        <f t="shared" si="118"/>
        <v/>
      </c>
      <c r="BS283" t="str">
        <f>IF($C283="","",$BK283*PARAMETRI!$B$4+$BP283)</f>
        <v/>
      </c>
      <c r="BT283">
        <f t="shared" si="119"/>
        <v>0</v>
      </c>
      <c r="BU283">
        <f t="shared" si="120"/>
        <v>0</v>
      </c>
      <c r="BV283" t="str">
        <f>IF($C283="","",SUMIF('MOVIMENTI 2026'!$B$7:$B$4206,$C283,'MOVIMENTI 2026'!$P$7:$P$4206)+SUMIF('SALDI AL 31.12.2025'!$A$6:$A$505,$C283,'SALDI AL 31.12.2025'!$G$6:$G$505))</f>
        <v/>
      </c>
    </row>
    <row r="284" spans="1:74" ht="16" x14ac:dyDescent="0.15">
      <c r="A284" s="17" t="str">
        <f>IFERROR(IF($C284="","",IF(OR($BF284&gt;0,$V284&gt;$J284,AND(ISNUMBER($Q284),$Q284&gt;0),AND($BI284&lt;&gt;"",$BI284&lt;-PARAMETRI!$B$6),AND($BM284&lt;&gt;"",$BM284&gt;=1),AND($BN284&lt;&gt;"",$BN284&gt;PARAMETRI!$B$8),AND(ISNUMBER($BR284),$BR284&gt;0)),"CRITICO",IF(OR($AZ284="",LEFT($C284,5)="TEMP",$BJ284="",$BO284="",ANAGRAFICA!$I281="",ANAGRAFICA!$J281="",$Y284="",AND(OR($I284="Finito ritenute non previste",$I284="Finito con sblocco ritenute",$I284="Finito senza sblocco ritenute"),ANAGRAFICA!$K281=""),OR(AND(ANAGRAFICA!$T281&lt;&gt;"",ANAGRAFICA!$J281&lt;&gt;ANAGRAFICA!$T281,OR(ANAGRAFICA!$R281="",ANAGRAFICA!$R281="Nessuna variazione")),AND(ANAGRAFICA!$J281="",ANAGRAFICA!$R281&lt;&gt;"",ANAGRAFICA!$R281&lt;&gt;"Nessuna variazione")),AND($BI284&lt;&gt;"",$BI284&lt;-PARAMETRI!$B$5),AND($BN284&lt;&gt;"",$BN284&gt;PARAMETRI!$B$7),AND($W284&gt;0,$M284&gt;$W284*PARAMETRI!$B$9),AND($O284&gt;0,OR($I284="Finito ritenute non previste",$I284="Finito con sblocco ritenute",$I284="Finito senza sblocco ritenute")),AND($BA284&gt;0,$BO284&gt;0,$BP284=0),AND(OR($I284="Finito ritenute non previste",$I284="Finito con sblocco ritenute",$I284="Finito senza sblocco ritenute"),$W284&gt;0,$N284&gt;$W284*PARAMETRI!$B$9),$V284&gt;0),"ATTENZIONE","REGOLARE"))),"ATTENZIONE")</f>
        <v/>
      </c>
      <c r="B284" s="17" t="str">
        <f>IFERROR(IF($C284="","",IF($BF284&gt;0,"FATTURATO OLTRE VALORE RECUPERABILE; ","")&amp;IF($V284&gt;$J284,"PERDITE ACCETTATE OLTRE CONTRATTO; ","")&amp;IF($V284&gt;0,"PERDITA SAL ACCETTATA (€ "&amp;TEXT($V284,"#,##0.00")&amp;"); ","")&amp;IF(AND(ISNUMBER($Q284),$Q284&gt;0),"RITARDO PRODUTTIVO ("&amp;TEXT($Q284,"0")&amp;" GG); ","")&amp;IF(AND($BI284&lt;&gt;"",$BI284&lt;-PARAMETRI!$B$5),"AVANZAMENTO PIÙ LENTO DEL TEMPO; ","")&amp;IF(AND($BM284&lt;&gt;"",$BM284&gt;1),"ORE OLTRE BUDGET; ","")&amp;IF(AND($BM284&lt;&gt;"",$BM284=1),"ORE PREVENTIVATE ESAURITE; ","")&amp;IF(AND($BN284&lt;&gt;"",$BN284&gt;PARAMETRI!$B$7),"CONSUMO ORE SUPERIORE ALL'AVANZAMENTO; ","")&amp;IF(AND(ISNUMBER($BR284),$BR284&gt;0),"COSTI DIRETTI OLTRE BUDGET; ","")&amp;IF(AND($W284&gt;0,$M284&gt;$W284*PARAMETRI!$B$9),"SAL MATURATO NON FATTURATO; ","")&amp;IF(AND($O284&gt;0,OR($I284="Finito ritenute non previste",$I284="Finito con sblocco ritenute",$I284="Finito senza sblocco ritenute")),"RITENUTE DA SBLOCCARE; ","")&amp;IF(AND($BA284&gt;0,$BO284&gt;0,$BP284=0),"COSTI DIRETTI NON REGISTRATI; ","")&amp;IF(AND(OR($I284="Finito ritenute non previste",$I284="Finito con sblocco ritenute",$I284="Finito senza sblocco ritenute"),$W284&gt;0,$N284&gt;$W284*PARAMETRI!$B$9),"CANTIERE FINITO CON RESIDUO LAVORI; ","")&amp;IF(AND(OR($I284="Finito ritenute non previste",$I284="Finito con sblocco ritenute",$I284="Finito senza sblocco ritenute"),ANAGRAFICA!$K281=""),"DATA FINE EFFETTIVA MANCANTE; ","")&amp;IF(OR(AND(ANAGRAFICA!$T281&lt;&gt;"",ANAGRAFICA!$J281&lt;&gt;ANAGRAFICA!$T281,OR(ANAGRAFICA!$R281="",ANAGRAFICA!$R281="Nessuna variazione")),AND(ANAGRAFICA!$J281="",ANAGRAFICA!$R281&lt;&gt;"",ANAGRAFICA!$R281&lt;&gt;"Nessuna variazione")),"GESTIONE DATA FINE INCOMPLETA; ","")&amp;IF($Y284="","AGGIORNATO AL MANCANTE; ","")&amp;IF(OR($AZ284="",$BJ284="",$BO284="",ANAGRAFICA!$I281="",ANAGRAFICA!$J281=""),"DATI PREVISIONALI INCOMPLETI; ","")&amp;IF(LEFT($C284,5)="TEMP","CODICE COMMESSA TEMPORANEO; ","")),"DATI INCOMPLETI; ")</f>
        <v/>
      </c>
      <c r="C284" s="17" t="str">
        <f>IF(ANAGRAFICA!$B281="","",ANAGRAFICA!$B281)</f>
        <v/>
      </c>
      <c r="D284" s="17" t="str">
        <f>IF($C284="","",ANAGRAFICA!$C281)</f>
        <v/>
      </c>
      <c r="E284" s="17" t="str">
        <f>IF($C284="","",ANAGRAFICA!$D281)</f>
        <v/>
      </c>
      <c r="F284" s="17" t="str">
        <f>IF($C284="","",ANAGRAFICA!$E281)</f>
        <v/>
      </c>
      <c r="G284" s="17" t="str">
        <f>IF($C284="","",ANAGRAFICA!$F281)</f>
        <v/>
      </c>
      <c r="H284" s="17" t="str">
        <f>IF($C284="","",ANAGRAFICA!$G281)</f>
        <v/>
      </c>
      <c r="I284" s="17" t="str">
        <f>IF($C284="","",ANAGRAFICA!$L281)</f>
        <v/>
      </c>
      <c r="J284" s="16" t="str">
        <f t="shared" si="97"/>
        <v/>
      </c>
      <c r="K284" s="16" t="str">
        <f t="shared" si="98"/>
        <v/>
      </c>
      <c r="L284" s="16" t="str">
        <f t="shared" si="99"/>
        <v/>
      </c>
      <c r="M284" s="16" t="str">
        <f t="shared" si="100"/>
        <v/>
      </c>
      <c r="N284" s="16" t="str">
        <f t="shared" si="101"/>
        <v/>
      </c>
      <c r="O284" s="16" t="str">
        <f t="shared" si="102"/>
        <v/>
      </c>
      <c r="P284" s="17" t="str">
        <f t="shared" si="103"/>
        <v/>
      </c>
      <c r="Q284" s="31" t="str">
        <f>IF(OR($C284="",'BUDGET COMMESSA'!$D281="",'BUDGET COMMESSA'!$D281&lt;=0,ANAGRAFICA!$J281=""),"",IF(OR($I284="Finito ritenute non previste",$I284="Finito con sblocco ritenute",$I284="Finito senza sblocco ritenute"),0,IF(AND($BK284&gt;=$BJ284,ANAGRAFICA!$R281="Ritardo produttivo FIDA"),IF(ANAGRAFICA!$T281&lt;&gt;"",MAX(0,ANAGRAFICA!$J281-ANAGRAFICA!$T281),MAX(0,$Y284-ANAGRAFICA!$J281)),0)))</f>
        <v/>
      </c>
      <c r="R284" s="17" t="str">
        <f t="shared" si="104"/>
        <v/>
      </c>
      <c r="S284" s="17" t="str">
        <f t="shared" si="105"/>
        <v/>
      </c>
      <c r="T284" s="17" t="str">
        <f t="shared" si="106"/>
        <v/>
      </c>
      <c r="U284" s="16" t="str">
        <f t="shared" si="107"/>
        <v/>
      </c>
      <c r="V284" s="16" t="str">
        <f t="shared" si="108"/>
        <v/>
      </c>
      <c r="W284" s="16" t="str">
        <f t="shared" si="109"/>
        <v/>
      </c>
      <c r="X284" s="40"/>
      <c r="Y284" s="14"/>
      <c r="AZ284" t="str">
        <f>IF($C284="","",ANAGRAFICA!$P281)</f>
        <v/>
      </c>
      <c r="BA284" t="str">
        <f>IF($C284="","",SUMIF('MOVIMENTI 2026'!$B$7:$B$4206,$C284,'MOVIMENTI 2026'!$I$7:$I$4206)+SUMIF('SALDI AL 31.12.2025'!$A$6:$A$505,$C284,'SALDI AL 31.12.2025'!$C$6:$C$505))</f>
        <v/>
      </c>
      <c r="BB284" t="str">
        <f>IF($C284="","",SUMIF('MOVIMENTI 2026'!$B$7:$B$4206,$C284,'MOVIMENTI 2026'!$J$7:$J$4206)+SUMIF('SALDI AL 31.12.2025'!$A$6:$A$505,$C284,'SALDI AL 31.12.2025'!$D$6:$D$505))</f>
        <v/>
      </c>
      <c r="BC284" t="str">
        <f>IF($C284="","",SUMIF('MOVIMENTI 2026'!$B$7:$B$4206,$C284,'MOVIMENTI 2026'!$K$7:$K$4206)+SUMIF('SALDI AL 31.12.2025'!$A$6:$A$505,$C284,'SALDI AL 31.12.2025'!$E$6:$E$505))</f>
        <v/>
      </c>
      <c r="BD284" t="str">
        <f>IF($C284="","",SUMIF('MOVIMENTI 2026'!$B$7:$B$4206,$C284,'MOVIMENTI 2026'!$L$7:$L$4206)+SUMIF('SALDI AL 31.12.2025'!$A$6:$A$505,$C284,'SALDI AL 31.12.2025'!$F$6:$F$505))</f>
        <v/>
      </c>
      <c r="BE284" t="str">
        <f t="shared" si="110"/>
        <v/>
      </c>
      <c r="BF284" t="str">
        <f t="shared" si="111"/>
        <v/>
      </c>
      <c r="BG284" t="str">
        <f t="shared" si="112"/>
        <v/>
      </c>
      <c r="BH284" t="str">
        <f>IFERROR(IF(OR($C284="",ANAGRAFICA!$I281="",ANAGRAFICA!$J281="",ANAGRAFICA!$J281&lt;=ANAGRAFICA!$I281,$Y284=""),"",IF(OR($I284="Finito ritenute non previste",$I284="Finito con sblocco ritenute",$I284="Finito senza sblocco ritenute"),1,MAX(0,MIN(1,($Y284-ANAGRAFICA!$I281)/(ANAGRAFICA!$J281-ANAGRAFICA!$I281))))),"")</f>
        <v/>
      </c>
      <c r="BI284" t="str">
        <f t="shared" si="113"/>
        <v/>
      </c>
      <c r="BJ284" t="str">
        <f>IFERROR(IF($C284="","",'BUDGET COMMESSA'!$D281),"")</f>
        <v/>
      </c>
      <c r="BK284" t="str">
        <f>IF($C284="","",SUMIF('MOVIMENTI 2026'!$B$7:$B$4206,$C284,'MOVIMENTI 2026'!$N$7:$N$4206)+SUMIF('SALDI AL 31.12.2025'!$A$6:$A$505,$C284,'SALDI AL 31.12.2025'!$H$6:$H$505))</f>
        <v/>
      </c>
      <c r="BL284" t="str">
        <f t="shared" si="114"/>
        <v/>
      </c>
      <c r="BM284" t="str">
        <f t="shared" si="115"/>
        <v/>
      </c>
      <c r="BN284" t="str">
        <f t="shared" si="116"/>
        <v/>
      </c>
      <c r="BO284" t="str">
        <f>IFERROR(IF($C284="","",'BUDGET COMMESSA'!$G281),"")</f>
        <v/>
      </c>
      <c r="BP284" t="str">
        <f>IF($C284="","",SUMIF('COSTI DIRETTI'!$C$6:$C$505,$C284,'COSTI DIRETTI'!$H$6:$H$505)+SUMIF('SALDI AL 31.12.2025'!$A$6:$A$505,$C284,'SALDI AL 31.12.2025'!$I$6:$I$505))</f>
        <v/>
      </c>
      <c r="BQ284" t="str">
        <f t="shared" si="117"/>
        <v/>
      </c>
      <c r="BR284" t="str">
        <f t="shared" si="118"/>
        <v/>
      </c>
      <c r="BS284" t="str">
        <f>IF($C284="","",$BK284*PARAMETRI!$B$4+$BP284)</f>
        <v/>
      </c>
      <c r="BT284">
        <f t="shared" si="119"/>
        <v>0</v>
      </c>
      <c r="BU284">
        <f t="shared" si="120"/>
        <v>0</v>
      </c>
      <c r="BV284" t="str">
        <f>IF($C284="","",SUMIF('MOVIMENTI 2026'!$B$7:$B$4206,$C284,'MOVIMENTI 2026'!$P$7:$P$4206)+SUMIF('SALDI AL 31.12.2025'!$A$6:$A$505,$C284,'SALDI AL 31.12.2025'!$G$6:$G$505))</f>
        <v/>
      </c>
    </row>
    <row r="285" spans="1:74" ht="16" x14ac:dyDescent="0.15">
      <c r="A285" s="17" t="str">
        <f>IFERROR(IF($C285="","",IF(OR($BF285&gt;0,$V285&gt;$J285,AND(ISNUMBER($Q285),$Q285&gt;0),AND($BI285&lt;&gt;"",$BI285&lt;-PARAMETRI!$B$6),AND($BM285&lt;&gt;"",$BM285&gt;=1),AND($BN285&lt;&gt;"",$BN285&gt;PARAMETRI!$B$8),AND(ISNUMBER($BR285),$BR285&gt;0)),"CRITICO",IF(OR($AZ285="",LEFT($C285,5)="TEMP",$BJ285="",$BO285="",ANAGRAFICA!$I282="",ANAGRAFICA!$J282="",$Y285="",AND(OR($I285="Finito ritenute non previste",$I285="Finito con sblocco ritenute",$I285="Finito senza sblocco ritenute"),ANAGRAFICA!$K282=""),OR(AND(ANAGRAFICA!$T282&lt;&gt;"",ANAGRAFICA!$J282&lt;&gt;ANAGRAFICA!$T282,OR(ANAGRAFICA!$R282="",ANAGRAFICA!$R282="Nessuna variazione")),AND(ANAGRAFICA!$J282="",ANAGRAFICA!$R282&lt;&gt;"",ANAGRAFICA!$R282&lt;&gt;"Nessuna variazione")),AND($BI285&lt;&gt;"",$BI285&lt;-PARAMETRI!$B$5),AND($BN285&lt;&gt;"",$BN285&gt;PARAMETRI!$B$7),AND($W285&gt;0,$M285&gt;$W285*PARAMETRI!$B$9),AND($O285&gt;0,OR($I285="Finito ritenute non previste",$I285="Finito con sblocco ritenute",$I285="Finito senza sblocco ritenute")),AND($BA285&gt;0,$BO285&gt;0,$BP285=0),AND(OR($I285="Finito ritenute non previste",$I285="Finito con sblocco ritenute",$I285="Finito senza sblocco ritenute"),$W285&gt;0,$N285&gt;$W285*PARAMETRI!$B$9),$V285&gt;0),"ATTENZIONE","REGOLARE"))),"ATTENZIONE")</f>
        <v/>
      </c>
      <c r="B285" s="17" t="str">
        <f>IFERROR(IF($C285="","",IF($BF285&gt;0,"FATTURATO OLTRE VALORE RECUPERABILE; ","")&amp;IF($V285&gt;$J285,"PERDITE ACCETTATE OLTRE CONTRATTO; ","")&amp;IF($V285&gt;0,"PERDITA SAL ACCETTATA (€ "&amp;TEXT($V285,"#,##0.00")&amp;"); ","")&amp;IF(AND(ISNUMBER($Q285),$Q285&gt;0),"RITARDO PRODUTTIVO ("&amp;TEXT($Q285,"0")&amp;" GG); ","")&amp;IF(AND($BI285&lt;&gt;"",$BI285&lt;-PARAMETRI!$B$5),"AVANZAMENTO PIÙ LENTO DEL TEMPO; ","")&amp;IF(AND($BM285&lt;&gt;"",$BM285&gt;1),"ORE OLTRE BUDGET; ","")&amp;IF(AND($BM285&lt;&gt;"",$BM285=1),"ORE PREVENTIVATE ESAURITE; ","")&amp;IF(AND($BN285&lt;&gt;"",$BN285&gt;PARAMETRI!$B$7),"CONSUMO ORE SUPERIORE ALL'AVANZAMENTO; ","")&amp;IF(AND(ISNUMBER($BR285),$BR285&gt;0),"COSTI DIRETTI OLTRE BUDGET; ","")&amp;IF(AND($W285&gt;0,$M285&gt;$W285*PARAMETRI!$B$9),"SAL MATURATO NON FATTURATO; ","")&amp;IF(AND($O285&gt;0,OR($I285="Finito ritenute non previste",$I285="Finito con sblocco ritenute",$I285="Finito senza sblocco ritenute")),"RITENUTE DA SBLOCCARE; ","")&amp;IF(AND($BA285&gt;0,$BO285&gt;0,$BP285=0),"COSTI DIRETTI NON REGISTRATI; ","")&amp;IF(AND(OR($I285="Finito ritenute non previste",$I285="Finito con sblocco ritenute",$I285="Finito senza sblocco ritenute"),$W285&gt;0,$N285&gt;$W285*PARAMETRI!$B$9),"CANTIERE FINITO CON RESIDUO LAVORI; ","")&amp;IF(AND(OR($I285="Finito ritenute non previste",$I285="Finito con sblocco ritenute",$I285="Finito senza sblocco ritenute"),ANAGRAFICA!$K282=""),"DATA FINE EFFETTIVA MANCANTE; ","")&amp;IF(OR(AND(ANAGRAFICA!$T282&lt;&gt;"",ANAGRAFICA!$J282&lt;&gt;ANAGRAFICA!$T282,OR(ANAGRAFICA!$R282="",ANAGRAFICA!$R282="Nessuna variazione")),AND(ANAGRAFICA!$J282="",ANAGRAFICA!$R282&lt;&gt;"",ANAGRAFICA!$R282&lt;&gt;"Nessuna variazione")),"GESTIONE DATA FINE INCOMPLETA; ","")&amp;IF($Y285="","AGGIORNATO AL MANCANTE; ","")&amp;IF(OR($AZ285="",$BJ285="",$BO285="",ANAGRAFICA!$I282="",ANAGRAFICA!$J282=""),"DATI PREVISIONALI INCOMPLETI; ","")&amp;IF(LEFT($C285,5)="TEMP","CODICE COMMESSA TEMPORANEO; ","")),"DATI INCOMPLETI; ")</f>
        <v/>
      </c>
      <c r="C285" s="17" t="str">
        <f>IF(ANAGRAFICA!$B282="","",ANAGRAFICA!$B282)</f>
        <v/>
      </c>
      <c r="D285" s="17" t="str">
        <f>IF($C285="","",ANAGRAFICA!$C282)</f>
        <v/>
      </c>
      <c r="E285" s="17" t="str">
        <f>IF($C285="","",ANAGRAFICA!$D282)</f>
        <v/>
      </c>
      <c r="F285" s="17" t="str">
        <f>IF($C285="","",ANAGRAFICA!$E282)</f>
        <v/>
      </c>
      <c r="G285" s="17" t="str">
        <f>IF($C285="","",ANAGRAFICA!$F282)</f>
        <v/>
      </c>
      <c r="H285" s="17" t="str">
        <f>IF($C285="","",ANAGRAFICA!$G282)</f>
        <v/>
      </c>
      <c r="I285" s="17" t="str">
        <f>IF($C285="","",ANAGRAFICA!$L282)</f>
        <v/>
      </c>
      <c r="J285" s="16" t="str">
        <f t="shared" si="97"/>
        <v/>
      </c>
      <c r="K285" s="16" t="str">
        <f t="shared" si="98"/>
        <v/>
      </c>
      <c r="L285" s="16" t="str">
        <f t="shared" si="99"/>
        <v/>
      </c>
      <c r="M285" s="16" t="str">
        <f t="shared" si="100"/>
        <v/>
      </c>
      <c r="N285" s="16" t="str">
        <f t="shared" si="101"/>
        <v/>
      </c>
      <c r="O285" s="16" t="str">
        <f t="shared" si="102"/>
        <v/>
      </c>
      <c r="P285" s="17" t="str">
        <f t="shared" si="103"/>
        <v/>
      </c>
      <c r="Q285" s="31" t="str">
        <f>IF(OR($C285="",'BUDGET COMMESSA'!$D282="",'BUDGET COMMESSA'!$D282&lt;=0,ANAGRAFICA!$J282=""),"",IF(OR($I285="Finito ritenute non previste",$I285="Finito con sblocco ritenute",$I285="Finito senza sblocco ritenute"),0,IF(AND($BK285&gt;=$BJ285,ANAGRAFICA!$R282="Ritardo produttivo FIDA"),IF(ANAGRAFICA!$T282&lt;&gt;"",MAX(0,ANAGRAFICA!$J282-ANAGRAFICA!$T282),MAX(0,$Y285-ANAGRAFICA!$J282)),0)))</f>
        <v/>
      </c>
      <c r="R285" s="17" t="str">
        <f t="shared" si="104"/>
        <v/>
      </c>
      <c r="S285" s="17" t="str">
        <f t="shared" si="105"/>
        <v/>
      </c>
      <c r="T285" s="17" t="str">
        <f t="shared" si="106"/>
        <v/>
      </c>
      <c r="U285" s="16" t="str">
        <f t="shared" si="107"/>
        <v/>
      </c>
      <c r="V285" s="16" t="str">
        <f t="shared" si="108"/>
        <v/>
      </c>
      <c r="W285" s="16" t="str">
        <f t="shared" si="109"/>
        <v/>
      </c>
      <c r="X285" s="40"/>
      <c r="Y285" s="14"/>
      <c r="AZ285" t="str">
        <f>IF($C285="","",ANAGRAFICA!$P282)</f>
        <v/>
      </c>
      <c r="BA285" t="str">
        <f>IF($C285="","",SUMIF('MOVIMENTI 2026'!$B$7:$B$4206,$C285,'MOVIMENTI 2026'!$I$7:$I$4206)+SUMIF('SALDI AL 31.12.2025'!$A$6:$A$505,$C285,'SALDI AL 31.12.2025'!$C$6:$C$505))</f>
        <v/>
      </c>
      <c r="BB285" t="str">
        <f>IF($C285="","",SUMIF('MOVIMENTI 2026'!$B$7:$B$4206,$C285,'MOVIMENTI 2026'!$J$7:$J$4206)+SUMIF('SALDI AL 31.12.2025'!$A$6:$A$505,$C285,'SALDI AL 31.12.2025'!$D$6:$D$505))</f>
        <v/>
      </c>
      <c r="BC285" t="str">
        <f>IF($C285="","",SUMIF('MOVIMENTI 2026'!$B$7:$B$4206,$C285,'MOVIMENTI 2026'!$K$7:$K$4206)+SUMIF('SALDI AL 31.12.2025'!$A$6:$A$505,$C285,'SALDI AL 31.12.2025'!$E$6:$E$505))</f>
        <v/>
      </c>
      <c r="BD285" t="str">
        <f>IF($C285="","",SUMIF('MOVIMENTI 2026'!$B$7:$B$4206,$C285,'MOVIMENTI 2026'!$L$7:$L$4206)+SUMIF('SALDI AL 31.12.2025'!$A$6:$A$505,$C285,'SALDI AL 31.12.2025'!$F$6:$F$505))</f>
        <v/>
      </c>
      <c r="BE285" t="str">
        <f t="shared" si="110"/>
        <v/>
      </c>
      <c r="BF285" t="str">
        <f t="shared" si="111"/>
        <v/>
      </c>
      <c r="BG285" t="str">
        <f t="shared" si="112"/>
        <v/>
      </c>
      <c r="BH285" t="str">
        <f>IFERROR(IF(OR($C285="",ANAGRAFICA!$I282="",ANAGRAFICA!$J282="",ANAGRAFICA!$J282&lt;=ANAGRAFICA!$I282,$Y285=""),"",IF(OR($I285="Finito ritenute non previste",$I285="Finito con sblocco ritenute",$I285="Finito senza sblocco ritenute"),1,MAX(0,MIN(1,($Y285-ANAGRAFICA!$I282)/(ANAGRAFICA!$J282-ANAGRAFICA!$I282))))),"")</f>
        <v/>
      </c>
      <c r="BI285" t="str">
        <f t="shared" si="113"/>
        <v/>
      </c>
      <c r="BJ285" t="str">
        <f>IFERROR(IF($C285="","",'BUDGET COMMESSA'!$D282),"")</f>
        <v/>
      </c>
      <c r="BK285" t="str">
        <f>IF($C285="","",SUMIF('MOVIMENTI 2026'!$B$7:$B$4206,$C285,'MOVIMENTI 2026'!$N$7:$N$4206)+SUMIF('SALDI AL 31.12.2025'!$A$6:$A$505,$C285,'SALDI AL 31.12.2025'!$H$6:$H$505))</f>
        <v/>
      </c>
      <c r="BL285" t="str">
        <f t="shared" si="114"/>
        <v/>
      </c>
      <c r="BM285" t="str">
        <f t="shared" si="115"/>
        <v/>
      </c>
      <c r="BN285" t="str">
        <f t="shared" si="116"/>
        <v/>
      </c>
      <c r="BO285" t="str">
        <f>IFERROR(IF($C285="","",'BUDGET COMMESSA'!$G282),"")</f>
        <v/>
      </c>
      <c r="BP285" t="str">
        <f>IF($C285="","",SUMIF('COSTI DIRETTI'!$C$6:$C$505,$C285,'COSTI DIRETTI'!$H$6:$H$505)+SUMIF('SALDI AL 31.12.2025'!$A$6:$A$505,$C285,'SALDI AL 31.12.2025'!$I$6:$I$505))</f>
        <v/>
      </c>
      <c r="BQ285" t="str">
        <f t="shared" si="117"/>
        <v/>
      </c>
      <c r="BR285" t="str">
        <f t="shared" si="118"/>
        <v/>
      </c>
      <c r="BS285" t="str">
        <f>IF($C285="","",$BK285*PARAMETRI!$B$4+$BP285)</f>
        <v/>
      </c>
      <c r="BT285">
        <f t="shared" si="119"/>
        <v>0</v>
      </c>
      <c r="BU285">
        <f t="shared" si="120"/>
        <v>0</v>
      </c>
      <c r="BV285" t="str">
        <f>IF($C285="","",SUMIF('MOVIMENTI 2026'!$B$7:$B$4206,$C285,'MOVIMENTI 2026'!$P$7:$P$4206)+SUMIF('SALDI AL 31.12.2025'!$A$6:$A$505,$C285,'SALDI AL 31.12.2025'!$G$6:$G$505))</f>
        <v/>
      </c>
    </row>
    <row r="286" spans="1:74" ht="16" x14ac:dyDescent="0.15">
      <c r="A286" s="17" t="str">
        <f>IFERROR(IF($C286="","",IF(OR($BF286&gt;0,$V286&gt;$J286,AND(ISNUMBER($Q286),$Q286&gt;0),AND($BI286&lt;&gt;"",$BI286&lt;-PARAMETRI!$B$6),AND($BM286&lt;&gt;"",$BM286&gt;=1),AND($BN286&lt;&gt;"",$BN286&gt;PARAMETRI!$B$8),AND(ISNUMBER($BR286),$BR286&gt;0)),"CRITICO",IF(OR($AZ286="",LEFT($C286,5)="TEMP",$BJ286="",$BO286="",ANAGRAFICA!$I283="",ANAGRAFICA!$J283="",$Y286="",AND(OR($I286="Finito ritenute non previste",$I286="Finito con sblocco ritenute",$I286="Finito senza sblocco ritenute"),ANAGRAFICA!$K283=""),OR(AND(ANAGRAFICA!$T283&lt;&gt;"",ANAGRAFICA!$J283&lt;&gt;ANAGRAFICA!$T283,OR(ANAGRAFICA!$R283="",ANAGRAFICA!$R283="Nessuna variazione")),AND(ANAGRAFICA!$J283="",ANAGRAFICA!$R283&lt;&gt;"",ANAGRAFICA!$R283&lt;&gt;"Nessuna variazione")),AND($BI286&lt;&gt;"",$BI286&lt;-PARAMETRI!$B$5),AND($BN286&lt;&gt;"",$BN286&gt;PARAMETRI!$B$7),AND($W286&gt;0,$M286&gt;$W286*PARAMETRI!$B$9),AND($O286&gt;0,OR($I286="Finito ritenute non previste",$I286="Finito con sblocco ritenute",$I286="Finito senza sblocco ritenute")),AND($BA286&gt;0,$BO286&gt;0,$BP286=0),AND(OR($I286="Finito ritenute non previste",$I286="Finito con sblocco ritenute",$I286="Finito senza sblocco ritenute"),$W286&gt;0,$N286&gt;$W286*PARAMETRI!$B$9),$V286&gt;0),"ATTENZIONE","REGOLARE"))),"ATTENZIONE")</f>
        <v/>
      </c>
      <c r="B286" s="17" t="str">
        <f>IFERROR(IF($C286="","",IF($BF286&gt;0,"FATTURATO OLTRE VALORE RECUPERABILE; ","")&amp;IF($V286&gt;$J286,"PERDITE ACCETTATE OLTRE CONTRATTO; ","")&amp;IF($V286&gt;0,"PERDITA SAL ACCETTATA (€ "&amp;TEXT($V286,"#,##0.00")&amp;"); ","")&amp;IF(AND(ISNUMBER($Q286),$Q286&gt;0),"RITARDO PRODUTTIVO ("&amp;TEXT($Q286,"0")&amp;" GG); ","")&amp;IF(AND($BI286&lt;&gt;"",$BI286&lt;-PARAMETRI!$B$5),"AVANZAMENTO PIÙ LENTO DEL TEMPO; ","")&amp;IF(AND($BM286&lt;&gt;"",$BM286&gt;1),"ORE OLTRE BUDGET; ","")&amp;IF(AND($BM286&lt;&gt;"",$BM286=1),"ORE PREVENTIVATE ESAURITE; ","")&amp;IF(AND($BN286&lt;&gt;"",$BN286&gt;PARAMETRI!$B$7),"CONSUMO ORE SUPERIORE ALL'AVANZAMENTO; ","")&amp;IF(AND(ISNUMBER($BR286),$BR286&gt;0),"COSTI DIRETTI OLTRE BUDGET; ","")&amp;IF(AND($W286&gt;0,$M286&gt;$W286*PARAMETRI!$B$9),"SAL MATURATO NON FATTURATO; ","")&amp;IF(AND($O286&gt;0,OR($I286="Finito ritenute non previste",$I286="Finito con sblocco ritenute",$I286="Finito senza sblocco ritenute")),"RITENUTE DA SBLOCCARE; ","")&amp;IF(AND($BA286&gt;0,$BO286&gt;0,$BP286=0),"COSTI DIRETTI NON REGISTRATI; ","")&amp;IF(AND(OR($I286="Finito ritenute non previste",$I286="Finito con sblocco ritenute",$I286="Finito senza sblocco ritenute"),$W286&gt;0,$N286&gt;$W286*PARAMETRI!$B$9),"CANTIERE FINITO CON RESIDUO LAVORI; ","")&amp;IF(AND(OR($I286="Finito ritenute non previste",$I286="Finito con sblocco ritenute",$I286="Finito senza sblocco ritenute"),ANAGRAFICA!$K283=""),"DATA FINE EFFETTIVA MANCANTE; ","")&amp;IF(OR(AND(ANAGRAFICA!$T283&lt;&gt;"",ANAGRAFICA!$J283&lt;&gt;ANAGRAFICA!$T283,OR(ANAGRAFICA!$R283="",ANAGRAFICA!$R283="Nessuna variazione")),AND(ANAGRAFICA!$J283="",ANAGRAFICA!$R283&lt;&gt;"",ANAGRAFICA!$R283&lt;&gt;"Nessuna variazione")),"GESTIONE DATA FINE INCOMPLETA; ","")&amp;IF($Y286="","AGGIORNATO AL MANCANTE; ","")&amp;IF(OR($AZ286="",$BJ286="",$BO286="",ANAGRAFICA!$I283="",ANAGRAFICA!$J283=""),"DATI PREVISIONALI INCOMPLETI; ","")&amp;IF(LEFT($C286,5)="TEMP","CODICE COMMESSA TEMPORANEO; ","")),"DATI INCOMPLETI; ")</f>
        <v/>
      </c>
      <c r="C286" s="17" t="str">
        <f>IF(ANAGRAFICA!$B283="","",ANAGRAFICA!$B283)</f>
        <v/>
      </c>
      <c r="D286" s="17" t="str">
        <f>IF($C286="","",ANAGRAFICA!$C283)</f>
        <v/>
      </c>
      <c r="E286" s="17" t="str">
        <f>IF($C286="","",ANAGRAFICA!$D283)</f>
        <v/>
      </c>
      <c r="F286" s="17" t="str">
        <f>IF($C286="","",ANAGRAFICA!$E283)</f>
        <v/>
      </c>
      <c r="G286" s="17" t="str">
        <f>IF($C286="","",ANAGRAFICA!$F283)</f>
        <v/>
      </c>
      <c r="H286" s="17" t="str">
        <f>IF($C286="","",ANAGRAFICA!$G283)</f>
        <v/>
      </c>
      <c r="I286" s="17" t="str">
        <f>IF($C286="","",ANAGRAFICA!$L283)</f>
        <v/>
      </c>
      <c r="J286" s="16" t="str">
        <f t="shared" si="97"/>
        <v/>
      </c>
      <c r="K286" s="16" t="str">
        <f t="shared" si="98"/>
        <v/>
      </c>
      <c r="L286" s="16" t="str">
        <f t="shared" si="99"/>
        <v/>
      </c>
      <c r="M286" s="16" t="str">
        <f t="shared" si="100"/>
        <v/>
      </c>
      <c r="N286" s="16" t="str">
        <f t="shared" si="101"/>
        <v/>
      </c>
      <c r="O286" s="16" t="str">
        <f t="shared" si="102"/>
        <v/>
      </c>
      <c r="P286" s="17" t="str">
        <f t="shared" si="103"/>
        <v/>
      </c>
      <c r="Q286" s="31" t="str">
        <f>IF(OR($C286="",'BUDGET COMMESSA'!$D283="",'BUDGET COMMESSA'!$D283&lt;=0,ANAGRAFICA!$J283=""),"",IF(OR($I286="Finito ritenute non previste",$I286="Finito con sblocco ritenute",$I286="Finito senza sblocco ritenute"),0,IF(AND($BK286&gt;=$BJ286,ANAGRAFICA!$R283="Ritardo produttivo FIDA"),IF(ANAGRAFICA!$T283&lt;&gt;"",MAX(0,ANAGRAFICA!$J283-ANAGRAFICA!$T283),MAX(0,$Y286-ANAGRAFICA!$J283)),0)))</f>
        <v/>
      </c>
      <c r="R286" s="17" t="str">
        <f t="shared" si="104"/>
        <v/>
      </c>
      <c r="S286" s="17" t="str">
        <f t="shared" si="105"/>
        <v/>
      </c>
      <c r="T286" s="17" t="str">
        <f t="shared" si="106"/>
        <v/>
      </c>
      <c r="U286" s="16" t="str">
        <f t="shared" si="107"/>
        <v/>
      </c>
      <c r="V286" s="16" t="str">
        <f t="shared" si="108"/>
        <v/>
      </c>
      <c r="W286" s="16" t="str">
        <f t="shared" si="109"/>
        <v/>
      </c>
      <c r="X286" s="40"/>
      <c r="Y286" s="14"/>
      <c r="AZ286" t="str">
        <f>IF($C286="","",ANAGRAFICA!$P283)</f>
        <v/>
      </c>
      <c r="BA286" t="str">
        <f>IF($C286="","",SUMIF('MOVIMENTI 2026'!$B$7:$B$4206,$C286,'MOVIMENTI 2026'!$I$7:$I$4206)+SUMIF('SALDI AL 31.12.2025'!$A$6:$A$505,$C286,'SALDI AL 31.12.2025'!$C$6:$C$505))</f>
        <v/>
      </c>
      <c r="BB286" t="str">
        <f>IF($C286="","",SUMIF('MOVIMENTI 2026'!$B$7:$B$4206,$C286,'MOVIMENTI 2026'!$J$7:$J$4206)+SUMIF('SALDI AL 31.12.2025'!$A$6:$A$505,$C286,'SALDI AL 31.12.2025'!$D$6:$D$505))</f>
        <v/>
      </c>
      <c r="BC286" t="str">
        <f>IF($C286="","",SUMIF('MOVIMENTI 2026'!$B$7:$B$4206,$C286,'MOVIMENTI 2026'!$K$7:$K$4206)+SUMIF('SALDI AL 31.12.2025'!$A$6:$A$505,$C286,'SALDI AL 31.12.2025'!$E$6:$E$505))</f>
        <v/>
      </c>
      <c r="BD286" t="str">
        <f>IF($C286="","",SUMIF('MOVIMENTI 2026'!$B$7:$B$4206,$C286,'MOVIMENTI 2026'!$L$7:$L$4206)+SUMIF('SALDI AL 31.12.2025'!$A$6:$A$505,$C286,'SALDI AL 31.12.2025'!$F$6:$F$505))</f>
        <v/>
      </c>
      <c r="BE286" t="str">
        <f t="shared" si="110"/>
        <v/>
      </c>
      <c r="BF286" t="str">
        <f t="shared" si="111"/>
        <v/>
      </c>
      <c r="BG286" t="str">
        <f t="shared" si="112"/>
        <v/>
      </c>
      <c r="BH286" t="str">
        <f>IFERROR(IF(OR($C286="",ANAGRAFICA!$I283="",ANAGRAFICA!$J283="",ANAGRAFICA!$J283&lt;=ANAGRAFICA!$I283,$Y286=""),"",IF(OR($I286="Finito ritenute non previste",$I286="Finito con sblocco ritenute",$I286="Finito senza sblocco ritenute"),1,MAX(0,MIN(1,($Y286-ANAGRAFICA!$I283)/(ANAGRAFICA!$J283-ANAGRAFICA!$I283))))),"")</f>
        <v/>
      </c>
      <c r="BI286" t="str">
        <f t="shared" si="113"/>
        <v/>
      </c>
      <c r="BJ286" t="str">
        <f>IFERROR(IF($C286="","",'BUDGET COMMESSA'!$D283),"")</f>
        <v/>
      </c>
      <c r="BK286" t="str">
        <f>IF($C286="","",SUMIF('MOVIMENTI 2026'!$B$7:$B$4206,$C286,'MOVIMENTI 2026'!$N$7:$N$4206)+SUMIF('SALDI AL 31.12.2025'!$A$6:$A$505,$C286,'SALDI AL 31.12.2025'!$H$6:$H$505))</f>
        <v/>
      </c>
      <c r="BL286" t="str">
        <f t="shared" si="114"/>
        <v/>
      </c>
      <c r="BM286" t="str">
        <f t="shared" si="115"/>
        <v/>
      </c>
      <c r="BN286" t="str">
        <f t="shared" si="116"/>
        <v/>
      </c>
      <c r="BO286" t="str">
        <f>IFERROR(IF($C286="","",'BUDGET COMMESSA'!$G283),"")</f>
        <v/>
      </c>
      <c r="BP286" t="str">
        <f>IF($C286="","",SUMIF('COSTI DIRETTI'!$C$6:$C$505,$C286,'COSTI DIRETTI'!$H$6:$H$505)+SUMIF('SALDI AL 31.12.2025'!$A$6:$A$505,$C286,'SALDI AL 31.12.2025'!$I$6:$I$505))</f>
        <v/>
      </c>
      <c r="BQ286" t="str">
        <f t="shared" si="117"/>
        <v/>
      </c>
      <c r="BR286" t="str">
        <f t="shared" si="118"/>
        <v/>
      </c>
      <c r="BS286" t="str">
        <f>IF($C286="","",$BK286*PARAMETRI!$B$4+$BP286)</f>
        <v/>
      </c>
      <c r="BT286">
        <f t="shared" si="119"/>
        <v>0</v>
      </c>
      <c r="BU286">
        <f t="shared" si="120"/>
        <v>0</v>
      </c>
      <c r="BV286" t="str">
        <f>IF($C286="","",SUMIF('MOVIMENTI 2026'!$B$7:$B$4206,$C286,'MOVIMENTI 2026'!$P$7:$P$4206)+SUMIF('SALDI AL 31.12.2025'!$A$6:$A$505,$C286,'SALDI AL 31.12.2025'!$G$6:$G$505))</f>
        <v/>
      </c>
    </row>
    <row r="287" spans="1:74" ht="16" x14ac:dyDescent="0.15">
      <c r="A287" s="17" t="str">
        <f>IFERROR(IF($C287="","",IF(OR($BF287&gt;0,$V287&gt;$J287,AND(ISNUMBER($Q287),$Q287&gt;0),AND($BI287&lt;&gt;"",$BI287&lt;-PARAMETRI!$B$6),AND($BM287&lt;&gt;"",$BM287&gt;=1),AND($BN287&lt;&gt;"",$BN287&gt;PARAMETRI!$B$8),AND(ISNUMBER($BR287),$BR287&gt;0)),"CRITICO",IF(OR($AZ287="",LEFT($C287,5)="TEMP",$BJ287="",$BO287="",ANAGRAFICA!$I284="",ANAGRAFICA!$J284="",$Y287="",AND(OR($I287="Finito ritenute non previste",$I287="Finito con sblocco ritenute",$I287="Finito senza sblocco ritenute"),ANAGRAFICA!$K284=""),OR(AND(ANAGRAFICA!$T284&lt;&gt;"",ANAGRAFICA!$J284&lt;&gt;ANAGRAFICA!$T284,OR(ANAGRAFICA!$R284="",ANAGRAFICA!$R284="Nessuna variazione")),AND(ANAGRAFICA!$J284="",ANAGRAFICA!$R284&lt;&gt;"",ANAGRAFICA!$R284&lt;&gt;"Nessuna variazione")),AND($BI287&lt;&gt;"",$BI287&lt;-PARAMETRI!$B$5),AND($BN287&lt;&gt;"",$BN287&gt;PARAMETRI!$B$7),AND($W287&gt;0,$M287&gt;$W287*PARAMETRI!$B$9),AND($O287&gt;0,OR($I287="Finito ritenute non previste",$I287="Finito con sblocco ritenute",$I287="Finito senza sblocco ritenute")),AND($BA287&gt;0,$BO287&gt;0,$BP287=0),AND(OR($I287="Finito ritenute non previste",$I287="Finito con sblocco ritenute",$I287="Finito senza sblocco ritenute"),$W287&gt;0,$N287&gt;$W287*PARAMETRI!$B$9),$V287&gt;0),"ATTENZIONE","REGOLARE"))),"ATTENZIONE")</f>
        <v/>
      </c>
      <c r="B287" s="17" t="str">
        <f>IFERROR(IF($C287="","",IF($BF287&gt;0,"FATTURATO OLTRE VALORE RECUPERABILE; ","")&amp;IF($V287&gt;$J287,"PERDITE ACCETTATE OLTRE CONTRATTO; ","")&amp;IF($V287&gt;0,"PERDITA SAL ACCETTATA (€ "&amp;TEXT($V287,"#,##0.00")&amp;"); ","")&amp;IF(AND(ISNUMBER($Q287),$Q287&gt;0),"RITARDO PRODUTTIVO ("&amp;TEXT($Q287,"0")&amp;" GG); ","")&amp;IF(AND($BI287&lt;&gt;"",$BI287&lt;-PARAMETRI!$B$5),"AVANZAMENTO PIÙ LENTO DEL TEMPO; ","")&amp;IF(AND($BM287&lt;&gt;"",$BM287&gt;1),"ORE OLTRE BUDGET; ","")&amp;IF(AND($BM287&lt;&gt;"",$BM287=1),"ORE PREVENTIVATE ESAURITE; ","")&amp;IF(AND($BN287&lt;&gt;"",$BN287&gt;PARAMETRI!$B$7),"CONSUMO ORE SUPERIORE ALL'AVANZAMENTO; ","")&amp;IF(AND(ISNUMBER($BR287),$BR287&gt;0),"COSTI DIRETTI OLTRE BUDGET; ","")&amp;IF(AND($W287&gt;0,$M287&gt;$W287*PARAMETRI!$B$9),"SAL MATURATO NON FATTURATO; ","")&amp;IF(AND($O287&gt;0,OR($I287="Finito ritenute non previste",$I287="Finito con sblocco ritenute",$I287="Finito senza sblocco ritenute")),"RITENUTE DA SBLOCCARE; ","")&amp;IF(AND($BA287&gt;0,$BO287&gt;0,$BP287=0),"COSTI DIRETTI NON REGISTRATI; ","")&amp;IF(AND(OR($I287="Finito ritenute non previste",$I287="Finito con sblocco ritenute",$I287="Finito senza sblocco ritenute"),$W287&gt;0,$N287&gt;$W287*PARAMETRI!$B$9),"CANTIERE FINITO CON RESIDUO LAVORI; ","")&amp;IF(AND(OR($I287="Finito ritenute non previste",$I287="Finito con sblocco ritenute",$I287="Finito senza sblocco ritenute"),ANAGRAFICA!$K284=""),"DATA FINE EFFETTIVA MANCANTE; ","")&amp;IF(OR(AND(ANAGRAFICA!$T284&lt;&gt;"",ANAGRAFICA!$J284&lt;&gt;ANAGRAFICA!$T284,OR(ANAGRAFICA!$R284="",ANAGRAFICA!$R284="Nessuna variazione")),AND(ANAGRAFICA!$J284="",ANAGRAFICA!$R284&lt;&gt;"",ANAGRAFICA!$R284&lt;&gt;"Nessuna variazione")),"GESTIONE DATA FINE INCOMPLETA; ","")&amp;IF($Y287="","AGGIORNATO AL MANCANTE; ","")&amp;IF(OR($AZ287="",$BJ287="",$BO287="",ANAGRAFICA!$I284="",ANAGRAFICA!$J284=""),"DATI PREVISIONALI INCOMPLETI; ","")&amp;IF(LEFT($C287,5)="TEMP","CODICE COMMESSA TEMPORANEO; ","")),"DATI INCOMPLETI; ")</f>
        <v/>
      </c>
      <c r="C287" s="17" t="str">
        <f>IF(ANAGRAFICA!$B284="","",ANAGRAFICA!$B284)</f>
        <v/>
      </c>
      <c r="D287" s="17" t="str">
        <f>IF($C287="","",ANAGRAFICA!$C284)</f>
        <v/>
      </c>
      <c r="E287" s="17" t="str">
        <f>IF($C287="","",ANAGRAFICA!$D284)</f>
        <v/>
      </c>
      <c r="F287" s="17" t="str">
        <f>IF($C287="","",ANAGRAFICA!$E284)</f>
        <v/>
      </c>
      <c r="G287" s="17" t="str">
        <f>IF($C287="","",ANAGRAFICA!$F284)</f>
        <v/>
      </c>
      <c r="H287" s="17" t="str">
        <f>IF($C287="","",ANAGRAFICA!$G284)</f>
        <v/>
      </c>
      <c r="I287" s="17" t="str">
        <f>IF($C287="","",ANAGRAFICA!$L284)</f>
        <v/>
      </c>
      <c r="J287" s="16" t="str">
        <f t="shared" si="97"/>
        <v/>
      </c>
      <c r="K287" s="16" t="str">
        <f t="shared" si="98"/>
        <v/>
      </c>
      <c r="L287" s="16" t="str">
        <f t="shared" si="99"/>
        <v/>
      </c>
      <c r="M287" s="16" t="str">
        <f t="shared" si="100"/>
        <v/>
      </c>
      <c r="N287" s="16" t="str">
        <f t="shared" si="101"/>
        <v/>
      </c>
      <c r="O287" s="16" t="str">
        <f t="shared" si="102"/>
        <v/>
      </c>
      <c r="P287" s="17" t="str">
        <f t="shared" si="103"/>
        <v/>
      </c>
      <c r="Q287" s="31" t="str">
        <f>IF(OR($C287="",'BUDGET COMMESSA'!$D284="",'BUDGET COMMESSA'!$D284&lt;=0,ANAGRAFICA!$J284=""),"",IF(OR($I287="Finito ritenute non previste",$I287="Finito con sblocco ritenute",$I287="Finito senza sblocco ritenute"),0,IF(AND($BK287&gt;=$BJ287,ANAGRAFICA!$R284="Ritardo produttivo FIDA"),IF(ANAGRAFICA!$T284&lt;&gt;"",MAX(0,ANAGRAFICA!$J284-ANAGRAFICA!$T284),MAX(0,$Y287-ANAGRAFICA!$J284)),0)))</f>
        <v/>
      </c>
      <c r="R287" s="17" t="str">
        <f t="shared" si="104"/>
        <v/>
      </c>
      <c r="S287" s="17" t="str">
        <f t="shared" si="105"/>
        <v/>
      </c>
      <c r="T287" s="17" t="str">
        <f t="shared" si="106"/>
        <v/>
      </c>
      <c r="U287" s="16" t="str">
        <f t="shared" si="107"/>
        <v/>
      </c>
      <c r="V287" s="16" t="str">
        <f t="shared" si="108"/>
        <v/>
      </c>
      <c r="W287" s="16" t="str">
        <f t="shared" si="109"/>
        <v/>
      </c>
      <c r="X287" s="40"/>
      <c r="Y287" s="14"/>
      <c r="AZ287" t="str">
        <f>IF($C287="","",ANAGRAFICA!$P284)</f>
        <v/>
      </c>
      <c r="BA287" t="str">
        <f>IF($C287="","",SUMIF('MOVIMENTI 2026'!$B$7:$B$4206,$C287,'MOVIMENTI 2026'!$I$7:$I$4206)+SUMIF('SALDI AL 31.12.2025'!$A$6:$A$505,$C287,'SALDI AL 31.12.2025'!$C$6:$C$505))</f>
        <v/>
      </c>
      <c r="BB287" t="str">
        <f>IF($C287="","",SUMIF('MOVIMENTI 2026'!$B$7:$B$4206,$C287,'MOVIMENTI 2026'!$J$7:$J$4206)+SUMIF('SALDI AL 31.12.2025'!$A$6:$A$505,$C287,'SALDI AL 31.12.2025'!$D$6:$D$505))</f>
        <v/>
      </c>
      <c r="BC287" t="str">
        <f>IF($C287="","",SUMIF('MOVIMENTI 2026'!$B$7:$B$4206,$C287,'MOVIMENTI 2026'!$K$7:$K$4206)+SUMIF('SALDI AL 31.12.2025'!$A$6:$A$505,$C287,'SALDI AL 31.12.2025'!$E$6:$E$505))</f>
        <v/>
      </c>
      <c r="BD287" t="str">
        <f>IF($C287="","",SUMIF('MOVIMENTI 2026'!$B$7:$B$4206,$C287,'MOVIMENTI 2026'!$L$7:$L$4206)+SUMIF('SALDI AL 31.12.2025'!$A$6:$A$505,$C287,'SALDI AL 31.12.2025'!$F$6:$F$505))</f>
        <v/>
      </c>
      <c r="BE287" t="str">
        <f t="shared" si="110"/>
        <v/>
      </c>
      <c r="BF287" t="str">
        <f t="shared" si="111"/>
        <v/>
      </c>
      <c r="BG287" t="str">
        <f t="shared" si="112"/>
        <v/>
      </c>
      <c r="BH287" t="str">
        <f>IFERROR(IF(OR($C287="",ANAGRAFICA!$I284="",ANAGRAFICA!$J284="",ANAGRAFICA!$J284&lt;=ANAGRAFICA!$I284,$Y287=""),"",IF(OR($I287="Finito ritenute non previste",$I287="Finito con sblocco ritenute",$I287="Finito senza sblocco ritenute"),1,MAX(0,MIN(1,($Y287-ANAGRAFICA!$I284)/(ANAGRAFICA!$J284-ANAGRAFICA!$I284))))),"")</f>
        <v/>
      </c>
      <c r="BI287" t="str">
        <f t="shared" si="113"/>
        <v/>
      </c>
      <c r="BJ287" t="str">
        <f>IFERROR(IF($C287="","",'BUDGET COMMESSA'!$D284),"")</f>
        <v/>
      </c>
      <c r="BK287" t="str">
        <f>IF($C287="","",SUMIF('MOVIMENTI 2026'!$B$7:$B$4206,$C287,'MOVIMENTI 2026'!$N$7:$N$4206)+SUMIF('SALDI AL 31.12.2025'!$A$6:$A$505,$C287,'SALDI AL 31.12.2025'!$H$6:$H$505))</f>
        <v/>
      </c>
      <c r="BL287" t="str">
        <f t="shared" si="114"/>
        <v/>
      </c>
      <c r="BM287" t="str">
        <f t="shared" si="115"/>
        <v/>
      </c>
      <c r="BN287" t="str">
        <f t="shared" si="116"/>
        <v/>
      </c>
      <c r="BO287" t="str">
        <f>IFERROR(IF($C287="","",'BUDGET COMMESSA'!$G284),"")</f>
        <v/>
      </c>
      <c r="BP287" t="str">
        <f>IF($C287="","",SUMIF('COSTI DIRETTI'!$C$6:$C$505,$C287,'COSTI DIRETTI'!$H$6:$H$505)+SUMIF('SALDI AL 31.12.2025'!$A$6:$A$505,$C287,'SALDI AL 31.12.2025'!$I$6:$I$505))</f>
        <v/>
      </c>
      <c r="BQ287" t="str">
        <f t="shared" si="117"/>
        <v/>
      </c>
      <c r="BR287" t="str">
        <f t="shared" si="118"/>
        <v/>
      </c>
      <c r="BS287" t="str">
        <f>IF($C287="","",$BK287*PARAMETRI!$B$4+$BP287)</f>
        <v/>
      </c>
      <c r="BT287">
        <f t="shared" si="119"/>
        <v>0</v>
      </c>
      <c r="BU287">
        <f t="shared" si="120"/>
        <v>0</v>
      </c>
      <c r="BV287" t="str">
        <f>IF($C287="","",SUMIF('MOVIMENTI 2026'!$B$7:$B$4206,$C287,'MOVIMENTI 2026'!$P$7:$P$4206)+SUMIF('SALDI AL 31.12.2025'!$A$6:$A$505,$C287,'SALDI AL 31.12.2025'!$G$6:$G$505))</f>
        <v/>
      </c>
    </row>
    <row r="288" spans="1:74" ht="16" x14ac:dyDescent="0.15">
      <c r="A288" s="17" t="str">
        <f>IFERROR(IF($C288="","",IF(OR($BF288&gt;0,$V288&gt;$J288,AND(ISNUMBER($Q288),$Q288&gt;0),AND($BI288&lt;&gt;"",$BI288&lt;-PARAMETRI!$B$6),AND($BM288&lt;&gt;"",$BM288&gt;=1),AND($BN288&lt;&gt;"",$BN288&gt;PARAMETRI!$B$8),AND(ISNUMBER($BR288),$BR288&gt;0)),"CRITICO",IF(OR($AZ288="",LEFT($C288,5)="TEMP",$BJ288="",$BO288="",ANAGRAFICA!$I285="",ANAGRAFICA!$J285="",$Y288="",AND(OR($I288="Finito ritenute non previste",$I288="Finito con sblocco ritenute",$I288="Finito senza sblocco ritenute"),ANAGRAFICA!$K285=""),OR(AND(ANAGRAFICA!$T285&lt;&gt;"",ANAGRAFICA!$J285&lt;&gt;ANAGRAFICA!$T285,OR(ANAGRAFICA!$R285="",ANAGRAFICA!$R285="Nessuna variazione")),AND(ANAGRAFICA!$J285="",ANAGRAFICA!$R285&lt;&gt;"",ANAGRAFICA!$R285&lt;&gt;"Nessuna variazione")),AND($BI288&lt;&gt;"",$BI288&lt;-PARAMETRI!$B$5),AND($BN288&lt;&gt;"",$BN288&gt;PARAMETRI!$B$7),AND($W288&gt;0,$M288&gt;$W288*PARAMETRI!$B$9),AND($O288&gt;0,OR($I288="Finito ritenute non previste",$I288="Finito con sblocco ritenute",$I288="Finito senza sblocco ritenute")),AND($BA288&gt;0,$BO288&gt;0,$BP288=0),AND(OR($I288="Finito ritenute non previste",$I288="Finito con sblocco ritenute",$I288="Finito senza sblocco ritenute"),$W288&gt;0,$N288&gt;$W288*PARAMETRI!$B$9),$V288&gt;0),"ATTENZIONE","REGOLARE"))),"ATTENZIONE")</f>
        <v/>
      </c>
      <c r="B288" s="17" t="str">
        <f>IFERROR(IF($C288="","",IF($BF288&gt;0,"FATTURATO OLTRE VALORE RECUPERABILE; ","")&amp;IF($V288&gt;$J288,"PERDITE ACCETTATE OLTRE CONTRATTO; ","")&amp;IF($V288&gt;0,"PERDITA SAL ACCETTATA (€ "&amp;TEXT($V288,"#,##0.00")&amp;"); ","")&amp;IF(AND(ISNUMBER($Q288),$Q288&gt;0),"RITARDO PRODUTTIVO ("&amp;TEXT($Q288,"0")&amp;" GG); ","")&amp;IF(AND($BI288&lt;&gt;"",$BI288&lt;-PARAMETRI!$B$5),"AVANZAMENTO PIÙ LENTO DEL TEMPO; ","")&amp;IF(AND($BM288&lt;&gt;"",$BM288&gt;1),"ORE OLTRE BUDGET; ","")&amp;IF(AND($BM288&lt;&gt;"",$BM288=1),"ORE PREVENTIVATE ESAURITE; ","")&amp;IF(AND($BN288&lt;&gt;"",$BN288&gt;PARAMETRI!$B$7),"CONSUMO ORE SUPERIORE ALL'AVANZAMENTO; ","")&amp;IF(AND(ISNUMBER($BR288),$BR288&gt;0),"COSTI DIRETTI OLTRE BUDGET; ","")&amp;IF(AND($W288&gt;0,$M288&gt;$W288*PARAMETRI!$B$9),"SAL MATURATO NON FATTURATO; ","")&amp;IF(AND($O288&gt;0,OR($I288="Finito ritenute non previste",$I288="Finito con sblocco ritenute",$I288="Finito senza sblocco ritenute")),"RITENUTE DA SBLOCCARE; ","")&amp;IF(AND($BA288&gt;0,$BO288&gt;0,$BP288=0),"COSTI DIRETTI NON REGISTRATI; ","")&amp;IF(AND(OR($I288="Finito ritenute non previste",$I288="Finito con sblocco ritenute",$I288="Finito senza sblocco ritenute"),$W288&gt;0,$N288&gt;$W288*PARAMETRI!$B$9),"CANTIERE FINITO CON RESIDUO LAVORI; ","")&amp;IF(AND(OR($I288="Finito ritenute non previste",$I288="Finito con sblocco ritenute",$I288="Finito senza sblocco ritenute"),ANAGRAFICA!$K285=""),"DATA FINE EFFETTIVA MANCANTE; ","")&amp;IF(OR(AND(ANAGRAFICA!$T285&lt;&gt;"",ANAGRAFICA!$J285&lt;&gt;ANAGRAFICA!$T285,OR(ANAGRAFICA!$R285="",ANAGRAFICA!$R285="Nessuna variazione")),AND(ANAGRAFICA!$J285="",ANAGRAFICA!$R285&lt;&gt;"",ANAGRAFICA!$R285&lt;&gt;"Nessuna variazione")),"GESTIONE DATA FINE INCOMPLETA; ","")&amp;IF($Y288="","AGGIORNATO AL MANCANTE; ","")&amp;IF(OR($AZ288="",$BJ288="",$BO288="",ANAGRAFICA!$I285="",ANAGRAFICA!$J285=""),"DATI PREVISIONALI INCOMPLETI; ","")&amp;IF(LEFT($C288,5)="TEMP","CODICE COMMESSA TEMPORANEO; ","")),"DATI INCOMPLETI; ")</f>
        <v/>
      </c>
      <c r="C288" s="17" t="str">
        <f>IF(ANAGRAFICA!$B285="","",ANAGRAFICA!$B285)</f>
        <v/>
      </c>
      <c r="D288" s="17" t="str">
        <f>IF($C288="","",ANAGRAFICA!$C285)</f>
        <v/>
      </c>
      <c r="E288" s="17" t="str">
        <f>IF($C288="","",ANAGRAFICA!$D285)</f>
        <v/>
      </c>
      <c r="F288" s="17" t="str">
        <f>IF($C288="","",ANAGRAFICA!$E285)</f>
        <v/>
      </c>
      <c r="G288" s="17" t="str">
        <f>IF($C288="","",ANAGRAFICA!$F285)</f>
        <v/>
      </c>
      <c r="H288" s="17" t="str">
        <f>IF($C288="","",ANAGRAFICA!$G285)</f>
        <v/>
      </c>
      <c r="I288" s="17" t="str">
        <f>IF($C288="","",ANAGRAFICA!$L285)</f>
        <v/>
      </c>
      <c r="J288" s="16" t="str">
        <f t="shared" si="97"/>
        <v/>
      </c>
      <c r="K288" s="16" t="str">
        <f t="shared" si="98"/>
        <v/>
      </c>
      <c r="L288" s="16" t="str">
        <f t="shared" si="99"/>
        <v/>
      </c>
      <c r="M288" s="16" t="str">
        <f t="shared" si="100"/>
        <v/>
      </c>
      <c r="N288" s="16" t="str">
        <f t="shared" si="101"/>
        <v/>
      </c>
      <c r="O288" s="16" t="str">
        <f t="shared" si="102"/>
        <v/>
      </c>
      <c r="P288" s="17" t="str">
        <f t="shared" si="103"/>
        <v/>
      </c>
      <c r="Q288" s="31" t="str">
        <f>IF(OR($C288="",'BUDGET COMMESSA'!$D285="",'BUDGET COMMESSA'!$D285&lt;=0,ANAGRAFICA!$J285=""),"",IF(OR($I288="Finito ritenute non previste",$I288="Finito con sblocco ritenute",$I288="Finito senza sblocco ritenute"),0,IF(AND($BK288&gt;=$BJ288,ANAGRAFICA!$R285="Ritardo produttivo FIDA"),IF(ANAGRAFICA!$T285&lt;&gt;"",MAX(0,ANAGRAFICA!$J285-ANAGRAFICA!$T285),MAX(0,$Y288-ANAGRAFICA!$J285)),0)))</f>
        <v/>
      </c>
      <c r="R288" s="17" t="str">
        <f t="shared" si="104"/>
        <v/>
      </c>
      <c r="S288" s="17" t="str">
        <f t="shared" si="105"/>
        <v/>
      </c>
      <c r="T288" s="17" t="str">
        <f t="shared" si="106"/>
        <v/>
      </c>
      <c r="U288" s="16" t="str">
        <f t="shared" si="107"/>
        <v/>
      </c>
      <c r="V288" s="16" t="str">
        <f t="shared" si="108"/>
        <v/>
      </c>
      <c r="W288" s="16" t="str">
        <f t="shared" si="109"/>
        <v/>
      </c>
      <c r="X288" s="40"/>
      <c r="Y288" s="14"/>
      <c r="AZ288" t="str">
        <f>IF($C288="","",ANAGRAFICA!$P285)</f>
        <v/>
      </c>
      <c r="BA288" t="str">
        <f>IF($C288="","",SUMIF('MOVIMENTI 2026'!$B$7:$B$4206,$C288,'MOVIMENTI 2026'!$I$7:$I$4206)+SUMIF('SALDI AL 31.12.2025'!$A$6:$A$505,$C288,'SALDI AL 31.12.2025'!$C$6:$C$505))</f>
        <v/>
      </c>
      <c r="BB288" t="str">
        <f>IF($C288="","",SUMIF('MOVIMENTI 2026'!$B$7:$B$4206,$C288,'MOVIMENTI 2026'!$J$7:$J$4206)+SUMIF('SALDI AL 31.12.2025'!$A$6:$A$505,$C288,'SALDI AL 31.12.2025'!$D$6:$D$505))</f>
        <v/>
      </c>
      <c r="BC288" t="str">
        <f>IF($C288="","",SUMIF('MOVIMENTI 2026'!$B$7:$B$4206,$C288,'MOVIMENTI 2026'!$K$7:$K$4206)+SUMIF('SALDI AL 31.12.2025'!$A$6:$A$505,$C288,'SALDI AL 31.12.2025'!$E$6:$E$505))</f>
        <v/>
      </c>
      <c r="BD288" t="str">
        <f>IF($C288="","",SUMIF('MOVIMENTI 2026'!$B$7:$B$4206,$C288,'MOVIMENTI 2026'!$L$7:$L$4206)+SUMIF('SALDI AL 31.12.2025'!$A$6:$A$505,$C288,'SALDI AL 31.12.2025'!$F$6:$F$505))</f>
        <v/>
      </c>
      <c r="BE288" t="str">
        <f t="shared" si="110"/>
        <v/>
      </c>
      <c r="BF288" t="str">
        <f t="shared" si="111"/>
        <v/>
      </c>
      <c r="BG288" t="str">
        <f t="shared" si="112"/>
        <v/>
      </c>
      <c r="BH288" t="str">
        <f>IFERROR(IF(OR($C288="",ANAGRAFICA!$I285="",ANAGRAFICA!$J285="",ANAGRAFICA!$J285&lt;=ANAGRAFICA!$I285,$Y288=""),"",IF(OR($I288="Finito ritenute non previste",$I288="Finito con sblocco ritenute",$I288="Finito senza sblocco ritenute"),1,MAX(0,MIN(1,($Y288-ANAGRAFICA!$I285)/(ANAGRAFICA!$J285-ANAGRAFICA!$I285))))),"")</f>
        <v/>
      </c>
      <c r="BI288" t="str">
        <f t="shared" si="113"/>
        <v/>
      </c>
      <c r="BJ288" t="str">
        <f>IFERROR(IF($C288="","",'BUDGET COMMESSA'!$D285),"")</f>
        <v/>
      </c>
      <c r="BK288" t="str">
        <f>IF($C288="","",SUMIF('MOVIMENTI 2026'!$B$7:$B$4206,$C288,'MOVIMENTI 2026'!$N$7:$N$4206)+SUMIF('SALDI AL 31.12.2025'!$A$6:$A$505,$C288,'SALDI AL 31.12.2025'!$H$6:$H$505))</f>
        <v/>
      </c>
      <c r="BL288" t="str">
        <f t="shared" si="114"/>
        <v/>
      </c>
      <c r="BM288" t="str">
        <f t="shared" si="115"/>
        <v/>
      </c>
      <c r="BN288" t="str">
        <f t="shared" si="116"/>
        <v/>
      </c>
      <c r="BO288" t="str">
        <f>IFERROR(IF($C288="","",'BUDGET COMMESSA'!$G285),"")</f>
        <v/>
      </c>
      <c r="BP288" t="str">
        <f>IF($C288="","",SUMIF('COSTI DIRETTI'!$C$6:$C$505,$C288,'COSTI DIRETTI'!$H$6:$H$505)+SUMIF('SALDI AL 31.12.2025'!$A$6:$A$505,$C288,'SALDI AL 31.12.2025'!$I$6:$I$505))</f>
        <v/>
      </c>
      <c r="BQ288" t="str">
        <f t="shared" si="117"/>
        <v/>
      </c>
      <c r="BR288" t="str">
        <f t="shared" si="118"/>
        <v/>
      </c>
      <c r="BS288" t="str">
        <f>IF($C288="","",$BK288*PARAMETRI!$B$4+$BP288)</f>
        <v/>
      </c>
      <c r="BT288">
        <f t="shared" si="119"/>
        <v>0</v>
      </c>
      <c r="BU288">
        <f t="shared" si="120"/>
        <v>0</v>
      </c>
      <c r="BV288" t="str">
        <f>IF($C288="","",SUMIF('MOVIMENTI 2026'!$B$7:$B$4206,$C288,'MOVIMENTI 2026'!$P$7:$P$4206)+SUMIF('SALDI AL 31.12.2025'!$A$6:$A$505,$C288,'SALDI AL 31.12.2025'!$G$6:$G$505))</f>
        <v/>
      </c>
    </row>
    <row r="289" spans="1:74" ht="16" x14ac:dyDescent="0.15">
      <c r="A289" s="17" t="str">
        <f>IFERROR(IF($C289="","",IF(OR($BF289&gt;0,$V289&gt;$J289,AND(ISNUMBER($Q289),$Q289&gt;0),AND($BI289&lt;&gt;"",$BI289&lt;-PARAMETRI!$B$6),AND($BM289&lt;&gt;"",$BM289&gt;=1),AND($BN289&lt;&gt;"",$BN289&gt;PARAMETRI!$B$8),AND(ISNUMBER($BR289),$BR289&gt;0)),"CRITICO",IF(OR($AZ289="",LEFT($C289,5)="TEMP",$BJ289="",$BO289="",ANAGRAFICA!$I286="",ANAGRAFICA!$J286="",$Y289="",AND(OR($I289="Finito ritenute non previste",$I289="Finito con sblocco ritenute",$I289="Finito senza sblocco ritenute"),ANAGRAFICA!$K286=""),OR(AND(ANAGRAFICA!$T286&lt;&gt;"",ANAGRAFICA!$J286&lt;&gt;ANAGRAFICA!$T286,OR(ANAGRAFICA!$R286="",ANAGRAFICA!$R286="Nessuna variazione")),AND(ANAGRAFICA!$J286="",ANAGRAFICA!$R286&lt;&gt;"",ANAGRAFICA!$R286&lt;&gt;"Nessuna variazione")),AND($BI289&lt;&gt;"",$BI289&lt;-PARAMETRI!$B$5),AND($BN289&lt;&gt;"",$BN289&gt;PARAMETRI!$B$7),AND($W289&gt;0,$M289&gt;$W289*PARAMETRI!$B$9),AND($O289&gt;0,OR($I289="Finito ritenute non previste",$I289="Finito con sblocco ritenute",$I289="Finito senza sblocco ritenute")),AND($BA289&gt;0,$BO289&gt;0,$BP289=0),AND(OR($I289="Finito ritenute non previste",$I289="Finito con sblocco ritenute",$I289="Finito senza sblocco ritenute"),$W289&gt;0,$N289&gt;$W289*PARAMETRI!$B$9),$V289&gt;0),"ATTENZIONE","REGOLARE"))),"ATTENZIONE")</f>
        <v/>
      </c>
      <c r="B289" s="17" t="str">
        <f>IFERROR(IF($C289="","",IF($BF289&gt;0,"FATTURATO OLTRE VALORE RECUPERABILE; ","")&amp;IF($V289&gt;$J289,"PERDITE ACCETTATE OLTRE CONTRATTO; ","")&amp;IF($V289&gt;0,"PERDITA SAL ACCETTATA (€ "&amp;TEXT($V289,"#,##0.00")&amp;"); ","")&amp;IF(AND(ISNUMBER($Q289),$Q289&gt;0),"RITARDO PRODUTTIVO ("&amp;TEXT($Q289,"0")&amp;" GG); ","")&amp;IF(AND($BI289&lt;&gt;"",$BI289&lt;-PARAMETRI!$B$5),"AVANZAMENTO PIÙ LENTO DEL TEMPO; ","")&amp;IF(AND($BM289&lt;&gt;"",$BM289&gt;1),"ORE OLTRE BUDGET; ","")&amp;IF(AND($BM289&lt;&gt;"",$BM289=1),"ORE PREVENTIVATE ESAURITE; ","")&amp;IF(AND($BN289&lt;&gt;"",$BN289&gt;PARAMETRI!$B$7),"CONSUMO ORE SUPERIORE ALL'AVANZAMENTO; ","")&amp;IF(AND(ISNUMBER($BR289),$BR289&gt;0),"COSTI DIRETTI OLTRE BUDGET; ","")&amp;IF(AND($W289&gt;0,$M289&gt;$W289*PARAMETRI!$B$9),"SAL MATURATO NON FATTURATO; ","")&amp;IF(AND($O289&gt;0,OR($I289="Finito ritenute non previste",$I289="Finito con sblocco ritenute",$I289="Finito senza sblocco ritenute")),"RITENUTE DA SBLOCCARE; ","")&amp;IF(AND($BA289&gt;0,$BO289&gt;0,$BP289=0),"COSTI DIRETTI NON REGISTRATI; ","")&amp;IF(AND(OR($I289="Finito ritenute non previste",$I289="Finito con sblocco ritenute",$I289="Finito senza sblocco ritenute"),$W289&gt;0,$N289&gt;$W289*PARAMETRI!$B$9),"CANTIERE FINITO CON RESIDUO LAVORI; ","")&amp;IF(AND(OR($I289="Finito ritenute non previste",$I289="Finito con sblocco ritenute",$I289="Finito senza sblocco ritenute"),ANAGRAFICA!$K286=""),"DATA FINE EFFETTIVA MANCANTE; ","")&amp;IF(OR(AND(ANAGRAFICA!$T286&lt;&gt;"",ANAGRAFICA!$J286&lt;&gt;ANAGRAFICA!$T286,OR(ANAGRAFICA!$R286="",ANAGRAFICA!$R286="Nessuna variazione")),AND(ANAGRAFICA!$J286="",ANAGRAFICA!$R286&lt;&gt;"",ANAGRAFICA!$R286&lt;&gt;"Nessuna variazione")),"GESTIONE DATA FINE INCOMPLETA; ","")&amp;IF($Y289="","AGGIORNATO AL MANCANTE; ","")&amp;IF(OR($AZ289="",$BJ289="",$BO289="",ANAGRAFICA!$I286="",ANAGRAFICA!$J286=""),"DATI PREVISIONALI INCOMPLETI; ","")&amp;IF(LEFT($C289,5)="TEMP","CODICE COMMESSA TEMPORANEO; ","")),"DATI INCOMPLETI; ")</f>
        <v/>
      </c>
      <c r="C289" s="17" t="str">
        <f>IF(ANAGRAFICA!$B286="","",ANAGRAFICA!$B286)</f>
        <v/>
      </c>
      <c r="D289" s="17" t="str">
        <f>IF($C289="","",ANAGRAFICA!$C286)</f>
        <v/>
      </c>
      <c r="E289" s="17" t="str">
        <f>IF($C289="","",ANAGRAFICA!$D286)</f>
        <v/>
      </c>
      <c r="F289" s="17" t="str">
        <f>IF($C289="","",ANAGRAFICA!$E286)</f>
        <v/>
      </c>
      <c r="G289" s="17" t="str">
        <f>IF($C289="","",ANAGRAFICA!$F286)</f>
        <v/>
      </c>
      <c r="H289" s="17" t="str">
        <f>IF($C289="","",ANAGRAFICA!$G286)</f>
        <v/>
      </c>
      <c r="I289" s="17" t="str">
        <f>IF($C289="","",ANAGRAFICA!$L286)</f>
        <v/>
      </c>
      <c r="J289" s="16" t="str">
        <f t="shared" si="97"/>
        <v/>
      </c>
      <c r="K289" s="16" t="str">
        <f t="shared" si="98"/>
        <v/>
      </c>
      <c r="L289" s="16" t="str">
        <f t="shared" si="99"/>
        <v/>
      </c>
      <c r="M289" s="16" t="str">
        <f t="shared" si="100"/>
        <v/>
      </c>
      <c r="N289" s="16" t="str">
        <f t="shared" si="101"/>
        <v/>
      </c>
      <c r="O289" s="16" t="str">
        <f t="shared" si="102"/>
        <v/>
      </c>
      <c r="P289" s="17" t="str">
        <f t="shared" si="103"/>
        <v/>
      </c>
      <c r="Q289" s="31" t="str">
        <f>IF(OR($C289="",'BUDGET COMMESSA'!$D286="",'BUDGET COMMESSA'!$D286&lt;=0,ANAGRAFICA!$J286=""),"",IF(OR($I289="Finito ritenute non previste",$I289="Finito con sblocco ritenute",$I289="Finito senza sblocco ritenute"),0,IF(AND($BK289&gt;=$BJ289,ANAGRAFICA!$R286="Ritardo produttivo FIDA"),IF(ANAGRAFICA!$T286&lt;&gt;"",MAX(0,ANAGRAFICA!$J286-ANAGRAFICA!$T286),MAX(0,$Y289-ANAGRAFICA!$J286)),0)))</f>
        <v/>
      </c>
      <c r="R289" s="17" t="str">
        <f t="shared" si="104"/>
        <v/>
      </c>
      <c r="S289" s="17" t="str">
        <f t="shared" si="105"/>
        <v/>
      </c>
      <c r="T289" s="17" t="str">
        <f t="shared" si="106"/>
        <v/>
      </c>
      <c r="U289" s="16" t="str">
        <f t="shared" si="107"/>
        <v/>
      </c>
      <c r="V289" s="16" t="str">
        <f t="shared" si="108"/>
        <v/>
      </c>
      <c r="W289" s="16" t="str">
        <f t="shared" si="109"/>
        <v/>
      </c>
      <c r="X289" s="40"/>
      <c r="Y289" s="14"/>
      <c r="AZ289" t="str">
        <f>IF($C289="","",ANAGRAFICA!$P286)</f>
        <v/>
      </c>
      <c r="BA289" t="str">
        <f>IF($C289="","",SUMIF('MOVIMENTI 2026'!$B$7:$B$4206,$C289,'MOVIMENTI 2026'!$I$7:$I$4206)+SUMIF('SALDI AL 31.12.2025'!$A$6:$A$505,$C289,'SALDI AL 31.12.2025'!$C$6:$C$505))</f>
        <v/>
      </c>
      <c r="BB289" t="str">
        <f>IF($C289="","",SUMIF('MOVIMENTI 2026'!$B$7:$B$4206,$C289,'MOVIMENTI 2026'!$J$7:$J$4206)+SUMIF('SALDI AL 31.12.2025'!$A$6:$A$505,$C289,'SALDI AL 31.12.2025'!$D$6:$D$505))</f>
        <v/>
      </c>
      <c r="BC289" t="str">
        <f>IF($C289="","",SUMIF('MOVIMENTI 2026'!$B$7:$B$4206,$C289,'MOVIMENTI 2026'!$K$7:$K$4206)+SUMIF('SALDI AL 31.12.2025'!$A$6:$A$505,$C289,'SALDI AL 31.12.2025'!$E$6:$E$505))</f>
        <v/>
      </c>
      <c r="BD289" t="str">
        <f>IF($C289="","",SUMIF('MOVIMENTI 2026'!$B$7:$B$4206,$C289,'MOVIMENTI 2026'!$L$7:$L$4206)+SUMIF('SALDI AL 31.12.2025'!$A$6:$A$505,$C289,'SALDI AL 31.12.2025'!$F$6:$F$505))</f>
        <v/>
      </c>
      <c r="BE289" t="str">
        <f t="shared" si="110"/>
        <v/>
      </c>
      <c r="BF289" t="str">
        <f t="shared" si="111"/>
        <v/>
      </c>
      <c r="BG289" t="str">
        <f t="shared" si="112"/>
        <v/>
      </c>
      <c r="BH289" t="str">
        <f>IFERROR(IF(OR($C289="",ANAGRAFICA!$I286="",ANAGRAFICA!$J286="",ANAGRAFICA!$J286&lt;=ANAGRAFICA!$I286,$Y289=""),"",IF(OR($I289="Finito ritenute non previste",$I289="Finito con sblocco ritenute",$I289="Finito senza sblocco ritenute"),1,MAX(0,MIN(1,($Y289-ANAGRAFICA!$I286)/(ANAGRAFICA!$J286-ANAGRAFICA!$I286))))),"")</f>
        <v/>
      </c>
      <c r="BI289" t="str">
        <f t="shared" si="113"/>
        <v/>
      </c>
      <c r="BJ289" t="str">
        <f>IFERROR(IF($C289="","",'BUDGET COMMESSA'!$D286),"")</f>
        <v/>
      </c>
      <c r="BK289" t="str">
        <f>IF($C289="","",SUMIF('MOVIMENTI 2026'!$B$7:$B$4206,$C289,'MOVIMENTI 2026'!$N$7:$N$4206)+SUMIF('SALDI AL 31.12.2025'!$A$6:$A$505,$C289,'SALDI AL 31.12.2025'!$H$6:$H$505))</f>
        <v/>
      </c>
      <c r="BL289" t="str">
        <f t="shared" si="114"/>
        <v/>
      </c>
      <c r="BM289" t="str">
        <f t="shared" si="115"/>
        <v/>
      </c>
      <c r="BN289" t="str">
        <f t="shared" si="116"/>
        <v/>
      </c>
      <c r="BO289" t="str">
        <f>IFERROR(IF($C289="","",'BUDGET COMMESSA'!$G286),"")</f>
        <v/>
      </c>
      <c r="BP289" t="str">
        <f>IF($C289="","",SUMIF('COSTI DIRETTI'!$C$6:$C$505,$C289,'COSTI DIRETTI'!$H$6:$H$505)+SUMIF('SALDI AL 31.12.2025'!$A$6:$A$505,$C289,'SALDI AL 31.12.2025'!$I$6:$I$505))</f>
        <v/>
      </c>
      <c r="BQ289" t="str">
        <f t="shared" si="117"/>
        <v/>
      </c>
      <c r="BR289" t="str">
        <f t="shared" si="118"/>
        <v/>
      </c>
      <c r="BS289" t="str">
        <f>IF($C289="","",$BK289*PARAMETRI!$B$4+$BP289)</f>
        <v/>
      </c>
      <c r="BT289">
        <f t="shared" si="119"/>
        <v>0</v>
      </c>
      <c r="BU289">
        <f t="shared" si="120"/>
        <v>0</v>
      </c>
      <c r="BV289" t="str">
        <f>IF($C289="","",SUMIF('MOVIMENTI 2026'!$B$7:$B$4206,$C289,'MOVIMENTI 2026'!$P$7:$P$4206)+SUMIF('SALDI AL 31.12.2025'!$A$6:$A$505,$C289,'SALDI AL 31.12.2025'!$G$6:$G$505))</f>
        <v/>
      </c>
    </row>
    <row r="290" spans="1:74" ht="16" x14ac:dyDescent="0.15">
      <c r="A290" s="17" t="str">
        <f>IFERROR(IF($C290="","",IF(OR($BF290&gt;0,$V290&gt;$J290,AND(ISNUMBER($Q290),$Q290&gt;0),AND($BI290&lt;&gt;"",$BI290&lt;-PARAMETRI!$B$6),AND($BM290&lt;&gt;"",$BM290&gt;=1),AND($BN290&lt;&gt;"",$BN290&gt;PARAMETRI!$B$8),AND(ISNUMBER($BR290),$BR290&gt;0)),"CRITICO",IF(OR($AZ290="",LEFT($C290,5)="TEMP",$BJ290="",$BO290="",ANAGRAFICA!$I287="",ANAGRAFICA!$J287="",$Y290="",AND(OR($I290="Finito ritenute non previste",$I290="Finito con sblocco ritenute",$I290="Finito senza sblocco ritenute"),ANAGRAFICA!$K287=""),OR(AND(ANAGRAFICA!$T287&lt;&gt;"",ANAGRAFICA!$J287&lt;&gt;ANAGRAFICA!$T287,OR(ANAGRAFICA!$R287="",ANAGRAFICA!$R287="Nessuna variazione")),AND(ANAGRAFICA!$J287="",ANAGRAFICA!$R287&lt;&gt;"",ANAGRAFICA!$R287&lt;&gt;"Nessuna variazione")),AND($BI290&lt;&gt;"",$BI290&lt;-PARAMETRI!$B$5),AND($BN290&lt;&gt;"",$BN290&gt;PARAMETRI!$B$7),AND($W290&gt;0,$M290&gt;$W290*PARAMETRI!$B$9),AND($O290&gt;0,OR($I290="Finito ritenute non previste",$I290="Finito con sblocco ritenute",$I290="Finito senza sblocco ritenute")),AND($BA290&gt;0,$BO290&gt;0,$BP290=0),AND(OR($I290="Finito ritenute non previste",$I290="Finito con sblocco ritenute",$I290="Finito senza sblocco ritenute"),$W290&gt;0,$N290&gt;$W290*PARAMETRI!$B$9),$V290&gt;0),"ATTENZIONE","REGOLARE"))),"ATTENZIONE")</f>
        <v/>
      </c>
      <c r="B290" s="17" t="str">
        <f>IFERROR(IF($C290="","",IF($BF290&gt;0,"FATTURATO OLTRE VALORE RECUPERABILE; ","")&amp;IF($V290&gt;$J290,"PERDITE ACCETTATE OLTRE CONTRATTO; ","")&amp;IF($V290&gt;0,"PERDITA SAL ACCETTATA (€ "&amp;TEXT($V290,"#,##0.00")&amp;"); ","")&amp;IF(AND(ISNUMBER($Q290),$Q290&gt;0),"RITARDO PRODUTTIVO ("&amp;TEXT($Q290,"0")&amp;" GG); ","")&amp;IF(AND($BI290&lt;&gt;"",$BI290&lt;-PARAMETRI!$B$5),"AVANZAMENTO PIÙ LENTO DEL TEMPO; ","")&amp;IF(AND($BM290&lt;&gt;"",$BM290&gt;1),"ORE OLTRE BUDGET; ","")&amp;IF(AND($BM290&lt;&gt;"",$BM290=1),"ORE PREVENTIVATE ESAURITE; ","")&amp;IF(AND($BN290&lt;&gt;"",$BN290&gt;PARAMETRI!$B$7),"CONSUMO ORE SUPERIORE ALL'AVANZAMENTO; ","")&amp;IF(AND(ISNUMBER($BR290),$BR290&gt;0),"COSTI DIRETTI OLTRE BUDGET; ","")&amp;IF(AND($W290&gt;0,$M290&gt;$W290*PARAMETRI!$B$9),"SAL MATURATO NON FATTURATO; ","")&amp;IF(AND($O290&gt;0,OR($I290="Finito ritenute non previste",$I290="Finito con sblocco ritenute",$I290="Finito senza sblocco ritenute")),"RITENUTE DA SBLOCCARE; ","")&amp;IF(AND($BA290&gt;0,$BO290&gt;0,$BP290=0),"COSTI DIRETTI NON REGISTRATI; ","")&amp;IF(AND(OR($I290="Finito ritenute non previste",$I290="Finito con sblocco ritenute",$I290="Finito senza sblocco ritenute"),$W290&gt;0,$N290&gt;$W290*PARAMETRI!$B$9),"CANTIERE FINITO CON RESIDUO LAVORI; ","")&amp;IF(AND(OR($I290="Finito ritenute non previste",$I290="Finito con sblocco ritenute",$I290="Finito senza sblocco ritenute"),ANAGRAFICA!$K287=""),"DATA FINE EFFETTIVA MANCANTE; ","")&amp;IF(OR(AND(ANAGRAFICA!$T287&lt;&gt;"",ANAGRAFICA!$J287&lt;&gt;ANAGRAFICA!$T287,OR(ANAGRAFICA!$R287="",ANAGRAFICA!$R287="Nessuna variazione")),AND(ANAGRAFICA!$J287="",ANAGRAFICA!$R287&lt;&gt;"",ANAGRAFICA!$R287&lt;&gt;"Nessuna variazione")),"GESTIONE DATA FINE INCOMPLETA; ","")&amp;IF($Y290="","AGGIORNATO AL MANCANTE; ","")&amp;IF(OR($AZ290="",$BJ290="",$BO290="",ANAGRAFICA!$I287="",ANAGRAFICA!$J287=""),"DATI PREVISIONALI INCOMPLETI; ","")&amp;IF(LEFT($C290,5)="TEMP","CODICE COMMESSA TEMPORANEO; ","")),"DATI INCOMPLETI; ")</f>
        <v/>
      </c>
      <c r="C290" s="17" t="str">
        <f>IF(ANAGRAFICA!$B287="","",ANAGRAFICA!$B287)</f>
        <v/>
      </c>
      <c r="D290" s="17" t="str">
        <f>IF($C290="","",ANAGRAFICA!$C287)</f>
        <v/>
      </c>
      <c r="E290" s="17" t="str">
        <f>IF($C290="","",ANAGRAFICA!$D287)</f>
        <v/>
      </c>
      <c r="F290" s="17" t="str">
        <f>IF($C290="","",ANAGRAFICA!$E287)</f>
        <v/>
      </c>
      <c r="G290" s="17" t="str">
        <f>IF($C290="","",ANAGRAFICA!$F287)</f>
        <v/>
      </c>
      <c r="H290" s="17" t="str">
        <f>IF($C290="","",ANAGRAFICA!$G287)</f>
        <v/>
      </c>
      <c r="I290" s="17" t="str">
        <f>IF($C290="","",ANAGRAFICA!$L287)</f>
        <v/>
      </c>
      <c r="J290" s="16" t="str">
        <f t="shared" si="97"/>
        <v/>
      </c>
      <c r="K290" s="16" t="str">
        <f t="shared" si="98"/>
        <v/>
      </c>
      <c r="L290" s="16" t="str">
        <f t="shared" si="99"/>
        <v/>
      </c>
      <c r="M290" s="16" t="str">
        <f t="shared" si="100"/>
        <v/>
      </c>
      <c r="N290" s="16" t="str">
        <f t="shared" si="101"/>
        <v/>
      </c>
      <c r="O290" s="16" t="str">
        <f t="shared" si="102"/>
        <v/>
      </c>
      <c r="P290" s="17" t="str">
        <f t="shared" si="103"/>
        <v/>
      </c>
      <c r="Q290" s="31" t="str">
        <f>IF(OR($C290="",'BUDGET COMMESSA'!$D287="",'BUDGET COMMESSA'!$D287&lt;=0,ANAGRAFICA!$J287=""),"",IF(OR($I290="Finito ritenute non previste",$I290="Finito con sblocco ritenute",$I290="Finito senza sblocco ritenute"),0,IF(AND($BK290&gt;=$BJ290,ANAGRAFICA!$R287="Ritardo produttivo FIDA"),IF(ANAGRAFICA!$T287&lt;&gt;"",MAX(0,ANAGRAFICA!$J287-ANAGRAFICA!$T287),MAX(0,$Y290-ANAGRAFICA!$J287)),0)))</f>
        <v/>
      </c>
      <c r="R290" s="17" t="str">
        <f t="shared" si="104"/>
        <v/>
      </c>
      <c r="S290" s="17" t="str">
        <f t="shared" si="105"/>
        <v/>
      </c>
      <c r="T290" s="17" t="str">
        <f t="shared" si="106"/>
        <v/>
      </c>
      <c r="U290" s="16" t="str">
        <f t="shared" si="107"/>
        <v/>
      </c>
      <c r="V290" s="16" t="str">
        <f t="shared" si="108"/>
        <v/>
      </c>
      <c r="W290" s="16" t="str">
        <f t="shared" si="109"/>
        <v/>
      </c>
      <c r="X290" s="40"/>
      <c r="Y290" s="14"/>
      <c r="AZ290" t="str">
        <f>IF($C290="","",ANAGRAFICA!$P287)</f>
        <v/>
      </c>
      <c r="BA290" t="str">
        <f>IF($C290="","",SUMIF('MOVIMENTI 2026'!$B$7:$B$4206,$C290,'MOVIMENTI 2026'!$I$7:$I$4206)+SUMIF('SALDI AL 31.12.2025'!$A$6:$A$505,$C290,'SALDI AL 31.12.2025'!$C$6:$C$505))</f>
        <v/>
      </c>
      <c r="BB290" t="str">
        <f>IF($C290="","",SUMIF('MOVIMENTI 2026'!$B$7:$B$4206,$C290,'MOVIMENTI 2026'!$J$7:$J$4206)+SUMIF('SALDI AL 31.12.2025'!$A$6:$A$505,$C290,'SALDI AL 31.12.2025'!$D$6:$D$505))</f>
        <v/>
      </c>
      <c r="BC290" t="str">
        <f>IF($C290="","",SUMIF('MOVIMENTI 2026'!$B$7:$B$4206,$C290,'MOVIMENTI 2026'!$K$7:$K$4206)+SUMIF('SALDI AL 31.12.2025'!$A$6:$A$505,$C290,'SALDI AL 31.12.2025'!$E$6:$E$505))</f>
        <v/>
      </c>
      <c r="BD290" t="str">
        <f>IF($C290="","",SUMIF('MOVIMENTI 2026'!$B$7:$B$4206,$C290,'MOVIMENTI 2026'!$L$7:$L$4206)+SUMIF('SALDI AL 31.12.2025'!$A$6:$A$505,$C290,'SALDI AL 31.12.2025'!$F$6:$F$505))</f>
        <v/>
      </c>
      <c r="BE290" t="str">
        <f t="shared" si="110"/>
        <v/>
      </c>
      <c r="BF290" t="str">
        <f t="shared" si="111"/>
        <v/>
      </c>
      <c r="BG290" t="str">
        <f t="shared" si="112"/>
        <v/>
      </c>
      <c r="BH290" t="str">
        <f>IFERROR(IF(OR($C290="",ANAGRAFICA!$I287="",ANAGRAFICA!$J287="",ANAGRAFICA!$J287&lt;=ANAGRAFICA!$I287,$Y290=""),"",IF(OR($I290="Finito ritenute non previste",$I290="Finito con sblocco ritenute",$I290="Finito senza sblocco ritenute"),1,MAX(0,MIN(1,($Y290-ANAGRAFICA!$I287)/(ANAGRAFICA!$J287-ANAGRAFICA!$I287))))),"")</f>
        <v/>
      </c>
      <c r="BI290" t="str">
        <f t="shared" si="113"/>
        <v/>
      </c>
      <c r="BJ290" t="str">
        <f>IFERROR(IF($C290="","",'BUDGET COMMESSA'!$D287),"")</f>
        <v/>
      </c>
      <c r="BK290" t="str">
        <f>IF($C290="","",SUMIF('MOVIMENTI 2026'!$B$7:$B$4206,$C290,'MOVIMENTI 2026'!$N$7:$N$4206)+SUMIF('SALDI AL 31.12.2025'!$A$6:$A$505,$C290,'SALDI AL 31.12.2025'!$H$6:$H$505))</f>
        <v/>
      </c>
      <c r="BL290" t="str">
        <f t="shared" si="114"/>
        <v/>
      </c>
      <c r="BM290" t="str">
        <f t="shared" si="115"/>
        <v/>
      </c>
      <c r="BN290" t="str">
        <f t="shared" si="116"/>
        <v/>
      </c>
      <c r="BO290" t="str">
        <f>IFERROR(IF($C290="","",'BUDGET COMMESSA'!$G287),"")</f>
        <v/>
      </c>
      <c r="BP290" t="str">
        <f>IF($C290="","",SUMIF('COSTI DIRETTI'!$C$6:$C$505,$C290,'COSTI DIRETTI'!$H$6:$H$505)+SUMIF('SALDI AL 31.12.2025'!$A$6:$A$505,$C290,'SALDI AL 31.12.2025'!$I$6:$I$505))</f>
        <v/>
      </c>
      <c r="BQ290" t="str">
        <f t="shared" si="117"/>
        <v/>
      </c>
      <c r="BR290" t="str">
        <f t="shared" si="118"/>
        <v/>
      </c>
      <c r="BS290" t="str">
        <f>IF($C290="","",$BK290*PARAMETRI!$B$4+$BP290)</f>
        <v/>
      </c>
      <c r="BT290">
        <f t="shared" si="119"/>
        <v>0</v>
      </c>
      <c r="BU290">
        <f t="shared" si="120"/>
        <v>0</v>
      </c>
      <c r="BV290" t="str">
        <f>IF($C290="","",SUMIF('MOVIMENTI 2026'!$B$7:$B$4206,$C290,'MOVIMENTI 2026'!$P$7:$P$4206)+SUMIF('SALDI AL 31.12.2025'!$A$6:$A$505,$C290,'SALDI AL 31.12.2025'!$G$6:$G$505))</f>
        <v/>
      </c>
    </row>
    <row r="291" spans="1:74" ht="16" x14ac:dyDescent="0.15">
      <c r="A291" s="17" t="str">
        <f>IFERROR(IF($C291="","",IF(OR($BF291&gt;0,$V291&gt;$J291,AND(ISNUMBER($Q291),$Q291&gt;0),AND($BI291&lt;&gt;"",$BI291&lt;-PARAMETRI!$B$6),AND($BM291&lt;&gt;"",$BM291&gt;=1),AND($BN291&lt;&gt;"",$BN291&gt;PARAMETRI!$B$8),AND(ISNUMBER($BR291),$BR291&gt;0)),"CRITICO",IF(OR($AZ291="",LEFT($C291,5)="TEMP",$BJ291="",$BO291="",ANAGRAFICA!$I288="",ANAGRAFICA!$J288="",$Y291="",AND(OR($I291="Finito ritenute non previste",$I291="Finito con sblocco ritenute",$I291="Finito senza sblocco ritenute"),ANAGRAFICA!$K288=""),OR(AND(ANAGRAFICA!$T288&lt;&gt;"",ANAGRAFICA!$J288&lt;&gt;ANAGRAFICA!$T288,OR(ANAGRAFICA!$R288="",ANAGRAFICA!$R288="Nessuna variazione")),AND(ANAGRAFICA!$J288="",ANAGRAFICA!$R288&lt;&gt;"",ANAGRAFICA!$R288&lt;&gt;"Nessuna variazione")),AND($BI291&lt;&gt;"",$BI291&lt;-PARAMETRI!$B$5),AND($BN291&lt;&gt;"",$BN291&gt;PARAMETRI!$B$7),AND($W291&gt;0,$M291&gt;$W291*PARAMETRI!$B$9),AND($O291&gt;0,OR($I291="Finito ritenute non previste",$I291="Finito con sblocco ritenute",$I291="Finito senza sblocco ritenute")),AND($BA291&gt;0,$BO291&gt;0,$BP291=0),AND(OR($I291="Finito ritenute non previste",$I291="Finito con sblocco ritenute",$I291="Finito senza sblocco ritenute"),$W291&gt;0,$N291&gt;$W291*PARAMETRI!$B$9),$V291&gt;0),"ATTENZIONE","REGOLARE"))),"ATTENZIONE")</f>
        <v/>
      </c>
      <c r="B291" s="17" t="str">
        <f>IFERROR(IF($C291="","",IF($BF291&gt;0,"FATTURATO OLTRE VALORE RECUPERABILE; ","")&amp;IF($V291&gt;$J291,"PERDITE ACCETTATE OLTRE CONTRATTO; ","")&amp;IF($V291&gt;0,"PERDITA SAL ACCETTATA (€ "&amp;TEXT($V291,"#,##0.00")&amp;"); ","")&amp;IF(AND(ISNUMBER($Q291),$Q291&gt;0),"RITARDO PRODUTTIVO ("&amp;TEXT($Q291,"0")&amp;" GG); ","")&amp;IF(AND($BI291&lt;&gt;"",$BI291&lt;-PARAMETRI!$B$5),"AVANZAMENTO PIÙ LENTO DEL TEMPO; ","")&amp;IF(AND($BM291&lt;&gt;"",$BM291&gt;1),"ORE OLTRE BUDGET; ","")&amp;IF(AND($BM291&lt;&gt;"",$BM291=1),"ORE PREVENTIVATE ESAURITE; ","")&amp;IF(AND($BN291&lt;&gt;"",$BN291&gt;PARAMETRI!$B$7),"CONSUMO ORE SUPERIORE ALL'AVANZAMENTO; ","")&amp;IF(AND(ISNUMBER($BR291),$BR291&gt;0),"COSTI DIRETTI OLTRE BUDGET; ","")&amp;IF(AND($W291&gt;0,$M291&gt;$W291*PARAMETRI!$B$9),"SAL MATURATO NON FATTURATO; ","")&amp;IF(AND($O291&gt;0,OR($I291="Finito ritenute non previste",$I291="Finito con sblocco ritenute",$I291="Finito senza sblocco ritenute")),"RITENUTE DA SBLOCCARE; ","")&amp;IF(AND($BA291&gt;0,$BO291&gt;0,$BP291=0),"COSTI DIRETTI NON REGISTRATI; ","")&amp;IF(AND(OR($I291="Finito ritenute non previste",$I291="Finito con sblocco ritenute",$I291="Finito senza sblocco ritenute"),$W291&gt;0,$N291&gt;$W291*PARAMETRI!$B$9),"CANTIERE FINITO CON RESIDUO LAVORI; ","")&amp;IF(AND(OR($I291="Finito ritenute non previste",$I291="Finito con sblocco ritenute",$I291="Finito senza sblocco ritenute"),ANAGRAFICA!$K288=""),"DATA FINE EFFETTIVA MANCANTE; ","")&amp;IF(OR(AND(ANAGRAFICA!$T288&lt;&gt;"",ANAGRAFICA!$J288&lt;&gt;ANAGRAFICA!$T288,OR(ANAGRAFICA!$R288="",ANAGRAFICA!$R288="Nessuna variazione")),AND(ANAGRAFICA!$J288="",ANAGRAFICA!$R288&lt;&gt;"",ANAGRAFICA!$R288&lt;&gt;"Nessuna variazione")),"GESTIONE DATA FINE INCOMPLETA; ","")&amp;IF($Y291="","AGGIORNATO AL MANCANTE; ","")&amp;IF(OR($AZ291="",$BJ291="",$BO291="",ANAGRAFICA!$I288="",ANAGRAFICA!$J288=""),"DATI PREVISIONALI INCOMPLETI; ","")&amp;IF(LEFT($C291,5)="TEMP","CODICE COMMESSA TEMPORANEO; ","")),"DATI INCOMPLETI; ")</f>
        <v/>
      </c>
      <c r="C291" s="17" t="str">
        <f>IF(ANAGRAFICA!$B288="","",ANAGRAFICA!$B288)</f>
        <v/>
      </c>
      <c r="D291" s="17" t="str">
        <f>IF($C291="","",ANAGRAFICA!$C288)</f>
        <v/>
      </c>
      <c r="E291" s="17" t="str">
        <f>IF($C291="","",ANAGRAFICA!$D288)</f>
        <v/>
      </c>
      <c r="F291" s="17" t="str">
        <f>IF($C291="","",ANAGRAFICA!$E288)</f>
        <v/>
      </c>
      <c r="G291" s="17" t="str">
        <f>IF($C291="","",ANAGRAFICA!$F288)</f>
        <v/>
      </c>
      <c r="H291" s="17" t="str">
        <f>IF($C291="","",ANAGRAFICA!$G288)</f>
        <v/>
      </c>
      <c r="I291" s="17" t="str">
        <f>IF($C291="","",ANAGRAFICA!$L288)</f>
        <v/>
      </c>
      <c r="J291" s="16" t="str">
        <f t="shared" si="97"/>
        <v/>
      </c>
      <c r="K291" s="16" t="str">
        <f t="shared" si="98"/>
        <v/>
      </c>
      <c r="L291" s="16" t="str">
        <f t="shared" si="99"/>
        <v/>
      </c>
      <c r="M291" s="16" t="str">
        <f t="shared" si="100"/>
        <v/>
      </c>
      <c r="N291" s="16" t="str">
        <f t="shared" si="101"/>
        <v/>
      </c>
      <c r="O291" s="16" t="str">
        <f t="shared" si="102"/>
        <v/>
      </c>
      <c r="P291" s="17" t="str">
        <f t="shared" si="103"/>
        <v/>
      </c>
      <c r="Q291" s="31" t="str">
        <f>IF(OR($C291="",'BUDGET COMMESSA'!$D288="",'BUDGET COMMESSA'!$D288&lt;=0,ANAGRAFICA!$J288=""),"",IF(OR($I291="Finito ritenute non previste",$I291="Finito con sblocco ritenute",$I291="Finito senza sblocco ritenute"),0,IF(AND($BK291&gt;=$BJ291,ANAGRAFICA!$R288="Ritardo produttivo FIDA"),IF(ANAGRAFICA!$T288&lt;&gt;"",MAX(0,ANAGRAFICA!$J288-ANAGRAFICA!$T288),MAX(0,$Y291-ANAGRAFICA!$J288)),0)))</f>
        <v/>
      </c>
      <c r="R291" s="17" t="str">
        <f t="shared" si="104"/>
        <v/>
      </c>
      <c r="S291" s="17" t="str">
        <f t="shared" si="105"/>
        <v/>
      </c>
      <c r="T291" s="17" t="str">
        <f t="shared" si="106"/>
        <v/>
      </c>
      <c r="U291" s="16" t="str">
        <f t="shared" si="107"/>
        <v/>
      </c>
      <c r="V291" s="16" t="str">
        <f t="shared" si="108"/>
        <v/>
      </c>
      <c r="W291" s="16" t="str">
        <f t="shared" si="109"/>
        <v/>
      </c>
      <c r="X291" s="40"/>
      <c r="Y291" s="14"/>
      <c r="AZ291" t="str">
        <f>IF($C291="","",ANAGRAFICA!$P288)</f>
        <v/>
      </c>
      <c r="BA291" t="str">
        <f>IF($C291="","",SUMIF('MOVIMENTI 2026'!$B$7:$B$4206,$C291,'MOVIMENTI 2026'!$I$7:$I$4206)+SUMIF('SALDI AL 31.12.2025'!$A$6:$A$505,$C291,'SALDI AL 31.12.2025'!$C$6:$C$505))</f>
        <v/>
      </c>
      <c r="BB291" t="str">
        <f>IF($C291="","",SUMIF('MOVIMENTI 2026'!$B$7:$B$4206,$C291,'MOVIMENTI 2026'!$J$7:$J$4206)+SUMIF('SALDI AL 31.12.2025'!$A$6:$A$505,$C291,'SALDI AL 31.12.2025'!$D$6:$D$505))</f>
        <v/>
      </c>
      <c r="BC291" t="str">
        <f>IF($C291="","",SUMIF('MOVIMENTI 2026'!$B$7:$B$4206,$C291,'MOVIMENTI 2026'!$K$7:$K$4206)+SUMIF('SALDI AL 31.12.2025'!$A$6:$A$505,$C291,'SALDI AL 31.12.2025'!$E$6:$E$505))</f>
        <v/>
      </c>
      <c r="BD291" t="str">
        <f>IF($C291="","",SUMIF('MOVIMENTI 2026'!$B$7:$B$4206,$C291,'MOVIMENTI 2026'!$L$7:$L$4206)+SUMIF('SALDI AL 31.12.2025'!$A$6:$A$505,$C291,'SALDI AL 31.12.2025'!$F$6:$F$505))</f>
        <v/>
      </c>
      <c r="BE291" t="str">
        <f t="shared" si="110"/>
        <v/>
      </c>
      <c r="BF291" t="str">
        <f t="shared" si="111"/>
        <v/>
      </c>
      <c r="BG291" t="str">
        <f t="shared" si="112"/>
        <v/>
      </c>
      <c r="BH291" t="str">
        <f>IFERROR(IF(OR($C291="",ANAGRAFICA!$I288="",ANAGRAFICA!$J288="",ANAGRAFICA!$J288&lt;=ANAGRAFICA!$I288,$Y291=""),"",IF(OR($I291="Finito ritenute non previste",$I291="Finito con sblocco ritenute",$I291="Finito senza sblocco ritenute"),1,MAX(0,MIN(1,($Y291-ANAGRAFICA!$I288)/(ANAGRAFICA!$J288-ANAGRAFICA!$I288))))),"")</f>
        <v/>
      </c>
      <c r="BI291" t="str">
        <f t="shared" si="113"/>
        <v/>
      </c>
      <c r="BJ291" t="str">
        <f>IFERROR(IF($C291="","",'BUDGET COMMESSA'!$D288),"")</f>
        <v/>
      </c>
      <c r="BK291" t="str">
        <f>IF($C291="","",SUMIF('MOVIMENTI 2026'!$B$7:$B$4206,$C291,'MOVIMENTI 2026'!$N$7:$N$4206)+SUMIF('SALDI AL 31.12.2025'!$A$6:$A$505,$C291,'SALDI AL 31.12.2025'!$H$6:$H$505))</f>
        <v/>
      </c>
      <c r="BL291" t="str">
        <f t="shared" si="114"/>
        <v/>
      </c>
      <c r="BM291" t="str">
        <f t="shared" si="115"/>
        <v/>
      </c>
      <c r="BN291" t="str">
        <f t="shared" si="116"/>
        <v/>
      </c>
      <c r="BO291" t="str">
        <f>IFERROR(IF($C291="","",'BUDGET COMMESSA'!$G288),"")</f>
        <v/>
      </c>
      <c r="BP291" t="str">
        <f>IF($C291="","",SUMIF('COSTI DIRETTI'!$C$6:$C$505,$C291,'COSTI DIRETTI'!$H$6:$H$505)+SUMIF('SALDI AL 31.12.2025'!$A$6:$A$505,$C291,'SALDI AL 31.12.2025'!$I$6:$I$505))</f>
        <v/>
      </c>
      <c r="BQ291" t="str">
        <f t="shared" si="117"/>
        <v/>
      </c>
      <c r="BR291" t="str">
        <f t="shared" si="118"/>
        <v/>
      </c>
      <c r="BS291" t="str">
        <f>IF($C291="","",$BK291*PARAMETRI!$B$4+$BP291)</f>
        <v/>
      </c>
      <c r="BT291">
        <f t="shared" si="119"/>
        <v>0</v>
      </c>
      <c r="BU291">
        <f t="shared" si="120"/>
        <v>0</v>
      </c>
      <c r="BV291" t="str">
        <f>IF($C291="","",SUMIF('MOVIMENTI 2026'!$B$7:$B$4206,$C291,'MOVIMENTI 2026'!$P$7:$P$4206)+SUMIF('SALDI AL 31.12.2025'!$A$6:$A$505,$C291,'SALDI AL 31.12.2025'!$G$6:$G$505))</f>
        <v/>
      </c>
    </row>
    <row r="292" spans="1:74" ht="16" x14ac:dyDescent="0.15">
      <c r="A292" s="17" t="str">
        <f>IFERROR(IF($C292="","",IF(OR($BF292&gt;0,$V292&gt;$J292,AND(ISNUMBER($Q292),$Q292&gt;0),AND($BI292&lt;&gt;"",$BI292&lt;-PARAMETRI!$B$6),AND($BM292&lt;&gt;"",$BM292&gt;=1),AND($BN292&lt;&gt;"",$BN292&gt;PARAMETRI!$B$8),AND(ISNUMBER($BR292),$BR292&gt;0)),"CRITICO",IF(OR($AZ292="",LEFT($C292,5)="TEMP",$BJ292="",$BO292="",ANAGRAFICA!$I289="",ANAGRAFICA!$J289="",$Y292="",AND(OR($I292="Finito ritenute non previste",$I292="Finito con sblocco ritenute",$I292="Finito senza sblocco ritenute"),ANAGRAFICA!$K289=""),OR(AND(ANAGRAFICA!$T289&lt;&gt;"",ANAGRAFICA!$J289&lt;&gt;ANAGRAFICA!$T289,OR(ANAGRAFICA!$R289="",ANAGRAFICA!$R289="Nessuna variazione")),AND(ANAGRAFICA!$J289="",ANAGRAFICA!$R289&lt;&gt;"",ANAGRAFICA!$R289&lt;&gt;"Nessuna variazione")),AND($BI292&lt;&gt;"",$BI292&lt;-PARAMETRI!$B$5),AND($BN292&lt;&gt;"",$BN292&gt;PARAMETRI!$B$7),AND($W292&gt;0,$M292&gt;$W292*PARAMETRI!$B$9),AND($O292&gt;0,OR($I292="Finito ritenute non previste",$I292="Finito con sblocco ritenute",$I292="Finito senza sblocco ritenute")),AND($BA292&gt;0,$BO292&gt;0,$BP292=0),AND(OR($I292="Finito ritenute non previste",$I292="Finito con sblocco ritenute",$I292="Finito senza sblocco ritenute"),$W292&gt;0,$N292&gt;$W292*PARAMETRI!$B$9),$V292&gt;0),"ATTENZIONE","REGOLARE"))),"ATTENZIONE")</f>
        <v/>
      </c>
      <c r="B292" s="17" t="str">
        <f>IFERROR(IF($C292="","",IF($BF292&gt;0,"FATTURATO OLTRE VALORE RECUPERABILE; ","")&amp;IF($V292&gt;$J292,"PERDITE ACCETTATE OLTRE CONTRATTO; ","")&amp;IF($V292&gt;0,"PERDITA SAL ACCETTATA (€ "&amp;TEXT($V292,"#,##0.00")&amp;"); ","")&amp;IF(AND(ISNUMBER($Q292),$Q292&gt;0),"RITARDO PRODUTTIVO ("&amp;TEXT($Q292,"0")&amp;" GG); ","")&amp;IF(AND($BI292&lt;&gt;"",$BI292&lt;-PARAMETRI!$B$5),"AVANZAMENTO PIÙ LENTO DEL TEMPO; ","")&amp;IF(AND($BM292&lt;&gt;"",$BM292&gt;1),"ORE OLTRE BUDGET; ","")&amp;IF(AND($BM292&lt;&gt;"",$BM292=1),"ORE PREVENTIVATE ESAURITE; ","")&amp;IF(AND($BN292&lt;&gt;"",$BN292&gt;PARAMETRI!$B$7),"CONSUMO ORE SUPERIORE ALL'AVANZAMENTO; ","")&amp;IF(AND(ISNUMBER($BR292),$BR292&gt;0),"COSTI DIRETTI OLTRE BUDGET; ","")&amp;IF(AND($W292&gt;0,$M292&gt;$W292*PARAMETRI!$B$9),"SAL MATURATO NON FATTURATO; ","")&amp;IF(AND($O292&gt;0,OR($I292="Finito ritenute non previste",$I292="Finito con sblocco ritenute",$I292="Finito senza sblocco ritenute")),"RITENUTE DA SBLOCCARE; ","")&amp;IF(AND($BA292&gt;0,$BO292&gt;0,$BP292=0),"COSTI DIRETTI NON REGISTRATI; ","")&amp;IF(AND(OR($I292="Finito ritenute non previste",$I292="Finito con sblocco ritenute",$I292="Finito senza sblocco ritenute"),$W292&gt;0,$N292&gt;$W292*PARAMETRI!$B$9),"CANTIERE FINITO CON RESIDUO LAVORI; ","")&amp;IF(AND(OR($I292="Finito ritenute non previste",$I292="Finito con sblocco ritenute",$I292="Finito senza sblocco ritenute"),ANAGRAFICA!$K289=""),"DATA FINE EFFETTIVA MANCANTE; ","")&amp;IF(OR(AND(ANAGRAFICA!$T289&lt;&gt;"",ANAGRAFICA!$J289&lt;&gt;ANAGRAFICA!$T289,OR(ANAGRAFICA!$R289="",ANAGRAFICA!$R289="Nessuna variazione")),AND(ANAGRAFICA!$J289="",ANAGRAFICA!$R289&lt;&gt;"",ANAGRAFICA!$R289&lt;&gt;"Nessuna variazione")),"GESTIONE DATA FINE INCOMPLETA; ","")&amp;IF($Y292="","AGGIORNATO AL MANCANTE; ","")&amp;IF(OR($AZ292="",$BJ292="",$BO292="",ANAGRAFICA!$I289="",ANAGRAFICA!$J289=""),"DATI PREVISIONALI INCOMPLETI; ","")&amp;IF(LEFT($C292,5)="TEMP","CODICE COMMESSA TEMPORANEO; ","")),"DATI INCOMPLETI; ")</f>
        <v/>
      </c>
      <c r="C292" s="17" t="str">
        <f>IF(ANAGRAFICA!$B289="","",ANAGRAFICA!$B289)</f>
        <v/>
      </c>
      <c r="D292" s="17" t="str">
        <f>IF($C292="","",ANAGRAFICA!$C289)</f>
        <v/>
      </c>
      <c r="E292" s="17" t="str">
        <f>IF($C292="","",ANAGRAFICA!$D289)</f>
        <v/>
      </c>
      <c r="F292" s="17" t="str">
        <f>IF($C292="","",ANAGRAFICA!$E289)</f>
        <v/>
      </c>
      <c r="G292" s="17" t="str">
        <f>IF($C292="","",ANAGRAFICA!$F289)</f>
        <v/>
      </c>
      <c r="H292" s="17" t="str">
        <f>IF($C292="","",ANAGRAFICA!$G289)</f>
        <v/>
      </c>
      <c r="I292" s="17" t="str">
        <f>IF($C292="","",ANAGRAFICA!$L289)</f>
        <v/>
      </c>
      <c r="J292" s="16" t="str">
        <f t="shared" si="97"/>
        <v/>
      </c>
      <c r="K292" s="16" t="str">
        <f t="shared" si="98"/>
        <v/>
      </c>
      <c r="L292" s="16" t="str">
        <f t="shared" si="99"/>
        <v/>
      </c>
      <c r="M292" s="16" t="str">
        <f t="shared" si="100"/>
        <v/>
      </c>
      <c r="N292" s="16" t="str">
        <f t="shared" si="101"/>
        <v/>
      </c>
      <c r="O292" s="16" t="str">
        <f t="shared" si="102"/>
        <v/>
      </c>
      <c r="P292" s="17" t="str">
        <f t="shared" si="103"/>
        <v/>
      </c>
      <c r="Q292" s="31" t="str">
        <f>IF(OR($C292="",'BUDGET COMMESSA'!$D289="",'BUDGET COMMESSA'!$D289&lt;=0,ANAGRAFICA!$J289=""),"",IF(OR($I292="Finito ritenute non previste",$I292="Finito con sblocco ritenute",$I292="Finito senza sblocco ritenute"),0,IF(AND($BK292&gt;=$BJ292,ANAGRAFICA!$R289="Ritardo produttivo FIDA"),IF(ANAGRAFICA!$T289&lt;&gt;"",MAX(0,ANAGRAFICA!$J289-ANAGRAFICA!$T289),MAX(0,$Y292-ANAGRAFICA!$J289)),0)))</f>
        <v/>
      </c>
      <c r="R292" s="17" t="str">
        <f t="shared" si="104"/>
        <v/>
      </c>
      <c r="S292" s="17" t="str">
        <f t="shared" si="105"/>
        <v/>
      </c>
      <c r="T292" s="17" t="str">
        <f t="shared" si="106"/>
        <v/>
      </c>
      <c r="U292" s="16" t="str">
        <f t="shared" si="107"/>
        <v/>
      </c>
      <c r="V292" s="16" t="str">
        <f t="shared" si="108"/>
        <v/>
      </c>
      <c r="W292" s="16" t="str">
        <f t="shared" si="109"/>
        <v/>
      </c>
      <c r="X292" s="40"/>
      <c r="Y292" s="14"/>
      <c r="AZ292" t="str">
        <f>IF($C292="","",ANAGRAFICA!$P289)</f>
        <v/>
      </c>
      <c r="BA292" t="str">
        <f>IF($C292="","",SUMIF('MOVIMENTI 2026'!$B$7:$B$4206,$C292,'MOVIMENTI 2026'!$I$7:$I$4206)+SUMIF('SALDI AL 31.12.2025'!$A$6:$A$505,$C292,'SALDI AL 31.12.2025'!$C$6:$C$505))</f>
        <v/>
      </c>
      <c r="BB292" t="str">
        <f>IF($C292="","",SUMIF('MOVIMENTI 2026'!$B$7:$B$4206,$C292,'MOVIMENTI 2026'!$J$7:$J$4206)+SUMIF('SALDI AL 31.12.2025'!$A$6:$A$505,$C292,'SALDI AL 31.12.2025'!$D$6:$D$505))</f>
        <v/>
      </c>
      <c r="BC292" t="str">
        <f>IF($C292="","",SUMIF('MOVIMENTI 2026'!$B$7:$B$4206,$C292,'MOVIMENTI 2026'!$K$7:$K$4206)+SUMIF('SALDI AL 31.12.2025'!$A$6:$A$505,$C292,'SALDI AL 31.12.2025'!$E$6:$E$505))</f>
        <v/>
      </c>
      <c r="BD292" t="str">
        <f>IF($C292="","",SUMIF('MOVIMENTI 2026'!$B$7:$B$4206,$C292,'MOVIMENTI 2026'!$L$7:$L$4206)+SUMIF('SALDI AL 31.12.2025'!$A$6:$A$505,$C292,'SALDI AL 31.12.2025'!$F$6:$F$505))</f>
        <v/>
      </c>
      <c r="BE292" t="str">
        <f t="shared" si="110"/>
        <v/>
      </c>
      <c r="BF292" t="str">
        <f t="shared" si="111"/>
        <v/>
      </c>
      <c r="BG292" t="str">
        <f t="shared" si="112"/>
        <v/>
      </c>
      <c r="BH292" t="str">
        <f>IFERROR(IF(OR($C292="",ANAGRAFICA!$I289="",ANAGRAFICA!$J289="",ANAGRAFICA!$J289&lt;=ANAGRAFICA!$I289,$Y292=""),"",IF(OR($I292="Finito ritenute non previste",$I292="Finito con sblocco ritenute",$I292="Finito senza sblocco ritenute"),1,MAX(0,MIN(1,($Y292-ANAGRAFICA!$I289)/(ANAGRAFICA!$J289-ANAGRAFICA!$I289))))),"")</f>
        <v/>
      </c>
      <c r="BI292" t="str">
        <f t="shared" si="113"/>
        <v/>
      </c>
      <c r="BJ292" t="str">
        <f>IFERROR(IF($C292="","",'BUDGET COMMESSA'!$D289),"")</f>
        <v/>
      </c>
      <c r="BK292" t="str">
        <f>IF($C292="","",SUMIF('MOVIMENTI 2026'!$B$7:$B$4206,$C292,'MOVIMENTI 2026'!$N$7:$N$4206)+SUMIF('SALDI AL 31.12.2025'!$A$6:$A$505,$C292,'SALDI AL 31.12.2025'!$H$6:$H$505))</f>
        <v/>
      </c>
      <c r="BL292" t="str">
        <f t="shared" si="114"/>
        <v/>
      </c>
      <c r="BM292" t="str">
        <f t="shared" si="115"/>
        <v/>
      </c>
      <c r="BN292" t="str">
        <f t="shared" si="116"/>
        <v/>
      </c>
      <c r="BO292" t="str">
        <f>IFERROR(IF($C292="","",'BUDGET COMMESSA'!$G289),"")</f>
        <v/>
      </c>
      <c r="BP292" t="str">
        <f>IF($C292="","",SUMIF('COSTI DIRETTI'!$C$6:$C$505,$C292,'COSTI DIRETTI'!$H$6:$H$505)+SUMIF('SALDI AL 31.12.2025'!$A$6:$A$505,$C292,'SALDI AL 31.12.2025'!$I$6:$I$505))</f>
        <v/>
      </c>
      <c r="BQ292" t="str">
        <f t="shared" si="117"/>
        <v/>
      </c>
      <c r="BR292" t="str">
        <f t="shared" si="118"/>
        <v/>
      </c>
      <c r="BS292" t="str">
        <f>IF($C292="","",$BK292*PARAMETRI!$B$4+$BP292)</f>
        <v/>
      </c>
      <c r="BT292">
        <f t="shared" si="119"/>
        <v>0</v>
      </c>
      <c r="BU292">
        <f t="shared" si="120"/>
        <v>0</v>
      </c>
      <c r="BV292" t="str">
        <f>IF($C292="","",SUMIF('MOVIMENTI 2026'!$B$7:$B$4206,$C292,'MOVIMENTI 2026'!$P$7:$P$4206)+SUMIF('SALDI AL 31.12.2025'!$A$6:$A$505,$C292,'SALDI AL 31.12.2025'!$G$6:$G$505))</f>
        <v/>
      </c>
    </row>
    <row r="293" spans="1:74" ht="16" x14ac:dyDescent="0.15">
      <c r="A293" s="17" t="str">
        <f>IFERROR(IF($C293="","",IF(OR($BF293&gt;0,$V293&gt;$J293,AND(ISNUMBER($Q293),$Q293&gt;0),AND($BI293&lt;&gt;"",$BI293&lt;-PARAMETRI!$B$6),AND($BM293&lt;&gt;"",$BM293&gt;=1),AND($BN293&lt;&gt;"",$BN293&gt;PARAMETRI!$B$8),AND(ISNUMBER($BR293),$BR293&gt;0)),"CRITICO",IF(OR($AZ293="",LEFT($C293,5)="TEMP",$BJ293="",$BO293="",ANAGRAFICA!$I290="",ANAGRAFICA!$J290="",$Y293="",AND(OR($I293="Finito ritenute non previste",$I293="Finito con sblocco ritenute",$I293="Finito senza sblocco ritenute"),ANAGRAFICA!$K290=""),OR(AND(ANAGRAFICA!$T290&lt;&gt;"",ANAGRAFICA!$J290&lt;&gt;ANAGRAFICA!$T290,OR(ANAGRAFICA!$R290="",ANAGRAFICA!$R290="Nessuna variazione")),AND(ANAGRAFICA!$J290="",ANAGRAFICA!$R290&lt;&gt;"",ANAGRAFICA!$R290&lt;&gt;"Nessuna variazione")),AND($BI293&lt;&gt;"",$BI293&lt;-PARAMETRI!$B$5),AND($BN293&lt;&gt;"",$BN293&gt;PARAMETRI!$B$7),AND($W293&gt;0,$M293&gt;$W293*PARAMETRI!$B$9),AND($O293&gt;0,OR($I293="Finito ritenute non previste",$I293="Finito con sblocco ritenute",$I293="Finito senza sblocco ritenute")),AND($BA293&gt;0,$BO293&gt;0,$BP293=0),AND(OR($I293="Finito ritenute non previste",$I293="Finito con sblocco ritenute",$I293="Finito senza sblocco ritenute"),$W293&gt;0,$N293&gt;$W293*PARAMETRI!$B$9),$V293&gt;0),"ATTENZIONE","REGOLARE"))),"ATTENZIONE")</f>
        <v/>
      </c>
      <c r="B293" s="17" t="str">
        <f>IFERROR(IF($C293="","",IF($BF293&gt;0,"FATTURATO OLTRE VALORE RECUPERABILE; ","")&amp;IF($V293&gt;$J293,"PERDITE ACCETTATE OLTRE CONTRATTO; ","")&amp;IF($V293&gt;0,"PERDITA SAL ACCETTATA (€ "&amp;TEXT($V293,"#,##0.00")&amp;"); ","")&amp;IF(AND(ISNUMBER($Q293),$Q293&gt;0),"RITARDO PRODUTTIVO ("&amp;TEXT($Q293,"0")&amp;" GG); ","")&amp;IF(AND($BI293&lt;&gt;"",$BI293&lt;-PARAMETRI!$B$5),"AVANZAMENTO PIÙ LENTO DEL TEMPO; ","")&amp;IF(AND($BM293&lt;&gt;"",$BM293&gt;1),"ORE OLTRE BUDGET; ","")&amp;IF(AND($BM293&lt;&gt;"",$BM293=1),"ORE PREVENTIVATE ESAURITE; ","")&amp;IF(AND($BN293&lt;&gt;"",$BN293&gt;PARAMETRI!$B$7),"CONSUMO ORE SUPERIORE ALL'AVANZAMENTO; ","")&amp;IF(AND(ISNUMBER($BR293),$BR293&gt;0),"COSTI DIRETTI OLTRE BUDGET; ","")&amp;IF(AND($W293&gt;0,$M293&gt;$W293*PARAMETRI!$B$9),"SAL MATURATO NON FATTURATO; ","")&amp;IF(AND($O293&gt;0,OR($I293="Finito ritenute non previste",$I293="Finito con sblocco ritenute",$I293="Finito senza sblocco ritenute")),"RITENUTE DA SBLOCCARE; ","")&amp;IF(AND($BA293&gt;0,$BO293&gt;0,$BP293=0),"COSTI DIRETTI NON REGISTRATI; ","")&amp;IF(AND(OR($I293="Finito ritenute non previste",$I293="Finito con sblocco ritenute",$I293="Finito senza sblocco ritenute"),$W293&gt;0,$N293&gt;$W293*PARAMETRI!$B$9),"CANTIERE FINITO CON RESIDUO LAVORI; ","")&amp;IF(AND(OR($I293="Finito ritenute non previste",$I293="Finito con sblocco ritenute",$I293="Finito senza sblocco ritenute"),ANAGRAFICA!$K290=""),"DATA FINE EFFETTIVA MANCANTE; ","")&amp;IF(OR(AND(ANAGRAFICA!$T290&lt;&gt;"",ANAGRAFICA!$J290&lt;&gt;ANAGRAFICA!$T290,OR(ANAGRAFICA!$R290="",ANAGRAFICA!$R290="Nessuna variazione")),AND(ANAGRAFICA!$J290="",ANAGRAFICA!$R290&lt;&gt;"",ANAGRAFICA!$R290&lt;&gt;"Nessuna variazione")),"GESTIONE DATA FINE INCOMPLETA; ","")&amp;IF($Y293="","AGGIORNATO AL MANCANTE; ","")&amp;IF(OR($AZ293="",$BJ293="",$BO293="",ANAGRAFICA!$I290="",ANAGRAFICA!$J290=""),"DATI PREVISIONALI INCOMPLETI; ","")&amp;IF(LEFT($C293,5)="TEMP","CODICE COMMESSA TEMPORANEO; ","")),"DATI INCOMPLETI; ")</f>
        <v/>
      </c>
      <c r="C293" s="17" t="str">
        <f>IF(ANAGRAFICA!$B290="","",ANAGRAFICA!$B290)</f>
        <v/>
      </c>
      <c r="D293" s="17" t="str">
        <f>IF($C293="","",ANAGRAFICA!$C290)</f>
        <v/>
      </c>
      <c r="E293" s="17" t="str">
        <f>IF($C293="","",ANAGRAFICA!$D290)</f>
        <v/>
      </c>
      <c r="F293" s="17" t="str">
        <f>IF($C293="","",ANAGRAFICA!$E290)</f>
        <v/>
      </c>
      <c r="G293" s="17" t="str">
        <f>IF($C293="","",ANAGRAFICA!$F290)</f>
        <v/>
      </c>
      <c r="H293" s="17" t="str">
        <f>IF($C293="","",ANAGRAFICA!$G290)</f>
        <v/>
      </c>
      <c r="I293" s="17" t="str">
        <f>IF($C293="","",ANAGRAFICA!$L290)</f>
        <v/>
      </c>
      <c r="J293" s="16" t="str">
        <f t="shared" si="97"/>
        <v/>
      </c>
      <c r="K293" s="16" t="str">
        <f t="shared" si="98"/>
        <v/>
      </c>
      <c r="L293" s="16" t="str">
        <f t="shared" si="99"/>
        <v/>
      </c>
      <c r="M293" s="16" t="str">
        <f t="shared" si="100"/>
        <v/>
      </c>
      <c r="N293" s="16" t="str">
        <f t="shared" si="101"/>
        <v/>
      </c>
      <c r="O293" s="16" t="str">
        <f t="shared" si="102"/>
        <v/>
      </c>
      <c r="P293" s="17" t="str">
        <f t="shared" si="103"/>
        <v/>
      </c>
      <c r="Q293" s="31" t="str">
        <f>IF(OR($C293="",'BUDGET COMMESSA'!$D290="",'BUDGET COMMESSA'!$D290&lt;=0,ANAGRAFICA!$J290=""),"",IF(OR($I293="Finito ritenute non previste",$I293="Finito con sblocco ritenute",$I293="Finito senza sblocco ritenute"),0,IF(AND($BK293&gt;=$BJ293,ANAGRAFICA!$R290="Ritardo produttivo FIDA"),IF(ANAGRAFICA!$T290&lt;&gt;"",MAX(0,ANAGRAFICA!$J290-ANAGRAFICA!$T290),MAX(0,$Y293-ANAGRAFICA!$J290)),0)))</f>
        <v/>
      </c>
      <c r="R293" s="17" t="str">
        <f t="shared" si="104"/>
        <v/>
      </c>
      <c r="S293" s="17" t="str">
        <f t="shared" si="105"/>
        <v/>
      </c>
      <c r="T293" s="17" t="str">
        <f t="shared" si="106"/>
        <v/>
      </c>
      <c r="U293" s="16" t="str">
        <f t="shared" si="107"/>
        <v/>
      </c>
      <c r="V293" s="16" t="str">
        <f t="shared" si="108"/>
        <v/>
      </c>
      <c r="W293" s="16" t="str">
        <f t="shared" si="109"/>
        <v/>
      </c>
      <c r="X293" s="40"/>
      <c r="Y293" s="14"/>
      <c r="AZ293" t="str">
        <f>IF($C293="","",ANAGRAFICA!$P290)</f>
        <v/>
      </c>
      <c r="BA293" t="str">
        <f>IF($C293="","",SUMIF('MOVIMENTI 2026'!$B$7:$B$4206,$C293,'MOVIMENTI 2026'!$I$7:$I$4206)+SUMIF('SALDI AL 31.12.2025'!$A$6:$A$505,$C293,'SALDI AL 31.12.2025'!$C$6:$C$505))</f>
        <v/>
      </c>
      <c r="BB293" t="str">
        <f>IF($C293="","",SUMIF('MOVIMENTI 2026'!$B$7:$B$4206,$C293,'MOVIMENTI 2026'!$J$7:$J$4206)+SUMIF('SALDI AL 31.12.2025'!$A$6:$A$505,$C293,'SALDI AL 31.12.2025'!$D$6:$D$505))</f>
        <v/>
      </c>
      <c r="BC293" t="str">
        <f>IF($C293="","",SUMIF('MOVIMENTI 2026'!$B$7:$B$4206,$C293,'MOVIMENTI 2026'!$K$7:$K$4206)+SUMIF('SALDI AL 31.12.2025'!$A$6:$A$505,$C293,'SALDI AL 31.12.2025'!$E$6:$E$505))</f>
        <v/>
      </c>
      <c r="BD293" t="str">
        <f>IF($C293="","",SUMIF('MOVIMENTI 2026'!$B$7:$B$4206,$C293,'MOVIMENTI 2026'!$L$7:$L$4206)+SUMIF('SALDI AL 31.12.2025'!$A$6:$A$505,$C293,'SALDI AL 31.12.2025'!$F$6:$F$505))</f>
        <v/>
      </c>
      <c r="BE293" t="str">
        <f t="shared" si="110"/>
        <v/>
      </c>
      <c r="BF293" t="str">
        <f t="shared" si="111"/>
        <v/>
      </c>
      <c r="BG293" t="str">
        <f t="shared" si="112"/>
        <v/>
      </c>
      <c r="BH293" t="str">
        <f>IFERROR(IF(OR($C293="",ANAGRAFICA!$I290="",ANAGRAFICA!$J290="",ANAGRAFICA!$J290&lt;=ANAGRAFICA!$I290,$Y293=""),"",IF(OR($I293="Finito ritenute non previste",$I293="Finito con sblocco ritenute",$I293="Finito senza sblocco ritenute"),1,MAX(0,MIN(1,($Y293-ANAGRAFICA!$I290)/(ANAGRAFICA!$J290-ANAGRAFICA!$I290))))),"")</f>
        <v/>
      </c>
      <c r="BI293" t="str">
        <f t="shared" si="113"/>
        <v/>
      </c>
      <c r="BJ293" t="str">
        <f>IFERROR(IF($C293="","",'BUDGET COMMESSA'!$D290),"")</f>
        <v/>
      </c>
      <c r="BK293" t="str">
        <f>IF($C293="","",SUMIF('MOVIMENTI 2026'!$B$7:$B$4206,$C293,'MOVIMENTI 2026'!$N$7:$N$4206)+SUMIF('SALDI AL 31.12.2025'!$A$6:$A$505,$C293,'SALDI AL 31.12.2025'!$H$6:$H$505))</f>
        <v/>
      </c>
      <c r="BL293" t="str">
        <f t="shared" si="114"/>
        <v/>
      </c>
      <c r="BM293" t="str">
        <f t="shared" si="115"/>
        <v/>
      </c>
      <c r="BN293" t="str">
        <f t="shared" si="116"/>
        <v/>
      </c>
      <c r="BO293" t="str">
        <f>IFERROR(IF($C293="","",'BUDGET COMMESSA'!$G290),"")</f>
        <v/>
      </c>
      <c r="BP293" t="str">
        <f>IF($C293="","",SUMIF('COSTI DIRETTI'!$C$6:$C$505,$C293,'COSTI DIRETTI'!$H$6:$H$505)+SUMIF('SALDI AL 31.12.2025'!$A$6:$A$505,$C293,'SALDI AL 31.12.2025'!$I$6:$I$505))</f>
        <v/>
      </c>
      <c r="BQ293" t="str">
        <f t="shared" si="117"/>
        <v/>
      </c>
      <c r="BR293" t="str">
        <f t="shared" si="118"/>
        <v/>
      </c>
      <c r="BS293" t="str">
        <f>IF($C293="","",$BK293*PARAMETRI!$B$4+$BP293)</f>
        <v/>
      </c>
      <c r="BT293">
        <f t="shared" si="119"/>
        <v>0</v>
      </c>
      <c r="BU293">
        <f t="shared" si="120"/>
        <v>0</v>
      </c>
      <c r="BV293" t="str">
        <f>IF($C293="","",SUMIF('MOVIMENTI 2026'!$B$7:$B$4206,$C293,'MOVIMENTI 2026'!$P$7:$P$4206)+SUMIF('SALDI AL 31.12.2025'!$A$6:$A$505,$C293,'SALDI AL 31.12.2025'!$G$6:$G$505))</f>
        <v/>
      </c>
    </row>
    <row r="294" spans="1:74" ht="16" x14ac:dyDescent="0.15">
      <c r="A294" s="17" t="str">
        <f>IFERROR(IF($C294="","",IF(OR($BF294&gt;0,$V294&gt;$J294,AND(ISNUMBER($Q294),$Q294&gt;0),AND($BI294&lt;&gt;"",$BI294&lt;-PARAMETRI!$B$6),AND($BM294&lt;&gt;"",$BM294&gt;=1),AND($BN294&lt;&gt;"",$BN294&gt;PARAMETRI!$B$8),AND(ISNUMBER($BR294),$BR294&gt;0)),"CRITICO",IF(OR($AZ294="",LEFT($C294,5)="TEMP",$BJ294="",$BO294="",ANAGRAFICA!$I291="",ANAGRAFICA!$J291="",$Y294="",AND(OR($I294="Finito ritenute non previste",$I294="Finito con sblocco ritenute",$I294="Finito senza sblocco ritenute"),ANAGRAFICA!$K291=""),OR(AND(ANAGRAFICA!$T291&lt;&gt;"",ANAGRAFICA!$J291&lt;&gt;ANAGRAFICA!$T291,OR(ANAGRAFICA!$R291="",ANAGRAFICA!$R291="Nessuna variazione")),AND(ANAGRAFICA!$J291="",ANAGRAFICA!$R291&lt;&gt;"",ANAGRAFICA!$R291&lt;&gt;"Nessuna variazione")),AND($BI294&lt;&gt;"",$BI294&lt;-PARAMETRI!$B$5),AND($BN294&lt;&gt;"",$BN294&gt;PARAMETRI!$B$7),AND($W294&gt;0,$M294&gt;$W294*PARAMETRI!$B$9),AND($O294&gt;0,OR($I294="Finito ritenute non previste",$I294="Finito con sblocco ritenute",$I294="Finito senza sblocco ritenute")),AND($BA294&gt;0,$BO294&gt;0,$BP294=0),AND(OR($I294="Finito ritenute non previste",$I294="Finito con sblocco ritenute",$I294="Finito senza sblocco ritenute"),$W294&gt;0,$N294&gt;$W294*PARAMETRI!$B$9),$V294&gt;0),"ATTENZIONE","REGOLARE"))),"ATTENZIONE")</f>
        <v/>
      </c>
      <c r="B294" s="17" t="str">
        <f>IFERROR(IF($C294="","",IF($BF294&gt;0,"FATTURATO OLTRE VALORE RECUPERABILE; ","")&amp;IF($V294&gt;$J294,"PERDITE ACCETTATE OLTRE CONTRATTO; ","")&amp;IF($V294&gt;0,"PERDITA SAL ACCETTATA (€ "&amp;TEXT($V294,"#,##0.00")&amp;"); ","")&amp;IF(AND(ISNUMBER($Q294),$Q294&gt;0),"RITARDO PRODUTTIVO ("&amp;TEXT($Q294,"0")&amp;" GG); ","")&amp;IF(AND($BI294&lt;&gt;"",$BI294&lt;-PARAMETRI!$B$5),"AVANZAMENTO PIÙ LENTO DEL TEMPO; ","")&amp;IF(AND($BM294&lt;&gt;"",$BM294&gt;1),"ORE OLTRE BUDGET; ","")&amp;IF(AND($BM294&lt;&gt;"",$BM294=1),"ORE PREVENTIVATE ESAURITE; ","")&amp;IF(AND($BN294&lt;&gt;"",$BN294&gt;PARAMETRI!$B$7),"CONSUMO ORE SUPERIORE ALL'AVANZAMENTO; ","")&amp;IF(AND(ISNUMBER($BR294),$BR294&gt;0),"COSTI DIRETTI OLTRE BUDGET; ","")&amp;IF(AND($W294&gt;0,$M294&gt;$W294*PARAMETRI!$B$9),"SAL MATURATO NON FATTURATO; ","")&amp;IF(AND($O294&gt;0,OR($I294="Finito ritenute non previste",$I294="Finito con sblocco ritenute",$I294="Finito senza sblocco ritenute")),"RITENUTE DA SBLOCCARE; ","")&amp;IF(AND($BA294&gt;0,$BO294&gt;0,$BP294=0),"COSTI DIRETTI NON REGISTRATI; ","")&amp;IF(AND(OR($I294="Finito ritenute non previste",$I294="Finito con sblocco ritenute",$I294="Finito senza sblocco ritenute"),$W294&gt;0,$N294&gt;$W294*PARAMETRI!$B$9),"CANTIERE FINITO CON RESIDUO LAVORI; ","")&amp;IF(AND(OR($I294="Finito ritenute non previste",$I294="Finito con sblocco ritenute",$I294="Finito senza sblocco ritenute"),ANAGRAFICA!$K291=""),"DATA FINE EFFETTIVA MANCANTE; ","")&amp;IF(OR(AND(ANAGRAFICA!$T291&lt;&gt;"",ANAGRAFICA!$J291&lt;&gt;ANAGRAFICA!$T291,OR(ANAGRAFICA!$R291="",ANAGRAFICA!$R291="Nessuna variazione")),AND(ANAGRAFICA!$J291="",ANAGRAFICA!$R291&lt;&gt;"",ANAGRAFICA!$R291&lt;&gt;"Nessuna variazione")),"GESTIONE DATA FINE INCOMPLETA; ","")&amp;IF($Y294="","AGGIORNATO AL MANCANTE; ","")&amp;IF(OR($AZ294="",$BJ294="",$BO294="",ANAGRAFICA!$I291="",ANAGRAFICA!$J291=""),"DATI PREVISIONALI INCOMPLETI; ","")&amp;IF(LEFT($C294,5)="TEMP","CODICE COMMESSA TEMPORANEO; ","")),"DATI INCOMPLETI; ")</f>
        <v/>
      </c>
      <c r="C294" s="17" t="str">
        <f>IF(ANAGRAFICA!$B291="","",ANAGRAFICA!$B291)</f>
        <v/>
      </c>
      <c r="D294" s="17" t="str">
        <f>IF($C294="","",ANAGRAFICA!$C291)</f>
        <v/>
      </c>
      <c r="E294" s="17" t="str">
        <f>IF($C294="","",ANAGRAFICA!$D291)</f>
        <v/>
      </c>
      <c r="F294" s="17" t="str">
        <f>IF($C294="","",ANAGRAFICA!$E291)</f>
        <v/>
      </c>
      <c r="G294" s="17" t="str">
        <f>IF($C294="","",ANAGRAFICA!$F291)</f>
        <v/>
      </c>
      <c r="H294" s="17" t="str">
        <f>IF($C294="","",ANAGRAFICA!$G291)</f>
        <v/>
      </c>
      <c r="I294" s="17" t="str">
        <f>IF($C294="","",ANAGRAFICA!$L291)</f>
        <v/>
      </c>
      <c r="J294" s="16" t="str">
        <f t="shared" si="97"/>
        <v/>
      </c>
      <c r="K294" s="16" t="str">
        <f t="shared" si="98"/>
        <v/>
      </c>
      <c r="L294" s="16" t="str">
        <f t="shared" si="99"/>
        <v/>
      </c>
      <c r="M294" s="16" t="str">
        <f t="shared" si="100"/>
        <v/>
      </c>
      <c r="N294" s="16" t="str">
        <f t="shared" si="101"/>
        <v/>
      </c>
      <c r="O294" s="16" t="str">
        <f t="shared" si="102"/>
        <v/>
      </c>
      <c r="P294" s="17" t="str">
        <f t="shared" si="103"/>
        <v/>
      </c>
      <c r="Q294" s="31" t="str">
        <f>IF(OR($C294="",'BUDGET COMMESSA'!$D291="",'BUDGET COMMESSA'!$D291&lt;=0,ANAGRAFICA!$J291=""),"",IF(OR($I294="Finito ritenute non previste",$I294="Finito con sblocco ritenute",$I294="Finito senza sblocco ritenute"),0,IF(AND($BK294&gt;=$BJ294,ANAGRAFICA!$R291="Ritardo produttivo FIDA"),IF(ANAGRAFICA!$T291&lt;&gt;"",MAX(0,ANAGRAFICA!$J291-ANAGRAFICA!$T291),MAX(0,$Y294-ANAGRAFICA!$J291)),0)))</f>
        <v/>
      </c>
      <c r="R294" s="17" t="str">
        <f t="shared" si="104"/>
        <v/>
      </c>
      <c r="S294" s="17" t="str">
        <f t="shared" si="105"/>
        <v/>
      </c>
      <c r="T294" s="17" t="str">
        <f t="shared" si="106"/>
        <v/>
      </c>
      <c r="U294" s="16" t="str">
        <f t="shared" si="107"/>
        <v/>
      </c>
      <c r="V294" s="16" t="str">
        <f t="shared" si="108"/>
        <v/>
      </c>
      <c r="W294" s="16" t="str">
        <f t="shared" si="109"/>
        <v/>
      </c>
      <c r="X294" s="40"/>
      <c r="Y294" s="14"/>
      <c r="AZ294" t="str">
        <f>IF($C294="","",ANAGRAFICA!$P291)</f>
        <v/>
      </c>
      <c r="BA294" t="str">
        <f>IF($C294="","",SUMIF('MOVIMENTI 2026'!$B$7:$B$4206,$C294,'MOVIMENTI 2026'!$I$7:$I$4206)+SUMIF('SALDI AL 31.12.2025'!$A$6:$A$505,$C294,'SALDI AL 31.12.2025'!$C$6:$C$505))</f>
        <v/>
      </c>
      <c r="BB294" t="str">
        <f>IF($C294="","",SUMIF('MOVIMENTI 2026'!$B$7:$B$4206,$C294,'MOVIMENTI 2026'!$J$7:$J$4206)+SUMIF('SALDI AL 31.12.2025'!$A$6:$A$505,$C294,'SALDI AL 31.12.2025'!$D$6:$D$505))</f>
        <v/>
      </c>
      <c r="BC294" t="str">
        <f>IF($C294="","",SUMIF('MOVIMENTI 2026'!$B$7:$B$4206,$C294,'MOVIMENTI 2026'!$K$7:$K$4206)+SUMIF('SALDI AL 31.12.2025'!$A$6:$A$505,$C294,'SALDI AL 31.12.2025'!$E$6:$E$505))</f>
        <v/>
      </c>
      <c r="BD294" t="str">
        <f>IF($C294="","",SUMIF('MOVIMENTI 2026'!$B$7:$B$4206,$C294,'MOVIMENTI 2026'!$L$7:$L$4206)+SUMIF('SALDI AL 31.12.2025'!$A$6:$A$505,$C294,'SALDI AL 31.12.2025'!$F$6:$F$505))</f>
        <v/>
      </c>
      <c r="BE294" t="str">
        <f t="shared" si="110"/>
        <v/>
      </c>
      <c r="BF294" t="str">
        <f t="shared" si="111"/>
        <v/>
      </c>
      <c r="BG294" t="str">
        <f t="shared" si="112"/>
        <v/>
      </c>
      <c r="BH294" t="str">
        <f>IFERROR(IF(OR($C294="",ANAGRAFICA!$I291="",ANAGRAFICA!$J291="",ANAGRAFICA!$J291&lt;=ANAGRAFICA!$I291,$Y294=""),"",IF(OR($I294="Finito ritenute non previste",$I294="Finito con sblocco ritenute",$I294="Finito senza sblocco ritenute"),1,MAX(0,MIN(1,($Y294-ANAGRAFICA!$I291)/(ANAGRAFICA!$J291-ANAGRAFICA!$I291))))),"")</f>
        <v/>
      </c>
      <c r="BI294" t="str">
        <f t="shared" si="113"/>
        <v/>
      </c>
      <c r="BJ294" t="str">
        <f>IFERROR(IF($C294="","",'BUDGET COMMESSA'!$D291),"")</f>
        <v/>
      </c>
      <c r="BK294" t="str">
        <f>IF($C294="","",SUMIF('MOVIMENTI 2026'!$B$7:$B$4206,$C294,'MOVIMENTI 2026'!$N$7:$N$4206)+SUMIF('SALDI AL 31.12.2025'!$A$6:$A$505,$C294,'SALDI AL 31.12.2025'!$H$6:$H$505))</f>
        <v/>
      </c>
      <c r="BL294" t="str">
        <f t="shared" si="114"/>
        <v/>
      </c>
      <c r="BM294" t="str">
        <f t="shared" si="115"/>
        <v/>
      </c>
      <c r="BN294" t="str">
        <f t="shared" si="116"/>
        <v/>
      </c>
      <c r="BO294" t="str">
        <f>IFERROR(IF($C294="","",'BUDGET COMMESSA'!$G291),"")</f>
        <v/>
      </c>
      <c r="BP294" t="str">
        <f>IF($C294="","",SUMIF('COSTI DIRETTI'!$C$6:$C$505,$C294,'COSTI DIRETTI'!$H$6:$H$505)+SUMIF('SALDI AL 31.12.2025'!$A$6:$A$505,$C294,'SALDI AL 31.12.2025'!$I$6:$I$505))</f>
        <v/>
      </c>
      <c r="BQ294" t="str">
        <f t="shared" si="117"/>
        <v/>
      </c>
      <c r="BR294" t="str">
        <f t="shared" si="118"/>
        <v/>
      </c>
      <c r="BS294" t="str">
        <f>IF($C294="","",$BK294*PARAMETRI!$B$4+$BP294)</f>
        <v/>
      </c>
      <c r="BT294">
        <f t="shared" si="119"/>
        <v>0</v>
      </c>
      <c r="BU294">
        <f t="shared" si="120"/>
        <v>0</v>
      </c>
      <c r="BV294" t="str">
        <f>IF($C294="","",SUMIF('MOVIMENTI 2026'!$B$7:$B$4206,$C294,'MOVIMENTI 2026'!$P$7:$P$4206)+SUMIF('SALDI AL 31.12.2025'!$A$6:$A$505,$C294,'SALDI AL 31.12.2025'!$G$6:$G$505))</f>
        <v/>
      </c>
    </row>
    <row r="295" spans="1:74" ht="16" x14ac:dyDescent="0.15">
      <c r="A295" s="17" t="str">
        <f>IFERROR(IF($C295="","",IF(OR($BF295&gt;0,$V295&gt;$J295,AND(ISNUMBER($Q295),$Q295&gt;0),AND($BI295&lt;&gt;"",$BI295&lt;-PARAMETRI!$B$6),AND($BM295&lt;&gt;"",$BM295&gt;=1),AND($BN295&lt;&gt;"",$BN295&gt;PARAMETRI!$B$8),AND(ISNUMBER($BR295),$BR295&gt;0)),"CRITICO",IF(OR($AZ295="",LEFT($C295,5)="TEMP",$BJ295="",$BO295="",ANAGRAFICA!$I292="",ANAGRAFICA!$J292="",$Y295="",AND(OR($I295="Finito ritenute non previste",$I295="Finito con sblocco ritenute",$I295="Finito senza sblocco ritenute"),ANAGRAFICA!$K292=""),OR(AND(ANAGRAFICA!$T292&lt;&gt;"",ANAGRAFICA!$J292&lt;&gt;ANAGRAFICA!$T292,OR(ANAGRAFICA!$R292="",ANAGRAFICA!$R292="Nessuna variazione")),AND(ANAGRAFICA!$J292="",ANAGRAFICA!$R292&lt;&gt;"",ANAGRAFICA!$R292&lt;&gt;"Nessuna variazione")),AND($BI295&lt;&gt;"",$BI295&lt;-PARAMETRI!$B$5),AND($BN295&lt;&gt;"",$BN295&gt;PARAMETRI!$B$7),AND($W295&gt;0,$M295&gt;$W295*PARAMETRI!$B$9),AND($O295&gt;0,OR($I295="Finito ritenute non previste",$I295="Finito con sblocco ritenute",$I295="Finito senza sblocco ritenute")),AND($BA295&gt;0,$BO295&gt;0,$BP295=0),AND(OR($I295="Finito ritenute non previste",$I295="Finito con sblocco ritenute",$I295="Finito senza sblocco ritenute"),$W295&gt;0,$N295&gt;$W295*PARAMETRI!$B$9),$V295&gt;0),"ATTENZIONE","REGOLARE"))),"ATTENZIONE")</f>
        <v/>
      </c>
      <c r="B295" s="17" t="str">
        <f>IFERROR(IF($C295="","",IF($BF295&gt;0,"FATTURATO OLTRE VALORE RECUPERABILE; ","")&amp;IF($V295&gt;$J295,"PERDITE ACCETTATE OLTRE CONTRATTO; ","")&amp;IF($V295&gt;0,"PERDITA SAL ACCETTATA (€ "&amp;TEXT($V295,"#,##0.00")&amp;"); ","")&amp;IF(AND(ISNUMBER($Q295),$Q295&gt;0),"RITARDO PRODUTTIVO ("&amp;TEXT($Q295,"0")&amp;" GG); ","")&amp;IF(AND($BI295&lt;&gt;"",$BI295&lt;-PARAMETRI!$B$5),"AVANZAMENTO PIÙ LENTO DEL TEMPO; ","")&amp;IF(AND($BM295&lt;&gt;"",$BM295&gt;1),"ORE OLTRE BUDGET; ","")&amp;IF(AND($BM295&lt;&gt;"",$BM295=1),"ORE PREVENTIVATE ESAURITE; ","")&amp;IF(AND($BN295&lt;&gt;"",$BN295&gt;PARAMETRI!$B$7),"CONSUMO ORE SUPERIORE ALL'AVANZAMENTO; ","")&amp;IF(AND(ISNUMBER($BR295),$BR295&gt;0),"COSTI DIRETTI OLTRE BUDGET; ","")&amp;IF(AND($W295&gt;0,$M295&gt;$W295*PARAMETRI!$B$9),"SAL MATURATO NON FATTURATO; ","")&amp;IF(AND($O295&gt;0,OR($I295="Finito ritenute non previste",$I295="Finito con sblocco ritenute",$I295="Finito senza sblocco ritenute")),"RITENUTE DA SBLOCCARE; ","")&amp;IF(AND($BA295&gt;0,$BO295&gt;0,$BP295=0),"COSTI DIRETTI NON REGISTRATI; ","")&amp;IF(AND(OR($I295="Finito ritenute non previste",$I295="Finito con sblocco ritenute",$I295="Finito senza sblocco ritenute"),$W295&gt;0,$N295&gt;$W295*PARAMETRI!$B$9),"CANTIERE FINITO CON RESIDUO LAVORI; ","")&amp;IF(AND(OR($I295="Finito ritenute non previste",$I295="Finito con sblocco ritenute",$I295="Finito senza sblocco ritenute"),ANAGRAFICA!$K292=""),"DATA FINE EFFETTIVA MANCANTE; ","")&amp;IF(OR(AND(ANAGRAFICA!$T292&lt;&gt;"",ANAGRAFICA!$J292&lt;&gt;ANAGRAFICA!$T292,OR(ANAGRAFICA!$R292="",ANAGRAFICA!$R292="Nessuna variazione")),AND(ANAGRAFICA!$J292="",ANAGRAFICA!$R292&lt;&gt;"",ANAGRAFICA!$R292&lt;&gt;"Nessuna variazione")),"GESTIONE DATA FINE INCOMPLETA; ","")&amp;IF($Y295="","AGGIORNATO AL MANCANTE; ","")&amp;IF(OR($AZ295="",$BJ295="",$BO295="",ANAGRAFICA!$I292="",ANAGRAFICA!$J292=""),"DATI PREVISIONALI INCOMPLETI; ","")&amp;IF(LEFT($C295,5)="TEMP","CODICE COMMESSA TEMPORANEO; ","")),"DATI INCOMPLETI; ")</f>
        <v/>
      </c>
      <c r="C295" s="17" t="str">
        <f>IF(ANAGRAFICA!$B292="","",ANAGRAFICA!$B292)</f>
        <v/>
      </c>
      <c r="D295" s="17" t="str">
        <f>IF($C295="","",ANAGRAFICA!$C292)</f>
        <v/>
      </c>
      <c r="E295" s="17" t="str">
        <f>IF($C295="","",ANAGRAFICA!$D292)</f>
        <v/>
      </c>
      <c r="F295" s="17" t="str">
        <f>IF($C295="","",ANAGRAFICA!$E292)</f>
        <v/>
      </c>
      <c r="G295" s="17" t="str">
        <f>IF($C295="","",ANAGRAFICA!$F292)</f>
        <v/>
      </c>
      <c r="H295" s="17" t="str">
        <f>IF($C295="","",ANAGRAFICA!$G292)</f>
        <v/>
      </c>
      <c r="I295" s="17" t="str">
        <f>IF($C295="","",ANAGRAFICA!$L292)</f>
        <v/>
      </c>
      <c r="J295" s="16" t="str">
        <f t="shared" si="97"/>
        <v/>
      </c>
      <c r="K295" s="16" t="str">
        <f t="shared" si="98"/>
        <v/>
      </c>
      <c r="L295" s="16" t="str">
        <f t="shared" si="99"/>
        <v/>
      </c>
      <c r="M295" s="16" t="str">
        <f t="shared" si="100"/>
        <v/>
      </c>
      <c r="N295" s="16" t="str">
        <f t="shared" si="101"/>
        <v/>
      </c>
      <c r="O295" s="16" t="str">
        <f t="shared" si="102"/>
        <v/>
      </c>
      <c r="P295" s="17" t="str">
        <f t="shared" si="103"/>
        <v/>
      </c>
      <c r="Q295" s="31" t="str">
        <f>IF(OR($C295="",'BUDGET COMMESSA'!$D292="",'BUDGET COMMESSA'!$D292&lt;=0,ANAGRAFICA!$J292=""),"",IF(OR($I295="Finito ritenute non previste",$I295="Finito con sblocco ritenute",$I295="Finito senza sblocco ritenute"),0,IF(AND($BK295&gt;=$BJ295,ANAGRAFICA!$R292="Ritardo produttivo FIDA"),IF(ANAGRAFICA!$T292&lt;&gt;"",MAX(0,ANAGRAFICA!$J292-ANAGRAFICA!$T292),MAX(0,$Y295-ANAGRAFICA!$J292)),0)))</f>
        <v/>
      </c>
      <c r="R295" s="17" t="str">
        <f t="shared" si="104"/>
        <v/>
      </c>
      <c r="S295" s="17" t="str">
        <f t="shared" si="105"/>
        <v/>
      </c>
      <c r="T295" s="17" t="str">
        <f t="shared" si="106"/>
        <v/>
      </c>
      <c r="U295" s="16" t="str">
        <f t="shared" si="107"/>
        <v/>
      </c>
      <c r="V295" s="16" t="str">
        <f t="shared" si="108"/>
        <v/>
      </c>
      <c r="W295" s="16" t="str">
        <f t="shared" si="109"/>
        <v/>
      </c>
      <c r="X295" s="40"/>
      <c r="Y295" s="14"/>
      <c r="AZ295" t="str">
        <f>IF($C295="","",ANAGRAFICA!$P292)</f>
        <v/>
      </c>
      <c r="BA295" t="str">
        <f>IF($C295="","",SUMIF('MOVIMENTI 2026'!$B$7:$B$4206,$C295,'MOVIMENTI 2026'!$I$7:$I$4206)+SUMIF('SALDI AL 31.12.2025'!$A$6:$A$505,$C295,'SALDI AL 31.12.2025'!$C$6:$C$505))</f>
        <v/>
      </c>
      <c r="BB295" t="str">
        <f>IF($C295="","",SUMIF('MOVIMENTI 2026'!$B$7:$B$4206,$C295,'MOVIMENTI 2026'!$J$7:$J$4206)+SUMIF('SALDI AL 31.12.2025'!$A$6:$A$505,$C295,'SALDI AL 31.12.2025'!$D$6:$D$505))</f>
        <v/>
      </c>
      <c r="BC295" t="str">
        <f>IF($C295="","",SUMIF('MOVIMENTI 2026'!$B$7:$B$4206,$C295,'MOVIMENTI 2026'!$K$7:$K$4206)+SUMIF('SALDI AL 31.12.2025'!$A$6:$A$505,$C295,'SALDI AL 31.12.2025'!$E$6:$E$505))</f>
        <v/>
      </c>
      <c r="BD295" t="str">
        <f>IF($C295="","",SUMIF('MOVIMENTI 2026'!$B$7:$B$4206,$C295,'MOVIMENTI 2026'!$L$7:$L$4206)+SUMIF('SALDI AL 31.12.2025'!$A$6:$A$505,$C295,'SALDI AL 31.12.2025'!$F$6:$F$505))</f>
        <v/>
      </c>
      <c r="BE295" t="str">
        <f t="shared" si="110"/>
        <v/>
      </c>
      <c r="BF295" t="str">
        <f t="shared" si="111"/>
        <v/>
      </c>
      <c r="BG295" t="str">
        <f t="shared" si="112"/>
        <v/>
      </c>
      <c r="BH295" t="str">
        <f>IFERROR(IF(OR($C295="",ANAGRAFICA!$I292="",ANAGRAFICA!$J292="",ANAGRAFICA!$J292&lt;=ANAGRAFICA!$I292,$Y295=""),"",IF(OR($I295="Finito ritenute non previste",$I295="Finito con sblocco ritenute",$I295="Finito senza sblocco ritenute"),1,MAX(0,MIN(1,($Y295-ANAGRAFICA!$I292)/(ANAGRAFICA!$J292-ANAGRAFICA!$I292))))),"")</f>
        <v/>
      </c>
      <c r="BI295" t="str">
        <f t="shared" si="113"/>
        <v/>
      </c>
      <c r="BJ295" t="str">
        <f>IFERROR(IF($C295="","",'BUDGET COMMESSA'!$D292),"")</f>
        <v/>
      </c>
      <c r="BK295" t="str">
        <f>IF($C295="","",SUMIF('MOVIMENTI 2026'!$B$7:$B$4206,$C295,'MOVIMENTI 2026'!$N$7:$N$4206)+SUMIF('SALDI AL 31.12.2025'!$A$6:$A$505,$C295,'SALDI AL 31.12.2025'!$H$6:$H$505))</f>
        <v/>
      </c>
      <c r="BL295" t="str">
        <f t="shared" si="114"/>
        <v/>
      </c>
      <c r="BM295" t="str">
        <f t="shared" si="115"/>
        <v/>
      </c>
      <c r="BN295" t="str">
        <f t="shared" si="116"/>
        <v/>
      </c>
      <c r="BO295" t="str">
        <f>IFERROR(IF($C295="","",'BUDGET COMMESSA'!$G292),"")</f>
        <v/>
      </c>
      <c r="BP295" t="str">
        <f>IF($C295="","",SUMIF('COSTI DIRETTI'!$C$6:$C$505,$C295,'COSTI DIRETTI'!$H$6:$H$505)+SUMIF('SALDI AL 31.12.2025'!$A$6:$A$505,$C295,'SALDI AL 31.12.2025'!$I$6:$I$505))</f>
        <v/>
      </c>
      <c r="BQ295" t="str">
        <f t="shared" si="117"/>
        <v/>
      </c>
      <c r="BR295" t="str">
        <f t="shared" si="118"/>
        <v/>
      </c>
      <c r="BS295" t="str">
        <f>IF($C295="","",$BK295*PARAMETRI!$B$4+$BP295)</f>
        <v/>
      </c>
      <c r="BT295">
        <f t="shared" si="119"/>
        <v>0</v>
      </c>
      <c r="BU295">
        <f t="shared" si="120"/>
        <v>0</v>
      </c>
      <c r="BV295" t="str">
        <f>IF($C295="","",SUMIF('MOVIMENTI 2026'!$B$7:$B$4206,$C295,'MOVIMENTI 2026'!$P$7:$P$4206)+SUMIF('SALDI AL 31.12.2025'!$A$6:$A$505,$C295,'SALDI AL 31.12.2025'!$G$6:$G$505))</f>
        <v/>
      </c>
    </row>
    <row r="296" spans="1:74" ht="16" x14ac:dyDescent="0.15">
      <c r="A296" s="17" t="str">
        <f>IFERROR(IF($C296="","",IF(OR($BF296&gt;0,$V296&gt;$J296,AND(ISNUMBER($Q296),$Q296&gt;0),AND($BI296&lt;&gt;"",$BI296&lt;-PARAMETRI!$B$6),AND($BM296&lt;&gt;"",$BM296&gt;=1),AND($BN296&lt;&gt;"",$BN296&gt;PARAMETRI!$B$8),AND(ISNUMBER($BR296),$BR296&gt;0)),"CRITICO",IF(OR($AZ296="",LEFT($C296,5)="TEMP",$BJ296="",$BO296="",ANAGRAFICA!$I293="",ANAGRAFICA!$J293="",$Y296="",AND(OR($I296="Finito ritenute non previste",$I296="Finito con sblocco ritenute",$I296="Finito senza sblocco ritenute"),ANAGRAFICA!$K293=""),OR(AND(ANAGRAFICA!$T293&lt;&gt;"",ANAGRAFICA!$J293&lt;&gt;ANAGRAFICA!$T293,OR(ANAGRAFICA!$R293="",ANAGRAFICA!$R293="Nessuna variazione")),AND(ANAGRAFICA!$J293="",ANAGRAFICA!$R293&lt;&gt;"",ANAGRAFICA!$R293&lt;&gt;"Nessuna variazione")),AND($BI296&lt;&gt;"",$BI296&lt;-PARAMETRI!$B$5),AND($BN296&lt;&gt;"",$BN296&gt;PARAMETRI!$B$7),AND($W296&gt;0,$M296&gt;$W296*PARAMETRI!$B$9),AND($O296&gt;0,OR($I296="Finito ritenute non previste",$I296="Finito con sblocco ritenute",$I296="Finito senza sblocco ritenute")),AND($BA296&gt;0,$BO296&gt;0,$BP296=0),AND(OR($I296="Finito ritenute non previste",$I296="Finito con sblocco ritenute",$I296="Finito senza sblocco ritenute"),$W296&gt;0,$N296&gt;$W296*PARAMETRI!$B$9),$V296&gt;0),"ATTENZIONE","REGOLARE"))),"ATTENZIONE")</f>
        <v/>
      </c>
      <c r="B296" s="17" t="str">
        <f>IFERROR(IF($C296="","",IF($BF296&gt;0,"FATTURATO OLTRE VALORE RECUPERABILE; ","")&amp;IF($V296&gt;$J296,"PERDITE ACCETTATE OLTRE CONTRATTO; ","")&amp;IF($V296&gt;0,"PERDITA SAL ACCETTATA (€ "&amp;TEXT($V296,"#,##0.00")&amp;"); ","")&amp;IF(AND(ISNUMBER($Q296),$Q296&gt;0),"RITARDO PRODUTTIVO ("&amp;TEXT($Q296,"0")&amp;" GG); ","")&amp;IF(AND($BI296&lt;&gt;"",$BI296&lt;-PARAMETRI!$B$5),"AVANZAMENTO PIÙ LENTO DEL TEMPO; ","")&amp;IF(AND($BM296&lt;&gt;"",$BM296&gt;1),"ORE OLTRE BUDGET; ","")&amp;IF(AND($BM296&lt;&gt;"",$BM296=1),"ORE PREVENTIVATE ESAURITE; ","")&amp;IF(AND($BN296&lt;&gt;"",$BN296&gt;PARAMETRI!$B$7),"CONSUMO ORE SUPERIORE ALL'AVANZAMENTO; ","")&amp;IF(AND(ISNUMBER($BR296),$BR296&gt;0),"COSTI DIRETTI OLTRE BUDGET; ","")&amp;IF(AND($W296&gt;0,$M296&gt;$W296*PARAMETRI!$B$9),"SAL MATURATO NON FATTURATO; ","")&amp;IF(AND($O296&gt;0,OR($I296="Finito ritenute non previste",$I296="Finito con sblocco ritenute",$I296="Finito senza sblocco ritenute")),"RITENUTE DA SBLOCCARE; ","")&amp;IF(AND($BA296&gt;0,$BO296&gt;0,$BP296=0),"COSTI DIRETTI NON REGISTRATI; ","")&amp;IF(AND(OR($I296="Finito ritenute non previste",$I296="Finito con sblocco ritenute",$I296="Finito senza sblocco ritenute"),$W296&gt;0,$N296&gt;$W296*PARAMETRI!$B$9),"CANTIERE FINITO CON RESIDUO LAVORI; ","")&amp;IF(AND(OR($I296="Finito ritenute non previste",$I296="Finito con sblocco ritenute",$I296="Finito senza sblocco ritenute"),ANAGRAFICA!$K293=""),"DATA FINE EFFETTIVA MANCANTE; ","")&amp;IF(OR(AND(ANAGRAFICA!$T293&lt;&gt;"",ANAGRAFICA!$J293&lt;&gt;ANAGRAFICA!$T293,OR(ANAGRAFICA!$R293="",ANAGRAFICA!$R293="Nessuna variazione")),AND(ANAGRAFICA!$J293="",ANAGRAFICA!$R293&lt;&gt;"",ANAGRAFICA!$R293&lt;&gt;"Nessuna variazione")),"GESTIONE DATA FINE INCOMPLETA; ","")&amp;IF($Y296="","AGGIORNATO AL MANCANTE; ","")&amp;IF(OR($AZ296="",$BJ296="",$BO296="",ANAGRAFICA!$I293="",ANAGRAFICA!$J293=""),"DATI PREVISIONALI INCOMPLETI; ","")&amp;IF(LEFT($C296,5)="TEMP","CODICE COMMESSA TEMPORANEO; ","")),"DATI INCOMPLETI; ")</f>
        <v/>
      </c>
      <c r="C296" s="17" t="str">
        <f>IF(ANAGRAFICA!$B293="","",ANAGRAFICA!$B293)</f>
        <v/>
      </c>
      <c r="D296" s="17" t="str">
        <f>IF($C296="","",ANAGRAFICA!$C293)</f>
        <v/>
      </c>
      <c r="E296" s="17" t="str">
        <f>IF($C296="","",ANAGRAFICA!$D293)</f>
        <v/>
      </c>
      <c r="F296" s="17" t="str">
        <f>IF($C296="","",ANAGRAFICA!$E293)</f>
        <v/>
      </c>
      <c r="G296" s="17" t="str">
        <f>IF($C296="","",ANAGRAFICA!$F293)</f>
        <v/>
      </c>
      <c r="H296" s="17" t="str">
        <f>IF($C296="","",ANAGRAFICA!$G293)</f>
        <v/>
      </c>
      <c r="I296" s="17" t="str">
        <f>IF($C296="","",ANAGRAFICA!$L293)</f>
        <v/>
      </c>
      <c r="J296" s="16" t="str">
        <f t="shared" si="97"/>
        <v/>
      </c>
      <c r="K296" s="16" t="str">
        <f t="shared" si="98"/>
        <v/>
      </c>
      <c r="L296" s="16" t="str">
        <f t="shared" si="99"/>
        <v/>
      </c>
      <c r="M296" s="16" t="str">
        <f t="shared" si="100"/>
        <v/>
      </c>
      <c r="N296" s="16" t="str">
        <f t="shared" si="101"/>
        <v/>
      </c>
      <c r="O296" s="16" t="str">
        <f t="shared" si="102"/>
        <v/>
      </c>
      <c r="P296" s="17" t="str">
        <f t="shared" si="103"/>
        <v/>
      </c>
      <c r="Q296" s="31" t="str">
        <f>IF(OR($C296="",'BUDGET COMMESSA'!$D293="",'BUDGET COMMESSA'!$D293&lt;=0,ANAGRAFICA!$J293=""),"",IF(OR($I296="Finito ritenute non previste",$I296="Finito con sblocco ritenute",$I296="Finito senza sblocco ritenute"),0,IF(AND($BK296&gt;=$BJ296,ANAGRAFICA!$R293="Ritardo produttivo FIDA"),IF(ANAGRAFICA!$T293&lt;&gt;"",MAX(0,ANAGRAFICA!$J293-ANAGRAFICA!$T293),MAX(0,$Y296-ANAGRAFICA!$J293)),0)))</f>
        <v/>
      </c>
      <c r="R296" s="17" t="str">
        <f t="shared" si="104"/>
        <v/>
      </c>
      <c r="S296" s="17" t="str">
        <f t="shared" si="105"/>
        <v/>
      </c>
      <c r="T296" s="17" t="str">
        <f t="shared" si="106"/>
        <v/>
      </c>
      <c r="U296" s="16" t="str">
        <f t="shared" si="107"/>
        <v/>
      </c>
      <c r="V296" s="16" t="str">
        <f t="shared" si="108"/>
        <v/>
      </c>
      <c r="W296" s="16" t="str">
        <f t="shared" si="109"/>
        <v/>
      </c>
      <c r="X296" s="40"/>
      <c r="Y296" s="14"/>
      <c r="AZ296" t="str">
        <f>IF($C296="","",ANAGRAFICA!$P293)</f>
        <v/>
      </c>
      <c r="BA296" t="str">
        <f>IF($C296="","",SUMIF('MOVIMENTI 2026'!$B$7:$B$4206,$C296,'MOVIMENTI 2026'!$I$7:$I$4206)+SUMIF('SALDI AL 31.12.2025'!$A$6:$A$505,$C296,'SALDI AL 31.12.2025'!$C$6:$C$505))</f>
        <v/>
      </c>
      <c r="BB296" t="str">
        <f>IF($C296="","",SUMIF('MOVIMENTI 2026'!$B$7:$B$4206,$C296,'MOVIMENTI 2026'!$J$7:$J$4206)+SUMIF('SALDI AL 31.12.2025'!$A$6:$A$505,$C296,'SALDI AL 31.12.2025'!$D$6:$D$505))</f>
        <v/>
      </c>
      <c r="BC296" t="str">
        <f>IF($C296="","",SUMIF('MOVIMENTI 2026'!$B$7:$B$4206,$C296,'MOVIMENTI 2026'!$K$7:$K$4206)+SUMIF('SALDI AL 31.12.2025'!$A$6:$A$505,$C296,'SALDI AL 31.12.2025'!$E$6:$E$505))</f>
        <v/>
      </c>
      <c r="BD296" t="str">
        <f>IF($C296="","",SUMIF('MOVIMENTI 2026'!$B$7:$B$4206,$C296,'MOVIMENTI 2026'!$L$7:$L$4206)+SUMIF('SALDI AL 31.12.2025'!$A$6:$A$505,$C296,'SALDI AL 31.12.2025'!$F$6:$F$505))</f>
        <v/>
      </c>
      <c r="BE296" t="str">
        <f t="shared" si="110"/>
        <v/>
      </c>
      <c r="BF296" t="str">
        <f t="shared" si="111"/>
        <v/>
      </c>
      <c r="BG296" t="str">
        <f t="shared" si="112"/>
        <v/>
      </c>
      <c r="BH296" t="str">
        <f>IFERROR(IF(OR($C296="",ANAGRAFICA!$I293="",ANAGRAFICA!$J293="",ANAGRAFICA!$J293&lt;=ANAGRAFICA!$I293,$Y296=""),"",IF(OR($I296="Finito ritenute non previste",$I296="Finito con sblocco ritenute",$I296="Finito senza sblocco ritenute"),1,MAX(0,MIN(1,($Y296-ANAGRAFICA!$I293)/(ANAGRAFICA!$J293-ANAGRAFICA!$I293))))),"")</f>
        <v/>
      </c>
      <c r="BI296" t="str">
        <f t="shared" si="113"/>
        <v/>
      </c>
      <c r="BJ296" t="str">
        <f>IFERROR(IF($C296="","",'BUDGET COMMESSA'!$D293),"")</f>
        <v/>
      </c>
      <c r="BK296" t="str">
        <f>IF($C296="","",SUMIF('MOVIMENTI 2026'!$B$7:$B$4206,$C296,'MOVIMENTI 2026'!$N$7:$N$4206)+SUMIF('SALDI AL 31.12.2025'!$A$6:$A$505,$C296,'SALDI AL 31.12.2025'!$H$6:$H$505))</f>
        <v/>
      </c>
      <c r="BL296" t="str">
        <f t="shared" si="114"/>
        <v/>
      </c>
      <c r="BM296" t="str">
        <f t="shared" si="115"/>
        <v/>
      </c>
      <c r="BN296" t="str">
        <f t="shared" si="116"/>
        <v/>
      </c>
      <c r="BO296" t="str">
        <f>IFERROR(IF($C296="","",'BUDGET COMMESSA'!$G293),"")</f>
        <v/>
      </c>
      <c r="BP296" t="str">
        <f>IF($C296="","",SUMIF('COSTI DIRETTI'!$C$6:$C$505,$C296,'COSTI DIRETTI'!$H$6:$H$505)+SUMIF('SALDI AL 31.12.2025'!$A$6:$A$505,$C296,'SALDI AL 31.12.2025'!$I$6:$I$505))</f>
        <v/>
      </c>
      <c r="BQ296" t="str">
        <f t="shared" si="117"/>
        <v/>
      </c>
      <c r="BR296" t="str">
        <f t="shared" si="118"/>
        <v/>
      </c>
      <c r="BS296" t="str">
        <f>IF($C296="","",$BK296*PARAMETRI!$B$4+$BP296)</f>
        <v/>
      </c>
      <c r="BT296">
        <f t="shared" si="119"/>
        <v>0</v>
      </c>
      <c r="BU296">
        <f t="shared" si="120"/>
        <v>0</v>
      </c>
      <c r="BV296" t="str">
        <f>IF($C296="","",SUMIF('MOVIMENTI 2026'!$B$7:$B$4206,$C296,'MOVIMENTI 2026'!$P$7:$P$4206)+SUMIF('SALDI AL 31.12.2025'!$A$6:$A$505,$C296,'SALDI AL 31.12.2025'!$G$6:$G$505))</f>
        <v/>
      </c>
    </row>
    <row r="297" spans="1:74" ht="16" x14ac:dyDescent="0.15">
      <c r="A297" s="17" t="str">
        <f>IFERROR(IF($C297="","",IF(OR($BF297&gt;0,$V297&gt;$J297,AND(ISNUMBER($Q297),$Q297&gt;0),AND($BI297&lt;&gt;"",$BI297&lt;-PARAMETRI!$B$6),AND($BM297&lt;&gt;"",$BM297&gt;=1),AND($BN297&lt;&gt;"",$BN297&gt;PARAMETRI!$B$8),AND(ISNUMBER($BR297),$BR297&gt;0)),"CRITICO",IF(OR($AZ297="",LEFT($C297,5)="TEMP",$BJ297="",$BO297="",ANAGRAFICA!$I294="",ANAGRAFICA!$J294="",$Y297="",AND(OR($I297="Finito ritenute non previste",$I297="Finito con sblocco ritenute",$I297="Finito senza sblocco ritenute"),ANAGRAFICA!$K294=""),OR(AND(ANAGRAFICA!$T294&lt;&gt;"",ANAGRAFICA!$J294&lt;&gt;ANAGRAFICA!$T294,OR(ANAGRAFICA!$R294="",ANAGRAFICA!$R294="Nessuna variazione")),AND(ANAGRAFICA!$J294="",ANAGRAFICA!$R294&lt;&gt;"",ANAGRAFICA!$R294&lt;&gt;"Nessuna variazione")),AND($BI297&lt;&gt;"",$BI297&lt;-PARAMETRI!$B$5),AND($BN297&lt;&gt;"",$BN297&gt;PARAMETRI!$B$7),AND($W297&gt;0,$M297&gt;$W297*PARAMETRI!$B$9),AND($O297&gt;0,OR($I297="Finito ritenute non previste",$I297="Finito con sblocco ritenute",$I297="Finito senza sblocco ritenute")),AND($BA297&gt;0,$BO297&gt;0,$BP297=0),AND(OR($I297="Finito ritenute non previste",$I297="Finito con sblocco ritenute",$I297="Finito senza sblocco ritenute"),$W297&gt;0,$N297&gt;$W297*PARAMETRI!$B$9),$V297&gt;0),"ATTENZIONE","REGOLARE"))),"ATTENZIONE")</f>
        <v/>
      </c>
      <c r="B297" s="17" t="str">
        <f>IFERROR(IF($C297="","",IF($BF297&gt;0,"FATTURATO OLTRE VALORE RECUPERABILE; ","")&amp;IF($V297&gt;$J297,"PERDITE ACCETTATE OLTRE CONTRATTO; ","")&amp;IF($V297&gt;0,"PERDITA SAL ACCETTATA (€ "&amp;TEXT($V297,"#,##0.00")&amp;"); ","")&amp;IF(AND(ISNUMBER($Q297),$Q297&gt;0),"RITARDO PRODUTTIVO ("&amp;TEXT($Q297,"0")&amp;" GG); ","")&amp;IF(AND($BI297&lt;&gt;"",$BI297&lt;-PARAMETRI!$B$5),"AVANZAMENTO PIÙ LENTO DEL TEMPO; ","")&amp;IF(AND($BM297&lt;&gt;"",$BM297&gt;1),"ORE OLTRE BUDGET; ","")&amp;IF(AND($BM297&lt;&gt;"",$BM297=1),"ORE PREVENTIVATE ESAURITE; ","")&amp;IF(AND($BN297&lt;&gt;"",$BN297&gt;PARAMETRI!$B$7),"CONSUMO ORE SUPERIORE ALL'AVANZAMENTO; ","")&amp;IF(AND(ISNUMBER($BR297),$BR297&gt;0),"COSTI DIRETTI OLTRE BUDGET; ","")&amp;IF(AND($W297&gt;0,$M297&gt;$W297*PARAMETRI!$B$9),"SAL MATURATO NON FATTURATO; ","")&amp;IF(AND($O297&gt;0,OR($I297="Finito ritenute non previste",$I297="Finito con sblocco ritenute",$I297="Finito senza sblocco ritenute")),"RITENUTE DA SBLOCCARE; ","")&amp;IF(AND($BA297&gt;0,$BO297&gt;0,$BP297=0),"COSTI DIRETTI NON REGISTRATI; ","")&amp;IF(AND(OR($I297="Finito ritenute non previste",$I297="Finito con sblocco ritenute",$I297="Finito senza sblocco ritenute"),$W297&gt;0,$N297&gt;$W297*PARAMETRI!$B$9),"CANTIERE FINITO CON RESIDUO LAVORI; ","")&amp;IF(AND(OR($I297="Finito ritenute non previste",$I297="Finito con sblocco ritenute",$I297="Finito senza sblocco ritenute"),ANAGRAFICA!$K294=""),"DATA FINE EFFETTIVA MANCANTE; ","")&amp;IF(OR(AND(ANAGRAFICA!$T294&lt;&gt;"",ANAGRAFICA!$J294&lt;&gt;ANAGRAFICA!$T294,OR(ANAGRAFICA!$R294="",ANAGRAFICA!$R294="Nessuna variazione")),AND(ANAGRAFICA!$J294="",ANAGRAFICA!$R294&lt;&gt;"",ANAGRAFICA!$R294&lt;&gt;"Nessuna variazione")),"GESTIONE DATA FINE INCOMPLETA; ","")&amp;IF($Y297="","AGGIORNATO AL MANCANTE; ","")&amp;IF(OR($AZ297="",$BJ297="",$BO297="",ANAGRAFICA!$I294="",ANAGRAFICA!$J294=""),"DATI PREVISIONALI INCOMPLETI; ","")&amp;IF(LEFT($C297,5)="TEMP","CODICE COMMESSA TEMPORANEO; ","")),"DATI INCOMPLETI; ")</f>
        <v/>
      </c>
      <c r="C297" s="17" t="str">
        <f>IF(ANAGRAFICA!$B294="","",ANAGRAFICA!$B294)</f>
        <v/>
      </c>
      <c r="D297" s="17" t="str">
        <f>IF($C297="","",ANAGRAFICA!$C294)</f>
        <v/>
      </c>
      <c r="E297" s="17" t="str">
        <f>IF($C297="","",ANAGRAFICA!$D294)</f>
        <v/>
      </c>
      <c r="F297" s="17" t="str">
        <f>IF($C297="","",ANAGRAFICA!$E294)</f>
        <v/>
      </c>
      <c r="G297" s="17" t="str">
        <f>IF($C297="","",ANAGRAFICA!$F294)</f>
        <v/>
      </c>
      <c r="H297" s="17" t="str">
        <f>IF($C297="","",ANAGRAFICA!$G294)</f>
        <v/>
      </c>
      <c r="I297" s="17" t="str">
        <f>IF($C297="","",ANAGRAFICA!$L294)</f>
        <v/>
      </c>
      <c r="J297" s="16" t="str">
        <f t="shared" si="97"/>
        <v/>
      </c>
      <c r="K297" s="16" t="str">
        <f t="shared" si="98"/>
        <v/>
      </c>
      <c r="L297" s="16" t="str">
        <f t="shared" si="99"/>
        <v/>
      </c>
      <c r="M297" s="16" t="str">
        <f t="shared" si="100"/>
        <v/>
      </c>
      <c r="N297" s="16" t="str">
        <f t="shared" si="101"/>
        <v/>
      </c>
      <c r="O297" s="16" t="str">
        <f t="shared" si="102"/>
        <v/>
      </c>
      <c r="P297" s="17" t="str">
        <f t="shared" si="103"/>
        <v/>
      </c>
      <c r="Q297" s="31" t="str">
        <f>IF(OR($C297="",'BUDGET COMMESSA'!$D294="",'BUDGET COMMESSA'!$D294&lt;=0,ANAGRAFICA!$J294=""),"",IF(OR($I297="Finito ritenute non previste",$I297="Finito con sblocco ritenute",$I297="Finito senza sblocco ritenute"),0,IF(AND($BK297&gt;=$BJ297,ANAGRAFICA!$R294="Ritardo produttivo FIDA"),IF(ANAGRAFICA!$T294&lt;&gt;"",MAX(0,ANAGRAFICA!$J294-ANAGRAFICA!$T294),MAX(0,$Y297-ANAGRAFICA!$J294)),0)))</f>
        <v/>
      </c>
      <c r="R297" s="17" t="str">
        <f t="shared" si="104"/>
        <v/>
      </c>
      <c r="S297" s="17" t="str">
        <f t="shared" si="105"/>
        <v/>
      </c>
      <c r="T297" s="17" t="str">
        <f t="shared" si="106"/>
        <v/>
      </c>
      <c r="U297" s="16" t="str">
        <f t="shared" si="107"/>
        <v/>
      </c>
      <c r="V297" s="16" t="str">
        <f t="shared" si="108"/>
        <v/>
      </c>
      <c r="W297" s="16" t="str">
        <f t="shared" si="109"/>
        <v/>
      </c>
      <c r="X297" s="40"/>
      <c r="Y297" s="14"/>
      <c r="AZ297" t="str">
        <f>IF($C297="","",ANAGRAFICA!$P294)</f>
        <v/>
      </c>
      <c r="BA297" t="str">
        <f>IF($C297="","",SUMIF('MOVIMENTI 2026'!$B$7:$B$4206,$C297,'MOVIMENTI 2026'!$I$7:$I$4206)+SUMIF('SALDI AL 31.12.2025'!$A$6:$A$505,$C297,'SALDI AL 31.12.2025'!$C$6:$C$505))</f>
        <v/>
      </c>
      <c r="BB297" t="str">
        <f>IF($C297="","",SUMIF('MOVIMENTI 2026'!$B$7:$B$4206,$C297,'MOVIMENTI 2026'!$J$7:$J$4206)+SUMIF('SALDI AL 31.12.2025'!$A$6:$A$505,$C297,'SALDI AL 31.12.2025'!$D$6:$D$505))</f>
        <v/>
      </c>
      <c r="BC297" t="str">
        <f>IF($C297="","",SUMIF('MOVIMENTI 2026'!$B$7:$B$4206,$C297,'MOVIMENTI 2026'!$K$7:$K$4206)+SUMIF('SALDI AL 31.12.2025'!$A$6:$A$505,$C297,'SALDI AL 31.12.2025'!$E$6:$E$505))</f>
        <v/>
      </c>
      <c r="BD297" t="str">
        <f>IF($C297="","",SUMIF('MOVIMENTI 2026'!$B$7:$B$4206,$C297,'MOVIMENTI 2026'!$L$7:$L$4206)+SUMIF('SALDI AL 31.12.2025'!$A$6:$A$505,$C297,'SALDI AL 31.12.2025'!$F$6:$F$505))</f>
        <v/>
      </c>
      <c r="BE297" t="str">
        <f t="shared" si="110"/>
        <v/>
      </c>
      <c r="BF297" t="str">
        <f t="shared" si="111"/>
        <v/>
      </c>
      <c r="BG297" t="str">
        <f t="shared" si="112"/>
        <v/>
      </c>
      <c r="BH297" t="str">
        <f>IFERROR(IF(OR($C297="",ANAGRAFICA!$I294="",ANAGRAFICA!$J294="",ANAGRAFICA!$J294&lt;=ANAGRAFICA!$I294,$Y297=""),"",IF(OR($I297="Finito ritenute non previste",$I297="Finito con sblocco ritenute",$I297="Finito senza sblocco ritenute"),1,MAX(0,MIN(1,($Y297-ANAGRAFICA!$I294)/(ANAGRAFICA!$J294-ANAGRAFICA!$I294))))),"")</f>
        <v/>
      </c>
      <c r="BI297" t="str">
        <f t="shared" si="113"/>
        <v/>
      </c>
      <c r="BJ297" t="str">
        <f>IFERROR(IF($C297="","",'BUDGET COMMESSA'!$D294),"")</f>
        <v/>
      </c>
      <c r="BK297" t="str">
        <f>IF($C297="","",SUMIF('MOVIMENTI 2026'!$B$7:$B$4206,$C297,'MOVIMENTI 2026'!$N$7:$N$4206)+SUMIF('SALDI AL 31.12.2025'!$A$6:$A$505,$C297,'SALDI AL 31.12.2025'!$H$6:$H$505))</f>
        <v/>
      </c>
      <c r="BL297" t="str">
        <f t="shared" si="114"/>
        <v/>
      </c>
      <c r="BM297" t="str">
        <f t="shared" si="115"/>
        <v/>
      </c>
      <c r="BN297" t="str">
        <f t="shared" si="116"/>
        <v/>
      </c>
      <c r="BO297" t="str">
        <f>IFERROR(IF($C297="","",'BUDGET COMMESSA'!$G294),"")</f>
        <v/>
      </c>
      <c r="BP297" t="str">
        <f>IF($C297="","",SUMIF('COSTI DIRETTI'!$C$6:$C$505,$C297,'COSTI DIRETTI'!$H$6:$H$505)+SUMIF('SALDI AL 31.12.2025'!$A$6:$A$505,$C297,'SALDI AL 31.12.2025'!$I$6:$I$505))</f>
        <v/>
      </c>
      <c r="BQ297" t="str">
        <f t="shared" si="117"/>
        <v/>
      </c>
      <c r="BR297" t="str">
        <f t="shared" si="118"/>
        <v/>
      </c>
      <c r="BS297" t="str">
        <f>IF($C297="","",$BK297*PARAMETRI!$B$4+$BP297)</f>
        <v/>
      </c>
      <c r="BT297">
        <f t="shared" si="119"/>
        <v>0</v>
      </c>
      <c r="BU297">
        <f t="shared" si="120"/>
        <v>0</v>
      </c>
      <c r="BV297" t="str">
        <f>IF($C297="","",SUMIF('MOVIMENTI 2026'!$B$7:$B$4206,$C297,'MOVIMENTI 2026'!$P$7:$P$4206)+SUMIF('SALDI AL 31.12.2025'!$A$6:$A$505,$C297,'SALDI AL 31.12.2025'!$G$6:$G$505))</f>
        <v/>
      </c>
    </row>
    <row r="298" spans="1:74" ht="16" x14ac:dyDescent="0.15">
      <c r="A298" s="17" t="str">
        <f>IFERROR(IF($C298="","",IF(OR($BF298&gt;0,$V298&gt;$J298,AND(ISNUMBER($Q298),$Q298&gt;0),AND($BI298&lt;&gt;"",$BI298&lt;-PARAMETRI!$B$6),AND($BM298&lt;&gt;"",$BM298&gt;=1),AND($BN298&lt;&gt;"",$BN298&gt;PARAMETRI!$B$8),AND(ISNUMBER($BR298),$BR298&gt;0)),"CRITICO",IF(OR($AZ298="",LEFT($C298,5)="TEMP",$BJ298="",$BO298="",ANAGRAFICA!$I295="",ANAGRAFICA!$J295="",$Y298="",AND(OR($I298="Finito ritenute non previste",$I298="Finito con sblocco ritenute",$I298="Finito senza sblocco ritenute"),ANAGRAFICA!$K295=""),OR(AND(ANAGRAFICA!$T295&lt;&gt;"",ANAGRAFICA!$J295&lt;&gt;ANAGRAFICA!$T295,OR(ANAGRAFICA!$R295="",ANAGRAFICA!$R295="Nessuna variazione")),AND(ANAGRAFICA!$J295="",ANAGRAFICA!$R295&lt;&gt;"",ANAGRAFICA!$R295&lt;&gt;"Nessuna variazione")),AND($BI298&lt;&gt;"",$BI298&lt;-PARAMETRI!$B$5),AND($BN298&lt;&gt;"",$BN298&gt;PARAMETRI!$B$7),AND($W298&gt;0,$M298&gt;$W298*PARAMETRI!$B$9),AND($O298&gt;0,OR($I298="Finito ritenute non previste",$I298="Finito con sblocco ritenute",$I298="Finito senza sblocco ritenute")),AND($BA298&gt;0,$BO298&gt;0,$BP298=0),AND(OR($I298="Finito ritenute non previste",$I298="Finito con sblocco ritenute",$I298="Finito senza sblocco ritenute"),$W298&gt;0,$N298&gt;$W298*PARAMETRI!$B$9),$V298&gt;0),"ATTENZIONE","REGOLARE"))),"ATTENZIONE")</f>
        <v/>
      </c>
      <c r="B298" s="17" t="str">
        <f>IFERROR(IF($C298="","",IF($BF298&gt;0,"FATTURATO OLTRE VALORE RECUPERABILE; ","")&amp;IF($V298&gt;$J298,"PERDITE ACCETTATE OLTRE CONTRATTO; ","")&amp;IF($V298&gt;0,"PERDITA SAL ACCETTATA (€ "&amp;TEXT($V298,"#,##0.00")&amp;"); ","")&amp;IF(AND(ISNUMBER($Q298),$Q298&gt;0),"RITARDO PRODUTTIVO ("&amp;TEXT($Q298,"0")&amp;" GG); ","")&amp;IF(AND($BI298&lt;&gt;"",$BI298&lt;-PARAMETRI!$B$5),"AVANZAMENTO PIÙ LENTO DEL TEMPO; ","")&amp;IF(AND($BM298&lt;&gt;"",$BM298&gt;1),"ORE OLTRE BUDGET; ","")&amp;IF(AND($BM298&lt;&gt;"",$BM298=1),"ORE PREVENTIVATE ESAURITE; ","")&amp;IF(AND($BN298&lt;&gt;"",$BN298&gt;PARAMETRI!$B$7),"CONSUMO ORE SUPERIORE ALL'AVANZAMENTO; ","")&amp;IF(AND(ISNUMBER($BR298),$BR298&gt;0),"COSTI DIRETTI OLTRE BUDGET; ","")&amp;IF(AND($W298&gt;0,$M298&gt;$W298*PARAMETRI!$B$9),"SAL MATURATO NON FATTURATO; ","")&amp;IF(AND($O298&gt;0,OR($I298="Finito ritenute non previste",$I298="Finito con sblocco ritenute",$I298="Finito senza sblocco ritenute")),"RITENUTE DA SBLOCCARE; ","")&amp;IF(AND($BA298&gt;0,$BO298&gt;0,$BP298=0),"COSTI DIRETTI NON REGISTRATI; ","")&amp;IF(AND(OR($I298="Finito ritenute non previste",$I298="Finito con sblocco ritenute",$I298="Finito senza sblocco ritenute"),$W298&gt;0,$N298&gt;$W298*PARAMETRI!$B$9),"CANTIERE FINITO CON RESIDUO LAVORI; ","")&amp;IF(AND(OR($I298="Finito ritenute non previste",$I298="Finito con sblocco ritenute",$I298="Finito senza sblocco ritenute"),ANAGRAFICA!$K295=""),"DATA FINE EFFETTIVA MANCANTE; ","")&amp;IF(OR(AND(ANAGRAFICA!$T295&lt;&gt;"",ANAGRAFICA!$J295&lt;&gt;ANAGRAFICA!$T295,OR(ANAGRAFICA!$R295="",ANAGRAFICA!$R295="Nessuna variazione")),AND(ANAGRAFICA!$J295="",ANAGRAFICA!$R295&lt;&gt;"",ANAGRAFICA!$R295&lt;&gt;"Nessuna variazione")),"GESTIONE DATA FINE INCOMPLETA; ","")&amp;IF($Y298="","AGGIORNATO AL MANCANTE; ","")&amp;IF(OR($AZ298="",$BJ298="",$BO298="",ANAGRAFICA!$I295="",ANAGRAFICA!$J295=""),"DATI PREVISIONALI INCOMPLETI; ","")&amp;IF(LEFT($C298,5)="TEMP","CODICE COMMESSA TEMPORANEO; ","")),"DATI INCOMPLETI; ")</f>
        <v/>
      </c>
      <c r="C298" s="17" t="str">
        <f>IF(ANAGRAFICA!$B295="","",ANAGRAFICA!$B295)</f>
        <v/>
      </c>
      <c r="D298" s="17" t="str">
        <f>IF($C298="","",ANAGRAFICA!$C295)</f>
        <v/>
      </c>
      <c r="E298" s="17" t="str">
        <f>IF($C298="","",ANAGRAFICA!$D295)</f>
        <v/>
      </c>
      <c r="F298" s="17" t="str">
        <f>IF($C298="","",ANAGRAFICA!$E295)</f>
        <v/>
      </c>
      <c r="G298" s="17" t="str">
        <f>IF($C298="","",ANAGRAFICA!$F295)</f>
        <v/>
      </c>
      <c r="H298" s="17" t="str">
        <f>IF($C298="","",ANAGRAFICA!$G295)</f>
        <v/>
      </c>
      <c r="I298" s="17" t="str">
        <f>IF($C298="","",ANAGRAFICA!$L295)</f>
        <v/>
      </c>
      <c r="J298" s="16" t="str">
        <f t="shared" si="97"/>
        <v/>
      </c>
      <c r="K298" s="16" t="str">
        <f t="shared" si="98"/>
        <v/>
      </c>
      <c r="L298" s="16" t="str">
        <f t="shared" si="99"/>
        <v/>
      </c>
      <c r="M298" s="16" t="str">
        <f t="shared" si="100"/>
        <v/>
      </c>
      <c r="N298" s="16" t="str">
        <f t="shared" si="101"/>
        <v/>
      </c>
      <c r="O298" s="16" t="str">
        <f t="shared" si="102"/>
        <v/>
      </c>
      <c r="P298" s="17" t="str">
        <f t="shared" si="103"/>
        <v/>
      </c>
      <c r="Q298" s="31" t="str">
        <f>IF(OR($C298="",'BUDGET COMMESSA'!$D295="",'BUDGET COMMESSA'!$D295&lt;=0,ANAGRAFICA!$J295=""),"",IF(OR($I298="Finito ritenute non previste",$I298="Finito con sblocco ritenute",$I298="Finito senza sblocco ritenute"),0,IF(AND($BK298&gt;=$BJ298,ANAGRAFICA!$R295="Ritardo produttivo FIDA"),IF(ANAGRAFICA!$T295&lt;&gt;"",MAX(0,ANAGRAFICA!$J295-ANAGRAFICA!$T295),MAX(0,$Y298-ANAGRAFICA!$J295)),0)))</f>
        <v/>
      </c>
      <c r="R298" s="17" t="str">
        <f t="shared" si="104"/>
        <v/>
      </c>
      <c r="S298" s="17" t="str">
        <f t="shared" si="105"/>
        <v/>
      </c>
      <c r="T298" s="17" t="str">
        <f t="shared" si="106"/>
        <v/>
      </c>
      <c r="U298" s="16" t="str">
        <f t="shared" si="107"/>
        <v/>
      </c>
      <c r="V298" s="16" t="str">
        <f t="shared" si="108"/>
        <v/>
      </c>
      <c r="W298" s="16" t="str">
        <f t="shared" si="109"/>
        <v/>
      </c>
      <c r="X298" s="40"/>
      <c r="Y298" s="14"/>
      <c r="AZ298" t="str">
        <f>IF($C298="","",ANAGRAFICA!$P295)</f>
        <v/>
      </c>
      <c r="BA298" t="str">
        <f>IF($C298="","",SUMIF('MOVIMENTI 2026'!$B$7:$B$4206,$C298,'MOVIMENTI 2026'!$I$7:$I$4206)+SUMIF('SALDI AL 31.12.2025'!$A$6:$A$505,$C298,'SALDI AL 31.12.2025'!$C$6:$C$505))</f>
        <v/>
      </c>
      <c r="BB298" t="str">
        <f>IF($C298="","",SUMIF('MOVIMENTI 2026'!$B$7:$B$4206,$C298,'MOVIMENTI 2026'!$J$7:$J$4206)+SUMIF('SALDI AL 31.12.2025'!$A$6:$A$505,$C298,'SALDI AL 31.12.2025'!$D$6:$D$505))</f>
        <v/>
      </c>
      <c r="BC298" t="str">
        <f>IF($C298="","",SUMIF('MOVIMENTI 2026'!$B$7:$B$4206,$C298,'MOVIMENTI 2026'!$K$7:$K$4206)+SUMIF('SALDI AL 31.12.2025'!$A$6:$A$505,$C298,'SALDI AL 31.12.2025'!$E$6:$E$505))</f>
        <v/>
      </c>
      <c r="BD298" t="str">
        <f>IF($C298="","",SUMIF('MOVIMENTI 2026'!$B$7:$B$4206,$C298,'MOVIMENTI 2026'!$L$7:$L$4206)+SUMIF('SALDI AL 31.12.2025'!$A$6:$A$505,$C298,'SALDI AL 31.12.2025'!$F$6:$F$505))</f>
        <v/>
      </c>
      <c r="BE298" t="str">
        <f t="shared" si="110"/>
        <v/>
      </c>
      <c r="BF298" t="str">
        <f t="shared" si="111"/>
        <v/>
      </c>
      <c r="BG298" t="str">
        <f t="shared" si="112"/>
        <v/>
      </c>
      <c r="BH298" t="str">
        <f>IFERROR(IF(OR($C298="",ANAGRAFICA!$I295="",ANAGRAFICA!$J295="",ANAGRAFICA!$J295&lt;=ANAGRAFICA!$I295,$Y298=""),"",IF(OR($I298="Finito ritenute non previste",$I298="Finito con sblocco ritenute",$I298="Finito senza sblocco ritenute"),1,MAX(0,MIN(1,($Y298-ANAGRAFICA!$I295)/(ANAGRAFICA!$J295-ANAGRAFICA!$I295))))),"")</f>
        <v/>
      </c>
      <c r="BI298" t="str">
        <f t="shared" si="113"/>
        <v/>
      </c>
      <c r="BJ298" t="str">
        <f>IFERROR(IF($C298="","",'BUDGET COMMESSA'!$D295),"")</f>
        <v/>
      </c>
      <c r="BK298" t="str">
        <f>IF($C298="","",SUMIF('MOVIMENTI 2026'!$B$7:$B$4206,$C298,'MOVIMENTI 2026'!$N$7:$N$4206)+SUMIF('SALDI AL 31.12.2025'!$A$6:$A$505,$C298,'SALDI AL 31.12.2025'!$H$6:$H$505))</f>
        <v/>
      </c>
      <c r="BL298" t="str">
        <f t="shared" si="114"/>
        <v/>
      </c>
      <c r="BM298" t="str">
        <f t="shared" si="115"/>
        <v/>
      </c>
      <c r="BN298" t="str">
        <f t="shared" si="116"/>
        <v/>
      </c>
      <c r="BO298" t="str">
        <f>IFERROR(IF($C298="","",'BUDGET COMMESSA'!$G295),"")</f>
        <v/>
      </c>
      <c r="BP298" t="str">
        <f>IF($C298="","",SUMIF('COSTI DIRETTI'!$C$6:$C$505,$C298,'COSTI DIRETTI'!$H$6:$H$505)+SUMIF('SALDI AL 31.12.2025'!$A$6:$A$505,$C298,'SALDI AL 31.12.2025'!$I$6:$I$505))</f>
        <v/>
      </c>
      <c r="BQ298" t="str">
        <f t="shared" si="117"/>
        <v/>
      </c>
      <c r="BR298" t="str">
        <f t="shared" si="118"/>
        <v/>
      </c>
      <c r="BS298" t="str">
        <f>IF($C298="","",$BK298*PARAMETRI!$B$4+$BP298)</f>
        <v/>
      </c>
      <c r="BT298">
        <f t="shared" si="119"/>
        <v>0</v>
      </c>
      <c r="BU298">
        <f t="shared" si="120"/>
        <v>0</v>
      </c>
      <c r="BV298" t="str">
        <f>IF($C298="","",SUMIF('MOVIMENTI 2026'!$B$7:$B$4206,$C298,'MOVIMENTI 2026'!$P$7:$P$4206)+SUMIF('SALDI AL 31.12.2025'!$A$6:$A$505,$C298,'SALDI AL 31.12.2025'!$G$6:$G$505))</f>
        <v/>
      </c>
    </row>
    <row r="299" spans="1:74" ht="16" x14ac:dyDescent="0.15">
      <c r="A299" s="17" t="str">
        <f>IFERROR(IF($C299="","",IF(OR($BF299&gt;0,$V299&gt;$J299,AND(ISNUMBER($Q299),$Q299&gt;0),AND($BI299&lt;&gt;"",$BI299&lt;-PARAMETRI!$B$6),AND($BM299&lt;&gt;"",$BM299&gt;=1),AND($BN299&lt;&gt;"",$BN299&gt;PARAMETRI!$B$8),AND(ISNUMBER($BR299),$BR299&gt;0)),"CRITICO",IF(OR($AZ299="",LEFT($C299,5)="TEMP",$BJ299="",$BO299="",ANAGRAFICA!$I296="",ANAGRAFICA!$J296="",$Y299="",AND(OR($I299="Finito ritenute non previste",$I299="Finito con sblocco ritenute",$I299="Finito senza sblocco ritenute"),ANAGRAFICA!$K296=""),OR(AND(ANAGRAFICA!$T296&lt;&gt;"",ANAGRAFICA!$J296&lt;&gt;ANAGRAFICA!$T296,OR(ANAGRAFICA!$R296="",ANAGRAFICA!$R296="Nessuna variazione")),AND(ANAGRAFICA!$J296="",ANAGRAFICA!$R296&lt;&gt;"",ANAGRAFICA!$R296&lt;&gt;"Nessuna variazione")),AND($BI299&lt;&gt;"",$BI299&lt;-PARAMETRI!$B$5),AND($BN299&lt;&gt;"",$BN299&gt;PARAMETRI!$B$7),AND($W299&gt;0,$M299&gt;$W299*PARAMETRI!$B$9),AND($O299&gt;0,OR($I299="Finito ritenute non previste",$I299="Finito con sblocco ritenute",$I299="Finito senza sblocco ritenute")),AND($BA299&gt;0,$BO299&gt;0,$BP299=0),AND(OR($I299="Finito ritenute non previste",$I299="Finito con sblocco ritenute",$I299="Finito senza sblocco ritenute"),$W299&gt;0,$N299&gt;$W299*PARAMETRI!$B$9),$V299&gt;0),"ATTENZIONE","REGOLARE"))),"ATTENZIONE")</f>
        <v/>
      </c>
      <c r="B299" s="17" t="str">
        <f>IFERROR(IF($C299="","",IF($BF299&gt;0,"FATTURATO OLTRE VALORE RECUPERABILE; ","")&amp;IF($V299&gt;$J299,"PERDITE ACCETTATE OLTRE CONTRATTO; ","")&amp;IF($V299&gt;0,"PERDITA SAL ACCETTATA (€ "&amp;TEXT($V299,"#,##0.00")&amp;"); ","")&amp;IF(AND(ISNUMBER($Q299),$Q299&gt;0),"RITARDO PRODUTTIVO ("&amp;TEXT($Q299,"0")&amp;" GG); ","")&amp;IF(AND($BI299&lt;&gt;"",$BI299&lt;-PARAMETRI!$B$5),"AVANZAMENTO PIÙ LENTO DEL TEMPO; ","")&amp;IF(AND($BM299&lt;&gt;"",$BM299&gt;1),"ORE OLTRE BUDGET; ","")&amp;IF(AND($BM299&lt;&gt;"",$BM299=1),"ORE PREVENTIVATE ESAURITE; ","")&amp;IF(AND($BN299&lt;&gt;"",$BN299&gt;PARAMETRI!$B$7),"CONSUMO ORE SUPERIORE ALL'AVANZAMENTO; ","")&amp;IF(AND(ISNUMBER($BR299),$BR299&gt;0),"COSTI DIRETTI OLTRE BUDGET; ","")&amp;IF(AND($W299&gt;0,$M299&gt;$W299*PARAMETRI!$B$9),"SAL MATURATO NON FATTURATO; ","")&amp;IF(AND($O299&gt;0,OR($I299="Finito ritenute non previste",$I299="Finito con sblocco ritenute",$I299="Finito senza sblocco ritenute")),"RITENUTE DA SBLOCCARE; ","")&amp;IF(AND($BA299&gt;0,$BO299&gt;0,$BP299=0),"COSTI DIRETTI NON REGISTRATI; ","")&amp;IF(AND(OR($I299="Finito ritenute non previste",$I299="Finito con sblocco ritenute",$I299="Finito senza sblocco ritenute"),$W299&gt;0,$N299&gt;$W299*PARAMETRI!$B$9),"CANTIERE FINITO CON RESIDUO LAVORI; ","")&amp;IF(AND(OR($I299="Finito ritenute non previste",$I299="Finito con sblocco ritenute",$I299="Finito senza sblocco ritenute"),ANAGRAFICA!$K296=""),"DATA FINE EFFETTIVA MANCANTE; ","")&amp;IF(OR(AND(ANAGRAFICA!$T296&lt;&gt;"",ANAGRAFICA!$J296&lt;&gt;ANAGRAFICA!$T296,OR(ANAGRAFICA!$R296="",ANAGRAFICA!$R296="Nessuna variazione")),AND(ANAGRAFICA!$J296="",ANAGRAFICA!$R296&lt;&gt;"",ANAGRAFICA!$R296&lt;&gt;"Nessuna variazione")),"GESTIONE DATA FINE INCOMPLETA; ","")&amp;IF($Y299="","AGGIORNATO AL MANCANTE; ","")&amp;IF(OR($AZ299="",$BJ299="",$BO299="",ANAGRAFICA!$I296="",ANAGRAFICA!$J296=""),"DATI PREVISIONALI INCOMPLETI; ","")&amp;IF(LEFT($C299,5)="TEMP","CODICE COMMESSA TEMPORANEO; ","")),"DATI INCOMPLETI; ")</f>
        <v/>
      </c>
      <c r="C299" s="17" t="str">
        <f>IF(ANAGRAFICA!$B296="","",ANAGRAFICA!$B296)</f>
        <v/>
      </c>
      <c r="D299" s="17" t="str">
        <f>IF($C299="","",ANAGRAFICA!$C296)</f>
        <v/>
      </c>
      <c r="E299" s="17" t="str">
        <f>IF($C299="","",ANAGRAFICA!$D296)</f>
        <v/>
      </c>
      <c r="F299" s="17" t="str">
        <f>IF($C299="","",ANAGRAFICA!$E296)</f>
        <v/>
      </c>
      <c r="G299" s="17" t="str">
        <f>IF($C299="","",ANAGRAFICA!$F296)</f>
        <v/>
      </c>
      <c r="H299" s="17" t="str">
        <f>IF($C299="","",ANAGRAFICA!$G296)</f>
        <v/>
      </c>
      <c r="I299" s="17" t="str">
        <f>IF($C299="","",ANAGRAFICA!$L296)</f>
        <v/>
      </c>
      <c r="J299" s="16" t="str">
        <f t="shared" si="97"/>
        <v/>
      </c>
      <c r="K299" s="16" t="str">
        <f t="shared" si="98"/>
        <v/>
      </c>
      <c r="L299" s="16" t="str">
        <f t="shared" si="99"/>
        <v/>
      </c>
      <c r="M299" s="16" t="str">
        <f t="shared" si="100"/>
        <v/>
      </c>
      <c r="N299" s="16" t="str">
        <f t="shared" si="101"/>
        <v/>
      </c>
      <c r="O299" s="16" t="str">
        <f t="shared" si="102"/>
        <v/>
      </c>
      <c r="P299" s="17" t="str">
        <f t="shared" si="103"/>
        <v/>
      </c>
      <c r="Q299" s="31" t="str">
        <f>IF(OR($C299="",'BUDGET COMMESSA'!$D296="",'BUDGET COMMESSA'!$D296&lt;=0,ANAGRAFICA!$J296=""),"",IF(OR($I299="Finito ritenute non previste",$I299="Finito con sblocco ritenute",$I299="Finito senza sblocco ritenute"),0,IF(AND($BK299&gt;=$BJ299,ANAGRAFICA!$R296="Ritardo produttivo FIDA"),IF(ANAGRAFICA!$T296&lt;&gt;"",MAX(0,ANAGRAFICA!$J296-ANAGRAFICA!$T296),MAX(0,$Y299-ANAGRAFICA!$J296)),0)))</f>
        <v/>
      </c>
      <c r="R299" s="17" t="str">
        <f t="shared" si="104"/>
        <v/>
      </c>
      <c r="S299" s="17" t="str">
        <f t="shared" si="105"/>
        <v/>
      </c>
      <c r="T299" s="17" t="str">
        <f t="shared" si="106"/>
        <v/>
      </c>
      <c r="U299" s="16" t="str">
        <f t="shared" si="107"/>
        <v/>
      </c>
      <c r="V299" s="16" t="str">
        <f t="shared" si="108"/>
        <v/>
      </c>
      <c r="W299" s="16" t="str">
        <f t="shared" si="109"/>
        <v/>
      </c>
      <c r="X299" s="40"/>
      <c r="Y299" s="14"/>
      <c r="AZ299" t="str">
        <f>IF($C299="","",ANAGRAFICA!$P296)</f>
        <v/>
      </c>
      <c r="BA299" t="str">
        <f>IF($C299="","",SUMIF('MOVIMENTI 2026'!$B$7:$B$4206,$C299,'MOVIMENTI 2026'!$I$7:$I$4206)+SUMIF('SALDI AL 31.12.2025'!$A$6:$A$505,$C299,'SALDI AL 31.12.2025'!$C$6:$C$505))</f>
        <v/>
      </c>
      <c r="BB299" t="str">
        <f>IF($C299="","",SUMIF('MOVIMENTI 2026'!$B$7:$B$4206,$C299,'MOVIMENTI 2026'!$J$7:$J$4206)+SUMIF('SALDI AL 31.12.2025'!$A$6:$A$505,$C299,'SALDI AL 31.12.2025'!$D$6:$D$505))</f>
        <v/>
      </c>
      <c r="BC299" t="str">
        <f>IF($C299="","",SUMIF('MOVIMENTI 2026'!$B$7:$B$4206,$C299,'MOVIMENTI 2026'!$K$7:$K$4206)+SUMIF('SALDI AL 31.12.2025'!$A$6:$A$505,$C299,'SALDI AL 31.12.2025'!$E$6:$E$505))</f>
        <v/>
      </c>
      <c r="BD299" t="str">
        <f>IF($C299="","",SUMIF('MOVIMENTI 2026'!$B$7:$B$4206,$C299,'MOVIMENTI 2026'!$L$7:$L$4206)+SUMIF('SALDI AL 31.12.2025'!$A$6:$A$505,$C299,'SALDI AL 31.12.2025'!$F$6:$F$505))</f>
        <v/>
      </c>
      <c r="BE299" t="str">
        <f t="shared" si="110"/>
        <v/>
      </c>
      <c r="BF299" t="str">
        <f t="shared" si="111"/>
        <v/>
      </c>
      <c r="BG299" t="str">
        <f t="shared" si="112"/>
        <v/>
      </c>
      <c r="BH299" t="str">
        <f>IFERROR(IF(OR($C299="",ANAGRAFICA!$I296="",ANAGRAFICA!$J296="",ANAGRAFICA!$J296&lt;=ANAGRAFICA!$I296,$Y299=""),"",IF(OR($I299="Finito ritenute non previste",$I299="Finito con sblocco ritenute",$I299="Finito senza sblocco ritenute"),1,MAX(0,MIN(1,($Y299-ANAGRAFICA!$I296)/(ANAGRAFICA!$J296-ANAGRAFICA!$I296))))),"")</f>
        <v/>
      </c>
      <c r="BI299" t="str">
        <f t="shared" si="113"/>
        <v/>
      </c>
      <c r="BJ299" t="str">
        <f>IFERROR(IF($C299="","",'BUDGET COMMESSA'!$D296),"")</f>
        <v/>
      </c>
      <c r="BK299" t="str">
        <f>IF($C299="","",SUMIF('MOVIMENTI 2026'!$B$7:$B$4206,$C299,'MOVIMENTI 2026'!$N$7:$N$4206)+SUMIF('SALDI AL 31.12.2025'!$A$6:$A$505,$C299,'SALDI AL 31.12.2025'!$H$6:$H$505))</f>
        <v/>
      </c>
      <c r="BL299" t="str">
        <f t="shared" si="114"/>
        <v/>
      </c>
      <c r="BM299" t="str">
        <f t="shared" si="115"/>
        <v/>
      </c>
      <c r="BN299" t="str">
        <f t="shared" si="116"/>
        <v/>
      </c>
      <c r="BO299" t="str">
        <f>IFERROR(IF($C299="","",'BUDGET COMMESSA'!$G296),"")</f>
        <v/>
      </c>
      <c r="BP299" t="str">
        <f>IF($C299="","",SUMIF('COSTI DIRETTI'!$C$6:$C$505,$C299,'COSTI DIRETTI'!$H$6:$H$505)+SUMIF('SALDI AL 31.12.2025'!$A$6:$A$505,$C299,'SALDI AL 31.12.2025'!$I$6:$I$505))</f>
        <v/>
      </c>
      <c r="BQ299" t="str">
        <f t="shared" si="117"/>
        <v/>
      </c>
      <c r="BR299" t="str">
        <f t="shared" si="118"/>
        <v/>
      </c>
      <c r="BS299" t="str">
        <f>IF($C299="","",$BK299*PARAMETRI!$B$4+$BP299)</f>
        <v/>
      </c>
      <c r="BT299">
        <f t="shared" si="119"/>
        <v>0</v>
      </c>
      <c r="BU299">
        <f t="shared" si="120"/>
        <v>0</v>
      </c>
      <c r="BV299" t="str">
        <f>IF($C299="","",SUMIF('MOVIMENTI 2026'!$B$7:$B$4206,$C299,'MOVIMENTI 2026'!$P$7:$P$4206)+SUMIF('SALDI AL 31.12.2025'!$A$6:$A$505,$C299,'SALDI AL 31.12.2025'!$G$6:$G$505))</f>
        <v/>
      </c>
    </row>
    <row r="300" spans="1:74" ht="16" x14ac:dyDescent="0.15">
      <c r="A300" s="17" t="str">
        <f>IFERROR(IF($C300="","",IF(OR($BF300&gt;0,$V300&gt;$J300,AND(ISNUMBER($Q300),$Q300&gt;0),AND($BI300&lt;&gt;"",$BI300&lt;-PARAMETRI!$B$6),AND($BM300&lt;&gt;"",$BM300&gt;=1),AND($BN300&lt;&gt;"",$BN300&gt;PARAMETRI!$B$8),AND(ISNUMBER($BR300),$BR300&gt;0)),"CRITICO",IF(OR($AZ300="",LEFT($C300,5)="TEMP",$BJ300="",$BO300="",ANAGRAFICA!$I297="",ANAGRAFICA!$J297="",$Y300="",AND(OR($I300="Finito ritenute non previste",$I300="Finito con sblocco ritenute",$I300="Finito senza sblocco ritenute"),ANAGRAFICA!$K297=""),OR(AND(ANAGRAFICA!$T297&lt;&gt;"",ANAGRAFICA!$J297&lt;&gt;ANAGRAFICA!$T297,OR(ANAGRAFICA!$R297="",ANAGRAFICA!$R297="Nessuna variazione")),AND(ANAGRAFICA!$J297="",ANAGRAFICA!$R297&lt;&gt;"",ANAGRAFICA!$R297&lt;&gt;"Nessuna variazione")),AND($BI300&lt;&gt;"",$BI300&lt;-PARAMETRI!$B$5),AND($BN300&lt;&gt;"",$BN300&gt;PARAMETRI!$B$7),AND($W300&gt;0,$M300&gt;$W300*PARAMETRI!$B$9),AND($O300&gt;0,OR($I300="Finito ritenute non previste",$I300="Finito con sblocco ritenute",$I300="Finito senza sblocco ritenute")),AND($BA300&gt;0,$BO300&gt;0,$BP300=0),AND(OR($I300="Finito ritenute non previste",$I300="Finito con sblocco ritenute",$I300="Finito senza sblocco ritenute"),$W300&gt;0,$N300&gt;$W300*PARAMETRI!$B$9),$V300&gt;0),"ATTENZIONE","REGOLARE"))),"ATTENZIONE")</f>
        <v/>
      </c>
      <c r="B300" s="17" t="str">
        <f>IFERROR(IF($C300="","",IF($BF300&gt;0,"FATTURATO OLTRE VALORE RECUPERABILE; ","")&amp;IF($V300&gt;$J300,"PERDITE ACCETTATE OLTRE CONTRATTO; ","")&amp;IF($V300&gt;0,"PERDITA SAL ACCETTATA (€ "&amp;TEXT($V300,"#,##0.00")&amp;"); ","")&amp;IF(AND(ISNUMBER($Q300),$Q300&gt;0),"RITARDO PRODUTTIVO ("&amp;TEXT($Q300,"0")&amp;" GG); ","")&amp;IF(AND($BI300&lt;&gt;"",$BI300&lt;-PARAMETRI!$B$5),"AVANZAMENTO PIÙ LENTO DEL TEMPO; ","")&amp;IF(AND($BM300&lt;&gt;"",$BM300&gt;1),"ORE OLTRE BUDGET; ","")&amp;IF(AND($BM300&lt;&gt;"",$BM300=1),"ORE PREVENTIVATE ESAURITE; ","")&amp;IF(AND($BN300&lt;&gt;"",$BN300&gt;PARAMETRI!$B$7),"CONSUMO ORE SUPERIORE ALL'AVANZAMENTO; ","")&amp;IF(AND(ISNUMBER($BR300),$BR300&gt;0),"COSTI DIRETTI OLTRE BUDGET; ","")&amp;IF(AND($W300&gt;0,$M300&gt;$W300*PARAMETRI!$B$9),"SAL MATURATO NON FATTURATO; ","")&amp;IF(AND($O300&gt;0,OR($I300="Finito ritenute non previste",$I300="Finito con sblocco ritenute",$I300="Finito senza sblocco ritenute")),"RITENUTE DA SBLOCCARE; ","")&amp;IF(AND($BA300&gt;0,$BO300&gt;0,$BP300=0),"COSTI DIRETTI NON REGISTRATI; ","")&amp;IF(AND(OR($I300="Finito ritenute non previste",$I300="Finito con sblocco ritenute",$I300="Finito senza sblocco ritenute"),$W300&gt;0,$N300&gt;$W300*PARAMETRI!$B$9),"CANTIERE FINITO CON RESIDUO LAVORI; ","")&amp;IF(AND(OR($I300="Finito ritenute non previste",$I300="Finito con sblocco ritenute",$I300="Finito senza sblocco ritenute"),ANAGRAFICA!$K297=""),"DATA FINE EFFETTIVA MANCANTE; ","")&amp;IF(OR(AND(ANAGRAFICA!$T297&lt;&gt;"",ANAGRAFICA!$J297&lt;&gt;ANAGRAFICA!$T297,OR(ANAGRAFICA!$R297="",ANAGRAFICA!$R297="Nessuna variazione")),AND(ANAGRAFICA!$J297="",ANAGRAFICA!$R297&lt;&gt;"",ANAGRAFICA!$R297&lt;&gt;"Nessuna variazione")),"GESTIONE DATA FINE INCOMPLETA; ","")&amp;IF($Y300="","AGGIORNATO AL MANCANTE; ","")&amp;IF(OR($AZ300="",$BJ300="",$BO300="",ANAGRAFICA!$I297="",ANAGRAFICA!$J297=""),"DATI PREVISIONALI INCOMPLETI; ","")&amp;IF(LEFT($C300,5)="TEMP","CODICE COMMESSA TEMPORANEO; ","")),"DATI INCOMPLETI; ")</f>
        <v/>
      </c>
      <c r="C300" s="17" t="str">
        <f>IF(ANAGRAFICA!$B297="","",ANAGRAFICA!$B297)</f>
        <v/>
      </c>
      <c r="D300" s="17" t="str">
        <f>IF($C300="","",ANAGRAFICA!$C297)</f>
        <v/>
      </c>
      <c r="E300" s="17" t="str">
        <f>IF($C300="","",ANAGRAFICA!$D297)</f>
        <v/>
      </c>
      <c r="F300" s="17" t="str">
        <f>IF($C300="","",ANAGRAFICA!$E297)</f>
        <v/>
      </c>
      <c r="G300" s="17" t="str">
        <f>IF($C300="","",ANAGRAFICA!$F297)</f>
        <v/>
      </c>
      <c r="H300" s="17" t="str">
        <f>IF($C300="","",ANAGRAFICA!$G297)</f>
        <v/>
      </c>
      <c r="I300" s="17" t="str">
        <f>IF($C300="","",ANAGRAFICA!$L297)</f>
        <v/>
      </c>
      <c r="J300" s="16" t="str">
        <f t="shared" si="97"/>
        <v/>
      </c>
      <c r="K300" s="16" t="str">
        <f t="shared" si="98"/>
        <v/>
      </c>
      <c r="L300" s="16" t="str">
        <f t="shared" si="99"/>
        <v/>
      </c>
      <c r="M300" s="16" t="str">
        <f t="shared" si="100"/>
        <v/>
      </c>
      <c r="N300" s="16" t="str">
        <f t="shared" si="101"/>
        <v/>
      </c>
      <c r="O300" s="16" t="str">
        <f t="shared" si="102"/>
        <v/>
      </c>
      <c r="P300" s="17" t="str">
        <f t="shared" si="103"/>
        <v/>
      </c>
      <c r="Q300" s="31" t="str">
        <f>IF(OR($C300="",'BUDGET COMMESSA'!$D297="",'BUDGET COMMESSA'!$D297&lt;=0,ANAGRAFICA!$J297=""),"",IF(OR($I300="Finito ritenute non previste",$I300="Finito con sblocco ritenute",$I300="Finito senza sblocco ritenute"),0,IF(AND($BK300&gt;=$BJ300,ANAGRAFICA!$R297="Ritardo produttivo FIDA"),IF(ANAGRAFICA!$T297&lt;&gt;"",MAX(0,ANAGRAFICA!$J297-ANAGRAFICA!$T297),MAX(0,$Y300-ANAGRAFICA!$J297)),0)))</f>
        <v/>
      </c>
      <c r="R300" s="17" t="str">
        <f t="shared" si="104"/>
        <v/>
      </c>
      <c r="S300" s="17" t="str">
        <f t="shared" si="105"/>
        <v/>
      </c>
      <c r="T300" s="17" t="str">
        <f t="shared" si="106"/>
        <v/>
      </c>
      <c r="U300" s="16" t="str">
        <f t="shared" si="107"/>
        <v/>
      </c>
      <c r="V300" s="16" t="str">
        <f t="shared" si="108"/>
        <v/>
      </c>
      <c r="W300" s="16" t="str">
        <f t="shared" si="109"/>
        <v/>
      </c>
      <c r="X300" s="40"/>
      <c r="Y300" s="14"/>
      <c r="AZ300" t="str">
        <f>IF($C300="","",ANAGRAFICA!$P297)</f>
        <v/>
      </c>
      <c r="BA300" t="str">
        <f>IF($C300="","",SUMIF('MOVIMENTI 2026'!$B$7:$B$4206,$C300,'MOVIMENTI 2026'!$I$7:$I$4206)+SUMIF('SALDI AL 31.12.2025'!$A$6:$A$505,$C300,'SALDI AL 31.12.2025'!$C$6:$C$505))</f>
        <v/>
      </c>
      <c r="BB300" t="str">
        <f>IF($C300="","",SUMIF('MOVIMENTI 2026'!$B$7:$B$4206,$C300,'MOVIMENTI 2026'!$J$7:$J$4206)+SUMIF('SALDI AL 31.12.2025'!$A$6:$A$505,$C300,'SALDI AL 31.12.2025'!$D$6:$D$505))</f>
        <v/>
      </c>
      <c r="BC300" t="str">
        <f>IF($C300="","",SUMIF('MOVIMENTI 2026'!$B$7:$B$4206,$C300,'MOVIMENTI 2026'!$K$7:$K$4206)+SUMIF('SALDI AL 31.12.2025'!$A$6:$A$505,$C300,'SALDI AL 31.12.2025'!$E$6:$E$505))</f>
        <v/>
      </c>
      <c r="BD300" t="str">
        <f>IF($C300="","",SUMIF('MOVIMENTI 2026'!$B$7:$B$4206,$C300,'MOVIMENTI 2026'!$L$7:$L$4206)+SUMIF('SALDI AL 31.12.2025'!$A$6:$A$505,$C300,'SALDI AL 31.12.2025'!$F$6:$F$505))</f>
        <v/>
      </c>
      <c r="BE300" t="str">
        <f t="shared" si="110"/>
        <v/>
      </c>
      <c r="BF300" t="str">
        <f t="shared" si="111"/>
        <v/>
      </c>
      <c r="BG300" t="str">
        <f t="shared" si="112"/>
        <v/>
      </c>
      <c r="BH300" t="str">
        <f>IFERROR(IF(OR($C300="",ANAGRAFICA!$I297="",ANAGRAFICA!$J297="",ANAGRAFICA!$J297&lt;=ANAGRAFICA!$I297,$Y300=""),"",IF(OR($I300="Finito ritenute non previste",$I300="Finito con sblocco ritenute",$I300="Finito senza sblocco ritenute"),1,MAX(0,MIN(1,($Y300-ANAGRAFICA!$I297)/(ANAGRAFICA!$J297-ANAGRAFICA!$I297))))),"")</f>
        <v/>
      </c>
      <c r="BI300" t="str">
        <f t="shared" si="113"/>
        <v/>
      </c>
      <c r="BJ300" t="str">
        <f>IFERROR(IF($C300="","",'BUDGET COMMESSA'!$D297),"")</f>
        <v/>
      </c>
      <c r="BK300" t="str">
        <f>IF($C300="","",SUMIF('MOVIMENTI 2026'!$B$7:$B$4206,$C300,'MOVIMENTI 2026'!$N$7:$N$4206)+SUMIF('SALDI AL 31.12.2025'!$A$6:$A$505,$C300,'SALDI AL 31.12.2025'!$H$6:$H$505))</f>
        <v/>
      </c>
      <c r="BL300" t="str">
        <f t="shared" si="114"/>
        <v/>
      </c>
      <c r="BM300" t="str">
        <f t="shared" si="115"/>
        <v/>
      </c>
      <c r="BN300" t="str">
        <f t="shared" si="116"/>
        <v/>
      </c>
      <c r="BO300" t="str">
        <f>IFERROR(IF($C300="","",'BUDGET COMMESSA'!$G297),"")</f>
        <v/>
      </c>
      <c r="BP300" t="str">
        <f>IF($C300="","",SUMIF('COSTI DIRETTI'!$C$6:$C$505,$C300,'COSTI DIRETTI'!$H$6:$H$505)+SUMIF('SALDI AL 31.12.2025'!$A$6:$A$505,$C300,'SALDI AL 31.12.2025'!$I$6:$I$505))</f>
        <v/>
      </c>
      <c r="BQ300" t="str">
        <f t="shared" si="117"/>
        <v/>
      </c>
      <c r="BR300" t="str">
        <f t="shared" si="118"/>
        <v/>
      </c>
      <c r="BS300" t="str">
        <f>IF($C300="","",$BK300*PARAMETRI!$B$4+$BP300)</f>
        <v/>
      </c>
      <c r="BT300">
        <f t="shared" si="119"/>
        <v>0</v>
      </c>
      <c r="BU300">
        <f t="shared" si="120"/>
        <v>0</v>
      </c>
      <c r="BV300" t="str">
        <f>IF($C300="","",SUMIF('MOVIMENTI 2026'!$B$7:$B$4206,$C300,'MOVIMENTI 2026'!$P$7:$P$4206)+SUMIF('SALDI AL 31.12.2025'!$A$6:$A$505,$C300,'SALDI AL 31.12.2025'!$G$6:$G$505))</f>
        <v/>
      </c>
    </row>
    <row r="301" spans="1:74" ht="16" x14ac:dyDescent="0.15">
      <c r="A301" s="17" t="str">
        <f>IFERROR(IF($C301="","",IF(OR($BF301&gt;0,$V301&gt;$J301,AND(ISNUMBER($Q301),$Q301&gt;0),AND($BI301&lt;&gt;"",$BI301&lt;-PARAMETRI!$B$6),AND($BM301&lt;&gt;"",$BM301&gt;=1),AND($BN301&lt;&gt;"",$BN301&gt;PARAMETRI!$B$8),AND(ISNUMBER($BR301),$BR301&gt;0)),"CRITICO",IF(OR($AZ301="",LEFT($C301,5)="TEMP",$BJ301="",$BO301="",ANAGRAFICA!$I298="",ANAGRAFICA!$J298="",$Y301="",AND(OR($I301="Finito ritenute non previste",$I301="Finito con sblocco ritenute",$I301="Finito senza sblocco ritenute"),ANAGRAFICA!$K298=""),OR(AND(ANAGRAFICA!$T298&lt;&gt;"",ANAGRAFICA!$J298&lt;&gt;ANAGRAFICA!$T298,OR(ANAGRAFICA!$R298="",ANAGRAFICA!$R298="Nessuna variazione")),AND(ANAGRAFICA!$J298="",ANAGRAFICA!$R298&lt;&gt;"",ANAGRAFICA!$R298&lt;&gt;"Nessuna variazione")),AND($BI301&lt;&gt;"",$BI301&lt;-PARAMETRI!$B$5),AND($BN301&lt;&gt;"",$BN301&gt;PARAMETRI!$B$7),AND($W301&gt;0,$M301&gt;$W301*PARAMETRI!$B$9),AND($O301&gt;0,OR($I301="Finito ritenute non previste",$I301="Finito con sblocco ritenute",$I301="Finito senza sblocco ritenute")),AND($BA301&gt;0,$BO301&gt;0,$BP301=0),AND(OR($I301="Finito ritenute non previste",$I301="Finito con sblocco ritenute",$I301="Finito senza sblocco ritenute"),$W301&gt;0,$N301&gt;$W301*PARAMETRI!$B$9),$V301&gt;0),"ATTENZIONE","REGOLARE"))),"ATTENZIONE")</f>
        <v/>
      </c>
      <c r="B301" s="17" t="str">
        <f>IFERROR(IF($C301="","",IF($BF301&gt;0,"FATTURATO OLTRE VALORE RECUPERABILE; ","")&amp;IF($V301&gt;$J301,"PERDITE ACCETTATE OLTRE CONTRATTO; ","")&amp;IF($V301&gt;0,"PERDITA SAL ACCETTATA (€ "&amp;TEXT($V301,"#,##0.00")&amp;"); ","")&amp;IF(AND(ISNUMBER($Q301),$Q301&gt;0),"RITARDO PRODUTTIVO ("&amp;TEXT($Q301,"0")&amp;" GG); ","")&amp;IF(AND($BI301&lt;&gt;"",$BI301&lt;-PARAMETRI!$B$5),"AVANZAMENTO PIÙ LENTO DEL TEMPO; ","")&amp;IF(AND($BM301&lt;&gt;"",$BM301&gt;1),"ORE OLTRE BUDGET; ","")&amp;IF(AND($BM301&lt;&gt;"",$BM301=1),"ORE PREVENTIVATE ESAURITE; ","")&amp;IF(AND($BN301&lt;&gt;"",$BN301&gt;PARAMETRI!$B$7),"CONSUMO ORE SUPERIORE ALL'AVANZAMENTO; ","")&amp;IF(AND(ISNUMBER($BR301),$BR301&gt;0),"COSTI DIRETTI OLTRE BUDGET; ","")&amp;IF(AND($W301&gt;0,$M301&gt;$W301*PARAMETRI!$B$9),"SAL MATURATO NON FATTURATO; ","")&amp;IF(AND($O301&gt;0,OR($I301="Finito ritenute non previste",$I301="Finito con sblocco ritenute",$I301="Finito senza sblocco ritenute")),"RITENUTE DA SBLOCCARE; ","")&amp;IF(AND($BA301&gt;0,$BO301&gt;0,$BP301=0),"COSTI DIRETTI NON REGISTRATI; ","")&amp;IF(AND(OR($I301="Finito ritenute non previste",$I301="Finito con sblocco ritenute",$I301="Finito senza sblocco ritenute"),$W301&gt;0,$N301&gt;$W301*PARAMETRI!$B$9),"CANTIERE FINITO CON RESIDUO LAVORI; ","")&amp;IF(AND(OR($I301="Finito ritenute non previste",$I301="Finito con sblocco ritenute",$I301="Finito senza sblocco ritenute"),ANAGRAFICA!$K298=""),"DATA FINE EFFETTIVA MANCANTE; ","")&amp;IF(OR(AND(ANAGRAFICA!$T298&lt;&gt;"",ANAGRAFICA!$J298&lt;&gt;ANAGRAFICA!$T298,OR(ANAGRAFICA!$R298="",ANAGRAFICA!$R298="Nessuna variazione")),AND(ANAGRAFICA!$J298="",ANAGRAFICA!$R298&lt;&gt;"",ANAGRAFICA!$R298&lt;&gt;"Nessuna variazione")),"GESTIONE DATA FINE INCOMPLETA; ","")&amp;IF($Y301="","AGGIORNATO AL MANCANTE; ","")&amp;IF(OR($AZ301="",$BJ301="",$BO301="",ANAGRAFICA!$I298="",ANAGRAFICA!$J298=""),"DATI PREVISIONALI INCOMPLETI; ","")&amp;IF(LEFT($C301,5)="TEMP","CODICE COMMESSA TEMPORANEO; ","")),"DATI INCOMPLETI; ")</f>
        <v/>
      </c>
      <c r="C301" s="17" t="str">
        <f>IF(ANAGRAFICA!$B298="","",ANAGRAFICA!$B298)</f>
        <v/>
      </c>
      <c r="D301" s="17" t="str">
        <f>IF($C301="","",ANAGRAFICA!$C298)</f>
        <v/>
      </c>
      <c r="E301" s="17" t="str">
        <f>IF($C301="","",ANAGRAFICA!$D298)</f>
        <v/>
      </c>
      <c r="F301" s="17" t="str">
        <f>IF($C301="","",ANAGRAFICA!$E298)</f>
        <v/>
      </c>
      <c r="G301" s="17" t="str">
        <f>IF($C301="","",ANAGRAFICA!$F298)</f>
        <v/>
      </c>
      <c r="H301" s="17" t="str">
        <f>IF($C301="","",ANAGRAFICA!$G298)</f>
        <v/>
      </c>
      <c r="I301" s="17" t="str">
        <f>IF($C301="","",ANAGRAFICA!$L298)</f>
        <v/>
      </c>
      <c r="J301" s="16" t="str">
        <f t="shared" si="97"/>
        <v/>
      </c>
      <c r="K301" s="16" t="str">
        <f t="shared" si="98"/>
        <v/>
      </c>
      <c r="L301" s="16" t="str">
        <f t="shared" si="99"/>
        <v/>
      </c>
      <c r="M301" s="16" t="str">
        <f t="shared" si="100"/>
        <v/>
      </c>
      <c r="N301" s="16" t="str">
        <f t="shared" si="101"/>
        <v/>
      </c>
      <c r="O301" s="16" t="str">
        <f t="shared" si="102"/>
        <v/>
      </c>
      <c r="P301" s="17" t="str">
        <f t="shared" si="103"/>
        <v/>
      </c>
      <c r="Q301" s="31" t="str">
        <f>IF(OR($C301="",'BUDGET COMMESSA'!$D298="",'BUDGET COMMESSA'!$D298&lt;=0,ANAGRAFICA!$J298=""),"",IF(OR($I301="Finito ritenute non previste",$I301="Finito con sblocco ritenute",$I301="Finito senza sblocco ritenute"),0,IF(AND($BK301&gt;=$BJ301,ANAGRAFICA!$R298="Ritardo produttivo FIDA"),IF(ANAGRAFICA!$T298&lt;&gt;"",MAX(0,ANAGRAFICA!$J298-ANAGRAFICA!$T298),MAX(0,$Y301-ANAGRAFICA!$J298)),0)))</f>
        <v/>
      </c>
      <c r="R301" s="17" t="str">
        <f t="shared" si="104"/>
        <v/>
      </c>
      <c r="S301" s="17" t="str">
        <f t="shared" si="105"/>
        <v/>
      </c>
      <c r="T301" s="17" t="str">
        <f t="shared" si="106"/>
        <v/>
      </c>
      <c r="U301" s="16" t="str">
        <f t="shared" si="107"/>
        <v/>
      </c>
      <c r="V301" s="16" t="str">
        <f t="shared" si="108"/>
        <v/>
      </c>
      <c r="W301" s="16" t="str">
        <f t="shared" si="109"/>
        <v/>
      </c>
      <c r="X301" s="40"/>
      <c r="Y301" s="14"/>
      <c r="AZ301" t="str">
        <f>IF($C301="","",ANAGRAFICA!$P298)</f>
        <v/>
      </c>
      <c r="BA301" t="str">
        <f>IF($C301="","",SUMIF('MOVIMENTI 2026'!$B$7:$B$4206,$C301,'MOVIMENTI 2026'!$I$7:$I$4206)+SUMIF('SALDI AL 31.12.2025'!$A$6:$A$505,$C301,'SALDI AL 31.12.2025'!$C$6:$C$505))</f>
        <v/>
      </c>
      <c r="BB301" t="str">
        <f>IF($C301="","",SUMIF('MOVIMENTI 2026'!$B$7:$B$4206,$C301,'MOVIMENTI 2026'!$J$7:$J$4206)+SUMIF('SALDI AL 31.12.2025'!$A$6:$A$505,$C301,'SALDI AL 31.12.2025'!$D$6:$D$505))</f>
        <v/>
      </c>
      <c r="BC301" t="str">
        <f>IF($C301="","",SUMIF('MOVIMENTI 2026'!$B$7:$B$4206,$C301,'MOVIMENTI 2026'!$K$7:$K$4206)+SUMIF('SALDI AL 31.12.2025'!$A$6:$A$505,$C301,'SALDI AL 31.12.2025'!$E$6:$E$505))</f>
        <v/>
      </c>
      <c r="BD301" t="str">
        <f>IF($C301="","",SUMIF('MOVIMENTI 2026'!$B$7:$B$4206,$C301,'MOVIMENTI 2026'!$L$7:$L$4206)+SUMIF('SALDI AL 31.12.2025'!$A$6:$A$505,$C301,'SALDI AL 31.12.2025'!$F$6:$F$505))</f>
        <v/>
      </c>
      <c r="BE301" t="str">
        <f t="shared" si="110"/>
        <v/>
      </c>
      <c r="BF301" t="str">
        <f t="shared" si="111"/>
        <v/>
      </c>
      <c r="BG301" t="str">
        <f t="shared" si="112"/>
        <v/>
      </c>
      <c r="BH301" t="str">
        <f>IFERROR(IF(OR($C301="",ANAGRAFICA!$I298="",ANAGRAFICA!$J298="",ANAGRAFICA!$J298&lt;=ANAGRAFICA!$I298,$Y301=""),"",IF(OR($I301="Finito ritenute non previste",$I301="Finito con sblocco ritenute",$I301="Finito senza sblocco ritenute"),1,MAX(0,MIN(1,($Y301-ANAGRAFICA!$I298)/(ANAGRAFICA!$J298-ANAGRAFICA!$I298))))),"")</f>
        <v/>
      </c>
      <c r="BI301" t="str">
        <f t="shared" si="113"/>
        <v/>
      </c>
      <c r="BJ301" t="str">
        <f>IFERROR(IF($C301="","",'BUDGET COMMESSA'!$D298),"")</f>
        <v/>
      </c>
      <c r="BK301" t="str">
        <f>IF($C301="","",SUMIF('MOVIMENTI 2026'!$B$7:$B$4206,$C301,'MOVIMENTI 2026'!$N$7:$N$4206)+SUMIF('SALDI AL 31.12.2025'!$A$6:$A$505,$C301,'SALDI AL 31.12.2025'!$H$6:$H$505))</f>
        <v/>
      </c>
      <c r="BL301" t="str">
        <f t="shared" si="114"/>
        <v/>
      </c>
      <c r="BM301" t="str">
        <f t="shared" si="115"/>
        <v/>
      </c>
      <c r="BN301" t="str">
        <f t="shared" si="116"/>
        <v/>
      </c>
      <c r="BO301" t="str">
        <f>IFERROR(IF($C301="","",'BUDGET COMMESSA'!$G298),"")</f>
        <v/>
      </c>
      <c r="BP301" t="str">
        <f>IF($C301="","",SUMIF('COSTI DIRETTI'!$C$6:$C$505,$C301,'COSTI DIRETTI'!$H$6:$H$505)+SUMIF('SALDI AL 31.12.2025'!$A$6:$A$505,$C301,'SALDI AL 31.12.2025'!$I$6:$I$505))</f>
        <v/>
      </c>
      <c r="BQ301" t="str">
        <f t="shared" si="117"/>
        <v/>
      </c>
      <c r="BR301" t="str">
        <f t="shared" si="118"/>
        <v/>
      </c>
      <c r="BS301" t="str">
        <f>IF($C301="","",$BK301*PARAMETRI!$B$4+$BP301)</f>
        <v/>
      </c>
      <c r="BT301">
        <f t="shared" si="119"/>
        <v>0</v>
      </c>
      <c r="BU301">
        <f t="shared" si="120"/>
        <v>0</v>
      </c>
      <c r="BV301" t="str">
        <f>IF($C301="","",SUMIF('MOVIMENTI 2026'!$B$7:$B$4206,$C301,'MOVIMENTI 2026'!$P$7:$P$4206)+SUMIF('SALDI AL 31.12.2025'!$A$6:$A$505,$C301,'SALDI AL 31.12.2025'!$G$6:$G$505))</f>
        <v/>
      </c>
    </row>
    <row r="302" spans="1:74" ht="16" x14ac:dyDescent="0.15">
      <c r="A302" s="17" t="str">
        <f>IFERROR(IF($C302="","",IF(OR($BF302&gt;0,$V302&gt;$J302,AND(ISNUMBER($Q302),$Q302&gt;0),AND($BI302&lt;&gt;"",$BI302&lt;-PARAMETRI!$B$6),AND($BM302&lt;&gt;"",$BM302&gt;=1),AND($BN302&lt;&gt;"",$BN302&gt;PARAMETRI!$B$8),AND(ISNUMBER($BR302),$BR302&gt;0)),"CRITICO",IF(OR($AZ302="",LEFT($C302,5)="TEMP",$BJ302="",$BO302="",ANAGRAFICA!$I299="",ANAGRAFICA!$J299="",$Y302="",AND(OR($I302="Finito ritenute non previste",$I302="Finito con sblocco ritenute",$I302="Finito senza sblocco ritenute"),ANAGRAFICA!$K299=""),OR(AND(ANAGRAFICA!$T299&lt;&gt;"",ANAGRAFICA!$J299&lt;&gt;ANAGRAFICA!$T299,OR(ANAGRAFICA!$R299="",ANAGRAFICA!$R299="Nessuna variazione")),AND(ANAGRAFICA!$J299="",ANAGRAFICA!$R299&lt;&gt;"",ANAGRAFICA!$R299&lt;&gt;"Nessuna variazione")),AND($BI302&lt;&gt;"",$BI302&lt;-PARAMETRI!$B$5),AND($BN302&lt;&gt;"",$BN302&gt;PARAMETRI!$B$7),AND($W302&gt;0,$M302&gt;$W302*PARAMETRI!$B$9),AND($O302&gt;0,OR($I302="Finito ritenute non previste",$I302="Finito con sblocco ritenute",$I302="Finito senza sblocco ritenute")),AND($BA302&gt;0,$BO302&gt;0,$BP302=0),AND(OR($I302="Finito ritenute non previste",$I302="Finito con sblocco ritenute",$I302="Finito senza sblocco ritenute"),$W302&gt;0,$N302&gt;$W302*PARAMETRI!$B$9),$V302&gt;0),"ATTENZIONE","REGOLARE"))),"ATTENZIONE")</f>
        <v/>
      </c>
      <c r="B302" s="17" t="str">
        <f>IFERROR(IF($C302="","",IF($BF302&gt;0,"FATTURATO OLTRE VALORE RECUPERABILE; ","")&amp;IF($V302&gt;$J302,"PERDITE ACCETTATE OLTRE CONTRATTO; ","")&amp;IF($V302&gt;0,"PERDITA SAL ACCETTATA (€ "&amp;TEXT($V302,"#,##0.00")&amp;"); ","")&amp;IF(AND(ISNUMBER($Q302),$Q302&gt;0),"RITARDO PRODUTTIVO ("&amp;TEXT($Q302,"0")&amp;" GG); ","")&amp;IF(AND($BI302&lt;&gt;"",$BI302&lt;-PARAMETRI!$B$5),"AVANZAMENTO PIÙ LENTO DEL TEMPO; ","")&amp;IF(AND($BM302&lt;&gt;"",$BM302&gt;1),"ORE OLTRE BUDGET; ","")&amp;IF(AND($BM302&lt;&gt;"",$BM302=1),"ORE PREVENTIVATE ESAURITE; ","")&amp;IF(AND($BN302&lt;&gt;"",$BN302&gt;PARAMETRI!$B$7),"CONSUMO ORE SUPERIORE ALL'AVANZAMENTO; ","")&amp;IF(AND(ISNUMBER($BR302),$BR302&gt;0),"COSTI DIRETTI OLTRE BUDGET; ","")&amp;IF(AND($W302&gt;0,$M302&gt;$W302*PARAMETRI!$B$9),"SAL MATURATO NON FATTURATO; ","")&amp;IF(AND($O302&gt;0,OR($I302="Finito ritenute non previste",$I302="Finito con sblocco ritenute",$I302="Finito senza sblocco ritenute")),"RITENUTE DA SBLOCCARE; ","")&amp;IF(AND($BA302&gt;0,$BO302&gt;0,$BP302=0),"COSTI DIRETTI NON REGISTRATI; ","")&amp;IF(AND(OR($I302="Finito ritenute non previste",$I302="Finito con sblocco ritenute",$I302="Finito senza sblocco ritenute"),$W302&gt;0,$N302&gt;$W302*PARAMETRI!$B$9),"CANTIERE FINITO CON RESIDUO LAVORI; ","")&amp;IF(AND(OR($I302="Finito ritenute non previste",$I302="Finito con sblocco ritenute",$I302="Finito senza sblocco ritenute"),ANAGRAFICA!$K299=""),"DATA FINE EFFETTIVA MANCANTE; ","")&amp;IF(OR(AND(ANAGRAFICA!$T299&lt;&gt;"",ANAGRAFICA!$J299&lt;&gt;ANAGRAFICA!$T299,OR(ANAGRAFICA!$R299="",ANAGRAFICA!$R299="Nessuna variazione")),AND(ANAGRAFICA!$J299="",ANAGRAFICA!$R299&lt;&gt;"",ANAGRAFICA!$R299&lt;&gt;"Nessuna variazione")),"GESTIONE DATA FINE INCOMPLETA; ","")&amp;IF($Y302="","AGGIORNATO AL MANCANTE; ","")&amp;IF(OR($AZ302="",$BJ302="",$BO302="",ANAGRAFICA!$I299="",ANAGRAFICA!$J299=""),"DATI PREVISIONALI INCOMPLETI; ","")&amp;IF(LEFT($C302,5)="TEMP","CODICE COMMESSA TEMPORANEO; ","")),"DATI INCOMPLETI; ")</f>
        <v/>
      </c>
      <c r="C302" s="17" t="str">
        <f>IF(ANAGRAFICA!$B299="","",ANAGRAFICA!$B299)</f>
        <v/>
      </c>
      <c r="D302" s="17" t="str">
        <f>IF($C302="","",ANAGRAFICA!$C299)</f>
        <v/>
      </c>
      <c r="E302" s="17" t="str">
        <f>IF($C302="","",ANAGRAFICA!$D299)</f>
        <v/>
      </c>
      <c r="F302" s="17" t="str">
        <f>IF($C302="","",ANAGRAFICA!$E299)</f>
        <v/>
      </c>
      <c r="G302" s="17" t="str">
        <f>IF($C302="","",ANAGRAFICA!$F299)</f>
        <v/>
      </c>
      <c r="H302" s="17" t="str">
        <f>IF($C302="","",ANAGRAFICA!$G299)</f>
        <v/>
      </c>
      <c r="I302" s="17" t="str">
        <f>IF($C302="","",ANAGRAFICA!$L299)</f>
        <v/>
      </c>
      <c r="J302" s="16" t="str">
        <f t="shared" si="97"/>
        <v/>
      </c>
      <c r="K302" s="16" t="str">
        <f t="shared" si="98"/>
        <v/>
      </c>
      <c r="L302" s="16" t="str">
        <f t="shared" si="99"/>
        <v/>
      </c>
      <c r="M302" s="16" t="str">
        <f t="shared" si="100"/>
        <v/>
      </c>
      <c r="N302" s="16" t="str">
        <f t="shared" si="101"/>
        <v/>
      </c>
      <c r="O302" s="16" t="str">
        <f t="shared" si="102"/>
        <v/>
      </c>
      <c r="P302" s="17" t="str">
        <f t="shared" si="103"/>
        <v/>
      </c>
      <c r="Q302" s="31" t="str">
        <f>IF(OR($C302="",'BUDGET COMMESSA'!$D299="",'BUDGET COMMESSA'!$D299&lt;=0,ANAGRAFICA!$J299=""),"",IF(OR($I302="Finito ritenute non previste",$I302="Finito con sblocco ritenute",$I302="Finito senza sblocco ritenute"),0,IF(AND($BK302&gt;=$BJ302,ANAGRAFICA!$R299="Ritardo produttivo FIDA"),IF(ANAGRAFICA!$T299&lt;&gt;"",MAX(0,ANAGRAFICA!$J299-ANAGRAFICA!$T299),MAX(0,$Y302-ANAGRAFICA!$J299)),0)))</f>
        <v/>
      </c>
      <c r="R302" s="17" t="str">
        <f t="shared" si="104"/>
        <v/>
      </c>
      <c r="S302" s="17" t="str">
        <f t="shared" si="105"/>
        <v/>
      </c>
      <c r="T302" s="17" t="str">
        <f t="shared" si="106"/>
        <v/>
      </c>
      <c r="U302" s="16" t="str">
        <f t="shared" si="107"/>
        <v/>
      </c>
      <c r="V302" s="16" t="str">
        <f t="shared" si="108"/>
        <v/>
      </c>
      <c r="W302" s="16" t="str">
        <f t="shared" si="109"/>
        <v/>
      </c>
      <c r="X302" s="40"/>
      <c r="Y302" s="14"/>
      <c r="AZ302" t="str">
        <f>IF($C302="","",ANAGRAFICA!$P299)</f>
        <v/>
      </c>
      <c r="BA302" t="str">
        <f>IF($C302="","",SUMIF('MOVIMENTI 2026'!$B$7:$B$4206,$C302,'MOVIMENTI 2026'!$I$7:$I$4206)+SUMIF('SALDI AL 31.12.2025'!$A$6:$A$505,$C302,'SALDI AL 31.12.2025'!$C$6:$C$505))</f>
        <v/>
      </c>
      <c r="BB302" t="str">
        <f>IF($C302="","",SUMIF('MOVIMENTI 2026'!$B$7:$B$4206,$C302,'MOVIMENTI 2026'!$J$7:$J$4206)+SUMIF('SALDI AL 31.12.2025'!$A$6:$A$505,$C302,'SALDI AL 31.12.2025'!$D$6:$D$505))</f>
        <v/>
      </c>
      <c r="BC302" t="str">
        <f>IF($C302="","",SUMIF('MOVIMENTI 2026'!$B$7:$B$4206,$C302,'MOVIMENTI 2026'!$K$7:$K$4206)+SUMIF('SALDI AL 31.12.2025'!$A$6:$A$505,$C302,'SALDI AL 31.12.2025'!$E$6:$E$505))</f>
        <v/>
      </c>
      <c r="BD302" t="str">
        <f>IF($C302="","",SUMIF('MOVIMENTI 2026'!$B$7:$B$4206,$C302,'MOVIMENTI 2026'!$L$7:$L$4206)+SUMIF('SALDI AL 31.12.2025'!$A$6:$A$505,$C302,'SALDI AL 31.12.2025'!$F$6:$F$505))</f>
        <v/>
      </c>
      <c r="BE302" t="str">
        <f t="shared" si="110"/>
        <v/>
      </c>
      <c r="BF302" t="str">
        <f t="shared" si="111"/>
        <v/>
      </c>
      <c r="BG302" t="str">
        <f t="shared" si="112"/>
        <v/>
      </c>
      <c r="BH302" t="str">
        <f>IFERROR(IF(OR($C302="",ANAGRAFICA!$I299="",ANAGRAFICA!$J299="",ANAGRAFICA!$J299&lt;=ANAGRAFICA!$I299,$Y302=""),"",IF(OR($I302="Finito ritenute non previste",$I302="Finito con sblocco ritenute",$I302="Finito senza sblocco ritenute"),1,MAX(0,MIN(1,($Y302-ANAGRAFICA!$I299)/(ANAGRAFICA!$J299-ANAGRAFICA!$I299))))),"")</f>
        <v/>
      </c>
      <c r="BI302" t="str">
        <f t="shared" si="113"/>
        <v/>
      </c>
      <c r="BJ302" t="str">
        <f>IFERROR(IF($C302="","",'BUDGET COMMESSA'!$D299),"")</f>
        <v/>
      </c>
      <c r="BK302" t="str">
        <f>IF($C302="","",SUMIF('MOVIMENTI 2026'!$B$7:$B$4206,$C302,'MOVIMENTI 2026'!$N$7:$N$4206)+SUMIF('SALDI AL 31.12.2025'!$A$6:$A$505,$C302,'SALDI AL 31.12.2025'!$H$6:$H$505))</f>
        <v/>
      </c>
      <c r="BL302" t="str">
        <f t="shared" si="114"/>
        <v/>
      </c>
      <c r="BM302" t="str">
        <f t="shared" si="115"/>
        <v/>
      </c>
      <c r="BN302" t="str">
        <f t="shared" si="116"/>
        <v/>
      </c>
      <c r="BO302" t="str">
        <f>IFERROR(IF($C302="","",'BUDGET COMMESSA'!$G299),"")</f>
        <v/>
      </c>
      <c r="BP302" t="str">
        <f>IF($C302="","",SUMIF('COSTI DIRETTI'!$C$6:$C$505,$C302,'COSTI DIRETTI'!$H$6:$H$505)+SUMIF('SALDI AL 31.12.2025'!$A$6:$A$505,$C302,'SALDI AL 31.12.2025'!$I$6:$I$505))</f>
        <v/>
      </c>
      <c r="BQ302" t="str">
        <f t="shared" si="117"/>
        <v/>
      </c>
      <c r="BR302" t="str">
        <f t="shared" si="118"/>
        <v/>
      </c>
      <c r="BS302" t="str">
        <f>IF($C302="","",$BK302*PARAMETRI!$B$4+$BP302)</f>
        <v/>
      </c>
      <c r="BT302">
        <f t="shared" si="119"/>
        <v>0</v>
      </c>
      <c r="BU302">
        <f t="shared" si="120"/>
        <v>0</v>
      </c>
      <c r="BV302" t="str">
        <f>IF($C302="","",SUMIF('MOVIMENTI 2026'!$B$7:$B$4206,$C302,'MOVIMENTI 2026'!$P$7:$P$4206)+SUMIF('SALDI AL 31.12.2025'!$A$6:$A$505,$C302,'SALDI AL 31.12.2025'!$G$6:$G$505))</f>
        <v/>
      </c>
    </row>
    <row r="303" spans="1:74" ht="16" x14ac:dyDescent="0.15">
      <c r="A303" s="17" t="str">
        <f>IFERROR(IF($C303="","",IF(OR($BF303&gt;0,$V303&gt;$J303,AND(ISNUMBER($Q303),$Q303&gt;0),AND($BI303&lt;&gt;"",$BI303&lt;-PARAMETRI!$B$6),AND($BM303&lt;&gt;"",$BM303&gt;=1),AND($BN303&lt;&gt;"",$BN303&gt;PARAMETRI!$B$8),AND(ISNUMBER($BR303),$BR303&gt;0)),"CRITICO",IF(OR($AZ303="",LEFT($C303,5)="TEMP",$BJ303="",$BO303="",ANAGRAFICA!$I300="",ANAGRAFICA!$J300="",$Y303="",AND(OR($I303="Finito ritenute non previste",$I303="Finito con sblocco ritenute",$I303="Finito senza sblocco ritenute"),ANAGRAFICA!$K300=""),OR(AND(ANAGRAFICA!$T300&lt;&gt;"",ANAGRAFICA!$J300&lt;&gt;ANAGRAFICA!$T300,OR(ANAGRAFICA!$R300="",ANAGRAFICA!$R300="Nessuna variazione")),AND(ANAGRAFICA!$J300="",ANAGRAFICA!$R300&lt;&gt;"",ANAGRAFICA!$R300&lt;&gt;"Nessuna variazione")),AND($BI303&lt;&gt;"",$BI303&lt;-PARAMETRI!$B$5),AND($BN303&lt;&gt;"",$BN303&gt;PARAMETRI!$B$7),AND($W303&gt;0,$M303&gt;$W303*PARAMETRI!$B$9),AND($O303&gt;0,OR($I303="Finito ritenute non previste",$I303="Finito con sblocco ritenute",$I303="Finito senza sblocco ritenute")),AND($BA303&gt;0,$BO303&gt;0,$BP303=0),AND(OR($I303="Finito ritenute non previste",$I303="Finito con sblocco ritenute",$I303="Finito senza sblocco ritenute"),$W303&gt;0,$N303&gt;$W303*PARAMETRI!$B$9),$V303&gt;0),"ATTENZIONE","REGOLARE"))),"ATTENZIONE")</f>
        <v/>
      </c>
      <c r="B303" s="17" t="str">
        <f>IFERROR(IF($C303="","",IF($BF303&gt;0,"FATTURATO OLTRE VALORE RECUPERABILE; ","")&amp;IF($V303&gt;$J303,"PERDITE ACCETTATE OLTRE CONTRATTO; ","")&amp;IF($V303&gt;0,"PERDITA SAL ACCETTATA (€ "&amp;TEXT($V303,"#,##0.00")&amp;"); ","")&amp;IF(AND(ISNUMBER($Q303),$Q303&gt;0),"RITARDO PRODUTTIVO ("&amp;TEXT($Q303,"0")&amp;" GG); ","")&amp;IF(AND($BI303&lt;&gt;"",$BI303&lt;-PARAMETRI!$B$5),"AVANZAMENTO PIÙ LENTO DEL TEMPO; ","")&amp;IF(AND($BM303&lt;&gt;"",$BM303&gt;1),"ORE OLTRE BUDGET; ","")&amp;IF(AND($BM303&lt;&gt;"",$BM303=1),"ORE PREVENTIVATE ESAURITE; ","")&amp;IF(AND($BN303&lt;&gt;"",$BN303&gt;PARAMETRI!$B$7),"CONSUMO ORE SUPERIORE ALL'AVANZAMENTO; ","")&amp;IF(AND(ISNUMBER($BR303),$BR303&gt;0),"COSTI DIRETTI OLTRE BUDGET; ","")&amp;IF(AND($W303&gt;0,$M303&gt;$W303*PARAMETRI!$B$9),"SAL MATURATO NON FATTURATO; ","")&amp;IF(AND($O303&gt;0,OR($I303="Finito ritenute non previste",$I303="Finito con sblocco ritenute",$I303="Finito senza sblocco ritenute")),"RITENUTE DA SBLOCCARE; ","")&amp;IF(AND($BA303&gt;0,$BO303&gt;0,$BP303=0),"COSTI DIRETTI NON REGISTRATI; ","")&amp;IF(AND(OR($I303="Finito ritenute non previste",$I303="Finito con sblocco ritenute",$I303="Finito senza sblocco ritenute"),$W303&gt;0,$N303&gt;$W303*PARAMETRI!$B$9),"CANTIERE FINITO CON RESIDUO LAVORI; ","")&amp;IF(AND(OR($I303="Finito ritenute non previste",$I303="Finito con sblocco ritenute",$I303="Finito senza sblocco ritenute"),ANAGRAFICA!$K300=""),"DATA FINE EFFETTIVA MANCANTE; ","")&amp;IF(OR(AND(ANAGRAFICA!$T300&lt;&gt;"",ANAGRAFICA!$J300&lt;&gt;ANAGRAFICA!$T300,OR(ANAGRAFICA!$R300="",ANAGRAFICA!$R300="Nessuna variazione")),AND(ANAGRAFICA!$J300="",ANAGRAFICA!$R300&lt;&gt;"",ANAGRAFICA!$R300&lt;&gt;"Nessuna variazione")),"GESTIONE DATA FINE INCOMPLETA; ","")&amp;IF($Y303="","AGGIORNATO AL MANCANTE; ","")&amp;IF(OR($AZ303="",$BJ303="",$BO303="",ANAGRAFICA!$I300="",ANAGRAFICA!$J300=""),"DATI PREVISIONALI INCOMPLETI; ","")&amp;IF(LEFT($C303,5)="TEMP","CODICE COMMESSA TEMPORANEO; ","")),"DATI INCOMPLETI; ")</f>
        <v/>
      </c>
      <c r="C303" s="17" t="str">
        <f>IF(ANAGRAFICA!$B300="","",ANAGRAFICA!$B300)</f>
        <v/>
      </c>
      <c r="D303" s="17" t="str">
        <f>IF($C303="","",ANAGRAFICA!$C300)</f>
        <v/>
      </c>
      <c r="E303" s="17" t="str">
        <f>IF($C303="","",ANAGRAFICA!$D300)</f>
        <v/>
      </c>
      <c r="F303" s="17" t="str">
        <f>IF($C303="","",ANAGRAFICA!$E300)</f>
        <v/>
      </c>
      <c r="G303" s="17" t="str">
        <f>IF($C303="","",ANAGRAFICA!$F300)</f>
        <v/>
      </c>
      <c r="H303" s="17" t="str">
        <f>IF($C303="","",ANAGRAFICA!$G300)</f>
        <v/>
      </c>
      <c r="I303" s="17" t="str">
        <f>IF($C303="","",ANAGRAFICA!$L300)</f>
        <v/>
      </c>
      <c r="J303" s="16" t="str">
        <f t="shared" si="97"/>
        <v/>
      </c>
      <c r="K303" s="16" t="str">
        <f t="shared" si="98"/>
        <v/>
      </c>
      <c r="L303" s="16" t="str">
        <f t="shared" si="99"/>
        <v/>
      </c>
      <c r="M303" s="16" t="str">
        <f t="shared" si="100"/>
        <v/>
      </c>
      <c r="N303" s="16" t="str">
        <f t="shared" si="101"/>
        <v/>
      </c>
      <c r="O303" s="16" t="str">
        <f t="shared" si="102"/>
        <v/>
      </c>
      <c r="P303" s="17" t="str">
        <f t="shared" si="103"/>
        <v/>
      </c>
      <c r="Q303" s="31" t="str">
        <f>IF(OR($C303="",'BUDGET COMMESSA'!$D300="",'BUDGET COMMESSA'!$D300&lt;=0,ANAGRAFICA!$J300=""),"",IF(OR($I303="Finito ritenute non previste",$I303="Finito con sblocco ritenute",$I303="Finito senza sblocco ritenute"),0,IF(AND($BK303&gt;=$BJ303,ANAGRAFICA!$R300="Ritardo produttivo FIDA"),IF(ANAGRAFICA!$T300&lt;&gt;"",MAX(0,ANAGRAFICA!$J300-ANAGRAFICA!$T300),MAX(0,$Y303-ANAGRAFICA!$J300)),0)))</f>
        <v/>
      </c>
      <c r="R303" s="17" t="str">
        <f t="shared" si="104"/>
        <v/>
      </c>
      <c r="S303" s="17" t="str">
        <f t="shared" si="105"/>
        <v/>
      </c>
      <c r="T303" s="17" t="str">
        <f t="shared" si="106"/>
        <v/>
      </c>
      <c r="U303" s="16" t="str">
        <f t="shared" si="107"/>
        <v/>
      </c>
      <c r="V303" s="16" t="str">
        <f t="shared" si="108"/>
        <v/>
      </c>
      <c r="W303" s="16" t="str">
        <f t="shared" si="109"/>
        <v/>
      </c>
      <c r="X303" s="40"/>
      <c r="Y303" s="14"/>
      <c r="AZ303" t="str">
        <f>IF($C303="","",ANAGRAFICA!$P300)</f>
        <v/>
      </c>
      <c r="BA303" t="str">
        <f>IF($C303="","",SUMIF('MOVIMENTI 2026'!$B$7:$B$4206,$C303,'MOVIMENTI 2026'!$I$7:$I$4206)+SUMIF('SALDI AL 31.12.2025'!$A$6:$A$505,$C303,'SALDI AL 31.12.2025'!$C$6:$C$505))</f>
        <v/>
      </c>
      <c r="BB303" t="str">
        <f>IF($C303="","",SUMIF('MOVIMENTI 2026'!$B$7:$B$4206,$C303,'MOVIMENTI 2026'!$J$7:$J$4206)+SUMIF('SALDI AL 31.12.2025'!$A$6:$A$505,$C303,'SALDI AL 31.12.2025'!$D$6:$D$505))</f>
        <v/>
      </c>
      <c r="BC303" t="str">
        <f>IF($C303="","",SUMIF('MOVIMENTI 2026'!$B$7:$B$4206,$C303,'MOVIMENTI 2026'!$K$7:$K$4206)+SUMIF('SALDI AL 31.12.2025'!$A$6:$A$505,$C303,'SALDI AL 31.12.2025'!$E$6:$E$505))</f>
        <v/>
      </c>
      <c r="BD303" t="str">
        <f>IF($C303="","",SUMIF('MOVIMENTI 2026'!$B$7:$B$4206,$C303,'MOVIMENTI 2026'!$L$7:$L$4206)+SUMIF('SALDI AL 31.12.2025'!$A$6:$A$505,$C303,'SALDI AL 31.12.2025'!$F$6:$F$505))</f>
        <v/>
      </c>
      <c r="BE303" t="str">
        <f t="shared" si="110"/>
        <v/>
      </c>
      <c r="BF303" t="str">
        <f t="shared" si="111"/>
        <v/>
      </c>
      <c r="BG303" t="str">
        <f t="shared" si="112"/>
        <v/>
      </c>
      <c r="BH303" t="str">
        <f>IFERROR(IF(OR($C303="",ANAGRAFICA!$I300="",ANAGRAFICA!$J300="",ANAGRAFICA!$J300&lt;=ANAGRAFICA!$I300,$Y303=""),"",IF(OR($I303="Finito ritenute non previste",$I303="Finito con sblocco ritenute",$I303="Finito senza sblocco ritenute"),1,MAX(0,MIN(1,($Y303-ANAGRAFICA!$I300)/(ANAGRAFICA!$J300-ANAGRAFICA!$I300))))),"")</f>
        <v/>
      </c>
      <c r="BI303" t="str">
        <f t="shared" si="113"/>
        <v/>
      </c>
      <c r="BJ303" t="str">
        <f>IFERROR(IF($C303="","",'BUDGET COMMESSA'!$D300),"")</f>
        <v/>
      </c>
      <c r="BK303" t="str">
        <f>IF($C303="","",SUMIF('MOVIMENTI 2026'!$B$7:$B$4206,$C303,'MOVIMENTI 2026'!$N$7:$N$4206)+SUMIF('SALDI AL 31.12.2025'!$A$6:$A$505,$C303,'SALDI AL 31.12.2025'!$H$6:$H$505))</f>
        <v/>
      </c>
      <c r="BL303" t="str">
        <f t="shared" si="114"/>
        <v/>
      </c>
      <c r="BM303" t="str">
        <f t="shared" si="115"/>
        <v/>
      </c>
      <c r="BN303" t="str">
        <f t="shared" si="116"/>
        <v/>
      </c>
      <c r="BO303" t="str">
        <f>IFERROR(IF($C303="","",'BUDGET COMMESSA'!$G300),"")</f>
        <v/>
      </c>
      <c r="BP303" t="str">
        <f>IF($C303="","",SUMIF('COSTI DIRETTI'!$C$6:$C$505,$C303,'COSTI DIRETTI'!$H$6:$H$505)+SUMIF('SALDI AL 31.12.2025'!$A$6:$A$505,$C303,'SALDI AL 31.12.2025'!$I$6:$I$505))</f>
        <v/>
      </c>
      <c r="BQ303" t="str">
        <f t="shared" si="117"/>
        <v/>
      </c>
      <c r="BR303" t="str">
        <f t="shared" si="118"/>
        <v/>
      </c>
      <c r="BS303" t="str">
        <f>IF($C303="","",$BK303*PARAMETRI!$B$4+$BP303)</f>
        <v/>
      </c>
      <c r="BT303">
        <f t="shared" si="119"/>
        <v>0</v>
      </c>
      <c r="BU303">
        <f t="shared" si="120"/>
        <v>0</v>
      </c>
      <c r="BV303" t="str">
        <f>IF($C303="","",SUMIF('MOVIMENTI 2026'!$B$7:$B$4206,$C303,'MOVIMENTI 2026'!$P$7:$P$4206)+SUMIF('SALDI AL 31.12.2025'!$A$6:$A$505,$C303,'SALDI AL 31.12.2025'!$G$6:$G$505))</f>
        <v/>
      </c>
    </row>
    <row r="304" spans="1:74" ht="16" x14ac:dyDescent="0.15">
      <c r="A304" s="17" t="str">
        <f>IFERROR(IF($C304="","",IF(OR($BF304&gt;0,$V304&gt;$J304,AND(ISNUMBER($Q304),$Q304&gt;0),AND($BI304&lt;&gt;"",$BI304&lt;-PARAMETRI!$B$6),AND($BM304&lt;&gt;"",$BM304&gt;=1),AND($BN304&lt;&gt;"",$BN304&gt;PARAMETRI!$B$8),AND(ISNUMBER($BR304),$BR304&gt;0)),"CRITICO",IF(OR($AZ304="",LEFT($C304,5)="TEMP",$BJ304="",$BO304="",ANAGRAFICA!$I301="",ANAGRAFICA!$J301="",$Y304="",AND(OR($I304="Finito ritenute non previste",$I304="Finito con sblocco ritenute",$I304="Finito senza sblocco ritenute"),ANAGRAFICA!$K301=""),OR(AND(ANAGRAFICA!$T301&lt;&gt;"",ANAGRAFICA!$J301&lt;&gt;ANAGRAFICA!$T301,OR(ANAGRAFICA!$R301="",ANAGRAFICA!$R301="Nessuna variazione")),AND(ANAGRAFICA!$J301="",ANAGRAFICA!$R301&lt;&gt;"",ANAGRAFICA!$R301&lt;&gt;"Nessuna variazione")),AND($BI304&lt;&gt;"",$BI304&lt;-PARAMETRI!$B$5),AND($BN304&lt;&gt;"",$BN304&gt;PARAMETRI!$B$7),AND($W304&gt;0,$M304&gt;$W304*PARAMETRI!$B$9),AND($O304&gt;0,OR($I304="Finito ritenute non previste",$I304="Finito con sblocco ritenute",$I304="Finito senza sblocco ritenute")),AND($BA304&gt;0,$BO304&gt;0,$BP304=0),AND(OR($I304="Finito ritenute non previste",$I304="Finito con sblocco ritenute",$I304="Finito senza sblocco ritenute"),$W304&gt;0,$N304&gt;$W304*PARAMETRI!$B$9),$V304&gt;0),"ATTENZIONE","REGOLARE"))),"ATTENZIONE")</f>
        <v/>
      </c>
      <c r="B304" s="17" t="str">
        <f>IFERROR(IF($C304="","",IF($BF304&gt;0,"FATTURATO OLTRE VALORE RECUPERABILE; ","")&amp;IF($V304&gt;$J304,"PERDITE ACCETTATE OLTRE CONTRATTO; ","")&amp;IF($V304&gt;0,"PERDITA SAL ACCETTATA (€ "&amp;TEXT($V304,"#,##0.00")&amp;"); ","")&amp;IF(AND(ISNUMBER($Q304),$Q304&gt;0),"RITARDO PRODUTTIVO ("&amp;TEXT($Q304,"0")&amp;" GG); ","")&amp;IF(AND($BI304&lt;&gt;"",$BI304&lt;-PARAMETRI!$B$5),"AVANZAMENTO PIÙ LENTO DEL TEMPO; ","")&amp;IF(AND($BM304&lt;&gt;"",$BM304&gt;1),"ORE OLTRE BUDGET; ","")&amp;IF(AND($BM304&lt;&gt;"",$BM304=1),"ORE PREVENTIVATE ESAURITE; ","")&amp;IF(AND($BN304&lt;&gt;"",$BN304&gt;PARAMETRI!$B$7),"CONSUMO ORE SUPERIORE ALL'AVANZAMENTO; ","")&amp;IF(AND(ISNUMBER($BR304),$BR304&gt;0),"COSTI DIRETTI OLTRE BUDGET; ","")&amp;IF(AND($W304&gt;0,$M304&gt;$W304*PARAMETRI!$B$9),"SAL MATURATO NON FATTURATO; ","")&amp;IF(AND($O304&gt;0,OR($I304="Finito ritenute non previste",$I304="Finito con sblocco ritenute",$I304="Finito senza sblocco ritenute")),"RITENUTE DA SBLOCCARE; ","")&amp;IF(AND($BA304&gt;0,$BO304&gt;0,$BP304=0),"COSTI DIRETTI NON REGISTRATI; ","")&amp;IF(AND(OR($I304="Finito ritenute non previste",$I304="Finito con sblocco ritenute",$I304="Finito senza sblocco ritenute"),$W304&gt;0,$N304&gt;$W304*PARAMETRI!$B$9),"CANTIERE FINITO CON RESIDUO LAVORI; ","")&amp;IF(AND(OR($I304="Finito ritenute non previste",$I304="Finito con sblocco ritenute",$I304="Finito senza sblocco ritenute"),ANAGRAFICA!$K301=""),"DATA FINE EFFETTIVA MANCANTE; ","")&amp;IF(OR(AND(ANAGRAFICA!$T301&lt;&gt;"",ANAGRAFICA!$J301&lt;&gt;ANAGRAFICA!$T301,OR(ANAGRAFICA!$R301="",ANAGRAFICA!$R301="Nessuna variazione")),AND(ANAGRAFICA!$J301="",ANAGRAFICA!$R301&lt;&gt;"",ANAGRAFICA!$R301&lt;&gt;"Nessuna variazione")),"GESTIONE DATA FINE INCOMPLETA; ","")&amp;IF($Y304="","AGGIORNATO AL MANCANTE; ","")&amp;IF(OR($AZ304="",$BJ304="",$BO304="",ANAGRAFICA!$I301="",ANAGRAFICA!$J301=""),"DATI PREVISIONALI INCOMPLETI; ","")&amp;IF(LEFT($C304,5)="TEMP","CODICE COMMESSA TEMPORANEO; ","")),"DATI INCOMPLETI; ")</f>
        <v/>
      </c>
      <c r="C304" s="17" t="str">
        <f>IF(ANAGRAFICA!$B301="","",ANAGRAFICA!$B301)</f>
        <v/>
      </c>
      <c r="D304" s="17" t="str">
        <f>IF($C304="","",ANAGRAFICA!$C301)</f>
        <v/>
      </c>
      <c r="E304" s="17" t="str">
        <f>IF($C304="","",ANAGRAFICA!$D301)</f>
        <v/>
      </c>
      <c r="F304" s="17" t="str">
        <f>IF($C304="","",ANAGRAFICA!$E301)</f>
        <v/>
      </c>
      <c r="G304" s="17" t="str">
        <f>IF($C304="","",ANAGRAFICA!$F301)</f>
        <v/>
      </c>
      <c r="H304" s="17" t="str">
        <f>IF($C304="","",ANAGRAFICA!$G301)</f>
        <v/>
      </c>
      <c r="I304" s="17" t="str">
        <f>IF($C304="","",ANAGRAFICA!$L301)</f>
        <v/>
      </c>
      <c r="J304" s="16" t="str">
        <f t="shared" si="97"/>
        <v/>
      </c>
      <c r="K304" s="16" t="str">
        <f t="shared" si="98"/>
        <v/>
      </c>
      <c r="L304" s="16" t="str">
        <f t="shared" si="99"/>
        <v/>
      </c>
      <c r="M304" s="16" t="str">
        <f t="shared" si="100"/>
        <v/>
      </c>
      <c r="N304" s="16" t="str">
        <f t="shared" si="101"/>
        <v/>
      </c>
      <c r="O304" s="16" t="str">
        <f t="shared" si="102"/>
        <v/>
      </c>
      <c r="P304" s="17" t="str">
        <f t="shared" si="103"/>
        <v/>
      </c>
      <c r="Q304" s="31" t="str">
        <f>IF(OR($C304="",'BUDGET COMMESSA'!$D301="",'BUDGET COMMESSA'!$D301&lt;=0,ANAGRAFICA!$J301=""),"",IF(OR($I304="Finito ritenute non previste",$I304="Finito con sblocco ritenute",$I304="Finito senza sblocco ritenute"),0,IF(AND($BK304&gt;=$BJ304,ANAGRAFICA!$R301="Ritardo produttivo FIDA"),IF(ANAGRAFICA!$T301&lt;&gt;"",MAX(0,ANAGRAFICA!$J301-ANAGRAFICA!$T301),MAX(0,$Y304-ANAGRAFICA!$J301)),0)))</f>
        <v/>
      </c>
      <c r="R304" s="17" t="str">
        <f t="shared" si="104"/>
        <v/>
      </c>
      <c r="S304" s="17" t="str">
        <f t="shared" si="105"/>
        <v/>
      </c>
      <c r="T304" s="17" t="str">
        <f t="shared" si="106"/>
        <v/>
      </c>
      <c r="U304" s="16" t="str">
        <f t="shared" si="107"/>
        <v/>
      </c>
      <c r="V304" s="16" t="str">
        <f t="shared" si="108"/>
        <v/>
      </c>
      <c r="W304" s="16" t="str">
        <f t="shared" si="109"/>
        <v/>
      </c>
      <c r="X304" s="40"/>
      <c r="Y304" s="14"/>
      <c r="AZ304" t="str">
        <f>IF($C304="","",ANAGRAFICA!$P301)</f>
        <v/>
      </c>
      <c r="BA304" t="str">
        <f>IF($C304="","",SUMIF('MOVIMENTI 2026'!$B$7:$B$4206,$C304,'MOVIMENTI 2026'!$I$7:$I$4206)+SUMIF('SALDI AL 31.12.2025'!$A$6:$A$505,$C304,'SALDI AL 31.12.2025'!$C$6:$C$505))</f>
        <v/>
      </c>
      <c r="BB304" t="str">
        <f>IF($C304="","",SUMIF('MOVIMENTI 2026'!$B$7:$B$4206,$C304,'MOVIMENTI 2026'!$J$7:$J$4206)+SUMIF('SALDI AL 31.12.2025'!$A$6:$A$505,$C304,'SALDI AL 31.12.2025'!$D$6:$D$505))</f>
        <v/>
      </c>
      <c r="BC304" t="str">
        <f>IF($C304="","",SUMIF('MOVIMENTI 2026'!$B$7:$B$4206,$C304,'MOVIMENTI 2026'!$K$7:$K$4206)+SUMIF('SALDI AL 31.12.2025'!$A$6:$A$505,$C304,'SALDI AL 31.12.2025'!$E$6:$E$505))</f>
        <v/>
      </c>
      <c r="BD304" t="str">
        <f>IF($C304="","",SUMIF('MOVIMENTI 2026'!$B$7:$B$4206,$C304,'MOVIMENTI 2026'!$L$7:$L$4206)+SUMIF('SALDI AL 31.12.2025'!$A$6:$A$505,$C304,'SALDI AL 31.12.2025'!$F$6:$F$505))</f>
        <v/>
      </c>
      <c r="BE304" t="str">
        <f t="shared" si="110"/>
        <v/>
      </c>
      <c r="BF304" t="str">
        <f t="shared" si="111"/>
        <v/>
      </c>
      <c r="BG304" t="str">
        <f t="shared" si="112"/>
        <v/>
      </c>
      <c r="BH304" t="str">
        <f>IFERROR(IF(OR($C304="",ANAGRAFICA!$I301="",ANAGRAFICA!$J301="",ANAGRAFICA!$J301&lt;=ANAGRAFICA!$I301,$Y304=""),"",IF(OR($I304="Finito ritenute non previste",$I304="Finito con sblocco ritenute",$I304="Finito senza sblocco ritenute"),1,MAX(0,MIN(1,($Y304-ANAGRAFICA!$I301)/(ANAGRAFICA!$J301-ANAGRAFICA!$I301))))),"")</f>
        <v/>
      </c>
      <c r="BI304" t="str">
        <f t="shared" si="113"/>
        <v/>
      </c>
      <c r="BJ304" t="str">
        <f>IFERROR(IF($C304="","",'BUDGET COMMESSA'!$D301),"")</f>
        <v/>
      </c>
      <c r="BK304" t="str">
        <f>IF($C304="","",SUMIF('MOVIMENTI 2026'!$B$7:$B$4206,$C304,'MOVIMENTI 2026'!$N$7:$N$4206)+SUMIF('SALDI AL 31.12.2025'!$A$6:$A$505,$C304,'SALDI AL 31.12.2025'!$H$6:$H$505))</f>
        <v/>
      </c>
      <c r="BL304" t="str">
        <f t="shared" si="114"/>
        <v/>
      </c>
      <c r="BM304" t="str">
        <f t="shared" si="115"/>
        <v/>
      </c>
      <c r="BN304" t="str">
        <f t="shared" si="116"/>
        <v/>
      </c>
      <c r="BO304" t="str">
        <f>IFERROR(IF($C304="","",'BUDGET COMMESSA'!$G301),"")</f>
        <v/>
      </c>
      <c r="BP304" t="str">
        <f>IF($C304="","",SUMIF('COSTI DIRETTI'!$C$6:$C$505,$C304,'COSTI DIRETTI'!$H$6:$H$505)+SUMIF('SALDI AL 31.12.2025'!$A$6:$A$505,$C304,'SALDI AL 31.12.2025'!$I$6:$I$505))</f>
        <v/>
      </c>
      <c r="BQ304" t="str">
        <f t="shared" si="117"/>
        <v/>
      </c>
      <c r="BR304" t="str">
        <f t="shared" si="118"/>
        <v/>
      </c>
      <c r="BS304" t="str">
        <f>IF($C304="","",$BK304*PARAMETRI!$B$4+$BP304)</f>
        <v/>
      </c>
      <c r="BT304">
        <f t="shared" si="119"/>
        <v>0</v>
      </c>
      <c r="BU304">
        <f t="shared" si="120"/>
        <v>0</v>
      </c>
      <c r="BV304" t="str">
        <f>IF($C304="","",SUMIF('MOVIMENTI 2026'!$B$7:$B$4206,$C304,'MOVIMENTI 2026'!$P$7:$P$4206)+SUMIF('SALDI AL 31.12.2025'!$A$6:$A$505,$C304,'SALDI AL 31.12.2025'!$G$6:$G$505))</f>
        <v/>
      </c>
    </row>
    <row r="305" spans="1:74" ht="16" x14ac:dyDescent="0.15">
      <c r="A305" s="17" t="str">
        <f>IFERROR(IF($C305="","",IF(OR($BF305&gt;0,$V305&gt;$J305,AND(ISNUMBER($Q305),$Q305&gt;0),AND($BI305&lt;&gt;"",$BI305&lt;-PARAMETRI!$B$6),AND($BM305&lt;&gt;"",$BM305&gt;=1),AND($BN305&lt;&gt;"",$BN305&gt;PARAMETRI!$B$8),AND(ISNUMBER($BR305),$BR305&gt;0)),"CRITICO",IF(OR($AZ305="",LEFT($C305,5)="TEMP",$BJ305="",$BO305="",ANAGRAFICA!$I302="",ANAGRAFICA!$J302="",$Y305="",AND(OR($I305="Finito ritenute non previste",$I305="Finito con sblocco ritenute",$I305="Finito senza sblocco ritenute"),ANAGRAFICA!$K302=""),OR(AND(ANAGRAFICA!$T302&lt;&gt;"",ANAGRAFICA!$J302&lt;&gt;ANAGRAFICA!$T302,OR(ANAGRAFICA!$R302="",ANAGRAFICA!$R302="Nessuna variazione")),AND(ANAGRAFICA!$J302="",ANAGRAFICA!$R302&lt;&gt;"",ANAGRAFICA!$R302&lt;&gt;"Nessuna variazione")),AND($BI305&lt;&gt;"",$BI305&lt;-PARAMETRI!$B$5),AND($BN305&lt;&gt;"",$BN305&gt;PARAMETRI!$B$7),AND($W305&gt;0,$M305&gt;$W305*PARAMETRI!$B$9),AND($O305&gt;0,OR($I305="Finito ritenute non previste",$I305="Finito con sblocco ritenute",$I305="Finito senza sblocco ritenute")),AND($BA305&gt;0,$BO305&gt;0,$BP305=0),AND(OR($I305="Finito ritenute non previste",$I305="Finito con sblocco ritenute",$I305="Finito senza sblocco ritenute"),$W305&gt;0,$N305&gt;$W305*PARAMETRI!$B$9),$V305&gt;0),"ATTENZIONE","REGOLARE"))),"ATTENZIONE")</f>
        <v/>
      </c>
      <c r="B305" s="17" t="str">
        <f>IFERROR(IF($C305="","",IF($BF305&gt;0,"FATTURATO OLTRE VALORE RECUPERABILE; ","")&amp;IF($V305&gt;$J305,"PERDITE ACCETTATE OLTRE CONTRATTO; ","")&amp;IF($V305&gt;0,"PERDITA SAL ACCETTATA (€ "&amp;TEXT($V305,"#,##0.00")&amp;"); ","")&amp;IF(AND(ISNUMBER($Q305),$Q305&gt;0),"RITARDO PRODUTTIVO ("&amp;TEXT($Q305,"0")&amp;" GG); ","")&amp;IF(AND($BI305&lt;&gt;"",$BI305&lt;-PARAMETRI!$B$5),"AVANZAMENTO PIÙ LENTO DEL TEMPO; ","")&amp;IF(AND($BM305&lt;&gt;"",$BM305&gt;1),"ORE OLTRE BUDGET; ","")&amp;IF(AND($BM305&lt;&gt;"",$BM305=1),"ORE PREVENTIVATE ESAURITE; ","")&amp;IF(AND($BN305&lt;&gt;"",$BN305&gt;PARAMETRI!$B$7),"CONSUMO ORE SUPERIORE ALL'AVANZAMENTO; ","")&amp;IF(AND(ISNUMBER($BR305),$BR305&gt;0),"COSTI DIRETTI OLTRE BUDGET; ","")&amp;IF(AND($W305&gt;0,$M305&gt;$W305*PARAMETRI!$B$9),"SAL MATURATO NON FATTURATO; ","")&amp;IF(AND($O305&gt;0,OR($I305="Finito ritenute non previste",$I305="Finito con sblocco ritenute",$I305="Finito senza sblocco ritenute")),"RITENUTE DA SBLOCCARE; ","")&amp;IF(AND($BA305&gt;0,$BO305&gt;0,$BP305=0),"COSTI DIRETTI NON REGISTRATI; ","")&amp;IF(AND(OR($I305="Finito ritenute non previste",$I305="Finito con sblocco ritenute",$I305="Finito senza sblocco ritenute"),$W305&gt;0,$N305&gt;$W305*PARAMETRI!$B$9),"CANTIERE FINITO CON RESIDUO LAVORI; ","")&amp;IF(AND(OR($I305="Finito ritenute non previste",$I305="Finito con sblocco ritenute",$I305="Finito senza sblocco ritenute"),ANAGRAFICA!$K302=""),"DATA FINE EFFETTIVA MANCANTE; ","")&amp;IF(OR(AND(ANAGRAFICA!$T302&lt;&gt;"",ANAGRAFICA!$J302&lt;&gt;ANAGRAFICA!$T302,OR(ANAGRAFICA!$R302="",ANAGRAFICA!$R302="Nessuna variazione")),AND(ANAGRAFICA!$J302="",ANAGRAFICA!$R302&lt;&gt;"",ANAGRAFICA!$R302&lt;&gt;"Nessuna variazione")),"GESTIONE DATA FINE INCOMPLETA; ","")&amp;IF($Y305="","AGGIORNATO AL MANCANTE; ","")&amp;IF(OR($AZ305="",$BJ305="",$BO305="",ANAGRAFICA!$I302="",ANAGRAFICA!$J302=""),"DATI PREVISIONALI INCOMPLETI; ","")&amp;IF(LEFT($C305,5)="TEMP","CODICE COMMESSA TEMPORANEO; ","")),"DATI INCOMPLETI; ")</f>
        <v/>
      </c>
      <c r="C305" s="17" t="str">
        <f>IF(ANAGRAFICA!$B302="","",ANAGRAFICA!$B302)</f>
        <v/>
      </c>
      <c r="D305" s="17" t="str">
        <f>IF($C305="","",ANAGRAFICA!$C302)</f>
        <v/>
      </c>
      <c r="E305" s="17" t="str">
        <f>IF($C305="","",ANAGRAFICA!$D302)</f>
        <v/>
      </c>
      <c r="F305" s="17" t="str">
        <f>IF($C305="","",ANAGRAFICA!$E302)</f>
        <v/>
      </c>
      <c r="G305" s="17" t="str">
        <f>IF($C305="","",ANAGRAFICA!$F302)</f>
        <v/>
      </c>
      <c r="H305" s="17" t="str">
        <f>IF($C305="","",ANAGRAFICA!$G302)</f>
        <v/>
      </c>
      <c r="I305" s="17" t="str">
        <f>IF($C305="","",ANAGRAFICA!$L302)</f>
        <v/>
      </c>
      <c r="J305" s="16" t="str">
        <f t="shared" si="97"/>
        <v/>
      </c>
      <c r="K305" s="16" t="str">
        <f t="shared" si="98"/>
        <v/>
      </c>
      <c r="L305" s="16" t="str">
        <f t="shared" si="99"/>
        <v/>
      </c>
      <c r="M305" s="16" t="str">
        <f t="shared" si="100"/>
        <v/>
      </c>
      <c r="N305" s="16" t="str">
        <f t="shared" si="101"/>
        <v/>
      </c>
      <c r="O305" s="16" t="str">
        <f t="shared" si="102"/>
        <v/>
      </c>
      <c r="P305" s="17" t="str">
        <f t="shared" si="103"/>
        <v/>
      </c>
      <c r="Q305" s="31" t="str">
        <f>IF(OR($C305="",'BUDGET COMMESSA'!$D302="",'BUDGET COMMESSA'!$D302&lt;=0,ANAGRAFICA!$J302=""),"",IF(OR($I305="Finito ritenute non previste",$I305="Finito con sblocco ritenute",$I305="Finito senza sblocco ritenute"),0,IF(AND($BK305&gt;=$BJ305,ANAGRAFICA!$R302="Ritardo produttivo FIDA"),IF(ANAGRAFICA!$T302&lt;&gt;"",MAX(0,ANAGRAFICA!$J302-ANAGRAFICA!$T302),MAX(0,$Y305-ANAGRAFICA!$J302)),0)))</f>
        <v/>
      </c>
      <c r="R305" s="17" t="str">
        <f t="shared" si="104"/>
        <v/>
      </c>
      <c r="S305" s="17" t="str">
        <f t="shared" si="105"/>
        <v/>
      </c>
      <c r="T305" s="17" t="str">
        <f t="shared" si="106"/>
        <v/>
      </c>
      <c r="U305" s="16" t="str">
        <f t="shared" si="107"/>
        <v/>
      </c>
      <c r="V305" s="16" t="str">
        <f t="shared" si="108"/>
        <v/>
      </c>
      <c r="W305" s="16" t="str">
        <f t="shared" si="109"/>
        <v/>
      </c>
      <c r="X305" s="40"/>
      <c r="Y305" s="14"/>
      <c r="AZ305" t="str">
        <f>IF($C305="","",ANAGRAFICA!$P302)</f>
        <v/>
      </c>
      <c r="BA305" t="str">
        <f>IF($C305="","",SUMIF('MOVIMENTI 2026'!$B$7:$B$4206,$C305,'MOVIMENTI 2026'!$I$7:$I$4206)+SUMIF('SALDI AL 31.12.2025'!$A$6:$A$505,$C305,'SALDI AL 31.12.2025'!$C$6:$C$505))</f>
        <v/>
      </c>
      <c r="BB305" t="str">
        <f>IF($C305="","",SUMIF('MOVIMENTI 2026'!$B$7:$B$4206,$C305,'MOVIMENTI 2026'!$J$7:$J$4206)+SUMIF('SALDI AL 31.12.2025'!$A$6:$A$505,$C305,'SALDI AL 31.12.2025'!$D$6:$D$505))</f>
        <v/>
      </c>
      <c r="BC305" t="str">
        <f>IF($C305="","",SUMIF('MOVIMENTI 2026'!$B$7:$B$4206,$C305,'MOVIMENTI 2026'!$K$7:$K$4206)+SUMIF('SALDI AL 31.12.2025'!$A$6:$A$505,$C305,'SALDI AL 31.12.2025'!$E$6:$E$505))</f>
        <v/>
      </c>
      <c r="BD305" t="str">
        <f>IF($C305="","",SUMIF('MOVIMENTI 2026'!$B$7:$B$4206,$C305,'MOVIMENTI 2026'!$L$7:$L$4206)+SUMIF('SALDI AL 31.12.2025'!$A$6:$A$505,$C305,'SALDI AL 31.12.2025'!$F$6:$F$505))</f>
        <v/>
      </c>
      <c r="BE305" t="str">
        <f t="shared" si="110"/>
        <v/>
      </c>
      <c r="BF305" t="str">
        <f t="shared" si="111"/>
        <v/>
      </c>
      <c r="BG305" t="str">
        <f t="shared" si="112"/>
        <v/>
      </c>
      <c r="BH305" t="str">
        <f>IFERROR(IF(OR($C305="",ANAGRAFICA!$I302="",ANAGRAFICA!$J302="",ANAGRAFICA!$J302&lt;=ANAGRAFICA!$I302,$Y305=""),"",IF(OR($I305="Finito ritenute non previste",$I305="Finito con sblocco ritenute",$I305="Finito senza sblocco ritenute"),1,MAX(0,MIN(1,($Y305-ANAGRAFICA!$I302)/(ANAGRAFICA!$J302-ANAGRAFICA!$I302))))),"")</f>
        <v/>
      </c>
      <c r="BI305" t="str">
        <f t="shared" si="113"/>
        <v/>
      </c>
      <c r="BJ305" t="str">
        <f>IFERROR(IF($C305="","",'BUDGET COMMESSA'!$D302),"")</f>
        <v/>
      </c>
      <c r="BK305" t="str">
        <f>IF($C305="","",SUMIF('MOVIMENTI 2026'!$B$7:$B$4206,$C305,'MOVIMENTI 2026'!$N$7:$N$4206)+SUMIF('SALDI AL 31.12.2025'!$A$6:$A$505,$C305,'SALDI AL 31.12.2025'!$H$6:$H$505))</f>
        <v/>
      </c>
      <c r="BL305" t="str">
        <f t="shared" si="114"/>
        <v/>
      </c>
      <c r="BM305" t="str">
        <f t="shared" si="115"/>
        <v/>
      </c>
      <c r="BN305" t="str">
        <f t="shared" si="116"/>
        <v/>
      </c>
      <c r="BO305" t="str">
        <f>IFERROR(IF($C305="","",'BUDGET COMMESSA'!$G302),"")</f>
        <v/>
      </c>
      <c r="BP305" t="str">
        <f>IF($C305="","",SUMIF('COSTI DIRETTI'!$C$6:$C$505,$C305,'COSTI DIRETTI'!$H$6:$H$505)+SUMIF('SALDI AL 31.12.2025'!$A$6:$A$505,$C305,'SALDI AL 31.12.2025'!$I$6:$I$505))</f>
        <v/>
      </c>
      <c r="BQ305" t="str">
        <f t="shared" si="117"/>
        <v/>
      </c>
      <c r="BR305" t="str">
        <f t="shared" si="118"/>
        <v/>
      </c>
      <c r="BS305" t="str">
        <f>IF($C305="","",$BK305*PARAMETRI!$B$4+$BP305)</f>
        <v/>
      </c>
      <c r="BT305">
        <f t="shared" si="119"/>
        <v>0</v>
      </c>
      <c r="BU305">
        <f t="shared" si="120"/>
        <v>0</v>
      </c>
      <c r="BV305" t="str">
        <f>IF($C305="","",SUMIF('MOVIMENTI 2026'!$B$7:$B$4206,$C305,'MOVIMENTI 2026'!$P$7:$P$4206)+SUMIF('SALDI AL 31.12.2025'!$A$6:$A$505,$C305,'SALDI AL 31.12.2025'!$G$6:$G$505))</f>
        <v/>
      </c>
    </row>
    <row r="306" spans="1:74" ht="16" x14ac:dyDescent="0.15">
      <c r="A306" s="17" t="str">
        <f>IFERROR(IF($C306="","",IF(OR($BF306&gt;0,$V306&gt;$J306,AND(ISNUMBER($Q306),$Q306&gt;0),AND($BI306&lt;&gt;"",$BI306&lt;-PARAMETRI!$B$6),AND($BM306&lt;&gt;"",$BM306&gt;=1),AND($BN306&lt;&gt;"",$BN306&gt;PARAMETRI!$B$8),AND(ISNUMBER($BR306),$BR306&gt;0)),"CRITICO",IF(OR($AZ306="",LEFT($C306,5)="TEMP",$BJ306="",$BO306="",ANAGRAFICA!$I303="",ANAGRAFICA!$J303="",$Y306="",AND(OR($I306="Finito ritenute non previste",$I306="Finito con sblocco ritenute",$I306="Finito senza sblocco ritenute"),ANAGRAFICA!$K303=""),OR(AND(ANAGRAFICA!$T303&lt;&gt;"",ANAGRAFICA!$J303&lt;&gt;ANAGRAFICA!$T303,OR(ANAGRAFICA!$R303="",ANAGRAFICA!$R303="Nessuna variazione")),AND(ANAGRAFICA!$J303="",ANAGRAFICA!$R303&lt;&gt;"",ANAGRAFICA!$R303&lt;&gt;"Nessuna variazione")),AND($BI306&lt;&gt;"",$BI306&lt;-PARAMETRI!$B$5),AND($BN306&lt;&gt;"",$BN306&gt;PARAMETRI!$B$7),AND($W306&gt;0,$M306&gt;$W306*PARAMETRI!$B$9),AND($O306&gt;0,OR($I306="Finito ritenute non previste",$I306="Finito con sblocco ritenute",$I306="Finito senza sblocco ritenute")),AND($BA306&gt;0,$BO306&gt;0,$BP306=0),AND(OR($I306="Finito ritenute non previste",$I306="Finito con sblocco ritenute",$I306="Finito senza sblocco ritenute"),$W306&gt;0,$N306&gt;$W306*PARAMETRI!$B$9),$V306&gt;0),"ATTENZIONE","REGOLARE"))),"ATTENZIONE")</f>
        <v/>
      </c>
      <c r="B306" s="17" t="str">
        <f>IFERROR(IF($C306="","",IF($BF306&gt;0,"FATTURATO OLTRE VALORE RECUPERABILE; ","")&amp;IF($V306&gt;$J306,"PERDITE ACCETTATE OLTRE CONTRATTO; ","")&amp;IF($V306&gt;0,"PERDITA SAL ACCETTATA (€ "&amp;TEXT($V306,"#,##0.00")&amp;"); ","")&amp;IF(AND(ISNUMBER($Q306),$Q306&gt;0),"RITARDO PRODUTTIVO ("&amp;TEXT($Q306,"0")&amp;" GG); ","")&amp;IF(AND($BI306&lt;&gt;"",$BI306&lt;-PARAMETRI!$B$5),"AVANZAMENTO PIÙ LENTO DEL TEMPO; ","")&amp;IF(AND($BM306&lt;&gt;"",$BM306&gt;1),"ORE OLTRE BUDGET; ","")&amp;IF(AND($BM306&lt;&gt;"",$BM306=1),"ORE PREVENTIVATE ESAURITE; ","")&amp;IF(AND($BN306&lt;&gt;"",$BN306&gt;PARAMETRI!$B$7),"CONSUMO ORE SUPERIORE ALL'AVANZAMENTO; ","")&amp;IF(AND(ISNUMBER($BR306),$BR306&gt;0),"COSTI DIRETTI OLTRE BUDGET; ","")&amp;IF(AND($W306&gt;0,$M306&gt;$W306*PARAMETRI!$B$9),"SAL MATURATO NON FATTURATO; ","")&amp;IF(AND($O306&gt;0,OR($I306="Finito ritenute non previste",$I306="Finito con sblocco ritenute",$I306="Finito senza sblocco ritenute")),"RITENUTE DA SBLOCCARE; ","")&amp;IF(AND($BA306&gt;0,$BO306&gt;0,$BP306=0),"COSTI DIRETTI NON REGISTRATI; ","")&amp;IF(AND(OR($I306="Finito ritenute non previste",$I306="Finito con sblocco ritenute",$I306="Finito senza sblocco ritenute"),$W306&gt;0,$N306&gt;$W306*PARAMETRI!$B$9),"CANTIERE FINITO CON RESIDUO LAVORI; ","")&amp;IF(AND(OR($I306="Finito ritenute non previste",$I306="Finito con sblocco ritenute",$I306="Finito senza sblocco ritenute"),ANAGRAFICA!$K303=""),"DATA FINE EFFETTIVA MANCANTE; ","")&amp;IF(OR(AND(ANAGRAFICA!$T303&lt;&gt;"",ANAGRAFICA!$J303&lt;&gt;ANAGRAFICA!$T303,OR(ANAGRAFICA!$R303="",ANAGRAFICA!$R303="Nessuna variazione")),AND(ANAGRAFICA!$J303="",ANAGRAFICA!$R303&lt;&gt;"",ANAGRAFICA!$R303&lt;&gt;"Nessuna variazione")),"GESTIONE DATA FINE INCOMPLETA; ","")&amp;IF($Y306="","AGGIORNATO AL MANCANTE; ","")&amp;IF(OR($AZ306="",$BJ306="",$BO306="",ANAGRAFICA!$I303="",ANAGRAFICA!$J303=""),"DATI PREVISIONALI INCOMPLETI; ","")&amp;IF(LEFT($C306,5)="TEMP","CODICE COMMESSA TEMPORANEO; ","")),"DATI INCOMPLETI; ")</f>
        <v/>
      </c>
      <c r="C306" s="17" t="str">
        <f>IF(ANAGRAFICA!$B303="","",ANAGRAFICA!$B303)</f>
        <v/>
      </c>
      <c r="D306" s="17" t="str">
        <f>IF($C306="","",ANAGRAFICA!$C303)</f>
        <v/>
      </c>
      <c r="E306" s="17" t="str">
        <f>IF($C306="","",ANAGRAFICA!$D303)</f>
        <v/>
      </c>
      <c r="F306" s="17" t="str">
        <f>IF($C306="","",ANAGRAFICA!$E303)</f>
        <v/>
      </c>
      <c r="G306" s="17" t="str">
        <f>IF($C306="","",ANAGRAFICA!$F303)</f>
        <v/>
      </c>
      <c r="H306" s="17" t="str">
        <f>IF($C306="","",ANAGRAFICA!$G303)</f>
        <v/>
      </c>
      <c r="I306" s="17" t="str">
        <f>IF($C306="","",ANAGRAFICA!$L303)</f>
        <v/>
      </c>
      <c r="J306" s="16" t="str">
        <f t="shared" si="97"/>
        <v/>
      </c>
      <c r="K306" s="16" t="str">
        <f t="shared" si="98"/>
        <v/>
      </c>
      <c r="L306" s="16" t="str">
        <f t="shared" si="99"/>
        <v/>
      </c>
      <c r="M306" s="16" t="str">
        <f t="shared" si="100"/>
        <v/>
      </c>
      <c r="N306" s="16" t="str">
        <f t="shared" si="101"/>
        <v/>
      </c>
      <c r="O306" s="16" t="str">
        <f t="shared" si="102"/>
        <v/>
      </c>
      <c r="P306" s="17" t="str">
        <f t="shared" si="103"/>
        <v/>
      </c>
      <c r="Q306" s="31" t="str">
        <f>IF(OR($C306="",'BUDGET COMMESSA'!$D303="",'BUDGET COMMESSA'!$D303&lt;=0,ANAGRAFICA!$J303=""),"",IF(OR($I306="Finito ritenute non previste",$I306="Finito con sblocco ritenute",$I306="Finito senza sblocco ritenute"),0,IF(AND($BK306&gt;=$BJ306,ANAGRAFICA!$R303="Ritardo produttivo FIDA"),IF(ANAGRAFICA!$T303&lt;&gt;"",MAX(0,ANAGRAFICA!$J303-ANAGRAFICA!$T303),MAX(0,$Y306-ANAGRAFICA!$J303)),0)))</f>
        <v/>
      </c>
      <c r="R306" s="17" t="str">
        <f t="shared" si="104"/>
        <v/>
      </c>
      <c r="S306" s="17" t="str">
        <f t="shared" si="105"/>
        <v/>
      </c>
      <c r="T306" s="17" t="str">
        <f t="shared" si="106"/>
        <v/>
      </c>
      <c r="U306" s="16" t="str">
        <f t="shared" si="107"/>
        <v/>
      </c>
      <c r="V306" s="16" t="str">
        <f t="shared" si="108"/>
        <v/>
      </c>
      <c r="W306" s="16" t="str">
        <f t="shared" si="109"/>
        <v/>
      </c>
      <c r="X306" s="40"/>
      <c r="Y306" s="14"/>
      <c r="AZ306" t="str">
        <f>IF($C306="","",ANAGRAFICA!$P303)</f>
        <v/>
      </c>
      <c r="BA306" t="str">
        <f>IF($C306="","",SUMIF('MOVIMENTI 2026'!$B$7:$B$4206,$C306,'MOVIMENTI 2026'!$I$7:$I$4206)+SUMIF('SALDI AL 31.12.2025'!$A$6:$A$505,$C306,'SALDI AL 31.12.2025'!$C$6:$C$505))</f>
        <v/>
      </c>
      <c r="BB306" t="str">
        <f>IF($C306="","",SUMIF('MOVIMENTI 2026'!$B$7:$B$4206,$C306,'MOVIMENTI 2026'!$J$7:$J$4206)+SUMIF('SALDI AL 31.12.2025'!$A$6:$A$505,$C306,'SALDI AL 31.12.2025'!$D$6:$D$505))</f>
        <v/>
      </c>
      <c r="BC306" t="str">
        <f>IF($C306="","",SUMIF('MOVIMENTI 2026'!$B$7:$B$4206,$C306,'MOVIMENTI 2026'!$K$7:$K$4206)+SUMIF('SALDI AL 31.12.2025'!$A$6:$A$505,$C306,'SALDI AL 31.12.2025'!$E$6:$E$505))</f>
        <v/>
      </c>
      <c r="BD306" t="str">
        <f>IF($C306="","",SUMIF('MOVIMENTI 2026'!$B$7:$B$4206,$C306,'MOVIMENTI 2026'!$L$7:$L$4206)+SUMIF('SALDI AL 31.12.2025'!$A$6:$A$505,$C306,'SALDI AL 31.12.2025'!$F$6:$F$505))</f>
        <v/>
      </c>
      <c r="BE306" t="str">
        <f t="shared" si="110"/>
        <v/>
      </c>
      <c r="BF306" t="str">
        <f t="shared" si="111"/>
        <v/>
      </c>
      <c r="BG306" t="str">
        <f t="shared" si="112"/>
        <v/>
      </c>
      <c r="BH306" t="str">
        <f>IFERROR(IF(OR($C306="",ANAGRAFICA!$I303="",ANAGRAFICA!$J303="",ANAGRAFICA!$J303&lt;=ANAGRAFICA!$I303,$Y306=""),"",IF(OR($I306="Finito ritenute non previste",$I306="Finito con sblocco ritenute",$I306="Finito senza sblocco ritenute"),1,MAX(0,MIN(1,($Y306-ANAGRAFICA!$I303)/(ANAGRAFICA!$J303-ANAGRAFICA!$I303))))),"")</f>
        <v/>
      </c>
      <c r="BI306" t="str">
        <f t="shared" si="113"/>
        <v/>
      </c>
      <c r="BJ306" t="str">
        <f>IFERROR(IF($C306="","",'BUDGET COMMESSA'!$D303),"")</f>
        <v/>
      </c>
      <c r="BK306" t="str">
        <f>IF($C306="","",SUMIF('MOVIMENTI 2026'!$B$7:$B$4206,$C306,'MOVIMENTI 2026'!$N$7:$N$4206)+SUMIF('SALDI AL 31.12.2025'!$A$6:$A$505,$C306,'SALDI AL 31.12.2025'!$H$6:$H$505))</f>
        <v/>
      </c>
      <c r="BL306" t="str">
        <f t="shared" si="114"/>
        <v/>
      </c>
      <c r="BM306" t="str">
        <f t="shared" si="115"/>
        <v/>
      </c>
      <c r="BN306" t="str">
        <f t="shared" si="116"/>
        <v/>
      </c>
      <c r="BO306" t="str">
        <f>IFERROR(IF($C306="","",'BUDGET COMMESSA'!$G303),"")</f>
        <v/>
      </c>
      <c r="BP306" t="str">
        <f>IF($C306="","",SUMIF('COSTI DIRETTI'!$C$6:$C$505,$C306,'COSTI DIRETTI'!$H$6:$H$505)+SUMIF('SALDI AL 31.12.2025'!$A$6:$A$505,$C306,'SALDI AL 31.12.2025'!$I$6:$I$505))</f>
        <v/>
      </c>
      <c r="BQ306" t="str">
        <f t="shared" si="117"/>
        <v/>
      </c>
      <c r="BR306" t="str">
        <f t="shared" si="118"/>
        <v/>
      </c>
      <c r="BS306" t="str">
        <f>IF($C306="","",$BK306*PARAMETRI!$B$4+$BP306)</f>
        <v/>
      </c>
      <c r="BT306">
        <f t="shared" si="119"/>
        <v>0</v>
      </c>
      <c r="BU306">
        <f t="shared" si="120"/>
        <v>0</v>
      </c>
      <c r="BV306" t="str">
        <f>IF($C306="","",SUMIF('MOVIMENTI 2026'!$B$7:$B$4206,$C306,'MOVIMENTI 2026'!$P$7:$P$4206)+SUMIF('SALDI AL 31.12.2025'!$A$6:$A$505,$C306,'SALDI AL 31.12.2025'!$G$6:$G$505))</f>
        <v/>
      </c>
    </row>
    <row r="307" spans="1:74" ht="16" x14ac:dyDescent="0.15">
      <c r="A307" s="17" t="str">
        <f>IFERROR(IF($C307="","",IF(OR($BF307&gt;0,$V307&gt;$J307,AND(ISNUMBER($Q307),$Q307&gt;0),AND($BI307&lt;&gt;"",$BI307&lt;-PARAMETRI!$B$6),AND($BM307&lt;&gt;"",$BM307&gt;=1),AND($BN307&lt;&gt;"",$BN307&gt;PARAMETRI!$B$8),AND(ISNUMBER($BR307),$BR307&gt;0)),"CRITICO",IF(OR($AZ307="",LEFT($C307,5)="TEMP",$BJ307="",$BO307="",ANAGRAFICA!$I304="",ANAGRAFICA!$J304="",$Y307="",AND(OR($I307="Finito ritenute non previste",$I307="Finito con sblocco ritenute",$I307="Finito senza sblocco ritenute"),ANAGRAFICA!$K304=""),OR(AND(ANAGRAFICA!$T304&lt;&gt;"",ANAGRAFICA!$J304&lt;&gt;ANAGRAFICA!$T304,OR(ANAGRAFICA!$R304="",ANAGRAFICA!$R304="Nessuna variazione")),AND(ANAGRAFICA!$J304="",ANAGRAFICA!$R304&lt;&gt;"",ANAGRAFICA!$R304&lt;&gt;"Nessuna variazione")),AND($BI307&lt;&gt;"",$BI307&lt;-PARAMETRI!$B$5),AND($BN307&lt;&gt;"",$BN307&gt;PARAMETRI!$B$7),AND($W307&gt;0,$M307&gt;$W307*PARAMETRI!$B$9),AND($O307&gt;0,OR($I307="Finito ritenute non previste",$I307="Finito con sblocco ritenute",$I307="Finito senza sblocco ritenute")),AND($BA307&gt;0,$BO307&gt;0,$BP307=0),AND(OR($I307="Finito ritenute non previste",$I307="Finito con sblocco ritenute",$I307="Finito senza sblocco ritenute"),$W307&gt;0,$N307&gt;$W307*PARAMETRI!$B$9),$V307&gt;0),"ATTENZIONE","REGOLARE"))),"ATTENZIONE")</f>
        <v/>
      </c>
      <c r="B307" s="17" t="str">
        <f>IFERROR(IF($C307="","",IF($BF307&gt;0,"FATTURATO OLTRE VALORE RECUPERABILE; ","")&amp;IF($V307&gt;$J307,"PERDITE ACCETTATE OLTRE CONTRATTO; ","")&amp;IF($V307&gt;0,"PERDITA SAL ACCETTATA (€ "&amp;TEXT($V307,"#,##0.00")&amp;"); ","")&amp;IF(AND(ISNUMBER($Q307),$Q307&gt;0),"RITARDO PRODUTTIVO ("&amp;TEXT($Q307,"0")&amp;" GG); ","")&amp;IF(AND($BI307&lt;&gt;"",$BI307&lt;-PARAMETRI!$B$5),"AVANZAMENTO PIÙ LENTO DEL TEMPO; ","")&amp;IF(AND($BM307&lt;&gt;"",$BM307&gt;1),"ORE OLTRE BUDGET; ","")&amp;IF(AND($BM307&lt;&gt;"",$BM307=1),"ORE PREVENTIVATE ESAURITE; ","")&amp;IF(AND($BN307&lt;&gt;"",$BN307&gt;PARAMETRI!$B$7),"CONSUMO ORE SUPERIORE ALL'AVANZAMENTO; ","")&amp;IF(AND(ISNUMBER($BR307),$BR307&gt;0),"COSTI DIRETTI OLTRE BUDGET; ","")&amp;IF(AND($W307&gt;0,$M307&gt;$W307*PARAMETRI!$B$9),"SAL MATURATO NON FATTURATO; ","")&amp;IF(AND($O307&gt;0,OR($I307="Finito ritenute non previste",$I307="Finito con sblocco ritenute",$I307="Finito senza sblocco ritenute")),"RITENUTE DA SBLOCCARE; ","")&amp;IF(AND($BA307&gt;0,$BO307&gt;0,$BP307=0),"COSTI DIRETTI NON REGISTRATI; ","")&amp;IF(AND(OR($I307="Finito ritenute non previste",$I307="Finito con sblocco ritenute",$I307="Finito senza sblocco ritenute"),$W307&gt;0,$N307&gt;$W307*PARAMETRI!$B$9),"CANTIERE FINITO CON RESIDUO LAVORI; ","")&amp;IF(AND(OR($I307="Finito ritenute non previste",$I307="Finito con sblocco ritenute",$I307="Finito senza sblocco ritenute"),ANAGRAFICA!$K304=""),"DATA FINE EFFETTIVA MANCANTE; ","")&amp;IF(OR(AND(ANAGRAFICA!$T304&lt;&gt;"",ANAGRAFICA!$J304&lt;&gt;ANAGRAFICA!$T304,OR(ANAGRAFICA!$R304="",ANAGRAFICA!$R304="Nessuna variazione")),AND(ANAGRAFICA!$J304="",ANAGRAFICA!$R304&lt;&gt;"",ANAGRAFICA!$R304&lt;&gt;"Nessuna variazione")),"GESTIONE DATA FINE INCOMPLETA; ","")&amp;IF($Y307="","AGGIORNATO AL MANCANTE; ","")&amp;IF(OR($AZ307="",$BJ307="",$BO307="",ANAGRAFICA!$I304="",ANAGRAFICA!$J304=""),"DATI PREVISIONALI INCOMPLETI; ","")&amp;IF(LEFT($C307,5)="TEMP","CODICE COMMESSA TEMPORANEO; ","")),"DATI INCOMPLETI; ")</f>
        <v/>
      </c>
      <c r="C307" s="17" t="str">
        <f>IF(ANAGRAFICA!$B304="","",ANAGRAFICA!$B304)</f>
        <v/>
      </c>
      <c r="D307" s="17" t="str">
        <f>IF($C307="","",ANAGRAFICA!$C304)</f>
        <v/>
      </c>
      <c r="E307" s="17" t="str">
        <f>IF($C307="","",ANAGRAFICA!$D304)</f>
        <v/>
      </c>
      <c r="F307" s="17" t="str">
        <f>IF($C307="","",ANAGRAFICA!$E304)</f>
        <v/>
      </c>
      <c r="G307" s="17" t="str">
        <f>IF($C307="","",ANAGRAFICA!$F304)</f>
        <v/>
      </c>
      <c r="H307" s="17" t="str">
        <f>IF($C307="","",ANAGRAFICA!$G304)</f>
        <v/>
      </c>
      <c r="I307" s="17" t="str">
        <f>IF($C307="","",ANAGRAFICA!$L304)</f>
        <v/>
      </c>
      <c r="J307" s="16" t="str">
        <f t="shared" si="97"/>
        <v/>
      </c>
      <c r="K307" s="16" t="str">
        <f t="shared" si="98"/>
        <v/>
      </c>
      <c r="L307" s="16" t="str">
        <f t="shared" si="99"/>
        <v/>
      </c>
      <c r="M307" s="16" t="str">
        <f t="shared" si="100"/>
        <v/>
      </c>
      <c r="N307" s="16" t="str">
        <f t="shared" si="101"/>
        <v/>
      </c>
      <c r="O307" s="16" t="str">
        <f t="shared" si="102"/>
        <v/>
      </c>
      <c r="P307" s="17" t="str">
        <f t="shared" si="103"/>
        <v/>
      </c>
      <c r="Q307" s="31" t="str">
        <f>IF(OR($C307="",'BUDGET COMMESSA'!$D304="",'BUDGET COMMESSA'!$D304&lt;=0,ANAGRAFICA!$J304=""),"",IF(OR($I307="Finito ritenute non previste",$I307="Finito con sblocco ritenute",$I307="Finito senza sblocco ritenute"),0,IF(AND($BK307&gt;=$BJ307,ANAGRAFICA!$R304="Ritardo produttivo FIDA"),IF(ANAGRAFICA!$T304&lt;&gt;"",MAX(0,ANAGRAFICA!$J304-ANAGRAFICA!$T304),MAX(0,$Y307-ANAGRAFICA!$J304)),0)))</f>
        <v/>
      </c>
      <c r="R307" s="17" t="str">
        <f t="shared" si="104"/>
        <v/>
      </c>
      <c r="S307" s="17" t="str">
        <f t="shared" si="105"/>
        <v/>
      </c>
      <c r="T307" s="17" t="str">
        <f t="shared" si="106"/>
        <v/>
      </c>
      <c r="U307" s="16" t="str">
        <f t="shared" si="107"/>
        <v/>
      </c>
      <c r="V307" s="16" t="str">
        <f t="shared" si="108"/>
        <v/>
      </c>
      <c r="W307" s="16" t="str">
        <f t="shared" si="109"/>
        <v/>
      </c>
      <c r="X307" s="40"/>
      <c r="Y307" s="14"/>
      <c r="AZ307" t="str">
        <f>IF($C307="","",ANAGRAFICA!$P304)</f>
        <v/>
      </c>
      <c r="BA307" t="str">
        <f>IF($C307="","",SUMIF('MOVIMENTI 2026'!$B$7:$B$4206,$C307,'MOVIMENTI 2026'!$I$7:$I$4206)+SUMIF('SALDI AL 31.12.2025'!$A$6:$A$505,$C307,'SALDI AL 31.12.2025'!$C$6:$C$505))</f>
        <v/>
      </c>
      <c r="BB307" t="str">
        <f>IF($C307="","",SUMIF('MOVIMENTI 2026'!$B$7:$B$4206,$C307,'MOVIMENTI 2026'!$J$7:$J$4206)+SUMIF('SALDI AL 31.12.2025'!$A$6:$A$505,$C307,'SALDI AL 31.12.2025'!$D$6:$D$505))</f>
        <v/>
      </c>
      <c r="BC307" t="str">
        <f>IF($C307="","",SUMIF('MOVIMENTI 2026'!$B$7:$B$4206,$C307,'MOVIMENTI 2026'!$K$7:$K$4206)+SUMIF('SALDI AL 31.12.2025'!$A$6:$A$505,$C307,'SALDI AL 31.12.2025'!$E$6:$E$505))</f>
        <v/>
      </c>
      <c r="BD307" t="str">
        <f>IF($C307="","",SUMIF('MOVIMENTI 2026'!$B$7:$B$4206,$C307,'MOVIMENTI 2026'!$L$7:$L$4206)+SUMIF('SALDI AL 31.12.2025'!$A$6:$A$505,$C307,'SALDI AL 31.12.2025'!$F$6:$F$505))</f>
        <v/>
      </c>
      <c r="BE307" t="str">
        <f t="shared" si="110"/>
        <v/>
      </c>
      <c r="BF307" t="str">
        <f t="shared" si="111"/>
        <v/>
      </c>
      <c r="BG307" t="str">
        <f t="shared" si="112"/>
        <v/>
      </c>
      <c r="BH307" t="str">
        <f>IFERROR(IF(OR($C307="",ANAGRAFICA!$I304="",ANAGRAFICA!$J304="",ANAGRAFICA!$J304&lt;=ANAGRAFICA!$I304,$Y307=""),"",IF(OR($I307="Finito ritenute non previste",$I307="Finito con sblocco ritenute",$I307="Finito senza sblocco ritenute"),1,MAX(0,MIN(1,($Y307-ANAGRAFICA!$I304)/(ANAGRAFICA!$J304-ANAGRAFICA!$I304))))),"")</f>
        <v/>
      </c>
      <c r="BI307" t="str">
        <f t="shared" si="113"/>
        <v/>
      </c>
      <c r="BJ307" t="str">
        <f>IFERROR(IF($C307="","",'BUDGET COMMESSA'!$D304),"")</f>
        <v/>
      </c>
      <c r="BK307" t="str">
        <f>IF($C307="","",SUMIF('MOVIMENTI 2026'!$B$7:$B$4206,$C307,'MOVIMENTI 2026'!$N$7:$N$4206)+SUMIF('SALDI AL 31.12.2025'!$A$6:$A$505,$C307,'SALDI AL 31.12.2025'!$H$6:$H$505))</f>
        <v/>
      </c>
      <c r="BL307" t="str">
        <f t="shared" si="114"/>
        <v/>
      </c>
      <c r="BM307" t="str">
        <f t="shared" si="115"/>
        <v/>
      </c>
      <c r="BN307" t="str">
        <f t="shared" si="116"/>
        <v/>
      </c>
      <c r="BO307" t="str">
        <f>IFERROR(IF($C307="","",'BUDGET COMMESSA'!$G304),"")</f>
        <v/>
      </c>
      <c r="BP307" t="str">
        <f>IF($C307="","",SUMIF('COSTI DIRETTI'!$C$6:$C$505,$C307,'COSTI DIRETTI'!$H$6:$H$505)+SUMIF('SALDI AL 31.12.2025'!$A$6:$A$505,$C307,'SALDI AL 31.12.2025'!$I$6:$I$505))</f>
        <v/>
      </c>
      <c r="BQ307" t="str">
        <f t="shared" si="117"/>
        <v/>
      </c>
      <c r="BR307" t="str">
        <f t="shared" si="118"/>
        <v/>
      </c>
      <c r="BS307" t="str">
        <f>IF($C307="","",$BK307*PARAMETRI!$B$4+$BP307)</f>
        <v/>
      </c>
      <c r="BT307">
        <f t="shared" si="119"/>
        <v>0</v>
      </c>
      <c r="BU307">
        <f t="shared" si="120"/>
        <v>0</v>
      </c>
      <c r="BV307" t="str">
        <f>IF($C307="","",SUMIF('MOVIMENTI 2026'!$B$7:$B$4206,$C307,'MOVIMENTI 2026'!$P$7:$P$4206)+SUMIF('SALDI AL 31.12.2025'!$A$6:$A$505,$C307,'SALDI AL 31.12.2025'!$G$6:$G$505))</f>
        <v/>
      </c>
    </row>
    <row r="308" spans="1:74" ht="16" x14ac:dyDescent="0.15">
      <c r="A308" s="17" t="str">
        <f>IFERROR(IF($C308="","",IF(OR($BF308&gt;0,$V308&gt;$J308,AND(ISNUMBER($Q308),$Q308&gt;0),AND($BI308&lt;&gt;"",$BI308&lt;-PARAMETRI!$B$6),AND($BM308&lt;&gt;"",$BM308&gt;=1),AND($BN308&lt;&gt;"",$BN308&gt;PARAMETRI!$B$8),AND(ISNUMBER($BR308),$BR308&gt;0)),"CRITICO",IF(OR($AZ308="",LEFT($C308,5)="TEMP",$BJ308="",$BO308="",ANAGRAFICA!$I305="",ANAGRAFICA!$J305="",$Y308="",AND(OR($I308="Finito ritenute non previste",$I308="Finito con sblocco ritenute",$I308="Finito senza sblocco ritenute"),ANAGRAFICA!$K305=""),OR(AND(ANAGRAFICA!$T305&lt;&gt;"",ANAGRAFICA!$J305&lt;&gt;ANAGRAFICA!$T305,OR(ANAGRAFICA!$R305="",ANAGRAFICA!$R305="Nessuna variazione")),AND(ANAGRAFICA!$J305="",ANAGRAFICA!$R305&lt;&gt;"",ANAGRAFICA!$R305&lt;&gt;"Nessuna variazione")),AND($BI308&lt;&gt;"",$BI308&lt;-PARAMETRI!$B$5),AND($BN308&lt;&gt;"",$BN308&gt;PARAMETRI!$B$7),AND($W308&gt;0,$M308&gt;$W308*PARAMETRI!$B$9),AND($O308&gt;0,OR($I308="Finito ritenute non previste",$I308="Finito con sblocco ritenute",$I308="Finito senza sblocco ritenute")),AND($BA308&gt;0,$BO308&gt;0,$BP308=0),AND(OR($I308="Finito ritenute non previste",$I308="Finito con sblocco ritenute",$I308="Finito senza sblocco ritenute"),$W308&gt;0,$N308&gt;$W308*PARAMETRI!$B$9),$V308&gt;0),"ATTENZIONE","REGOLARE"))),"ATTENZIONE")</f>
        <v/>
      </c>
      <c r="B308" s="17" t="str">
        <f>IFERROR(IF($C308="","",IF($BF308&gt;0,"FATTURATO OLTRE VALORE RECUPERABILE; ","")&amp;IF($V308&gt;$J308,"PERDITE ACCETTATE OLTRE CONTRATTO; ","")&amp;IF($V308&gt;0,"PERDITA SAL ACCETTATA (€ "&amp;TEXT($V308,"#,##0.00")&amp;"); ","")&amp;IF(AND(ISNUMBER($Q308),$Q308&gt;0),"RITARDO PRODUTTIVO ("&amp;TEXT($Q308,"0")&amp;" GG); ","")&amp;IF(AND($BI308&lt;&gt;"",$BI308&lt;-PARAMETRI!$B$5),"AVANZAMENTO PIÙ LENTO DEL TEMPO; ","")&amp;IF(AND($BM308&lt;&gt;"",$BM308&gt;1),"ORE OLTRE BUDGET; ","")&amp;IF(AND($BM308&lt;&gt;"",$BM308=1),"ORE PREVENTIVATE ESAURITE; ","")&amp;IF(AND($BN308&lt;&gt;"",$BN308&gt;PARAMETRI!$B$7),"CONSUMO ORE SUPERIORE ALL'AVANZAMENTO; ","")&amp;IF(AND(ISNUMBER($BR308),$BR308&gt;0),"COSTI DIRETTI OLTRE BUDGET; ","")&amp;IF(AND($W308&gt;0,$M308&gt;$W308*PARAMETRI!$B$9),"SAL MATURATO NON FATTURATO; ","")&amp;IF(AND($O308&gt;0,OR($I308="Finito ritenute non previste",$I308="Finito con sblocco ritenute",$I308="Finito senza sblocco ritenute")),"RITENUTE DA SBLOCCARE; ","")&amp;IF(AND($BA308&gt;0,$BO308&gt;0,$BP308=0),"COSTI DIRETTI NON REGISTRATI; ","")&amp;IF(AND(OR($I308="Finito ritenute non previste",$I308="Finito con sblocco ritenute",$I308="Finito senza sblocco ritenute"),$W308&gt;0,$N308&gt;$W308*PARAMETRI!$B$9),"CANTIERE FINITO CON RESIDUO LAVORI; ","")&amp;IF(AND(OR($I308="Finito ritenute non previste",$I308="Finito con sblocco ritenute",$I308="Finito senza sblocco ritenute"),ANAGRAFICA!$K305=""),"DATA FINE EFFETTIVA MANCANTE; ","")&amp;IF(OR(AND(ANAGRAFICA!$T305&lt;&gt;"",ANAGRAFICA!$J305&lt;&gt;ANAGRAFICA!$T305,OR(ANAGRAFICA!$R305="",ANAGRAFICA!$R305="Nessuna variazione")),AND(ANAGRAFICA!$J305="",ANAGRAFICA!$R305&lt;&gt;"",ANAGRAFICA!$R305&lt;&gt;"Nessuna variazione")),"GESTIONE DATA FINE INCOMPLETA; ","")&amp;IF($Y308="","AGGIORNATO AL MANCANTE; ","")&amp;IF(OR($AZ308="",$BJ308="",$BO308="",ANAGRAFICA!$I305="",ANAGRAFICA!$J305=""),"DATI PREVISIONALI INCOMPLETI; ","")&amp;IF(LEFT($C308,5)="TEMP","CODICE COMMESSA TEMPORANEO; ","")),"DATI INCOMPLETI; ")</f>
        <v/>
      </c>
      <c r="C308" s="17" t="str">
        <f>IF(ANAGRAFICA!$B305="","",ANAGRAFICA!$B305)</f>
        <v/>
      </c>
      <c r="D308" s="17" t="str">
        <f>IF($C308="","",ANAGRAFICA!$C305)</f>
        <v/>
      </c>
      <c r="E308" s="17" t="str">
        <f>IF($C308="","",ANAGRAFICA!$D305)</f>
        <v/>
      </c>
      <c r="F308" s="17" t="str">
        <f>IF($C308="","",ANAGRAFICA!$E305)</f>
        <v/>
      </c>
      <c r="G308" s="17" t="str">
        <f>IF($C308="","",ANAGRAFICA!$F305)</f>
        <v/>
      </c>
      <c r="H308" s="17" t="str">
        <f>IF($C308="","",ANAGRAFICA!$G305)</f>
        <v/>
      </c>
      <c r="I308" s="17" t="str">
        <f>IF($C308="","",ANAGRAFICA!$L305)</f>
        <v/>
      </c>
      <c r="J308" s="16" t="str">
        <f t="shared" si="97"/>
        <v/>
      </c>
      <c r="K308" s="16" t="str">
        <f t="shared" si="98"/>
        <v/>
      </c>
      <c r="L308" s="16" t="str">
        <f t="shared" si="99"/>
        <v/>
      </c>
      <c r="M308" s="16" t="str">
        <f t="shared" si="100"/>
        <v/>
      </c>
      <c r="N308" s="16" t="str">
        <f t="shared" si="101"/>
        <v/>
      </c>
      <c r="O308" s="16" t="str">
        <f t="shared" si="102"/>
        <v/>
      </c>
      <c r="P308" s="17" t="str">
        <f t="shared" si="103"/>
        <v/>
      </c>
      <c r="Q308" s="31" t="str">
        <f>IF(OR($C308="",'BUDGET COMMESSA'!$D305="",'BUDGET COMMESSA'!$D305&lt;=0,ANAGRAFICA!$J305=""),"",IF(OR($I308="Finito ritenute non previste",$I308="Finito con sblocco ritenute",$I308="Finito senza sblocco ritenute"),0,IF(AND($BK308&gt;=$BJ308,ANAGRAFICA!$R305="Ritardo produttivo FIDA"),IF(ANAGRAFICA!$T305&lt;&gt;"",MAX(0,ANAGRAFICA!$J305-ANAGRAFICA!$T305),MAX(0,$Y308-ANAGRAFICA!$J305)),0)))</f>
        <v/>
      </c>
      <c r="R308" s="17" t="str">
        <f t="shared" si="104"/>
        <v/>
      </c>
      <c r="S308" s="17" t="str">
        <f t="shared" si="105"/>
        <v/>
      </c>
      <c r="T308" s="17" t="str">
        <f t="shared" si="106"/>
        <v/>
      </c>
      <c r="U308" s="16" t="str">
        <f t="shared" si="107"/>
        <v/>
      </c>
      <c r="V308" s="16" t="str">
        <f t="shared" si="108"/>
        <v/>
      </c>
      <c r="W308" s="16" t="str">
        <f t="shared" si="109"/>
        <v/>
      </c>
      <c r="X308" s="40"/>
      <c r="Y308" s="14"/>
      <c r="AZ308" t="str">
        <f>IF($C308="","",ANAGRAFICA!$P305)</f>
        <v/>
      </c>
      <c r="BA308" t="str">
        <f>IF($C308="","",SUMIF('MOVIMENTI 2026'!$B$7:$B$4206,$C308,'MOVIMENTI 2026'!$I$7:$I$4206)+SUMIF('SALDI AL 31.12.2025'!$A$6:$A$505,$C308,'SALDI AL 31.12.2025'!$C$6:$C$505))</f>
        <v/>
      </c>
      <c r="BB308" t="str">
        <f>IF($C308="","",SUMIF('MOVIMENTI 2026'!$B$7:$B$4206,$C308,'MOVIMENTI 2026'!$J$7:$J$4206)+SUMIF('SALDI AL 31.12.2025'!$A$6:$A$505,$C308,'SALDI AL 31.12.2025'!$D$6:$D$505))</f>
        <v/>
      </c>
      <c r="BC308" t="str">
        <f>IF($C308="","",SUMIF('MOVIMENTI 2026'!$B$7:$B$4206,$C308,'MOVIMENTI 2026'!$K$7:$K$4206)+SUMIF('SALDI AL 31.12.2025'!$A$6:$A$505,$C308,'SALDI AL 31.12.2025'!$E$6:$E$505))</f>
        <v/>
      </c>
      <c r="BD308" t="str">
        <f>IF($C308="","",SUMIF('MOVIMENTI 2026'!$B$7:$B$4206,$C308,'MOVIMENTI 2026'!$L$7:$L$4206)+SUMIF('SALDI AL 31.12.2025'!$A$6:$A$505,$C308,'SALDI AL 31.12.2025'!$F$6:$F$505))</f>
        <v/>
      </c>
      <c r="BE308" t="str">
        <f t="shared" si="110"/>
        <v/>
      </c>
      <c r="BF308" t="str">
        <f t="shared" si="111"/>
        <v/>
      </c>
      <c r="BG308" t="str">
        <f t="shared" si="112"/>
        <v/>
      </c>
      <c r="BH308" t="str">
        <f>IFERROR(IF(OR($C308="",ANAGRAFICA!$I305="",ANAGRAFICA!$J305="",ANAGRAFICA!$J305&lt;=ANAGRAFICA!$I305,$Y308=""),"",IF(OR($I308="Finito ritenute non previste",$I308="Finito con sblocco ritenute",$I308="Finito senza sblocco ritenute"),1,MAX(0,MIN(1,($Y308-ANAGRAFICA!$I305)/(ANAGRAFICA!$J305-ANAGRAFICA!$I305))))),"")</f>
        <v/>
      </c>
      <c r="BI308" t="str">
        <f t="shared" si="113"/>
        <v/>
      </c>
      <c r="BJ308" t="str">
        <f>IFERROR(IF($C308="","",'BUDGET COMMESSA'!$D305),"")</f>
        <v/>
      </c>
      <c r="BK308" t="str">
        <f>IF($C308="","",SUMIF('MOVIMENTI 2026'!$B$7:$B$4206,$C308,'MOVIMENTI 2026'!$N$7:$N$4206)+SUMIF('SALDI AL 31.12.2025'!$A$6:$A$505,$C308,'SALDI AL 31.12.2025'!$H$6:$H$505))</f>
        <v/>
      </c>
      <c r="BL308" t="str">
        <f t="shared" si="114"/>
        <v/>
      </c>
      <c r="BM308" t="str">
        <f t="shared" si="115"/>
        <v/>
      </c>
      <c r="BN308" t="str">
        <f t="shared" si="116"/>
        <v/>
      </c>
      <c r="BO308" t="str">
        <f>IFERROR(IF($C308="","",'BUDGET COMMESSA'!$G305),"")</f>
        <v/>
      </c>
      <c r="BP308" t="str">
        <f>IF($C308="","",SUMIF('COSTI DIRETTI'!$C$6:$C$505,$C308,'COSTI DIRETTI'!$H$6:$H$505)+SUMIF('SALDI AL 31.12.2025'!$A$6:$A$505,$C308,'SALDI AL 31.12.2025'!$I$6:$I$505))</f>
        <v/>
      </c>
      <c r="BQ308" t="str">
        <f t="shared" si="117"/>
        <v/>
      </c>
      <c r="BR308" t="str">
        <f t="shared" si="118"/>
        <v/>
      </c>
      <c r="BS308" t="str">
        <f>IF($C308="","",$BK308*PARAMETRI!$B$4+$BP308)</f>
        <v/>
      </c>
      <c r="BT308">
        <f t="shared" si="119"/>
        <v>0</v>
      </c>
      <c r="BU308">
        <f t="shared" si="120"/>
        <v>0</v>
      </c>
      <c r="BV308" t="str">
        <f>IF($C308="","",SUMIF('MOVIMENTI 2026'!$B$7:$B$4206,$C308,'MOVIMENTI 2026'!$P$7:$P$4206)+SUMIF('SALDI AL 31.12.2025'!$A$6:$A$505,$C308,'SALDI AL 31.12.2025'!$G$6:$G$505))</f>
        <v/>
      </c>
    </row>
  </sheetData>
  <mergeCells count="27">
    <mergeCell ref="A6:Y6"/>
    <mergeCell ref="M4:O4"/>
    <mergeCell ref="P4:R4"/>
    <mergeCell ref="S4:U4"/>
    <mergeCell ref="V4:Y4"/>
    <mergeCell ref="A5:C5"/>
    <mergeCell ref="D5:F5"/>
    <mergeCell ref="G5:I5"/>
    <mergeCell ref="J5:L5"/>
    <mergeCell ref="M5:O5"/>
    <mergeCell ref="P5:R5"/>
    <mergeCell ref="S5:U5"/>
    <mergeCell ref="V5:Y5"/>
    <mergeCell ref="A3:C3"/>
    <mergeCell ref="A4:C4"/>
    <mergeCell ref="D4:F4"/>
    <mergeCell ref="G4:I4"/>
    <mergeCell ref="J4:L4"/>
    <mergeCell ref="A1:Y1"/>
    <mergeCell ref="A2:C2"/>
    <mergeCell ref="D2:F2"/>
    <mergeCell ref="G2:I2"/>
    <mergeCell ref="J2:L2"/>
    <mergeCell ref="M2:O2"/>
    <mergeCell ref="P2:R2"/>
    <mergeCell ref="S2:U2"/>
    <mergeCell ref="V2:Y2"/>
  </mergeCells>
  <conditionalFormatting sqref="A9:A308">
    <cfRule type="expression" dxfId="3" priority="2">
      <formula>$A9="CRITICO"</formula>
    </cfRule>
    <cfRule type="expression" dxfId="2" priority="3">
      <formula>$A9="ATTENZIONE"</formula>
    </cfRule>
    <cfRule type="expression" dxfId="1" priority="4">
      <formula>$A9="REGOLARE"</formula>
    </cfRule>
  </conditionalFormatting>
  <conditionalFormatting sqref="Y9:Y308">
    <cfRule type="expression" dxfId="0" priority="5">
      <formula>AND($C9&lt;&gt;"",$Y9="")</formula>
    </cfRule>
  </conditionalFormatting>
  <dataValidations count="1">
    <dataValidation type="list" showErrorMessage="1" errorTitle="Valore non valido" error="Selezionare un valore presente nell'elenco." sqref="A3" xr:uid="{00000000-0002-0000-0500-000000000000}">
      <formula1>ListaCommesseDashboard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3"/>
  <sheetViews>
    <sheetView workbookViewId="0"/>
  </sheetViews>
  <sheetFormatPr baseColWidth="10" defaultColWidth="8.6640625" defaultRowHeight="13" x14ac:dyDescent="0.15"/>
  <cols>
    <col min="1" max="1" width="35" customWidth="1"/>
    <col min="2" max="2" width="16" customWidth="1"/>
    <col min="3" max="3" width="92" customWidth="1"/>
    <col min="4" max="9" width="0" hidden="1" customWidth="1"/>
  </cols>
  <sheetData>
    <row r="1" spans="1:9" ht="28" customHeight="1" x14ac:dyDescent="0.15">
      <c r="A1" s="1" t="s">
        <v>186</v>
      </c>
      <c r="B1" s="1"/>
      <c r="C1" s="1"/>
      <c r="D1" s="11"/>
      <c r="E1" s="11"/>
      <c r="F1" s="11"/>
      <c r="G1" s="11"/>
      <c r="H1" s="11"/>
      <c r="I1" s="11"/>
    </row>
    <row r="2" spans="1:9" ht="64" x14ac:dyDescent="0.15">
      <c r="D2" s="12" t="s">
        <v>153</v>
      </c>
      <c r="E2" s="12" t="s">
        <v>154</v>
      </c>
      <c r="F2" s="12" t="s">
        <v>155</v>
      </c>
      <c r="G2" s="12" t="s">
        <v>156</v>
      </c>
      <c r="H2" s="12" t="s">
        <v>157</v>
      </c>
      <c r="I2" s="12" t="s">
        <v>158</v>
      </c>
    </row>
    <row r="3" spans="1:9" ht="16" x14ac:dyDescent="0.15">
      <c r="A3" s="12" t="s">
        <v>187</v>
      </c>
      <c r="B3" s="12" t="s">
        <v>188</v>
      </c>
      <c r="C3" s="12" t="s">
        <v>189</v>
      </c>
      <c r="D3" s="26" t="s">
        <v>46</v>
      </c>
      <c r="E3" s="26"/>
      <c r="F3" s="26" t="s">
        <v>46</v>
      </c>
      <c r="G3" s="26" t="s">
        <v>62</v>
      </c>
      <c r="H3" s="26" t="s">
        <v>190</v>
      </c>
      <c r="I3" s="26"/>
    </row>
    <row r="4" spans="1:9" ht="48" customHeight="1" x14ac:dyDescent="0.15">
      <c r="A4" s="26" t="s">
        <v>191</v>
      </c>
      <c r="B4" s="36">
        <v>45.79</v>
      </c>
      <c r="C4" s="39" t="s">
        <v>192</v>
      </c>
      <c r="D4" s="26" t="str">
        <f>IF(ANAGRAFICA!$B6="","",ANAGRAFICA!$B6)</f>
        <v>C042</v>
      </c>
      <c r="E4" s="26"/>
      <c r="F4" s="26" t="str">
        <f>IFERROR(INDEX(ANAGRAFICA!$B$6:$B$305,SMALL($I$4:$I$303,ROWS($F$4:F4))),"")</f>
        <v/>
      </c>
      <c r="G4" s="26" t="s">
        <v>124</v>
      </c>
      <c r="H4" s="26" t="s">
        <v>193</v>
      </c>
      <c r="I4" s="34" t="str">
        <f>IF(ANAGRAFICA!$B6="","",IF(ANAGRAFICA!$I6="","",IF(ANAGRAFICA!$I6&lt;DATE($B$11,1,1),1,"")))</f>
        <v/>
      </c>
    </row>
    <row r="5" spans="1:9" ht="48" customHeight="1" x14ac:dyDescent="0.15">
      <c r="A5" s="26" t="s">
        <v>194</v>
      </c>
      <c r="B5" s="37">
        <v>7.0000000000000007E-2</v>
      </c>
      <c r="C5" s="39" t="s">
        <v>195</v>
      </c>
      <c r="D5" s="26" t="str">
        <f>IF(ANAGRAFICA!$B7="","",ANAGRAFICA!$B7)</f>
        <v>C011</v>
      </c>
      <c r="E5" s="26"/>
      <c r="F5" s="26" t="str">
        <f>IFERROR(INDEX(ANAGRAFICA!$B$6:$B$305,SMALL($I$4:$I$303,ROWS($F$4:F5))),"")</f>
        <v/>
      </c>
      <c r="G5" s="26" t="s">
        <v>125</v>
      </c>
      <c r="H5" s="26" t="s">
        <v>74</v>
      </c>
      <c r="I5" s="34" t="str">
        <f>IF(ANAGRAFICA!$B7="","",IF(ANAGRAFICA!$I7="","",IF(ANAGRAFICA!$I7&lt;DATE($B$11,1,1),2,"")))</f>
        <v/>
      </c>
    </row>
    <row r="6" spans="1:9" ht="48" customHeight="1" x14ac:dyDescent="0.15">
      <c r="A6" s="26" t="s">
        <v>196</v>
      </c>
      <c r="B6" s="37">
        <v>0.15</v>
      </c>
      <c r="C6" s="39" t="s">
        <v>197</v>
      </c>
      <c r="D6" s="26" t="str">
        <f>IF(ANAGRAFICA!$B8="","",ANAGRAFICA!$B8)</f>
        <v>TEST10</v>
      </c>
      <c r="E6" s="26"/>
      <c r="F6" s="26" t="str">
        <f>IFERROR(INDEX(ANAGRAFICA!$B$6:$B$305,SMALL($I$4:$I$303,ROWS($F$4:F6))),"")</f>
        <v/>
      </c>
      <c r="G6" s="26" t="s">
        <v>127</v>
      </c>
      <c r="H6" s="26" t="s">
        <v>71</v>
      </c>
      <c r="I6" s="34" t="str">
        <f>IF(ANAGRAFICA!$B8="","",IF(ANAGRAFICA!$I8="","",IF(ANAGRAFICA!$I8&lt;DATE($B$11,1,1),3,"")))</f>
        <v/>
      </c>
    </row>
    <row r="7" spans="1:9" ht="48" customHeight="1" x14ac:dyDescent="0.15">
      <c r="A7" s="26" t="s">
        <v>198</v>
      </c>
      <c r="B7" s="37">
        <v>7.0000000000000007E-2</v>
      </c>
      <c r="C7" s="39" t="s">
        <v>199</v>
      </c>
      <c r="D7" s="26" t="str">
        <f>IF(ANAGRAFICA!$B9="","",ANAGRAFICA!$B9)</f>
        <v>C042</v>
      </c>
      <c r="E7" s="26"/>
      <c r="F7" s="26" t="str">
        <f>IFERROR(INDEX(ANAGRAFICA!$B$6:$B$305,SMALL($I$4:$I$303,ROWS($F$4:F7))),"")</f>
        <v/>
      </c>
      <c r="G7" s="26" t="s">
        <v>137</v>
      </c>
      <c r="H7" s="26" t="s">
        <v>43</v>
      </c>
      <c r="I7" s="34" t="str">
        <f>IF(ANAGRAFICA!$B9="","",IF(ANAGRAFICA!$I9="","",IF(ANAGRAFICA!$I9&lt;DATE($B$11,1,1),4,"")))</f>
        <v/>
      </c>
    </row>
    <row r="8" spans="1:9" ht="48" customHeight="1" x14ac:dyDescent="0.15">
      <c r="A8" s="26" t="s">
        <v>200</v>
      </c>
      <c r="B8" s="37">
        <v>0.15</v>
      </c>
      <c r="C8" s="39" t="s">
        <v>201</v>
      </c>
      <c r="D8" s="26" t="str">
        <f>IF(ANAGRAFICA!$B10="","",ANAGRAFICA!$B10)</f>
        <v/>
      </c>
      <c r="E8" s="26"/>
      <c r="F8" s="26" t="str">
        <f>IFERROR(INDEX(ANAGRAFICA!$B$6:$B$305,SMALL($I$4:$I$303,ROWS($F$4:F8))),"")</f>
        <v/>
      </c>
      <c r="G8" s="26" t="s">
        <v>147</v>
      </c>
      <c r="H8" s="26" t="s">
        <v>73</v>
      </c>
      <c r="I8" s="34" t="str">
        <f>IF(ANAGRAFICA!$B10="","",IF(ANAGRAFICA!$I10="","",IF(ANAGRAFICA!$I10&lt;DATE($B$11,1,1),5,"")))</f>
        <v/>
      </c>
    </row>
    <row r="9" spans="1:9" ht="48" customHeight="1" x14ac:dyDescent="0.15">
      <c r="A9" s="26" t="s">
        <v>202</v>
      </c>
      <c r="B9" s="37">
        <v>0.05</v>
      </c>
      <c r="C9" s="39" t="s">
        <v>203</v>
      </c>
      <c r="D9" s="26" t="str">
        <f>IF(ANAGRAFICA!$B11="","",ANAGRAFICA!$B11)</f>
        <v/>
      </c>
      <c r="E9" s="26"/>
      <c r="F9" s="26" t="str">
        <f>IFERROR(INDEX(ANAGRAFICA!$B$6:$B$305,SMALL($I$4:$I$303,ROWS($F$4:F9))),"")</f>
        <v/>
      </c>
      <c r="G9" s="26" t="s">
        <v>148</v>
      </c>
      <c r="H9" s="26" t="s">
        <v>204</v>
      </c>
      <c r="I9" s="34" t="str">
        <f>IF(ANAGRAFICA!$B11="","",IF(ANAGRAFICA!$I11="","",IF(ANAGRAFICA!$I11&lt;DATE($B$11,1,1),6,"")))</f>
        <v/>
      </c>
    </row>
    <row r="10" spans="1:9" ht="8" customHeight="1" x14ac:dyDescent="0.15">
      <c r="A10" s="35"/>
      <c r="B10" s="35"/>
      <c r="C10" s="35"/>
      <c r="D10" s="26" t="str">
        <f>IF(ANAGRAFICA!$B12="","",ANAGRAFICA!$B12)</f>
        <v/>
      </c>
      <c r="E10" s="26"/>
      <c r="F10" s="26" t="str">
        <f>IFERROR(INDEX(ANAGRAFICA!$B$6:$B$305,SMALL($I$4:$I$303,ROWS($F$4:F10))),"")</f>
        <v/>
      </c>
      <c r="G10" s="26" t="s">
        <v>149</v>
      </c>
      <c r="H10" s="26"/>
      <c r="I10" s="34" t="str">
        <f>IF(ANAGRAFICA!$B12="","",IF(ANAGRAFICA!$I12="","",IF(ANAGRAFICA!$I12&lt;DATE($B$11,1,1),7,"")))</f>
        <v/>
      </c>
    </row>
    <row r="11" spans="1:9" ht="58" customHeight="1" x14ac:dyDescent="0.15">
      <c r="A11" s="26" t="s">
        <v>205</v>
      </c>
      <c r="B11" s="38">
        <v>2026</v>
      </c>
      <c r="C11" s="39" t="s">
        <v>206</v>
      </c>
      <c r="D11" s="26" t="str">
        <f>IF(ANAGRAFICA!$B13="","",ANAGRAFICA!$B13)</f>
        <v/>
      </c>
      <c r="E11" s="26"/>
      <c r="F11" s="26" t="str">
        <f>IFERROR(INDEX(ANAGRAFICA!$B$6:$B$305,SMALL($I$4:$I$303,ROWS($F$4:F11))),"")</f>
        <v/>
      </c>
      <c r="G11" s="26" t="s">
        <v>150</v>
      </c>
      <c r="H11" s="26"/>
      <c r="I11" s="34" t="str">
        <f>IF(ANAGRAFICA!$B13="","",IF(ANAGRAFICA!$I13="","",IF(ANAGRAFICA!$I13&lt;DATE($B$11,1,1),8,"")))</f>
        <v/>
      </c>
    </row>
    <row r="12" spans="1:9" ht="15" x14ac:dyDescent="0.15">
      <c r="D12" s="26" t="str">
        <f>IF(ANAGRAFICA!$B14="","",ANAGRAFICA!$B14)</f>
        <v/>
      </c>
      <c r="E12" s="26"/>
      <c r="F12" s="26" t="str">
        <f>IFERROR(INDEX(ANAGRAFICA!$B$6:$B$305,SMALL($I$4:$I$303,ROWS($F$4:F12))),"")</f>
        <v/>
      </c>
      <c r="G12" s="26" t="s">
        <v>151</v>
      </c>
      <c r="H12" s="26"/>
      <c r="I12" s="34" t="str">
        <f>IF(ANAGRAFICA!$B14="","",IF(ANAGRAFICA!$I14="","",IF(ANAGRAFICA!$I14&lt;DATE($B$11,1,1),9,"")))</f>
        <v/>
      </c>
    </row>
    <row r="13" spans="1:9" ht="15" x14ac:dyDescent="0.15">
      <c r="D13" s="26" t="str">
        <f>IF(ANAGRAFICA!$B15="","",ANAGRAFICA!$B15)</f>
        <v/>
      </c>
      <c r="E13" s="26"/>
      <c r="F13" s="26" t="str">
        <f>IFERROR(INDEX(ANAGRAFICA!$B$6:$B$305,SMALL($I$4:$I$303,ROWS($F$4:F13))),"")</f>
        <v/>
      </c>
      <c r="G13" s="26" t="s">
        <v>152</v>
      </c>
      <c r="H13" s="26"/>
      <c r="I13" s="34" t="str">
        <f>IF(ANAGRAFICA!$B15="","",IF(ANAGRAFICA!$I15="","",IF(ANAGRAFICA!$I15&lt;DATE($B$11,1,1),10,"")))</f>
        <v/>
      </c>
    </row>
    <row r="14" spans="1:9" ht="15" x14ac:dyDescent="0.15">
      <c r="D14" s="26" t="str">
        <f>IF(ANAGRAFICA!$B16="","",ANAGRAFICA!$B16)</f>
        <v/>
      </c>
      <c r="E14" s="26"/>
      <c r="F14" s="26" t="str">
        <f>IFERROR(INDEX(ANAGRAFICA!$B$6:$B$305,SMALL($I$4:$I$303,ROWS($F$4:F14))),"")</f>
        <v/>
      </c>
      <c r="G14" s="26" t="s">
        <v>63</v>
      </c>
      <c r="H14" s="26"/>
      <c r="I14" s="34" t="str">
        <f>IF(ANAGRAFICA!$B16="","",IF(ANAGRAFICA!$I16="","",IF(ANAGRAFICA!$I16&lt;DATE($B$11,1,1),11,"")))</f>
        <v/>
      </c>
    </row>
    <row r="15" spans="1:9" ht="15" x14ac:dyDescent="0.15">
      <c r="D15" s="26" t="str">
        <f>IF(ANAGRAFICA!$B17="","",ANAGRAFICA!$B17)</f>
        <v/>
      </c>
      <c r="E15" s="26"/>
      <c r="F15" s="26" t="str">
        <f>IFERROR(INDEX(ANAGRAFICA!$B$6:$B$305,SMALL($I$4:$I$303,ROWS($F$4:F15))),"")</f>
        <v/>
      </c>
      <c r="G15" s="26"/>
      <c r="H15" s="26"/>
      <c r="I15" s="34" t="str">
        <f>IF(ANAGRAFICA!$B17="","",IF(ANAGRAFICA!$I17="","",IF(ANAGRAFICA!$I17&lt;DATE($B$11,1,1),12,"")))</f>
        <v/>
      </c>
    </row>
    <row r="16" spans="1:9" ht="15" x14ac:dyDescent="0.15">
      <c r="D16" s="26" t="str">
        <f>IF(ANAGRAFICA!$B18="","",ANAGRAFICA!$B18)</f>
        <v/>
      </c>
      <c r="E16" s="26"/>
      <c r="F16" s="26" t="str">
        <f>IFERROR(INDEX(ANAGRAFICA!$B$6:$B$305,SMALL($I$4:$I$303,ROWS($F$4:F16))),"")</f>
        <v/>
      </c>
      <c r="G16" s="26"/>
      <c r="H16" s="26"/>
      <c r="I16" s="34" t="str">
        <f>IF(ANAGRAFICA!$B18="","",IF(ANAGRAFICA!$I18="","",IF(ANAGRAFICA!$I18&lt;DATE($B$11,1,1),13,"")))</f>
        <v/>
      </c>
    </row>
    <row r="17" spans="4:9" ht="15" x14ac:dyDescent="0.15">
      <c r="D17" s="26" t="str">
        <f>IF(ANAGRAFICA!$B19="","",ANAGRAFICA!$B19)</f>
        <v/>
      </c>
      <c r="E17" s="26"/>
      <c r="F17" s="26" t="str">
        <f>IFERROR(INDEX(ANAGRAFICA!$B$6:$B$305,SMALL($I$4:$I$303,ROWS($F$4:F17))),"")</f>
        <v/>
      </c>
      <c r="G17" s="26"/>
      <c r="H17" s="26"/>
      <c r="I17" s="34" t="str">
        <f>IF(ANAGRAFICA!$B19="","",IF(ANAGRAFICA!$I19="","",IF(ANAGRAFICA!$I19&lt;DATE($B$11,1,1),14,"")))</f>
        <v/>
      </c>
    </row>
    <row r="18" spans="4:9" ht="15" x14ac:dyDescent="0.15">
      <c r="D18" s="26" t="str">
        <f>IF(ANAGRAFICA!$B20="","",ANAGRAFICA!$B20)</f>
        <v/>
      </c>
      <c r="E18" s="26"/>
      <c r="F18" s="26" t="str">
        <f>IFERROR(INDEX(ANAGRAFICA!$B$6:$B$305,SMALL($I$4:$I$303,ROWS($F$4:F18))),"")</f>
        <v/>
      </c>
      <c r="G18" s="26"/>
      <c r="H18" s="26"/>
      <c r="I18" s="34" t="str">
        <f>IF(ANAGRAFICA!$B20="","",IF(ANAGRAFICA!$I20="","",IF(ANAGRAFICA!$I20&lt;DATE($B$11,1,1),15,"")))</f>
        <v/>
      </c>
    </row>
    <row r="19" spans="4:9" ht="15" x14ac:dyDescent="0.15">
      <c r="D19" s="26" t="str">
        <f>IF(ANAGRAFICA!$B21="","",ANAGRAFICA!$B21)</f>
        <v/>
      </c>
      <c r="E19" s="26"/>
      <c r="F19" s="26" t="str">
        <f>IFERROR(INDEX(ANAGRAFICA!$B$6:$B$305,SMALL($I$4:$I$303,ROWS($F$4:F19))),"")</f>
        <v/>
      </c>
      <c r="G19" s="26"/>
      <c r="H19" s="26"/>
      <c r="I19" s="34" t="str">
        <f>IF(ANAGRAFICA!$B21="","",IF(ANAGRAFICA!$I21="","",IF(ANAGRAFICA!$I21&lt;DATE($B$11,1,1),16,"")))</f>
        <v/>
      </c>
    </row>
    <row r="20" spans="4:9" ht="15" x14ac:dyDescent="0.15">
      <c r="D20" s="26" t="str">
        <f>IF(ANAGRAFICA!$B22="","",ANAGRAFICA!$B22)</f>
        <v/>
      </c>
      <c r="E20" s="26"/>
      <c r="F20" s="26" t="str">
        <f>IFERROR(INDEX(ANAGRAFICA!$B$6:$B$305,SMALL($I$4:$I$303,ROWS($F$4:F20))),"")</f>
        <v/>
      </c>
      <c r="G20" s="26"/>
      <c r="H20" s="26"/>
      <c r="I20" s="34" t="str">
        <f>IF(ANAGRAFICA!$B22="","",IF(ANAGRAFICA!$I22="","",IF(ANAGRAFICA!$I22&lt;DATE($B$11,1,1),17,"")))</f>
        <v/>
      </c>
    </row>
    <row r="21" spans="4:9" ht="15" x14ac:dyDescent="0.15">
      <c r="D21" s="26" t="str">
        <f>IF(ANAGRAFICA!$B23="","",ANAGRAFICA!$B23)</f>
        <v/>
      </c>
      <c r="E21" s="26"/>
      <c r="F21" s="26" t="str">
        <f>IFERROR(INDEX(ANAGRAFICA!$B$6:$B$305,SMALL($I$4:$I$303,ROWS($F$4:F21))),"")</f>
        <v/>
      </c>
      <c r="G21" s="26"/>
      <c r="H21" s="26"/>
      <c r="I21" s="34" t="str">
        <f>IF(ANAGRAFICA!$B23="","",IF(ANAGRAFICA!$I23="","",IF(ANAGRAFICA!$I23&lt;DATE($B$11,1,1),18,"")))</f>
        <v/>
      </c>
    </row>
    <row r="22" spans="4:9" ht="15" x14ac:dyDescent="0.15">
      <c r="D22" s="26" t="str">
        <f>IF(ANAGRAFICA!$B24="","",ANAGRAFICA!$B24)</f>
        <v/>
      </c>
      <c r="E22" s="26"/>
      <c r="F22" s="26" t="str">
        <f>IFERROR(INDEX(ANAGRAFICA!$B$6:$B$305,SMALL($I$4:$I$303,ROWS($F$4:F22))),"")</f>
        <v/>
      </c>
      <c r="G22" s="26"/>
      <c r="H22" s="26"/>
      <c r="I22" s="34" t="str">
        <f>IF(ANAGRAFICA!$B24="","",IF(ANAGRAFICA!$I24="","",IF(ANAGRAFICA!$I24&lt;DATE($B$11,1,1),19,"")))</f>
        <v/>
      </c>
    </row>
    <row r="23" spans="4:9" ht="15" x14ac:dyDescent="0.15">
      <c r="D23" s="26" t="str">
        <f>IF(ANAGRAFICA!$B25="","",ANAGRAFICA!$B25)</f>
        <v/>
      </c>
      <c r="E23" s="26"/>
      <c r="F23" s="26" t="str">
        <f>IFERROR(INDEX(ANAGRAFICA!$B$6:$B$305,SMALL($I$4:$I$303,ROWS($F$4:F23))),"")</f>
        <v/>
      </c>
      <c r="G23" s="26"/>
      <c r="H23" s="26"/>
      <c r="I23" s="34" t="str">
        <f>IF(ANAGRAFICA!$B25="","",IF(ANAGRAFICA!$I25="","",IF(ANAGRAFICA!$I25&lt;DATE($B$11,1,1),20,"")))</f>
        <v/>
      </c>
    </row>
    <row r="24" spans="4:9" ht="15" x14ac:dyDescent="0.15">
      <c r="D24" s="26" t="str">
        <f>IF(ANAGRAFICA!$B26="","",ANAGRAFICA!$B26)</f>
        <v/>
      </c>
      <c r="E24" s="26"/>
      <c r="F24" s="26" t="str">
        <f>IFERROR(INDEX(ANAGRAFICA!$B$6:$B$305,SMALL($I$4:$I$303,ROWS($F$4:F24))),"")</f>
        <v/>
      </c>
      <c r="G24" s="26"/>
      <c r="H24" s="26"/>
      <c r="I24" s="34" t="str">
        <f>IF(ANAGRAFICA!$B26="","",IF(ANAGRAFICA!$I26="","",IF(ANAGRAFICA!$I26&lt;DATE($B$11,1,1),21,"")))</f>
        <v/>
      </c>
    </row>
    <row r="25" spans="4:9" ht="15" x14ac:dyDescent="0.15">
      <c r="D25" s="26" t="str">
        <f>IF(ANAGRAFICA!$B27="","",ANAGRAFICA!$B27)</f>
        <v/>
      </c>
      <c r="E25" s="26"/>
      <c r="F25" s="26" t="str">
        <f>IFERROR(INDEX(ANAGRAFICA!$B$6:$B$305,SMALL($I$4:$I$303,ROWS($F$4:F25))),"")</f>
        <v/>
      </c>
      <c r="G25" s="26"/>
      <c r="H25" s="26"/>
      <c r="I25" s="34" t="str">
        <f>IF(ANAGRAFICA!$B27="","",IF(ANAGRAFICA!$I27="","",IF(ANAGRAFICA!$I27&lt;DATE($B$11,1,1),22,"")))</f>
        <v/>
      </c>
    </row>
    <row r="26" spans="4:9" ht="15" x14ac:dyDescent="0.15">
      <c r="D26" s="26" t="str">
        <f>IF(ANAGRAFICA!$B28="","",ANAGRAFICA!$B28)</f>
        <v/>
      </c>
      <c r="E26" s="26"/>
      <c r="F26" s="26" t="str">
        <f>IFERROR(INDEX(ANAGRAFICA!$B$6:$B$305,SMALL($I$4:$I$303,ROWS($F$4:F26))),"")</f>
        <v/>
      </c>
      <c r="G26" s="26"/>
      <c r="H26" s="26"/>
      <c r="I26" s="34" t="str">
        <f>IF(ANAGRAFICA!$B28="","",IF(ANAGRAFICA!$I28="","",IF(ANAGRAFICA!$I28&lt;DATE($B$11,1,1),23,"")))</f>
        <v/>
      </c>
    </row>
    <row r="27" spans="4:9" ht="15" x14ac:dyDescent="0.15">
      <c r="D27" s="26" t="str">
        <f>IF(ANAGRAFICA!$B29="","",ANAGRAFICA!$B29)</f>
        <v/>
      </c>
      <c r="E27" s="26"/>
      <c r="F27" s="26" t="str">
        <f>IFERROR(INDEX(ANAGRAFICA!$B$6:$B$305,SMALL($I$4:$I$303,ROWS($F$4:F27))),"")</f>
        <v/>
      </c>
      <c r="G27" s="26"/>
      <c r="H27" s="26"/>
      <c r="I27" s="34" t="str">
        <f>IF(ANAGRAFICA!$B29="","",IF(ANAGRAFICA!$I29="","",IF(ANAGRAFICA!$I29&lt;DATE($B$11,1,1),24,"")))</f>
        <v/>
      </c>
    </row>
    <row r="28" spans="4:9" ht="15" x14ac:dyDescent="0.15">
      <c r="D28" s="26" t="str">
        <f>IF(ANAGRAFICA!$B30="","",ANAGRAFICA!$B30)</f>
        <v/>
      </c>
      <c r="E28" s="26"/>
      <c r="F28" s="26" t="str">
        <f>IFERROR(INDEX(ANAGRAFICA!$B$6:$B$305,SMALL($I$4:$I$303,ROWS($F$4:F28))),"")</f>
        <v/>
      </c>
      <c r="G28" s="26"/>
      <c r="H28" s="26"/>
      <c r="I28" s="34" t="str">
        <f>IF(ANAGRAFICA!$B30="","",IF(ANAGRAFICA!$I30="","",IF(ANAGRAFICA!$I30&lt;DATE($B$11,1,1),25,"")))</f>
        <v/>
      </c>
    </row>
    <row r="29" spans="4:9" ht="15" x14ac:dyDescent="0.15">
      <c r="D29" s="26" t="str">
        <f>IF(ANAGRAFICA!$B31="","",ANAGRAFICA!$B31)</f>
        <v/>
      </c>
      <c r="E29" s="26"/>
      <c r="F29" s="26" t="str">
        <f>IFERROR(INDEX(ANAGRAFICA!$B$6:$B$305,SMALL($I$4:$I$303,ROWS($F$4:F29))),"")</f>
        <v/>
      </c>
      <c r="G29" s="26"/>
      <c r="H29" s="26"/>
      <c r="I29" s="34" t="str">
        <f>IF(ANAGRAFICA!$B31="","",IF(ANAGRAFICA!$I31="","",IF(ANAGRAFICA!$I31&lt;DATE($B$11,1,1),26,"")))</f>
        <v/>
      </c>
    </row>
    <row r="30" spans="4:9" ht="15" x14ac:dyDescent="0.15">
      <c r="D30" s="26" t="str">
        <f>IF(ANAGRAFICA!$B32="","",ANAGRAFICA!$B32)</f>
        <v/>
      </c>
      <c r="E30" s="26"/>
      <c r="F30" s="26" t="str">
        <f>IFERROR(INDEX(ANAGRAFICA!$B$6:$B$305,SMALL($I$4:$I$303,ROWS($F$4:F30))),"")</f>
        <v/>
      </c>
      <c r="G30" s="26"/>
      <c r="H30" s="26"/>
      <c r="I30" s="34" t="str">
        <f>IF(ANAGRAFICA!$B32="","",IF(ANAGRAFICA!$I32="","",IF(ANAGRAFICA!$I32&lt;DATE($B$11,1,1),27,"")))</f>
        <v/>
      </c>
    </row>
    <row r="31" spans="4:9" ht="15" x14ac:dyDescent="0.15">
      <c r="D31" s="26" t="str">
        <f>IF(ANAGRAFICA!$B33="","",ANAGRAFICA!$B33)</f>
        <v/>
      </c>
      <c r="E31" s="26"/>
      <c r="F31" s="26" t="str">
        <f>IFERROR(INDEX(ANAGRAFICA!$B$6:$B$305,SMALL($I$4:$I$303,ROWS($F$4:F31))),"")</f>
        <v/>
      </c>
      <c r="G31" s="26"/>
      <c r="H31" s="26"/>
      <c r="I31" s="34" t="str">
        <f>IF(ANAGRAFICA!$B33="","",IF(ANAGRAFICA!$I33="","",IF(ANAGRAFICA!$I33&lt;DATE($B$11,1,1),28,"")))</f>
        <v/>
      </c>
    </row>
    <row r="32" spans="4:9" ht="15" x14ac:dyDescent="0.15">
      <c r="D32" s="26" t="str">
        <f>IF(ANAGRAFICA!$B34="","",ANAGRAFICA!$B34)</f>
        <v/>
      </c>
      <c r="E32" s="26"/>
      <c r="F32" s="26" t="str">
        <f>IFERROR(INDEX(ANAGRAFICA!$B$6:$B$305,SMALL($I$4:$I$303,ROWS($F$4:F32))),"")</f>
        <v/>
      </c>
      <c r="G32" s="26"/>
      <c r="H32" s="26"/>
      <c r="I32" s="34" t="str">
        <f>IF(ANAGRAFICA!$B34="","",IF(ANAGRAFICA!$I34="","",IF(ANAGRAFICA!$I34&lt;DATE($B$11,1,1),29,"")))</f>
        <v/>
      </c>
    </row>
    <row r="33" spans="4:9" ht="15" x14ac:dyDescent="0.15">
      <c r="D33" s="26" t="str">
        <f>IF(ANAGRAFICA!$B35="","",ANAGRAFICA!$B35)</f>
        <v/>
      </c>
      <c r="E33" s="26"/>
      <c r="F33" s="26" t="str">
        <f>IFERROR(INDEX(ANAGRAFICA!$B$6:$B$305,SMALL($I$4:$I$303,ROWS($F$4:F33))),"")</f>
        <v/>
      </c>
      <c r="G33" s="26"/>
      <c r="H33" s="26"/>
      <c r="I33" s="34" t="str">
        <f>IF(ANAGRAFICA!$B35="","",IF(ANAGRAFICA!$I35="","",IF(ANAGRAFICA!$I35&lt;DATE($B$11,1,1),30,"")))</f>
        <v/>
      </c>
    </row>
    <row r="34" spans="4:9" ht="15" x14ac:dyDescent="0.15">
      <c r="D34" s="26" t="str">
        <f>IF(ANAGRAFICA!$B36="","",ANAGRAFICA!$B36)</f>
        <v/>
      </c>
      <c r="E34" s="26"/>
      <c r="F34" s="26" t="str">
        <f>IFERROR(INDEX(ANAGRAFICA!$B$6:$B$305,SMALL($I$4:$I$303,ROWS($F$4:F34))),"")</f>
        <v/>
      </c>
      <c r="G34" s="26"/>
      <c r="H34" s="26"/>
      <c r="I34" s="34" t="str">
        <f>IF(ANAGRAFICA!$B36="","",IF(ANAGRAFICA!$I36="","",IF(ANAGRAFICA!$I36&lt;DATE($B$11,1,1),31,"")))</f>
        <v/>
      </c>
    </row>
    <row r="35" spans="4:9" ht="15" x14ac:dyDescent="0.15">
      <c r="D35" s="26" t="str">
        <f>IF(ANAGRAFICA!$B37="","",ANAGRAFICA!$B37)</f>
        <v/>
      </c>
      <c r="E35" s="26"/>
      <c r="F35" s="26" t="str">
        <f>IFERROR(INDEX(ANAGRAFICA!$B$6:$B$305,SMALL($I$4:$I$303,ROWS($F$4:F35))),"")</f>
        <v/>
      </c>
      <c r="G35" s="26"/>
      <c r="H35" s="26"/>
      <c r="I35" s="34" t="str">
        <f>IF(ANAGRAFICA!$B37="","",IF(ANAGRAFICA!$I37="","",IF(ANAGRAFICA!$I37&lt;DATE($B$11,1,1),32,"")))</f>
        <v/>
      </c>
    </row>
    <row r="36" spans="4:9" ht="15" x14ac:dyDescent="0.15">
      <c r="D36" s="26" t="str">
        <f>IF(ANAGRAFICA!$B38="","",ANAGRAFICA!$B38)</f>
        <v/>
      </c>
      <c r="E36" s="26"/>
      <c r="F36" s="26" t="str">
        <f>IFERROR(INDEX(ANAGRAFICA!$B$6:$B$305,SMALL($I$4:$I$303,ROWS($F$4:F36))),"")</f>
        <v/>
      </c>
      <c r="G36" s="26"/>
      <c r="H36" s="26"/>
      <c r="I36" s="34" t="str">
        <f>IF(ANAGRAFICA!$B38="","",IF(ANAGRAFICA!$I38="","",IF(ANAGRAFICA!$I38&lt;DATE($B$11,1,1),33,"")))</f>
        <v/>
      </c>
    </row>
    <row r="37" spans="4:9" ht="15" x14ac:dyDescent="0.15">
      <c r="D37" s="26" t="str">
        <f>IF(ANAGRAFICA!$B39="","",ANAGRAFICA!$B39)</f>
        <v/>
      </c>
      <c r="E37" s="26"/>
      <c r="F37" s="26" t="str">
        <f>IFERROR(INDEX(ANAGRAFICA!$B$6:$B$305,SMALL($I$4:$I$303,ROWS($F$4:F37))),"")</f>
        <v/>
      </c>
      <c r="G37" s="26"/>
      <c r="H37" s="26"/>
      <c r="I37" s="34" t="str">
        <f>IF(ANAGRAFICA!$B39="","",IF(ANAGRAFICA!$I39="","",IF(ANAGRAFICA!$I39&lt;DATE($B$11,1,1),34,"")))</f>
        <v/>
      </c>
    </row>
    <row r="38" spans="4:9" ht="15" x14ac:dyDescent="0.15">
      <c r="D38" s="26" t="str">
        <f>IF(ANAGRAFICA!$B40="","",ANAGRAFICA!$B40)</f>
        <v/>
      </c>
      <c r="E38" s="26"/>
      <c r="F38" s="26" t="str">
        <f>IFERROR(INDEX(ANAGRAFICA!$B$6:$B$305,SMALL($I$4:$I$303,ROWS($F$4:F38))),"")</f>
        <v/>
      </c>
      <c r="G38" s="26"/>
      <c r="H38" s="26"/>
      <c r="I38" s="34" t="str">
        <f>IF(ANAGRAFICA!$B40="","",IF(ANAGRAFICA!$I40="","",IF(ANAGRAFICA!$I40&lt;DATE($B$11,1,1),35,"")))</f>
        <v/>
      </c>
    </row>
    <row r="39" spans="4:9" ht="15" x14ac:dyDescent="0.15">
      <c r="D39" s="26" t="str">
        <f>IF(ANAGRAFICA!$B41="","",ANAGRAFICA!$B41)</f>
        <v/>
      </c>
      <c r="E39" s="26"/>
      <c r="F39" s="26" t="str">
        <f>IFERROR(INDEX(ANAGRAFICA!$B$6:$B$305,SMALL($I$4:$I$303,ROWS($F$4:F39))),"")</f>
        <v/>
      </c>
      <c r="G39" s="26"/>
      <c r="H39" s="26"/>
      <c r="I39" s="34" t="str">
        <f>IF(ANAGRAFICA!$B41="","",IF(ANAGRAFICA!$I41="","",IF(ANAGRAFICA!$I41&lt;DATE($B$11,1,1),36,"")))</f>
        <v/>
      </c>
    </row>
    <row r="40" spans="4:9" ht="15" x14ac:dyDescent="0.15">
      <c r="D40" s="26" t="str">
        <f>IF(ANAGRAFICA!$B42="","",ANAGRAFICA!$B42)</f>
        <v/>
      </c>
      <c r="E40" s="26"/>
      <c r="F40" s="26" t="str">
        <f>IFERROR(INDEX(ANAGRAFICA!$B$6:$B$305,SMALL($I$4:$I$303,ROWS($F$4:F40))),"")</f>
        <v/>
      </c>
      <c r="G40" s="26"/>
      <c r="H40" s="26"/>
      <c r="I40" s="34" t="str">
        <f>IF(ANAGRAFICA!$B42="","",IF(ANAGRAFICA!$I42="","",IF(ANAGRAFICA!$I42&lt;DATE($B$11,1,1),37,"")))</f>
        <v/>
      </c>
    </row>
    <row r="41" spans="4:9" ht="15" x14ac:dyDescent="0.15">
      <c r="D41" s="26" t="str">
        <f>IF(ANAGRAFICA!$B43="","",ANAGRAFICA!$B43)</f>
        <v/>
      </c>
      <c r="E41" s="26"/>
      <c r="F41" s="26" t="str">
        <f>IFERROR(INDEX(ANAGRAFICA!$B$6:$B$305,SMALL($I$4:$I$303,ROWS($F$4:F41))),"")</f>
        <v/>
      </c>
      <c r="G41" s="26"/>
      <c r="H41" s="26"/>
      <c r="I41" s="34" t="str">
        <f>IF(ANAGRAFICA!$B43="","",IF(ANAGRAFICA!$I43="","",IF(ANAGRAFICA!$I43&lt;DATE($B$11,1,1),38,"")))</f>
        <v/>
      </c>
    </row>
    <row r="42" spans="4:9" ht="15" x14ac:dyDescent="0.15">
      <c r="D42" s="26" t="str">
        <f>IF(ANAGRAFICA!$B44="","",ANAGRAFICA!$B44)</f>
        <v/>
      </c>
      <c r="E42" s="26"/>
      <c r="F42" s="26" t="str">
        <f>IFERROR(INDEX(ANAGRAFICA!$B$6:$B$305,SMALL($I$4:$I$303,ROWS($F$4:F42))),"")</f>
        <v/>
      </c>
      <c r="G42" s="26"/>
      <c r="H42" s="26"/>
      <c r="I42" s="34" t="str">
        <f>IF(ANAGRAFICA!$B44="","",IF(ANAGRAFICA!$I44="","",IF(ANAGRAFICA!$I44&lt;DATE($B$11,1,1),39,"")))</f>
        <v/>
      </c>
    </row>
    <row r="43" spans="4:9" ht="15" x14ac:dyDescent="0.15">
      <c r="D43" s="26" t="str">
        <f>IF(ANAGRAFICA!$B45="","",ANAGRAFICA!$B45)</f>
        <v/>
      </c>
      <c r="E43" s="26"/>
      <c r="F43" s="26" t="str">
        <f>IFERROR(INDEX(ANAGRAFICA!$B$6:$B$305,SMALL($I$4:$I$303,ROWS($F$4:F43))),"")</f>
        <v/>
      </c>
      <c r="G43" s="26"/>
      <c r="H43" s="26"/>
      <c r="I43" s="34" t="str">
        <f>IF(ANAGRAFICA!$B45="","",IF(ANAGRAFICA!$I45="","",IF(ANAGRAFICA!$I45&lt;DATE($B$11,1,1),40,"")))</f>
        <v/>
      </c>
    </row>
    <row r="44" spans="4:9" ht="15" x14ac:dyDescent="0.15">
      <c r="D44" s="26" t="str">
        <f>IF(ANAGRAFICA!$B46="","",ANAGRAFICA!$B46)</f>
        <v/>
      </c>
      <c r="E44" s="26"/>
      <c r="F44" s="26" t="str">
        <f>IFERROR(INDEX(ANAGRAFICA!$B$6:$B$305,SMALL($I$4:$I$303,ROWS($F$4:F44))),"")</f>
        <v/>
      </c>
      <c r="G44" s="26"/>
      <c r="H44" s="26"/>
      <c r="I44" s="34" t="str">
        <f>IF(ANAGRAFICA!$B46="","",IF(ANAGRAFICA!$I46="","",IF(ANAGRAFICA!$I46&lt;DATE($B$11,1,1),41,"")))</f>
        <v/>
      </c>
    </row>
    <row r="45" spans="4:9" ht="15" x14ac:dyDescent="0.15">
      <c r="D45" s="26" t="str">
        <f>IF(ANAGRAFICA!$B47="","",ANAGRAFICA!$B47)</f>
        <v/>
      </c>
      <c r="E45" s="26"/>
      <c r="F45" s="26" t="str">
        <f>IFERROR(INDEX(ANAGRAFICA!$B$6:$B$305,SMALL($I$4:$I$303,ROWS($F$4:F45))),"")</f>
        <v/>
      </c>
      <c r="G45" s="26"/>
      <c r="H45" s="26"/>
      <c r="I45" s="34" t="str">
        <f>IF(ANAGRAFICA!$B47="","",IF(ANAGRAFICA!$I47="","",IF(ANAGRAFICA!$I47&lt;DATE($B$11,1,1),42,"")))</f>
        <v/>
      </c>
    </row>
    <row r="46" spans="4:9" ht="15" x14ac:dyDescent="0.15">
      <c r="D46" s="26" t="str">
        <f>IF(ANAGRAFICA!$B48="","",ANAGRAFICA!$B48)</f>
        <v/>
      </c>
      <c r="E46" s="26"/>
      <c r="F46" s="26" t="str">
        <f>IFERROR(INDEX(ANAGRAFICA!$B$6:$B$305,SMALL($I$4:$I$303,ROWS($F$4:F46))),"")</f>
        <v/>
      </c>
      <c r="G46" s="26"/>
      <c r="H46" s="26"/>
      <c r="I46" s="34" t="str">
        <f>IF(ANAGRAFICA!$B48="","",IF(ANAGRAFICA!$I48="","",IF(ANAGRAFICA!$I48&lt;DATE($B$11,1,1),43,"")))</f>
        <v/>
      </c>
    </row>
    <row r="47" spans="4:9" ht="15" x14ac:dyDescent="0.15">
      <c r="D47" s="26" t="str">
        <f>IF(ANAGRAFICA!$B49="","",ANAGRAFICA!$B49)</f>
        <v/>
      </c>
      <c r="E47" s="26"/>
      <c r="F47" s="26" t="str">
        <f>IFERROR(INDEX(ANAGRAFICA!$B$6:$B$305,SMALL($I$4:$I$303,ROWS($F$4:F47))),"")</f>
        <v/>
      </c>
      <c r="G47" s="26"/>
      <c r="H47" s="26"/>
      <c r="I47" s="34" t="str">
        <f>IF(ANAGRAFICA!$B49="","",IF(ANAGRAFICA!$I49="","",IF(ANAGRAFICA!$I49&lt;DATE($B$11,1,1),44,"")))</f>
        <v/>
      </c>
    </row>
    <row r="48" spans="4:9" ht="15" x14ac:dyDescent="0.15">
      <c r="D48" s="26" t="str">
        <f>IF(ANAGRAFICA!$B50="","",ANAGRAFICA!$B50)</f>
        <v/>
      </c>
      <c r="E48" s="26"/>
      <c r="F48" s="26" t="str">
        <f>IFERROR(INDEX(ANAGRAFICA!$B$6:$B$305,SMALL($I$4:$I$303,ROWS($F$4:F48))),"")</f>
        <v/>
      </c>
      <c r="G48" s="26"/>
      <c r="H48" s="26"/>
      <c r="I48" s="34" t="str">
        <f>IF(ANAGRAFICA!$B50="","",IF(ANAGRAFICA!$I50="","",IF(ANAGRAFICA!$I50&lt;DATE($B$11,1,1),45,"")))</f>
        <v/>
      </c>
    </row>
    <row r="49" spans="4:9" ht="15" x14ac:dyDescent="0.15">
      <c r="D49" s="26" t="str">
        <f>IF(ANAGRAFICA!$B51="","",ANAGRAFICA!$B51)</f>
        <v/>
      </c>
      <c r="E49" s="26"/>
      <c r="F49" s="26" t="str">
        <f>IFERROR(INDEX(ANAGRAFICA!$B$6:$B$305,SMALL($I$4:$I$303,ROWS($F$4:F49))),"")</f>
        <v/>
      </c>
      <c r="G49" s="26"/>
      <c r="H49" s="26"/>
      <c r="I49" s="34" t="str">
        <f>IF(ANAGRAFICA!$B51="","",IF(ANAGRAFICA!$I51="","",IF(ANAGRAFICA!$I51&lt;DATE($B$11,1,1),46,"")))</f>
        <v/>
      </c>
    </row>
    <row r="50" spans="4:9" ht="15" x14ac:dyDescent="0.15">
      <c r="D50" s="26" t="str">
        <f>IF(ANAGRAFICA!$B52="","",ANAGRAFICA!$B52)</f>
        <v/>
      </c>
      <c r="E50" s="26"/>
      <c r="F50" s="26" t="str">
        <f>IFERROR(INDEX(ANAGRAFICA!$B$6:$B$305,SMALL($I$4:$I$303,ROWS($F$4:F50))),"")</f>
        <v/>
      </c>
      <c r="G50" s="26"/>
      <c r="H50" s="26"/>
      <c r="I50" s="34" t="str">
        <f>IF(ANAGRAFICA!$B52="","",IF(ANAGRAFICA!$I52="","",IF(ANAGRAFICA!$I52&lt;DATE($B$11,1,1),47,"")))</f>
        <v/>
      </c>
    </row>
    <row r="51" spans="4:9" ht="15" x14ac:dyDescent="0.15">
      <c r="D51" s="26" t="str">
        <f>IF(ANAGRAFICA!$B53="","",ANAGRAFICA!$B53)</f>
        <v/>
      </c>
      <c r="E51" s="26"/>
      <c r="F51" s="26" t="str">
        <f>IFERROR(INDEX(ANAGRAFICA!$B$6:$B$305,SMALL($I$4:$I$303,ROWS($F$4:F51))),"")</f>
        <v/>
      </c>
      <c r="G51" s="26"/>
      <c r="H51" s="26"/>
      <c r="I51" s="34" t="str">
        <f>IF(ANAGRAFICA!$B53="","",IF(ANAGRAFICA!$I53="","",IF(ANAGRAFICA!$I53&lt;DATE($B$11,1,1),48,"")))</f>
        <v/>
      </c>
    </row>
    <row r="52" spans="4:9" ht="15" x14ac:dyDescent="0.15">
      <c r="D52" s="26" t="str">
        <f>IF(ANAGRAFICA!$B54="","",ANAGRAFICA!$B54)</f>
        <v/>
      </c>
      <c r="E52" s="26"/>
      <c r="F52" s="26" t="str">
        <f>IFERROR(INDEX(ANAGRAFICA!$B$6:$B$305,SMALL($I$4:$I$303,ROWS($F$4:F52))),"")</f>
        <v/>
      </c>
      <c r="G52" s="26"/>
      <c r="H52" s="26"/>
      <c r="I52" s="34" t="str">
        <f>IF(ANAGRAFICA!$B54="","",IF(ANAGRAFICA!$I54="","",IF(ANAGRAFICA!$I54&lt;DATE($B$11,1,1),49,"")))</f>
        <v/>
      </c>
    </row>
    <row r="53" spans="4:9" ht="15" x14ac:dyDescent="0.15">
      <c r="D53" s="26" t="str">
        <f>IF(ANAGRAFICA!$B55="","",ANAGRAFICA!$B55)</f>
        <v/>
      </c>
      <c r="E53" s="26"/>
      <c r="F53" s="26" t="str">
        <f>IFERROR(INDEX(ANAGRAFICA!$B$6:$B$305,SMALL($I$4:$I$303,ROWS($F$4:F53))),"")</f>
        <v/>
      </c>
      <c r="G53" s="26"/>
      <c r="H53" s="26"/>
      <c r="I53" s="34" t="str">
        <f>IF(ANAGRAFICA!$B55="","",IF(ANAGRAFICA!$I55="","",IF(ANAGRAFICA!$I55&lt;DATE($B$11,1,1),50,"")))</f>
        <v/>
      </c>
    </row>
    <row r="54" spans="4:9" ht="15" x14ac:dyDescent="0.15">
      <c r="D54" s="26" t="str">
        <f>IF(ANAGRAFICA!$B56="","",ANAGRAFICA!$B56)</f>
        <v/>
      </c>
      <c r="E54" s="26"/>
      <c r="F54" s="26" t="str">
        <f>IFERROR(INDEX(ANAGRAFICA!$B$6:$B$305,SMALL($I$4:$I$303,ROWS($F$4:F54))),"")</f>
        <v/>
      </c>
      <c r="G54" s="26"/>
      <c r="H54" s="26"/>
      <c r="I54" s="34" t="str">
        <f>IF(ANAGRAFICA!$B56="","",IF(ANAGRAFICA!$I56="","",IF(ANAGRAFICA!$I56&lt;DATE($B$11,1,1),51,"")))</f>
        <v/>
      </c>
    </row>
    <row r="55" spans="4:9" ht="15" x14ac:dyDescent="0.15">
      <c r="D55" s="26" t="str">
        <f>IF(ANAGRAFICA!$B57="","",ANAGRAFICA!$B57)</f>
        <v/>
      </c>
      <c r="E55" s="26"/>
      <c r="F55" s="26" t="str">
        <f>IFERROR(INDEX(ANAGRAFICA!$B$6:$B$305,SMALL($I$4:$I$303,ROWS($F$4:F55))),"")</f>
        <v/>
      </c>
      <c r="G55" s="26"/>
      <c r="H55" s="26"/>
      <c r="I55" s="34" t="str">
        <f>IF(ANAGRAFICA!$B57="","",IF(ANAGRAFICA!$I57="","",IF(ANAGRAFICA!$I57&lt;DATE($B$11,1,1),52,"")))</f>
        <v/>
      </c>
    </row>
    <row r="56" spans="4:9" ht="15" x14ac:dyDescent="0.15">
      <c r="D56" s="26" t="str">
        <f>IF(ANAGRAFICA!$B58="","",ANAGRAFICA!$B58)</f>
        <v/>
      </c>
      <c r="E56" s="26"/>
      <c r="F56" s="26" t="str">
        <f>IFERROR(INDEX(ANAGRAFICA!$B$6:$B$305,SMALL($I$4:$I$303,ROWS($F$4:F56))),"")</f>
        <v/>
      </c>
      <c r="G56" s="26"/>
      <c r="H56" s="26"/>
      <c r="I56" s="34" t="str">
        <f>IF(ANAGRAFICA!$B58="","",IF(ANAGRAFICA!$I58="","",IF(ANAGRAFICA!$I58&lt;DATE($B$11,1,1),53,"")))</f>
        <v/>
      </c>
    </row>
    <row r="57" spans="4:9" ht="15" x14ac:dyDescent="0.15">
      <c r="D57" s="26" t="str">
        <f>IF(ANAGRAFICA!$B59="","",ANAGRAFICA!$B59)</f>
        <v/>
      </c>
      <c r="E57" s="26"/>
      <c r="F57" s="26" t="str">
        <f>IFERROR(INDEX(ANAGRAFICA!$B$6:$B$305,SMALL($I$4:$I$303,ROWS($F$4:F57))),"")</f>
        <v/>
      </c>
      <c r="G57" s="26"/>
      <c r="H57" s="26"/>
      <c r="I57" s="34" t="str">
        <f>IF(ANAGRAFICA!$B59="","",IF(ANAGRAFICA!$I59="","",IF(ANAGRAFICA!$I59&lt;DATE($B$11,1,1),54,"")))</f>
        <v/>
      </c>
    </row>
    <row r="58" spans="4:9" ht="15" x14ac:dyDescent="0.15">
      <c r="D58" s="26" t="str">
        <f>IF(ANAGRAFICA!$B60="","",ANAGRAFICA!$B60)</f>
        <v/>
      </c>
      <c r="E58" s="26"/>
      <c r="F58" s="26" t="str">
        <f>IFERROR(INDEX(ANAGRAFICA!$B$6:$B$305,SMALL($I$4:$I$303,ROWS($F$4:F58))),"")</f>
        <v/>
      </c>
      <c r="G58" s="26"/>
      <c r="H58" s="26"/>
      <c r="I58" s="34" t="str">
        <f>IF(ANAGRAFICA!$B60="","",IF(ANAGRAFICA!$I60="","",IF(ANAGRAFICA!$I60&lt;DATE($B$11,1,1),55,"")))</f>
        <v/>
      </c>
    </row>
    <row r="59" spans="4:9" ht="15" x14ac:dyDescent="0.15">
      <c r="D59" s="26" t="str">
        <f>IF(ANAGRAFICA!$B61="","",ANAGRAFICA!$B61)</f>
        <v/>
      </c>
      <c r="E59" s="26"/>
      <c r="F59" s="26" t="str">
        <f>IFERROR(INDEX(ANAGRAFICA!$B$6:$B$305,SMALL($I$4:$I$303,ROWS($F$4:F59))),"")</f>
        <v/>
      </c>
      <c r="G59" s="26"/>
      <c r="H59" s="26"/>
      <c r="I59" s="34" t="str">
        <f>IF(ANAGRAFICA!$B61="","",IF(ANAGRAFICA!$I61="","",IF(ANAGRAFICA!$I61&lt;DATE($B$11,1,1),56,"")))</f>
        <v/>
      </c>
    </row>
    <row r="60" spans="4:9" ht="15" x14ac:dyDescent="0.15">
      <c r="D60" s="26" t="str">
        <f>IF(ANAGRAFICA!$B62="","",ANAGRAFICA!$B62)</f>
        <v/>
      </c>
      <c r="E60" s="26"/>
      <c r="F60" s="26" t="str">
        <f>IFERROR(INDEX(ANAGRAFICA!$B$6:$B$305,SMALL($I$4:$I$303,ROWS($F$4:F60))),"")</f>
        <v/>
      </c>
      <c r="G60" s="26"/>
      <c r="H60" s="26"/>
      <c r="I60" s="34" t="str">
        <f>IF(ANAGRAFICA!$B62="","",IF(ANAGRAFICA!$I62="","",IF(ANAGRAFICA!$I62&lt;DATE($B$11,1,1),57,"")))</f>
        <v/>
      </c>
    </row>
    <row r="61" spans="4:9" ht="15" x14ac:dyDescent="0.15">
      <c r="D61" s="26" t="str">
        <f>IF(ANAGRAFICA!$B63="","",ANAGRAFICA!$B63)</f>
        <v/>
      </c>
      <c r="E61" s="26"/>
      <c r="F61" s="26" t="str">
        <f>IFERROR(INDEX(ANAGRAFICA!$B$6:$B$305,SMALL($I$4:$I$303,ROWS($F$4:F61))),"")</f>
        <v/>
      </c>
      <c r="G61" s="26"/>
      <c r="H61" s="26"/>
      <c r="I61" s="34" t="str">
        <f>IF(ANAGRAFICA!$B63="","",IF(ANAGRAFICA!$I63="","",IF(ANAGRAFICA!$I63&lt;DATE($B$11,1,1),58,"")))</f>
        <v/>
      </c>
    </row>
    <row r="62" spans="4:9" ht="15" x14ac:dyDescent="0.15">
      <c r="D62" s="26" t="str">
        <f>IF(ANAGRAFICA!$B64="","",ANAGRAFICA!$B64)</f>
        <v/>
      </c>
      <c r="E62" s="26"/>
      <c r="F62" s="26" t="str">
        <f>IFERROR(INDEX(ANAGRAFICA!$B$6:$B$305,SMALL($I$4:$I$303,ROWS($F$4:F62))),"")</f>
        <v/>
      </c>
      <c r="G62" s="26"/>
      <c r="H62" s="26"/>
      <c r="I62" s="34" t="str">
        <f>IF(ANAGRAFICA!$B64="","",IF(ANAGRAFICA!$I64="","",IF(ANAGRAFICA!$I64&lt;DATE($B$11,1,1),59,"")))</f>
        <v/>
      </c>
    </row>
    <row r="63" spans="4:9" ht="15" x14ac:dyDescent="0.15">
      <c r="D63" s="26" t="str">
        <f>IF(ANAGRAFICA!$B65="","",ANAGRAFICA!$B65)</f>
        <v/>
      </c>
      <c r="E63" s="26"/>
      <c r="F63" s="26" t="str">
        <f>IFERROR(INDEX(ANAGRAFICA!$B$6:$B$305,SMALL($I$4:$I$303,ROWS($F$4:F63))),"")</f>
        <v/>
      </c>
      <c r="G63" s="26"/>
      <c r="H63" s="26"/>
      <c r="I63" s="34" t="str">
        <f>IF(ANAGRAFICA!$B65="","",IF(ANAGRAFICA!$I65="","",IF(ANAGRAFICA!$I65&lt;DATE($B$11,1,1),60,"")))</f>
        <v/>
      </c>
    </row>
    <row r="64" spans="4:9" ht="15" x14ac:dyDescent="0.15">
      <c r="D64" s="26" t="str">
        <f>IF(ANAGRAFICA!$B66="","",ANAGRAFICA!$B66)</f>
        <v/>
      </c>
      <c r="E64" s="26"/>
      <c r="F64" s="26" t="str">
        <f>IFERROR(INDEX(ANAGRAFICA!$B$6:$B$305,SMALL($I$4:$I$303,ROWS($F$4:F64))),"")</f>
        <v/>
      </c>
      <c r="G64" s="26"/>
      <c r="H64" s="26"/>
      <c r="I64" s="34" t="str">
        <f>IF(ANAGRAFICA!$B66="","",IF(ANAGRAFICA!$I66="","",IF(ANAGRAFICA!$I66&lt;DATE($B$11,1,1),61,"")))</f>
        <v/>
      </c>
    </row>
    <row r="65" spans="4:9" ht="15" x14ac:dyDescent="0.15">
      <c r="D65" s="26" t="str">
        <f>IF(ANAGRAFICA!$B67="","",ANAGRAFICA!$B67)</f>
        <v/>
      </c>
      <c r="E65" s="26"/>
      <c r="F65" s="26" t="str">
        <f>IFERROR(INDEX(ANAGRAFICA!$B$6:$B$305,SMALL($I$4:$I$303,ROWS($F$4:F65))),"")</f>
        <v/>
      </c>
      <c r="G65" s="26"/>
      <c r="H65" s="26"/>
      <c r="I65" s="34" t="str">
        <f>IF(ANAGRAFICA!$B67="","",IF(ANAGRAFICA!$I67="","",IF(ANAGRAFICA!$I67&lt;DATE($B$11,1,1),62,"")))</f>
        <v/>
      </c>
    </row>
    <row r="66" spans="4:9" ht="15" x14ac:dyDescent="0.15">
      <c r="D66" s="26" t="str">
        <f>IF(ANAGRAFICA!$B68="","",ANAGRAFICA!$B68)</f>
        <v/>
      </c>
      <c r="E66" s="26"/>
      <c r="F66" s="26" t="str">
        <f>IFERROR(INDEX(ANAGRAFICA!$B$6:$B$305,SMALL($I$4:$I$303,ROWS($F$4:F66))),"")</f>
        <v/>
      </c>
      <c r="G66" s="26"/>
      <c r="H66" s="26"/>
      <c r="I66" s="34" t="str">
        <f>IF(ANAGRAFICA!$B68="","",IF(ANAGRAFICA!$I68="","",IF(ANAGRAFICA!$I68&lt;DATE($B$11,1,1),63,"")))</f>
        <v/>
      </c>
    </row>
    <row r="67" spans="4:9" ht="15" x14ac:dyDescent="0.15">
      <c r="D67" s="26" t="str">
        <f>IF(ANAGRAFICA!$B69="","",ANAGRAFICA!$B69)</f>
        <v/>
      </c>
      <c r="E67" s="26"/>
      <c r="F67" s="26" t="str">
        <f>IFERROR(INDEX(ANAGRAFICA!$B$6:$B$305,SMALL($I$4:$I$303,ROWS($F$4:F67))),"")</f>
        <v/>
      </c>
      <c r="G67" s="26"/>
      <c r="H67" s="26"/>
      <c r="I67" s="34" t="str">
        <f>IF(ANAGRAFICA!$B69="","",IF(ANAGRAFICA!$I69="","",IF(ANAGRAFICA!$I69&lt;DATE($B$11,1,1),64,"")))</f>
        <v/>
      </c>
    </row>
    <row r="68" spans="4:9" ht="15" x14ac:dyDescent="0.15">
      <c r="D68" s="26" t="str">
        <f>IF(ANAGRAFICA!$B70="","",ANAGRAFICA!$B70)</f>
        <v/>
      </c>
      <c r="E68" s="26"/>
      <c r="F68" s="26" t="str">
        <f>IFERROR(INDEX(ANAGRAFICA!$B$6:$B$305,SMALL($I$4:$I$303,ROWS($F$4:F68))),"")</f>
        <v/>
      </c>
      <c r="G68" s="26"/>
      <c r="H68" s="26"/>
      <c r="I68" s="34" t="str">
        <f>IF(ANAGRAFICA!$B70="","",IF(ANAGRAFICA!$I70="","",IF(ANAGRAFICA!$I70&lt;DATE($B$11,1,1),65,"")))</f>
        <v/>
      </c>
    </row>
    <row r="69" spans="4:9" ht="15" x14ac:dyDescent="0.15">
      <c r="D69" s="26" t="str">
        <f>IF(ANAGRAFICA!$B71="","",ANAGRAFICA!$B71)</f>
        <v/>
      </c>
      <c r="E69" s="26"/>
      <c r="F69" s="26" t="str">
        <f>IFERROR(INDEX(ANAGRAFICA!$B$6:$B$305,SMALL($I$4:$I$303,ROWS($F$4:F69))),"")</f>
        <v/>
      </c>
      <c r="G69" s="26"/>
      <c r="H69" s="26"/>
      <c r="I69" s="34" t="str">
        <f>IF(ANAGRAFICA!$B71="","",IF(ANAGRAFICA!$I71="","",IF(ANAGRAFICA!$I71&lt;DATE($B$11,1,1),66,"")))</f>
        <v/>
      </c>
    </row>
    <row r="70" spans="4:9" ht="15" x14ac:dyDescent="0.15">
      <c r="D70" s="26" t="str">
        <f>IF(ANAGRAFICA!$B72="","",ANAGRAFICA!$B72)</f>
        <v/>
      </c>
      <c r="E70" s="26"/>
      <c r="F70" s="26" t="str">
        <f>IFERROR(INDEX(ANAGRAFICA!$B$6:$B$305,SMALL($I$4:$I$303,ROWS($F$4:F70))),"")</f>
        <v/>
      </c>
      <c r="G70" s="26"/>
      <c r="H70" s="26"/>
      <c r="I70" s="34" t="str">
        <f>IF(ANAGRAFICA!$B72="","",IF(ANAGRAFICA!$I72="","",IF(ANAGRAFICA!$I72&lt;DATE($B$11,1,1),67,"")))</f>
        <v/>
      </c>
    </row>
    <row r="71" spans="4:9" ht="15" x14ac:dyDescent="0.15">
      <c r="D71" s="26" t="str">
        <f>IF(ANAGRAFICA!$B73="","",ANAGRAFICA!$B73)</f>
        <v/>
      </c>
      <c r="E71" s="26"/>
      <c r="F71" s="26" t="str">
        <f>IFERROR(INDEX(ANAGRAFICA!$B$6:$B$305,SMALL($I$4:$I$303,ROWS($F$4:F71))),"")</f>
        <v/>
      </c>
      <c r="G71" s="26"/>
      <c r="H71" s="26"/>
      <c r="I71" s="34" t="str">
        <f>IF(ANAGRAFICA!$B73="","",IF(ANAGRAFICA!$I73="","",IF(ANAGRAFICA!$I73&lt;DATE($B$11,1,1),68,"")))</f>
        <v/>
      </c>
    </row>
    <row r="72" spans="4:9" ht="15" x14ac:dyDescent="0.15">
      <c r="D72" s="26" t="str">
        <f>IF(ANAGRAFICA!$B74="","",ANAGRAFICA!$B74)</f>
        <v/>
      </c>
      <c r="E72" s="26"/>
      <c r="F72" s="26" t="str">
        <f>IFERROR(INDEX(ANAGRAFICA!$B$6:$B$305,SMALL($I$4:$I$303,ROWS($F$4:F72))),"")</f>
        <v/>
      </c>
      <c r="G72" s="26"/>
      <c r="H72" s="26"/>
      <c r="I72" s="34" t="str">
        <f>IF(ANAGRAFICA!$B74="","",IF(ANAGRAFICA!$I74="","",IF(ANAGRAFICA!$I74&lt;DATE($B$11,1,1),69,"")))</f>
        <v/>
      </c>
    </row>
    <row r="73" spans="4:9" ht="15" x14ac:dyDescent="0.15">
      <c r="D73" s="26" t="str">
        <f>IF(ANAGRAFICA!$B75="","",ANAGRAFICA!$B75)</f>
        <v/>
      </c>
      <c r="E73" s="26"/>
      <c r="F73" s="26" t="str">
        <f>IFERROR(INDEX(ANAGRAFICA!$B$6:$B$305,SMALL($I$4:$I$303,ROWS($F$4:F73))),"")</f>
        <v/>
      </c>
      <c r="G73" s="26"/>
      <c r="H73" s="26"/>
      <c r="I73" s="34" t="str">
        <f>IF(ANAGRAFICA!$B75="","",IF(ANAGRAFICA!$I75="","",IF(ANAGRAFICA!$I75&lt;DATE($B$11,1,1),70,"")))</f>
        <v/>
      </c>
    </row>
    <row r="74" spans="4:9" ht="15" x14ac:dyDescent="0.15">
      <c r="D74" s="26" t="str">
        <f>IF(ANAGRAFICA!$B76="","",ANAGRAFICA!$B76)</f>
        <v/>
      </c>
      <c r="E74" s="26"/>
      <c r="F74" s="26" t="str">
        <f>IFERROR(INDEX(ANAGRAFICA!$B$6:$B$305,SMALL($I$4:$I$303,ROWS($F$4:F74))),"")</f>
        <v/>
      </c>
      <c r="G74" s="26"/>
      <c r="H74" s="26"/>
      <c r="I74" s="34" t="str">
        <f>IF(ANAGRAFICA!$B76="","",IF(ANAGRAFICA!$I76="","",IF(ANAGRAFICA!$I76&lt;DATE($B$11,1,1),71,"")))</f>
        <v/>
      </c>
    </row>
    <row r="75" spans="4:9" ht="15" x14ac:dyDescent="0.15">
      <c r="D75" s="26" t="str">
        <f>IF(ANAGRAFICA!$B77="","",ANAGRAFICA!$B77)</f>
        <v/>
      </c>
      <c r="E75" s="26"/>
      <c r="F75" s="26" t="str">
        <f>IFERROR(INDEX(ANAGRAFICA!$B$6:$B$305,SMALL($I$4:$I$303,ROWS($F$4:F75))),"")</f>
        <v/>
      </c>
      <c r="G75" s="26"/>
      <c r="H75" s="26"/>
      <c r="I75" s="34" t="str">
        <f>IF(ANAGRAFICA!$B77="","",IF(ANAGRAFICA!$I77="","",IF(ANAGRAFICA!$I77&lt;DATE($B$11,1,1),72,"")))</f>
        <v/>
      </c>
    </row>
    <row r="76" spans="4:9" ht="15" x14ac:dyDescent="0.15">
      <c r="D76" s="26" t="str">
        <f>IF(ANAGRAFICA!$B78="","",ANAGRAFICA!$B78)</f>
        <v/>
      </c>
      <c r="E76" s="26"/>
      <c r="F76" s="26" t="str">
        <f>IFERROR(INDEX(ANAGRAFICA!$B$6:$B$305,SMALL($I$4:$I$303,ROWS($F$4:F76))),"")</f>
        <v/>
      </c>
      <c r="G76" s="26"/>
      <c r="H76" s="26"/>
      <c r="I76" s="34" t="str">
        <f>IF(ANAGRAFICA!$B78="","",IF(ANAGRAFICA!$I78="","",IF(ANAGRAFICA!$I78&lt;DATE($B$11,1,1),73,"")))</f>
        <v/>
      </c>
    </row>
    <row r="77" spans="4:9" ht="15" x14ac:dyDescent="0.15">
      <c r="D77" s="26" t="str">
        <f>IF(ANAGRAFICA!$B79="","",ANAGRAFICA!$B79)</f>
        <v/>
      </c>
      <c r="E77" s="26"/>
      <c r="F77" s="26" t="str">
        <f>IFERROR(INDEX(ANAGRAFICA!$B$6:$B$305,SMALL($I$4:$I$303,ROWS($F$4:F77))),"")</f>
        <v/>
      </c>
      <c r="G77" s="26"/>
      <c r="H77" s="26"/>
      <c r="I77" s="34" t="str">
        <f>IF(ANAGRAFICA!$B79="","",IF(ANAGRAFICA!$I79="","",IF(ANAGRAFICA!$I79&lt;DATE($B$11,1,1),74,"")))</f>
        <v/>
      </c>
    </row>
    <row r="78" spans="4:9" ht="15" x14ac:dyDescent="0.15">
      <c r="D78" s="26" t="str">
        <f>IF(ANAGRAFICA!$B80="","",ANAGRAFICA!$B80)</f>
        <v/>
      </c>
      <c r="E78" s="26"/>
      <c r="F78" s="26" t="str">
        <f>IFERROR(INDEX(ANAGRAFICA!$B$6:$B$305,SMALL($I$4:$I$303,ROWS($F$4:F78))),"")</f>
        <v/>
      </c>
      <c r="G78" s="26"/>
      <c r="H78" s="26"/>
      <c r="I78" s="34" t="str">
        <f>IF(ANAGRAFICA!$B80="","",IF(ANAGRAFICA!$I80="","",IF(ANAGRAFICA!$I80&lt;DATE($B$11,1,1),75,"")))</f>
        <v/>
      </c>
    </row>
    <row r="79" spans="4:9" ht="15" x14ac:dyDescent="0.15">
      <c r="D79" s="26" t="str">
        <f>IF(ANAGRAFICA!$B81="","",ANAGRAFICA!$B81)</f>
        <v/>
      </c>
      <c r="E79" s="26"/>
      <c r="F79" s="26" t="str">
        <f>IFERROR(INDEX(ANAGRAFICA!$B$6:$B$305,SMALL($I$4:$I$303,ROWS($F$4:F79))),"")</f>
        <v/>
      </c>
      <c r="G79" s="26"/>
      <c r="H79" s="26"/>
      <c r="I79" s="34" t="str">
        <f>IF(ANAGRAFICA!$B81="","",IF(ANAGRAFICA!$I81="","",IF(ANAGRAFICA!$I81&lt;DATE($B$11,1,1),76,"")))</f>
        <v/>
      </c>
    </row>
    <row r="80" spans="4:9" ht="15" x14ac:dyDescent="0.15">
      <c r="D80" s="26" t="str">
        <f>IF(ANAGRAFICA!$B82="","",ANAGRAFICA!$B82)</f>
        <v/>
      </c>
      <c r="E80" s="26"/>
      <c r="F80" s="26" t="str">
        <f>IFERROR(INDEX(ANAGRAFICA!$B$6:$B$305,SMALL($I$4:$I$303,ROWS($F$4:F80))),"")</f>
        <v/>
      </c>
      <c r="G80" s="26"/>
      <c r="H80" s="26"/>
      <c r="I80" s="34" t="str">
        <f>IF(ANAGRAFICA!$B82="","",IF(ANAGRAFICA!$I82="","",IF(ANAGRAFICA!$I82&lt;DATE($B$11,1,1),77,"")))</f>
        <v/>
      </c>
    </row>
    <row r="81" spans="4:9" ht="15" x14ac:dyDescent="0.15">
      <c r="D81" s="26" t="str">
        <f>IF(ANAGRAFICA!$B83="","",ANAGRAFICA!$B83)</f>
        <v/>
      </c>
      <c r="E81" s="26"/>
      <c r="F81" s="26" t="str">
        <f>IFERROR(INDEX(ANAGRAFICA!$B$6:$B$305,SMALL($I$4:$I$303,ROWS($F$4:F81))),"")</f>
        <v/>
      </c>
      <c r="G81" s="26"/>
      <c r="H81" s="26"/>
      <c r="I81" s="34" t="str">
        <f>IF(ANAGRAFICA!$B83="","",IF(ANAGRAFICA!$I83="","",IF(ANAGRAFICA!$I83&lt;DATE($B$11,1,1),78,"")))</f>
        <v/>
      </c>
    </row>
    <row r="82" spans="4:9" ht="15" x14ac:dyDescent="0.15">
      <c r="D82" s="26" t="str">
        <f>IF(ANAGRAFICA!$B84="","",ANAGRAFICA!$B84)</f>
        <v/>
      </c>
      <c r="E82" s="26"/>
      <c r="F82" s="26" t="str">
        <f>IFERROR(INDEX(ANAGRAFICA!$B$6:$B$305,SMALL($I$4:$I$303,ROWS($F$4:F82))),"")</f>
        <v/>
      </c>
      <c r="G82" s="26"/>
      <c r="H82" s="26"/>
      <c r="I82" s="34" t="str">
        <f>IF(ANAGRAFICA!$B84="","",IF(ANAGRAFICA!$I84="","",IF(ANAGRAFICA!$I84&lt;DATE($B$11,1,1),79,"")))</f>
        <v/>
      </c>
    </row>
    <row r="83" spans="4:9" ht="15" x14ac:dyDescent="0.15">
      <c r="D83" s="26" t="str">
        <f>IF(ANAGRAFICA!$B85="","",ANAGRAFICA!$B85)</f>
        <v/>
      </c>
      <c r="E83" s="26"/>
      <c r="F83" s="26" t="str">
        <f>IFERROR(INDEX(ANAGRAFICA!$B$6:$B$305,SMALL($I$4:$I$303,ROWS($F$4:F83))),"")</f>
        <v/>
      </c>
      <c r="G83" s="26"/>
      <c r="H83" s="26"/>
      <c r="I83" s="34" t="str">
        <f>IF(ANAGRAFICA!$B85="","",IF(ANAGRAFICA!$I85="","",IF(ANAGRAFICA!$I85&lt;DATE($B$11,1,1),80,"")))</f>
        <v/>
      </c>
    </row>
    <row r="84" spans="4:9" ht="15" x14ac:dyDescent="0.15">
      <c r="D84" s="26" t="str">
        <f>IF(ANAGRAFICA!$B86="","",ANAGRAFICA!$B86)</f>
        <v/>
      </c>
      <c r="E84" s="26"/>
      <c r="F84" s="26" t="str">
        <f>IFERROR(INDEX(ANAGRAFICA!$B$6:$B$305,SMALL($I$4:$I$303,ROWS($F$4:F84))),"")</f>
        <v/>
      </c>
      <c r="G84" s="26"/>
      <c r="H84" s="26"/>
      <c r="I84" s="34" t="str">
        <f>IF(ANAGRAFICA!$B86="","",IF(ANAGRAFICA!$I86="","",IF(ANAGRAFICA!$I86&lt;DATE($B$11,1,1),81,"")))</f>
        <v/>
      </c>
    </row>
    <row r="85" spans="4:9" ht="15" x14ac:dyDescent="0.15">
      <c r="D85" s="26" t="str">
        <f>IF(ANAGRAFICA!$B87="","",ANAGRAFICA!$B87)</f>
        <v/>
      </c>
      <c r="E85" s="26"/>
      <c r="F85" s="26" t="str">
        <f>IFERROR(INDEX(ANAGRAFICA!$B$6:$B$305,SMALL($I$4:$I$303,ROWS($F$4:F85))),"")</f>
        <v/>
      </c>
      <c r="G85" s="26"/>
      <c r="H85" s="26"/>
      <c r="I85" s="34" t="str">
        <f>IF(ANAGRAFICA!$B87="","",IF(ANAGRAFICA!$I87="","",IF(ANAGRAFICA!$I87&lt;DATE($B$11,1,1),82,"")))</f>
        <v/>
      </c>
    </row>
    <row r="86" spans="4:9" ht="15" x14ac:dyDescent="0.15">
      <c r="D86" s="26" t="str">
        <f>IF(ANAGRAFICA!$B88="","",ANAGRAFICA!$B88)</f>
        <v/>
      </c>
      <c r="E86" s="26"/>
      <c r="F86" s="26" t="str">
        <f>IFERROR(INDEX(ANAGRAFICA!$B$6:$B$305,SMALL($I$4:$I$303,ROWS($F$4:F86))),"")</f>
        <v/>
      </c>
      <c r="G86" s="26"/>
      <c r="H86" s="26"/>
      <c r="I86" s="34" t="str">
        <f>IF(ANAGRAFICA!$B88="","",IF(ANAGRAFICA!$I88="","",IF(ANAGRAFICA!$I88&lt;DATE($B$11,1,1),83,"")))</f>
        <v/>
      </c>
    </row>
    <row r="87" spans="4:9" ht="15" x14ac:dyDescent="0.15">
      <c r="D87" s="26" t="str">
        <f>IF(ANAGRAFICA!$B89="","",ANAGRAFICA!$B89)</f>
        <v/>
      </c>
      <c r="E87" s="26"/>
      <c r="F87" s="26" t="str">
        <f>IFERROR(INDEX(ANAGRAFICA!$B$6:$B$305,SMALL($I$4:$I$303,ROWS($F$4:F87))),"")</f>
        <v/>
      </c>
      <c r="G87" s="26"/>
      <c r="H87" s="26"/>
      <c r="I87" s="34" t="str">
        <f>IF(ANAGRAFICA!$B89="","",IF(ANAGRAFICA!$I89="","",IF(ANAGRAFICA!$I89&lt;DATE($B$11,1,1),84,"")))</f>
        <v/>
      </c>
    </row>
    <row r="88" spans="4:9" ht="15" x14ac:dyDescent="0.15">
      <c r="D88" s="26" t="str">
        <f>IF(ANAGRAFICA!$B90="","",ANAGRAFICA!$B90)</f>
        <v/>
      </c>
      <c r="E88" s="26"/>
      <c r="F88" s="26" t="str">
        <f>IFERROR(INDEX(ANAGRAFICA!$B$6:$B$305,SMALL($I$4:$I$303,ROWS($F$4:F88))),"")</f>
        <v/>
      </c>
      <c r="G88" s="26"/>
      <c r="H88" s="26"/>
      <c r="I88" s="34" t="str">
        <f>IF(ANAGRAFICA!$B90="","",IF(ANAGRAFICA!$I90="","",IF(ANAGRAFICA!$I90&lt;DATE($B$11,1,1),85,"")))</f>
        <v/>
      </c>
    </row>
    <row r="89" spans="4:9" ht="15" x14ac:dyDescent="0.15">
      <c r="D89" s="26" t="str">
        <f>IF(ANAGRAFICA!$B91="","",ANAGRAFICA!$B91)</f>
        <v/>
      </c>
      <c r="E89" s="26"/>
      <c r="F89" s="26" t="str">
        <f>IFERROR(INDEX(ANAGRAFICA!$B$6:$B$305,SMALL($I$4:$I$303,ROWS($F$4:F89))),"")</f>
        <v/>
      </c>
      <c r="G89" s="26"/>
      <c r="H89" s="26"/>
      <c r="I89" s="34" t="str">
        <f>IF(ANAGRAFICA!$B91="","",IF(ANAGRAFICA!$I91="","",IF(ANAGRAFICA!$I91&lt;DATE($B$11,1,1),86,"")))</f>
        <v/>
      </c>
    </row>
    <row r="90" spans="4:9" ht="15" x14ac:dyDescent="0.15">
      <c r="D90" s="26" t="str">
        <f>IF(ANAGRAFICA!$B92="","",ANAGRAFICA!$B92)</f>
        <v/>
      </c>
      <c r="E90" s="26"/>
      <c r="F90" s="26" t="str">
        <f>IFERROR(INDEX(ANAGRAFICA!$B$6:$B$305,SMALL($I$4:$I$303,ROWS($F$4:F90))),"")</f>
        <v/>
      </c>
      <c r="G90" s="26"/>
      <c r="H90" s="26"/>
      <c r="I90" s="34" t="str">
        <f>IF(ANAGRAFICA!$B92="","",IF(ANAGRAFICA!$I92="","",IF(ANAGRAFICA!$I92&lt;DATE($B$11,1,1),87,"")))</f>
        <v/>
      </c>
    </row>
    <row r="91" spans="4:9" ht="15" x14ac:dyDescent="0.15">
      <c r="D91" s="26" t="str">
        <f>IF(ANAGRAFICA!$B93="","",ANAGRAFICA!$B93)</f>
        <v/>
      </c>
      <c r="E91" s="26"/>
      <c r="F91" s="26" t="str">
        <f>IFERROR(INDEX(ANAGRAFICA!$B$6:$B$305,SMALL($I$4:$I$303,ROWS($F$4:F91))),"")</f>
        <v/>
      </c>
      <c r="G91" s="26"/>
      <c r="H91" s="26"/>
      <c r="I91" s="34" t="str">
        <f>IF(ANAGRAFICA!$B93="","",IF(ANAGRAFICA!$I93="","",IF(ANAGRAFICA!$I93&lt;DATE($B$11,1,1),88,"")))</f>
        <v/>
      </c>
    </row>
    <row r="92" spans="4:9" ht="15" x14ac:dyDescent="0.15">
      <c r="D92" s="26" t="str">
        <f>IF(ANAGRAFICA!$B94="","",ANAGRAFICA!$B94)</f>
        <v/>
      </c>
      <c r="E92" s="26"/>
      <c r="F92" s="26" t="str">
        <f>IFERROR(INDEX(ANAGRAFICA!$B$6:$B$305,SMALL($I$4:$I$303,ROWS($F$4:F92))),"")</f>
        <v/>
      </c>
      <c r="G92" s="26"/>
      <c r="H92" s="26"/>
      <c r="I92" s="34" t="str">
        <f>IF(ANAGRAFICA!$B94="","",IF(ANAGRAFICA!$I94="","",IF(ANAGRAFICA!$I94&lt;DATE($B$11,1,1),89,"")))</f>
        <v/>
      </c>
    </row>
    <row r="93" spans="4:9" ht="15" x14ac:dyDescent="0.15">
      <c r="D93" s="26" t="str">
        <f>IF(ANAGRAFICA!$B95="","",ANAGRAFICA!$B95)</f>
        <v/>
      </c>
      <c r="E93" s="26"/>
      <c r="F93" s="26" t="str">
        <f>IFERROR(INDEX(ANAGRAFICA!$B$6:$B$305,SMALL($I$4:$I$303,ROWS($F$4:F93))),"")</f>
        <v/>
      </c>
      <c r="G93" s="26"/>
      <c r="H93" s="26"/>
      <c r="I93" s="34" t="str">
        <f>IF(ANAGRAFICA!$B95="","",IF(ANAGRAFICA!$I95="","",IF(ANAGRAFICA!$I95&lt;DATE($B$11,1,1),90,"")))</f>
        <v/>
      </c>
    </row>
    <row r="94" spans="4:9" ht="15" x14ac:dyDescent="0.15">
      <c r="D94" s="26" t="str">
        <f>IF(ANAGRAFICA!$B96="","",ANAGRAFICA!$B96)</f>
        <v/>
      </c>
      <c r="E94" s="26"/>
      <c r="F94" s="26" t="str">
        <f>IFERROR(INDEX(ANAGRAFICA!$B$6:$B$305,SMALL($I$4:$I$303,ROWS($F$4:F94))),"")</f>
        <v/>
      </c>
      <c r="G94" s="26"/>
      <c r="H94" s="26"/>
      <c r="I94" s="34" t="str">
        <f>IF(ANAGRAFICA!$B96="","",IF(ANAGRAFICA!$I96="","",IF(ANAGRAFICA!$I96&lt;DATE($B$11,1,1),91,"")))</f>
        <v/>
      </c>
    </row>
    <row r="95" spans="4:9" ht="15" x14ac:dyDescent="0.15">
      <c r="D95" s="26" t="str">
        <f>IF(ANAGRAFICA!$B97="","",ANAGRAFICA!$B97)</f>
        <v/>
      </c>
      <c r="E95" s="26"/>
      <c r="F95" s="26" t="str">
        <f>IFERROR(INDEX(ANAGRAFICA!$B$6:$B$305,SMALL($I$4:$I$303,ROWS($F$4:F95))),"")</f>
        <v/>
      </c>
      <c r="G95" s="26"/>
      <c r="H95" s="26"/>
      <c r="I95" s="34" t="str">
        <f>IF(ANAGRAFICA!$B97="","",IF(ANAGRAFICA!$I97="","",IF(ANAGRAFICA!$I97&lt;DATE($B$11,1,1),92,"")))</f>
        <v/>
      </c>
    </row>
    <row r="96" spans="4:9" ht="15" x14ac:dyDescent="0.15">
      <c r="D96" s="26" t="str">
        <f>IF(ANAGRAFICA!$B98="","",ANAGRAFICA!$B98)</f>
        <v/>
      </c>
      <c r="E96" s="26"/>
      <c r="F96" s="26" t="str">
        <f>IFERROR(INDEX(ANAGRAFICA!$B$6:$B$305,SMALL($I$4:$I$303,ROWS($F$4:F96))),"")</f>
        <v/>
      </c>
      <c r="G96" s="26"/>
      <c r="H96" s="26"/>
      <c r="I96" s="34" t="str">
        <f>IF(ANAGRAFICA!$B98="","",IF(ANAGRAFICA!$I98="","",IF(ANAGRAFICA!$I98&lt;DATE($B$11,1,1),93,"")))</f>
        <v/>
      </c>
    </row>
    <row r="97" spans="4:9" ht="15" x14ac:dyDescent="0.15">
      <c r="D97" s="26" t="str">
        <f>IF(ANAGRAFICA!$B99="","",ANAGRAFICA!$B99)</f>
        <v/>
      </c>
      <c r="E97" s="26"/>
      <c r="F97" s="26" t="str">
        <f>IFERROR(INDEX(ANAGRAFICA!$B$6:$B$305,SMALL($I$4:$I$303,ROWS($F$4:F97))),"")</f>
        <v/>
      </c>
      <c r="G97" s="26"/>
      <c r="H97" s="26"/>
      <c r="I97" s="34" t="str">
        <f>IF(ANAGRAFICA!$B99="","",IF(ANAGRAFICA!$I99="","",IF(ANAGRAFICA!$I99&lt;DATE($B$11,1,1),94,"")))</f>
        <v/>
      </c>
    </row>
    <row r="98" spans="4:9" ht="15" x14ac:dyDescent="0.15">
      <c r="D98" s="26" t="str">
        <f>IF(ANAGRAFICA!$B100="","",ANAGRAFICA!$B100)</f>
        <v/>
      </c>
      <c r="E98" s="26"/>
      <c r="F98" s="26" t="str">
        <f>IFERROR(INDEX(ANAGRAFICA!$B$6:$B$305,SMALL($I$4:$I$303,ROWS($F$4:F98))),"")</f>
        <v/>
      </c>
      <c r="G98" s="26"/>
      <c r="H98" s="26"/>
      <c r="I98" s="34" t="str">
        <f>IF(ANAGRAFICA!$B100="","",IF(ANAGRAFICA!$I100="","",IF(ANAGRAFICA!$I100&lt;DATE($B$11,1,1),95,"")))</f>
        <v/>
      </c>
    </row>
    <row r="99" spans="4:9" ht="15" x14ac:dyDescent="0.15">
      <c r="D99" s="26" t="str">
        <f>IF(ANAGRAFICA!$B101="","",ANAGRAFICA!$B101)</f>
        <v/>
      </c>
      <c r="E99" s="26"/>
      <c r="F99" s="26" t="str">
        <f>IFERROR(INDEX(ANAGRAFICA!$B$6:$B$305,SMALL($I$4:$I$303,ROWS($F$4:F99))),"")</f>
        <v/>
      </c>
      <c r="G99" s="26"/>
      <c r="H99" s="26"/>
      <c r="I99" s="34" t="str">
        <f>IF(ANAGRAFICA!$B101="","",IF(ANAGRAFICA!$I101="","",IF(ANAGRAFICA!$I101&lt;DATE($B$11,1,1),96,"")))</f>
        <v/>
      </c>
    </row>
    <row r="100" spans="4:9" ht="15" x14ac:dyDescent="0.15">
      <c r="D100" s="26" t="str">
        <f>IF(ANAGRAFICA!$B102="","",ANAGRAFICA!$B102)</f>
        <v/>
      </c>
      <c r="E100" s="26"/>
      <c r="F100" s="26" t="str">
        <f>IFERROR(INDEX(ANAGRAFICA!$B$6:$B$305,SMALL($I$4:$I$303,ROWS($F$4:F100))),"")</f>
        <v/>
      </c>
      <c r="G100" s="26"/>
      <c r="H100" s="26"/>
      <c r="I100" s="34" t="str">
        <f>IF(ANAGRAFICA!$B102="","",IF(ANAGRAFICA!$I102="","",IF(ANAGRAFICA!$I102&lt;DATE($B$11,1,1),97,"")))</f>
        <v/>
      </c>
    </row>
    <row r="101" spans="4:9" ht="15" x14ac:dyDescent="0.15">
      <c r="D101" s="26" t="str">
        <f>IF(ANAGRAFICA!$B103="","",ANAGRAFICA!$B103)</f>
        <v/>
      </c>
      <c r="E101" s="26"/>
      <c r="F101" s="26" t="str">
        <f>IFERROR(INDEX(ANAGRAFICA!$B$6:$B$305,SMALL($I$4:$I$303,ROWS($F$4:F101))),"")</f>
        <v/>
      </c>
      <c r="G101" s="26"/>
      <c r="H101" s="26"/>
      <c r="I101" s="34" t="str">
        <f>IF(ANAGRAFICA!$B103="","",IF(ANAGRAFICA!$I103="","",IF(ANAGRAFICA!$I103&lt;DATE($B$11,1,1),98,"")))</f>
        <v/>
      </c>
    </row>
    <row r="102" spans="4:9" ht="15" x14ac:dyDescent="0.15">
      <c r="D102" s="26" t="str">
        <f>IF(ANAGRAFICA!$B104="","",ANAGRAFICA!$B104)</f>
        <v/>
      </c>
      <c r="E102" s="26"/>
      <c r="F102" s="26" t="str">
        <f>IFERROR(INDEX(ANAGRAFICA!$B$6:$B$305,SMALL($I$4:$I$303,ROWS($F$4:F102))),"")</f>
        <v/>
      </c>
      <c r="G102" s="26"/>
      <c r="H102" s="26"/>
      <c r="I102" s="34" t="str">
        <f>IF(ANAGRAFICA!$B104="","",IF(ANAGRAFICA!$I104="","",IF(ANAGRAFICA!$I104&lt;DATE($B$11,1,1),99,"")))</f>
        <v/>
      </c>
    </row>
    <row r="103" spans="4:9" ht="15" x14ac:dyDescent="0.15">
      <c r="D103" s="26" t="str">
        <f>IF(ANAGRAFICA!$B105="","",ANAGRAFICA!$B105)</f>
        <v/>
      </c>
      <c r="E103" s="26"/>
      <c r="F103" s="26" t="str">
        <f>IFERROR(INDEX(ANAGRAFICA!$B$6:$B$305,SMALL($I$4:$I$303,ROWS($F$4:F103))),"")</f>
        <v/>
      </c>
      <c r="G103" s="26"/>
      <c r="H103" s="26"/>
      <c r="I103" s="34" t="str">
        <f>IF(ANAGRAFICA!$B105="","",IF(ANAGRAFICA!$I105="","",IF(ANAGRAFICA!$I105&lt;DATE($B$11,1,1),100,"")))</f>
        <v/>
      </c>
    </row>
    <row r="104" spans="4:9" ht="15" x14ac:dyDescent="0.15">
      <c r="D104" s="26" t="str">
        <f>IF(ANAGRAFICA!$B106="","",ANAGRAFICA!$B106)</f>
        <v/>
      </c>
      <c r="E104" s="26"/>
      <c r="F104" s="26" t="str">
        <f>IFERROR(INDEX(ANAGRAFICA!$B$6:$B$305,SMALL($I$4:$I$303,ROWS($F$4:F104))),"")</f>
        <v/>
      </c>
      <c r="G104" s="26"/>
      <c r="H104" s="26"/>
      <c r="I104" s="34" t="str">
        <f>IF(ANAGRAFICA!$B106="","",IF(ANAGRAFICA!$I106="","",IF(ANAGRAFICA!$I106&lt;DATE($B$11,1,1),101,"")))</f>
        <v/>
      </c>
    </row>
    <row r="105" spans="4:9" ht="15" x14ac:dyDescent="0.15">
      <c r="D105" s="26" t="str">
        <f>IF(ANAGRAFICA!$B107="","",ANAGRAFICA!$B107)</f>
        <v/>
      </c>
      <c r="E105" s="26"/>
      <c r="F105" s="26" t="str">
        <f>IFERROR(INDEX(ANAGRAFICA!$B$6:$B$305,SMALL($I$4:$I$303,ROWS($F$4:F105))),"")</f>
        <v/>
      </c>
      <c r="G105" s="26"/>
      <c r="H105" s="26"/>
      <c r="I105" s="34" t="str">
        <f>IF(ANAGRAFICA!$B107="","",IF(ANAGRAFICA!$I107="","",IF(ANAGRAFICA!$I107&lt;DATE($B$11,1,1),102,"")))</f>
        <v/>
      </c>
    </row>
    <row r="106" spans="4:9" ht="15" x14ac:dyDescent="0.15">
      <c r="D106" s="26" t="str">
        <f>IF(ANAGRAFICA!$B108="","",ANAGRAFICA!$B108)</f>
        <v/>
      </c>
      <c r="E106" s="26"/>
      <c r="F106" s="26" t="str">
        <f>IFERROR(INDEX(ANAGRAFICA!$B$6:$B$305,SMALL($I$4:$I$303,ROWS($F$4:F106))),"")</f>
        <v/>
      </c>
      <c r="G106" s="26"/>
      <c r="H106" s="26"/>
      <c r="I106" s="34" t="str">
        <f>IF(ANAGRAFICA!$B108="","",IF(ANAGRAFICA!$I108="","",IF(ANAGRAFICA!$I108&lt;DATE($B$11,1,1),103,"")))</f>
        <v/>
      </c>
    </row>
    <row r="107" spans="4:9" ht="15" x14ac:dyDescent="0.15">
      <c r="D107" s="26" t="str">
        <f>IF(ANAGRAFICA!$B109="","",ANAGRAFICA!$B109)</f>
        <v/>
      </c>
      <c r="E107" s="26"/>
      <c r="F107" s="26" t="str">
        <f>IFERROR(INDEX(ANAGRAFICA!$B$6:$B$305,SMALL($I$4:$I$303,ROWS($F$4:F107))),"")</f>
        <v/>
      </c>
      <c r="G107" s="26"/>
      <c r="H107" s="26"/>
      <c r="I107" s="34" t="str">
        <f>IF(ANAGRAFICA!$B109="","",IF(ANAGRAFICA!$I109="","",IF(ANAGRAFICA!$I109&lt;DATE($B$11,1,1),104,"")))</f>
        <v/>
      </c>
    </row>
    <row r="108" spans="4:9" ht="15" x14ac:dyDescent="0.15">
      <c r="D108" s="26" t="str">
        <f>IF(ANAGRAFICA!$B110="","",ANAGRAFICA!$B110)</f>
        <v/>
      </c>
      <c r="E108" s="26"/>
      <c r="F108" s="26" t="str">
        <f>IFERROR(INDEX(ANAGRAFICA!$B$6:$B$305,SMALL($I$4:$I$303,ROWS($F$4:F108))),"")</f>
        <v/>
      </c>
      <c r="G108" s="26"/>
      <c r="H108" s="26"/>
      <c r="I108" s="34" t="str">
        <f>IF(ANAGRAFICA!$B110="","",IF(ANAGRAFICA!$I110="","",IF(ANAGRAFICA!$I110&lt;DATE($B$11,1,1),105,"")))</f>
        <v/>
      </c>
    </row>
    <row r="109" spans="4:9" ht="15" x14ac:dyDescent="0.15">
      <c r="D109" s="26" t="str">
        <f>IF(ANAGRAFICA!$B111="","",ANAGRAFICA!$B111)</f>
        <v/>
      </c>
      <c r="E109" s="26"/>
      <c r="F109" s="26" t="str">
        <f>IFERROR(INDEX(ANAGRAFICA!$B$6:$B$305,SMALL($I$4:$I$303,ROWS($F$4:F109))),"")</f>
        <v/>
      </c>
      <c r="G109" s="26"/>
      <c r="H109" s="26"/>
      <c r="I109" s="34" t="str">
        <f>IF(ANAGRAFICA!$B111="","",IF(ANAGRAFICA!$I111="","",IF(ANAGRAFICA!$I111&lt;DATE($B$11,1,1),106,"")))</f>
        <v/>
      </c>
    </row>
    <row r="110" spans="4:9" ht="15" x14ac:dyDescent="0.15">
      <c r="D110" s="26" t="str">
        <f>IF(ANAGRAFICA!$B112="","",ANAGRAFICA!$B112)</f>
        <v/>
      </c>
      <c r="E110" s="26"/>
      <c r="F110" s="26" t="str">
        <f>IFERROR(INDEX(ANAGRAFICA!$B$6:$B$305,SMALL($I$4:$I$303,ROWS($F$4:F110))),"")</f>
        <v/>
      </c>
      <c r="G110" s="26"/>
      <c r="H110" s="26"/>
      <c r="I110" s="34" t="str">
        <f>IF(ANAGRAFICA!$B112="","",IF(ANAGRAFICA!$I112="","",IF(ANAGRAFICA!$I112&lt;DATE($B$11,1,1),107,"")))</f>
        <v/>
      </c>
    </row>
    <row r="111" spans="4:9" ht="15" x14ac:dyDescent="0.15">
      <c r="D111" s="26" t="str">
        <f>IF(ANAGRAFICA!$B113="","",ANAGRAFICA!$B113)</f>
        <v/>
      </c>
      <c r="E111" s="26"/>
      <c r="F111" s="26" t="str">
        <f>IFERROR(INDEX(ANAGRAFICA!$B$6:$B$305,SMALL($I$4:$I$303,ROWS($F$4:F111))),"")</f>
        <v/>
      </c>
      <c r="G111" s="26"/>
      <c r="H111" s="26"/>
      <c r="I111" s="34" t="str">
        <f>IF(ANAGRAFICA!$B113="","",IF(ANAGRAFICA!$I113="","",IF(ANAGRAFICA!$I113&lt;DATE($B$11,1,1),108,"")))</f>
        <v/>
      </c>
    </row>
    <row r="112" spans="4:9" ht="15" x14ac:dyDescent="0.15">
      <c r="D112" s="26" t="str">
        <f>IF(ANAGRAFICA!$B114="","",ANAGRAFICA!$B114)</f>
        <v/>
      </c>
      <c r="E112" s="26"/>
      <c r="F112" s="26" t="str">
        <f>IFERROR(INDEX(ANAGRAFICA!$B$6:$B$305,SMALL($I$4:$I$303,ROWS($F$4:F112))),"")</f>
        <v/>
      </c>
      <c r="G112" s="26"/>
      <c r="H112" s="26"/>
      <c r="I112" s="34" t="str">
        <f>IF(ANAGRAFICA!$B114="","",IF(ANAGRAFICA!$I114="","",IF(ANAGRAFICA!$I114&lt;DATE($B$11,1,1),109,"")))</f>
        <v/>
      </c>
    </row>
    <row r="113" spans="4:9" ht="15" x14ac:dyDescent="0.15">
      <c r="D113" s="26" t="str">
        <f>IF(ANAGRAFICA!$B115="","",ANAGRAFICA!$B115)</f>
        <v/>
      </c>
      <c r="E113" s="26"/>
      <c r="F113" s="26" t="str">
        <f>IFERROR(INDEX(ANAGRAFICA!$B$6:$B$305,SMALL($I$4:$I$303,ROWS($F$4:F113))),"")</f>
        <v/>
      </c>
      <c r="G113" s="26"/>
      <c r="H113" s="26"/>
      <c r="I113" s="34" t="str">
        <f>IF(ANAGRAFICA!$B115="","",IF(ANAGRAFICA!$I115="","",IF(ANAGRAFICA!$I115&lt;DATE($B$11,1,1),110,"")))</f>
        <v/>
      </c>
    </row>
    <row r="114" spans="4:9" ht="15" x14ac:dyDescent="0.15">
      <c r="D114" s="26" t="str">
        <f>IF(ANAGRAFICA!$B116="","",ANAGRAFICA!$B116)</f>
        <v/>
      </c>
      <c r="E114" s="26"/>
      <c r="F114" s="26" t="str">
        <f>IFERROR(INDEX(ANAGRAFICA!$B$6:$B$305,SMALL($I$4:$I$303,ROWS($F$4:F114))),"")</f>
        <v/>
      </c>
      <c r="G114" s="26"/>
      <c r="H114" s="26"/>
      <c r="I114" s="34" t="str">
        <f>IF(ANAGRAFICA!$B116="","",IF(ANAGRAFICA!$I116="","",IF(ANAGRAFICA!$I116&lt;DATE($B$11,1,1),111,"")))</f>
        <v/>
      </c>
    </row>
    <row r="115" spans="4:9" ht="15" x14ac:dyDescent="0.15">
      <c r="D115" s="26" t="str">
        <f>IF(ANAGRAFICA!$B117="","",ANAGRAFICA!$B117)</f>
        <v/>
      </c>
      <c r="E115" s="26"/>
      <c r="F115" s="26" t="str">
        <f>IFERROR(INDEX(ANAGRAFICA!$B$6:$B$305,SMALL($I$4:$I$303,ROWS($F$4:F115))),"")</f>
        <v/>
      </c>
      <c r="G115" s="26"/>
      <c r="H115" s="26"/>
      <c r="I115" s="34" t="str">
        <f>IF(ANAGRAFICA!$B117="","",IF(ANAGRAFICA!$I117="","",IF(ANAGRAFICA!$I117&lt;DATE($B$11,1,1),112,"")))</f>
        <v/>
      </c>
    </row>
    <row r="116" spans="4:9" ht="15" x14ac:dyDescent="0.15">
      <c r="D116" s="26" t="str">
        <f>IF(ANAGRAFICA!$B118="","",ANAGRAFICA!$B118)</f>
        <v/>
      </c>
      <c r="E116" s="26"/>
      <c r="F116" s="26" t="str">
        <f>IFERROR(INDEX(ANAGRAFICA!$B$6:$B$305,SMALL($I$4:$I$303,ROWS($F$4:F116))),"")</f>
        <v/>
      </c>
      <c r="G116" s="26"/>
      <c r="H116" s="26"/>
      <c r="I116" s="34" t="str">
        <f>IF(ANAGRAFICA!$B118="","",IF(ANAGRAFICA!$I118="","",IF(ANAGRAFICA!$I118&lt;DATE($B$11,1,1),113,"")))</f>
        <v/>
      </c>
    </row>
    <row r="117" spans="4:9" ht="15" x14ac:dyDescent="0.15">
      <c r="D117" s="26" t="str">
        <f>IF(ANAGRAFICA!$B119="","",ANAGRAFICA!$B119)</f>
        <v/>
      </c>
      <c r="E117" s="26"/>
      <c r="F117" s="26" t="str">
        <f>IFERROR(INDEX(ANAGRAFICA!$B$6:$B$305,SMALL($I$4:$I$303,ROWS($F$4:F117))),"")</f>
        <v/>
      </c>
      <c r="G117" s="26"/>
      <c r="H117" s="26"/>
      <c r="I117" s="34" t="str">
        <f>IF(ANAGRAFICA!$B119="","",IF(ANAGRAFICA!$I119="","",IF(ANAGRAFICA!$I119&lt;DATE($B$11,1,1),114,"")))</f>
        <v/>
      </c>
    </row>
    <row r="118" spans="4:9" ht="15" x14ac:dyDescent="0.15">
      <c r="D118" s="26" t="str">
        <f>IF(ANAGRAFICA!$B120="","",ANAGRAFICA!$B120)</f>
        <v/>
      </c>
      <c r="E118" s="26"/>
      <c r="F118" s="26" t="str">
        <f>IFERROR(INDEX(ANAGRAFICA!$B$6:$B$305,SMALL($I$4:$I$303,ROWS($F$4:F118))),"")</f>
        <v/>
      </c>
      <c r="G118" s="26"/>
      <c r="H118" s="26"/>
      <c r="I118" s="34" t="str">
        <f>IF(ANAGRAFICA!$B120="","",IF(ANAGRAFICA!$I120="","",IF(ANAGRAFICA!$I120&lt;DATE($B$11,1,1),115,"")))</f>
        <v/>
      </c>
    </row>
    <row r="119" spans="4:9" ht="15" x14ac:dyDescent="0.15">
      <c r="D119" s="26" t="str">
        <f>IF(ANAGRAFICA!$B121="","",ANAGRAFICA!$B121)</f>
        <v/>
      </c>
      <c r="E119" s="26"/>
      <c r="F119" s="26" t="str">
        <f>IFERROR(INDEX(ANAGRAFICA!$B$6:$B$305,SMALL($I$4:$I$303,ROWS($F$4:F119))),"")</f>
        <v/>
      </c>
      <c r="G119" s="26"/>
      <c r="H119" s="26"/>
      <c r="I119" s="34" t="str">
        <f>IF(ANAGRAFICA!$B121="","",IF(ANAGRAFICA!$I121="","",IF(ANAGRAFICA!$I121&lt;DATE($B$11,1,1),116,"")))</f>
        <v/>
      </c>
    </row>
    <row r="120" spans="4:9" ht="15" x14ac:dyDescent="0.15">
      <c r="D120" s="26" t="str">
        <f>IF(ANAGRAFICA!$B122="","",ANAGRAFICA!$B122)</f>
        <v/>
      </c>
      <c r="E120" s="26"/>
      <c r="F120" s="26" t="str">
        <f>IFERROR(INDEX(ANAGRAFICA!$B$6:$B$305,SMALL($I$4:$I$303,ROWS($F$4:F120))),"")</f>
        <v/>
      </c>
      <c r="G120" s="26"/>
      <c r="H120" s="26"/>
      <c r="I120" s="34" t="str">
        <f>IF(ANAGRAFICA!$B122="","",IF(ANAGRAFICA!$I122="","",IF(ANAGRAFICA!$I122&lt;DATE($B$11,1,1),117,"")))</f>
        <v/>
      </c>
    </row>
    <row r="121" spans="4:9" ht="15" x14ac:dyDescent="0.15">
      <c r="D121" s="26" t="str">
        <f>IF(ANAGRAFICA!$B123="","",ANAGRAFICA!$B123)</f>
        <v/>
      </c>
      <c r="E121" s="26"/>
      <c r="F121" s="26" t="str">
        <f>IFERROR(INDEX(ANAGRAFICA!$B$6:$B$305,SMALL($I$4:$I$303,ROWS($F$4:F121))),"")</f>
        <v/>
      </c>
      <c r="G121" s="26"/>
      <c r="H121" s="26"/>
      <c r="I121" s="34" t="str">
        <f>IF(ANAGRAFICA!$B123="","",IF(ANAGRAFICA!$I123="","",IF(ANAGRAFICA!$I123&lt;DATE($B$11,1,1),118,"")))</f>
        <v/>
      </c>
    </row>
    <row r="122" spans="4:9" ht="15" x14ac:dyDescent="0.15">
      <c r="D122" s="26" t="str">
        <f>IF(ANAGRAFICA!$B124="","",ANAGRAFICA!$B124)</f>
        <v/>
      </c>
      <c r="E122" s="26"/>
      <c r="F122" s="26" t="str">
        <f>IFERROR(INDEX(ANAGRAFICA!$B$6:$B$305,SMALL($I$4:$I$303,ROWS($F$4:F122))),"")</f>
        <v/>
      </c>
      <c r="G122" s="26"/>
      <c r="H122" s="26"/>
      <c r="I122" s="34" t="str">
        <f>IF(ANAGRAFICA!$B124="","",IF(ANAGRAFICA!$I124="","",IF(ANAGRAFICA!$I124&lt;DATE($B$11,1,1),119,"")))</f>
        <v/>
      </c>
    </row>
    <row r="123" spans="4:9" ht="15" x14ac:dyDescent="0.15">
      <c r="D123" s="26" t="str">
        <f>IF(ANAGRAFICA!$B125="","",ANAGRAFICA!$B125)</f>
        <v/>
      </c>
      <c r="E123" s="26"/>
      <c r="F123" s="26" t="str">
        <f>IFERROR(INDEX(ANAGRAFICA!$B$6:$B$305,SMALL($I$4:$I$303,ROWS($F$4:F123))),"")</f>
        <v/>
      </c>
      <c r="G123" s="26"/>
      <c r="H123" s="26"/>
      <c r="I123" s="34" t="str">
        <f>IF(ANAGRAFICA!$B125="","",IF(ANAGRAFICA!$I125="","",IF(ANAGRAFICA!$I125&lt;DATE($B$11,1,1),120,"")))</f>
        <v/>
      </c>
    </row>
    <row r="124" spans="4:9" ht="15" x14ac:dyDescent="0.15">
      <c r="D124" s="26" t="str">
        <f>IF(ANAGRAFICA!$B126="","",ANAGRAFICA!$B126)</f>
        <v/>
      </c>
      <c r="E124" s="26"/>
      <c r="F124" s="26" t="str">
        <f>IFERROR(INDEX(ANAGRAFICA!$B$6:$B$305,SMALL($I$4:$I$303,ROWS($F$4:F124))),"")</f>
        <v/>
      </c>
      <c r="G124" s="26"/>
      <c r="H124" s="26"/>
      <c r="I124" s="34" t="str">
        <f>IF(ANAGRAFICA!$B126="","",IF(ANAGRAFICA!$I126="","",IF(ANAGRAFICA!$I126&lt;DATE($B$11,1,1),121,"")))</f>
        <v/>
      </c>
    </row>
    <row r="125" spans="4:9" ht="15" x14ac:dyDescent="0.15">
      <c r="D125" s="26" t="str">
        <f>IF(ANAGRAFICA!$B127="","",ANAGRAFICA!$B127)</f>
        <v/>
      </c>
      <c r="E125" s="26"/>
      <c r="F125" s="26" t="str">
        <f>IFERROR(INDEX(ANAGRAFICA!$B$6:$B$305,SMALL($I$4:$I$303,ROWS($F$4:F125))),"")</f>
        <v/>
      </c>
      <c r="G125" s="26"/>
      <c r="H125" s="26"/>
      <c r="I125" s="34" t="str">
        <f>IF(ANAGRAFICA!$B127="","",IF(ANAGRAFICA!$I127="","",IF(ANAGRAFICA!$I127&lt;DATE($B$11,1,1),122,"")))</f>
        <v/>
      </c>
    </row>
    <row r="126" spans="4:9" ht="15" x14ac:dyDescent="0.15">
      <c r="D126" s="26" t="str">
        <f>IF(ANAGRAFICA!$B128="","",ANAGRAFICA!$B128)</f>
        <v/>
      </c>
      <c r="E126" s="26"/>
      <c r="F126" s="26" t="str">
        <f>IFERROR(INDEX(ANAGRAFICA!$B$6:$B$305,SMALL($I$4:$I$303,ROWS($F$4:F126))),"")</f>
        <v/>
      </c>
      <c r="G126" s="26"/>
      <c r="H126" s="26"/>
      <c r="I126" s="34" t="str">
        <f>IF(ANAGRAFICA!$B128="","",IF(ANAGRAFICA!$I128="","",IF(ANAGRAFICA!$I128&lt;DATE($B$11,1,1),123,"")))</f>
        <v/>
      </c>
    </row>
    <row r="127" spans="4:9" ht="15" x14ac:dyDescent="0.15">
      <c r="D127" s="26" t="str">
        <f>IF(ANAGRAFICA!$B129="","",ANAGRAFICA!$B129)</f>
        <v/>
      </c>
      <c r="E127" s="26"/>
      <c r="F127" s="26" t="str">
        <f>IFERROR(INDEX(ANAGRAFICA!$B$6:$B$305,SMALL($I$4:$I$303,ROWS($F$4:F127))),"")</f>
        <v/>
      </c>
      <c r="G127" s="26"/>
      <c r="H127" s="26"/>
      <c r="I127" s="34" t="str">
        <f>IF(ANAGRAFICA!$B129="","",IF(ANAGRAFICA!$I129="","",IF(ANAGRAFICA!$I129&lt;DATE($B$11,1,1),124,"")))</f>
        <v/>
      </c>
    </row>
    <row r="128" spans="4:9" ht="15" x14ac:dyDescent="0.15">
      <c r="D128" s="26" t="str">
        <f>IF(ANAGRAFICA!$B130="","",ANAGRAFICA!$B130)</f>
        <v/>
      </c>
      <c r="E128" s="26"/>
      <c r="F128" s="26" t="str">
        <f>IFERROR(INDEX(ANAGRAFICA!$B$6:$B$305,SMALL($I$4:$I$303,ROWS($F$4:F128))),"")</f>
        <v/>
      </c>
      <c r="G128" s="26"/>
      <c r="H128" s="26"/>
      <c r="I128" s="34" t="str">
        <f>IF(ANAGRAFICA!$B130="","",IF(ANAGRAFICA!$I130="","",IF(ANAGRAFICA!$I130&lt;DATE($B$11,1,1),125,"")))</f>
        <v/>
      </c>
    </row>
    <row r="129" spans="4:9" ht="15" x14ac:dyDescent="0.15">
      <c r="D129" s="26" t="str">
        <f>IF(ANAGRAFICA!$B131="","",ANAGRAFICA!$B131)</f>
        <v/>
      </c>
      <c r="E129" s="26"/>
      <c r="F129" s="26" t="str">
        <f>IFERROR(INDEX(ANAGRAFICA!$B$6:$B$305,SMALL($I$4:$I$303,ROWS($F$4:F129))),"")</f>
        <v/>
      </c>
      <c r="G129" s="26"/>
      <c r="H129" s="26"/>
      <c r="I129" s="34" t="str">
        <f>IF(ANAGRAFICA!$B131="","",IF(ANAGRAFICA!$I131="","",IF(ANAGRAFICA!$I131&lt;DATE($B$11,1,1),126,"")))</f>
        <v/>
      </c>
    </row>
    <row r="130" spans="4:9" ht="15" x14ac:dyDescent="0.15">
      <c r="D130" s="26" t="str">
        <f>IF(ANAGRAFICA!$B132="","",ANAGRAFICA!$B132)</f>
        <v/>
      </c>
      <c r="E130" s="26"/>
      <c r="F130" s="26" t="str">
        <f>IFERROR(INDEX(ANAGRAFICA!$B$6:$B$305,SMALL($I$4:$I$303,ROWS($F$4:F130))),"")</f>
        <v/>
      </c>
      <c r="G130" s="26"/>
      <c r="H130" s="26"/>
      <c r="I130" s="34" t="str">
        <f>IF(ANAGRAFICA!$B132="","",IF(ANAGRAFICA!$I132="","",IF(ANAGRAFICA!$I132&lt;DATE($B$11,1,1),127,"")))</f>
        <v/>
      </c>
    </row>
    <row r="131" spans="4:9" ht="15" x14ac:dyDescent="0.15">
      <c r="D131" s="26" t="str">
        <f>IF(ANAGRAFICA!$B133="","",ANAGRAFICA!$B133)</f>
        <v/>
      </c>
      <c r="E131" s="26"/>
      <c r="F131" s="26" t="str">
        <f>IFERROR(INDEX(ANAGRAFICA!$B$6:$B$305,SMALL($I$4:$I$303,ROWS($F$4:F131))),"")</f>
        <v/>
      </c>
      <c r="G131" s="26"/>
      <c r="H131" s="26"/>
      <c r="I131" s="34" t="str">
        <f>IF(ANAGRAFICA!$B133="","",IF(ANAGRAFICA!$I133="","",IF(ANAGRAFICA!$I133&lt;DATE($B$11,1,1),128,"")))</f>
        <v/>
      </c>
    </row>
    <row r="132" spans="4:9" ht="15" x14ac:dyDescent="0.15">
      <c r="D132" s="26" t="str">
        <f>IF(ANAGRAFICA!$B134="","",ANAGRAFICA!$B134)</f>
        <v/>
      </c>
      <c r="E132" s="26"/>
      <c r="F132" s="26" t="str">
        <f>IFERROR(INDEX(ANAGRAFICA!$B$6:$B$305,SMALL($I$4:$I$303,ROWS($F$4:F132))),"")</f>
        <v/>
      </c>
      <c r="G132" s="26"/>
      <c r="H132" s="26"/>
      <c r="I132" s="34" t="str">
        <f>IF(ANAGRAFICA!$B134="","",IF(ANAGRAFICA!$I134="","",IF(ANAGRAFICA!$I134&lt;DATE($B$11,1,1),129,"")))</f>
        <v/>
      </c>
    </row>
    <row r="133" spans="4:9" ht="15" x14ac:dyDescent="0.15">
      <c r="D133" s="26" t="str">
        <f>IF(ANAGRAFICA!$B135="","",ANAGRAFICA!$B135)</f>
        <v/>
      </c>
      <c r="E133" s="26"/>
      <c r="F133" s="26" t="str">
        <f>IFERROR(INDEX(ANAGRAFICA!$B$6:$B$305,SMALL($I$4:$I$303,ROWS($F$4:F133))),"")</f>
        <v/>
      </c>
      <c r="G133" s="26"/>
      <c r="H133" s="26"/>
      <c r="I133" s="34" t="str">
        <f>IF(ANAGRAFICA!$B135="","",IF(ANAGRAFICA!$I135="","",IF(ANAGRAFICA!$I135&lt;DATE($B$11,1,1),130,"")))</f>
        <v/>
      </c>
    </row>
    <row r="134" spans="4:9" ht="15" x14ac:dyDescent="0.15">
      <c r="D134" s="26" t="str">
        <f>IF(ANAGRAFICA!$B136="","",ANAGRAFICA!$B136)</f>
        <v/>
      </c>
      <c r="E134" s="26"/>
      <c r="F134" s="26" t="str">
        <f>IFERROR(INDEX(ANAGRAFICA!$B$6:$B$305,SMALL($I$4:$I$303,ROWS($F$4:F134))),"")</f>
        <v/>
      </c>
      <c r="G134" s="26"/>
      <c r="H134" s="26"/>
      <c r="I134" s="34" t="str">
        <f>IF(ANAGRAFICA!$B136="","",IF(ANAGRAFICA!$I136="","",IF(ANAGRAFICA!$I136&lt;DATE($B$11,1,1),131,"")))</f>
        <v/>
      </c>
    </row>
    <row r="135" spans="4:9" ht="15" x14ac:dyDescent="0.15">
      <c r="D135" s="26" t="str">
        <f>IF(ANAGRAFICA!$B137="","",ANAGRAFICA!$B137)</f>
        <v/>
      </c>
      <c r="E135" s="26"/>
      <c r="F135" s="26" t="str">
        <f>IFERROR(INDEX(ANAGRAFICA!$B$6:$B$305,SMALL($I$4:$I$303,ROWS($F$4:F135))),"")</f>
        <v/>
      </c>
      <c r="G135" s="26"/>
      <c r="H135" s="26"/>
      <c r="I135" s="34" t="str">
        <f>IF(ANAGRAFICA!$B137="","",IF(ANAGRAFICA!$I137="","",IF(ANAGRAFICA!$I137&lt;DATE($B$11,1,1),132,"")))</f>
        <v/>
      </c>
    </row>
    <row r="136" spans="4:9" ht="15" x14ac:dyDescent="0.15">
      <c r="D136" s="26" t="str">
        <f>IF(ANAGRAFICA!$B138="","",ANAGRAFICA!$B138)</f>
        <v/>
      </c>
      <c r="E136" s="26"/>
      <c r="F136" s="26" t="str">
        <f>IFERROR(INDEX(ANAGRAFICA!$B$6:$B$305,SMALL($I$4:$I$303,ROWS($F$4:F136))),"")</f>
        <v/>
      </c>
      <c r="G136" s="26"/>
      <c r="H136" s="26"/>
      <c r="I136" s="34" t="str">
        <f>IF(ANAGRAFICA!$B138="","",IF(ANAGRAFICA!$I138="","",IF(ANAGRAFICA!$I138&lt;DATE($B$11,1,1),133,"")))</f>
        <v/>
      </c>
    </row>
    <row r="137" spans="4:9" ht="15" x14ac:dyDescent="0.15">
      <c r="D137" s="26" t="str">
        <f>IF(ANAGRAFICA!$B139="","",ANAGRAFICA!$B139)</f>
        <v/>
      </c>
      <c r="E137" s="26"/>
      <c r="F137" s="26" t="str">
        <f>IFERROR(INDEX(ANAGRAFICA!$B$6:$B$305,SMALL($I$4:$I$303,ROWS($F$4:F137))),"")</f>
        <v/>
      </c>
      <c r="G137" s="26"/>
      <c r="H137" s="26"/>
      <c r="I137" s="34" t="str">
        <f>IF(ANAGRAFICA!$B139="","",IF(ANAGRAFICA!$I139="","",IF(ANAGRAFICA!$I139&lt;DATE($B$11,1,1),134,"")))</f>
        <v/>
      </c>
    </row>
    <row r="138" spans="4:9" ht="15" x14ac:dyDescent="0.15">
      <c r="D138" s="26" t="str">
        <f>IF(ANAGRAFICA!$B140="","",ANAGRAFICA!$B140)</f>
        <v/>
      </c>
      <c r="E138" s="26"/>
      <c r="F138" s="26" t="str">
        <f>IFERROR(INDEX(ANAGRAFICA!$B$6:$B$305,SMALL($I$4:$I$303,ROWS($F$4:F138))),"")</f>
        <v/>
      </c>
      <c r="G138" s="26"/>
      <c r="H138" s="26"/>
      <c r="I138" s="34" t="str">
        <f>IF(ANAGRAFICA!$B140="","",IF(ANAGRAFICA!$I140="","",IF(ANAGRAFICA!$I140&lt;DATE($B$11,1,1),135,"")))</f>
        <v/>
      </c>
    </row>
    <row r="139" spans="4:9" ht="15" x14ac:dyDescent="0.15">
      <c r="D139" s="26" t="str">
        <f>IF(ANAGRAFICA!$B141="","",ANAGRAFICA!$B141)</f>
        <v/>
      </c>
      <c r="E139" s="26"/>
      <c r="F139" s="26" t="str">
        <f>IFERROR(INDEX(ANAGRAFICA!$B$6:$B$305,SMALL($I$4:$I$303,ROWS($F$4:F139))),"")</f>
        <v/>
      </c>
      <c r="G139" s="26"/>
      <c r="H139" s="26"/>
      <c r="I139" s="34" t="str">
        <f>IF(ANAGRAFICA!$B141="","",IF(ANAGRAFICA!$I141="","",IF(ANAGRAFICA!$I141&lt;DATE($B$11,1,1),136,"")))</f>
        <v/>
      </c>
    </row>
    <row r="140" spans="4:9" ht="15" x14ac:dyDescent="0.15">
      <c r="D140" s="26" t="str">
        <f>IF(ANAGRAFICA!$B142="","",ANAGRAFICA!$B142)</f>
        <v/>
      </c>
      <c r="E140" s="26"/>
      <c r="F140" s="26" t="str">
        <f>IFERROR(INDEX(ANAGRAFICA!$B$6:$B$305,SMALL($I$4:$I$303,ROWS($F$4:F140))),"")</f>
        <v/>
      </c>
      <c r="G140" s="26"/>
      <c r="H140" s="26"/>
      <c r="I140" s="34" t="str">
        <f>IF(ANAGRAFICA!$B142="","",IF(ANAGRAFICA!$I142="","",IF(ANAGRAFICA!$I142&lt;DATE($B$11,1,1),137,"")))</f>
        <v/>
      </c>
    </row>
    <row r="141" spans="4:9" ht="15" x14ac:dyDescent="0.15">
      <c r="D141" s="26" t="str">
        <f>IF(ANAGRAFICA!$B143="","",ANAGRAFICA!$B143)</f>
        <v/>
      </c>
      <c r="E141" s="26"/>
      <c r="F141" s="26" t="str">
        <f>IFERROR(INDEX(ANAGRAFICA!$B$6:$B$305,SMALL($I$4:$I$303,ROWS($F$4:F141))),"")</f>
        <v/>
      </c>
      <c r="G141" s="26"/>
      <c r="H141" s="26"/>
      <c r="I141" s="34" t="str">
        <f>IF(ANAGRAFICA!$B143="","",IF(ANAGRAFICA!$I143="","",IF(ANAGRAFICA!$I143&lt;DATE($B$11,1,1),138,"")))</f>
        <v/>
      </c>
    </row>
    <row r="142" spans="4:9" ht="15" x14ac:dyDescent="0.15">
      <c r="D142" s="26" t="str">
        <f>IF(ANAGRAFICA!$B144="","",ANAGRAFICA!$B144)</f>
        <v/>
      </c>
      <c r="E142" s="26"/>
      <c r="F142" s="26" t="str">
        <f>IFERROR(INDEX(ANAGRAFICA!$B$6:$B$305,SMALL($I$4:$I$303,ROWS($F$4:F142))),"")</f>
        <v/>
      </c>
      <c r="G142" s="26"/>
      <c r="H142" s="26"/>
      <c r="I142" s="34" t="str">
        <f>IF(ANAGRAFICA!$B144="","",IF(ANAGRAFICA!$I144="","",IF(ANAGRAFICA!$I144&lt;DATE($B$11,1,1),139,"")))</f>
        <v/>
      </c>
    </row>
    <row r="143" spans="4:9" ht="15" x14ac:dyDescent="0.15">
      <c r="D143" s="26" t="str">
        <f>IF(ANAGRAFICA!$B145="","",ANAGRAFICA!$B145)</f>
        <v/>
      </c>
      <c r="E143" s="26"/>
      <c r="F143" s="26" t="str">
        <f>IFERROR(INDEX(ANAGRAFICA!$B$6:$B$305,SMALL($I$4:$I$303,ROWS($F$4:F143))),"")</f>
        <v/>
      </c>
      <c r="G143" s="26"/>
      <c r="H143" s="26"/>
      <c r="I143" s="34" t="str">
        <f>IF(ANAGRAFICA!$B145="","",IF(ANAGRAFICA!$I145="","",IF(ANAGRAFICA!$I145&lt;DATE($B$11,1,1),140,"")))</f>
        <v/>
      </c>
    </row>
    <row r="144" spans="4:9" ht="15" x14ac:dyDescent="0.15">
      <c r="D144" s="26" t="str">
        <f>IF(ANAGRAFICA!$B146="","",ANAGRAFICA!$B146)</f>
        <v/>
      </c>
      <c r="E144" s="26"/>
      <c r="F144" s="26" t="str">
        <f>IFERROR(INDEX(ANAGRAFICA!$B$6:$B$305,SMALL($I$4:$I$303,ROWS($F$4:F144))),"")</f>
        <v/>
      </c>
      <c r="G144" s="26"/>
      <c r="H144" s="26"/>
      <c r="I144" s="34" t="str">
        <f>IF(ANAGRAFICA!$B146="","",IF(ANAGRAFICA!$I146="","",IF(ANAGRAFICA!$I146&lt;DATE($B$11,1,1),141,"")))</f>
        <v/>
      </c>
    </row>
    <row r="145" spans="4:9" ht="15" x14ac:dyDescent="0.15">
      <c r="D145" s="26" t="str">
        <f>IF(ANAGRAFICA!$B147="","",ANAGRAFICA!$B147)</f>
        <v/>
      </c>
      <c r="E145" s="26"/>
      <c r="F145" s="26" t="str">
        <f>IFERROR(INDEX(ANAGRAFICA!$B$6:$B$305,SMALL($I$4:$I$303,ROWS($F$4:F145))),"")</f>
        <v/>
      </c>
      <c r="G145" s="26"/>
      <c r="H145" s="26"/>
      <c r="I145" s="34" t="str">
        <f>IF(ANAGRAFICA!$B147="","",IF(ANAGRAFICA!$I147="","",IF(ANAGRAFICA!$I147&lt;DATE($B$11,1,1),142,"")))</f>
        <v/>
      </c>
    </row>
    <row r="146" spans="4:9" ht="15" x14ac:dyDescent="0.15">
      <c r="D146" s="26" t="str">
        <f>IF(ANAGRAFICA!$B148="","",ANAGRAFICA!$B148)</f>
        <v/>
      </c>
      <c r="E146" s="26"/>
      <c r="F146" s="26" t="str">
        <f>IFERROR(INDEX(ANAGRAFICA!$B$6:$B$305,SMALL($I$4:$I$303,ROWS($F$4:F146))),"")</f>
        <v/>
      </c>
      <c r="G146" s="26"/>
      <c r="H146" s="26"/>
      <c r="I146" s="34" t="str">
        <f>IF(ANAGRAFICA!$B148="","",IF(ANAGRAFICA!$I148="","",IF(ANAGRAFICA!$I148&lt;DATE($B$11,1,1),143,"")))</f>
        <v/>
      </c>
    </row>
    <row r="147" spans="4:9" ht="15" x14ac:dyDescent="0.15">
      <c r="D147" s="26" t="str">
        <f>IF(ANAGRAFICA!$B149="","",ANAGRAFICA!$B149)</f>
        <v/>
      </c>
      <c r="E147" s="26"/>
      <c r="F147" s="26" t="str">
        <f>IFERROR(INDEX(ANAGRAFICA!$B$6:$B$305,SMALL($I$4:$I$303,ROWS($F$4:F147))),"")</f>
        <v/>
      </c>
      <c r="G147" s="26"/>
      <c r="H147" s="26"/>
      <c r="I147" s="34" t="str">
        <f>IF(ANAGRAFICA!$B149="","",IF(ANAGRAFICA!$I149="","",IF(ANAGRAFICA!$I149&lt;DATE($B$11,1,1),144,"")))</f>
        <v/>
      </c>
    </row>
    <row r="148" spans="4:9" ht="15" x14ac:dyDescent="0.15">
      <c r="D148" s="26" t="str">
        <f>IF(ANAGRAFICA!$B150="","",ANAGRAFICA!$B150)</f>
        <v/>
      </c>
      <c r="E148" s="26"/>
      <c r="F148" s="26" t="str">
        <f>IFERROR(INDEX(ANAGRAFICA!$B$6:$B$305,SMALL($I$4:$I$303,ROWS($F$4:F148))),"")</f>
        <v/>
      </c>
      <c r="G148" s="26"/>
      <c r="H148" s="26"/>
      <c r="I148" s="34" t="str">
        <f>IF(ANAGRAFICA!$B150="","",IF(ANAGRAFICA!$I150="","",IF(ANAGRAFICA!$I150&lt;DATE($B$11,1,1),145,"")))</f>
        <v/>
      </c>
    </row>
    <row r="149" spans="4:9" ht="15" x14ac:dyDescent="0.15">
      <c r="D149" s="26" t="str">
        <f>IF(ANAGRAFICA!$B151="","",ANAGRAFICA!$B151)</f>
        <v/>
      </c>
      <c r="E149" s="26"/>
      <c r="F149" s="26" t="str">
        <f>IFERROR(INDEX(ANAGRAFICA!$B$6:$B$305,SMALL($I$4:$I$303,ROWS($F$4:F149))),"")</f>
        <v/>
      </c>
      <c r="G149" s="26"/>
      <c r="H149" s="26"/>
      <c r="I149" s="34" t="str">
        <f>IF(ANAGRAFICA!$B151="","",IF(ANAGRAFICA!$I151="","",IF(ANAGRAFICA!$I151&lt;DATE($B$11,1,1),146,"")))</f>
        <v/>
      </c>
    </row>
    <row r="150" spans="4:9" ht="15" x14ac:dyDescent="0.15">
      <c r="D150" s="26" t="str">
        <f>IF(ANAGRAFICA!$B152="","",ANAGRAFICA!$B152)</f>
        <v/>
      </c>
      <c r="E150" s="26"/>
      <c r="F150" s="26" t="str">
        <f>IFERROR(INDEX(ANAGRAFICA!$B$6:$B$305,SMALL($I$4:$I$303,ROWS($F$4:F150))),"")</f>
        <v/>
      </c>
      <c r="G150" s="26"/>
      <c r="H150" s="26"/>
      <c r="I150" s="34" t="str">
        <f>IF(ANAGRAFICA!$B152="","",IF(ANAGRAFICA!$I152="","",IF(ANAGRAFICA!$I152&lt;DATE($B$11,1,1),147,"")))</f>
        <v/>
      </c>
    </row>
    <row r="151" spans="4:9" ht="15" x14ac:dyDescent="0.15">
      <c r="D151" s="26" t="str">
        <f>IF(ANAGRAFICA!$B153="","",ANAGRAFICA!$B153)</f>
        <v/>
      </c>
      <c r="E151" s="26"/>
      <c r="F151" s="26" t="str">
        <f>IFERROR(INDEX(ANAGRAFICA!$B$6:$B$305,SMALL($I$4:$I$303,ROWS($F$4:F151))),"")</f>
        <v/>
      </c>
      <c r="G151" s="26"/>
      <c r="H151" s="26"/>
      <c r="I151" s="34" t="str">
        <f>IF(ANAGRAFICA!$B153="","",IF(ANAGRAFICA!$I153="","",IF(ANAGRAFICA!$I153&lt;DATE($B$11,1,1),148,"")))</f>
        <v/>
      </c>
    </row>
    <row r="152" spans="4:9" ht="15" x14ac:dyDescent="0.15">
      <c r="D152" s="26" t="str">
        <f>IF(ANAGRAFICA!$B154="","",ANAGRAFICA!$B154)</f>
        <v/>
      </c>
      <c r="E152" s="26"/>
      <c r="F152" s="26" t="str">
        <f>IFERROR(INDEX(ANAGRAFICA!$B$6:$B$305,SMALL($I$4:$I$303,ROWS($F$4:F152))),"")</f>
        <v/>
      </c>
      <c r="G152" s="26"/>
      <c r="H152" s="26"/>
      <c r="I152" s="34" t="str">
        <f>IF(ANAGRAFICA!$B154="","",IF(ANAGRAFICA!$I154="","",IF(ANAGRAFICA!$I154&lt;DATE($B$11,1,1),149,"")))</f>
        <v/>
      </c>
    </row>
    <row r="153" spans="4:9" ht="15" x14ac:dyDescent="0.15">
      <c r="D153" s="26" t="str">
        <f>IF(ANAGRAFICA!$B155="","",ANAGRAFICA!$B155)</f>
        <v/>
      </c>
      <c r="E153" s="26"/>
      <c r="F153" s="26" t="str">
        <f>IFERROR(INDEX(ANAGRAFICA!$B$6:$B$305,SMALL($I$4:$I$303,ROWS($F$4:F153))),"")</f>
        <v/>
      </c>
      <c r="G153" s="26"/>
      <c r="H153" s="26"/>
      <c r="I153" s="34" t="str">
        <f>IF(ANAGRAFICA!$B155="","",IF(ANAGRAFICA!$I155="","",IF(ANAGRAFICA!$I155&lt;DATE($B$11,1,1),150,"")))</f>
        <v/>
      </c>
    </row>
    <row r="154" spans="4:9" ht="15" x14ac:dyDescent="0.15">
      <c r="D154" s="26" t="str">
        <f>IF(ANAGRAFICA!$B156="","",ANAGRAFICA!$B156)</f>
        <v/>
      </c>
      <c r="E154" s="26"/>
      <c r="F154" s="26" t="str">
        <f>IFERROR(INDEX(ANAGRAFICA!$B$6:$B$305,SMALL($I$4:$I$303,ROWS($F$4:F154))),"")</f>
        <v/>
      </c>
      <c r="G154" s="26"/>
      <c r="H154" s="26"/>
      <c r="I154" s="34" t="str">
        <f>IF(ANAGRAFICA!$B156="","",IF(ANAGRAFICA!$I156="","",IF(ANAGRAFICA!$I156&lt;DATE($B$11,1,1),151,"")))</f>
        <v/>
      </c>
    </row>
    <row r="155" spans="4:9" ht="15" x14ac:dyDescent="0.15">
      <c r="D155" s="26" t="str">
        <f>IF(ANAGRAFICA!$B157="","",ANAGRAFICA!$B157)</f>
        <v/>
      </c>
      <c r="E155" s="26"/>
      <c r="F155" s="26" t="str">
        <f>IFERROR(INDEX(ANAGRAFICA!$B$6:$B$305,SMALL($I$4:$I$303,ROWS($F$4:F155))),"")</f>
        <v/>
      </c>
      <c r="G155" s="26"/>
      <c r="H155" s="26"/>
      <c r="I155" s="34" t="str">
        <f>IF(ANAGRAFICA!$B157="","",IF(ANAGRAFICA!$I157="","",IF(ANAGRAFICA!$I157&lt;DATE($B$11,1,1),152,"")))</f>
        <v/>
      </c>
    </row>
    <row r="156" spans="4:9" ht="15" x14ac:dyDescent="0.15">
      <c r="D156" s="26" t="str">
        <f>IF(ANAGRAFICA!$B158="","",ANAGRAFICA!$B158)</f>
        <v/>
      </c>
      <c r="E156" s="26"/>
      <c r="F156" s="26" t="str">
        <f>IFERROR(INDEX(ANAGRAFICA!$B$6:$B$305,SMALL($I$4:$I$303,ROWS($F$4:F156))),"")</f>
        <v/>
      </c>
      <c r="G156" s="26"/>
      <c r="H156" s="26"/>
      <c r="I156" s="34" t="str">
        <f>IF(ANAGRAFICA!$B158="","",IF(ANAGRAFICA!$I158="","",IF(ANAGRAFICA!$I158&lt;DATE($B$11,1,1),153,"")))</f>
        <v/>
      </c>
    </row>
    <row r="157" spans="4:9" ht="15" x14ac:dyDescent="0.15">
      <c r="D157" s="26" t="str">
        <f>IF(ANAGRAFICA!$B159="","",ANAGRAFICA!$B159)</f>
        <v/>
      </c>
      <c r="E157" s="26"/>
      <c r="F157" s="26" t="str">
        <f>IFERROR(INDEX(ANAGRAFICA!$B$6:$B$305,SMALL($I$4:$I$303,ROWS($F$4:F157))),"")</f>
        <v/>
      </c>
      <c r="G157" s="26"/>
      <c r="H157" s="26"/>
      <c r="I157" s="34" t="str">
        <f>IF(ANAGRAFICA!$B159="","",IF(ANAGRAFICA!$I159="","",IF(ANAGRAFICA!$I159&lt;DATE($B$11,1,1),154,"")))</f>
        <v/>
      </c>
    </row>
    <row r="158" spans="4:9" ht="15" x14ac:dyDescent="0.15">
      <c r="D158" s="26" t="str">
        <f>IF(ANAGRAFICA!$B160="","",ANAGRAFICA!$B160)</f>
        <v/>
      </c>
      <c r="E158" s="26"/>
      <c r="F158" s="26" t="str">
        <f>IFERROR(INDEX(ANAGRAFICA!$B$6:$B$305,SMALL($I$4:$I$303,ROWS($F$4:F158))),"")</f>
        <v/>
      </c>
      <c r="G158" s="26"/>
      <c r="H158" s="26"/>
      <c r="I158" s="34" t="str">
        <f>IF(ANAGRAFICA!$B160="","",IF(ANAGRAFICA!$I160="","",IF(ANAGRAFICA!$I160&lt;DATE($B$11,1,1),155,"")))</f>
        <v/>
      </c>
    </row>
    <row r="159" spans="4:9" ht="15" x14ac:dyDescent="0.15">
      <c r="D159" s="26" t="str">
        <f>IF(ANAGRAFICA!$B161="","",ANAGRAFICA!$B161)</f>
        <v/>
      </c>
      <c r="E159" s="26"/>
      <c r="F159" s="26" t="str">
        <f>IFERROR(INDEX(ANAGRAFICA!$B$6:$B$305,SMALL($I$4:$I$303,ROWS($F$4:F159))),"")</f>
        <v/>
      </c>
      <c r="G159" s="26"/>
      <c r="H159" s="26"/>
      <c r="I159" s="34" t="str">
        <f>IF(ANAGRAFICA!$B161="","",IF(ANAGRAFICA!$I161="","",IF(ANAGRAFICA!$I161&lt;DATE($B$11,1,1),156,"")))</f>
        <v/>
      </c>
    </row>
    <row r="160" spans="4:9" ht="15" x14ac:dyDescent="0.15">
      <c r="D160" s="26" t="str">
        <f>IF(ANAGRAFICA!$B162="","",ANAGRAFICA!$B162)</f>
        <v/>
      </c>
      <c r="E160" s="26"/>
      <c r="F160" s="26" t="str">
        <f>IFERROR(INDEX(ANAGRAFICA!$B$6:$B$305,SMALL($I$4:$I$303,ROWS($F$4:F160))),"")</f>
        <v/>
      </c>
      <c r="G160" s="26"/>
      <c r="H160" s="26"/>
      <c r="I160" s="34" t="str">
        <f>IF(ANAGRAFICA!$B162="","",IF(ANAGRAFICA!$I162="","",IF(ANAGRAFICA!$I162&lt;DATE($B$11,1,1),157,"")))</f>
        <v/>
      </c>
    </row>
    <row r="161" spans="4:9" ht="15" x14ac:dyDescent="0.15">
      <c r="D161" s="26" t="str">
        <f>IF(ANAGRAFICA!$B163="","",ANAGRAFICA!$B163)</f>
        <v/>
      </c>
      <c r="E161" s="26"/>
      <c r="F161" s="26" t="str">
        <f>IFERROR(INDEX(ANAGRAFICA!$B$6:$B$305,SMALL($I$4:$I$303,ROWS($F$4:F161))),"")</f>
        <v/>
      </c>
      <c r="G161" s="26"/>
      <c r="H161" s="26"/>
      <c r="I161" s="34" t="str">
        <f>IF(ANAGRAFICA!$B163="","",IF(ANAGRAFICA!$I163="","",IF(ANAGRAFICA!$I163&lt;DATE($B$11,1,1),158,"")))</f>
        <v/>
      </c>
    </row>
    <row r="162" spans="4:9" ht="15" x14ac:dyDescent="0.15">
      <c r="D162" s="26" t="str">
        <f>IF(ANAGRAFICA!$B164="","",ANAGRAFICA!$B164)</f>
        <v/>
      </c>
      <c r="E162" s="26"/>
      <c r="F162" s="26" t="str">
        <f>IFERROR(INDEX(ANAGRAFICA!$B$6:$B$305,SMALL($I$4:$I$303,ROWS($F$4:F162))),"")</f>
        <v/>
      </c>
      <c r="G162" s="26"/>
      <c r="H162" s="26"/>
      <c r="I162" s="34" t="str">
        <f>IF(ANAGRAFICA!$B164="","",IF(ANAGRAFICA!$I164="","",IF(ANAGRAFICA!$I164&lt;DATE($B$11,1,1),159,"")))</f>
        <v/>
      </c>
    </row>
    <row r="163" spans="4:9" ht="15" x14ac:dyDescent="0.15">
      <c r="D163" s="26" t="str">
        <f>IF(ANAGRAFICA!$B165="","",ANAGRAFICA!$B165)</f>
        <v/>
      </c>
      <c r="E163" s="26"/>
      <c r="F163" s="26" t="str">
        <f>IFERROR(INDEX(ANAGRAFICA!$B$6:$B$305,SMALL($I$4:$I$303,ROWS($F$4:F163))),"")</f>
        <v/>
      </c>
      <c r="G163" s="26"/>
      <c r="H163" s="26"/>
      <c r="I163" s="34" t="str">
        <f>IF(ANAGRAFICA!$B165="","",IF(ANAGRAFICA!$I165="","",IF(ANAGRAFICA!$I165&lt;DATE($B$11,1,1),160,"")))</f>
        <v/>
      </c>
    </row>
    <row r="164" spans="4:9" ht="15" x14ac:dyDescent="0.15">
      <c r="D164" s="26" t="str">
        <f>IF(ANAGRAFICA!$B166="","",ANAGRAFICA!$B166)</f>
        <v/>
      </c>
      <c r="E164" s="26"/>
      <c r="F164" s="26" t="str">
        <f>IFERROR(INDEX(ANAGRAFICA!$B$6:$B$305,SMALL($I$4:$I$303,ROWS($F$4:F164))),"")</f>
        <v/>
      </c>
      <c r="G164" s="26"/>
      <c r="H164" s="26"/>
      <c r="I164" s="34" t="str">
        <f>IF(ANAGRAFICA!$B166="","",IF(ANAGRAFICA!$I166="","",IF(ANAGRAFICA!$I166&lt;DATE($B$11,1,1),161,"")))</f>
        <v/>
      </c>
    </row>
    <row r="165" spans="4:9" ht="15" x14ac:dyDescent="0.15">
      <c r="D165" s="26" t="str">
        <f>IF(ANAGRAFICA!$B167="","",ANAGRAFICA!$B167)</f>
        <v/>
      </c>
      <c r="E165" s="26"/>
      <c r="F165" s="26" t="str">
        <f>IFERROR(INDEX(ANAGRAFICA!$B$6:$B$305,SMALL($I$4:$I$303,ROWS($F$4:F165))),"")</f>
        <v/>
      </c>
      <c r="G165" s="26"/>
      <c r="H165" s="26"/>
      <c r="I165" s="34" t="str">
        <f>IF(ANAGRAFICA!$B167="","",IF(ANAGRAFICA!$I167="","",IF(ANAGRAFICA!$I167&lt;DATE($B$11,1,1),162,"")))</f>
        <v/>
      </c>
    </row>
    <row r="166" spans="4:9" ht="15" x14ac:dyDescent="0.15">
      <c r="D166" s="26" t="str">
        <f>IF(ANAGRAFICA!$B168="","",ANAGRAFICA!$B168)</f>
        <v/>
      </c>
      <c r="E166" s="26"/>
      <c r="F166" s="26" t="str">
        <f>IFERROR(INDEX(ANAGRAFICA!$B$6:$B$305,SMALL($I$4:$I$303,ROWS($F$4:F166))),"")</f>
        <v/>
      </c>
      <c r="G166" s="26"/>
      <c r="H166" s="26"/>
      <c r="I166" s="34" t="str">
        <f>IF(ANAGRAFICA!$B168="","",IF(ANAGRAFICA!$I168="","",IF(ANAGRAFICA!$I168&lt;DATE($B$11,1,1),163,"")))</f>
        <v/>
      </c>
    </row>
    <row r="167" spans="4:9" ht="15" x14ac:dyDescent="0.15">
      <c r="D167" s="26" t="str">
        <f>IF(ANAGRAFICA!$B169="","",ANAGRAFICA!$B169)</f>
        <v/>
      </c>
      <c r="E167" s="26"/>
      <c r="F167" s="26" t="str">
        <f>IFERROR(INDEX(ANAGRAFICA!$B$6:$B$305,SMALL($I$4:$I$303,ROWS($F$4:F167))),"")</f>
        <v/>
      </c>
      <c r="G167" s="26"/>
      <c r="H167" s="26"/>
      <c r="I167" s="34" t="str">
        <f>IF(ANAGRAFICA!$B169="","",IF(ANAGRAFICA!$I169="","",IF(ANAGRAFICA!$I169&lt;DATE($B$11,1,1),164,"")))</f>
        <v/>
      </c>
    </row>
    <row r="168" spans="4:9" ht="15" x14ac:dyDescent="0.15">
      <c r="D168" s="26" t="str">
        <f>IF(ANAGRAFICA!$B170="","",ANAGRAFICA!$B170)</f>
        <v/>
      </c>
      <c r="E168" s="26"/>
      <c r="F168" s="26" t="str">
        <f>IFERROR(INDEX(ANAGRAFICA!$B$6:$B$305,SMALL($I$4:$I$303,ROWS($F$4:F168))),"")</f>
        <v/>
      </c>
      <c r="G168" s="26"/>
      <c r="H168" s="26"/>
      <c r="I168" s="34" t="str">
        <f>IF(ANAGRAFICA!$B170="","",IF(ANAGRAFICA!$I170="","",IF(ANAGRAFICA!$I170&lt;DATE($B$11,1,1),165,"")))</f>
        <v/>
      </c>
    </row>
    <row r="169" spans="4:9" ht="15" x14ac:dyDescent="0.15">
      <c r="D169" s="26" t="str">
        <f>IF(ANAGRAFICA!$B171="","",ANAGRAFICA!$B171)</f>
        <v/>
      </c>
      <c r="E169" s="26"/>
      <c r="F169" s="26" t="str">
        <f>IFERROR(INDEX(ANAGRAFICA!$B$6:$B$305,SMALL($I$4:$I$303,ROWS($F$4:F169))),"")</f>
        <v/>
      </c>
      <c r="G169" s="26"/>
      <c r="H169" s="26"/>
      <c r="I169" s="34" t="str">
        <f>IF(ANAGRAFICA!$B171="","",IF(ANAGRAFICA!$I171="","",IF(ANAGRAFICA!$I171&lt;DATE($B$11,1,1),166,"")))</f>
        <v/>
      </c>
    </row>
    <row r="170" spans="4:9" ht="15" x14ac:dyDescent="0.15">
      <c r="D170" s="26" t="str">
        <f>IF(ANAGRAFICA!$B172="","",ANAGRAFICA!$B172)</f>
        <v/>
      </c>
      <c r="E170" s="26"/>
      <c r="F170" s="26" t="str">
        <f>IFERROR(INDEX(ANAGRAFICA!$B$6:$B$305,SMALL($I$4:$I$303,ROWS($F$4:F170))),"")</f>
        <v/>
      </c>
      <c r="G170" s="26"/>
      <c r="H170" s="26"/>
      <c r="I170" s="34" t="str">
        <f>IF(ANAGRAFICA!$B172="","",IF(ANAGRAFICA!$I172="","",IF(ANAGRAFICA!$I172&lt;DATE($B$11,1,1),167,"")))</f>
        <v/>
      </c>
    </row>
    <row r="171" spans="4:9" ht="15" x14ac:dyDescent="0.15">
      <c r="D171" s="26" t="str">
        <f>IF(ANAGRAFICA!$B173="","",ANAGRAFICA!$B173)</f>
        <v/>
      </c>
      <c r="E171" s="26"/>
      <c r="F171" s="26" t="str">
        <f>IFERROR(INDEX(ANAGRAFICA!$B$6:$B$305,SMALL($I$4:$I$303,ROWS($F$4:F171))),"")</f>
        <v/>
      </c>
      <c r="G171" s="26"/>
      <c r="H171" s="26"/>
      <c r="I171" s="34" t="str">
        <f>IF(ANAGRAFICA!$B173="","",IF(ANAGRAFICA!$I173="","",IF(ANAGRAFICA!$I173&lt;DATE($B$11,1,1),168,"")))</f>
        <v/>
      </c>
    </row>
    <row r="172" spans="4:9" ht="15" x14ac:dyDescent="0.15">
      <c r="D172" s="26" t="str">
        <f>IF(ANAGRAFICA!$B174="","",ANAGRAFICA!$B174)</f>
        <v/>
      </c>
      <c r="E172" s="26"/>
      <c r="F172" s="26" t="str">
        <f>IFERROR(INDEX(ANAGRAFICA!$B$6:$B$305,SMALL($I$4:$I$303,ROWS($F$4:F172))),"")</f>
        <v/>
      </c>
      <c r="G172" s="26"/>
      <c r="H172" s="26"/>
      <c r="I172" s="34" t="str">
        <f>IF(ANAGRAFICA!$B174="","",IF(ANAGRAFICA!$I174="","",IF(ANAGRAFICA!$I174&lt;DATE($B$11,1,1),169,"")))</f>
        <v/>
      </c>
    </row>
    <row r="173" spans="4:9" ht="15" x14ac:dyDescent="0.15">
      <c r="D173" s="26" t="str">
        <f>IF(ANAGRAFICA!$B175="","",ANAGRAFICA!$B175)</f>
        <v/>
      </c>
      <c r="E173" s="26"/>
      <c r="F173" s="26" t="str">
        <f>IFERROR(INDEX(ANAGRAFICA!$B$6:$B$305,SMALL($I$4:$I$303,ROWS($F$4:F173))),"")</f>
        <v/>
      </c>
      <c r="G173" s="26"/>
      <c r="H173" s="26"/>
      <c r="I173" s="34" t="str">
        <f>IF(ANAGRAFICA!$B175="","",IF(ANAGRAFICA!$I175="","",IF(ANAGRAFICA!$I175&lt;DATE($B$11,1,1),170,"")))</f>
        <v/>
      </c>
    </row>
    <row r="174" spans="4:9" ht="15" x14ac:dyDescent="0.15">
      <c r="D174" s="26" t="str">
        <f>IF(ANAGRAFICA!$B176="","",ANAGRAFICA!$B176)</f>
        <v/>
      </c>
      <c r="E174" s="26"/>
      <c r="F174" s="26" t="str">
        <f>IFERROR(INDEX(ANAGRAFICA!$B$6:$B$305,SMALL($I$4:$I$303,ROWS($F$4:F174))),"")</f>
        <v/>
      </c>
      <c r="G174" s="26"/>
      <c r="H174" s="26"/>
      <c r="I174" s="34" t="str">
        <f>IF(ANAGRAFICA!$B176="","",IF(ANAGRAFICA!$I176="","",IF(ANAGRAFICA!$I176&lt;DATE($B$11,1,1),171,"")))</f>
        <v/>
      </c>
    </row>
    <row r="175" spans="4:9" ht="15" x14ac:dyDescent="0.15">
      <c r="D175" s="26" t="str">
        <f>IF(ANAGRAFICA!$B177="","",ANAGRAFICA!$B177)</f>
        <v/>
      </c>
      <c r="E175" s="26"/>
      <c r="F175" s="26" t="str">
        <f>IFERROR(INDEX(ANAGRAFICA!$B$6:$B$305,SMALL($I$4:$I$303,ROWS($F$4:F175))),"")</f>
        <v/>
      </c>
      <c r="G175" s="26"/>
      <c r="H175" s="26"/>
      <c r="I175" s="34" t="str">
        <f>IF(ANAGRAFICA!$B177="","",IF(ANAGRAFICA!$I177="","",IF(ANAGRAFICA!$I177&lt;DATE($B$11,1,1),172,"")))</f>
        <v/>
      </c>
    </row>
    <row r="176" spans="4:9" ht="15" x14ac:dyDescent="0.15">
      <c r="D176" s="26" t="str">
        <f>IF(ANAGRAFICA!$B178="","",ANAGRAFICA!$B178)</f>
        <v/>
      </c>
      <c r="E176" s="26"/>
      <c r="F176" s="26" t="str">
        <f>IFERROR(INDEX(ANAGRAFICA!$B$6:$B$305,SMALL($I$4:$I$303,ROWS($F$4:F176))),"")</f>
        <v/>
      </c>
      <c r="G176" s="26"/>
      <c r="H176" s="26"/>
      <c r="I176" s="34" t="str">
        <f>IF(ANAGRAFICA!$B178="","",IF(ANAGRAFICA!$I178="","",IF(ANAGRAFICA!$I178&lt;DATE($B$11,1,1),173,"")))</f>
        <v/>
      </c>
    </row>
    <row r="177" spans="4:9" ht="15" x14ac:dyDescent="0.15">
      <c r="D177" s="26" t="str">
        <f>IF(ANAGRAFICA!$B179="","",ANAGRAFICA!$B179)</f>
        <v/>
      </c>
      <c r="E177" s="26"/>
      <c r="F177" s="26" t="str">
        <f>IFERROR(INDEX(ANAGRAFICA!$B$6:$B$305,SMALL($I$4:$I$303,ROWS($F$4:F177))),"")</f>
        <v/>
      </c>
      <c r="G177" s="26"/>
      <c r="H177" s="26"/>
      <c r="I177" s="34" t="str">
        <f>IF(ANAGRAFICA!$B179="","",IF(ANAGRAFICA!$I179="","",IF(ANAGRAFICA!$I179&lt;DATE($B$11,1,1),174,"")))</f>
        <v/>
      </c>
    </row>
    <row r="178" spans="4:9" ht="15" x14ac:dyDescent="0.15">
      <c r="D178" s="26" t="str">
        <f>IF(ANAGRAFICA!$B180="","",ANAGRAFICA!$B180)</f>
        <v/>
      </c>
      <c r="E178" s="26"/>
      <c r="F178" s="26" t="str">
        <f>IFERROR(INDEX(ANAGRAFICA!$B$6:$B$305,SMALL($I$4:$I$303,ROWS($F$4:F178))),"")</f>
        <v/>
      </c>
      <c r="G178" s="26"/>
      <c r="H178" s="26"/>
      <c r="I178" s="34" t="str">
        <f>IF(ANAGRAFICA!$B180="","",IF(ANAGRAFICA!$I180="","",IF(ANAGRAFICA!$I180&lt;DATE($B$11,1,1),175,"")))</f>
        <v/>
      </c>
    </row>
    <row r="179" spans="4:9" ht="15" x14ac:dyDescent="0.15">
      <c r="D179" s="26" t="str">
        <f>IF(ANAGRAFICA!$B181="","",ANAGRAFICA!$B181)</f>
        <v/>
      </c>
      <c r="E179" s="26"/>
      <c r="F179" s="26" t="str">
        <f>IFERROR(INDEX(ANAGRAFICA!$B$6:$B$305,SMALL($I$4:$I$303,ROWS($F$4:F179))),"")</f>
        <v/>
      </c>
      <c r="G179" s="26"/>
      <c r="H179" s="26"/>
      <c r="I179" s="34" t="str">
        <f>IF(ANAGRAFICA!$B181="","",IF(ANAGRAFICA!$I181="","",IF(ANAGRAFICA!$I181&lt;DATE($B$11,1,1),176,"")))</f>
        <v/>
      </c>
    </row>
    <row r="180" spans="4:9" ht="15" x14ac:dyDescent="0.15">
      <c r="D180" s="26" t="str">
        <f>IF(ANAGRAFICA!$B182="","",ANAGRAFICA!$B182)</f>
        <v/>
      </c>
      <c r="E180" s="26"/>
      <c r="F180" s="26" t="str">
        <f>IFERROR(INDEX(ANAGRAFICA!$B$6:$B$305,SMALL($I$4:$I$303,ROWS($F$4:F180))),"")</f>
        <v/>
      </c>
      <c r="G180" s="26"/>
      <c r="H180" s="26"/>
      <c r="I180" s="34" t="str">
        <f>IF(ANAGRAFICA!$B182="","",IF(ANAGRAFICA!$I182="","",IF(ANAGRAFICA!$I182&lt;DATE($B$11,1,1),177,"")))</f>
        <v/>
      </c>
    </row>
    <row r="181" spans="4:9" ht="15" x14ac:dyDescent="0.15">
      <c r="D181" s="26" t="str">
        <f>IF(ANAGRAFICA!$B183="","",ANAGRAFICA!$B183)</f>
        <v/>
      </c>
      <c r="E181" s="26"/>
      <c r="F181" s="26" t="str">
        <f>IFERROR(INDEX(ANAGRAFICA!$B$6:$B$305,SMALL($I$4:$I$303,ROWS($F$4:F181))),"")</f>
        <v/>
      </c>
      <c r="G181" s="26"/>
      <c r="H181" s="26"/>
      <c r="I181" s="34" t="str">
        <f>IF(ANAGRAFICA!$B183="","",IF(ANAGRAFICA!$I183="","",IF(ANAGRAFICA!$I183&lt;DATE($B$11,1,1),178,"")))</f>
        <v/>
      </c>
    </row>
    <row r="182" spans="4:9" ht="15" x14ac:dyDescent="0.15">
      <c r="D182" s="26" t="str">
        <f>IF(ANAGRAFICA!$B184="","",ANAGRAFICA!$B184)</f>
        <v/>
      </c>
      <c r="E182" s="26"/>
      <c r="F182" s="26" t="str">
        <f>IFERROR(INDEX(ANAGRAFICA!$B$6:$B$305,SMALL($I$4:$I$303,ROWS($F$4:F182))),"")</f>
        <v/>
      </c>
      <c r="G182" s="26"/>
      <c r="H182" s="26"/>
      <c r="I182" s="34" t="str">
        <f>IF(ANAGRAFICA!$B184="","",IF(ANAGRAFICA!$I184="","",IF(ANAGRAFICA!$I184&lt;DATE($B$11,1,1),179,"")))</f>
        <v/>
      </c>
    </row>
    <row r="183" spans="4:9" ht="15" x14ac:dyDescent="0.15">
      <c r="D183" s="26" t="str">
        <f>IF(ANAGRAFICA!$B185="","",ANAGRAFICA!$B185)</f>
        <v/>
      </c>
      <c r="E183" s="26"/>
      <c r="F183" s="26" t="str">
        <f>IFERROR(INDEX(ANAGRAFICA!$B$6:$B$305,SMALL($I$4:$I$303,ROWS($F$4:F183))),"")</f>
        <v/>
      </c>
      <c r="G183" s="26"/>
      <c r="H183" s="26"/>
      <c r="I183" s="34" t="str">
        <f>IF(ANAGRAFICA!$B185="","",IF(ANAGRAFICA!$I185="","",IF(ANAGRAFICA!$I185&lt;DATE($B$11,1,1),180,"")))</f>
        <v/>
      </c>
    </row>
    <row r="184" spans="4:9" ht="15" x14ac:dyDescent="0.15">
      <c r="D184" s="26" t="str">
        <f>IF(ANAGRAFICA!$B186="","",ANAGRAFICA!$B186)</f>
        <v/>
      </c>
      <c r="E184" s="26"/>
      <c r="F184" s="26" t="str">
        <f>IFERROR(INDEX(ANAGRAFICA!$B$6:$B$305,SMALL($I$4:$I$303,ROWS($F$4:F184))),"")</f>
        <v/>
      </c>
      <c r="G184" s="26"/>
      <c r="H184" s="26"/>
      <c r="I184" s="34" t="str">
        <f>IF(ANAGRAFICA!$B186="","",IF(ANAGRAFICA!$I186="","",IF(ANAGRAFICA!$I186&lt;DATE($B$11,1,1),181,"")))</f>
        <v/>
      </c>
    </row>
    <row r="185" spans="4:9" ht="15" x14ac:dyDescent="0.15">
      <c r="D185" s="26" t="str">
        <f>IF(ANAGRAFICA!$B187="","",ANAGRAFICA!$B187)</f>
        <v/>
      </c>
      <c r="E185" s="26"/>
      <c r="F185" s="26" t="str">
        <f>IFERROR(INDEX(ANAGRAFICA!$B$6:$B$305,SMALL($I$4:$I$303,ROWS($F$4:F185))),"")</f>
        <v/>
      </c>
      <c r="G185" s="26"/>
      <c r="H185" s="26"/>
      <c r="I185" s="34" t="str">
        <f>IF(ANAGRAFICA!$B187="","",IF(ANAGRAFICA!$I187="","",IF(ANAGRAFICA!$I187&lt;DATE($B$11,1,1),182,"")))</f>
        <v/>
      </c>
    </row>
    <row r="186" spans="4:9" ht="15" x14ac:dyDescent="0.15">
      <c r="D186" s="26" t="str">
        <f>IF(ANAGRAFICA!$B188="","",ANAGRAFICA!$B188)</f>
        <v/>
      </c>
      <c r="E186" s="26"/>
      <c r="F186" s="26" t="str">
        <f>IFERROR(INDEX(ANAGRAFICA!$B$6:$B$305,SMALL($I$4:$I$303,ROWS($F$4:F186))),"")</f>
        <v/>
      </c>
      <c r="G186" s="26"/>
      <c r="H186" s="26"/>
      <c r="I186" s="34" t="str">
        <f>IF(ANAGRAFICA!$B188="","",IF(ANAGRAFICA!$I188="","",IF(ANAGRAFICA!$I188&lt;DATE($B$11,1,1),183,"")))</f>
        <v/>
      </c>
    </row>
    <row r="187" spans="4:9" ht="15" x14ac:dyDescent="0.15">
      <c r="D187" s="26" t="str">
        <f>IF(ANAGRAFICA!$B189="","",ANAGRAFICA!$B189)</f>
        <v/>
      </c>
      <c r="E187" s="26"/>
      <c r="F187" s="26" t="str">
        <f>IFERROR(INDEX(ANAGRAFICA!$B$6:$B$305,SMALL($I$4:$I$303,ROWS($F$4:F187))),"")</f>
        <v/>
      </c>
      <c r="G187" s="26"/>
      <c r="H187" s="26"/>
      <c r="I187" s="34" t="str">
        <f>IF(ANAGRAFICA!$B189="","",IF(ANAGRAFICA!$I189="","",IF(ANAGRAFICA!$I189&lt;DATE($B$11,1,1),184,"")))</f>
        <v/>
      </c>
    </row>
    <row r="188" spans="4:9" ht="15" x14ac:dyDescent="0.15">
      <c r="D188" s="26" t="str">
        <f>IF(ANAGRAFICA!$B190="","",ANAGRAFICA!$B190)</f>
        <v/>
      </c>
      <c r="E188" s="26"/>
      <c r="F188" s="26" t="str">
        <f>IFERROR(INDEX(ANAGRAFICA!$B$6:$B$305,SMALL($I$4:$I$303,ROWS($F$4:F188))),"")</f>
        <v/>
      </c>
      <c r="G188" s="26"/>
      <c r="H188" s="26"/>
      <c r="I188" s="34" t="str">
        <f>IF(ANAGRAFICA!$B190="","",IF(ANAGRAFICA!$I190="","",IF(ANAGRAFICA!$I190&lt;DATE($B$11,1,1),185,"")))</f>
        <v/>
      </c>
    </row>
    <row r="189" spans="4:9" ht="15" x14ac:dyDescent="0.15">
      <c r="D189" s="26" t="str">
        <f>IF(ANAGRAFICA!$B191="","",ANAGRAFICA!$B191)</f>
        <v/>
      </c>
      <c r="E189" s="26"/>
      <c r="F189" s="26" t="str">
        <f>IFERROR(INDEX(ANAGRAFICA!$B$6:$B$305,SMALL($I$4:$I$303,ROWS($F$4:F189))),"")</f>
        <v/>
      </c>
      <c r="G189" s="26"/>
      <c r="H189" s="26"/>
      <c r="I189" s="34" t="str">
        <f>IF(ANAGRAFICA!$B191="","",IF(ANAGRAFICA!$I191="","",IF(ANAGRAFICA!$I191&lt;DATE($B$11,1,1),186,"")))</f>
        <v/>
      </c>
    </row>
    <row r="190" spans="4:9" ht="15" x14ac:dyDescent="0.15">
      <c r="D190" s="26" t="str">
        <f>IF(ANAGRAFICA!$B192="","",ANAGRAFICA!$B192)</f>
        <v/>
      </c>
      <c r="E190" s="26"/>
      <c r="F190" s="26" t="str">
        <f>IFERROR(INDEX(ANAGRAFICA!$B$6:$B$305,SMALL($I$4:$I$303,ROWS($F$4:F190))),"")</f>
        <v/>
      </c>
      <c r="G190" s="26"/>
      <c r="H190" s="26"/>
      <c r="I190" s="34" t="str">
        <f>IF(ANAGRAFICA!$B192="","",IF(ANAGRAFICA!$I192="","",IF(ANAGRAFICA!$I192&lt;DATE($B$11,1,1),187,"")))</f>
        <v/>
      </c>
    </row>
    <row r="191" spans="4:9" ht="15" x14ac:dyDescent="0.15">
      <c r="D191" s="26" t="str">
        <f>IF(ANAGRAFICA!$B193="","",ANAGRAFICA!$B193)</f>
        <v/>
      </c>
      <c r="E191" s="26"/>
      <c r="F191" s="26" t="str">
        <f>IFERROR(INDEX(ANAGRAFICA!$B$6:$B$305,SMALL($I$4:$I$303,ROWS($F$4:F191))),"")</f>
        <v/>
      </c>
      <c r="G191" s="26"/>
      <c r="H191" s="26"/>
      <c r="I191" s="34" t="str">
        <f>IF(ANAGRAFICA!$B193="","",IF(ANAGRAFICA!$I193="","",IF(ANAGRAFICA!$I193&lt;DATE($B$11,1,1),188,"")))</f>
        <v/>
      </c>
    </row>
    <row r="192" spans="4:9" ht="15" x14ac:dyDescent="0.15">
      <c r="D192" s="26" t="str">
        <f>IF(ANAGRAFICA!$B194="","",ANAGRAFICA!$B194)</f>
        <v/>
      </c>
      <c r="E192" s="26"/>
      <c r="F192" s="26" t="str">
        <f>IFERROR(INDEX(ANAGRAFICA!$B$6:$B$305,SMALL($I$4:$I$303,ROWS($F$4:F192))),"")</f>
        <v/>
      </c>
      <c r="G192" s="26"/>
      <c r="H192" s="26"/>
      <c r="I192" s="34" t="str">
        <f>IF(ANAGRAFICA!$B194="","",IF(ANAGRAFICA!$I194="","",IF(ANAGRAFICA!$I194&lt;DATE($B$11,1,1),189,"")))</f>
        <v/>
      </c>
    </row>
    <row r="193" spans="4:9" ht="15" x14ac:dyDescent="0.15">
      <c r="D193" s="26" t="str">
        <f>IF(ANAGRAFICA!$B195="","",ANAGRAFICA!$B195)</f>
        <v/>
      </c>
      <c r="E193" s="26"/>
      <c r="F193" s="26" t="str">
        <f>IFERROR(INDEX(ANAGRAFICA!$B$6:$B$305,SMALL($I$4:$I$303,ROWS($F$4:F193))),"")</f>
        <v/>
      </c>
      <c r="G193" s="26"/>
      <c r="H193" s="26"/>
      <c r="I193" s="34" t="str">
        <f>IF(ANAGRAFICA!$B195="","",IF(ANAGRAFICA!$I195="","",IF(ANAGRAFICA!$I195&lt;DATE($B$11,1,1),190,"")))</f>
        <v/>
      </c>
    </row>
    <row r="194" spans="4:9" ht="15" x14ac:dyDescent="0.15">
      <c r="D194" s="26" t="str">
        <f>IF(ANAGRAFICA!$B196="","",ANAGRAFICA!$B196)</f>
        <v/>
      </c>
      <c r="E194" s="26"/>
      <c r="F194" s="26" t="str">
        <f>IFERROR(INDEX(ANAGRAFICA!$B$6:$B$305,SMALL($I$4:$I$303,ROWS($F$4:F194))),"")</f>
        <v/>
      </c>
      <c r="G194" s="26"/>
      <c r="H194" s="26"/>
      <c r="I194" s="34" t="str">
        <f>IF(ANAGRAFICA!$B196="","",IF(ANAGRAFICA!$I196="","",IF(ANAGRAFICA!$I196&lt;DATE($B$11,1,1),191,"")))</f>
        <v/>
      </c>
    </row>
    <row r="195" spans="4:9" ht="15" x14ac:dyDescent="0.15">
      <c r="D195" s="26" t="str">
        <f>IF(ANAGRAFICA!$B197="","",ANAGRAFICA!$B197)</f>
        <v/>
      </c>
      <c r="E195" s="26"/>
      <c r="F195" s="26" t="str">
        <f>IFERROR(INDEX(ANAGRAFICA!$B$6:$B$305,SMALL($I$4:$I$303,ROWS($F$4:F195))),"")</f>
        <v/>
      </c>
      <c r="G195" s="26"/>
      <c r="H195" s="26"/>
      <c r="I195" s="34" t="str">
        <f>IF(ANAGRAFICA!$B197="","",IF(ANAGRAFICA!$I197="","",IF(ANAGRAFICA!$I197&lt;DATE($B$11,1,1),192,"")))</f>
        <v/>
      </c>
    </row>
    <row r="196" spans="4:9" ht="15" x14ac:dyDescent="0.15">
      <c r="D196" s="26" t="str">
        <f>IF(ANAGRAFICA!$B198="","",ANAGRAFICA!$B198)</f>
        <v/>
      </c>
      <c r="E196" s="26"/>
      <c r="F196" s="26" t="str">
        <f>IFERROR(INDEX(ANAGRAFICA!$B$6:$B$305,SMALL($I$4:$I$303,ROWS($F$4:F196))),"")</f>
        <v/>
      </c>
      <c r="G196" s="26"/>
      <c r="H196" s="26"/>
      <c r="I196" s="34" t="str">
        <f>IF(ANAGRAFICA!$B198="","",IF(ANAGRAFICA!$I198="","",IF(ANAGRAFICA!$I198&lt;DATE($B$11,1,1),193,"")))</f>
        <v/>
      </c>
    </row>
    <row r="197" spans="4:9" ht="15" x14ac:dyDescent="0.15">
      <c r="D197" s="26" t="str">
        <f>IF(ANAGRAFICA!$B199="","",ANAGRAFICA!$B199)</f>
        <v/>
      </c>
      <c r="E197" s="26"/>
      <c r="F197" s="26" t="str">
        <f>IFERROR(INDEX(ANAGRAFICA!$B$6:$B$305,SMALL($I$4:$I$303,ROWS($F$4:F197))),"")</f>
        <v/>
      </c>
      <c r="G197" s="26"/>
      <c r="H197" s="26"/>
      <c r="I197" s="34" t="str">
        <f>IF(ANAGRAFICA!$B199="","",IF(ANAGRAFICA!$I199="","",IF(ANAGRAFICA!$I199&lt;DATE($B$11,1,1),194,"")))</f>
        <v/>
      </c>
    </row>
    <row r="198" spans="4:9" ht="15" x14ac:dyDescent="0.15">
      <c r="D198" s="26" t="str">
        <f>IF(ANAGRAFICA!$B200="","",ANAGRAFICA!$B200)</f>
        <v/>
      </c>
      <c r="E198" s="26"/>
      <c r="F198" s="26" t="str">
        <f>IFERROR(INDEX(ANAGRAFICA!$B$6:$B$305,SMALL($I$4:$I$303,ROWS($F$4:F198))),"")</f>
        <v/>
      </c>
      <c r="G198" s="26"/>
      <c r="H198" s="26"/>
      <c r="I198" s="34" t="str">
        <f>IF(ANAGRAFICA!$B200="","",IF(ANAGRAFICA!$I200="","",IF(ANAGRAFICA!$I200&lt;DATE($B$11,1,1),195,"")))</f>
        <v/>
      </c>
    </row>
    <row r="199" spans="4:9" ht="15" x14ac:dyDescent="0.15">
      <c r="D199" s="26" t="str">
        <f>IF(ANAGRAFICA!$B201="","",ANAGRAFICA!$B201)</f>
        <v/>
      </c>
      <c r="E199" s="26"/>
      <c r="F199" s="26" t="str">
        <f>IFERROR(INDEX(ANAGRAFICA!$B$6:$B$305,SMALL($I$4:$I$303,ROWS($F$4:F199))),"")</f>
        <v/>
      </c>
      <c r="G199" s="26"/>
      <c r="H199" s="26"/>
      <c r="I199" s="34" t="str">
        <f>IF(ANAGRAFICA!$B201="","",IF(ANAGRAFICA!$I201="","",IF(ANAGRAFICA!$I201&lt;DATE($B$11,1,1),196,"")))</f>
        <v/>
      </c>
    </row>
    <row r="200" spans="4:9" ht="15" x14ac:dyDescent="0.15">
      <c r="D200" s="26" t="str">
        <f>IF(ANAGRAFICA!$B202="","",ANAGRAFICA!$B202)</f>
        <v/>
      </c>
      <c r="E200" s="26"/>
      <c r="F200" s="26" t="str">
        <f>IFERROR(INDEX(ANAGRAFICA!$B$6:$B$305,SMALL($I$4:$I$303,ROWS($F$4:F200))),"")</f>
        <v/>
      </c>
      <c r="G200" s="26"/>
      <c r="H200" s="26"/>
      <c r="I200" s="34" t="str">
        <f>IF(ANAGRAFICA!$B202="","",IF(ANAGRAFICA!$I202="","",IF(ANAGRAFICA!$I202&lt;DATE($B$11,1,1),197,"")))</f>
        <v/>
      </c>
    </row>
    <row r="201" spans="4:9" ht="15" x14ac:dyDescent="0.15">
      <c r="D201" s="26" t="str">
        <f>IF(ANAGRAFICA!$B203="","",ANAGRAFICA!$B203)</f>
        <v/>
      </c>
      <c r="E201" s="26"/>
      <c r="F201" s="26" t="str">
        <f>IFERROR(INDEX(ANAGRAFICA!$B$6:$B$305,SMALL($I$4:$I$303,ROWS($F$4:F201))),"")</f>
        <v/>
      </c>
      <c r="G201" s="26"/>
      <c r="H201" s="26"/>
      <c r="I201" s="34" t="str">
        <f>IF(ANAGRAFICA!$B203="","",IF(ANAGRAFICA!$I203="","",IF(ANAGRAFICA!$I203&lt;DATE($B$11,1,1),198,"")))</f>
        <v/>
      </c>
    </row>
    <row r="202" spans="4:9" ht="15" x14ac:dyDescent="0.15">
      <c r="D202" s="26" t="str">
        <f>IF(ANAGRAFICA!$B204="","",ANAGRAFICA!$B204)</f>
        <v/>
      </c>
      <c r="E202" s="26"/>
      <c r="F202" s="26" t="str">
        <f>IFERROR(INDEX(ANAGRAFICA!$B$6:$B$305,SMALL($I$4:$I$303,ROWS($F$4:F202))),"")</f>
        <v/>
      </c>
      <c r="G202" s="26"/>
      <c r="H202" s="26"/>
      <c r="I202" s="34" t="str">
        <f>IF(ANAGRAFICA!$B204="","",IF(ANAGRAFICA!$I204="","",IF(ANAGRAFICA!$I204&lt;DATE($B$11,1,1),199,"")))</f>
        <v/>
      </c>
    </row>
    <row r="203" spans="4:9" ht="15" x14ac:dyDescent="0.15">
      <c r="D203" s="26" t="str">
        <f>IF(ANAGRAFICA!$B205="","",ANAGRAFICA!$B205)</f>
        <v/>
      </c>
      <c r="E203" s="26"/>
      <c r="F203" s="26" t="str">
        <f>IFERROR(INDEX(ANAGRAFICA!$B$6:$B$305,SMALL($I$4:$I$303,ROWS($F$4:F203))),"")</f>
        <v/>
      </c>
      <c r="G203" s="26"/>
      <c r="H203" s="26"/>
      <c r="I203" s="34" t="str">
        <f>IF(ANAGRAFICA!$B205="","",IF(ANAGRAFICA!$I205="","",IF(ANAGRAFICA!$I205&lt;DATE($B$11,1,1),200,"")))</f>
        <v/>
      </c>
    </row>
    <row r="204" spans="4:9" ht="15" x14ac:dyDescent="0.15">
      <c r="D204" s="26" t="str">
        <f>IF(ANAGRAFICA!$B206="","",ANAGRAFICA!$B206)</f>
        <v/>
      </c>
      <c r="E204" s="26"/>
      <c r="F204" s="26" t="str">
        <f>IFERROR(INDEX(ANAGRAFICA!$B$6:$B$305,SMALL($I$4:$I$303,ROWS($F$4:F204))),"")</f>
        <v/>
      </c>
      <c r="G204" s="26"/>
      <c r="H204" s="26"/>
      <c r="I204" s="34" t="str">
        <f>IF(ANAGRAFICA!$B206="","",IF(ANAGRAFICA!$I206="","",IF(ANAGRAFICA!$I206&lt;DATE($B$11,1,1),201,"")))</f>
        <v/>
      </c>
    </row>
    <row r="205" spans="4:9" ht="15" x14ac:dyDescent="0.15">
      <c r="D205" s="26" t="str">
        <f>IF(ANAGRAFICA!$B207="","",ANAGRAFICA!$B207)</f>
        <v/>
      </c>
      <c r="E205" s="26"/>
      <c r="F205" s="26" t="str">
        <f>IFERROR(INDEX(ANAGRAFICA!$B$6:$B$305,SMALL($I$4:$I$303,ROWS($F$4:F205))),"")</f>
        <v/>
      </c>
      <c r="G205" s="26"/>
      <c r="H205" s="26"/>
      <c r="I205" s="34" t="str">
        <f>IF(ANAGRAFICA!$B207="","",IF(ANAGRAFICA!$I207="","",IF(ANAGRAFICA!$I207&lt;DATE($B$11,1,1),202,"")))</f>
        <v/>
      </c>
    </row>
    <row r="206" spans="4:9" ht="15" x14ac:dyDescent="0.15">
      <c r="D206" s="26" t="str">
        <f>IF(ANAGRAFICA!$B208="","",ANAGRAFICA!$B208)</f>
        <v/>
      </c>
      <c r="E206" s="26"/>
      <c r="F206" s="26" t="str">
        <f>IFERROR(INDEX(ANAGRAFICA!$B$6:$B$305,SMALL($I$4:$I$303,ROWS($F$4:F206))),"")</f>
        <v/>
      </c>
      <c r="G206" s="26"/>
      <c r="H206" s="26"/>
      <c r="I206" s="34" t="str">
        <f>IF(ANAGRAFICA!$B208="","",IF(ANAGRAFICA!$I208="","",IF(ANAGRAFICA!$I208&lt;DATE($B$11,1,1),203,"")))</f>
        <v/>
      </c>
    </row>
    <row r="207" spans="4:9" ht="15" x14ac:dyDescent="0.15">
      <c r="D207" s="26" t="str">
        <f>IF(ANAGRAFICA!$B209="","",ANAGRAFICA!$B209)</f>
        <v/>
      </c>
      <c r="E207" s="26"/>
      <c r="F207" s="26" t="str">
        <f>IFERROR(INDEX(ANAGRAFICA!$B$6:$B$305,SMALL($I$4:$I$303,ROWS($F$4:F207))),"")</f>
        <v/>
      </c>
      <c r="G207" s="26"/>
      <c r="H207" s="26"/>
      <c r="I207" s="34" t="str">
        <f>IF(ANAGRAFICA!$B209="","",IF(ANAGRAFICA!$I209="","",IF(ANAGRAFICA!$I209&lt;DATE($B$11,1,1),204,"")))</f>
        <v/>
      </c>
    </row>
    <row r="208" spans="4:9" ht="15" x14ac:dyDescent="0.15">
      <c r="D208" s="26" t="str">
        <f>IF(ANAGRAFICA!$B210="","",ANAGRAFICA!$B210)</f>
        <v/>
      </c>
      <c r="E208" s="26"/>
      <c r="F208" s="26" t="str">
        <f>IFERROR(INDEX(ANAGRAFICA!$B$6:$B$305,SMALL($I$4:$I$303,ROWS($F$4:F208))),"")</f>
        <v/>
      </c>
      <c r="G208" s="26"/>
      <c r="H208" s="26"/>
      <c r="I208" s="34" t="str">
        <f>IF(ANAGRAFICA!$B210="","",IF(ANAGRAFICA!$I210="","",IF(ANAGRAFICA!$I210&lt;DATE($B$11,1,1),205,"")))</f>
        <v/>
      </c>
    </row>
    <row r="209" spans="4:9" ht="15" x14ac:dyDescent="0.15">
      <c r="D209" s="26" t="str">
        <f>IF(ANAGRAFICA!$B211="","",ANAGRAFICA!$B211)</f>
        <v/>
      </c>
      <c r="E209" s="26"/>
      <c r="F209" s="26" t="str">
        <f>IFERROR(INDEX(ANAGRAFICA!$B$6:$B$305,SMALL($I$4:$I$303,ROWS($F$4:F209))),"")</f>
        <v/>
      </c>
      <c r="G209" s="26"/>
      <c r="H209" s="26"/>
      <c r="I209" s="34" t="str">
        <f>IF(ANAGRAFICA!$B211="","",IF(ANAGRAFICA!$I211="","",IF(ANAGRAFICA!$I211&lt;DATE($B$11,1,1),206,"")))</f>
        <v/>
      </c>
    </row>
    <row r="210" spans="4:9" ht="15" x14ac:dyDescent="0.15">
      <c r="D210" s="26" t="str">
        <f>IF(ANAGRAFICA!$B212="","",ANAGRAFICA!$B212)</f>
        <v/>
      </c>
      <c r="E210" s="26"/>
      <c r="F210" s="26" t="str">
        <f>IFERROR(INDEX(ANAGRAFICA!$B$6:$B$305,SMALL($I$4:$I$303,ROWS($F$4:F210))),"")</f>
        <v/>
      </c>
      <c r="G210" s="26"/>
      <c r="H210" s="26"/>
      <c r="I210" s="34" t="str">
        <f>IF(ANAGRAFICA!$B212="","",IF(ANAGRAFICA!$I212="","",IF(ANAGRAFICA!$I212&lt;DATE($B$11,1,1),207,"")))</f>
        <v/>
      </c>
    </row>
    <row r="211" spans="4:9" ht="15" x14ac:dyDescent="0.15">
      <c r="D211" s="26" t="str">
        <f>IF(ANAGRAFICA!$B213="","",ANAGRAFICA!$B213)</f>
        <v/>
      </c>
      <c r="E211" s="26"/>
      <c r="F211" s="26" t="str">
        <f>IFERROR(INDEX(ANAGRAFICA!$B$6:$B$305,SMALL($I$4:$I$303,ROWS($F$4:F211))),"")</f>
        <v/>
      </c>
      <c r="G211" s="26"/>
      <c r="H211" s="26"/>
      <c r="I211" s="34" t="str">
        <f>IF(ANAGRAFICA!$B213="","",IF(ANAGRAFICA!$I213="","",IF(ANAGRAFICA!$I213&lt;DATE($B$11,1,1),208,"")))</f>
        <v/>
      </c>
    </row>
    <row r="212" spans="4:9" ht="15" x14ac:dyDescent="0.15">
      <c r="D212" s="26" t="str">
        <f>IF(ANAGRAFICA!$B214="","",ANAGRAFICA!$B214)</f>
        <v/>
      </c>
      <c r="E212" s="26"/>
      <c r="F212" s="26" t="str">
        <f>IFERROR(INDEX(ANAGRAFICA!$B$6:$B$305,SMALL($I$4:$I$303,ROWS($F$4:F212))),"")</f>
        <v/>
      </c>
      <c r="G212" s="26"/>
      <c r="H212" s="26"/>
      <c r="I212" s="34" t="str">
        <f>IF(ANAGRAFICA!$B214="","",IF(ANAGRAFICA!$I214="","",IF(ANAGRAFICA!$I214&lt;DATE($B$11,1,1),209,"")))</f>
        <v/>
      </c>
    </row>
    <row r="213" spans="4:9" ht="15" x14ac:dyDescent="0.15">
      <c r="D213" s="26" t="str">
        <f>IF(ANAGRAFICA!$B215="","",ANAGRAFICA!$B215)</f>
        <v/>
      </c>
      <c r="E213" s="26"/>
      <c r="F213" s="26" t="str">
        <f>IFERROR(INDEX(ANAGRAFICA!$B$6:$B$305,SMALL($I$4:$I$303,ROWS($F$4:F213))),"")</f>
        <v/>
      </c>
      <c r="G213" s="26"/>
      <c r="H213" s="26"/>
      <c r="I213" s="34" t="str">
        <f>IF(ANAGRAFICA!$B215="","",IF(ANAGRAFICA!$I215="","",IF(ANAGRAFICA!$I215&lt;DATE($B$11,1,1),210,"")))</f>
        <v/>
      </c>
    </row>
    <row r="214" spans="4:9" ht="15" x14ac:dyDescent="0.15">
      <c r="D214" s="26" t="str">
        <f>IF(ANAGRAFICA!$B216="","",ANAGRAFICA!$B216)</f>
        <v/>
      </c>
      <c r="E214" s="26"/>
      <c r="F214" s="26" t="str">
        <f>IFERROR(INDEX(ANAGRAFICA!$B$6:$B$305,SMALL($I$4:$I$303,ROWS($F$4:F214))),"")</f>
        <v/>
      </c>
      <c r="G214" s="26"/>
      <c r="H214" s="26"/>
      <c r="I214" s="34" t="str">
        <f>IF(ANAGRAFICA!$B216="","",IF(ANAGRAFICA!$I216="","",IF(ANAGRAFICA!$I216&lt;DATE($B$11,1,1),211,"")))</f>
        <v/>
      </c>
    </row>
    <row r="215" spans="4:9" ht="15" x14ac:dyDescent="0.15">
      <c r="D215" s="26" t="str">
        <f>IF(ANAGRAFICA!$B217="","",ANAGRAFICA!$B217)</f>
        <v/>
      </c>
      <c r="E215" s="26"/>
      <c r="F215" s="26" t="str">
        <f>IFERROR(INDEX(ANAGRAFICA!$B$6:$B$305,SMALL($I$4:$I$303,ROWS($F$4:F215))),"")</f>
        <v/>
      </c>
      <c r="G215" s="26"/>
      <c r="H215" s="26"/>
      <c r="I215" s="34" t="str">
        <f>IF(ANAGRAFICA!$B217="","",IF(ANAGRAFICA!$I217="","",IF(ANAGRAFICA!$I217&lt;DATE($B$11,1,1),212,"")))</f>
        <v/>
      </c>
    </row>
    <row r="216" spans="4:9" ht="15" x14ac:dyDescent="0.15">
      <c r="D216" s="26" t="str">
        <f>IF(ANAGRAFICA!$B218="","",ANAGRAFICA!$B218)</f>
        <v/>
      </c>
      <c r="E216" s="26"/>
      <c r="F216" s="26" t="str">
        <f>IFERROR(INDEX(ANAGRAFICA!$B$6:$B$305,SMALL($I$4:$I$303,ROWS($F$4:F216))),"")</f>
        <v/>
      </c>
      <c r="G216" s="26"/>
      <c r="H216" s="26"/>
      <c r="I216" s="34" t="str">
        <f>IF(ANAGRAFICA!$B218="","",IF(ANAGRAFICA!$I218="","",IF(ANAGRAFICA!$I218&lt;DATE($B$11,1,1),213,"")))</f>
        <v/>
      </c>
    </row>
    <row r="217" spans="4:9" ht="15" x14ac:dyDescent="0.15">
      <c r="D217" s="26" t="str">
        <f>IF(ANAGRAFICA!$B219="","",ANAGRAFICA!$B219)</f>
        <v/>
      </c>
      <c r="E217" s="26"/>
      <c r="F217" s="26" t="str">
        <f>IFERROR(INDEX(ANAGRAFICA!$B$6:$B$305,SMALL($I$4:$I$303,ROWS($F$4:F217))),"")</f>
        <v/>
      </c>
      <c r="G217" s="26"/>
      <c r="H217" s="26"/>
      <c r="I217" s="34" t="str">
        <f>IF(ANAGRAFICA!$B219="","",IF(ANAGRAFICA!$I219="","",IF(ANAGRAFICA!$I219&lt;DATE($B$11,1,1),214,"")))</f>
        <v/>
      </c>
    </row>
    <row r="218" spans="4:9" ht="15" x14ac:dyDescent="0.15">
      <c r="D218" s="26" t="str">
        <f>IF(ANAGRAFICA!$B220="","",ANAGRAFICA!$B220)</f>
        <v/>
      </c>
      <c r="E218" s="26"/>
      <c r="F218" s="26" t="str">
        <f>IFERROR(INDEX(ANAGRAFICA!$B$6:$B$305,SMALL($I$4:$I$303,ROWS($F$4:F218))),"")</f>
        <v/>
      </c>
      <c r="G218" s="26"/>
      <c r="H218" s="26"/>
      <c r="I218" s="34" t="str">
        <f>IF(ANAGRAFICA!$B220="","",IF(ANAGRAFICA!$I220="","",IF(ANAGRAFICA!$I220&lt;DATE($B$11,1,1),215,"")))</f>
        <v/>
      </c>
    </row>
    <row r="219" spans="4:9" ht="15" x14ac:dyDescent="0.15">
      <c r="D219" s="26" t="str">
        <f>IF(ANAGRAFICA!$B221="","",ANAGRAFICA!$B221)</f>
        <v/>
      </c>
      <c r="E219" s="26"/>
      <c r="F219" s="26" t="str">
        <f>IFERROR(INDEX(ANAGRAFICA!$B$6:$B$305,SMALL($I$4:$I$303,ROWS($F$4:F219))),"")</f>
        <v/>
      </c>
      <c r="G219" s="26"/>
      <c r="H219" s="26"/>
      <c r="I219" s="34" t="str">
        <f>IF(ANAGRAFICA!$B221="","",IF(ANAGRAFICA!$I221="","",IF(ANAGRAFICA!$I221&lt;DATE($B$11,1,1),216,"")))</f>
        <v/>
      </c>
    </row>
    <row r="220" spans="4:9" ht="15" x14ac:dyDescent="0.15">
      <c r="D220" s="26" t="str">
        <f>IF(ANAGRAFICA!$B222="","",ANAGRAFICA!$B222)</f>
        <v/>
      </c>
      <c r="E220" s="26"/>
      <c r="F220" s="26" t="str">
        <f>IFERROR(INDEX(ANAGRAFICA!$B$6:$B$305,SMALL($I$4:$I$303,ROWS($F$4:F220))),"")</f>
        <v/>
      </c>
      <c r="G220" s="26"/>
      <c r="H220" s="26"/>
      <c r="I220" s="34" t="str">
        <f>IF(ANAGRAFICA!$B222="","",IF(ANAGRAFICA!$I222="","",IF(ANAGRAFICA!$I222&lt;DATE($B$11,1,1),217,"")))</f>
        <v/>
      </c>
    </row>
    <row r="221" spans="4:9" ht="15" x14ac:dyDescent="0.15">
      <c r="D221" s="26" t="str">
        <f>IF(ANAGRAFICA!$B223="","",ANAGRAFICA!$B223)</f>
        <v/>
      </c>
      <c r="E221" s="26"/>
      <c r="F221" s="26" t="str">
        <f>IFERROR(INDEX(ANAGRAFICA!$B$6:$B$305,SMALL($I$4:$I$303,ROWS($F$4:F221))),"")</f>
        <v/>
      </c>
      <c r="G221" s="26"/>
      <c r="H221" s="26"/>
      <c r="I221" s="34" t="str">
        <f>IF(ANAGRAFICA!$B223="","",IF(ANAGRAFICA!$I223="","",IF(ANAGRAFICA!$I223&lt;DATE($B$11,1,1),218,"")))</f>
        <v/>
      </c>
    </row>
    <row r="222" spans="4:9" ht="15" x14ac:dyDescent="0.15">
      <c r="D222" s="26" t="str">
        <f>IF(ANAGRAFICA!$B224="","",ANAGRAFICA!$B224)</f>
        <v/>
      </c>
      <c r="E222" s="26"/>
      <c r="F222" s="26" t="str">
        <f>IFERROR(INDEX(ANAGRAFICA!$B$6:$B$305,SMALL($I$4:$I$303,ROWS($F$4:F222))),"")</f>
        <v/>
      </c>
      <c r="G222" s="26"/>
      <c r="H222" s="26"/>
      <c r="I222" s="34" t="str">
        <f>IF(ANAGRAFICA!$B224="","",IF(ANAGRAFICA!$I224="","",IF(ANAGRAFICA!$I224&lt;DATE($B$11,1,1),219,"")))</f>
        <v/>
      </c>
    </row>
    <row r="223" spans="4:9" ht="15" x14ac:dyDescent="0.15">
      <c r="D223" s="26" t="str">
        <f>IF(ANAGRAFICA!$B225="","",ANAGRAFICA!$B225)</f>
        <v/>
      </c>
      <c r="E223" s="26"/>
      <c r="F223" s="26" t="str">
        <f>IFERROR(INDEX(ANAGRAFICA!$B$6:$B$305,SMALL($I$4:$I$303,ROWS($F$4:F223))),"")</f>
        <v/>
      </c>
      <c r="G223" s="26"/>
      <c r="H223" s="26"/>
      <c r="I223" s="34" t="str">
        <f>IF(ANAGRAFICA!$B225="","",IF(ANAGRAFICA!$I225="","",IF(ANAGRAFICA!$I225&lt;DATE($B$11,1,1),220,"")))</f>
        <v/>
      </c>
    </row>
    <row r="224" spans="4:9" ht="15" x14ac:dyDescent="0.15">
      <c r="D224" s="26" t="str">
        <f>IF(ANAGRAFICA!$B226="","",ANAGRAFICA!$B226)</f>
        <v/>
      </c>
      <c r="E224" s="26"/>
      <c r="F224" s="26" t="str">
        <f>IFERROR(INDEX(ANAGRAFICA!$B$6:$B$305,SMALL($I$4:$I$303,ROWS($F$4:F224))),"")</f>
        <v/>
      </c>
      <c r="G224" s="26"/>
      <c r="H224" s="26"/>
      <c r="I224" s="34" t="str">
        <f>IF(ANAGRAFICA!$B226="","",IF(ANAGRAFICA!$I226="","",IF(ANAGRAFICA!$I226&lt;DATE($B$11,1,1),221,"")))</f>
        <v/>
      </c>
    </row>
    <row r="225" spans="4:9" ht="15" x14ac:dyDescent="0.15">
      <c r="D225" s="26" t="str">
        <f>IF(ANAGRAFICA!$B227="","",ANAGRAFICA!$B227)</f>
        <v/>
      </c>
      <c r="E225" s="26"/>
      <c r="F225" s="26" t="str">
        <f>IFERROR(INDEX(ANAGRAFICA!$B$6:$B$305,SMALL($I$4:$I$303,ROWS($F$4:F225))),"")</f>
        <v/>
      </c>
      <c r="G225" s="26"/>
      <c r="H225" s="26"/>
      <c r="I225" s="34" t="str">
        <f>IF(ANAGRAFICA!$B227="","",IF(ANAGRAFICA!$I227="","",IF(ANAGRAFICA!$I227&lt;DATE($B$11,1,1),222,"")))</f>
        <v/>
      </c>
    </row>
    <row r="226" spans="4:9" ht="15" x14ac:dyDescent="0.15">
      <c r="D226" s="26" t="str">
        <f>IF(ANAGRAFICA!$B228="","",ANAGRAFICA!$B228)</f>
        <v/>
      </c>
      <c r="E226" s="26"/>
      <c r="F226" s="26" t="str">
        <f>IFERROR(INDEX(ANAGRAFICA!$B$6:$B$305,SMALL($I$4:$I$303,ROWS($F$4:F226))),"")</f>
        <v/>
      </c>
      <c r="G226" s="26"/>
      <c r="H226" s="26"/>
      <c r="I226" s="34" t="str">
        <f>IF(ANAGRAFICA!$B228="","",IF(ANAGRAFICA!$I228="","",IF(ANAGRAFICA!$I228&lt;DATE($B$11,1,1),223,"")))</f>
        <v/>
      </c>
    </row>
    <row r="227" spans="4:9" ht="15" x14ac:dyDescent="0.15">
      <c r="D227" s="26" t="str">
        <f>IF(ANAGRAFICA!$B229="","",ANAGRAFICA!$B229)</f>
        <v/>
      </c>
      <c r="E227" s="26"/>
      <c r="F227" s="26" t="str">
        <f>IFERROR(INDEX(ANAGRAFICA!$B$6:$B$305,SMALL($I$4:$I$303,ROWS($F$4:F227))),"")</f>
        <v/>
      </c>
      <c r="G227" s="26"/>
      <c r="H227" s="26"/>
      <c r="I227" s="34" t="str">
        <f>IF(ANAGRAFICA!$B229="","",IF(ANAGRAFICA!$I229="","",IF(ANAGRAFICA!$I229&lt;DATE($B$11,1,1),224,"")))</f>
        <v/>
      </c>
    </row>
    <row r="228" spans="4:9" ht="15" x14ac:dyDescent="0.15">
      <c r="D228" s="26" t="str">
        <f>IF(ANAGRAFICA!$B230="","",ANAGRAFICA!$B230)</f>
        <v/>
      </c>
      <c r="E228" s="26"/>
      <c r="F228" s="26" t="str">
        <f>IFERROR(INDEX(ANAGRAFICA!$B$6:$B$305,SMALL($I$4:$I$303,ROWS($F$4:F228))),"")</f>
        <v/>
      </c>
      <c r="G228" s="26"/>
      <c r="H228" s="26"/>
      <c r="I228" s="34" t="str">
        <f>IF(ANAGRAFICA!$B230="","",IF(ANAGRAFICA!$I230="","",IF(ANAGRAFICA!$I230&lt;DATE($B$11,1,1),225,"")))</f>
        <v/>
      </c>
    </row>
    <row r="229" spans="4:9" ht="15" x14ac:dyDescent="0.15">
      <c r="D229" s="26" t="str">
        <f>IF(ANAGRAFICA!$B231="","",ANAGRAFICA!$B231)</f>
        <v/>
      </c>
      <c r="E229" s="26"/>
      <c r="F229" s="26" t="str">
        <f>IFERROR(INDEX(ANAGRAFICA!$B$6:$B$305,SMALL($I$4:$I$303,ROWS($F$4:F229))),"")</f>
        <v/>
      </c>
      <c r="G229" s="26"/>
      <c r="H229" s="26"/>
      <c r="I229" s="34" t="str">
        <f>IF(ANAGRAFICA!$B231="","",IF(ANAGRAFICA!$I231="","",IF(ANAGRAFICA!$I231&lt;DATE($B$11,1,1),226,"")))</f>
        <v/>
      </c>
    </row>
    <row r="230" spans="4:9" ht="15" x14ac:dyDescent="0.15">
      <c r="D230" s="26" t="str">
        <f>IF(ANAGRAFICA!$B232="","",ANAGRAFICA!$B232)</f>
        <v/>
      </c>
      <c r="E230" s="26"/>
      <c r="F230" s="26" t="str">
        <f>IFERROR(INDEX(ANAGRAFICA!$B$6:$B$305,SMALL($I$4:$I$303,ROWS($F$4:F230))),"")</f>
        <v/>
      </c>
      <c r="G230" s="26"/>
      <c r="H230" s="26"/>
      <c r="I230" s="34" t="str">
        <f>IF(ANAGRAFICA!$B232="","",IF(ANAGRAFICA!$I232="","",IF(ANAGRAFICA!$I232&lt;DATE($B$11,1,1),227,"")))</f>
        <v/>
      </c>
    </row>
    <row r="231" spans="4:9" ht="15" x14ac:dyDescent="0.15">
      <c r="D231" s="26" t="str">
        <f>IF(ANAGRAFICA!$B233="","",ANAGRAFICA!$B233)</f>
        <v/>
      </c>
      <c r="E231" s="26"/>
      <c r="F231" s="26" t="str">
        <f>IFERROR(INDEX(ANAGRAFICA!$B$6:$B$305,SMALL($I$4:$I$303,ROWS($F$4:F231))),"")</f>
        <v/>
      </c>
      <c r="G231" s="26"/>
      <c r="H231" s="26"/>
      <c r="I231" s="34" t="str">
        <f>IF(ANAGRAFICA!$B233="","",IF(ANAGRAFICA!$I233="","",IF(ANAGRAFICA!$I233&lt;DATE($B$11,1,1),228,"")))</f>
        <v/>
      </c>
    </row>
    <row r="232" spans="4:9" ht="15" x14ac:dyDescent="0.15">
      <c r="D232" s="26" t="str">
        <f>IF(ANAGRAFICA!$B234="","",ANAGRAFICA!$B234)</f>
        <v/>
      </c>
      <c r="E232" s="26"/>
      <c r="F232" s="26" t="str">
        <f>IFERROR(INDEX(ANAGRAFICA!$B$6:$B$305,SMALL($I$4:$I$303,ROWS($F$4:F232))),"")</f>
        <v/>
      </c>
      <c r="G232" s="26"/>
      <c r="H232" s="26"/>
      <c r="I232" s="34" t="str">
        <f>IF(ANAGRAFICA!$B234="","",IF(ANAGRAFICA!$I234="","",IF(ANAGRAFICA!$I234&lt;DATE($B$11,1,1),229,"")))</f>
        <v/>
      </c>
    </row>
    <row r="233" spans="4:9" ht="15" x14ac:dyDescent="0.15">
      <c r="D233" s="26" t="str">
        <f>IF(ANAGRAFICA!$B235="","",ANAGRAFICA!$B235)</f>
        <v/>
      </c>
      <c r="E233" s="26"/>
      <c r="F233" s="26" t="str">
        <f>IFERROR(INDEX(ANAGRAFICA!$B$6:$B$305,SMALL($I$4:$I$303,ROWS($F$4:F233))),"")</f>
        <v/>
      </c>
      <c r="G233" s="26"/>
      <c r="H233" s="26"/>
      <c r="I233" s="34" t="str">
        <f>IF(ANAGRAFICA!$B235="","",IF(ANAGRAFICA!$I235="","",IF(ANAGRAFICA!$I235&lt;DATE($B$11,1,1),230,"")))</f>
        <v/>
      </c>
    </row>
    <row r="234" spans="4:9" ht="15" x14ac:dyDescent="0.15">
      <c r="D234" s="26" t="str">
        <f>IF(ANAGRAFICA!$B236="","",ANAGRAFICA!$B236)</f>
        <v/>
      </c>
      <c r="E234" s="26"/>
      <c r="F234" s="26" t="str">
        <f>IFERROR(INDEX(ANAGRAFICA!$B$6:$B$305,SMALL($I$4:$I$303,ROWS($F$4:F234))),"")</f>
        <v/>
      </c>
      <c r="G234" s="26"/>
      <c r="H234" s="26"/>
      <c r="I234" s="34" t="str">
        <f>IF(ANAGRAFICA!$B236="","",IF(ANAGRAFICA!$I236="","",IF(ANAGRAFICA!$I236&lt;DATE($B$11,1,1),231,"")))</f>
        <v/>
      </c>
    </row>
    <row r="235" spans="4:9" ht="15" x14ac:dyDescent="0.15">
      <c r="D235" s="26" t="str">
        <f>IF(ANAGRAFICA!$B237="","",ANAGRAFICA!$B237)</f>
        <v/>
      </c>
      <c r="E235" s="26"/>
      <c r="F235" s="26" t="str">
        <f>IFERROR(INDEX(ANAGRAFICA!$B$6:$B$305,SMALL($I$4:$I$303,ROWS($F$4:F235))),"")</f>
        <v/>
      </c>
      <c r="G235" s="26"/>
      <c r="H235" s="26"/>
      <c r="I235" s="34" t="str">
        <f>IF(ANAGRAFICA!$B237="","",IF(ANAGRAFICA!$I237="","",IF(ANAGRAFICA!$I237&lt;DATE($B$11,1,1),232,"")))</f>
        <v/>
      </c>
    </row>
    <row r="236" spans="4:9" ht="15" x14ac:dyDescent="0.15">
      <c r="D236" s="26" t="str">
        <f>IF(ANAGRAFICA!$B238="","",ANAGRAFICA!$B238)</f>
        <v/>
      </c>
      <c r="E236" s="26"/>
      <c r="F236" s="26" t="str">
        <f>IFERROR(INDEX(ANAGRAFICA!$B$6:$B$305,SMALL($I$4:$I$303,ROWS($F$4:F236))),"")</f>
        <v/>
      </c>
      <c r="G236" s="26"/>
      <c r="H236" s="26"/>
      <c r="I236" s="34" t="str">
        <f>IF(ANAGRAFICA!$B238="","",IF(ANAGRAFICA!$I238="","",IF(ANAGRAFICA!$I238&lt;DATE($B$11,1,1),233,"")))</f>
        <v/>
      </c>
    </row>
    <row r="237" spans="4:9" ht="15" x14ac:dyDescent="0.15">
      <c r="D237" s="26" t="str">
        <f>IF(ANAGRAFICA!$B239="","",ANAGRAFICA!$B239)</f>
        <v/>
      </c>
      <c r="E237" s="26"/>
      <c r="F237" s="26" t="str">
        <f>IFERROR(INDEX(ANAGRAFICA!$B$6:$B$305,SMALL($I$4:$I$303,ROWS($F$4:F237))),"")</f>
        <v/>
      </c>
      <c r="G237" s="26"/>
      <c r="H237" s="26"/>
      <c r="I237" s="34" t="str">
        <f>IF(ANAGRAFICA!$B239="","",IF(ANAGRAFICA!$I239="","",IF(ANAGRAFICA!$I239&lt;DATE($B$11,1,1),234,"")))</f>
        <v/>
      </c>
    </row>
    <row r="238" spans="4:9" ht="15" x14ac:dyDescent="0.15">
      <c r="D238" s="26" t="str">
        <f>IF(ANAGRAFICA!$B240="","",ANAGRAFICA!$B240)</f>
        <v/>
      </c>
      <c r="E238" s="26"/>
      <c r="F238" s="26" t="str">
        <f>IFERROR(INDEX(ANAGRAFICA!$B$6:$B$305,SMALL($I$4:$I$303,ROWS($F$4:F238))),"")</f>
        <v/>
      </c>
      <c r="G238" s="26"/>
      <c r="H238" s="26"/>
      <c r="I238" s="34" t="str">
        <f>IF(ANAGRAFICA!$B240="","",IF(ANAGRAFICA!$I240="","",IF(ANAGRAFICA!$I240&lt;DATE($B$11,1,1),235,"")))</f>
        <v/>
      </c>
    </row>
    <row r="239" spans="4:9" ht="15" x14ac:dyDescent="0.15">
      <c r="D239" s="26" t="str">
        <f>IF(ANAGRAFICA!$B241="","",ANAGRAFICA!$B241)</f>
        <v/>
      </c>
      <c r="E239" s="26"/>
      <c r="F239" s="26" t="str">
        <f>IFERROR(INDEX(ANAGRAFICA!$B$6:$B$305,SMALL($I$4:$I$303,ROWS($F$4:F239))),"")</f>
        <v/>
      </c>
      <c r="G239" s="26"/>
      <c r="H239" s="26"/>
      <c r="I239" s="34" t="str">
        <f>IF(ANAGRAFICA!$B241="","",IF(ANAGRAFICA!$I241="","",IF(ANAGRAFICA!$I241&lt;DATE($B$11,1,1),236,"")))</f>
        <v/>
      </c>
    </row>
    <row r="240" spans="4:9" ht="15" x14ac:dyDescent="0.15">
      <c r="D240" s="26" t="str">
        <f>IF(ANAGRAFICA!$B242="","",ANAGRAFICA!$B242)</f>
        <v/>
      </c>
      <c r="E240" s="26"/>
      <c r="F240" s="26" t="str">
        <f>IFERROR(INDEX(ANAGRAFICA!$B$6:$B$305,SMALL($I$4:$I$303,ROWS($F$4:F240))),"")</f>
        <v/>
      </c>
      <c r="G240" s="26"/>
      <c r="H240" s="26"/>
      <c r="I240" s="34" t="str">
        <f>IF(ANAGRAFICA!$B242="","",IF(ANAGRAFICA!$I242="","",IF(ANAGRAFICA!$I242&lt;DATE($B$11,1,1),237,"")))</f>
        <v/>
      </c>
    </row>
    <row r="241" spans="4:9" ht="15" x14ac:dyDescent="0.15">
      <c r="D241" s="26" t="str">
        <f>IF(ANAGRAFICA!$B243="","",ANAGRAFICA!$B243)</f>
        <v/>
      </c>
      <c r="E241" s="26"/>
      <c r="F241" s="26" t="str">
        <f>IFERROR(INDEX(ANAGRAFICA!$B$6:$B$305,SMALL($I$4:$I$303,ROWS($F$4:F241))),"")</f>
        <v/>
      </c>
      <c r="G241" s="26"/>
      <c r="H241" s="26"/>
      <c r="I241" s="34" t="str">
        <f>IF(ANAGRAFICA!$B243="","",IF(ANAGRAFICA!$I243="","",IF(ANAGRAFICA!$I243&lt;DATE($B$11,1,1),238,"")))</f>
        <v/>
      </c>
    </row>
    <row r="242" spans="4:9" ht="15" x14ac:dyDescent="0.15">
      <c r="D242" s="26" t="str">
        <f>IF(ANAGRAFICA!$B244="","",ANAGRAFICA!$B244)</f>
        <v/>
      </c>
      <c r="E242" s="26"/>
      <c r="F242" s="26" t="str">
        <f>IFERROR(INDEX(ANAGRAFICA!$B$6:$B$305,SMALL($I$4:$I$303,ROWS($F$4:F242))),"")</f>
        <v/>
      </c>
      <c r="G242" s="26"/>
      <c r="H242" s="26"/>
      <c r="I242" s="34" t="str">
        <f>IF(ANAGRAFICA!$B244="","",IF(ANAGRAFICA!$I244="","",IF(ANAGRAFICA!$I244&lt;DATE($B$11,1,1),239,"")))</f>
        <v/>
      </c>
    </row>
    <row r="243" spans="4:9" ht="15" x14ac:dyDescent="0.15">
      <c r="D243" s="26" t="str">
        <f>IF(ANAGRAFICA!$B245="","",ANAGRAFICA!$B245)</f>
        <v/>
      </c>
      <c r="E243" s="26"/>
      <c r="F243" s="26" t="str">
        <f>IFERROR(INDEX(ANAGRAFICA!$B$6:$B$305,SMALL($I$4:$I$303,ROWS($F$4:F243))),"")</f>
        <v/>
      </c>
      <c r="G243" s="26"/>
      <c r="H243" s="26"/>
      <c r="I243" s="34" t="str">
        <f>IF(ANAGRAFICA!$B245="","",IF(ANAGRAFICA!$I245="","",IF(ANAGRAFICA!$I245&lt;DATE($B$11,1,1),240,"")))</f>
        <v/>
      </c>
    </row>
    <row r="244" spans="4:9" ht="15" x14ac:dyDescent="0.15">
      <c r="D244" s="26" t="str">
        <f>IF(ANAGRAFICA!$B246="","",ANAGRAFICA!$B246)</f>
        <v/>
      </c>
      <c r="E244" s="26"/>
      <c r="F244" s="26" t="str">
        <f>IFERROR(INDEX(ANAGRAFICA!$B$6:$B$305,SMALL($I$4:$I$303,ROWS($F$4:F244))),"")</f>
        <v/>
      </c>
      <c r="G244" s="26"/>
      <c r="H244" s="26"/>
      <c r="I244" s="34" t="str">
        <f>IF(ANAGRAFICA!$B246="","",IF(ANAGRAFICA!$I246="","",IF(ANAGRAFICA!$I246&lt;DATE($B$11,1,1),241,"")))</f>
        <v/>
      </c>
    </row>
    <row r="245" spans="4:9" ht="15" x14ac:dyDescent="0.15">
      <c r="D245" s="26" t="str">
        <f>IF(ANAGRAFICA!$B247="","",ANAGRAFICA!$B247)</f>
        <v/>
      </c>
      <c r="E245" s="26"/>
      <c r="F245" s="26" t="str">
        <f>IFERROR(INDEX(ANAGRAFICA!$B$6:$B$305,SMALL($I$4:$I$303,ROWS($F$4:F245))),"")</f>
        <v/>
      </c>
      <c r="G245" s="26"/>
      <c r="H245" s="26"/>
      <c r="I245" s="34" t="str">
        <f>IF(ANAGRAFICA!$B247="","",IF(ANAGRAFICA!$I247="","",IF(ANAGRAFICA!$I247&lt;DATE($B$11,1,1),242,"")))</f>
        <v/>
      </c>
    </row>
    <row r="246" spans="4:9" ht="15" x14ac:dyDescent="0.15">
      <c r="D246" s="26" t="str">
        <f>IF(ANAGRAFICA!$B248="","",ANAGRAFICA!$B248)</f>
        <v/>
      </c>
      <c r="E246" s="26"/>
      <c r="F246" s="26" t="str">
        <f>IFERROR(INDEX(ANAGRAFICA!$B$6:$B$305,SMALL($I$4:$I$303,ROWS($F$4:F246))),"")</f>
        <v/>
      </c>
      <c r="G246" s="26"/>
      <c r="H246" s="26"/>
      <c r="I246" s="34" t="str">
        <f>IF(ANAGRAFICA!$B248="","",IF(ANAGRAFICA!$I248="","",IF(ANAGRAFICA!$I248&lt;DATE($B$11,1,1),243,"")))</f>
        <v/>
      </c>
    </row>
    <row r="247" spans="4:9" ht="15" x14ac:dyDescent="0.15">
      <c r="D247" s="26" t="str">
        <f>IF(ANAGRAFICA!$B249="","",ANAGRAFICA!$B249)</f>
        <v/>
      </c>
      <c r="E247" s="26"/>
      <c r="F247" s="26" t="str">
        <f>IFERROR(INDEX(ANAGRAFICA!$B$6:$B$305,SMALL($I$4:$I$303,ROWS($F$4:F247))),"")</f>
        <v/>
      </c>
      <c r="G247" s="26"/>
      <c r="H247" s="26"/>
      <c r="I247" s="34" t="str">
        <f>IF(ANAGRAFICA!$B249="","",IF(ANAGRAFICA!$I249="","",IF(ANAGRAFICA!$I249&lt;DATE($B$11,1,1),244,"")))</f>
        <v/>
      </c>
    </row>
    <row r="248" spans="4:9" ht="15" x14ac:dyDescent="0.15">
      <c r="D248" s="26" t="str">
        <f>IF(ANAGRAFICA!$B250="","",ANAGRAFICA!$B250)</f>
        <v/>
      </c>
      <c r="E248" s="26"/>
      <c r="F248" s="26" t="str">
        <f>IFERROR(INDEX(ANAGRAFICA!$B$6:$B$305,SMALL($I$4:$I$303,ROWS($F$4:F248))),"")</f>
        <v/>
      </c>
      <c r="G248" s="26"/>
      <c r="H248" s="26"/>
      <c r="I248" s="34" t="str">
        <f>IF(ANAGRAFICA!$B250="","",IF(ANAGRAFICA!$I250="","",IF(ANAGRAFICA!$I250&lt;DATE($B$11,1,1),245,"")))</f>
        <v/>
      </c>
    </row>
    <row r="249" spans="4:9" ht="15" x14ac:dyDescent="0.15">
      <c r="D249" s="26" t="str">
        <f>IF(ANAGRAFICA!$B251="","",ANAGRAFICA!$B251)</f>
        <v/>
      </c>
      <c r="E249" s="26"/>
      <c r="F249" s="26" t="str">
        <f>IFERROR(INDEX(ANAGRAFICA!$B$6:$B$305,SMALL($I$4:$I$303,ROWS($F$4:F249))),"")</f>
        <v/>
      </c>
      <c r="G249" s="26"/>
      <c r="H249" s="26"/>
      <c r="I249" s="34" t="str">
        <f>IF(ANAGRAFICA!$B251="","",IF(ANAGRAFICA!$I251="","",IF(ANAGRAFICA!$I251&lt;DATE($B$11,1,1),246,"")))</f>
        <v/>
      </c>
    </row>
    <row r="250" spans="4:9" ht="15" x14ac:dyDescent="0.15">
      <c r="D250" s="26" t="str">
        <f>IF(ANAGRAFICA!$B252="","",ANAGRAFICA!$B252)</f>
        <v/>
      </c>
      <c r="E250" s="26"/>
      <c r="F250" s="26" t="str">
        <f>IFERROR(INDEX(ANAGRAFICA!$B$6:$B$305,SMALL($I$4:$I$303,ROWS($F$4:F250))),"")</f>
        <v/>
      </c>
      <c r="G250" s="26"/>
      <c r="H250" s="26"/>
      <c r="I250" s="34" t="str">
        <f>IF(ANAGRAFICA!$B252="","",IF(ANAGRAFICA!$I252="","",IF(ANAGRAFICA!$I252&lt;DATE($B$11,1,1),247,"")))</f>
        <v/>
      </c>
    </row>
    <row r="251" spans="4:9" ht="15" x14ac:dyDescent="0.15">
      <c r="D251" s="26" t="str">
        <f>IF(ANAGRAFICA!$B253="","",ANAGRAFICA!$B253)</f>
        <v/>
      </c>
      <c r="E251" s="26"/>
      <c r="F251" s="26" t="str">
        <f>IFERROR(INDEX(ANAGRAFICA!$B$6:$B$305,SMALL($I$4:$I$303,ROWS($F$4:F251))),"")</f>
        <v/>
      </c>
      <c r="G251" s="26"/>
      <c r="H251" s="26"/>
      <c r="I251" s="34" t="str">
        <f>IF(ANAGRAFICA!$B253="","",IF(ANAGRAFICA!$I253="","",IF(ANAGRAFICA!$I253&lt;DATE($B$11,1,1),248,"")))</f>
        <v/>
      </c>
    </row>
    <row r="252" spans="4:9" ht="15" x14ac:dyDescent="0.15">
      <c r="D252" s="26" t="str">
        <f>IF(ANAGRAFICA!$B254="","",ANAGRAFICA!$B254)</f>
        <v/>
      </c>
      <c r="E252" s="26"/>
      <c r="F252" s="26" t="str">
        <f>IFERROR(INDEX(ANAGRAFICA!$B$6:$B$305,SMALL($I$4:$I$303,ROWS($F$4:F252))),"")</f>
        <v/>
      </c>
      <c r="G252" s="26"/>
      <c r="H252" s="26"/>
      <c r="I252" s="34" t="str">
        <f>IF(ANAGRAFICA!$B254="","",IF(ANAGRAFICA!$I254="","",IF(ANAGRAFICA!$I254&lt;DATE($B$11,1,1),249,"")))</f>
        <v/>
      </c>
    </row>
    <row r="253" spans="4:9" ht="15" x14ac:dyDescent="0.15">
      <c r="D253" s="26" t="str">
        <f>IF(ANAGRAFICA!$B255="","",ANAGRAFICA!$B255)</f>
        <v/>
      </c>
      <c r="E253" s="26"/>
      <c r="F253" s="26" t="str">
        <f>IFERROR(INDEX(ANAGRAFICA!$B$6:$B$305,SMALL($I$4:$I$303,ROWS($F$4:F253))),"")</f>
        <v/>
      </c>
      <c r="G253" s="26"/>
      <c r="H253" s="26"/>
      <c r="I253" s="34" t="str">
        <f>IF(ANAGRAFICA!$B255="","",IF(ANAGRAFICA!$I255="","",IF(ANAGRAFICA!$I255&lt;DATE($B$11,1,1),250,"")))</f>
        <v/>
      </c>
    </row>
    <row r="254" spans="4:9" ht="15" x14ac:dyDescent="0.15">
      <c r="D254" s="26" t="str">
        <f>IF(ANAGRAFICA!$B256="","",ANAGRAFICA!$B256)</f>
        <v/>
      </c>
      <c r="E254" s="26"/>
      <c r="F254" s="26" t="str">
        <f>IFERROR(INDEX(ANAGRAFICA!$B$6:$B$305,SMALL($I$4:$I$303,ROWS($F$4:F254))),"")</f>
        <v/>
      </c>
      <c r="G254" s="26"/>
      <c r="H254" s="26"/>
      <c r="I254" s="34" t="str">
        <f>IF(ANAGRAFICA!$B256="","",IF(ANAGRAFICA!$I256="","",IF(ANAGRAFICA!$I256&lt;DATE($B$11,1,1),251,"")))</f>
        <v/>
      </c>
    </row>
    <row r="255" spans="4:9" ht="15" x14ac:dyDescent="0.15">
      <c r="D255" s="26" t="str">
        <f>IF(ANAGRAFICA!$B257="","",ANAGRAFICA!$B257)</f>
        <v/>
      </c>
      <c r="E255" s="26"/>
      <c r="F255" s="26" t="str">
        <f>IFERROR(INDEX(ANAGRAFICA!$B$6:$B$305,SMALL($I$4:$I$303,ROWS($F$4:F255))),"")</f>
        <v/>
      </c>
      <c r="G255" s="26"/>
      <c r="H255" s="26"/>
      <c r="I255" s="34" t="str">
        <f>IF(ANAGRAFICA!$B257="","",IF(ANAGRAFICA!$I257="","",IF(ANAGRAFICA!$I257&lt;DATE($B$11,1,1),252,"")))</f>
        <v/>
      </c>
    </row>
    <row r="256" spans="4:9" ht="15" x14ac:dyDescent="0.15">
      <c r="D256" s="26" t="str">
        <f>IF(ANAGRAFICA!$B258="","",ANAGRAFICA!$B258)</f>
        <v/>
      </c>
      <c r="E256" s="26"/>
      <c r="F256" s="26" t="str">
        <f>IFERROR(INDEX(ANAGRAFICA!$B$6:$B$305,SMALL($I$4:$I$303,ROWS($F$4:F256))),"")</f>
        <v/>
      </c>
      <c r="G256" s="26"/>
      <c r="H256" s="26"/>
      <c r="I256" s="34" t="str">
        <f>IF(ANAGRAFICA!$B258="","",IF(ANAGRAFICA!$I258="","",IF(ANAGRAFICA!$I258&lt;DATE($B$11,1,1),253,"")))</f>
        <v/>
      </c>
    </row>
    <row r="257" spans="4:9" ht="15" x14ac:dyDescent="0.15">
      <c r="D257" s="26" t="str">
        <f>IF(ANAGRAFICA!$B259="","",ANAGRAFICA!$B259)</f>
        <v/>
      </c>
      <c r="E257" s="26"/>
      <c r="F257" s="26" t="str">
        <f>IFERROR(INDEX(ANAGRAFICA!$B$6:$B$305,SMALL($I$4:$I$303,ROWS($F$4:F257))),"")</f>
        <v/>
      </c>
      <c r="G257" s="26"/>
      <c r="H257" s="26"/>
      <c r="I257" s="34" t="str">
        <f>IF(ANAGRAFICA!$B259="","",IF(ANAGRAFICA!$I259="","",IF(ANAGRAFICA!$I259&lt;DATE($B$11,1,1),254,"")))</f>
        <v/>
      </c>
    </row>
    <row r="258" spans="4:9" ht="15" x14ac:dyDescent="0.15">
      <c r="D258" s="26" t="str">
        <f>IF(ANAGRAFICA!$B260="","",ANAGRAFICA!$B260)</f>
        <v/>
      </c>
      <c r="E258" s="26"/>
      <c r="F258" s="26" t="str">
        <f>IFERROR(INDEX(ANAGRAFICA!$B$6:$B$305,SMALL($I$4:$I$303,ROWS($F$4:F258))),"")</f>
        <v/>
      </c>
      <c r="G258" s="26"/>
      <c r="H258" s="26"/>
      <c r="I258" s="34" t="str">
        <f>IF(ANAGRAFICA!$B260="","",IF(ANAGRAFICA!$I260="","",IF(ANAGRAFICA!$I260&lt;DATE($B$11,1,1),255,"")))</f>
        <v/>
      </c>
    </row>
    <row r="259" spans="4:9" ht="15" x14ac:dyDescent="0.15">
      <c r="D259" s="26" t="str">
        <f>IF(ANAGRAFICA!$B261="","",ANAGRAFICA!$B261)</f>
        <v/>
      </c>
      <c r="E259" s="26"/>
      <c r="F259" s="26" t="str">
        <f>IFERROR(INDEX(ANAGRAFICA!$B$6:$B$305,SMALL($I$4:$I$303,ROWS($F$4:F259))),"")</f>
        <v/>
      </c>
      <c r="G259" s="26"/>
      <c r="H259" s="26"/>
      <c r="I259" s="34" t="str">
        <f>IF(ANAGRAFICA!$B261="","",IF(ANAGRAFICA!$I261="","",IF(ANAGRAFICA!$I261&lt;DATE($B$11,1,1),256,"")))</f>
        <v/>
      </c>
    </row>
    <row r="260" spans="4:9" ht="15" x14ac:dyDescent="0.15">
      <c r="D260" s="26" t="str">
        <f>IF(ANAGRAFICA!$B262="","",ANAGRAFICA!$B262)</f>
        <v/>
      </c>
      <c r="E260" s="26"/>
      <c r="F260" s="26" t="str">
        <f>IFERROR(INDEX(ANAGRAFICA!$B$6:$B$305,SMALL($I$4:$I$303,ROWS($F$4:F260))),"")</f>
        <v/>
      </c>
      <c r="G260" s="26"/>
      <c r="H260" s="26"/>
      <c r="I260" s="34" t="str">
        <f>IF(ANAGRAFICA!$B262="","",IF(ANAGRAFICA!$I262="","",IF(ANAGRAFICA!$I262&lt;DATE($B$11,1,1),257,"")))</f>
        <v/>
      </c>
    </row>
    <row r="261" spans="4:9" ht="15" x14ac:dyDescent="0.15">
      <c r="D261" s="26" t="str">
        <f>IF(ANAGRAFICA!$B263="","",ANAGRAFICA!$B263)</f>
        <v/>
      </c>
      <c r="E261" s="26"/>
      <c r="F261" s="26" t="str">
        <f>IFERROR(INDEX(ANAGRAFICA!$B$6:$B$305,SMALL($I$4:$I$303,ROWS($F$4:F261))),"")</f>
        <v/>
      </c>
      <c r="G261" s="26"/>
      <c r="H261" s="26"/>
      <c r="I261" s="34" t="str">
        <f>IF(ANAGRAFICA!$B263="","",IF(ANAGRAFICA!$I263="","",IF(ANAGRAFICA!$I263&lt;DATE($B$11,1,1),258,"")))</f>
        <v/>
      </c>
    </row>
    <row r="262" spans="4:9" ht="15" x14ac:dyDescent="0.15">
      <c r="D262" s="26" t="str">
        <f>IF(ANAGRAFICA!$B264="","",ANAGRAFICA!$B264)</f>
        <v/>
      </c>
      <c r="E262" s="26"/>
      <c r="F262" s="26" t="str">
        <f>IFERROR(INDEX(ANAGRAFICA!$B$6:$B$305,SMALL($I$4:$I$303,ROWS($F$4:F262))),"")</f>
        <v/>
      </c>
      <c r="G262" s="26"/>
      <c r="H262" s="26"/>
      <c r="I262" s="34" t="str">
        <f>IF(ANAGRAFICA!$B264="","",IF(ANAGRAFICA!$I264="","",IF(ANAGRAFICA!$I264&lt;DATE($B$11,1,1),259,"")))</f>
        <v/>
      </c>
    </row>
    <row r="263" spans="4:9" ht="15" x14ac:dyDescent="0.15">
      <c r="D263" s="26" t="str">
        <f>IF(ANAGRAFICA!$B265="","",ANAGRAFICA!$B265)</f>
        <v/>
      </c>
      <c r="E263" s="26"/>
      <c r="F263" s="26" t="str">
        <f>IFERROR(INDEX(ANAGRAFICA!$B$6:$B$305,SMALL($I$4:$I$303,ROWS($F$4:F263))),"")</f>
        <v/>
      </c>
      <c r="G263" s="26"/>
      <c r="H263" s="26"/>
      <c r="I263" s="34" t="str">
        <f>IF(ANAGRAFICA!$B265="","",IF(ANAGRAFICA!$I265="","",IF(ANAGRAFICA!$I265&lt;DATE($B$11,1,1),260,"")))</f>
        <v/>
      </c>
    </row>
    <row r="264" spans="4:9" ht="15" x14ac:dyDescent="0.15">
      <c r="D264" s="26" t="str">
        <f>IF(ANAGRAFICA!$B266="","",ANAGRAFICA!$B266)</f>
        <v/>
      </c>
      <c r="E264" s="26"/>
      <c r="F264" s="26" t="str">
        <f>IFERROR(INDEX(ANAGRAFICA!$B$6:$B$305,SMALL($I$4:$I$303,ROWS($F$4:F264))),"")</f>
        <v/>
      </c>
      <c r="G264" s="26"/>
      <c r="H264" s="26"/>
      <c r="I264" s="34" t="str">
        <f>IF(ANAGRAFICA!$B266="","",IF(ANAGRAFICA!$I266="","",IF(ANAGRAFICA!$I266&lt;DATE($B$11,1,1),261,"")))</f>
        <v/>
      </c>
    </row>
    <row r="265" spans="4:9" ht="15" x14ac:dyDescent="0.15">
      <c r="D265" s="26" t="str">
        <f>IF(ANAGRAFICA!$B267="","",ANAGRAFICA!$B267)</f>
        <v/>
      </c>
      <c r="E265" s="26"/>
      <c r="F265" s="26" t="str">
        <f>IFERROR(INDEX(ANAGRAFICA!$B$6:$B$305,SMALL($I$4:$I$303,ROWS($F$4:F265))),"")</f>
        <v/>
      </c>
      <c r="G265" s="26"/>
      <c r="H265" s="26"/>
      <c r="I265" s="34" t="str">
        <f>IF(ANAGRAFICA!$B267="","",IF(ANAGRAFICA!$I267="","",IF(ANAGRAFICA!$I267&lt;DATE($B$11,1,1),262,"")))</f>
        <v/>
      </c>
    </row>
    <row r="266" spans="4:9" ht="15" x14ac:dyDescent="0.15">
      <c r="D266" s="26" t="str">
        <f>IF(ANAGRAFICA!$B268="","",ANAGRAFICA!$B268)</f>
        <v/>
      </c>
      <c r="E266" s="26"/>
      <c r="F266" s="26" t="str">
        <f>IFERROR(INDEX(ANAGRAFICA!$B$6:$B$305,SMALL($I$4:$I$303,ROWS($F$4:F266))),"")</f>
        <v/>
      </c>
      <c r="G266" s="26"/>
      <c r="H266" s="26"/>
      <c r="I266" s="34" t="str">
        <f>IF(ANAGRAFICA!$B268="","",IF(ANAGRAFICA!$I268="","",IF(ANAGRAFICA!$I268&lt;DATE($B$11,1,1),263,"")))</f>
        <v/>
      </c>
    </row>
    <row r="267" spans="4:9" ht="15" x14ac:dyDescent="0.15">
      <c r="D267" s="26" t="str">
        <f>IF(ANAGRAFICA!$B269="","",ANAGRAFICA!$B269)</f>
        <v/>
      </c>
      <c r="E267" s="26"/>
      <c r="F267" s="26" t="str">
        <f>IFERROR(INDEX(ANAGRAFICA!$B$6:$B$305,SMALL($I$4:$I$303,ROWS($F$4:F267))),"")</f>
        <v/>
      </c>
      <c r="G267" s="26"/>
      <c r="H267" s="26"/>
      <c r="I267" s="34" t="str">
        <f>IF(ANAGRAFICA!$B269="","",IF(ANAGRAFICA!$I269="","",IF(ANAGRAFICA!$I269&lt;DATE($B$11,1,1),264,"")))</f>
        <v/>
      </c>
    </row>
    <row r="268" spans="4:9" ht="15" x14ac:dyDescent="0.15">
      <c r="D268" s="26" t="str">
        <f>IF(ANAGRAFICA!$B270="","",ANAGRAFICA!$B270)</f>
        <v/>
      </c>
      <c r="E268" s="26"/>
      <c r="F268" s="26" t="str">
        <f>IFERROR(INDEX(ANAGRAFICA!$B$6:$B$305,SMALL($I$4:$I$303,ROWS($F$4:F268))),"")</f>
        <v/>
      </c>
      <c r="G268" s="26"/>
      <c r="H268" s="26"/>
      <c r="I268" s="34" t="str">
        <f>IF(ANAGRAFICA!$B270="","",IF(ANAGRAFICA!$I270="","",IF(ANAGRAFICA!$I270&lt;DATE($B$11,1,1),265,"")))</f>
        <v/>
      </c>
    </row>
    <row r="269" spans="4:9" ht="15" x14ac:dyDescent="0.15">
      <c r="D269" s="26" t="str">
        <f>IF(ANAGRAFICA!$B271="","",ANAGRAFICA!$B271)</f>
        <v/>
      </c>
      <c r="E269" s="26"/>
      <c r="F269" s="26" t="str">
        <f>IFERROR(INDEX(ANAGRAFICA!$B$6:$B$305,SMALL($I$4:$I$303,ROWS($F$4:F269))),"")</f>
        <v/>
      </c>
      <c r="G269" s="26"/>
      <c r="H269" s="26"/>
      <c r="I269" s="34" t="str">
        <f>IF(ANAGRAFICA!$B271="","",IF(ANAGRAFICA!$I271="","",IF(ANAGRAFICA!$I271&lt;DATE($B$11,1,1),266,"")))</f>
        <v/>
      </c>
    </row>
    <row r="270" spans="4:9" ht="15" x14ac:dyDescent="0.15">
      <c r="D270" s="26" t="str">
        <f>IF(ANAGRAFICA!$B272="","",ANAGRAFICA!$B272)</f>
        <v/>
      </c>
      <c r="E270" s="26"/>
      <c r="F270" s="26" t="str">
        <f>IFERROR(INDEX(ANAGRAFICA!$B$6:$B$305,SMALL($I$4:$I$303,ROWS($F$4:F270))),"")</f>
        <v/>
      </c>
      <c r="G270" s="26"/>
      <c r="H270" s="26"/>
      <c r="I270" s="34" t="str">
        <f>IF(ANAGRAFICA!$B272="","",IF(ANAGRAFICA!$I272="","",IF(ANAGRAFICA!$I272&lt;DATE($B$11,1,1),267,"")))</f>
        <v/>
      </c>
    </row>
    <row r="271" spans="4:9" ht="15" x14ac:dyDescent="0.15">
      <c r="D271" s="26" t="str">
        <f>IF(ANAGRAFICA!$B273="","",ANAGRAFICA!$B273)</f>
        <v/>
      </c>
      <c r="E271" s="26"/>
      <c r="F271" s="26" t="str">
        <f>IFERROR(INDEX(ANAGRAFICA!$B$6:$B$305,SMALL($I$4:$I$303,ROWS($F$4:F271))),"")</f>
        <v/>
      </c>
      <c r="G271" s="26"/>
      <c r="H271" s="26"/>
      <c r="I271" s="34" t="str">
        <f>IF(ANAGRAFICA!$B273="","",IF(ANAGRAFICA!$I273="","",IF(ANAGRAFICA!$I273&lt;DATE($B$11,1,1),268,"")))</f>
        <v/>
      </c>
    </row>
    <row r="272" spans="4:9" ht="15" x14ac:dyDescent="0.15">
      <c r="D272" s="26" t="str">
        <f>IF(ANAGRAFICA!$B274="","",ANAGRAFICA!$B274)</f>
        <v/>
      </c>
      <c r="E272" s="26"/>
      <c r="F272" s="26" t="str">
        <f>IFERROR(INDEX(ANAGRAFICA!$B$6:$B$305,SMALL($I$4:$I$303,ROWS($F$4:F272))),"")</f>
        <v/>
      </c>
      <c r="G272" s="26"/>
      <c r="H272" s="26"/>
      <c r="I272" s="34" t="str">
        <f>IF(ANAGRAFICA!$B274="","",IF(ANAGRAFICA!$I274="","",IF(ANAGRAFICA!$I274&lt;DATE($B$11,1,1),269,"")))</f>
        <v/>
      </c>
    </row>
    <row r="273" spans="4:9" ht="15" x14ac:dyDescent="0.15">
      <c r="D273" s="26" t="str">
        <f>IF(ANAGRAFICA!$B275="","",ANAGRAFICA!$B275)</f>
        <v/>
      </c>
      <c r="E273" s="26"/>
      <c r="F273" s="26" t="str">
        <f>IFERROR(INDEX(ANAGRAFICA!$B$6:$B$305,SMALL($I$4:$I$303,ROWS($F$4:F273))),"")</f>
        <v/>
      </c>
      <c r="G273" s="26"/>
      <c r="H273" s="26"/>
      <c r="I273" s="34" t="str">
        <f>IF(ANAGRAFICA!$B275="","",IF(ANAGRAFICA!$I275="","",IF(ANAGRAFICA!$I275&lt;DATE($B$11,1,1),270,"")))</f>
        <v/>
      </c>
    </row>
    <row r="274" spans="4:9" ht="15" x14ac:dyDescent="0.15">
      <c r="D274" s="26" t="str">
        <f>IF(ANAGRAFICA!$B276="","",ANAGRAFICA!$B276)</f>
        <v/>
      </c>
      <c r="E274" s="26"/>
      <c r="F274" s="26" t="str">
        <f>IFERROR(INDEX(ANAGRAFICA!$B$6:$B$305,SMALL($I$4:$I$303,ROWS($F$4:F274))),"")</f>
        <v/>
      </c>
      <c r="G274" s="26"/>
      <c r="H274" s="26"/>
      <c r="I274" s="34" t="str">
        <f>IF(ANAGRAFICA!$B276="","",IF(ANAGRAFICA!$I276="","",IF(ANAGRAFICA!$I276&lt;DATE($B$11,1,1),271,"")))</f>
        <v/>
      </c>
    </row>
    <row r="275" spans="4:9" ht="15" x14ac:dyDescent="0.15">
      <c r="D275" s="26" t="str">
        <f>IF(ANAGRAFICA!$B277="","",ANAGRAFICA!$B277)</f>
        <v/>
      </c>
      <c r="E275" s="26"/>
      <c r="F275" s="26" t="str">
        <f>IFERROR(INDEX(ANAGRAFICA!$B$6:$B$305,SMALL($I$4:$I$303,ROWS($F$4:F275))),"")</f>
        <v/>
      </c>
      <c r="G275" s="26"/>
      <c r="H275" s="26"/>
      <c r="I275" s="34" t="str">
        <f>IF(ANAGRAFICA!$B277="","",IF(ANAGRAFICA!$I277="","",IF(ANAGRAFICA!$I277&lt;DATE($B$11,1,1),272,"")))</f>
        <v/>
      </c>
    </row>
    <row r="276" spans="4:9" ht="15" x14ac:dyDescent="0.15">
      <c r="D276" s="26" t="str">
        <f>IF(ANAGRAFICA!$B278="","",ANAGRAFICA!$B278)</f>
        <v/>
      </c>
      <c r="E276" s="26"/>
      <c r="F276" s="26" t="str">
        <f>IFERROR(INDEX(ANAGRAFICA!$B$6:$B$305,SMALL($I$4:$I$303,ROWS($F$4:F276))),"")</f>
        <v/>
      </c>
      <c r="G276" s="26"/>
      <c r="H276" s="26"/>
      <c r="I276" s="34" t="str">
        <f>IF(ANAGRAFICA!$B278="","",IF(ANAGRAFICA!$I278="","",IF(ANAGRAFICA!$I278&lt;DATE($B$11,1,1),273,"")))</f>
        <v/>
      </c>
    </row>
    <row r="277" spans="4:9" ht="15" x14ac:dyDescent="0.15">
      <c r="D277" s="26" t="str">
        <f>IF(ANAGRAFICA!$B279="","",ANAGRAFICA!$B279)</f>
        <v/>
      </c>
      <c r="E277" s="26"/>
      <c r="F277" s="26" t="str">
        <f>IFERROR(INDEX(ANAGRAFICA!$B$6:$B$305,SMALL($I$4:$I$303,ROWS($F$4:F277))),"")</f>
        <v/>
      </c>
      <c r="G277" s="26"/>
      <c r="H277" s="26"/>
      <c r="I277" s="34" t="str">
        <f>IF(ANAGRAFICA!$B279="","",IF(ANAGRAFICA!$I279="","",IF(ANAGRAFICA!$I279&lt;DATE($B$11,1,1),274,"")))</f>
        <v/>
      </c>
    </row>
    <row r="278" spans="4:9" ht="15" x14ac:dyDescent="0.15">
      <c r="D278" s="26" t="str">
        <f>IF(ANAGRAFICA!$B280="","",ANAGRAFICA!$B280)</f>
        <v/>
      </c>
      <c r="E278" s="26"/>
      <c r="F278" s="26" t="str">
        <f>IFERROR(INDEX(ANAGRAFICA!$B$6:$B$305,SMALL($I$4:$I$303,ROWS($F$4:F278))),"")</f>
        <v/>
      </c>
      <c r="G278" s="26"/>
      <c r="H278" s="26"/>
      <c r="I278" s="34" t="str">
        <f>IF(ANAGRAFICA!$B280="","",IF(ANAGRAFICA!$I280="","",IF(ANAGRAFICA!$I280&lt;DATE($B$11,1,1),275,"")))</f>
        <v/>
      </c>
    </row>
    <row r="279" spans="4:9" ht="15" x14ac:dyDescent="0.15">
      <c r="D279" s="26" t="str">
        <f>IF(ANAGRAFICA!$B281="","",ANAGRAFICA!$B281)</f>
        <v/>
      </c>
      <c r="E279" s="26"/>
      <c r="F279" s="26" t="str">
        <f>IFERROR(INDEX(ANAGRAFICA!$B$6:$B$305,SMALL($I$4:$I$303,ROWS($F$4:F279))),"")</f>
        <v/>
      </c>
      <c r="G279" s="26"/>
      <c r="H279" s="26"/>
      <c r="I279" s="34" t="str">
        <f>IF(ANAGRAFICA!$B281="","",IF(ANAGRAFICA!$I281="","",IF(ANAGRAFICA!$I281&lt;DATE($B$11,1,1),276,"")))</f>
        <v/>
      </c>
    </row>
    <row r="280" spans="4:9" ht="15" x14ac:dyDescent="0.15">
      <c r="D280" s="26" t="str">
        <f>IF(ANAGRAFICA!$B282="","",ANAGRAFICA!$B282)</f>
        <v/>
      </c>
      <c r="E280" s="26"/>
      <c r="F280" s="26" t="str">
        <f>IFERROR(INDEX(ANAGRAFICA!$B$6:$B$305,SMALL($I$4:$I$303,ROWS($F$4:F280))),"")</f>
        <v/>
      </c>
      <c r="G280" s="26"/>
      <c r="H280" s="26"/>
      <c r="I280" s="34" t="str">
        <f>IF(ANAGRAFICA!$B282="","",IF(ANAGRAFICA!$I282="","",IF(ANAGRAFICA!$I282&lt;DATE($B$11,1,1),277,"")))</f>
        <v/>
      </c>
    </row>
    <row r="281" spans="4:9" ht="15" x14ac:dyDescent="0.15">
      <c r="D281" s="26" t="str">
        <f>IF(ANAGRAFICA!$B283="","",ANAGRAFICA!$B283)</f>
        <v/>
      </c>
      <c r="E281" s="26"/>
      <c r="F281" s="26" t="str">
        <f>IFERROR(INDEX(ANAGRAFICA!$B$6:$B$305,SMALL($I$4:$I$303,ROWS($F$4:F281))),"")</f>
        <v/>
      </c>
      <c r="G281" s="26"/>
      <c r="H281" s="26"/>
      <c r="I281" s="34" t="str">
        <f>IF(ANAGRAFICA!$B283="","",IF(ANAGRAFICA!$I283="","",IF(ANAGRAFICA!$I283&lt;DATE($B$11,1,1),278,"")))</f>
        <v/>
      </c>
    </row>
    <row r="282" spans="4:9" ht="15" x14ac:dyDescent="0.15">
      <c r="D282" s="26" t="str">
        <f>IF(ANAGRAFICA!$B284="","",ANAGRAFICA!$B284)</f>
        <v/>
      </c>
      <c r="E282" s="26"/>
      <c r="F282" s="26" t="str">
        <f>IFERROR(INDEX(ANAGRAFICA!$B$6:$B$305,SMALL($I$4:$I$303,ROWS($F$4:F282))),"")</f>
        <v/>
      </c>
      <c r="G282" s="26"/>
      <c r="H282" s="26"/>
      <c r="I282" s="34" t="str">
        <f>IF(ANAGRAFICA!$B284="","",IF(ANAGRAFICA!$I284="","",IF(ANAGRAFICA!$I284&lt;DATE($B$11,1,1),279,"")))</f>
        <v/>
      </c>
    </row>
    <row r="283" spans="4:9" ht="15" x14ac:dyDescent="0.15">
      <c r="D283" s="26" t="str">
        <f>IF(ANAGRAFICA!$B285="","",ANAGRAFICA!$B285)</f>
        <v/>
      </c>
      <c r="E283" s="26"/>
      <c r="F283" s="26" t="str">
        <f>IFERROR(INDEX(ANAGRAFICA!$B$6:$B$305,SMALL($I$4:$I$303,ROWS($F$4:F283))),"")</f>
        <v/>
      </c>
      <c r="G283" s="26"/>
      <c r="H283" s="26"/>
      <c r="I283" s="34" t="str">
        <f>IF(ANAGRAFICA!$B285="","",IF(ANAGRAFICA!$I285="","",IF(ANAGRAFICA!$I285&lt;DATE($B$11,1,1),280,"")))</f>
        <v/>
      </c>
    </row>
    <row r="284" spans="4:9" ht="15" x14ac:dyDescent="0.15">
      <c r="D284" s="26" t="str">
        <f>IF(ANAGRAFICA!$B286="","",ANAGRAFICA!$B286)</f>
        <v/>
      </c>
      <c r="E284" s="26"/>
      <c r="F284" s="26" t="str">
        <f>IFERROR(INDEX(ANAGRAFICA!$B$6:$B$305,SMALL($I$4:$I$303,ROWS($F$4:F284))),"")</f>
        <v/>
      </c>
      <c r="G284" s="26"/>
      <c r="H284" s="26"/>
      <c r="I284" s="34" t="str">
        <f>IF(ANAGRAFICA!$B286="","",IF(ANAGRAFICA!$I286="","",IF(ANAGRAFICA!$I286&lt;DATE($B$11,1,1),281,"")))</f>
        <v/>
      </c>
    </row>
    <row r="285" spans="4:9" ht="15" x14ac:dyDescent="0.15">
      <c r="D285" s="26" t="str">
        <f>IF(ANAGRAFICA!$B287="","",ANAGRAFICA!$B287)</f>
        <v/>
      </c>
      <c r="E285" s="26"/>
      <c r="F285" s="26" t="str">
        <f>IFERROR(INDEX(ANAGRAFICA!$B$6:$B$305,SMALL($I$4:$I$303,ROWS($F$4:F285))),"")</f>
        <v/>
      </c>
      <c r="G285" s="26"/>
      <c r="H285" s="26"/>
      <c r="I285" s="34" t="str">
        <f>IF(ANAGRAFICA!$B287="","",IF(ANAGRAFICA!$I287="","",IF(ANAGRAFICA!$I287&lt;DATE($B$11,1,1),282,"")))</f>
        <v/>
      </c>
    </row>
    <row r="286" spans="4:9" ht="15" x14ac:dyDescent="0.15">
      <c r="D286" s="26" t="str">
        <f>IF(ANAGRAFICA!$B288="","",ANAGRAFICA!$B288)</f>
        <v/>
      </c>
      <c r="E286" s="26"/>
      <c r="F286" s="26" t="str">
        <f>IFERROR(INDEX(ANAGRAFICA!$B$6:$B$305,SMALL($I$4:$I$303,ROWS($F$4:F286))),"")</f>
        <v/>
      </c>
      <c r="G286" s="26"/>
      <c r="H286" s="26"/>
      <c r="I286" s="34" t="str">
        <f>IF(ANAGRAFICA!$B288="","",IF(ANAGRAFICA!$I288="","",IF(ANAGRAFICA!$I288&lt;DATE($B$11,1,1),283,"")))</f>
        <v/>
      </c>
    </row>
    <row r="287" spans="4:9" ht="15" x14ac:dyDescent="0.15">
      <c r="D287" s="26" t="str">
        <f>IF(ANAGRAFICA!$B289="","",ANAGRAFICA!$B289)</f>
        <v/>
      </c>
      <c r="E287" s="26"/>
      <c r="F287" s="26" t="str">
        <f>IFERROR(INDEX(ANAGRAFICA!$B$6:$B$305,SMALL($I$4:$I$303,ROWS($F$4:F287))),"")</f>
        <v/>
      </c>
      <c r="G287" s="26"/>
      <c r="H287" s="26"/>
      <c r="I287" s="34" t="str">
        <f>IF(ANAGRAFICA!$B289="","",IF(ANAGRAFICA!$I289="","",IF(ANAGRAFICA!$I289&lt;DATE($B$11,1,1),284,"")))</f>
        <v/>
      </c>
    </row>
    <row r="288" spans="4:9" ht="15" x14ac:dyDescent="0.15">
      <c r="D288" s="26" t="str">
        <f>IF(ANAGRAFICA!$B290="","",ANAGRAFICA!$B290)</f>
        <v/>
      </c>
      <c r="E288" s="26"/>
      <c r="F288" s="26" t="str">
        <f>IFERROR(INDEX(ANAGRAFICA!$B$6:$B$305,SMALL($I$4:$I$303,ROWS($F$4:F288))),"")</f>
        <v/>
      </c>
      <c r="G288" s="26"/>
      <c r="H288" s="26"/>
      <c r="I288" s="34" t="str">
        <f>IF(ANAGRAFICA!$B290="","",IF(ANAGRAFICA!$I290="","",IF(ANAGRAFICA!$I290&lt;DATE($B$11,1,1),285,"")))</f>
        <v/>
      </c>
    </row>
    <row r="289" spans="4:9" ht="15" x14ac:dyDescent="0.15">
      <c r="D289" s="26" t="str">
        <f>IF(ANAGRAFICA!$B291="","",ANAGRAFICA!$B291)</f>
        <v/>
      </c>
      <c r="E289" s="26"/>
      <c r="F289" s="26" t="str">
        <f>IFERROR(INDEX(ANAGRAFICA!$B$6:$B$305,SMALL($I$4:$I$303,ROWS($F$4:F289))),"")</f>
        <v/>
      </c>
      <c r="G289" s="26"/>
      <c r="H289" s="26"/>
      <c r="I289" s="34" t="str">
        <f>IF(ANAGRAFICA!$B291="","",IF(ANAGRAFICA!$I291="","",IF(ANAGRAFICA!$I291&lt;DATE($B$11,1,1),286,"")))</f>
        <v/>
      </c>
    </row>
    <row r="290" spans="4:9" ht="15" x14ac:dyDescent="0.15">
      <c r="D290" s="26" t="str">
        <f>IF(ANAGRAFICA!$B292="","",ANAGRAFICA!$B292)</f>
        <v/>
      </c>
      <c r="E290" s="26"/>
      <c r="F290" s="26" t="str">
        <f>IFERROR(INDEX(ANAGRAFICA!$B$6:$B$305,SMALL($I$4:$I$303,ROWS($F$4:F290))),"")</f>
        <v/>
      </c>
      <c r="G290" s="26"/>
      <c r="H290" s="26"/>
      <c r="I290" s="34" t="str">
        <f>IF(ANAGRAFICA!$B292="","",IF(ANAGRAFICA!$I292="","",IF(ANAGRAFICA!$I292&lt;DATE($B$11,1,1),287,"")))</f>
        <v/>
      </c>
    </row>
    <row r="291" spans="4:9" ht="15" x14ac:dyDescent="0.15">
      <c r="D291" s="26" t="str">
        <f>IF(ANAGRAFICA!$B293="","",ANAGRAFICA!$B293)</f>
        <v/>
      </c>
      <c r="E291" s="26"/>
      <c r="F291" s="26" t="str">
        <f>IFERROR(INDEX(ANAGRAFICA!$B$6:$B$305,SMALL($I$4:$I$303,ROWS($F$4:F291))),"")</f>
        <v/>
      </c>
      <c r="G291" s="26"/>
      <c r="H291" s="26"/>
      <c r="I291" s="34" t="str">
        <f>IF(ANAGRAFICA!$B293="","",IF(ANAGRAFICA!$I293="","",IF(ANAGRAFICA!$I293&lt;DATE($B$11,1,1),288,"")))</f>
        <v/>
      </c>
    </row>
    <row r="292" spans="4:9" ht="15" x14ac:dyDescent="0.15">
      <c r="D292" s="26" t="str">
        <f>IF(ANAGRAFICA!$B294="","",ANAGRAFICA!$B294)</f>
        <v/>
      </c>
      <c r="E292" s="26"/>
      <c r="F292" s="26" t="str">
        <f>IFERROR(INDEX(ANAGRAFICA!$B$6:$B$305,SMALL($I$4:$I$303,ROWS($F$4:F292))),"")</f>
        <v/>
      </c>
      <c r="G292" s="26"/>
      <c r="H292" s="26"/>
      <c r="I292" s="34" t="str">
        <f>IF(ANAGRAFICA!$B294="","",IF(ANAGRAFICA!$I294="","",IF(ANAGRAFICA!$I294&lt;DATE($B$11,1,1),289,"")))</f>
        <v/>
      </c>
    </row>
    <row r="293" spans="4:9" ht="15" x14ac:dyDescent="0.15">
      <c r="D293" s="26" t="str">
        <f>IF(ANAGRAFICA!$B295="","",ANAGRAFICA!$B295)</f>
        <v/>
      </c>
      <c r="E293" s="26"/>
      <c r="F293" s="26" t="str">
        <f>IFERROR(INDEX(ANAGRAFICA!$B$6:$B$305,SMALL($I$4:$I$303,ROWS($F$4:F293))),"")</f>
        <v/>
      </c>
      <c r="G293" s="26"/>
      <c r="H293" s="26"/>
      <c r="I293" s="34" t="str">
        <f>IF(ANAGRAFICA!$B295="","",IF(ANAGRAFICA!$I295="","",IF(ANAGRAFICA!$I295&lt;DATE($B$11,1,1),290,"")))</f>
        <v/>
      </c>
    </row>
    <row r="294" spans="4:9" ht="15" x14ac:dyDescent="0.15">
      <c r="D294" s="26" t="str">
        <f>IF(ANAGRAFICA!$B296="","",ANAGRAFICA!$B296)</f>
        <v/>
      </c>
      <c r="E294" s="26"/>
      <c r="F294" s="26" t="str">
        <f>IFERROR(INDEX(ANAGRAFICA!$B$6:$B$305,SMALL($I$4:$I$303,ROWS($F$4:F294))),"")</f>
        <v/>
      </c>
      <c r="G294" s="26"/>
      <c r="H294" s="26"/>
      <c r="I294" s="34" t="str">
        <f>IF(ANAGRAFICA!$B296="","",IF(ANAGRAFICA!$I296="","",IF(ANAGRAFICA!$I296&lt;DATE($B$11,1,1),291,"")))</f>
        <v/>
      </c>
    </row>
    <row r="295" spans="4:9" ht="15" x14ac:dyDescent="0.15">
      <c r="D295" s="26" t="str">
        <f>IF(ANAGRAFICA!$B297="","",ANAGRAFICA!$B297)</f>
        <v/>
      </c>
      <c r="E295" s="26"/>
      <c r="F295" s="26" t="str">
        <f>IFERROR(INDEX(ANAGRAFICA!$B$6:$B$305,SMALL($I$4:$I$303,ROWS($F$4:F295))),"")</f>
        <v/>
      </c>
      <c r="G295" s="26"/>
      <c r="H295" s="26"/>
      <c r="I295" s="34" t="str">
        <f>IF(ANAGRAFICA!$B297="","",IF(ANAGRAFICA!$I297="","",IF(ANAGRAFICA!$I297&lt;DATE($B$11,1,1),292,"")))</f>
        <v/>
      </c>
    </row>
    <row r="296" spans="4:9" ht="15" x14ac:dyDescent="0.15">
      <c r="D296" s="26" t="str">
        <f>IF(ANAGRAFICA!$B298="","",ANAGRAFICA!$B298)</f>
        <v/>
      </c>
      <c r="E296" s="26"/>
      <c r="F296" s="26" t="str">
        <f>IFERROR(INDEX(ANAGRAFICA!$B$6:$B$305,SMALL($I$4:$I$303,ROWS($F$4:F296))),"")</f>
        <v/>
      </c>
      <c r="G296" s="26"/>
      <c r="H296" s="26"/>
      <c r="I296" s="34" t="str">
        <f>IF(ANAGRAFICA!$B298="","",IF(ANAGRAFICA!$I298="","",IF(ANAGRAFICA!$I298&lt;DATE($B$11,1,1),293,"")))</f>
        <v/>
      </c>
    </row>
    <row r="297" spans="4:9" ht="15" x14ac:dyDescent="0.15">
      <c r="D297" s="26" t="str">
        <f>IF(ANAGRAFICA!$B299="","",ANAGRAFICA!$B299)</f>
        <v/>
      </c>
      <c r="E297" s="26"/>
      <c r="F297" s="26" t="str">
        <f>IFERROR(INDEX(ANAGRAFICA!$B$6:$B$305,SMALL($I$4:$I$303,ROWS($F$4:F297))),"")</f>
        <v/>
      </c>
      <c r="G297" s="26"/>
      <c r="H297" s="26"/>
      <c r="I297" s="34" t="str">
        <f>IF(ANAGRAFICA!$B299="","",IF(ANAGRAFICA!$I299="","",IF(ANAGRAFICA!$I299&lt;DATE($B$11,1,1),294,"")))</f>
        <v/>
      </c>
    </row>
    <row r="298" spans="4:9" ht="15" x14ac:dyDescent="0.15">
      <c r="D298" s="26" t="str">
        <f>IF(ANAGRAFICA!$B300="","",ANAGRAFICA!$B300)</f>
        <v/>
      </c>
      <c r="E298" s="26"/>
      <c r="F298" s="26" t="str">
        <f>IFERROR(INDEX(ANAGRAFICA!$B$6:$B$305,SMALL($I$4:$I$303,ROWS($F$4:F298))),"")</f>
        <v/>
      </c>
      <c r="G298" s="26"/>
      <c r="H298" s="26"/>
      <c r="I298" s="34" t="str">
        <f>IF(ANAGRAFICA!$B300="","",IF(ANAGRAFICA!$I300="","",IF(ANAGRAFICA!$I300&lt;DATE($B$11,1,1),295,"")))</f>
        <v/>
      </c>
    </row>
    <row r="299" spans="4:9" ht="15" x14ac:dyDescent="0.15">
      <c r="D299" s="26" t="str">
        <f>IF(ANAGRAFICA!$B301="","",ANAGRAFICA!$B301)</f>
        <v/>
      </c>
      <c r="E299" s="26"/>
      <c r="F299" s="26" t="str">
        <f>IFERROR(INDEX(ANAGRAFICA!$B$6:$B$305,SMALL($I$4:$I$303,ROWS($F$4:F299))),"")</f>
        <v/>
      </c>
      <c r="G299" s="26"/>
      <c r="H299" s="26"/>
      <c r="I299" s="34" t="str">
        <f>IF(ANAGRAFICA!$B301="","",IF(ANAGRAFICA!$I301="","",IF(ANAGRAFICA!$I301&lt;DATE($B$11,1,1),296,"")))</f>
        <v/>
      </c>
    </row>
    <row r="300" spans="4:9" ht="15" x14ac:dyDescent="0.15">
      <c r="D300" s="26" t="str">
        <f>IF(ANAGRAFICA!$B302="","",ANAGRAFICA!$B302)</f>
        <v/>
      </c>
      <c r="E300" s="26"/>
      <c r="F300" s="26" t="str">
        <f>IFERROR(INDEX(ANAGRAFICA!$B$6:$B$305,SMALL($I$4:$I$303,ROWS($F$4:F300))),"")</f>
        <v/>
      </c>
      <c r="G300" s="26"/>
      <c r="H300" s="26"/>
      <c r="I300" s="34" t="str">
        <f>IF(ANAGRAFICA!$B302="","",IF(ANAGRAFICA!$I302="","",IF(ANAGRAFICA!$I302&lt;DATE($B$11,1,1),297,"")))</f>
        <v/>
      </c>
    </row>
    <row r="301" spans="4:9" ht="15" x14ac:dyDescent="0.15">
      <c r="D301" s="26" t="str">
        <f>IF(ANAGRAFICA!$B303="","",ANAGRAFICA!$B303)</f>
        <v/>
      </c>
      <c r="E301" s="26"/>
      <c r="F301" s="26" t="str">
        <f>IFERROR(INDEX(ANAGRAFICA!$B$6:$B$305,SMALL($I$4:$I$303,ROWS($F$4:F301))),"")</f>
        <v/>
      </c>
      <c r="G301" s="26"/>
      <c r="H301" s="26"/>
      <c r="I301" s="34" t="str">
        <f>IF(ANAGRAFICA!$B303="","",IF(ANAGRAFICA!$I303="","",IF(ANAGRAFICA!$I303&lt;DATE($B$11,1,1),298,"")))</f>
        <v/>
      </c>
    </row>
    <row r="302" spans="4:9" ht="15" x14ac:dyDescent="0.15">
      <c r="D302" s="26" t="str">
        <f>IF(ANAGRAFICA!$B304="","",ANAGRAFICA!$B304)</f>
        <v/>
      </c>
      <c r="E302" s="26"/>
      <c r="F302" s="26" t="str">
        <f>IFERROR(INDEX(ANAGRAFICA!$B$6:$B$305,SMALL($I$4:$I$303,ROWS($F$4:F302))),"")</f>
        <v/>
      </c>
      <c r="G302" s="26"/>
      <c r="H302" s="26"/>
      <c r="I302" s="34" t="str">
        <f>IF(ANAGRAFICA!$B304="","",IF(ANAGRAFICA!$I304="","",IF(ANAGRAFICA!$I304&lt;DATE($B$11,1,1),299,"")))</f>
        <v/>
      </c>
    </row>
    <row r="303" spans="4:9" ht="15" x14ac:dyDescent="0.15">
      <c r="D303" s="26" t="str">
        <f>IF(ANAGRAFICA!$B305="","",ANAGRAFICA!$B305)</f>
        <v/>
      </c>
      <c r="E303" s="26"/>
      <c r="F303" s="26" t="str">
        <f>IFERROR(INDEX(ANAGRAFICA!$B$6:$B$305,SMALL($I$4:$I$303,ROWS($F$4:F303))),"")</f>
        <v/>
      </c>
      <c r="G303" s="26"/>
      <c r="H303" s="26"/>
      <c r="I303" s="34" t="str">
        <f>IF(ANAGRAFICA!$B305="","",IF(ANAGRAFICA!$I305="","",IF(ANAGRAFICA!$I305&lt;DATE($B$11,1,1),300,"")))</f>
        <v/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7</vt:i4>
      </vt:variant>
    </vt:vector>
  </HeadingPairs>
  <TitlesOfParts>
    <vt:vector size="14" baseType="lpstr">
      <vt:lpstr>ANAGRAFICA</vt:lpstr>
      <vt:lpstr>SALDI AL 31.12.2025</vt:lpstr>
      <vt:lpstr>BUDGET COMMESSA</vt:lpstr>
      <vt:lpstr>MOVIMENTI 2026</vt:lpstr>
      <vt:lpstr>COSTI DIRETTI</vt:lpstr>
      <vt:lpstr>CANTIERI</vt:lpstr>
      <vt:lpstr>PARAMETRI</vt:lpstr>
      <vt:lpstr>AnnoGestione</vt:lpstr>
      <vt:lpstr>ListaCommesseDashboard</vt:lpstr>
      <vt:lpstr>ListaCommessePregresse</vt:lpstr>
      <vt:lpstr>ListaCommessePregresseDashboard</vt:lpstr>
      <vt:lpstr>ListaCommesseSelezione</vt:lpstr>
      <vt:lpstr>ListaMesi</vt:lpstr>
      <vt:lpstr>ListaTipiMovimento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Marcella Landi</cp:lastModifiedBy>
  <dcterms:modified xsi:type="dcterms:W3CDTF">2026-09-11T10:39:48Z</dcterms:modified>
</cp:coreProperties>
</file>