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/>
  <mc:AlternateContent xmlns:mc="http://schemas.openxmlformats.org/markup-compatibility/2006">
    <mc:Choice Requires="x15">
      <x15ac:absPath xmlns:x15ac="http://schemas.microsoft.com/office/spreadsheetml/2010/11/ac" url="D:\repo_github\GestioneCantieri\reference\"/>
    </mc:Choice>
  </mc:AlternateContent>
  <xr:revisionPtr revIDLastSave="0" documentId="13_ncr:1_{DBAF5801-C284-4508-9FF6-980BC73E14A5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Analisi semplificata" sheetId="1" r:id="rId1"/>
    <sheet name="Dettaglio strutturale" sheetId="3" r:id="rId2"/>
  </sheet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34" i="3" l="1"/>
  <c r="B9" i="3"/>
  <c r="E32" i="3" s="1"/>
  <c r="B8" i="3"/>
  <c r="H28" i="1" s="1"/>
  <c r="B6" i="3"/>
  <c r="D33" i="3" s="1"/>
  <c r="F67" i="1"/>
  <c r="F66" i="1"/>
  <c r="E66" i="1"/>
  <c r="F65" i="1"/>
  <c r="E65" i="1"/>
  <c r="F64" i="1"/>
  <c r="E64" i="1"/>
  <c r="F63" i="1"/>
  <c r="E63" i="1"/>
  <c r="F62" i="1"/>
  <c r="E62" i="1"/>
  <c r="F61" i="1"/>
  <c r="E61" i="1"/>
  <c r="F60" i="1"/>
  <c r="E60" i="1"/>
  <c r="F59" i="1"/>
  <c r="E59" i="1"/>
  <c r="F58" i="1"/>
  <c r="E58" i="1"/>
  <c r="F57" i="1"/>
  <c r="E57" i="1"/>
  <c r="G57" i="1" s="1"/>
  <c r="F56" i="1"/>
  <c r="E56" i="1"/>
  <c r="G56" i="1" s="1"/>
  <c r="F55" i="1"/>
  <c r="E55" i="1"/>
  <c r="G55" i="1" s="1"/>
  <c r="F54" i="1"/>
  <c r="E54" i="1"/>
  <c r="F53" i="1"/>
  <c r="E53" i="1"/>
  <c r="G53" i="1" s="1"/>
  <c r="F52" i="1"/>
  <c r="E52" i="1"/>
  <c r="F51" i="1"/>
  <c r="E51" i="1"/>
  <c r="F50" i="1"/>
  <c r="E50" i="1"/>
  <c r="F49" i="1"/>
  <c r="E49" i="1"/>
  <c r="G49" i="1" s="1"/>
  <c r="F48" i="1"/>
  <c r="E48" i="1"/>
  <c r="F47" i="1"/>
  <c r="E47" i="1"/>
  <c r="G47" i="1" s="1"/>
  <c r="F46" i="1"/>
  <c r="E46" i="1"/>
  <c r="F45" i="1"/>
  <c r="E45" i="1"/>
  <c r="I35" i="1"/>
  <c r="I34" i="1"/>
  <c r="I36" i="1" s="1"/>
  <c r="I33" i="1"/>
  <c r="I32" i="1"/>
  <c r="H29" i="1"/>
  <c r="G24" i="1"/>
  <c r="H6" i="1" s="1"/>
  <c r="F22" i="1"/>
  <c r="I22" i="1" s="1"/>
  <c r="F21" i="1"/>
  <c r="I21" i="1" s="1"/>
  <c r="F20" i="1"/>
  <c r="I20" i="1" s="1"/>
  <c r="F19" i="1"/>
  <c r="I19" i="1" s="1"/>
  <c r="F18" i="1"/>
  <c r="I18" i="1" s="1"/>
  <c r="F17" i="1"/>
  <c r="I17" i="1" s="1"/>
  <c r="F16" i="1"/>
  <c r="I16" i="1" s="1"/>
  <c r="F15" i="1"/>
  <c r="I15" i="1" s="1"/>
  <c r="F14" i="1"/>
  <c r="H14" i="1" s="1"/>
  <c r="F13" i="1"/>
  <c r="F6" i="1"/>
  <c r="D6" i="1"/>
  <c r="B6" i="1"/>
  <c r="E13" i="3" l="1"/>
  <c r="G63" i="1"/>
  <c r="G62" i="1"/>
  <c r="G61" i="1"/>
  <c r="G65" i="1"/>
  <c r="G66" i="1"/>
  <c r="G45" i="1"/>
  <c r="G51" i="1"/>
  <c r="G46" i="1"/>
  <c r="G64" i="1"/>
  <c r="E18" i="3"/>
  <c r="E22" i="3"/>
  <c r="G59" i="1"/>
  <c r="E25" i="3"/>
  <c r="G48" i="1"/>
  <c r="E29" i="3"/>
  <c r="I14" i="1"/>
  <c r="G60" i="1"/>
  <c r="B28" i="1"/>
  <c r="E21" i="3"/>
  <c r="G52" i="1"/>
  <c r="D22" i="3"/>
  <c r="F22" i="3" s="1"/>
  <c r="F33" i="3"/>
  <c r="B41" i="3"/>
  <c r="D26" i="3"/>
  <c r="H18" i="1"/>
  <c r="G58" i="1"/>
  <c r="E26" i="3"/>
  <c r="D14" i="3"/>
  <c r="D30" i="3"/>
  <c r="F23" i="1"/>
  <c r="E14" i="3"/>
  <c r="E30" i="3"/>
  <c r="G50" i="1"/>
  <c r="E17" i="3"/>
  <c r="E33" i="3"/>
  <c r="G54" i="1"/>
  <c r="H22" i="1"/>
  <c r="D18" i="3"/>
  <c r="H16" i="1"/>
  <c r="H20" i="1"/>
  <c r="H13" i="1"/>
  <c r="H17" i="1"/>
  <c r="H21" i="1"/>
  <c r="E34" i="3"/>
  <c r="I13" i="1"/>
  <c r="D15" i="3"/>
  <c r="D19" i="3"/>
  <c r="D23" i="3"/>
  <c r="D27" i="3"/>
  <c r="D31" i="3"/>
  <c r="E15" i="3"/>
  <c r="E19" i="3"/>
  <c r="E23" i="3"/>
  <c r="E27" i="3"/>
  <c r="E31" i="3"/>
  <c r="D12" i="3"/>
  <c r="D16" i="3"/>
  <c r="D20" i="3"/>
  <c r="D24" i="3"/>
  <c r="D28" i="3"/>
  <c r="D32" i="3"/>
  <c r="F32" i="3" s="1"/>
  <c r="E12" i="3"/>
  <c r="E16" i="3"/>
  <c r="E20" i="3"/>
  <c r="E24" i="3"/>
  <c r="E28" i="3"/>
  <c r="H15" i="1"/>
  <c r="H19" i="1"/>
  <c r="D13" i="3"/>
  <c r="F13" i="3" s="1"/>
  <c r="D17" i="3"/>
  <c r="F17" i="3" s="1"/>
  <c r="D21" i="3"/>
  <c r="F21" i="3" s="1"/>
  <c r="D25" i="3"/>
  <c r="D29" i="3"/>
  <c r="F25" i="3" l="1"/>
  <c r="I23" i="1"/>
  <c r="F29" i="3"/>
  <c r="F24" i="3"/>
  <c r="F18" i="3"/>
  <c r="F26" i="3"/>
  <c r="F28" i="3"/>
  <c r="F20" i="3"/>
  <c r="F27" i="3"/>
  <c r="F30" i="3"/>
  <c r="F14" i="3"/>
  <c r="H23" i="1"/>
  <c r="G23" i="1" s="1"/>
  <c r="F31" i="3"/>
  <c r="F16" i="3"/>
  <c r="F23" i="3"/>
  <c r="F12" i="3"/>
  <c r="D34" i="3"/>
  <c r="F19" i="3"/>
  <c r="F15" i="3"/>
  <c r="F34" i="3" l="1"/>
  <c r="B37" i="3" s="1"/>
  <c r="B38" i="3" l="1"/>
  <c r="B39" i="3" s="1"/>
  <c r="B40" i="3" s="1"/>
  <c r="B42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tc={F98EDB21-50AB-49CD-BE0D-C300E5A1F523}</author>
  </authors>
  <commentList>
    <comment ref="D29" authorId="0" shapeId="0" xr:uid="{00000000-0006-0000-0000-000001000000}">
      <text>
        <r>
          <rPr>
            <sz val="12"/>
            <color theme="1"/>
            <rFont val="Aptos Narrow"/>
          </rPr>
  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Soglia minima stabilita dalla Direzione. Nelle righe dei costi specifici il ricarico può essere aumentato, ma un valore inferiore al 15% rende la verifica non congrua.</t>
        </r>
      </text>
    </comment>
  </commentList>
</comments>
</file>

<file path=xl/sharedStrings.xml><?xml version="1.0" encoding="utf-8"?>
<sst xmlns="http://schemas.openxmlformats.org/spreadsheetml/2006/main" count="103" uniqueCount="79">
  <si>
    <t>VERIFICA DI SOSTENIBILITÀ ECONOMICA DELLA COMMESSA</t>
  </si>
  <si>
    <t>COMPILARE SOLO LE CELLE GIALLE. Tutte le altre celle sono automatiche e protette.</t>
  </si>
  <si>
    <t>COMMESSA / OFFERTA</t>
  </si>
  <si>
    <t>CLIENTE</t>
  </si>
  <si>
    <t>PREZZO DEL COMPUTO</t>
  </si>
  <si>
    <t>PREZZO MINIMO DALL'ANALISI</t>
  </si>
  <si>
    <t>SCOSTAMENTO</t>
  </si>
  <si>
    <t>ESITO</t>
  </si>
  <si>
    <t>DATI PRINCIPALI DA INSERIRE</t>
  </si>
  <si>
    <t>PREZZO FINALE DEL COMPUTO</t>
  </si>
  <si>
    <t>ORE TOTALI PREVISTE</t>
  </si>
  <si>
    <t>VOCE DI COSTO SPECIFICO</t>
  </si>
  <si>
    <t>MAGGIORAZIONE €</t>
  </si>
  <si>
    <t>PREZZO DI VENDITA</t>
  </si>
  <si>
    <t>TOTALE COSTI SPECIFICI</t>
  </si>
  <si>
    <t>DATI DEL COMPUTO VERIFICATI E COMPLETI?</t>
  </si>
  <si>
    <t>PARAMETRI AZIENDALI PROTETTI</t>
  </si>
  <si>
    <t>COSTO STRUTTURALE €/H</t>
  </si>
  <si>
    <t>RISCHIO STRUTTURALE</t>
  </si>
  <si>
    <t>REDDITIVITÀ</t>
  </si>
  <si>
    <t>RIENTRO €/H</t>
  </si>
  <si>
    <t>SOGLIA MINIMA RICARICO DIREZIONE</t>
  </si>
  <si>
    <t>RICARICO EFFETTIVO MINIMO</t>
  </si>
  <si>
    <t>FORMAZIONE DEL PREZZO MINIMO SOSTENIBILE</t>
  </si>
  <si>
    <t>Parte strutturale: rischio, redditività e rientro compresi</t>
  </si>
  <si>
    <t>Prezzo di vendita dei costi specifici</t>
  </si>
  <si>
    <t>DETTAGLIO DEL COSTO STRUTTURALE ATTRIBUITO ALLA COMMESSA</t>
  </si>
  <si>
    <t>Approfondimento dei pesi del BEP strutturale. Il foglio operativo richiede soltanto i totali del computo.</t>
  </si>
  <si>
    <t>BEP strutturale mensile</t>
  </si>
  <si>
    <t>Ore produttive aziendali mensili</t>
  </si>
  <si>
    <t>Costo strutturale aziendale per ora</t>
  </si>
  <si>
    <t>Rientro bancario mensile</t>
  </si>
  <si>
    <t>Rientro bancario per ora</t>
  </si>
  <si>
    <t>Ore previste della commessa</t>
  </si>
  <si>
    <t>GRUPPO</t>
  </si>
  <si>
    <t>VOCE DI COSTO</t>
  </si>
  <si>
    <t>PESO %</t>
  </si>
  <si>
    <t>QUOTA €/ORA</t>
  </si>
  <si>
    <t>ORE COMMESSA</t>
  </si>
  <si>
    <t>QUOTA COMMESSA</t>
  </si>
  <si>
    <t>COSTI DIRETTI/INDIRETTI</t>
  </si>
  <si>
    <t>Personale operaio</t>
  </si>
  <si>
    <t>Altre voci del personale</t>
  </si>
  <si>
    <t>Personale tecnico</t>
  </si>
  <si>
    <t>Automezzi</t>
  </si>
  <si>
    <t>Attrezzature</t>
  </si>
  <si>
    <t>Oneri di cantiere</t>
  </si>
  <si>
    <t>Smaltimento rifiuti</t>
  </si>
  <si>
    <t>Ammortamenti</t>
  </si>
  <si>
    <t>Altre voci mancanti</t>
  </si>
  <si>
    <t>SPESE GENERALI</t>
  </si>
  <si>
    <t>Personale impiegatizio</t>
  </si>
  <si>
    <t>Amministratore</t>
  </si>
  <si>
    <t>Utenze</t>
  </si>
  <si>
    <t>Spese varie ufficio</t>
  </si>
  <si>
    <t>Fabbricati</t>
  </si>
  <si>
    <t>Pubblicità</t>
  </si>
  <si>
    <t>Consulenze</t>
  </si>
  <si>
    <t>Pratiche amministrative e assicurazioni</t>
  </si>
  <si>
    <t>Finanza e banche</t>
  </si>
  <si>
    <t>Altre imposte</t>
  </si>
  <si>
    <t>Perdite su crediti</t>
  </si>
  <si>
    <t>Sanzioni</t>
  </si>
  <si>
    <t>Sopravvenienze passive e altro</t>
  </si>
  <si>
    <t>TOTALE</t>
  </si>
  <si>
    <t>BEP STRUTTURALE ATTRIBUITO ALLA COMMESSA</t>
  </si>
  <si>
    <t>FORMAZIONE DEL PREZZO DELLA PARTE STRUTTURALE</t>
  </si>
  <si>
    <t>Costo strutturale attribuito alla commessa</t>
  </si>
  <si>
    <t>Rischio / imprevisti sulla parte strutturale</t>
  </si>
  <si>
    <t>Costo strutturale prudenziale</t>
  </si>
  <si>
    <t>Prezzo con redditività effettiva del 12%</t>
  </si>
  <si>
    <t>Quota di rientro bancario</t>
  </si>
  <si>
    <t>PREZZO SOSTENIBILE DELLA PARTE STRUTTURALE</t>
  </si>
  <si>
    <t>NON MODIFICARE DIRETTAMENTE è UNA FORMULA</t>
  </si>
  <si>
    <t>NO</t>
  </si>
  <si>
    <t>QUANTITÀ + U.M.
(es. 120 m³)</t>
  </si>
  <si>
    <t>COSTO UNITARIO</t>
  </si>
  <si>
    <t>COSTO TOTALE</t>
  </si>
  <si>
    <t>RICARICO
(MIN. 15%)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</si>
</sst>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\€\ #,##0.00"/>
    <numFmt numFmtId="165" formatCode="[$€-2]\ #,##0.00;[Red]\-[$€-2]\ #,##0.00"/>
  </numFmts>
  <fonts count="11" x14ac:knownFonts="1">
    <font>
      <sz val="12"/>
      <color theme="1"/>
      <name val="Aptos Narrow"/>
    </font>
    <font>
      <sz val="12"/>
      <color theme="1"/>
      <name val="Aptos Narrow"/>
    </font>
    <font>
      <b/>
      <sz val="12"/>
      <color theme="1"/>
      <name val="Aptos Narrow"/>
    </font>
    <font>
      <b/>
      <sz val="12"/>
      <color rgb="FFFFFFFF"/>
      <name val="Aptos Narrow"/>
    </font>
    <font>
      <i/>
      <sz val="12"/>
      <color rgb="FF2F2F2F"/>
      <name val="Aptos Narrow"/>
    </font>
    <font>
      <sz val="12"/>
      <color rgb="FF2F2F2F"/>
      <name val="Aptos Narrow"/>
    </font>
    <font>
      <b/>
      <sz val="12"/>
      <color rgb="FF5F165A"/>
      <name val="Aptos Narrow"/>
    </font>
    <font>
      <b/>
      <sz val="12"/>
      <color rgb="FF2F2F2F"/>
      <name val="Aptos Narrow"/>
    </font>
    <font>
      <sz val="12"/>
      <color rgb="FF2F2F2F"/>
      <name val="Aptos Narrow"/>
    </font>
    <font>
      <b/>
      <sz val="12"/>
      <color rgb="FF76236E"/>
      <name val="Aptos Narrow"/>
    </font>
    <font>
      <b/>
      <sz val="22"/>
      <color rgb="FFFFFFFF"/>
      <name val="Aptos Narrow"/>
    </font>
  </fonts>
  <fills count="10">
    <fill>
      <patternFill patternType="none"/>
    </fill>
    <fill>
      <patternFill patternType="gray125"/>
    </fill>
    <fill>
      <patternFill patternType="solid">
        <fgColor rgb="FF76236E"/>
      </patternFill>
    </fill>
    <fill>
      <patternFill patternType="solid">
        <fgColor rgb="FFF2F2F2"/>
      </patternFill>
    </fill>
    <fill>
      <patternFill patternType="solid">
        <fgColor rgb="FFF4EDF6"/>
      </patternFill>
    </fill>
    <fill>
      <patternFill patternType="solid">
        <fgColor rgb="FFFFF2CC"/>
      </patternFill>
    </fill>
    <fill>
      <patternFill patternType="solid">
        <fgColor rgb="FF70AD47"/>
      </patternFill>
    </fill>
    <fill>
      <patternFill patternType="solid">
        <fgColor rgb="FF5F165A"/>
      </patternFill>
    </fill>
    <fill>
      <patternFill patternType="solid">
        <fgColor rgb="FFFFFFFF"/>
      </patternFill>
    </fill>
    <fill>
      <patternFill patternType="solid">
        <fgColor rgb="FFE2F0D9"/>
      </patternFill>
    </fill>
  </fills>
  <borders count="8"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/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2">
    <xf numFmtId="0" fontId="0" fillId="0" borderId="0" xfId="0"/>
    <xf numFmtId="0" fontId="5" fillId="4" borderId="1" xfId="0" applyFont="1" applyFill="1" applyBorder="1"/>
    <xf numFmtId="0" fontId="3" fillId="7" borderId="1" xfId="0" applyFont="1" applyFill="1" applyBorder="1" applyAlignment="1">
      <alignment horizontal="center" vertical="center" wrapText="1"/>
    </xf>
    <xf numFmtId="164" fontId="0" fillId="3" borderId="1" xfId="0" applyNumberFormat="1" applyFill="1" applyBorder="1" applyAlignment="1">
      <alignment horizontal="right"/>
    </xf>
    <xf numFmtId="164" fontId="7" fillId="3" borderId="1" xfId="0" applyNumberFormat="1" applyFont="1" applyFill="1" applyBorder="1" applyAlignment="1">
      <alignment horizontal="right"/>
    </xf>
    <xf numFmtId="164" fontId="3" fillId="7" borderId="1" xfId="0" applyNumberFormat="1" applyFont="1" applyFill="1" applyBorder="1"/>
    <xf numFmtId="10" fontId="3" fillId="7" borderId="1" xfId="0" applyNumberFormat="1" applyFont="1" applyFill="1" applyBorder="1"/>
    <xf numFmtId="164" fontId="7" fillId="4" borderId="1" xfId="0" applyNumberFormat="1" applyFont="1" applyFill="1" applyBorder="1" applyAlignment="1">
      <alignment horizontal="right"/>
    </xf>
    <xf numFmtId="0" fontId="3" fillId="6" borderId="1" xfId="0" applyFont="1" applyFill="1" applyBorder="1"/>
    <xf numFmtId="164" fontId="3" fillId="6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0" fontId="6" fillId="4" borderId="1" xfId="0" applyFont="1" applyFill="1" applyBorder="1"/>
    <xf numFmtId="164" fontId="5" fillId="4" borderId="1" xfId="0" applyNumberFormat="1" applyFont="1" applyFill="1" applyBorder="1"/>
    <xf numFmtId="4" fontId="5" fillId="4" borderId="1" xfId="0" applyNumberFormat="1" applyFont="1" applyFill="1" applyBorder="1"/>
    <xf numFmtId="0" fontId="3" fillId="2" borderId="1" xfId="0" applyFont="1" applyFill="1" applyBorder="1" applyAlignment="1">
      <alignment horizontal="center" vertical="center" wrapText="1"/>
    </xf>
    <xf numFmtId="0" fontId="5" fillId="8" borderId="1" xfId="0" applyFont="1" applyFill="1" applyBorder="1"/>
    <xf numFmtId="0" fontId="9" fillId="8" borderId="1" xfId="0" applyFont="1" applyFill="1" applyBorder="1"/>
    <xf numFmtId="10" fontId="5" fillId="8" borderId="1" xfId="0" applyNumberFormat="1" applyFont="1" applyFill="1" applyBorder="1"/>
    <xf numFmtId="164" fontId="5" fillId="8" borderId="1" xfId="0" applyNumberFormat="1" applyFont="1" applyFill="1" applyBorder="1"/>
    <xf numFmtId="4" fontId="5" fillId="8" borderId="1" xfId="0" applyNumberFormat="1" applyFont="1" applyFill="1" applyBorder="1"/>
    <xf numFmtId="10" fontId="5" fillId="4" borderId="1" xfId="0" applyNumberFormat="1" applyFont="1" applyFill="1" applyBorder="1"/>
    <xf numFmtId="0" fontId="3" fillId="6" borderId="1" xfId="0" applyFont="1" applyFill="1" applyBorder="1" applyAlignment="1">
      <alignment vertical="center" wrapText="1"/>
    </xf>
    <xf numFmtId="10" fontId="3" fillId="6" borderId="1" xfId="0" applyNumberFormat="1" applyFont="1" applyFill="1" applyBorder="1"/>
    <xf numFmtId="164" fontId="3" fillId="6" borderId="1" xfId="0" applyNumberFormat="1" applyFont="1" applyFill="1" applyBorder="1"/>
    <xf numFmtId="4" fontId="3" fillId="6" borderId="1" xfId="0" applyNumberFormat="1" applyFont="1" applyFill="1" applyBorder="1"/>
    <xf numFmtId="0" fontId="8" fillId="4" borderId="1" xfId="0" applyFont="1" applyFill="1" applyBorder="1"/>
    <xf numFmtId="164" fontId="8" fillId="4" borderId="1" xfId="0" applyNumberFormat="1" applyFont="1" applyFill="1" applyBorder="1"/>
    <xf numFmtId="164" fontId="7" fillId="9" borderId="1" xfId="0" applyNumberFormat="1" applyFont="1" applyFill="1" applyBorder="1"/>
    <xf numFmtId="0" fontId="7" fillId="9" borderId="1" xfId="0" applyFont="1" applyFill="1" applyBorder="1" applyAlignment="1">
      <alignment vertical="center" wrapText="1"/>
    </xf>
    <xf numFmtId="0" fontId="7" fillId="5" borderId="1" xfId="0" applyFont="1" applyFill="1" applyBorder="1" applyAlignment="1" applyProtection="1">
      <alignment horizontal="center"/>
      <protection locked="0"/>
    </xf>
    <xf numFmtId="10" fontId="2" fillId="5" borderId="1" xfId="0" applyNumberFormat="1" applyFont="1" applyFill="1" applyBorder="1" applyAlignment="1" applyProtection="1">
      <alignment horizontal="right"/>
      <protection locked="0"/>
    </xf>
    <xf numFmtId="165" fontId="0" fillId="0" borderId="0" xfId="0" applyNumberFormat="1"/>
    <xf numFmtId="164" fontId="7" fillId="5" borderId="1" xfId="0" applyNumberFormat="1" applyFont="1" applyFill="1" applyBorder="1" applyAlignment="1" applyProtection="1">
      <alignment horizontal="right"/>
      <protection locked="0"/>
    </xf>
    <xf numFmtId="0" fontId="7" fillId="5" borderId="1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6" fillId="4" borderId="1" xfId="0" applyFont="1" applyFill="1" applyBorder="1" applyAlignment="1">
      <alignment vertical="center"/>
    </xf>
    <xf numFmtId="0" fontId="5" fillId="5" borderId="1" xfId="0" applyFont="1" applyFill="1" applyBorder="1" applyAlignment="1" applyProtection="1">
      <alignment vertical="center"/>
      <protection locked="0"/>
    </xf>
    <xf numFmtId="0" fontId="7" fillId="5" borderId="2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49" fontId="7" fillId="5" borderId="4" xfId="0" applyNumberFormat="1" applyFont="1" applyFill="1" applyBorder="1" applyAlignment="1">
      <alignment horizontal="center" vertical="center" wrapText="1"/>
    </xf>
    <xf numFmtId="49" fontId="7" fillId="5" borderId="5" xfId="0" applyNumberFormat="1" applyFont="1" applyFill="1" applyBorder="1" applyAlignment="1">
      <alignment horizontal="center" vertical="center" wrapText="1"/>
    </xf>
    <xf numFmtId="49" fontId="7" fillId="5" borderId="6" xfId="0" applyNumberFormat="1" applyFont="1" applyFill="1" applyBorder="1" applyAlignment="1">
      <alignment horizontal="center" vertical="center" wrapText="1"/>
    </xf>
    <xf numFmtId="49" fontId="7" fillId="5" borderId="7" xfId="0" applyNumberFormat="1" applyFont="1" applyFill="1" applyBorder="1" applyAlignment="1">
      <alignment horizontal="center" vertical="center" wrapText="1"/>
    </xf>
    <xf numFmtId="0" fontId="3" fillId="7" borderId="0" xfId="0" applyFont="1" applyFill="1" applyAlignment="1">
      <alignment horizontal="center" vertical="center"/>
    </xf>
    <xf numFmtId="164" fontId="7" fillId="5" borderId="1" xfId="0" applyNumberFormat="1" applyFont="1" applyFill="1" applyBorder="1" applyAlignment="1" applyProtection="1">
      <alignment horizontal="center" vertical="center"/>
      <protection locked="0"/>
    </xf>
    <xf numFmtId="4" fontId="7" fillId="5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164" fontId="3" fillId="2" borderId="4" xfId="0" applyNumberFormat="1" applyFont="1" applyFill="1" applyBorder="1" applyAlignment="1">
      <alignment horizontal="center" vertical="center"/>
    </xf>
    <xf numFmtId="164" fontId="3" fillId="2" borderId="5" xfId="0" applyNumberFormat="1" applyFont="1" applyFill="1" applyBorder="1" applyAlignment="1">
      <alignment horizontal="center" vertical="center"/>
    </xf>
    <xf numFmtId="164" fontId="3" fillId="2" borderId="6" xfId="0" applyNumberFormat="1" applyFont="1" applyFill="1" applyBorder="1" applyAlignment="1">
      <alignment horizontal="center" vertical="center"/>
    </xf>
    <xf numFmtId="164" fontId="3" fillId="2" borderId="7" xfId="0" applyNumberFormat="1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164" fontId="3" fillId="6" borderId="4" xfId="0" applyNumberFormat="1" applyFont="1" applyFill="1" applyBorder="1" applyAlignment="1">
      <alignment horizontal="center" vertical="center"/>
    </xf>
    <xf numFmtId="164" fontId="3" fillId="6" borderId="5" xfId="0" applyNumberFormat="1" applyFont="1" applyFill="1" applyBorder="1" applyAlignment="1">
      <alignment horizontal="center" vertical="center"/>
    </xf>
    <xf numFmtId="164" fontId="3" fillId="6" borderId="6" xfId="0" applyNumberFormat="1" applyFont="1" applyFill="1" applyBorder="1" applyAlignment="1">
      <alignment horizontal="center" vertical="center"/>
    </xf>
    <xf numFmtId="164" fontId="3" fillId="6" borderId="7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 wrapText="1"/>
    </xf>
    <xf numFmtId="164" fontId="7" fillId="3" borderId="4" xfId="0" applyNumberFormat="1" applyFont="1" applyFill="1" applyBorder="1" applyAlignment="1">
      <alignment horizontal="center" vertical="center"/>
    </xf>
    <xf numFmtId="164" fontId="7" fillId="3" borderId="5" xfId="0" applyNumberFormat="1" applyFont="1" applyFill="1" applyBorder="1" applyAlignment="1">
      <alignment horizontal="center" vertical="center"/>
    </xf>
    <xf numFmtId="164" fontId="7" fillId="3" borderId="6" xfId="0" applyNumberFormat="1" applyFont="1" applyFill="1" applyBorder="1" applyAlignment="1">
      <alignment horizontal="center" vertical="center"/>
    </xf>
    <xf numFmtId="164" fontId="7" fillId="3" borderId="7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 applyProtection="1">
      <alignment vertical="center" wrapText="1"/>
      <protection locked="0"/>
    </xf>
    <xf numFmtId="0" fontId="7" fillId="5" borderId="1" xfId="0" applyFont="1" applyFill="1" applyBorder="1" applyAlignment="1" applyProtection="1">
      <alignment vertical="center" wrapText="1"/>
      <protection locked="0"/>
    </xf>
    <xf numFmtId="0" fontId="3" fillId="7" borderId="1" xfId="0" applyFont="1" applyFill="1" applyBorder="1" applyAlignment="1">
      <alignment horizontal="center" vertical="center" wrapText="1"/>
    </xf>
    <xf numFmtId="0" fontId="3" fillId="7" borderId="1" xfId="0" applyFont="1" applyFill="1" applyBorder="1"/>
    <xf numFmtId="0" fontId="7" fillId="3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horizontal="center" wrapText="1"/>
    </xf>
    <xf numFmtId="0" fontId="3" fillId="2" borderId="0" xfId="0" applyFont="1" applyFill="1" applyAlignment="1">
      <alignment horizontal="center"/>
    </xf>
    <xf numFmtId="164" fontId="7" fillId="3" borderId="1" xfId="0" applyNumberFormat="1" applyFont="1" applyFill="1" applyBorder="1" applyAlignment="1">
      <alignment horizontal="center"/>
    </xf>
    <xf numFmtId="10" fontId="7" fillId="3" borderId="1" xfId="0" applyNumberFormat="1" applyFont="1" applyFill="1" applyBorder="1" applyAlignment="1">
      <alignment horizontal="center"/>
    </xf>
    <xf numFmtId="0" fontId="6" fillId="3" borderId="1" xfId="0" applyFont="1" applyFill="1" applyBorder="1" applyAlignment="1">
      <alignment vertical="center"/>
    </xf>
    <xf numFmtId="10" fontId="7" fillId="3" borderId="1" xfId="0" applyNumberFormat="1" applyFont="1" applyFill="1" applyBorder="1" applyAlignment="1">
      <alignment horizontal="center" vertical="center"/>
    </xf>
    <xf numFmtId="0" fontId="7" fillId="3" borderId="1" xfId="0" applyFont="1" applyFill="1" applyBorder="1"/>
    <xf numFmtId="0" fontId="5" fillId="4" borderId="1" xfId="0" applyFont="1" applyFill="1" applyBorder="1"/>
    <xf numFmtId="0" fontId="3" fillId="6" borderId="1" xfId="0" applyFont="1" applyFill="1" applyBorder="1"/>
    <xf numFmtId="0" fontId="3" fillId="2" borderId="1" xfId="0" applyFont="1" applyFill="1" applyBorder="1"/>
    <xf numFmtId="0" fontId="4" fillId="3" borderId="0" xfId="0" applyFont="1" applyFill="1" applyAlignment="1">
      <alignment horizontal="left"/>
    </xf>
  </cellXfs>
  <cellStyles count="2">
    <cellStyle name="Normale" xfId="0" builtinId="0"/>
    <cellStyle name="Valuta" xfId="1" xr:uid="{00000000-0005-0000-0000-000001000000}"/>
  </cellStyles>
  <dxfs count="5">
    <dxf>
      <font>
        <b/>
        <color rgb="FFC00000"/>
      </font>
      <fill>
        <patternFill patternType="solid">
          <bgColor rgb="FFF4CCCC"/>
        </patternFill>
      </fill>
    </dxf>
    <dxf>
      <font>
        <b/>
        <color rgb="FF006100"/>
      </font>
      <fill>
        <patternFill patternType="solid">
          <bgColor rgb="FFE2F0D9"/>
        </patternFill>
      </fill>
    </dxf>
    <dxf>
      <font>
        <b/>
        <color rgb="FFC00000"/>
      </font>
      <fill>
        <patternFill patternType="solid">
          <bgColor rgb="FFF4CCCC"/>
        </patternFill>
      </fill>
    </dxf>
    <dxf>
      <font>
        <b/>
        <color rgb="FF006100"/>
      </font>
      <fill>
        <patternFill patternType="solid">
          <bgColor rgb="FFE2F0D9"/>
        </patternFill>
      </fill>
    </dxf>
    <dxf>
      <font>
        <b/>
        <color rgb="FFC00000"/>
      </font>
      <fill>
        <patternFill patternType="solid">
          <bgColor rgb="FFF4CC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1257300</xdr:colOff>
      <xdr:row>42</xdr:row>
      <xdr:rowOff>139700</xdr:rowOff>
    </xdr:to>
    <xdr:sp macro="" textlink="">
      <xdr:nvSpPr>
        <xdr:cNvPr id="1026" name="Text Box 2" hidden="1">
          <a:extLst>
            <a:ext uri="{FF2B5EF4-FFF2-40B4-BE49-F238E27FC236}">
              <a16:creationId xmlns:a16="http://schemas.microsoft.com/office/drawing/2014/main" id="{472898A9-6B11-0A30-ABD3-DF8E4C368E86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1257300</xdr:colOff>
      <xdr:row>42</xdr:row>
      <xdr:rowOff>139700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97CE1737-0B3F-CD2B-A7AD-E50B047B96E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700000" cy="1270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1257300</xdr:colOff>
      <xdr:row>42</xdr:row>
      <xdr:rowOff>139700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DED5116D-E9D9-6839-7B81-A4E0AF6F271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700000" cy="1270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1257300</xdr:colOff>
      <xdr:row>42</xdr:row>
      <xdr:rowOff>139700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A10A176B-169E-4E98-B60F-3A05A9A07EE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700000" cy="1270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1257300</xdr:colOff>
      <xdr:row>42</xdr:row>
      <xdr:rowOff>139700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81A53827-3CE2-7232-51F3-15EE9B36C91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700000" cy="1270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1257300</xdr:colOff>
      <xdr:row>42</xdr:row>
      <xdr:rowOff>139700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C36DE56A-A4A9-E5E7-9082-717E82B2D20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700000" cy="1270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1257300</xdr:colOff>
      <xdr:row>42</xdr:row>
      <xdr:rowOff>139700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282D236F-B5A6-B531-8DDD-D57CC2CA7752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700000" cy="1270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1257300</xdr:colOff>
      <xdr:row>42</xdr:row>
      <xdr:rowOff>76200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BF951A88-BF32-A4F4-61A0-6EDC72893BD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700000" cy="1270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1257300</xdr:colOff>
      <xdr:row>42</xdr:row>
      <xdr:rowOff>209550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9C7E5163-77E1-4046-A472-95D6340473D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696825" cy="1269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rcella Landi" id="{475C637C-4B64-43FF-8971-30B316832D72}" userId="" providerId=""/>
</personList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9" dT="2026-09-03T13:12:58.31" personId="{475C637C-4B64-43FF-8971-30B316832D72}" id="{F98EDB21-50AB-49CD-BE0D-C300E5A1F523}">
    <text>Soglia minima stabilita dalla Direzione. Nelle righe dei costi specifici il ricarico può essere aumentato, ma un valore inferiore al 15% rende la verifica non congrua.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200"/>
  <sheetViews>
    <sheetView showGridLines="0" tabSelected="1" workbookViewId="0">
      <selection activeCell="D13" sqref="D13"/>
    </sheetView>
  </sheetViews>
  <sheetFormatPr defaultColWidth="11" defaultRowHeight="15.75" x14ac:dyDescent="0.25"/>
  <cols>
    <col min="1" max="1" width="4.125" customWidth="1"/>
    <col min="2" max="2" width="17" customWidth="1"/>
    <col min="3" max="3" width="19" customWidth="1"/>
    <col min="4" max="5" width="15" customWidth="1"/>
    <col min="6" max="6" width="14" customWidth="1"/>
    <col min="7" max="7" width="18" customWidth="1"/>
    <col min="8" max="9" width="17" customWidth="1"/>
    <col min="10" max="10" width="14" customWidth="1"/>
    <col min="11" max="11" width="18" customWidth="1"/>
  </cols>
  <sheetData>
    <row r="1" spans="2:9" ht="44.1" customHeight="1" x14ac:dyDescent="0.25">
      <c r="B1" s="34" t="s">
        <v>0</v>
      </c>
      <c r="C1" s="35"/>
      <c r="D1" s="35"/>
      <c r="E1" s="35"/>
      <c r="F1" s="35"/>
      <c r="G1" s="35"/>
      <c r="H1" s="35"/>
      <c r="I1" s="35"/>
    </row>
    <row r="2" spans="2:9" ht="21" customHeight="1" x14ac:dyDescent="0.25">
      <c r="B2" s="36" t="s">
        <v>1</v>
      </c>
      <c r="C2" s="36"/>
      <c r="D2" s="36"/>
      <c r="E2" s="36"/>
      <c r="F2" s="36"/>
      <c r="G2" s="36"/>
      <c r="H2" s="36"/>
      <c r="I2" s="36"/>
    </row>
    <row r="3" spans="2:9" ht="23.1" customHeight="1" x14ac:dyDescent="0.25">
      <c r="B3" s="37" t="s">
        <v>2</v>
      </c>
      <c r="C3" s="37"/>
      <c r="D3" s="38"/>
      <c r="E3" s="38"/>
      <c r="F3" s="37" t="s">
        <v>3</v>
      </c>
      <c r="G3" s="37"/>
      <c r="H3" s="38"/>
      <c r="I3" s="38"/>
    </row>
    <row r="4" spans="2:9" ht="20.100000000000001" customHeight="1" x14ac:dyDescent="0.25"/>
    <row r="5" spans="2:9" ht="21.95" customHeight="1" x14ac:dyDescent="0.25">
      <c r="B5" s="48" t="s">
        <v>4</v>
      </c>
      <c r="C5" s="49"/>
      <c r="D5" s="54" t="s">
        <v>5</v>
      </c>
      <c r="E5" s="55"/>
      <c r="F5" s="60" t="s">
        <v>6</v>
      </c>
      <c r="G5" s="61"/>
      <c r="H5" s="39" t="s">
        <v>7</v>
      </c>
      <c r="I5" s="40"/>
    </row>
    <row r="6" spans="2:9" ht="27" customHeight="1" x14ac:dyDescent="0.25">
      <c r="B6" s="50" t="str">
        <f>IF($D$10="","",$D$10)</f>
        <v/>
      </c>
      <c r="C6" s="51"/>
      <c r="D6" s="56" t="str">
        <f>IF($H$10="","",$I$34)</f>
        <v/>
      </c>
      <c r="E6" s="57"/>
      <c r="F6" s="62" t="str">
        <f>IF(OR($D$10="",$H$10=""),"",$I$36)</f>
        <v/>
      </c>
      <c r="G6" s="63"/>
      <c r="H6" s="41" t="str">
        <f>$G$24</f>
        <v>DA COMPLETARE</v>
      </c>
      <c r="I6" s="42"/>
    </row>
    <row r="7" spans="2:9" ht="27" customHeight="1" x14ac:dyDescent="0.25">
      <c r="B7" s="52"/>
      <c r="C7" s="53"/>
      <c r="D7" s="58"/>
      <c r="E7" s="59"/>
      <c r="F7" s="64"/>
      <c r="G7" s="65"/>
      <c r="H7" s="43"/>
      <c r="I7" s="44"/>
    </row>
    <row r="8" spans="2:9" ht="20.100000000000001" customHeight="1" x14ac:dyDescent="0.25"/>
    <row r="9" spans="2:9" ht="23.1" customHeight="1" x14ac:dyDescent="0.25">
      <c r="B9" s="45" t="s">
        <v>8</v>
      </c>
      <c r="C9" s="45"/>
      <c r="D9" s="45"/>
      <c r="E9" s="45"/>
      <c r="F9" s="45"/>
      <c r="G9" s="45"/>
      <c r="H9" s="45"/>
      <c r="I9" s="45"/>
    </row>
    <row r="10" spans="2:9" ht="27" customHeight="1" x14ac:dyDescent="0.25">
      <c r="B10" s="37" t="s">
        <v>9</v>
      </c>
      <c r="C10" s="37"/>
      <c r="D10" s="46"/>
      <c r="E10" s="46"/>
      <c r="F10" s="37" t="s">
        <v>10</v>
      </c>
      <c r="G10" s="37"/>
      <c r="H10" s="47"/>
      <c r="I10" s="47"/>
    </row>
    <row r="11" spans="2:9" ht="20.100000000000001" customHeight="1" x14ac:dyDescent="0.25"/>
    <row r="12" spans="2:9" ht="36" customHeight="1" x14ac:dyDescent="0.25">
      <c r="B12" s="68" t="s">
        <v>11</v>
      </c>
      <c r="C12" s="68"/>
      <c r="D12" s="2" t="s">
        <v>75</v>
      </c>
      <c r="E12" s="2" t="s">
        <v>76</v>
      </c>
      <c r="F12" s="2" t="s">
        <v>77</v>
      </c>
      <c r="G12" s="2" t="s">
        <v>78</v>
      </c>
      <c r="H12" s="2" t="s">
        <v>12</v>
      </c>
      <c r="I12" s="2" t="s">
        <v>13</v>
      </c>
    </row>
    <row r="13" spans="2:9" ht="24" customHeight="1" x14ac:dyDescent="0.25">
      <c r="B13" s="67"/>
      <c r="C13" s="67"/>
      <c r="D13" s="33"/>
      <c r="E13" s="32"/>
      <c r="F13" s="3" t="str">
        <f t="shared" ref="F13:F22" si="0">IF(OR(D13="",E13=""),"",IFERROR(IF(ISNUMBER(D13),D13,VALUE(LEFT(TRIM(D13),FIND(" ",TRIM(D13)&amp;" ")-1)))*E13,0))</f>
        <v/>
      </c>
      <c r="G13" s="30">
        <v>0.15</v>
      </c>
      <c r="H13" s="3" t="str">
        <f t="shared" ref="H13:H22" si="1">IF(F13="","",F13*G13)</f>
        <v/>
      </c>
      <c r="I13" s="4" t="str">
        <f t="shared" ref="I13:I22" si="2">IF(F13="","",IFERROR((F13+H13)/(1-$F$28),0))</f>
        <v/>
      </c>
    </row>
    <row r="14" spans="2:9" ht="24" customHeight="1" x14ac:dyDescent="0.25">
      <c r="B14" s="67"/>
      <c r="C14" s="67"/>
      <c r="D14" s="33"/>
      <c r="E14" s="32"/>
      <c r="F14" s="3" t="str">
        <f t="shared" si="0"/>
        <v/>
      </c>
      <c r="G14" s="30">
        <v>0.15</v>
      </c>
      <c r="H14" s="3" t="str">
        <f t="shared" si="1"/>
        <v/>
      </c>
      <c r="I14" s="4" t="str">
        <f t="shared" si="2"/>
        <v/>
      </c>
    </row>
    <row r="15" spans="2:9" ht="24" customHeight="1" x14ac:dyDescent="0.25">
      <c r="B15" s="67"/>
      <c r="C15" s="67"/>
      <c r="D15" s="33"/>
      <c r="E15" s="32"/>
      <c r="F15" s="3" t="str">
        <f t="shared" si="0"/>
        <v/>
      </c>
      <c r="G15" s="30">
        <v>0.15</v>
      </c>
      <c r="H15" s="3" t="str">
        <f t="shared" si="1"/>
        <v/>
      </c>
      <c r="I15" s="4" t="str">
        <f t="shared" si="2"/>
        <v/>
      </c>
    </row>
    <row r="16" spans="2:9" ht="24" customHeight="1" x14ac:dyDescent="0.25">
      <c r="B16" s="66"/>
      <c r="C16" s="66"/>
      <c r="D16" s="33"/>
      <c r="E16" s="32"/>
      <c r="F16" s="3" t="str">
        <f t="shared" si="0"/>
        <v/>
      </c>
      <c r="G16" s="30">
        <v>0.15</v>
      </c>
      <c r="H16" s="3" t="str">
        <f t="shared" si="1"/>
        <v/>
      </c>
      <c r="I16" s="4" t="str">
        <f t="shared" si="2"/>
        <v/>
      </c>
    </row>
    <row r="17" spans="2:9" ht="24" customHeight="1" x14ac:dyDescent="0.25">
      <c r="B17" s="66"/>
      <c r="C17" s="66"/>
      <c r="D17" s="33"/>
      <c r="E17" s="32"/>
      <c r="F17" s="3" t="str">
        <f t="shared" si="0"/>
        <v/>
      </c>
      <c r="G17" s="30">
        <v>0.15</v>
      </c>
      <c r="H17" s="3" t="str">
        <f t="shared" si="1"/>
        <v/>
      </c>
      <c r="I17" s="4" t="str">
        <f t="shared" si="2"/>
        <v/>
      </c>
    </row>
    <row r="18" spans="2:9" ht="24" customHeight="1" x14ac:dyDescent="0.25">
      <c r="B18" s="66"/>
      <c r="C18" s="66"/>
      <c r="D18" s="33"/>
      <c r="E18" s="32"/>
      <c r="F18" s="3" t="str">
        <f t="shared" si="0"/>
        <v/>
      </c>
      <c r="G18" s="30">
        <v>0.15</v>
      </c>
      <c r="H18" s="3" t="str">
        <f t="shared" si="1"/>
        <v/>
      </c>
      <c r="I18" s="4" t="str">
        <f t="shared" si="2"/>
        <v/>
      </c>
    </row>
    <row r="19" spans="2:9" ht="24" customHeight="1" x14ac:dyDescent="0.25">
      <c r="B19" s="66"/>
      <c r="C19" s="66"/>
      <c r="D19" s="33"/>
      <c r="E19" s="32"/>
      <c r="F19" s="3" t="str">
        <f t="shared" si="0"/>
        <v/>
      </c>
      <c r="G19" s="30">
        <v>0.15</v>
      </c>
      <c r="H19" s="3" t="str">
        <f t="shared" si="1"/>
        <v/>
      </c>
      <c r="I19" s="4" t="str">
        <f t="shared" si="2"/>
        <v/>
      </c>
    </row>
    <row r="20" spans="2:9" ht="24" customHeight="1" x14ac:dyDescent="0.25">
      <c r="B20" s="66"/>
      <c r="C20" s="66"/>
      <c r="D20" s="33"/>
      <c r="E20" s="32"/>
      <c r="F20" s="3" t="str">
        <f t="shared" si="0"/>
        <v/>
      </c>
      <c r="G20" s="30">
        <v>0.15</v>
      </c>
      <c r="H20" s="3" t="str">
        <f t="shared" si="1"/>
        <v/>
      </c>
      <c r="I20" s="4" t="str">
        <f t="shared" si="2"/>
        <v/>
      </c>
    </row>
    <row r="21" spans="2:9" ht="24" customHeight="1" x14ac:dyDescent="0.25">
      <c r="B21" s="66"/>
      <c r="C21" s="66"/>
      <c r="D21" s="33"/>
      <c r="E21" s="32"/>
      <c r="F21" s="3" t="str">
        <f t="shared" si="0"/>
        <v/>
      </c>
      <c r="G21" s="30">
        <v>0.15</v>
      </c>
      <c r="H21" s="3" t="str">
        <f t="shared" si="1"/>
        <v/>
      </c>
      <c r="I21" s="4" t="str">
        <f t="shared" si="2"/>
        <v/>
      </c>
    </row>
    <row r="22" spans="2:9" ht="24" customHeight="1" x14ac:dyDescent="0.25">
      <c r="B22" s="66"/>
      <c r="C22" s="66"/>
      <c r="D22" s="33"/>
      <c r="E22" s="32"/>
      <c r="F22" s="3" t="str">
        <f t="shared" si="0"/>
        <v/>
      </c>
      <c r="G22" s="30">
        <v>0.15</v>
      </c>
      <c r="H22" s="3" t="str">
        <f t="shared" si="1"/>
        <v/>
      </c>
      <c r="I22" s="4" t="str">
        <f t="shared" si="2"/>
        <v/>
      </c>
    </row>
    <row r="23" spans="2:9" ht="24.95" customHeight="1" x14ac:dyDescent="0.25">
      <c r="B23" s="69" t="s">
        <v>14</v>
      </c>
      <c r="C23" s="69"/>
      <c r="D23" s="5"/>
      <c r="E23" s="5"/>
      <c r="F23" s="5">
        <f>SUM(F13:F22)</f>
        <v>0</v>
      </c>
      <c r="G23" s="6">
        <f>IFERROR(H23/F23,0)</f>
        <v>0</v>
      </c>
      <c r="H23" s="5">
        <f>SUM(H13:H22)</f>
        <v>0</v>
      </c>
      <c r="I23" s="5">
        <f>SUM(I13:I22)</f>
        <v>0</v>
      </c>
    </row>
    <row r="24" spans="2:9" ht="27" customHeight="1" x14ac:dyDescent="0.25">
      <c r="B24" s="70" t="s">
        <v>15</v>
      </c>
      <c r="C24" s="70"/>
      <c r="D24" s="70"/>
      <c r="E24" s="70"/>
      <c r="F24" s="29" t="s">
        <v>74</v>
      </c>
      <c r="G24" s="71" t="str">
        <f>IF(AND(UPPER(TRIM($F$24))&lt;&gt;"SÌ",UPPER(TRIM($F$24))&lt;&gt;"SI"),"DA COMPLETARE",IF(COUNTIFS($E$13:$E$22,"&gt;0",$G$13:$G$22,"&lt;"&amp;$D$29)&gt;0,"NON CONGRUO: SOGLIA DIREZIONE 15%",IF($I$35&gt;=$I$34,"CONGRUA","NON CONGRUA")))</f>
        <v>DA COMPLETARE</v>
      </c>
      <c r="H24" s="71"/>
      <c r="I24" s="71"/>
    </row>
    <row r="25" spans="2:9" ht="20.100000000000001" customHeight="1" x14ac:dyDescent="0.25"/>
    <row r="26" spans="2:9" ht="21" customHeight="1" x14ac:dyDescent="0.25">
      <c r="B26" s="72" t="s">
        <v>16</v>
      </c>
      <c r="C26" s="72"/>
      <c r="D26" s="72"/>
      <c r="E26" s="72"/>
      <c r="F26" s="72"/>
      <c r="G26" s="72"/>
      <c r="H26" s="72"/>
      <c r="I26" s="72"/>
    </row>
    <row r="27" spans="2:9" ht="24.95" customHeight="1" x14ac:dyDescent="0.25">
      <c r="B27" s="71" t="s">
        <v>17</v>
      </c>
      <c r="C27" s="71"/>
      <c r="D27" s="71" t="s">
        <v>18</v>
      </c>
      <c r="E27" s="71"/>
      <c r="F27" s="71" t="s">
        <v>19</v>
      </c>
      <c r="G27" s="71"/>
      <c r="H27" s="71" t="s">
        <v>20</v>
      </c>
      <c r="I27" s="71"/>
    </row>
    <row r="28" spans="2:9" ht="24" customHeight="1" x14ac:dyDescent="0.25">
      <c r="B28" s="73">
        <f>'Dettaglio strutturale'!$B$6</f>
        <v>45.794963768115942</v>
      </c>
      <c r="C28" s="73"/>
      <c r="D28" s="74">
        <v>0.03</v>
      </c>
      <c r="E28" s="74"/>
      <c r="F28" s="74">
        <v>0.12</v>
      </c>
      <c r="G28" s="74"/>
      <c r="H28" s="73">
        <f>'Dettaglio strutturale'!$B$8</f>
        <v>6.7408156386922817</v>
      </c>
      <c r="I28" s="73"/>
    </row>
    <row r="29" spans="2:9" ht="24" customHeight="1" x14ac:dyDescent="0.25">
      <c r="B29" s="75" t="s">
        <v>21</v>
      </c>
      <c r="C29" s="75"/>
      <c r="D29" s="76">
        <v>0.15</v>
      </c>
      <c r="E29" s="76"/>
      <c r="F29" s="75" t="s">
        <v>22</v>
      </c>
      <c r="G29" s="75"/>
      <c r="H29" s="76">
        <f>(1+$D$29)/(1-$F$28)-1</f>
        <v>0.30681818181818166</v>
      </c>
      <c r="I29" s="76"/>
    </row>
    <row r="30" spans="2:9" ht="20.100000000000001" customHeight="1" x14ac:dyDescent="0.25"/>
    <row r="31" spans="2:9" ht="23.1" customHeight="1" x14ac:dyDescent="0.25">
      <c r="B31" s="72" t="s">
        <v>23</v>
      </c>
      <c r="C31" s="72"/>
      <c r="D31" s="72"/>
      <c r="E31" s="72"/>
      <c r="F31" s="72"/>
      <c r="G31" s="72"/>
      <c r="H31" s="72"/>
      <c r="I31" s="72"/>
    </row>
    <row r="32" spans="2:9" ht="23.1" customHeight="1" x14ac:dyDescent="0.25">
      <c r="B32" s="78" t="s">
        <v>24</v>
      </c>
      <c r="C32" s="78"/>
      <c r="D32" s="78"/>
      <c r="E32" s="78"/>
      <c r="F32" s="78"/>
      <c r="G32" s="78"/>
      <c r="H32" s="78"/>
      <c r="I32" s="7" t="str">
        <f>IF($H$10="","",'Dettaglio strutturale'!$B$42)</f>
        <v/>
      </c>
    </row>
    <row r="33" spans="2:9" ht="23.1" customHeight="1" x14ac:dyDescent="0.25">
      <c r="B33" s="78" t="s">
        <v>25</v>
      </c>
      <c r="C33" s="78"/>
      <c r="D33" s="78"/>
      <c r="E33" s="78"/>
      <c r="F33" s="78"/>
      <c r="G33" s="78"/>
      <c r="H33" s="78"/>
      <c r="I33" s="7" t="str">
        <f>IF(COUNTA($D$13:$D$22)=0,"",$I$23)</f>
        <v/>
      </c>
    </row>
    <row r="34" spans="2:9" ht="23.1" customHeight="1" x14ac:dyDescent="0.25">
      <c r="B34" s="79" t="s">
        <v>5</v>
      </c>
      <c r="C34" s="79"/>
      <c r="D34" s="79"/>
      <c r="E34" s="79"/>
      <c r="F34" s="79"/>
      <c r="G34" s="79"/>
      <c r="H34" s="79"/>
      <c r="I34" s="9" t="str">
        <f>IF($H$10="","",SUM($I$32:$I$33))</f>
        <v/>
      </c>
    </row>
    <row r="35" spans="2:9" ht="23.1" customHeight="1" x14ac:dyDescent="0.25">
      <c r="B35" s="80" t="s">
        <v>4</v>
      </c>
      <c r="C35" s="80"/>
      <c r="D35" s="80"/>
      <c r="E35" s="80"/>
      <c r="F35" s="80"/>
      <c r="G35" s="80"/>
      <c r="H35" s="80"/>
      <c r="I35" s="10" t="str">
        <f>IF($D$10="","",$D$10)</f>
        <v/>
      </c>
    </row>
    <row r="36" spans="2:9" ht="23.1" customHeight="1" x14ac:dyDescent="0.25">
      <c r="B36" s="77" t="s">
        <v>6</v>
      </c>
      <c r="C36" s="77"/>
      <c r="D36" s="77"/>
      <c r="E36" s="77"/>
      <c r="F36" s="77"/>
      <c r="G36" s="77"/>
      <c r="H36" s="77"/>
      <c r="I36" s="4" t="str">
        <f>IF(OR($I$34="",$I$35=""),"",$I$35-$I$34)</f>
        <v/>
      </c>
    </row>
    <row r="37" spans="2:9" ht="20.100000000000001" customHeight="1" x14ac:dyDescent="0.25"/>
    <row r="38" spans="2:9" ht="20.100000000000001" customHeight="1" x14ac:dyDescent="0.25"/>
    <row r="39" spans="2:9" ht="20.100000000000001" customHeight="1" x14ac:dyDescent="0.25"/>
    <row r="40" spans="2:9" ht="20.100000000000001" customHeight="1" x14ac:dyDescent="0.25"/>
    <row r="41" spans="2:9" ht="20.100000000000001" customHeight="1" x14ac:dyDescent="0.25"/>
    <row r="42" spans="2:9" ht="20.100000000000001" customHeight="1" x14ac:dyDescent="0.25"/>
    <row r="43" spans="2:9" ht="20.100000000000001" customHeight="1" x14ac:dyDescent="0.25"/>
    <row r="44" spans="2:9" ht="20.100000000000001" customHeight="1" x14ac:dyDescent="0.25"/>
    <row r="45" spans="2:9" ht="20.100000000000001" customHeight="1" x14ac:dyDescent="0.25">
      <c r="E45">
        <f t="shared" ref="E45:E66" si="3">$D$35*D45</f>
        <v>0</v>
      </c>
      <c r="F45">
        <f t="shared" ref="F45:F67" si="4">$D$32</f>
        <v>0</v>
      </c>
      <c r="G45">
        <f t="shared" ref="G45:G66" si="5">E45*F45</f>
        <v>0</v>
      </c>
    </row>
    <row r="46" spans="2:9" ht="20.100000000000001" customHeight="1" x14ac:dyDescent="0.25">
      <c r="E46">
        <f t="shared" si="3"/>
        <v>0</v>
      </c>
      <c r="F46">
        <f t="shared" si="4"/>
        <v>0</v>
      </c>
      <c r="G46">
        <f t="shared" si="5"/>
        <v>0</v>
      </c>
    </row>
    <row r="47" spans="2:9" ht="20.100000000000001" customHeight="1" x14ac:dyDescent="0.25">
      <c r="E47">
        <f t="shared" si="3"/>
        <v>0</v>
      </c>
      <c r="F47">
        <f t="shared" si="4"/>
        <v>0</v>
      </c>
      <c r="G47">
        <f t="shared" si="5"/>
        <v>0</v>
      </c>
    </row>
    <row r="48" spans="2:9" ht="20.100000000000001" customHeight="1" x14ac:dyDescent="0.25">
      <c r="E48">
        <f t="shared" si="3"/>
        <v>0</v>
      </c>
      <c r="F48">
        <f t="shared" si="4"/>
        <v>0</v>
      </c>
      <c r="G48">
        <f t="shared" si="5"/>
        <v>0</v>
      </c>
    </row>
    <row r="49" spans="5:7" ht="20.100000000000001" customHeight="1" x14ac:dyDescent="0.25">
      <c r="E49">
        <f t="shared" si="3"/>
        <v>0</v>
      </c>
      <c r="F49">
        <f t="shared" si="4"/>
        <v>0</v>
      </c>
      <c r="G49">
        <f t="shared" si="5"/>
        <v>0</v>
      </c>
    </row>
    <row r="50" spans="5:7" ht="20.100000000000001" customHeight="1" x14ac:dyDescent="0.25">
      <c r="E50">
        <f t="shared" si="3"/>
        <v>0</v>
      </c>
      <c r="F50">
        <f t="shared" si="4"/>
        <v>0</v>
      </c>
      <c r="G50">
        <f t="shared" si="5"/>
        <v>0</v>
      </c>
    </row>
    <row r="51" spans="5:7" ht="20.100000000000001" customHeight="1" x14ac:dyDescent="0.25">
      <c r="E51">
        <f t="shared" si="3"/>
        <v>0</v>
      </c>
      <c r="F51">
        <f t="shared" si="4"/>
        <v>0</v>
      </c>
      <c r="G51">
        <f t="shared" si="5"/>
        <v>0</v>
      </c>
    </row>
    <row r="52" spans="5:7" ht="20.100000000000001" customHeight="1" x14ac:dyDescent="0.25">
      <c r="E52">
        <f t="shared" si="3"/>
        <v>0</v>
      </c>
      <c r="F52">
        <f t="shared" si="4"/>
        <v>0</v>
      </c>
      <c r="G52">
        <f t="shared" si="5"/>
        <v>0</v>
      </c>
    </row>
    <row r="53" spans="5:7" ht="20.100000000000001" customHeight="1" x14ac:dyDescent="0.25">
      <c r="E53">
        <f t="shared" si="3"/>
        <v>0</v>
      </c>
      <c r="F53">
        <f t="shared" si="4"/>
        <v>0</v>
      </c>
      <c r="G53">
        <f t="shared" si="5"/>
        <v>0</v>
      </c>
    </row>
    <row r="54" spans="5:7" ht="20.100000000000001" customHeight="1" x14ac:dyDescent="0.25">
      <c r="E54">
        <f t="shared" si="3"/>
        <v>0</v>
      </c>
      <c r="F54">
        <f t="shared" si="4"/>
        <v>0</v>
      </c>
      <c r="G54">
        <f t="shared" si="5"/>
        <v>0</v>
      </c>
    </row>
    <row r="55" spans="5:7" ht="20.100000000000001" customHeight="1" x14ac:dyDescent="0.25">
      <c r="E55">
        <f t="shared" si="3"/>
        <v>0</v>
      </c>
      <c r="F55">
        <f t="shared" si="4"/>
        <v>0</v>
      </c>
      <c r="G55">
        <f t="shared" si="5"/>
        <v>0</v>
      </c>
    </row>
    <row r="56" spans="5:7" ht="20.100000000000001" customHeight="1" x14ac:dyDescent="0.25">
      <c r="E56">
        <f t="shared" si="3"/>
        <v>0</v>
      </c>
      <c r="F56">
        <f t="shared" si="4"/>
        <v>0</v>
      </c>
      <c r="G56">
        <f t="shared" si="5"/>
        <v>0</v>
      </c>
    </row>
    <row r="57" spans="5:7" ht="20.100000000000001" customHeight="1" x14ac:dyDescent="0.25">
      <c r="E57">
        <f t="shared" si="3"/>
        <v>0</v>
      </c>
      <c r="F57">
        <f t="shared" si="4"/>
        <v>0</v>
      </c>
      <c r="G57">
        <f t="shared" si="5"/>
        <v>0</v>
      </c>
    </row>
    <row r="58" spans="5:7" ht="20.100000000000001" customHeight="1" x14ac:dyDescent="0.25">
      <c r="E58">
        <f t="shared" si="3"/>
        <v>0</v>
      </c>
      <c r="F58">
        <f t="shared" si="4"/>
        <v>0</v>
      </c>
      <c r="G58">
        <f t="shared" si="5"/>
        <v>0</v>
      </c>
    </row>
    <row r="59" spans="5:7" ht="20.100000000000001" customHeight="1" x14ac:dyDescent="0.25">
      <c r="E59">
        <f t="shared" si="3"/>
        <v>0</v>
      </c>
      <c r="F59">
        <f t="shared" si="4"/>
        <v>0</v>
      </c>
      <c r="G59">
        <f t="shared" si="5"/>
        <v>0</v>
      </c>
    </row>
    <row r="60" spans="5:7" ht="20.100000000000001" customHeight="1" x14ac:dyDescent="0.25">
      <c r="E60">
        <f t="shared" si="3"/>
        <v>0</v>
      </c>
      <c r="F60">
        <f t="shared" si="4"/>
        <v>0</v>
      </c>
      <c r="G60">
        <f t="shared" si="5"/>
        <v>0</v>
      </c>
    </row>
    <row r="61" spans="5:7" ht="20.100000000000001" customHeight="1" x14ac:dyDescent="0.25">
      <c r="E61">
        <f t="shared" si="3"/>
        <v>0</v>
      </c>
      <c r="F61">
        <f t="shared" si="4"/>
        <v>0</v>
      </c>
      <c r="G61">
        <f t="shared" si="5"/>
        <v>0</v>
      </c>
    </row>
    <row r="62" spans="5:7" ht="20.100000000000001" customHeight="1" x14ac:dyDescent="0.25">
      <c r="E62">
        <f t="shared" si="3"/>
        <v>0</v>
      </c>
      <c r="F62">
        <f t="shared" si="4"/>
        <v>0</v>
      </c>
      <c r="G62">
        <f t="shared" si="5"/>
        <v>0</v>
      </c>
    </row>
    <row r="63" spans="5:7" ht="20.100000000000001" customHeight="1" x14ac:dyDescent="0.25">
      <c r="E63">
        <f t="shared" si="3"/>
        <v>0</v>
      </c>
      <c r="F63">
        <f t="shared" si="4"/>
        <v>0</v>
      </c>
      <c r="G63">
        <f t="shared" si="5"/>
        <v>0</v>
      </c>
    </row>
    <row r="64" spans="5:7" ht="20.100000000000001" customHeight="1" x14ac:dyDescent="0.25">
      <c r="E64">
        <f t="shared" si="3"/>
        <v>0</v>
      </c>
      <c r="F64">
        <f t="shared" si="4"/>
        <v>0</v>
      </c>
      <c r="G64">
        <f t="shared" si="5"/>
        <v>0</v>
      </c>
    </row>
    <row r="65" spans="5:7" ht="20.100000000000001" customHeight="1" x14ac:dyDescent="0.25">
      <c r="E65">
        <f t="shared" si="3"/>
        <v>0</v>
      </c>
      <c r="F65">
        <f t="shared" si="4"/>
        <v>0</v>
      </c>
      <c r="G65">
        <f t="shared" si="5"/>
        <v>0</v>
      </c>
    </row>
    <row r="66" spans="5:7" ht="20.100000000000001" customHeight="1" x14ac:dyDescent="0.25">
      <c r="E66">
        <f t="shared" si="3"/>
        <v>0</v>
      </c>
      <c r="F66">
        <f t="shared" si="4"/>
        <v>0</v>
      </c>
      <c r="G66">
        <f t="shared" si="5"/>
        <v>0</v>
      </c>
    </row>
    <row r="67" spans="5:7" ht="20.100000000000001" customHeight="1" x14ac:dyDescent="0.25">
      <c r="F67">
        <f t="shared" si="4"/>
        <v>0</v>
      </c>
    </row>
    <row r="68" spans="5:7" ht="20.100000000000001" customHeight="1" x14ac:dyDescent="0.25"/>
    <row r="69" spans="5:7" ht="20.100000000000001" customHeight="1" x14ac:dyDescent="0.25"/>
    <row r="70" spans="5:7" ht="20.100000000000001" customHeight="1" x14ac:dyDescent="0.25"/>
    <row r="71" spans="5:7" ht="20.100000000000001" customHeight="1" x14ac:dyDescent="0.25"/>
    <row r="72" spans="5:7" ht="20.100000000000001" customHeight="1" x14ac:dyDescent="0.25"/>
    <row r="73" spans="5:7" ht="20.100000000000001" customHeight="1" x14ac:dyDescent="0.25"/>
    <row r="74" spans="5:7" ht="20.100000000000001" customHeight="1" x14ac:dyDescent="0.25"/>
    <row r="75" spans="5:7" ht="20.100000000000001" customHeight="1" x14ac:dyDescent="0.25"/>
    <row r="76" spans="5:7" ht="20.100000000000001" customHeight="1" x14ac:dyDescent="0.25"/>
    <row r="77" spans="5:7" ht="20.100000000000001" customHeight="1" x14ac:dyDescent="0.25"/>
    <row r="78" spans="5:7" ht="20.100000000000001" customHeight="1" x14ac:dyDescent="0.25"/>
    <row r="79" spans="5:7" ht="20.100000000000001" customHeight="1" x14ac:dyDescent="0.25"/>
    <row r="80" spans="5:7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</sheetData>
  <sheetProtection insertRows="0" selectLockedCells="1"/>
  <mergeCells count="52">
    <mergeCell ref="B36:H36"/>
    <mergeCell ref="B31:I31"/>
    <mergeCell ref="B32:H32"/>
    <mergeCell ref="B33:H33"/>
    <mergeCell ref="B34:H34"/>
    <mergeCell ref="B35:H35"/>
    <mergeCell ref="B28:C28"/>
    <mergeCell ref="D28:E28"/>
    <mergeCell ref="F28:G28"/>
    <mergeCell ref="H28:I28"/>
    <mergeCell ref="B29:C29"/>
    <mergeCell ref="D29:E29"/>
    <mergeCell ref="F29:G29"/>
    <mergeCell ref="H29:I29"/>
    <mergeCell ref="B24:E24"/>
    <mergeCell ref="G24:I24"/>
    <mergeCell ref="B26:I26"/>
    <mergeCell ref="B27:C27"/>
    <mergeCell ref="D27:E27"/>
    <mergeCell ref="F27:G27"/>
    <mergeCell ref="H27:I27"/>
    <mergeCell ref="B22:C22"/>
    <mergeCell ref="B23:C23"/>
    <mergeCell ref="B20:C20"/>
    <mergeCell ref="B21:C21"/>
    <mergeCell ref="B18:C18"/>
    <mergeCell ref="B19:C19"/>
    <mergeCell ref="B16:C16"/>
    <mergeCell ref="B17:C17"/>
    <mergeCell ref="B14:C14"/>
    <mergeCell ref="B15:C15"/>
    <mergeCell ref="B12:C12"/>
    <mergeCell ref="B13:C13"/>
    <mergeCell ref="H5:I5"/>
    <mergeCell ref="H6:I7"/>
    <mergeCell ref="B9:I9"/>
    <mergeCell ref="B10:C10"/>
    <mergeCell ref="D10:E10"/>
    <mergeCell ref="F10:G10"/>
    <mergeCell ref="H10:I10"/>
    <mergeCell ref="B5:C5"/>
    <mergeCell ref="B6:C7"/>
    <mergeCell ref="D5:E5"/>
    <mergeCell ref="D6:E7"/>
    <mergeCell ref="F5:G5"/>
    <mergeCell ref="F6:G7"/>
    <mergeCell ref="B1:I1"/>
    <mergeCell ref="B2:I2"/>
    <mergeCell ref="B3:C3"/>
    <mergeCell ref="D3:E3"/>
    <mergeCell ref="F3:G3"/>
    <mergeCell ref="H3:I3"/>
  </mergeCells>
  <conditionalFormatting sqref="G13:G22">
    <cfRule type="expression" dxfId="4" priority="11">
      <formula>AND($E13&gt;0,$G13&lt;$D$29)</formula>
    </cfRule>
  </conditionalFormatting>
  <conditionalFormatting sqref="G24:I24">
    <cfRule type="expression" dxfId="3" priority="9">
      <formula>$G$24="CONGRUA"</formula>
    </cfRule>
    <cfRule type="expression" dxfId="2" priority="10">
      <formula>$G$24&lt;&gt;"CONGRUA"</formula>
    </cfRule>
  </conditionalFormatting>
  <conditionalFormatting sqref="H6:I7">
    <cfRule type="expression" dxfId="1" priority="7">
      <formula>$H$6="CONGRUA"</formula>
    </cfRule>
    <cfRule type="expression" dxfId="0" priority="8">
      <formula>$H$6&lt;&gt;"CONGRUA"</formula>
    </cfRule>
  </conditionalFormatting>
  <dataValidations count="1">
    <dataValidation type="list" sqref="F24" xr:uid="{00000000-0002-0000-0000-000000000000}">
      <formula1>"SÌ,NO"</formula1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42"/>
  <sheetViews>
    <sheetView showGridLines="0" workbookViewId="0">
      <selection activeCell="B8" sqref="B8"/>
    </sheetView>
  </sheetViews>
  <sheetFormatPr defaultColWidth="8.875" defaultRowHeight="15.75" x14ac:dyDescent="0.25"/>
  <cols>
    <col min="1" max="1" width="40" customWidth="1"/>
    <col min="2" max="2" width="45" customWidth="1"/>
    <col min="3" max="3" width="12" customWidth="1"/>
    <col min="4" max="5" width="14" customWidth="1"/>
    <col min="6" max="6" width="16" customWidth="1"/>
  </cols>
  <sheetData>
    <row r="1" spans="1:6" ht="27.95" customHeight="1" x14ac:dyDescent="0.25">
      <c r="A1" s="35" t="s">
        <v>26</v>
      </c>
      <c r="B1" s="35"/>
      <c r="C1" s="35"/>
      <c r="D1" s="35"/>
      <c r="E1" s="35"/>
      <c r="F1" s="35"/>
    </row>
    <row r="2" spans="1:6" ht="20.100000000000001" customHeight="1" x14ac:dyDescent="0.25">
      <c r="A2" s="81" t="s">
        <v>27</v>
      </c>
      <c r="B2" s="81"/>
      <c r="C2" s="81"/>
      <c r="D2" s="81"/>
      <c r="E2" s="81"/>
      <c r="F2" s="81"/>
    </row>
    <row r="4" spans="1:6" x14ac:dyDescent="0.25">
      <c r="A4" s="11" t="s">
        <v>28</v>
      </c>
      <c r="B4" s="12">
        <v>543494.63</v>
      </c>
      <c r="D4" s="31"/>
    </row>
    <row r="5" spans="1:6" x14ac:dyDescent="0.25">
      <c r="A5" s="11" t="s">
        <v>29</v>
      </c>
      <c r="B5" s="13">
        <v>11868</v>
      </c>
    </row>
    <row r="6" spans="1:6" x14ac:dyDescent="0.25">
      <c r="A6" s="11" t="s">
        <v>30</v>
      </c>
      <c r="B6" s="12">
        <f>IFERROR(B4/B5,0)</f>
        <v>45.794963768115942</v>
      </c>
      <c r="C6" t="s">
        <v>73</v>
      </c>
    </row>
    <row r="7" spans="1:6" x14ac:dyDescent="0.25">
      <c r="A7" s="11" t="s">
        <v>31</v>
      </c>
      <c r="B7" s="12">
        <v>80000</v>
      </c>
    </row>
    <row r="8" spans="1:6" x14ac:dyDescent="0.25">
      <c r="A8" s="11" t="s">
        <v>32</v>
      </c>
      <c r="B8" s="12">
        <f>IFERROR(B7/B5,0)</f>
        <v>6.7408156386922817</v>
      </c>
      <c r="C8" t="s">
        <v>73</v>
      </c>
    </row>
    <row r="9" spans="1:6" x14ac:dyDescent="0.25">
      <c r="A9" s="11" t="s">
        <v>33</v>
      </c>
      <c r="B9" s="13">
        <f>'Analisi semplificata'!$H$10</f>
        <v>0</v>
      </c>
    </row>
    <row r="11" spans="1:6" ht="26.1" customHeight="1" x14ac:dyDescent="0.25">
      <c r="A11" s="14" t="s">
        <v>34</v>
      </c>
      <c r="B11" s="14" t="s">
        <v>35</v>
      </c>
      <c r="C11" s="14" t="s">
        <v>36</v>
      </c>
      <c r="D11" s="14" t="s">
        <v>37</v>
      </c>
      <c r="E11" s="14" t="s">
        <v>38</v>
      </c>
      <c r="F11" s="14" t="s">
        <v>39</v>
      </c>
    </row>
    <row r="12" spans="1:6" ht="20.100000000000001" customHeight="1" x14ac:dyDescent="0.25">
      <c r="A12" s="16" t="s">
        <v>40</v>
      </c>
      <c r="B12" s="15" t="s">
        <v>41</v>
      </c>
      <c r="C12" s="17">
        <v>0.65040641707904268</v>
      </c>
      <c r="D12" s="18">
        <f t="shared" ref="D12:D33" si="0">$B$6*C12</f>
        <v>29.785338304684863</v>
      </c>
      <c r="E12" s="19">
        <f t="shared" ref="E12:E34" si="1">$B$9</f>
        <v>0</v>
      </c>
      <c r="F12" s="18">
        <f t="shared" ref="F12:F33" si="2">D12*E12</f>
        <v>0</v>
      </c>
    </row>
    <row r="13" spans="1:6" ht="20.100000000000001" customHeight="1" x14ac:dyDescent="0.25">
      <c r="A13" s="16" t="s">
        <v>40</v>
      </c>
      <c r="B13" s="15" t="s">
        <v>42</v>
      </c>
      <c r="C13" s="17">
        <v>1.9449091275596717E-2</v>
      </c>
      <c r="D13" s="18">
        <f t="shared" si="0"/>
        <v>0.8906704302887315</v>
      </c>
      <c r="E13" s="19">
        <f t="shared" si="1"/>
        <v>0</v>
      </c>
      <c r="F13" s="18">
        <f t="shared" si="2"/>
        <v>0</v>
      </c>
    </row>
    <row r="14" spans="1:6" ht="20.100000000000001" customHeight="1" x14ac:dyDescent="0.25">
      <c r="A14" s="16" t="s">
        <v>40</v>
      </c>
      <c r="B14" s="15" t="s">
        <v>43</v>
      </c>
      <c r="C14" s="17">
        <v>2.8378225803874699E-2</v>
      </c>
      <c r="D14" s="18">
        <f t="shared" si="0"/>
        <v>1.2995798224918547</v>
      </c>
      <c r="E14" s="19">
        <f t="shared" si="1"/>
        <v>0</v>
      </c>
      <c r="F14" s="18">
        <f t="shared" si="2"/>
        <v>0</v>
      </c>
    </row>
    <row r="15" spans="1:6" ht="20.100000000000001" customHeight="1" x14ac:dyDescent="0.25">
      <c r="A15" s="16" t="s">
        <v>40</v>
      </c>
      <c r="B15" s="15" t="s">
        <v>44</v>
      </c>
      <c r="C15" s="17">
        <v>6.6973216153641366E-2</v>
      </c>
      <c r="D15" s="18">
        <f t="shared" si="0"/>
        <v>3.0670360071902039</v>
      </c>
      <c r="E15" s="19">
        <f t="shared" si="1"/>
        <v>0</v>
      </c>
      <c r="F15" s="18">
        <f t="shared" si="2"/>
        <v>0</v>
      </c>
    </row>
    <row r="16" spans="1:6" ht="20.100000000000001" customHeight="1" x14ac:dyDescent="0.25">
      <c r="A16" s="16" t="s">
        <v>40</v>
      </c>
      <c r="B16" s="15" t="s">
        <v>45</v>
      </c>
      <c r="C16" s="17">
        <v>2.4450953023522362E-2</v>
      </c>
      <c r="D16" s="18">
        <f t="shared" si="0"/>
        <v>1.1197305078081115</v>
      </c>
      <c r="E16" s="19">
        <f t="shared" si="1"/>
        <v>0</v>
      </c>
      <c r="F16" s="18">
        <f t="shared" si="2"/>
        <v>0</v>
      </c>
    </row>
    <row r="17" spans="1:6" ht="20.100000000000001" customHeight="1" x14ac:dyDescent="0.25">
      <c r="A17" s="16" t="s">
        <v>40</v>
      </c>
      <c r="B17" s="15" t="s">
        <v>46</v>
      </c>
      <c r="C17" s="17">
        <v>1.4953321617915524E-3</v>
      </c>
      <c r="D17" s="18">
        <f t="shared" si="0"/>
        <v>6.8478682170542635E-2</v>
      </c>
      <c r="E17" s="19">
        <f t="shared" si="1"/>
        <v>0</v>
      </c>
      <c r="F17" s="18">
        <f t="shared" si="2"/>
        <v>0</v>
      </c>
    </row>
    <row r="18" spans="1:6" ht="20.100000000000001" customHeight="1" x14ac:dyDescent="0.25">
      <c r="A18" s="16" t="s">
        <v>40</v>
      </c>
      <c r="B18" s="15" t="s">
        <v>47</v>
      </c>
      <c r="C18" s="17">
        <v>4.2331022356804767E-3</v>
      </c>
      <c r="D18" s="18">
        <f t="shared" si="0"/>
        <v>0.19385476350971803</v>
      </c>
      <c r="E18" s="19">
        <f t="shared" si="1"/>
        <v>0</v>
      </c>
      <c r="F18" s="18">
        <f t="shared" si="2"/>
        <v>0</v>
      </c>
    </row>
    <row r="19" spans="1:6" ht="20.100000000000001" customHeight="1" x14ac:dyDescent="0.25">
      <c r="A19" s="16" t="s">
        <v>40</v>
      </c>
      <c r="B19" s="15" t="s">
        <v>48</v>
      </c>
      <c r="C19" s="17">
        <v>2.545256672238571E-2</v>
      </c>
      <c r="D19" s="18">
        <f t="shared" si="0"/>
        <v>1.165599370857207</v>
      </c>
      <c r="E19" s="19">
        <f t="shared" si="1"/>
        <v>0</v>
      </c>
      <c r="F19" s="18">
        <f t="shared" si="2"/>
        <v>0</v>
      </c>
    </row>
    <row r="20" spans="1:6" ht="20.100000000000001" customHeight="1" x14ac:dyDescent="0.25">
      <c r="A20" s="16" t="s">
        <v>40</v>
      </c>
      <c r="B20" s="15" t="s">
        <v>49</v>
      </c>
      <c r="C20" s="17">
        <v>7.0531208989743528E-3</v>
      </c>
      <c r="D20" s="18">
        <f t="shared" si="0"/>
        <v>0.32299741602067183</v>
      </c>
      <c r="E20" s="19">
        <f t="shared" si="1"/>
        <v>0</v>
      </c>
      <c r="F20" s="18">
        <f t="shared" si="2"/>
        <v>0</v>
      </c>
    </row>
    <row r="21" spans="1:6" ht="20.100000000000001" customHeight="1" x14ac:dyDescent="0.25">
      <c r="A21" s="11" t="s">
        <v>50</v>
      </c>
      <c r="B21" s="1" t="s">
        <v>51</v>
      </c>
      <c r="C21" s="20">
        <v>4.2832125130656769E-2</v>
      </c>
      <c r="D21" s="12">
        <f t="shared" si="0"/>
        <v>1.9614956184698351</v>
      </c>
      <c r="E21" s="13">
        <f t="shared" si="1"/>
        <v>0</v>
      </c>
      <c r="F21" s="12">
        <f t="shared" si="2"/>
        <v>0</v>
      </c>
    </row>
    <row r="22" spans="1:6" ht="20.100000000000001" customHeight="1" x14ac:dyDescent="0.25">
      <c r="A22" s="11" t="s">
        <v>50</v>
      </c>
      <c r="B22" s="1" t="s">
        <v>52</v>
      </c>
      <c r="C22" s="20">
        <v>2.9187427298039723E-2</v>
      </c>
      <c r="D22" s="12">
        <f t="shared" si="0"/>
        <v>1.3366371755982474</v>
      </c>
      <c r="E22" s="13">
        <f t="shared" si="1"/>
        <v>0</v>
      </c>
      <c r="F22" s="12">
        <f t="shared" si="2"/>
        <v>0</v>
      </c>
    </row>
    <row r="23" spans="1:6" ht="20.100000000000001" customHeight="1" x14ac:dyDescent="0.25">
      <c r="A23" s="11" t="s">
        <v>50</v>
      </c>
      <c r="B23" s="1" t="s">
        <v>53</v>
      </c>
      <c r="C23" s="20">
        <v>3.9469387213632631E-3</v>
      </c>
      <c r="D23" s="12">
        <f t="shared" si="0"/>
        <v>0.18074991573980451</v>
      </c>
      <c r="E23" s="13">
        <f t="shared" si="1"/>
        <v>0</v>
      </c>
      <c r="F23" s="12">
        <f t="shared" si="2"/>
        <v>0</v>
      </c>
    </row>
    <row r="24" spans="1:6" ht="20.100000000000001" customHeight="1" x14ac:dyDescent="0.25">
      <c r="A24" s="11" t="s">
        <v>50</v>
      </c>
      <c r="B24" s="1" t="s">
        <v>54</v>
      </c>
      <c r="C24" s="20">
        <v>1.7123444255557779E-3</v>
      </c>
      <c r="D24" s="12">
        <f t="shared" si="0"/>
        <v>7.841675092686215E-2</v>
      </c>
      <c r="E24" s="13">
        <f t="shared" si="1"/>
        <v>0</v>
      </c>
      <c r="F24" s="12">
        <f t="shared" si="2"/>
        <v>0</v>
      </c>
    </row>
    <row r="25" spans="1:6" ht="20.100000000000001" customHeight="1" x14ac:dyDescent="0.25">
      <c r="A25" s="11" t="s">
        <v>50</v>
      </c>
      <c r="B25" s="1" t="s">
        <v>55</v>
      </c>
      <c r="C25" s="20">
        <v>8.5159811054618881E-3</v>
      </c>
      <c r="D25" s="12">
        <f t="shared" si="0"/>
        <v>0.38998904617458713</v>
      </c>
      <c r="E25" s="13">
        <f t="shared" si="1"/>
        <v>0</v>
      </c>
      <c r="F25" s="12">
        <f t="shared" si="2"/>
        <v>0</v>
      </c>
    </row>
    <row r="26" spans="1:6" ht="20.100000000000001" customHeight="1" x14ac:dyDescent="0.25">
      <c r="A26" s="11" t="s">
        <v>50</v>
      </c>
      <c r="B26" s="1" t="s">
        <v>56</v>
      </c>
      <c r="C26" s="20">
        <v>5.2525633969925326E-3</v>
      </c>
      <c r="D26" s="12">
        <f t="shared" si="0"/>
        <v>0.24054095045500501</v>
      </c>
      <c r="E26" s="13">
        <f t="shared" si="1"/>
        <v>0</v>
      </c>
      <c r="F26" s="12">
        <f t="shared" si="2"/>
        <v>0</v>
      </c>
    </row>
    <row r="27" spans="1:6" ht="20.100000000000001" customHeight="1" x14ac:dyDescent="0.25">
      <c r="A27" s="11" t="s">
        <v>50</v>
      </c>
      <c r="B27" s="1" t="s">
        <v>57</v>
      </c>
      <c r="C27" s="20">
        <v>2.8247326013138341E-2</v>
      </c>
      <c r="D27" s="12">
        <f t="shared" si="0"/>
        <v>1.2935852713178293</v>
      </c>
      <c r="E27" s="13">
        <f t="shared" si="1"/>
        <v>0</v>
      </c>
      <c r="F27" s="12">
        <f t="shared" si="2"/>
        <v>0</v>
      </c>
    </row>
    <row r="28" spans="1:6" ht="20.100000000000001" customHeight="1" x14ac:dyDescent="0.25">
      <c r="A28" s="11" t="s">
        <v>50</v>
      </c>
      <c r="B28" s="1" t="s">
        <v>58</v>
      </c>
      <c r="C28" s="20">
        <v>2.0166712594750016E-2</v>
      </c>
      <c r="D28" s="12">
        <f t="shared" si="0"/>
        <v>0.92353387259858444</v>
      </c>
      <c r="E28" s="13">
        <f t="shared" si="1"/>
        <v>0</v>
      </c>
      <c r="F28" s="12">
        <f t="shared" si="2"/>
        <v>0</v>
      </c>
    </row>
    <row r="29" spans="1:6" ht="20.100000000000001" customHeight="1" x14ac:dyDescent="0.25">
      <c r="A29" s="11" t="s">
        <v>50</v>
      </c>
      <c r="B29" s="1" t="s">
        <v>59</v>
      </c>
      <c r="C29" s="20">
        <v>1.4294492661316636E-2</v>
      </c>
      <c r="D29" s="12">
        <f t="shared" si="0"/>
        <v>0.65461577350859457</v>
      </c>
      <c r="E29" s="13">
        <f t="shared" si="1"/>
        <v>0</v>
      </c>
      <c r="F29" s="12">
        <f t="shared" si="2"/>
        <v>0</v>
      </c>
    </row>
    <row r="30" spans="1:6" ht="20.100000000000001" customHeight="1" x14ac:dyDescent="0.25">
      <c r="A30" s="11" t="s">
        <v>50</v>
      </c>
      <c r="B30" s="1" t="s">
        <v>60</v>
      </c>
      <c r="C30" s="20">
        <v>4.2267206945540564E-4</v>
      </c>
      <c r="D30" s="12">
        <f t="shared" si="0"/>
        <v>1.9356252106504886E-2</v>
      </c>
      <c r="E30" s="13">
        <f t="shared" si="1"/>
        <v>0</v>
      </c>
      <c r="F30" s="12">
        <f t="shared" si="2"/>
        <v>0</v>
      </c>
    </row>
    <row r="31" spans="1:6" ht="20.100000000000001" customHeight="1" x14ac:dyDescent="0.25">
      <c r="A31" s="11" t="s">
        <v>50</v>
      </c>
      <c r="B31" s="1" t="s">
        <v>61</v>
      </c>
      <c r="C31" s="20">
        <v>5.8170031965173235E-3</v>
      </c>
      <c r="D31" s="12">
        <f t="shared" si="0"/>
        <v>0.26638945062352543</v>
      </c>
      <c r="E31" s="13">
        <f t="shared" si="1"/>
        <v>0</v>
      </c>
      <c r="F31" s="12">
        <f t="shared" si="2"/>
        <v>0</v>
      </c>
    </row>
    <row r="32" spans="1:6" ht="20.100000000000001" customHeight="1" x14ac:dyDescent="0.25">
      <c r="A32" s="11" t="s">
        <v>50</v>
      </c>
      <c r="B32" s="1" t="s">
        <v>62</v>
      </c>
      <c r="C32" s="20">
        <v>2.4539708883600194E-3</v>
      </c>
      <c r="D32" s="12">
        <f t="shared" si="0"/>
        <v>0.11237950792045838</v>
      </c>
      <c r="E32" s="13">
        <f t="shared" si="1"/>
        <v>0</v>
      </c>
      <c r="F32" s="12">
        <f t="shared" si="2"/>
        <v>0</v>
      </c>
    </row>
    <row r="33" spans="1:6" ht="20.100000000000001" customHeight="1" x14ac:dyDescent="0.25">
      <c r="A33" s="11" t="s">
        <v>50</v>
      </c>
      <c r="B33" s="1" t="s">
        <v>63</v>
      </c>
      <c r="C33" s="20">
        <v>9.2584171438823606E-3</v>
      </c>
      <c r="D33" s="12">
        <f t="shared" si="0"/>
        <v>0.42398887765419618</v>
      </c>
      <c r="E33" s="13">
        <f t="shared" si="1"/>
        <v>0</v>
      </c>
      <c r="F33" s="12">
        <f t="shared" si="2"/>
        <v>0</v>
      </c>
    </row>
    <row r="34" spans="1:6" ht="27" customHeight="1" x14ac:dyDescent="0.25">
      <c r="A34" s="8" t="s">
        <v>64</v>
      </c>
      <c r="B34" s="21" t="s">
        <v>65</v>
      </c>
      <c r="C34" s="22">
        <f>SUM(C12:C33)</f>
        <v>1.0000000000000002</v>
      </c>
      <c r="D34" s="23">
        <f>SUM(D12:D33)</f>
        <v>45.794963768115942</v>
      </c>
      <c r="E34" s="24">
        <f t="shared" si="1"/>
        <v>0</v>
      </c>
      <c r="F34" s="23">
        <f>SUM(F12:F33)</f>
        <v>0</v>
      </c>
    </row>
    <row r="36" spans="1:6" ht="23.1" customHeight="1" x14ac:dyDescent="0.25">
      <c r="A36" s="72" t="s">
        <v>66</v>
      </c>
      <c r="B36" s="72"/>
    </row>
    <row r="37" spans="1:6" x14ac:dyDescent="0.25">
      <c r="A37" s="25" t="s">
        <v>67</v>
      </c>
      <c r="B37" s="26">
        <f>F34</f>
        <v>0</v>
      </c>
    </row>
    <row r="38" spans="1:6" x14ac:dyDescent="0.25">
      <c r="A38" s="25" t="s">
        <v>68</v>
      </c>
      <c r="B38" s="26">
        <f>B37*'Analisi semplificata'!$D$28</f>
        <v>0</v>
      </c>
    </row>
    <row r="39" spans="1:6" x14ac:dyDescent="0.25">
      <c r="A39" s="25" t="s">
        <v>69</v>
      </c>
      <c r="B39" s="26">
        <f>SUM(B37:B38)</f>
        <v>0</v>
      </c>
    </row>
    <row r="40" spans="1:6" x14ac:dyDescent="0.25">
      <c r="A40" s="25" t="s">
        <v>70</v>
      </c>
      <c r="B40" s="26">
        <f>B39/(1-'Analisi semplificata'!$F$28)</f>
        <v>0</v>
      </c>
    </row>
    <row r="41" spans="1:6" x14ac:dyDescent="0.25">
      <c r="A41" s="25" t="s">
        <v>71</v>
      </c>
      <c r="B41" s="26">
        <f>$B$8*$B$9</f>
        <v>0</v>
      </c>
    </row>
    <row r="42" spans="1:6" ht="26.1" customHeight="1" x14ac:dyDescent="0.25">
      <c r="A42" s="28" t="s">
        <v>72</v>
      </c>
      <c r="B42" s="27">
        <f>SUM(B40:B41)</f>
        <v>0</v>
      </c>
    </row>
  </sheetData>
  <sheetProtection password="CC19" sheet="1" objects="1" scenarios="1"/>
  <protectedRanges>
    <protectedRange algorithmName="SHA-512" hashValue="4l9+wqF64rdJhv3xZ2tHJCERY9sbsk+IfTznhi9Int+ANI+nUf/2klwDFN6kw6/PRa45Qt9y1fIhB9zknyCyMA==" saltValue="7R3Hw+ajrhCrb66t68L4Jw==" spinCount="100000" sqref="A1:XFD1048576" name="Accesso_Dettaglio_Strutturale"/>
  </protectedRanges>
  <mergeCells count="3">
    <mergeCell ref="A1:F1"/>
    <mergeCell ref="A2:F2"/>
    <mergeCell ref="A36:B3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Analisi semplificata</vt:lpstr>
      <vt:lpstr>Dettaglio strutturale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Enrico Costa</cp:lastModifiedBy>
  <dcterms:modified xsi:type="dcterms:W3CDTF">2026-09-12T12:01:52Z</dcterms:modified>
</cp:coreProperties>
</file>